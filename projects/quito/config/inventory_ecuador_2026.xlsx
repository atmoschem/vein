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vmlDrawing1.vml" ContentType="application/vnd.openxmlformats-officedocument.vmlDrawing"/>
  <Override PartName="/xl/comments1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metadata" sheetId="1" state="visible" r:id="rId3"/>
    <sheet name="fleet_age" sheetId="2" state="visible" r:id="rId4"/>
    <sheet name="fleet_age_2019" sheetId="3" state="visible" r:id="rId5"/>
    <sheet name="tfs" sheetId="4" state="visible" r:id="rId6"/>
    <sheet name="mileage" sheetId="5" state="visible" r:id="rId7"/>
    <sheet name="fuel" sheetId="6" state="visible" r:id="rId8"/>
    <sheet name="td" sheetId="7" state="visible" r:id="rId9"/>
    <sheet name="fuel_month" sheetId="8" state="visible" r:id="rId10"/>
    <sheet name="euro" sheetId="9" state="visible" r:id="rId11"/>
    <sheet name="old_euro" sheetId="10" state="visible" r:id="rId12"/>
    <sheet name="tech" sheetId="11" state="visible" r:id="rId13"/>
    <sheet name="met" sheetId="12" state="visible" r:id="rId14"/>
    <sheet name="pmonth" sheetId="13" state="visible" r:id="rId15"/>
    <sheet name="fuel_spec" sheetId="14" state="visible" r:id="rId16"/>
    <sheet name="base_fleet" sheetId="15" state="visible" r:id="rId17"/>
    <sheet name="im_ok" sheetId="16" state="visible" r:id="rId18"/>
    <sheet name="im_co" sheetId="17" state="visible" r:id="rId19"/>
    <sheet name="im_hc" sheetId="18" state="visible" r:id="rId20"/>
    <sheet name="im_nox" sheetId="19" state="visible" r:id="rId21"/>
    <sheet name="im_pm25" sheetId="20" state="visible" r:id="rId22"/>
    <sheet name="im" sheetId="21" state="visible" r:id="rId23"/>
  </sheets>
  <definedNames>
    <definedName function="false" hidden="true" localSheetId="1" name="_xlnm._FilterDatabase" vbProcedure="false">fleet_age!$A$1:$AN$62</definedName>
    <definedName function="false" hidden="true" localSheetId="2" name="_xlnm._FilterDatabase" vbProcedure="false">fleet_age_2019!$A$1:$AN$62</definedName>
    <definedName function="false" hidden="true" localSheetId="5" name="_xlnm._FilterDatabase" vbProcedure="false">fuel!$A$1:$G$48</definedName>
    <definedName function="false" hidden="true" localSheetId="7" name="_xlnm._FilterDatabase" vbProcedure="false">fuel_month!$A$1:$K$649</definedName>
    <definedName function="false" hidden="true" localSheetId="0" name="_xlnm._FilterDatabase" vbProcedure="false">metadata!$A$1:$X$63</definedName>
  </definedNames>
  <calcPr iterateCount="100" refMode="A1" iterate="false" iterateDelta="0.0001"/>
  <pivotCaches>
    <pivotCache cacheId="1" r:id="rId25"/>
  </pivotCaches>
  <extLst>
    <ext xmlns:loext="http://schemas.libreoffice.org/" uri="{7626C862-2A13-11E5-B345-FEFF819CDC9F}">
      <loext:extCalcPr stringRefSyntax="CalcA1"/>
    </ext>
  </extLst>
</workbook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Sergio:
</t>
        </r>
        <r>
          <rPr>
            <sz val="9"/>
            <color rgb="FF000000"/>
            <rFont val="Segoe UI"/>
            <family val="0"/>
            <charset val="1"/>
          </rPr>
          <t xml:space="preserve">Valores default EEA
Estos valores cambian por tipo de vehiculo?</t>
        </r>
      </text>
    </comment>
  </commentList>
</comments>
</file>

<file path=xl/sharedStrings.xml><?xml version="1.0" encoding="utf-8"?>
<sst xmlns="http://schemas.openxmlformats.org/spreadsheetml/2006/main" count="10248" uniqueCount="456">
  <si>
    <t xml:space="preserve">family</t>
  </si>
  <si>
    <t xml:space="preserve">vehicles</t>
  </si>
  <si>
    <t xml:space="preserve">name</t>
  </si>
  <si>
    <t xml:space="preserve">fuel</t>
  </si>
  <si>
    <t xml:space="preserve">size</t>
  </si>
  <si>
    <t xml:space="preserve">trips_day</t>
  </si>
  <si>
    <t xml:space="preserve">survival</t>
  </si>
  <si>
    <t xml:space="preserve">survival_param_a</t>
  </si>
  <si>
    <t xml:space="preserve">survival_param_b</t>
  </si>
  <si>
    <t xml:space="preserve">sppm</t>
  </si>
  <si>
    <t xml:space="preserve">Category_EEA</t>
  </si>
  <si>
    <t xml:space="preserve">Fuel_EEA</t>
  </si>
  <si>
    <t xml:space="preserve">Segment_EEA</t>
  </si>
  <si>
    <t xml:space="preserve">Mode_EEA</t>
  </si>
  <si>
    <t xml:space="preserve">Slope_EEA</t>
  </si>
  <si>
    <t xml:space="preserve">Load_EEA</t>
  </si>
  <si>
    <t xml:space="preserve">speed</t>
  </si>
  <si>
    <t xml:space="preserve">driving_cycle</t>
  </si>
  <si>
    <t xml:space="preserve">km_cycle</t>
  </si>
  <si>
    <t xml:space="preserve">note</t>
  </si>
  <si>
    <t xml:space="preserve">v_eea_old</t>
  </si>
  <si>
    <t xml:space="preserve">t_eea_old</t>
  </si>
  <si>
    <t xml:space="preserve">cc_eea_old</t>
  </si>
  <si>
    <t xml:space="preserve">fuel_eea_old</t>
  </si>
  <si>
    <t xml:space="preserve">PC</t>
  </si>
  <si>
    <t xml:space="preserve">PC_MINI_G</t>
  </si>
  <si>
    <t xml:space="preserve">Passenger cars mini with gasoline</t>
  </si>
  <si>
    <t xml:space="preserve">G</t>
  </si>
  <si>
    <t xml:space="preserve">&lt;1400cc</t>
  </si>
  <si>
    <t xml:space="preserve">gompertz</t>
  </si>
  <si>
    <t xml:space="preserve">Passenger Cars</t>
  </si>
  <si>
    <t xml:space="preserve">Small</t>
  </si>
  <si>
    <t xml:space="preserve">FTP-75</t>
  </si>
  <si>
    <t xml:space="preserve">4S</t>
  </si>
  <si>
    <t xml:space="preserve">&lt;=1400</t>
  </si>
  <si>
    <t xml:space="preserve">PC_SMALL_G</t>
  </si>
  <si>
    <t xml:space="preserve">Passenger cars small with gasoline</t>
  </si>
  <si>
    <t xml:space="preserve">1400-2000cc</t>
  </si>
  <si>
    <t xml:space="preserve">PC_MEDIUM_G</t>
  </si>
  <si>
    <t xml:space="preserve">Passenger cars medium with gasoline</t>
  </si>
  <si>
    <t xml:space="preserve">&gt;2000cc</t>
  </si>
  <si>
    <t xml:space="preserve">Medium</t>
  </si>
  <si>
    <t xml:space="preserve">1400_2000</t>
  </si>
  <si>
    <t xml:space="preserve">PC_SUV_G</t>
  </si>
  <si>
    <t xml:space="preserve">Sport utility vehicle with gasoline</t>
  </si>
  <si>
    <t xml:space="preserve">&gt;1400cc</t>
  </si>
  <si>
    <t xml:space="preserve">Large-SUV-Executive</t>
  </si>
  <si>
    <t xml:space="preserve">&gt;2000</t>
  </si>
  <si>
    <t xml:space="preserve">PC_MINI_D</t>
  </si>
  <si>
    <t xml:space="preserve">D</t>
  </si>
  <si>
    <t xml:space="preserve">PC_SMALL_D</t>
  </si>
  <si>
    <t xml:space="preserve">PC_MEDIUM_D</t>
  </si>
  <si>
    <t xml:space="preserve">PC_SUV_D</t>
  </si>
  <si>
    <t xml:space="preserve">PC_ELEC</t>
  </si>
  <si>
    <t xml:space="preserve">Passenger cars electric</t>
  </si>
  <si>
    <t xml:space="preserve">ELEC</t>
  </si>
  <si>
    <t xml:space="preserve">all</t>
  </si>
  <si>
    <t xml:space="preserve">PC_SMALL_HY</t>
  </si>
  <si>
    <t xml:space="preserve">HY</t>
  </si>
  <si>
    <t xml:space="preserve">FH</t>
  </si>
  <si>
    <t xml:space="preserve">TAXI_SMALL_G</t>
  </si>
  <si>
    <t xml:space="preserve">Taxi small with gasoline</t>
  </si>
  <si>
    <t xml:space="preserve">TAXI_SMALL_GLP</t>
  </si>
  <si>
    <t xml:space="preserve">Taxi small with glp</t>
  </si>
  <si>
    <t xml:space="preserve">GLP</t>
  </si>
  <si>
    <t xml:space="preserve">LPG</t>
  </si>
  <si>
    <t xml:space="preserve">LCV</t>
  </si>
  <si>
    <t xml:space="preserve">LCV_NI_G</t>
  </si>
  <si>
    <t xml:space="preserve">Light commercial vehicles N1 with gasoline</t>
  </si>
  <si>
    <t xml:space="preserve">&lt;=1.305t</t>
  </si>
  <si>
    <t xml:space="preserve">Light Commercial Vehicles</t>
  </si>
  <si>
    <t xml:space="preserve">N1-I</t>
  </si>
  <si>
    <t xml:space="preserve">&lt;3.5</t>
  </si>
  <si>
    <t xml:space="preserve">LCV_NII_G</t>
  </si>
  <si>
    <t xml:space="preserve">Light commercial vehicles N2 with gasoline</t>
  </si>
  <si>
    <t xml:space="preserve">1.305-1.76t</t>
  </si>
  <si>
    <t xml:space="preserve">N1-II</t>
  </si>
  <si>
    <t xml:space="preserve">LCV_NIII_G</t>
  </si>
  <si>
    <t xml:space="preserve">Light commercial vehicles N3 with gasoline</t>
  </si>
  <si>
    <t xml:space="preserve">&gt;=1.76t</t>
  </si>
  <si>
    <t xml:space="preserve">N1-III</t>
  </si>
  <si>
    <t xml:space="preserve">LCV_NI_D</t>
  </si>
  <si>
    <t xml:space="preserve">Light commercial vehicles N1 with diesel</t>
  </si>
  <si>
    <t xml:space="preserve">double_logistic</t>
  </si>
  <si>
    <t xml:space="preserve">LCV_NII_D</t>
  </si>
  <si>
    <t xml:space="preserve">Light commercial vehicles N2 with diesel</t>
  </si>
  <si>
    <t xml:space="preserve">LCV_NIII_D</t>
  </si>
  <si>
    <t xml:space="preserve">Light commercial vehicles N3 with diesel</t>
  </si>
  <si>
    <t xml:space="preserve">LCV_ELEC</t>
  </si>
  <si>
    <t xml:space="preserve">Light commercial vehicles electric</t>
  </si>
  <si>
    <t xml:space="preserve">LCV_HY</t>
  </si>
  <si>
    <t xml:space="preserve">TRUCKS</t>
  </si>
  <si>
    <t xml:space="preserve">TRUCKS_RT_7_D</t>
  </si>
  <si>
    <t xml:space="preserve">&lt;=7.5t</t>
  </si>
  <si>
    <t xml:space="preserve">Heavy Duty Trucks</t>
  </si>
  <si>
    <t xml:space="preserve">Rigid &lt;=7,5 t</t>
  </si>
  <si>
    <t xml:space="preserve">City Suburban cycle</t>
  </si>
  <si>
    <t xml:space="preserve">Trucks</t>
  </si>
  <si>
    <t xml:space="preserve">RT</t>
  </si>
  <si>
    <t xml:space="preserve">&lt;=7.5</t>
  </si>
  <si>
    <t xml:space="preserve">TRUCKS_RT_7_12_D</t>
  </si>
  <si>
    <t xml:space="preserve">7.5-12t</t>
  </si>
  <si>
    <t xml:space="preserve">Rigid 7,5 - 12 t</t>
  </si>
  <si>
    <t xml:space="preserve">&gt;7.5 &amp; &lt;=12</t>
  </si>
  <si>
    <t xml:space="preserve">TRUCKS_RT_12_14_D</t>
  </si>
  <si>
    <t xml:space="preserve">12-14t</t>
  </si>
  <si>
    <t xml:space="preserve">Rigid 12 - 14 t</t>
  </si>
  <si>
    <t xml:space="preserve">&gt;12 &amp; &lt;=14</t>
  </si>
  <si>
    <t xml:space="preserve">TRUCKS_RT_14_16_D</t>
  </si>
  <si>
    <t xml:space="preserve">14-16t</t>
  </si>
  <si>
    <t xml:space="preserve">Rigid 14 - 20 t</t>
  </si>
  <si>
    <t xml:space="preserve">&gt;14 &amp; &lt;=20</t>
  </si>
  <si>
    <t xml:space="preserve">TRUCKS_RT_16_20_D</t>
  </si>
  <si>
    <t xml:space="preserve">16-20t</t>
  </si>
  <si>
    <t xml:space="preserve">TRUCKS_RT_20_26_D</t>
  </si>
  <si>
    <t xml:space="preserve">20-26t</t>
  </si>
  <si>
    <t xml:space="preserve">Rigid 20 - 26 t</t>
  </si>
  <si>
    <t xml:space="preserve">&gt;20 &amp; &lt;=26</t>
  </si>
  <si>
    <t xml:space="preserve">TRUCKS_RT_26_28_D</t>
  </si>
  <si>
    <t xml:space="preserve">26-28t</t>
  </si>
  <si>
    <t xml:space="preserve">Rigid 26 - 28 t</t>
  </si>
  <si>
    <t xml:space="preserve">&gt;26 &amp; &lt;=28</t>
  </si>
  <si>
    <t xml:space="preserve">TRUCKS_RT_28_32_D</t>
  </si>
  <si>
    <t xml:space="preserve">38-32t</t>
  </si>
  <si>
    <t xml:space="preserve">Rigid 28 - 32 t</t>
  </si>
  <si>
    <t xml:space="preserve">&gt;28 &amp; &lt;=32</t>
  </si>
  <si>
    <t xml:space="preserve">TRUCKS_RT_32_D</t>
  </si>
  <si>
    <t xml:space="preserve">&gt;=32t</t>
  </si>
  <si>
    <t xml:space="preserve">Rigid &gt;32 t</t>
  </si>
  <si>
    <t xml:space="preserve">&gt;32</t>
  </si>
  <si>
    <t xml:space="preserve">TRUCKS_RT_7_G</t>
  </si>
  <si>
    <t xml:space="preserve">tratados como PC para incorporar euro. Camiones gasolineros solo tienen pre-euro</t>
  </si>
  <si>
    <t xml:space="preserve">TRUCKS_RT_7_12_G</t>
  </si>
  <si>
    <t xml:space="preserve">TRUCKS_RT_12_14_G</t>
  </si>
  <si>
    <t xml:space="preserve">TRUCKS_RT_14_16_G</t>
  </si>
  <si>
    <t xml:space="preserve">TRUCKS_RT_16_20_G</t>
  </si>
  <si>
    <t xml:space="preserve">TRUCKS_RT_20_26_G</t>
  </si>
  <si>
    <t xml:space="preserve">TRUCKS_RT_26_28_G</t>
  </si>
  <si>
    <t xml:space="preserve">TRUCKS_RT_28_32_G</t>
  </si>
  <si>
    <t xml:space="preserve">TRUCKS_RT_32_G</t>
  </si>
  <si>
    <t xml:space="preserve">TRUCKS_AT_16_20_D</t>
  </si>
  <si>
    <t xml:space="preserve">Articulated 14 - 20 t</t>
  </si>
  <si>
    <t xml:space="preserve">TT</t>
  </si>
  <si>
    <t xml:space="preserve">&gt;20 &amp; &lt;=28</t>
  </si>
  <si>
    <t xml:space="preserve">TRUCKS_AT_20_28_D</t>
  </si>
  <si>
    <t xml:space="preserve">20-28t</t>
  </si>
  <si>
    <t xml:space="preserve">Articulated 20 - 28 t</t>
  </si>
  <si>
    <t xml:space="preserve">TRUCKS_AT_28_34_D</t>
  </si>
  <si>
    <t xml:space="preserve">28-34t</t>
  </si>
  <si>
    <t xml:space="preserve">Articulated 28 - 34 t</t>
  </si>
  <si>
    <t xml:space="preserve">&gt;28 &amp; &lt;=34</t>
  </si>
  <si>
    <t xml:space="preserve">TRUCKS_AT_34_40_D</t>
  </si>
  <si>
    <t xml:space="preserve">34-40t</t>
  </si>
  <si>
    <t xml:space="preserve">Articulated 34 - 40 t</t>
  </si>
  <si>
    <t xml:space="preserve">&gt;34 &amp; &lt;=40</t>
  </si>
  <si>
    <t xml:space="preserve">TRUCKS_AT_40_50_D</t>
  </si>
  <si>
    <t xml:space="preserve">40-50t</t>
  </si>
  <si>
    <t xml:space="preserve">Articulated 40 - 50 t</t>
  </si>
  <si>
    <t xml:space="preserve">&gt;40 &amp; &lt;=50</t>
  </si>
  <si>
    <t xml:space="preserve">TRUCKS_AT_50_60_D</t>
  </si>
  <si>
    <t xml:space="preserve">50-60t</t>
  </si>
  <si>
    <t xml:space="preserve">Articulated 50 - 60 t</t>
  </si>
  <si>
    <t xml:space="preserve">&gt;50 &amp; &lt;=60</t>
  </si>
  <si>
    <t xml:space="preserve">TRUCKS_ELEC</t>
  </si>
  <si>
    <t xml:space="preserve">Trucks electric</t>
  </si>
  <si>
    <t xml:space="preserve">&gt;3,5 t</t>
  </si>
  <si>
    <t xml:space="preserve">BUS</t>
  </si>
  <si>
    <t xml:space="preserve">BUS_UB_15_D</t>
  </si>
  <si>
    <t xml:space="preserve">&lt;=15t</t>
  </si>
  <si>
    <t xml:space="preserve">Buses</t>
  </si>
  <si>
    <t xml:space="preserve">Urban Buses Midi &lt;=15 t</t>
  </si>
  <si>
    <t xml:space="preserve">Ubus</t>
  </si>
  <si>
    <t xml:space="preserve">Midi</t>
  </si>
  <si>
    <t xml:space="preserve">&lt;=15</t>
  </si>
  <si>
    <t xml:space="preserve">BUS_UB_15_18_D</t>
  </si>
  <si>
    <t xml:space="preserve">15-18t</t>
  </si>
  <si>
    <t xml:space="preserve">Urban Buses Standard 15 - 18 t</t>
  </si>
  <si>
    <t xml:space="preserve">Std</t>
  </si>
  <si>
    <t xml:space="preserve">&gt;15 &amp; &lt;=18</t>
  </si>
  <si>
    <t xml:space="preserve">BUS_UB_18_D</t>
  </si>
  <si>
    <t xml:space="preserve">&gt;=18t</t>
  </si>
  <si>
    <t xml:space="preserve">Urban Buses Articulated &gt;18 t</t>
  </si>
  <si>
    <t xml:space="preserve">Artic</t>
  </si>
  <si>
    <t xml:space="preserve">&gt;18</t>
  </si>
  <si>
    <t xml:space="preserve">BUS_UB_15_G</t>
  </si>
  <si>
    <t xml:space="preserve">No hay EF de buses usando gasolina, asi que seran usados de SUV (better than nothing)</t>
  </si>
  <si>
    <t xml:space="preserve">BUS_UB_15_18_G</t>
  </si>
  <si>
    <t xml:space="preserve">BUS_UB_18_G</t>
  </si>
  <si>
    <t xml:space="preserve">BUS_COACH_17_D</t>
  </si>
  <si>
    <t xml:space="preserve">&lt;=18</t>
  </si>
  <si>
    <t xml:space="preserve">Coaches Standard &lt;=18 t</t>
  </si>
  <si>
    <t xml:space="preserve">Coach</t>
  </si>
  <si>
    <t xml:space="preserve">BUS_COACH_18_D</t>
  </si>
  <si>
    <t xml:space="preserve">&gt;18t</t>
  </si>
  <si>
    <t xml:space="preserve">Coaches Articulated &gt;18 t</t>
  </si>
  <si>
    <t xml:space="preserve">3Axes</t>
  </si>
  <si>
    <t xml:space="preserve">BUS_COACH_17_G</t>
  </si>
  <si>
    <t xml:space="preserve">BUS_COACH_18_G</t>
  </si>
  <si>
    <t xml:space="preserve">BUS_UB_15_HY</t>
  </si>
  <si>
    <t xml:space="preserve">Bus hybrid</t>
  </si>
  <si>
    <t xml:space="preserve">Diesel Hybrid ~ Diesel</t>
  </si>
  <si>
    <t xml:space="preserve">BUS_ELEC</t>
  </si>
  <si>
    <t xml:space="preserve">Bus electric</t>
  </si>
  <si>
    <t xml:space="preserve">Diesel Hybrid ~ Electricity</t>
  </si>
  <si>
    <t xml:space="preserve">MC</t>
  </si>
  <si>
    <t xml:space="preserve">MC_2S_50_G</t>
  </si>
  <si>
    <t xml:space="preserve">Motorcycle 2 strokes &gt;=50 cc gasoline</t>
  </si>
  <si>
    <t xml:space="preserve">50cc</t>
  </si>
  <si>
    <t xml:space="preserve">L-Category</t>
  </si>
  <si>
    <t xml:space="preserve">Mopeds 2-stroke &lt;50 cm³</t>
  </si>
  <si>
    <t xml:space="preserve">WMTC</t>
  </si>
  <si>
    <t xml:space="preserve">espacio en blanco significa NA en R, que es diferente de 0</t>
  </si>
  <si>
    <t xml:space="preserve">Motorcycle</t>
  </si>
  <si>
    <t xml:space="preserve">2S</t>
  </si>
  <si>
    <t xml:space="preserve">&gt;=50</t>
  </si>
  <si>
    <t xml:space="preserve">MC_4S_50_250_G</t>
  </si>
  <si>
    <t xml:space="preserve">Motorcycle 4 strokes &lt;=250 cc gasoline</t>
  </si>
  <si>
    <t xml:space="preserve">50_250</t>
  </si>
  <si>
    <t xml:space="preserve">Motorcycles 4-stroke &lt;250 cm³</t>
  </si>
  <si>
    <t xml:space="preserve">&lt;=250</t>
  </si>
  <si>
    <t xml:space="preserve">MC_4S_250_750_G</t>
  </si>
  <si>
    <t xml:space="preserve">Motorcycle 4 strokes 250-750 cc gasoline</t>
  </si>
  <si>
    <t xml:space="preserve">250-750cc</t>
  </si>
  <si>
    <t xml:space="preserve">Motorcycles 4-stroke 250 - 750 cm³</t>
  </si>
  <si>
    <t xml:space="preserve">250_750</t>
  </si>
  <si>
    <t xml:space="preserve">MC_4S_750_G</t>
  </si>
  <si>
    <t xml:space="preserve">Motorcycle 4 strokes &gt;=750 cc gasoline</t>
  </si>
  <si>
    <t xml:space="preserve">&gt;=750cc</t>
  </si>
  <si>
    <t xml:space="preserve">Motorcycles 4-stroke &gt;750 cm³</t>
  </si>
  <si>
    <t xml:space="preserve">&gt;=750</t>
  </si>
  <si>
    <t xml:space="preserve">MC_ELEC</t>
  </si>
  <si>
    <t xml:space="preserve">Motorcycle electric</t>
  </si>
  <si>
    <t xml:space="preserve">Year</t>
  </si>
  <si>
    <t xml:space="preserve">Region</t>
  </si>
  <si>
    <t xml:space="preserve">EC</t>
  </si>
  <si>
    <t xml:space="preserve">Age</t>
  </si>
  <si>
    <t xml:space="preserve">density_tm3</t>
  </si>
  <si>
    <t xml:space="preserve">consumption_lt</t>
  </si>
  <si>
    <t xml:space="preserve">UF</t>
  </si>
  <si>
    <t xml:space="preserve">region</t>
  </si>
  <si>
    <t xml:space="preserve">FUEL_M3</t>
  </si>
  <si>
    <t xml:space="preserve">FUEL</t>
  </si>
  <si>
    <t xml:space="preserve">tera_joules_lt</t>
  </si>
  <si>
    <t xml:space="preserve">tera_joul</t>
  </si>
  <si>
    <t xml:space="preserve">AZ</t>
  </si>
  <si>
    <t xml:space="preserve">AZUAY</t>
  </si>
  <si>
    <t xml:space="preserve">DIESEL</t>
  </si>
  <si>
    <t xml:space="preserve">BO</t>
  </si>
  <si>
    <t xml:space="preserve">BOLIVAR</t>
  </si>
  <si>
    <t xml:space="preserve">CA</t>
  </si>
  <si>
    <t xml:space="preserve">CAÑAR</t>
  </si>
  <si>
    <t xml:space="preserve">CR</t>
  </si>
  <si>
    <t xml:space="preserve">CARCHI</t>
  </si>
  <si>
    <t xml:space="preserve">CH</t>
  </si>
  <si>
    <t xml:space="preserve">CHIMBORAZO</t>
  </si>
  <si>
    <t xml:space="preserve">CO</t>
  </si>
  <si>
    <t xml:space="preserve">COTOPAXI</t>
  </si>
  <si>
    <t xml:space="preserve">EO</t>
  </si>
  <si>
    <t xml:space="preserve">EL ORO</t>
  </si>
  <si>
    <t xml:space="preserve">ES</t>
  </si>
  <si>
    <t xml:space="preserve">ESMERALDAS</t>
  </si>
  <si>
    <t xml:space="preserve">GA</t>
  </si>
  <si>
    <t xml:space="preserve">GALAPAGOS</t>
  </si>
  <si>
    <t xml:space="preserve">GU</t>
  </si>
  <si>
    <t xml:space="preserve">GUAYAS</t>
  </si>
  <si>
    <t xml:space="preserve">IM</t>
  </si>
  <si>
    <t xml:space="preserve">IMBABURA</t>
  </si>
  <si>
    <t xml:space="preserve">LO</t>
  </si>
  <si>
    <t xml:space="preserve">LOJA</t>
  </si>
  <si>
    <t xml:space="preserve">LR</t>
  </si>
  <si>
    <t xml:space="preserve">LOS RIOS</t>
  </si>
  <si>
    <t xml:space="preserve">MA</t>
  </si>
  <si>
    <t xml:space="preserve">MANABÍ</t>
  </si>
  <si>
    <t xml:space="preserve">MS</t>
  </si>
  <si>
    <t xml:space="preserve">MORONA SANTIAGO</t>
  </si>
  <si>
    <t xml:space="preserve">NA</t>
  </si>
  <si>
    <t xml:space="preserve">NAPO</t>
  </si>
  <si>
    <t xml:space="preserve">OR</t>
  </si>
  <si>
    <t xml:space="preserve">ORELLANA</t>
  </si>
  <si>
    <t xml:space="preserve">PA</t>
  </si>
  <si>
    <t xml:space="preserve">PASTAZA</t>
  </si>
  <si>
    <t xml:space="preserve">PI</t>
  </si>
  <si>
    <t xml:space="preserve">PICHINCHA</t>
  </si>
  <si>
    <t xml:space="preserve">SE</t>
  </si>
  <si>
    <t xml:space="preserve">SANTA ELENA</t>
  </si>
  <si>
    <t xml:space="preserve">SD</t>
  </si>
  <si>
    <t xml:space="preserve">SANTO DOMINGO DE LOS TSACHILAS</t>
  </si>
  <si>
    <t xml:space="preserve">SU</t>
  </si>
  <si>
    <t xml:space="preserve">SUCUMBIOS</t>
  </si>
  <si>
    <t xml:space="preserve">TU</t>
  </si>
  <si>
    <t xml:space="preserve">TUNGURAHUA</t>
  </si>
  <si>
    <t xml:space="preserve">ZC</t>
  </si>
  <si>
    <t xml:space="preserve">ZAMORA CHINCHIPE</t>
  </si>
  <si>
    <t xml:space="preserve">ZN</t>
  </si>
  <si>
    <t xml:space="preserve">ZONA NO DELIMITADA</t>
  </si>
  <si>
    <t xml:space="preserve">GASOLINE</t>
  </si>
  <si>
    <t xml:space="preserve">QU</t>
  </si>
  <si>
    <t xml:space="preserve">QUITO</t>
  </si>
  <si>
    <t xml:space="preserve">Soma de FUEL_M3</t>
  </si>
  <si>
    <t xml:space="preserve">Total Result</t>
  </si>
  <si>
    <t xml:space="preserve">Month</t>
  </si>
  <si>
    <t xml:space="preserve">MES</t>
  </si>
  <si>
    <t xml:space="preserve">gal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</si>
  <si>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</si>
  <si>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</si>
  <si>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</si>
  <si>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</si>
  <si>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</si>
  <si>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</si>
  <si>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</si>
  <si>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</si>
  <si>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</si>
  <si>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</si>
  <si>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</si>
  <si>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</si>
  <si>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gasolina</t>
  </si>
  <si>
    <t xml:space="preserve">diesel</t>
  </si>
  <si>
    <t xml:space="preserve">lpg</t>
  </si>
  <si>
    <t xml:space="preserve">hy</t>
  </si>
  <si>
    <t xml:space="preserve">III</t>
  </si>
  <si>
    <t xml:space="preserve">Euro 4</t>
  </si>
  <si>
    <t xml:space="preserve">II</t>
  </si>
  <si>
    <t xml:space="preserve">I</t>
  </si>
  <si>
    <t xml:space="preserve">pre</t>
  </si>
  <si>
    <t xml:space="preserve">PRE ECE</t>
  </si>
  <si>
    <t xml:space="preserve">Conventional</t>
  </si>
  <si>
    <t xml:space="preserve">PRE</t>
  </si>
  <si>
    <t xml:space="preserve">capitals</t>
  </si>
  <si>
    <t xml:space="preserve">variable</t>
  </si>
  <si>
    <t xml:space="preserve">value</t>
  </si>
  <si>
    <t xml:space="preserve">Estados</t>
  </si>
  <si>
    <t xml:space="preserve">Temperature</t>
  </si>
  <si>
    <t xml:space="preserve">date</t>
  </si>
  <si>
    <t xml:space="preserve">X2015.01.01</t>
  </si>
  <si>
    <t xml:space="preserve">CANAR</t>
  </si>
  <si>
    <t xml:space="preserve">MANABI</t>
  </si>
  <si>
    <t xml:space="preserve">parameter</t>
  </si>
  <si>
    <t xml:space="preserve">definition</t>
  </si>
  <si>
    <t xml:space="preserve">e100</t>
  </si>
  <si>
    <t xml:space="preserve">Mid range volatility in</t>
  </si>
  <si>
    <t xml:space="preserve">aro</t>
  </si>
  <si>
    <t xml:space="preserve">Aromatics content in</t>
  </si>
  <si>
    <t xml:space="preserve">o2</t>
  </si>
  <si>
    <t xml:space="preserve">Oxygenates</t>
  </si>
  <si>
    <t xml:space="preserve">e150</t>
  </si>
  <si>
    <t xml:space="preserve">Tail-end volatility in</t>
  </si>
  <si>
    <t xml:space="preserve">olefin</t>
  </si>
  <si>
    <t xml:space="preserve">Olefins content in</t>
  </si>
  <si>
    <t xml:space="preserve">s</t>
  </si>
  <si>
    <t xml:space="preserve">Sulphur content in ppm</t>
  </si>
  <si>
    <t xml:space="preserve">den</t>
  </si>
  <si>
    <t xml:space="preserve">Density at 15 C (kg/m3)</t>
  </si>
  <si>
    <t xml:space="preserve">pah</t>
  </si>
  <si>
    <t xml:space="preserve">cn</t>
  </si>
  <si>
    <t xml:space="preserve">Cetane number</t>
  </si>
  <si>
    <t xml:space="preserve">t95</t>
  </si>
  <si>
    <t xml:space="preserve">Back-end distillation in o C.</t>
  </si>
  <si>
    <t xml:space="preserve">MODELO</t>
  </si>
  <si>
    <t xml:space="preserve">PC_MEDIUM_DIESEL</t>
  </si>
  <si>
    <t xml:space="preserve">PC_MEDIUM_ELECTRICO</t>
  </si>
  <si>
    <t xml:space="preserve">PC_MEDIUM_GASOLINA</t>
  </si>
  <si>
    <t xml:space="preserve">PC_MEDIUM_HIBRIDO</t>
  </si>
  <si>
    <t xml:space="preserve">PC_MINI_DIESEL</t>
  </si>
  <si>
    <t xml:space="preserve">PC_MINI_ELECTRICO</t>
  </si>
  <si>
    <t xml:space="preserve">PC_MINI_GASOLINA</t>
  </si>
  <si>
    <t xml:space="preserve">PC_MINI_GLP</t>
  </si>
  <si>
    <t xml:space="preserve">PC_MINI_HIBRIDO</t>
  </si>
  <si>
    <t xml:space="preserve">PC_SMALL_DIESEL</t>
  </si>
  <si>
    <t xml:space="preserve">PC_SMALL_ELECTRICO</t>
  </si>
  <si>
    <t xml:space="preserve">PC_SMALL_GASOLINA</t>
  </si>
  <si>
    <t xml:space="preserve">PC_SMALL_GLP</t>
  </si>
  <si>
    <t xml:space="preserve">PC_SMALL_HIBRIDO</t>
  </si>
  <si>
    <t xml:space="preserve">SUV__DIESEL</t>
  </si>
  <si>
    <t xml:space="preserve">SUV__ELECTRICO</t>
  </si>
  <si>
    <t xml:space="preserve">SUV__GASOLINA</t>
  </si>
  <si>
    <t xml:space="preserve">SUV__GLP</t>
  </si>
  <si>
    <t xml:space="preserve">SUV__HIBRIDO</t>
  </si>
  <si>
    <t xml:space="preserve">LCV_N1-III_DIESEL</t>
  </si>
  <si>
    <t xml:space="preserve">LCV_N1-III_GASOLINA</t>
  </si>
  <si>
    <t xml:space="preserve">LCV_N1-III_GLP</t>
  </si>
  <si>
    <t xml:space="preserve">LCV_N1-III_HIBRIDO</t>
  </si>
  <si>
    <t xml:space="preserve">LCV_N1-II_DIESEL</t>
  </si>
  <si>
    <t xml:space="preserve">LCV_N1-II_ELECTRICO</t>
  </si>
  <si>
    <t xml:space="preserve">LCV_N1-II_GASOLINA</t>
  </si>
  <si>
    <t xml:space="preserve">LCV_N1-II_GLP</t>
  </si>
  <si>
    <t xml:space="preserve">LCV_N1-II_HIBRIDO</t>
  </si>
  <si>
    <t xml:space="preserve">LCV_N1-I_DIESEL</t>
  </si>
  <si>
    <t xml:space="preserve">LCV_N1-I_ELECTRICO</t>
  </si>
  <si>
    <t xml:space="preserve">LCV_N1-I_GASOLINA</t>
  </si>
  <si>
    <t xml:space="preserve">LCV_N1-I_GLP</t>
  </si>
  <si>
    <t xml:space="preserve">LCV_N1-I_HIBRIDO</t>
  </si>
  <si>
    <t xml:space="preserve">TRUCKS_RT_&lt;=7.5_DIESEL</t>
  </si>
  <si>
    <t xml:space="preserve">TRUCKS_RT_&lt;=7.5_ELECTRICO</t>
  </si>
  <si>
    <t xml:space="preserve">TRUCKS_RT_&lt;=7.5_GASOLINA</t>
  </si>
  <si>
    <t xml:space="preserve">TRUCKS_RT_&lt;=7.5_HIBRIDO</t>
  </si>
  <si>
    <t xml:space="preserve">TRUCKS_RT_7.5-12_DIESEL</t>
  </si>
  <si>
    <t xml:space="preserve">TRUCKS_RT_7.5-12_ELECTRICO</t>
  </si>
  <si>
    <t xml:space="preserve">TRUCKS_RT_7.5-12_GASOLINA</t>
  </si>
  <si>
    <t xml:space="preserve">TRUCKS_RT_12-14_DIESEL</t>
  </si>
  <si>
    <t xml:space="preserve">TRUCKS_RT_12-14_ELECTRICO</t>
  </si>
  <si>
    <t xml:space="preserve">TRUCKS_RT_12-14_GASOLINA</t>
  </si>
  <si>
    <t xml:space="preserve">TRUCKS_RT_14-16_DIESEL</t>
  </si>
  <si>
    <t xml:space="preserve">TRUCKS_RT_14-16_GASOLINA</t>
  </si>
  <si>
    <t xml:space="preserve">TRUCKS_RT_16-20_DIESEL</t>
  </si>
  <si>
    <t xml:space="preserve">TRUCKS_RT_16-20_GASOLINA</t>
  </si>
  <si>
    <t xml:space="preserve">TRUCKS_RT_20-26_DIESEL</t>
  </si>
  <si>
    <t xml:space="preserve">TRUCKS_RT_20-26_GASOLINA</t>
  </si>
  <si>
    <t xml:space="preserve">TRUCKS_RT_26-28_DIESEL</t>
  </si>
  <si>
    <t xml:space="preserve">TRUCKS_RT_26-28_GASOLINA</t>
  </si>
  <si>
    <t xml:space="preserve">TRUCKS_RT_26-32_DIESEL</t>
  </si>
  <si>
    <t xml:space="preserve">TRUCKS_RT_&gt;32_DIESEL</t>
  </si>
  <si>
    <t xml:space="preserve">TRUCKS_RT_26-32_GASOLINA</t>
  </si>
  <si>
    <t xml:space="preserve">TRUCKS_AT_16-20_DIESEL</t>
  </si>
  <si>
    <t xml:space="preserve">TRUCKS_AT_20-28_DIESEL</t>
  </si>
  <si>
    <t xml:space="preserve">TRUCKS_AT_28-34_DIESEL</t>
  </si>
  <si>
    <t xml:space="preserve">TRUCKS_AT_34-40_DIESEL</t>
  </si>
  <si>
    <t xml:space="preserve">TRUCKS_AT_40-50_DIESEL</t>
  </si>
  <si>
    <t xml:space="preserve">TRUCKS_AT_50-60_DIESEL</t>
  </si>
  <si>
    <t xml:space="preserve">BUS_UB_15-18_DIESEL</t>
  </si>
  <si>
    <t xml:space="preserve">BUS_UB_15-18_GASOLINA</t>
  </si>
  <si>
    <t xml:space="preserve">BUS_UB_&lt;15t_DIESEL</t>
  </si>
  <si>
    <t xml:space="preserve">BUS_UB_&lt;15t_GASOLINA</t>
  </si>
  <si>
    <t xml:space="preserve">BUS_UB_&gt;=18_DIESEL</t>
  </si>
  <si>
    <t xml:space="preserve">BUS_UB_&gt;=18_GASOLINA</t>
  </si>
  <si>
    <t xml:space="preserve">BUS_COACH_&lt;18t_DIESEL</t>
  </si>
  <si>
    <t xml:space="preserve">BUS_COACH_&lt;18t_GASOLINA</t>
  </si>
  <si>
    <t xml:space="preserve">BUS_COACH_&gt;=18_DIESEL</t>
  </si>
  <si>
    <t xml:space="preserve">BUS_COACH_&gt;=18_GASOLINA</t>
  </si>
  <si>
    <t xml:space="preserve">MOTORCYCLES_250-750cc_DIESEL</t>
  </si>
  <si>
    <t xml:space="preserve">MOTORCYCLES_250-750cc_ELECTRICO</t>
  </si>
  <si>
    <t xml:space="preserve">MOTORCYCLES_250-750cc_GASOLINA</t>
  </si>
  <si>
    <t xml:space="preserve">MOTORCYCLES_250-750cc_GLP</t>
  </si>
  <si>
    <t xml:space="preserve">MOTORCYCLES_250-750cc_HIBRIDO</t>
  </si>
  <si>
    <t xml:space="preserve">MOTORCYCLES_50-250cc_DIESEL</t>
  </si>
  <si>
    <t xml:space="preserve">MOTORCYCLES_50-250cc_ELECTRICO</t>
  </si>
  <si>
    <t xml:space="preserve">MOTORCYCLES_50-250cc_GASOLINA</t>
  </si>
  <si>
    <t xml:space="preserve">MOTORCYCLES_50-250cc_GLP</t>
  </si>
  <si>
    <t xml:space="preserve">MOTORCYCLES_50-250cc_HIBRIDO</t>
  </si>
  <si>
    <t xml:space="preserve">MOTORCYCLES_&lt;=50cc_ELECTRICO</t>
  </si>
  <si>
    <t xml:space="preserve">MOTORCYCLES_&lt;=50cc_GASOLINA</t>
  </si>
  <si>
    <t xml:space="preserve">MOTORCYCLES_&lt;=50cc_GLP</t>
  </si>
  <si>
    <t xml:space="preserve">MOTORCYCLES_&gt;750cc_DIESEL</t>
  </si>
  <si>
    <t xml:space="preserve">MOTORCYCLES_&gt;750cc_GASOLINA</t>
  </si>
  <si>
    <t xml:space="preserve">                                                                          </t>
  </si>
  <si>
    <t xml:space="preserve">year</t>
  </si>
  <si>
    <t xml:space="preserve">age</t>
  </si>
  <si>
    <t xml:space="preserve">Approved_gasoline</t>
  </si>
  <si>
    <t xml:space="preserve">Reproved_gasoline</t>
  </si>
  <si>
    <t xml:space="preserve">Approved_gasoline_CO</t>
  </si>
  <si>
    <t xml:space="preserve">Reproved_gasoline_CO</t>
  </si>
  <si>
    <t xml:space="preserve">Approved_gasoline_HC</t>
  </si>
  <si>
    <t xml:space="preserve">Reproved_gasoline_HC</t>
  </si>
  <si>
    <t xml:space="preserve">Approved_diesel</t>
  </si>
  <si>
    <t xml:space="preserve">Reproved_diesel</t>
  </si>
  <si>
    <t xml:space="preserve">Approved_diesel_opa</t>
  </si>
  <si>
    <t xml:space="preserve">Reproved_diesel_opa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</si>
</sst>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.0000000"/>
    <numFmt numFmtId="167" formatCode="0.0"/>
    <numFmt numFmtId="168" formatCode="0"/>
    <numFmt numFmtId="169" formatCode="0.00000"/>
    <numFmt numFmtId="170" formatCode="m/d/yyyy\ h:mm"/>
    <numFmt numFmtId="171" formatCode="0.0000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  <font>
      <sz val="9"/>
      <color rgb="FF000000"/>
      <name val="Segoe UI"/>
      <family val="0"/>
      <charset val="1"/>
    </font>
    <font>
      <sz val="8"/>
      <color rgb="FF000000"/>
      <name val="Arial"/>
      <family val="2"/>
      <charset val="1"/>
    </font>
    <font>
      <sz val="8"/>
      <name val="Arial"/>
      <family val="2"/>
      <charset val="1"/>
    </font>
    <font>
      <b val="true"/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rgb="FFA9D18E"/>
        <bgColor rgb="FFC5E0B4"/>
      </patternFill>
    </fill>
    <fill>
      <patternFill patternType="solid">
        <fgColor rgb="FFC5E0B4"/>
        <bgColor rgb="FFD9D9D9"/>
      </patternFill>
    </fill>
    <fill>
      <patternFill patternType="solid">
        <fgColor rgb="FFBDD7EE"/>
        <bgColor rgb="FFADD8E6"/>
      </patternFill>
    </fill>
    <fill>
      <patternFill patternType="solid">
        <fgColor rgb="FFD9D9D9"/>
        <bgColor rgb="FFBDD7EE"/>
      </patternFill>
    </fill>
    <fill>
      <patternFill patternType="solid">
        <fgColor rgb="FF98FB98"/>
        <bgColor rgb="FFC5E0B4"/>
      </patternFill>
    </fill>
    <fill>
      <patternFill patternType="solid">
        <fgColor rgb="FFFFFF00"/>
        <bgColor rgb="FFFFFF00"/>
      </patternFill>
    </fill>
    <fill>
      <patternFill patternType="solid">
        <fgColor rgb="FF87CEFA"/>
        <bgColor rgb="FFADD8E6"/>
      </patternFill>
    </fill>
    <fill>
      <patternFill patternType="solid">
        <fgColor rgb="FFFFC0CB"/>
        <bgColor rgb="FFFFB6C1"/>
      </patternFill>
    </fill>
    <fill>
      <patternFill patternType="solid">
        <fgColor rgb="FFFFB6C1"/>
        <bgColor rgb="FFFFC0CB"/>
      </patternFill>
    </fill>
    <fill>
      <patternFill patternType="solid">
        <fgColor rgb="FFE0FFFF"/>
        <bgColor rgb="FFFFFFFF"/>
      </patternFill>
    </fill>
    <fill>
      <patternFill patternType="solid">
        <fgColor rgb="FFADD8E6"/>
        <bgColor rgb="FFBDD7EE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2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2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9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7">
    <dxf>
      <fill>
        <patternFill patternType="solid">
          <bgColor rgb="FF000000"/>
        </patternFill>
      </fill>
    </dxf>
    <dxf>
      <fill>
        <patternFill patternType="solid">
          <fgColor rgb="FFFFFFD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ADD8E6"/>
      <rgbColor rgb="FF993366"/>
      <rgbColor rgb="FFFFFFD7"/>
      <rgbColor rgb="FFE0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5E0B4"/>
      <rgbColor rgb="FF98FB98"/>
      <rgbColor rgb="FF87CEFA"/>
      <rgbColor rgb="FFFFB6C1"/>
      <rgbColor rgb="FFCC99FF"/>
      <rgbColor rgb="FFFFC0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<Relationship Id="rId25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48" createdVersion="3">
  <cacheSource type="worksheet">
    <worksheetSource ref="A1:J649" sheet="fuel_month"/>
  </cacheSource>
  <cacheFields count="10">
    <cacheField name="fuel" numFmtId="0">
      <sharedItems count="2">
        <s v="D"/>
        <s v="G"/>
      </sharedItems>
    </cacheField>
    <cacheField name="density_tm3" numFmtId="0">
      <sharedItems containsSemiMixedTypes="0" containsString="0" containsNumber="1" minValue="0.75425" maxValue="0.84" count="2">
        <n v="0.75425"/>
        <n v="0.84"/>
      </sharedItems>
    </cacheField>
    <cacheField name="consumption_lt" numFmtId="0">
      <sharedItems containsSemiMixedTypes="0" containsString="0" containsNumber="1" minValue="195185.30625" maxValue="114191067.722844" count="622">
        <n v="195185.30625"/>
        <n v="196434.49221"/>
        <n v="213454.650915"/>
        <n v="233285.47803"/>
        <n v="234846.96048"/>
        <n v="237345.3324"/>
        <n v="239062.963095"/>
        <n v="244840.44816"/>
        <n v="258737.641965"/>
        <n v="258893.79021"/>
        <n v="266232.757725"/>
        <n v="266388.90597"/>
        <n v="313924.21716"/>
        <n v="340270.68468"/>
        <n v="346175.9274"/>
        <n v="351778.33716"/>
        <n v="374339.39268"/>
        <n v="374528.66328"/>
        <n v="374680.07976"/>
        <n v="400591.2249"/>
        <n v="412117.80444"/>
        <n v="421543.48032"/>
        <n v="434830.27644"/>
        <n v="435057.40116"/>
        <n v="720876.826926"/>
        <n v="741248.021604"/>
        <n v="799282.172976"/>
        <n v="802954.022616"/>
        <n v="832728.180702"/>
        <n v="835644.840648"/>
        <n v="836555.232234"/>
        <n v="841491.409482"/>
        <n v="846929.15382"/>
        <n v="848693.155812"/>
        <n v="848755.61511"/>
        <n v="864633.525744"/>
        <n v="1001196.049056"/>
        <n v="1009164.341316"/>
        <n v="1122685.061784"/>
        <n v="1142849.951508"/>
        <n v="1185644.034168"/>
        <n v="1300118.67846"/>
        <n v="1307886.343884"/>
        <n v="1349586.442476"/>
        <n v="1349665.936128"/>
        <n v="1407011.142516"/>
        <n v="1435765.132068"/>
        <n v="1457345.76588"/>
        <n v="1735611.402"/>
        <n v="1790499.876"/>
        <n v="1864315.41"/>
        <n v="1921096.59"/>
        <n v="1955165.298"/>
        <n v="1958950.71"/>
        <n v="1979770.476"/>
        <n v="1993019.418"/>
        <n v="2040337.068"/>
        <n v="2078191.188"/>
        <n v="2099010.954"/>
        <n v="2174719.194"/>
        <n v="2197431.666"/>
        <n v="2246642.022"/>
        <n v="2250427.434"/>
        <n v="2259890.964"/>
        <n v="2263676.376"/>
        <n v="2267461.788"/>
        <n v="2269354.494"/>
        <n v="2297745.084"/>
        <n v="2307208.614"/>
        <n v="2312886.732"/>
        <n v="2320457.556"/>
        <n v="2363989.794"/>
        <n v="2432127.21"/>
        <n v="2439069.655608"/>
        <n v="2439698.034"/>
        <n v="2458625.094"/>
        <n v="2466195.918"/>
        <n v="2473766.742"/>
        <n v="2479444.86"/>
        <n v="2492693.802"/>
        <n v="2564616.63"/>
        <n v="2573516.133612"/>
        <n v="2598685.338"/>
        <n v="2602470.75"/>
        <n v="2619955.568028"/>
        <n v="2630785.63176"/>
        <n v="2651060.298432"/>
        <n v="2651124.650436"/>
        <n v="2653002.214788"/>
        <n v="2683281.725376"/>
        <n v="2687642.52"/>
        <n v="2710597.258368"/>
        <n v="2712247.698"/>
        <n v="2730796.2168"/>
        <n v="2738745.582"/>
        <n v="2755666.37364"/>
        <n v="2774570.721168"/>
        <n v="2776978.2432"/>
        <n v="2780570.599188"/>
        <n v="2784268.946712"/>
        <n v="2798717.864316"/>
        <n v="2803097.586"/>
        <n v="2859878.766"/>
        <n v="2874410.962668"/>
        <n v="2890919.1444"/>
        <n v="2895435.140916"/>
        <n v="2905682.2512"/>
        <n v="2910981.828"/>
        <n v="2914195.642788"/>
        <n v="2922716.6052"/>
        <n v="2937017.891736"/>
        <n v="2956202.359752"/>
        <n v="2976090.9144"/>
        <n v="3034386.2592"/>
        <n v="3042714.1656"/>
        <n v="3044046.630624"/>
        <n v="3051799.1544"/>
        <n v="3075647.25"/>
        <n v="3096467.016"/>
        <n v="3098261.301288"/>
        <n v="3100263.784236"/>
        <n v="3114099.465096"/>
        <n v="3157790.6904"/>
        <n v="3171066.130284"/>
        <n v="3174067.962"/>
        <n v="3178318.979676"/>
        <n v="3189588.1512"/>
        <n v="3206243.964"/>
        <n v="3230992.987656"/>
        <n v="3232211.89032"/>
        <n v="3240736.638144"/>
        <n v="3255454.32"/>
        <n v="3258645.422316"/>
        <n v="3277928.311044"/>
        <n v="3285737.616"/>
        <n v="3304604.109408"/>
        <n v="3321699.03"/>
        <n v="3345577.408896"/>
        <n v="3361124.09598"/>
        <n v="3389181.569724"/>
        <n v="3395018.675028"/>
        <n v="3406261.348668"/>
        <n v="3419903.973516"/>
        <n v="3440939.508"/>
        <n v="3444577.288932"/>
        <n v="3447961.44726"/>
        <n v="3453609.281964"/>
        <n v="3458950.498296"/>
        <n v="3500188.776624"/>
        <n v="3518540.454"/>
        <n v="3529166.105484"/>
        <n v="3530385.008148"/>
        <n v="3551942.929488"/>
        <n v="3569643.516"/>
        <n v="3572138.102508"/>
        <n v="3663249.183936"/>
        <n v="3741879.762"/>
        <n v="3764213.6928"/>
        <n v="3764334.825984"/>
        <n v="3776327.0112"/>
        <n v="3811232.295252"/>
        <n v="3845221.5096"/>
        <n v="3913737.4668"/>
        <n v="3926986.4088"/>
        <n v="3927364.95"/>
        <n v="3938721.186"/>
        <n v="3985660.2948"/>
        <n v="4012158.1788"/>
        <n v="4015943.5908"/>
        <n v="4040927.31"/>
        <n v="4059854.37"/>
        <n v="4096194.3252"/>
        <n v="4122313.668"/>
        <n v="4139348.022"/>
        <n v="4196129.202"/>
        <n v="4209378.144"/>
        <n v="4218705.399168"/>
        <n v="4218841.674"/>
        <n v="4224519.792"/>
        <n v="4228305.204"/>
        <n v="4312841.024784"/>
        <n v="4385399.802"/>
        <n v="4444073.688"/>
        <n v="4463000.748"/>
        <n v="4487605.926"/>
        <n v="4508425.692"/>
        <n v="4514103.81"/>
        <n v="4538708.988"/>
        <n v="4546279.812"/>
        <n v="4635236.994"/>
        <n v="4707920.689812"/>
        <n v="4723262.964648"/>
        <n v="4731765"/>
        <n v="4767631.7787"/>
        <n v="4788796.017192"/>
        <n v="4807473.24"/>
        <n v="4811258.652"/>
        <n v="4820722.182"/>
        <n v="4833971.124"/>
        <n v="4902108.54"/>
        <n v="4913464.776"/>
        <n v="4915773.87732"/>
        <n v="4930605.121536"/>
        <n v="4938077.524824"/>
        <n v="5006953.096164"/>
        <n v="5017563.606"/>
        <n v="5055625.92366"/>
        <n v="5168980.086"/>
        <n v="5197370.676"/>
        <n v="5204627.310804"/>
        <n v="5247815.076312"/>
        <n v="5263834.939896"/>
        <n v="5278757.034"/>
        <n v="5286146.158224"/>
        <n v="5307147.624"/>
        <n v="5326581.929208"/>
        <n v="5333123.121144"/>
        <n v="5345001.744"/>
        <n v="5380963.158"/>
        <n v="5393738.9235"/>
        <n v="5460926.201088"/>
        <n v="5490054.946428"/>
        <n v="5534306.412708"/>
        <n v="5561902.066188"/>
        <n v="5566259.0754"/>
        <n v="5602409.76"/>
        <n v="5621336.82"/>
        <n v="5736810.81306"/>
        <n v="5784594.068736"/>
        <n v="5835212.598"/>
        <n v="5840936.140944"/>
        <n v="5934318.469572"/>
        <n v="5935526.016"/>
        <n v="5967732.301296"/>
        <n v="6026129.85222"/>
        <n v="6037732.14"/>
        <n v="6041483.483292"/>
        <n v="6041824.170372"/>
        <n v="6115333.086"/>
        <n v="6116487.63666"/>
        <n v="6147122.975976"/>
        <n v="6186275.492292"/>
        <n v="6324927.563028"/>
        <n v="6350017.273764"/>
        <n v="6363126.15552"/>
        <n v="6461698.284"/>
        <n v="6474875.303172"/>
        <n v="6482086.513032"/>
        <n v="6514542.63552"/>
        <n v="6529695.639756"/>
        <n v="6530763.12594"/>
        <n v="6612240.333828"/>
        <n v="6634578.05004"/>
        <n v="6699974.827752"/>
        <n v="6928485.008544"/>
        <n v="6948948.945816"/>
        <n v="6989763.258"/>
        <n v="7007119.37202"/>
        <n v="7058158.082016"/>
        <n v="7179938.571468"/>
        <n v="7228940.729808"/>
        <n v="7340504.392272"/>
        <n v="7347371.12964"/>
        <n v="7429703.84064"/>
        <n v="7480958.31912"/>
        <n v="7499646.898164"/>
        <n v="7563431.090364"/>
        <n v="7599971.6724"/>
        <n v="7688716.871328"/>
        <n v="7923684.964992"/>
        <n v="7951568.309784"/>
        <n v="8002572.951072"/>
        <n v="8088403.38276"/>
        <n v="8110824.378036"/>
        <n v="8351432.73558"/>
        <n v="8411446.657428"/>
        <n v="8522476.5768"/>
        <n v="8669975.15538"/>
        <n v="8678325.774252"/>
        <n v="8773763.581596"/>
        <n v="8934177.98592"/>
        <n v="8979148.68048"/>
        <n v="9046960.551048"/>
        <n v="9065342.51172"/>
        <n v="9111335.26752"/>
        <n v="9143193.294912"/>
        <n v="9239558.528196"/>
        <n v="9239603.95314"/>
        <n v="9265689.227232"/>
        <n v="9339962.796084"/>
        <n v="9359662.080132"/>
        <n v="9387443.2188"/>
        <n v="9403728.061224"/>
        <n v="9414433.20636"/>
        <n v="9417612.95244"/>
        <n v="9431051.16504"/>
        <n v="9536796.64926"/>
        <n v="9588126.83598"/>
        <n v="9612485.9622"/>
        <n v="9668373.784968"/>
        <n v="9685745.040636"/>
        <n v="9686558.904216"/>
        <n v="9688989.13872"/>
        <n v="9762255.78798"/>
        <n v="9778960.811136"/>
        <n v="9782999.84574"/>
        <n v="9828822.258"/>
        <n v="9837316.722528"/>
        <n v="9850777.6476"/>
        <n v="9867134.412852"/>
        <n v="9883566.886344"/>
        <n v="9886057.68744"/>
        <n v="9920444.370048"/>
        <n v="9941801.664552"/>
        <n v="9984769.876164"/>
        <n v="9989179.881144"/>
        <n v="10002920.926704"/>
        <n v="10033885.596864"/>
        <n v="10038129.043716"/>
        <n v="10113019.634724"/>
        <n v="10141917.469932"/>
        <n v="10160057.164236"/>
        <n v="10167525.782112"/>
        <n v="10195980.724116"/>
        <n v="10226101.2474"/>
        <n v="10239524.318352"/>
        <n v="10272888.93972"/>
        <n v="10280898.871512"/>
        <n v="10314763.167264"/>
        <n v="10333765.935504"/>
        <n v="10443444.462792"/>
        <n v="10446283.521792"/>
        <n v="10453789.993788"/>
        <n v="10472766.264144"/>
        <n v="10477217.908656"/>
        <n v="10487540.72718"/>
        <n v="10494997.98882"/>
        <n v="10503783.930072"/>
        <n v="10679230.205448"/>
        <n v="10687126.57488"/>
        <n v="10739403.1146"/>
        <n v="10751929.042908"/>
        <n v="10786043.175852"/>
        <n v="10859953.345152"/>
        <n v="10860400.023768"/>
        <n v="10902020.628708"/>
        <n v="10909648.233888"/>
        <n v="10960391.681748"/>
        <n v="10970748.56898"/>
        <n v="10982275.14852"/>
        <n v="10993748.732292"/>
        <n v="11001527.753952"/>
        <n v="11003329.610064"/>
        <n v="11007387.571728"/>
        <n v="11014822.120896"/>
        <n v="11030785.2033"/>
        <n v="11035414.762176"/>
        <n v="11036152.917516"/>
        <n v="11036368.686"/>
        <n v="11048550.141816"/>
        <n v="11064922.048716"/>
        <n v="11067954.163728"/>
        <n v="11117130.45102"/>
        <n v="11134448.71092"/>
        <n v="11179218.778644"/>
        <n v="11203759.60464"/>
        <n v="11243476.147344"/>
        <n v="11281686.096072"/>
        <n v="11316303.688812"/>
        <n v="11321554.055256"/>
        <n v="11331551.328348"/>
        <n v="11341321.47672"/>
        <n v="11363045.956188"/>
        <n v="11375208.484944"/>
        <n v="11384501.671404"/>
        <n v="11403553.65"/>
        <n v="11414724.400812"/>
        <n v="11431304.505372"/>
        <n v="11433204.782196"/>
        <n v="11437205.96268"/>
        <n v="11441199.57234"/>
        <n v="11526462.192228"/>
        <n v="11552195.423004"/>
        <n v="11558588.983872"/>
        <n v="11608253.589312"/>
        <n v="11639967.771048"/>
        <n v="11670652.32072"/>
        <n v="11679888.726"/>
        <n v="11683674.138"/>
        <n v="11703778.461132"/>
        <n v="11795343.792"/>
        <n v="11854017.678"/>
        <n v="11892458.53686"/>
        <n v="11894881.20054"/>
        <n v="11916476.976"/>
        <n v="11920618.216728"/>
        <n v="11928718.998408"/>
        <n v="12002504.249112"/>
        <n v="12103854.87"/>
        <n v="12198679.4406"/>
        <n v="12203081.874756"/>
        <n v="12275542.23126"/>
        <n v="12296933.594472"/>
        <n v="12330214.936776"/>
        <n v="12380189.946"/>
        <n v="12422730.406056"/>
        <n v="12454005.48"/>
        <n v="12567677.616948"/>
        <n v="12592244.940828"/>
        <n v="12644294.355828"/>
        <n v="12660571.627428"/>
        <n v="12929657.639448"/>
        <n v="12949591.61904"/>
        <n v="13026795.09678"/>
        <n v="13063456.812"/>
        <n v="13107401.659908"/>
        <n v="13120434.833424"/>
        <n v="13205440.045296"/>
        <n v="13623644.792232"/>
        <n v="13700227.462404"/>
        <n v="13731260.26998"/>
        <n v="13873364.63646"/>
        <n v="14089231.541172"/>
        <n v="14222250.918852"/>
        <n v="14262773.754312"/>
        <n v="14332236.064512"/>
        <n v="14373644.68638"/>
        <n v="14517055.02"/>
        <n v="14526143.794212"/>
        <n v="14632593.365064"/>
        <n v="14776953.837096"/>
        <n v="14820152.95884"/>
        <n v="14927704.084584"/>
        <n v="14952487.176948"/>
        <n v="15113253.624588"/>
        <n v="15155847.080412"/>
        <n v="15174978.55266"/>
        <n v="15184442.08266"/>
        <n v="15221228.716476"/>
        <n v="15254563.054548"/>
        <n v="15483834.103152"/>
        <n v="15557361.94584"/>
        <n v="15560995.94136"/>
        <n v="15592206.6633"/>
        <n v="15595284.203256"/>
        <n v="15904408.518"/>
        <n v="16003949.711952"/>
        <n v="16383827.162388"/>
        <n v="16453293.258"/>
        <n v="16538465.028"/>
        <n v="16578211.854"/>
        <n v="16618030.602828"/>
        <n v="16657894.7766"/>
        <n v="16737252.153768"/>
        <n v="16845223.460244"/>
        <n v="17026783.176"/>
        <n v="17210375.658"/>
        <n v="17422987.108392"/>
        <n v="17598380.388"/>
        <n v="17642064.04248"/>
        <n v="17751689.574"/>
        <n v="17769670.281"/>
        <n v="17776294.752"/>
        <n v="17776775.499324"/>
        <n v="17927711.232"/>
        <n v="17943390.408504"/>
        <n v="18257034.505176"/>
        <n v="18260676.07152"/>
        <n v="18296788.902"/>
        <n v="18302709.286368"/>
        <n v="18427510.534596"/>
        <n v="18439044.68496"/>
        <n v="18465387.367068"/>
        <n v="18466409.428308"/>
        <n v="18643093.533408"/>
        <n v="19139349.690372"/>
        <n v="19142351.522088"/>
        <n v="19148044.781736"/>
        <n v="19188904.518864"/>
        <n v="19254971.3145"/>
        <n v="19318047.634656"/>
        <n v="19510005.877176"/>
        <n v="19789066.449816"/>
        <n v="19860122.418468"/>
        <n v="20075292.807372"/>
        <n v="20395886.920476"/>
        <n v="20551868.607348"/>
        <n v="20661301.082856"/>
        <n v="20841781.956192"/>
        <n v="20971174.909176"/>
        <n v="21040603.150668"/>
        <n v="21317725.592364"/>
        <n v="21398581.992684"/>
        <n v="21437003.924484"/>
        <n v="21724646.026128"/>
        <n v="21833294.921352"/>
        <n v="21932192.595264"/>
        <n v="22073081.844492"/>
        <n v="22150357.24506"/>
        <n v="22173452.043672"/>
        <n v="22174792.07952"/>
        <n v="22186212.667524"/>
        <n v="22548945.987012"/>
        <n v="22625172.828456"/>
        <n v="22644921.32286"/>
        <n v="22689100.866312"/>
        <n v="22837576.081188"/>
        <n v="22967321.077488"/>
        <n v="23047212.197748"/>
        <n v="23473521.511776"/>
        <n v="23569023.671124"/>
        <n v="23833957.08618"/>
        <n v="24074001.417336"/>
        <n v="24077741.404392"/>
        <n v="28309188.685"/>
        <n v="28488995.66"/>
        <n v="29338820.205"/>
        <n v="30042906.465"/>
        <n v="30088809.102264"/>
        <n v="30317348.69"/>
        <n v="30519868.125"/>
        <n v="30777276.005"/>
        <n v="30890838.305"/>
        <n v="30928117.02268"/>
        <n v="31220168.975"/>
        <n v="31468113.33"/>
        <n v="31668740.06"/>
        <n v="31854225.15"/>
        <n v="31998070.73"/>
        <n v="32255478.61"/>
        <n v="32338757.63"/>
        <n v="32428250.499444"/>
        <n v="32442718.344108"/>
        <n v="32546955.18"/>
        <n v="32565882.23"/>
        <n v="32777865.19"/>
        <n v="32881963.965"/>
        <n v="32970989.23738"/>
        <n v="32994044.674848"/>
        <n v="33119773.349016"/>
        <n v="33136448.088876"/>
        <n v="33160191.6"/>
        <n v="33578561.498004"/>
        <n v="34591076.58"/>
        <n v="34668968.351664"/>
        <n v="34790120.462724"/>
        <n v="35870246.137392"/>
        <n v="36938030.78"/>
        <n v="37563415.500048"/>
        <n v="37791740.195652"/>
        <n v="44818642.130784"/>
        <n v="47289092.851872"/>
        <n v="49630510.51"/>
        <n v="49923345.921024"/>
        <n v="50555714.137272"/>
        <n v="50622799.208736"/>
        <n v="50645110.427064"/>
        <n v="50831292.130872"/>
        <n v="51110890.232016"/>
        <n v="51280056.508884"/>
        <n v="51921112.245672"/>
        <n v="52095786.297"/>
        <n v="52464205.305312"/>
        <n v="55073675.2821"/>
        <n v="56091334.7357"/>
        <n v="58455062.688516"/>
        <n v="58796964.10402"/>
        <n v="60420482.667624"/>
        <n v="61253611.915"/>
        <n v="62277565.32"/>
        <n v="62366522.455"/>
        <n v="62761627.500204"/>
        <n v="63371548.81"/>
        <n v="63817810.443972"/>
        <n v="63823905.305"/>
        <n v="63945038.425"/>
        <n v="64566432.448152"/>
        <n v="65481914.885"/>
        <n v="65697683.255"/>
        <n v="65752571.7"/>
        <n v="66061082.615"/>
        <n v="66448804.273392"/>
        <n v="66577791.08"/>
        <n v="66695138.79"/>
        <n v="67144856.85423"/>
        <n v="67467362.43"/>
        <n v="67652847.52"/>
        <n v="68343684.845"/>
        <n v="68690049.86"/>
        <n v="68885360.415432"/>
        <n v="69655329.41"/>
        <n v="69810531.22"/>
        <n v="69822242.314608"/>
        <n v="70478656.085"/>
        <n v="71641223.630496"/>
        <n v="71992820.085"/>
        <n v="72089821.45038"/>
        <n v="74331485.6556"/>
        <n v="78629612.78394"/>
        <n v="80783398.64958"/>
        <n v="83987863.46994"/>
        <n v="84464371.1325"/>
        <n v="85832135.1234"/>
        <n v="85933962.7062"/>
        <n v="88141501.42224"/>
        <n v="88409678.93538"/>
        <n v="88550802.880152"/>
        <n v="88565770.3992"/>
        <n v="90348392.832828"/>
        <n v="91993252.76754"/>
        <n v="92866585.17006"/>
        <n v="97287098.453772"/>
        <n v="99512072.777484"/>
        <n v="99716314.681944"/>
        <n v="99878493.08826"/>
        <n v="100791292.196292"/>
        <n v="101554983.925644"/>
        <n v="103202137.820028"/>
        <n v="105873113.170992"/>
        <n v="106035564.126972"/>
        <n v="108581037.928488"/>
        <n v="114191067.722844"/>
      </sharedItems>
    </cacheField>
    <cacheField name="UF" numFmtId="0">
      <sharedItems count="1">
        <s v="EC"/>
      </sharedItems>
    </cacheField>
    <cacheField name="region" numFmtId="0">
      <sharedItems count="26">
        <s v="AZUAY"/>
        <s v="BOLIVAR"/>
        <s v="CAÑAR"/>
        <s v="CARCHI"/>
        <s v="CHIMBORAZO"/>
        <s v="COTOPAXI"/>
        <s v="EL ORO"/>
        <s v="ESMERALDAS"/>
        <s v="GALAPAGOS"/>
        <s v="GUAYAS"/>
        <s v="IMBABURA"/>
        <s v="LOJA"/>
        <s v="LOS RIOS"/>
        <s v="MANABÍ"/>
        <s v="MORONA SANTIAGO"/>
        <s v="NAPO"/>
        <s v="ORELLANA"/>
        <s v="PASTAZA"/>
        <s v="PICHINCHA"/>
        <s v="QUITO"/>
        <s v="SANTA ELENA"/>
        <s v="SANTO DOMINGO DE LOS TSACHILAS"/>
        <s v="SUCUMBIOS"/>
        <s v="TUNGURAHUA"/>
        <s v="ZAMORA CHINCHIPE"/>
        <s v="ZONA NO DELIMITADA"/>
      </sharedItems>
    </cacheField>
    <cacheField name="FUEL_M3" numFmtId="0">
      <sharedItems containsSemiMixedTypes="0" containsString="0" containsNumber="1" minValue="195.18530625" maxValue="114191.067722844" count="622">
        <n v="195.18530625"/>
        <n v="196.43449221"/>
        <n v="213.454650915"/>
        <n v="233.28547803"/>
        <n v="234.84696048"/>
        <n v="237.3453324"/>
        <n v="239.062963095"/>
        <n v="244.84044816"/>
        <n v="258.737641965"/>
        <n v="258.89379021"/>
        <n v="266.232757725"/>
        <n v="266.38890597"/>
        <n v="313.92421716"/>
        <n v="340.27068468"/>
        <n v="346.1759274"/>
        <n v="351.77833716"/>
        <n v="374.33939268"/>
        <n v="374.52866328"/>
        <n v="374.68007976"/>
        <n v="400.5912249"/>
        <n v="412.11780444"/>
        <n v="421.54348032"/>
        <n v="434.83027644"/>
        <n v="435.05740116"/>
        <n v="720.876826926"/>
        <n v="741.248021604"/>
        <n v="799.282172976"/>
        <n v="802.954022616"/>
        <n v="832.728180702"/>
        <n v="835.644840648"/>
        <n v="836.555232234"/>
        <n v="841.491409482"/>
        <n v="846.92915382"/>
        <n v="848.693155812"/>
        <n v="848.75561511"/>
        <n v="864.633525744"/>
        <n v="1001.196049056"/>
        <n v="1009.164341316"/>
        <n v="1122.685061784"/>
        <n v="1142.849951508"/>
        <n v="1185.644034168"/>
        <n v="1300.11867846"/>
        <n v="1307.886343884"/>
        <n v="1349.586442476"/>
        <n v="1349.665936128"/>
        <n v="1407.011142516"/>
        <n v="1435.765132068"/>
        <n v="1457.34576588"/>
        <n v="1735.611402"/>
        <n v="1790.499876"/>
        <n v="1864.31541"/>
        <n v="1921.09659"/>
        <n v="1955.165298"/>
        <n v="1958.95071"/>
        <n v="1979.770476"/>
        <n v="1993.019418"/>
        <n v="2040.337068"/>
        <n v="2078.191188"/>
        <n v="2099.010954"/>
        <n v="2174.719194"/>
        <n v="2197.431666"/>
        <n v="2246.642022"/>
        <n v="2250.427434"/>
        <n v="2259.890964"/>
        <n v="2263.676376"/>
        <n v="2267.461788"/>
        <n v="2269.354494"/>
        <n v="2297.745084"/>
        <n v="2307.208614"/>
        <n v="2312.886732"/>
        <n v="2320.457556"/>
        <n v="2363.989794"/>
        <n v="2432.12721"/>
        <n v="2439.069655608"/>
        <n v="2439.698034"/>
        <n v="2458.625094"/>
        <n v="2466.195918"/>
        <n v="2473.766742"/>
        <n v="2479.44486"/>
        <n v="2492.693802"/>
        <n v="2564.61663"/>
        <n v="2573.516133612"/>
        <n v="2598.685338"/>
        <n v="2602.47075"/>
        <n v="2619.955568028"/>
        <n v="2630.78563176"/>
        <n v="2651.060298432"/>
        <n v="2651.124650436"/>
        <n v="2653.002214788"/>
        <n v="2683.281725376"/>
        <n v="2687.64252"/>
        <n v="2710.597258368"/>
        <n v="2712.247698"/>
        <n v="2730.7962168"/>
        <n v="2738.745582"/>
        <n v="2755.66637364"/>
        <n v="2774.570721168"/>
        <n v="2776.9782432"/>
        <n v="2780.570599188"/>
        <n v="2784.268946712"/>
        <n v="2798.717864316"/>
        <n v="2803.097586"/>
        <n v="2859.878766"/>
        <n v="2874.410962668"/>
        <n v="2890.9191444"/>
        <n v="2895.435140916"/>
        <n v="2905.6822512"/>
        <n v="2910.981828"/>
        <n v="2914.195642788"/>
        <n v="2922.7166052"/>
        <n v="2937.017891736"/>
        <n v="2956.202359752"/>
        <n v="2976.0909144"/>
        <n v="3034.3862592"/>
        <n v="3042.7141656"/>
        <n v="3044.046630624"/>
        <n v="3051.7991544"/>
        <n v="3075.64725"/>
        <n v="3096.467016"/>
        <n v="3098.261301288"/>
        <n v="3100.263784236"/>
        <n v="3114.099465096"/>
        <n v="3157.7906904"/>
        <n v="3171.066130284"/>
        <n v="3174.067962"/>
        <n v="3178.318979676"/>
        <n v="3189.5881512"/>
        <n v="3206.243964"/>
        <n v="3230.992987656"/>
        <n v="3232.21189032"/>
        <n v="3240.736638144"/>
        <n v="3255.45432"/>
        <n v="3258.645422316"/>
        <n v="3277.928311044"/>
        <n v="3285.737616"/>
        <n v="3304.604109408"/>
        <n v="3321.69903"/>
        <n v="3345.577408896"/>
        <n v="3361.12409598"/>
        <n v="3389.181569724"/>
        <n v="3395.018675028"/>
        <n v="3406.261348668"/>
        <n v="3419.903973516"/>
        <n v="3440.939508"/>
        <n v="3444.577288932"/>
        <n v="3447.96144726"/>
        <n v="3453.609281964"/>
        <n v="3458.950498296"/>
        <n v="3500.188776624"/>
        <n v="3518.540454"/>
        <n v="3529.166105484"/>
        <n v="3530.385008148"/>
        <n v="3551.942929488"/>
        <n v="3569.643516"/>
        <n v="3572.138102508"/>
        <n v="3663.249183936"/>
        <n v="3741.879762"/>
        <n v="3764.2136928"/>
        <n v="3764.334825984"/>
        <n v="3776.3270112"/>
        <n v="3811.232295252"/>
        <n v="3845.2215096"/>
        <n v="3913.7374668"/>
        <n v="3926.9864088"/>
        <n v="3927.36495"/>
        <n v="3938.721186"/>
        <n v="3985.6602948"/>
        <n v="4012.1581788"/>
        <n v="4015.9435908"/>
        <n v="4040.92731"/>
        <n v="4059.85437"/>
        <n v="4096.1943252"/>
        <n v="4122.313668"/>
        <n v="4139.348022"/>
        <n v="4196.129202"/>
        <n v="4209.378144"/>
        <n v="4218.705399168"/>
        <n v="4218.841674"/>
        <n v="4224.519792"/>
        <n v="4228.305204"/>
        <n v="4312.841024784"/>
        <n v="4385.399802"/>
        <n v="4444.073688"/>
        <n v="4463.000748"/>
        <n v="4487.605926"/>
        <n v="4508.425692"/>
        <n v="4514.10381"/>
        <n v="4538.708988"/>
        <n v="4546.279812"/>
        <n v="4635.236994"/>
        <n v="4707.920689812"/>
        <n v="4723.262964648"/>
        <n v="4731.765"/>
        <n v="4767.6317787"/>
        <n v="4788.796017192"/>
        <n v="4807.47324"/>
        <n v="4811.258652"/>
        <n v="4820.722182"/>
        <n v="4833.971124"/>
        <n v="4902.10854"/>
        <n v="4913.464776"/>
        <n v="4915.77387732"/>
        <n v="4930.605121536"/>
        <n v="4938.077524824"/>
        <n v="5006.953096164"/>
        <n v="5017.563606"/>
        <n v="5055.62592366"/>
        <n v="5168.980086"/>
        <n v="5197.370676"/>
        <n v="5204.627310804"/>
        <n v="5247.815076312"/>
        <n v="5263.834939896"/>
        <n v="5278.757034"/>
        <n v="5286.146158224"/>
        <n v="5307.147624"/>
        <n v="5326.581929208"/>
        <n v="5333.123121144"/>
        <n v="5345.001744"/>
        <n v="5380.963158"/>
        <n v="5393.7389235"/>
        <n v="5460.926201088"/>
        <n v="5490.054946428"/>
        <n v="5534.306412708"/>
        <n v="5561.902066188"/>
        <n v="5566.2590754"/>
        <n v="5602.40976"/>
        <n v="5621.33682"/>
        <n v="5736.81081306"/>
        <n v="5784.594068736"/>
        <n v="5835.212598"/>
        <n v="5840.936140944"/>
        <n v="5934.318469572"/>
        <n v="5935.526016"/>
        <n v="5967.732301296"/>
        <n v="6026.12985222"/>
        <n v="6037.73214"/>
        <n v="6041.483483292"/>
        <n v="6041.824170372"/>
        <n v="6115.333086"/>
        <n v="6116.48763666"/>
        <n v="6147.122975976"/>
        <n v="6186.275492292"/>
        <n v="6324.927563028"/>
        <n v="6350.017273764"/>
        <n v="6363.12615552"/>
        <n v="6461.698284"/>
        <n v="6474.875303172"/>
        <n v="6482.086513032"/>
        <n v="6514.54263552"/>
        <n v="6529.695639756"/>
        <n v="6530.76312594"/>
        <n v="6612.240333828"/>
        <n v="6634.57805004"/>
        <n v="6699.974827752"/>
        <n v="6928.485008544"/>
        <n v="6948.948945816"/>
        <n v="6989.763258"/>
        <n v="7007.11937202"/>
        <n v="7058.158082016"/>
        <n v="7179.938571468"/>
        <n v="7228.940729808"/>
        <n v="7340.504392272"/>
        <n v="7347.37112964"/>
        <n v="7429.70384064"/>
        <n v="7480.95831912"/>
        <n v="7499.646898164"/>
        <n v="7563.431090364"/>
        <n v="7599.9716724"/>
        <n v="7688.716871328"/>
        <n v="7923.684964992"/>
        <n v="7951.568309784"/>
        <n v="8002.572951072"/>
        <n v="8088.40338276"/>
        <n v="8110.824378036"/>
        <n v="8351.43273558"/>
        <n v="8411.446657428"/>
        <n v="8522.4765768"/>
        <n v="8669.97515538"/>
        <n v="8678.325774252"/>
        <n v="8773.763581596"/>
        <n v="8934.17798592"/>
        <n v="8979.14868048"/>
        <n v="9046.960551048"/>
        <n v="9065.34251172"/>
        <n v="9111.33526752"/>
        <n v="9143.193294912"/>
        <n v="9239.558528196"/>
        <n v="9239.60395314"/>
        <n v="9265.689227232"/>
        <n v="9339.962796084"/>
        <n v="9359.662080132"/>
        <n v="9387.4432188"/>
        <n v="9403.728061224"/>
        <n v="9414.43320636"/>
        <n v="9417.61295244"/>
        <n v="9431.05116504"/>
        <n v="9536.79664926"/>
        <n v="9588.12683598"/>
        <n v="9612.4859622"/>
        <n v="9668.373784968"/>
        <n v="9685.745040636"/>
        <n v="9686.558904216"/>
        <n v="9688.98913872"/>
        <n v="9762.25578798"/>
        <n v="9778.960811136"/>
        <n v="9782.99984574"/>
        <n v="9828.822258"/>
        <n v="9837.316722528"/>
        <n v="9850.7776476"/>
        <n v="9867.134412852"/>
        <n v="9883.566886344"/>
        <n v="9886.05768744"/>
        <n v="9920.444370048"/>
        <n v="9941.801664552"/>
        <n v="9984.769876164"/>
        <n v="9989.179881144"/>
        <n v="10002.920926704"/>
        <n v="10033.885596864"/>
        <n v="10038.129043716"/>
        <n v="10113.019634724"/>
        <n v="10141.917469932"/>
        <n v="10160.057164236"/>
        <n v="10167.525782112"/>
        <n v="10195.980724116"/>
        <n v="10226.1012474"/>
        <n v="10239.524318352"/>
        <n v="10272.88893972"/>
        <n v="10280.898871512"/>
        <n v="10314.763167264"/>
        <n v="10333.765935504"/>
        <n v="10443.444462792"/>
        <n v="10446.283521792"/>
        <n v="10453.789993788"/>
        <n v="10472.766264144"/>
        <n v="10477.217908656"/>
        <n v="10487.54072718"/>
        <n v="10494.99798882"/>
        <n v="10503.783930072"/>
        <n v="10679.230205448"/>
        <n v="10687.12657488"/>
        <n v="10739.4031146"/>
        <n v="10751.929042908"/>
        <n v="10786.043175852"/>
        <n v="10859.953345152"/>
        <n v="10860.400023768"/>
        <n v="10902.020628708"/>
        <n v="10909.648233888"/>
        <n v="10960.391681748"/>
        <n v="10970.74856898"/>
        <n v="10982.27514852"/>
        <n v="10993.748732292"/>
        <n v="11001.527753952"/>
        <n v="11003.329610064"/>
        <n v="11007.387571728"/>
        <n v="11014.822120896"/>
        <n v="11030.7852033"/>
        <n v="11035.414762176"/>
        <n v="11036.152917516"/>
        <n v="11036.368686"/>
        <n v="11048.550141816"/>
        <n v="11064.922048716"/>
        <n v="11067.954163728"/>
        <n v="11117.13045102"/>
        <n v="11134.44871092"/>
        <n v="11179.218778644"/>
        <n v="11203.75960464"/>
        <n v="11243.476147344"/>
        <n v="11281.686096072"/>
        <n v="11316.303688812"/>
        <n v="11321.554055256"/>
        <n v="11331.551328348"/>
        <n v="11341.32147672"/>
        <n v="11363.045956188"/>
        <n v="11375.208484944"/>
        <n v="11384.501671404"/>
        <n v="11403.55365"/>
        <n v="11414.724400812"/>
        <n v="11431.304505372"/>
        <n v="11433.204782196"/>
        <n v="11437.20596268"/>
        <n v="11441.19957234"/>
        <n v="11526.462192228"/>
        <n v="11552.195423004"/>
        <n v="11558.588983872"/>
        <n v="11608.253589312"/>
        <n v="11639.967771048"/>
        <n v="11670.65232072"/>
        <n v="11679.888726"/>
        <n v="11683.674138"/>
        <n v="11703.778461132"/>
        <n v="11795.343792"/>
        <n v="11854.017678"/>
        <n v="11892.45853686"/>
        <n v="11894.88120054"/>
        <n v="11916.476976"/>
        <n v="11920.618216728"/>
        <n v="11928.718998408"/>
        <n v="12002.504249112"/>
        <n v="12103.85487"/>
        <n v="12198.6794406"/>
        <n v="12203.081874756"/>
        <n v="12275.54223126"/>
        <n v="12296.933594472"/>
        <n v="12330.214936776"/>
        <n v="12380.189946"/>
        <n v="12422.730406056"/>
        <n v="12454.00548"/>
        <n v="12567.677616948"/>
        <n v="12592.244940828"/>
        <n v="12644.294355828"/>
        <n v="12660.571627428"/>
        <n v="12929.657639448"/>
        <n v="12949.59161904"/>
        <n v="13026.79509678"/>
        <n v="13063.456812"/>
        <n v="13107.401659908"/>
        <n v="13120.434833424"/>
        <n v="13205.440045296"/>
        <n v="13623.644792232"/>
        <n v="13700.227462404"/>
        <n v="13731.26026998"/>
        <n v="13873.36463646"/>
        <n v="14089.231541172"/>
        <n v="14222.250918852"/>
        <n v="14262.773754312"/>
        <n v="14332.236064512"/>
        <n v="14373.64468638"/>
        <n v="14517.05502"/>
        <n v="14526.143794212"/>
        <n v="14632.593365064"/>
        <n v="14776.953837096"/>
        <n v="14820.15295884"/>
        <n v="14927.704084584"/>
        <n v="14952.487176948"/>
        <n v="15113.253624588"/>
        <n v="15155.847080412"/>
        <n v="15174.97855266"/>
        <n v="15184.44208266"/>
        <n v="15221.228716476"/>
        <n v="15254.563054548"/>
        <n v="15483.834103152"/>
        <n v="15557.36194584"/>
        <n v="15560.99594136"/>
        <n v="15592.2066633"/>
        <n v="15595.284203256"/>
        <n v="15904.408518"/>
        <n v="16003.949711952"/>
        <n v="16383.827162388"/>
        <n v="16453.293258"/>
        <n v="16538.465028"/>
        <n v="16578.211854"/>
        <n v="16618.030602828"/>
        <n v="16657.8947766"/>
        <n v="16737.252153768"/>
        <n v="16845.223460244"/>
        <n v="17026.783176"/>
        <n v="17210.375658"/>
        <n v="17422.987108392"/>
        <n v="17598.380388"/>
        <n v="17642.06404248"/>
        <n v="17751.689574"/>
        <n v="17769.670281"/>
        <n v="17776.294752"/>
        <n v="17776.775499324"/>
        <n v="17927.711232"/>
        <n v="17943.390408504"/>
        <n v="18257.034505176"/>
        <n v="18260.67607152"/>
        <n v="18296.788902"/>
        <n v="18302.709286368"/>
        <n v="18427.510534596"/>
        <n v="18439.04468496"/>
        <n v="18465.387367068"/>
        <n v="18466.409428308"/>
        <n v="18643.093533408"/>
        <n v="19139.349690372"/>
        <n v="19142.351522088"/>
        <n v="19148.044781736"/>
        <n v="19188.904518864"/>
        <n v="19254.9713145"/>
        <n v="19318.047634656"/>
        <n v="19510.005877176"/>
        <n v="19789.066449816"/>
        <n v="19860.122418468"/>
        <n v="20075.292807372"/>
        <n v="20395.886920476"/>
        <n v="20551.868607348"/>
        <n v="20661.301082856"/>
        <n v="20841.781956192"/>
        <n v="20971.174909176"/>
        <n v="21040.603150668"/>
        <n v="21317.725592364"/>
        <n v="21398.581992684"/>
        <n v="21437.003924484"/>
        <n v="21724.646026128"/>
        <n v="21833.294921352"/>
        <n v="21932.192595264"/>
        <n v="22073.081844492"/>
        <n v="22150.35724506"/>
        <n v="22173.452043672"/>
        <n v="22174.79207952"/>
        <n v="22186.212667524"/>
        <n v="22548.945987012"/>
        <n v="22625.172828456"/>
        <n v="22644.92132286"/>
        <n v="22689.100866312"/>
        <n v="22837.576081188"/>
        <n v="22967.321077488"/>
        <n v="23047.212197748"/>
        <n v="23473.521511776"/>
        <n v="23569.023671124"/>
        <n v="23833.95708618"/>
        <n v="24074.001417336"/>
        <n v="24077.741404392"/>
        <n v="28309.188685"/>
        <n v="28488.99566"/>
        <n v="29338.820205"/>
        <n v="30042.906465"/>
        <n v="30088.809102264"/>
        <n v="30317.34869"/>
        <n v="30519.868125"/>
        <n v="30777.276005"/>
        <n v="30890.838305"/>
        <n v="30928.11702268"/>
        <n v="31220.168975"/>
        <n v="31468.11333"/>
        <n v="31668.74006"/>
        <n v="31854.22515"/>
        <n v="31998.07073"/>
        <n v="32255.47861"/>
        <n v="32338.75763"/>
        <n v="32428.250499444"/>
        <n v="32442.718344108"/>
        <n v="32546.95518"/>
        <n v="32565.88223"/>
        <n v="32777.86519"/>
        <n v="32881.963965"/>
        <n v="32970.98923738"/>
        <n v="32994.044674848"/>
        <n v="33119.773349016"/>
        <n v="33136.448088876"/>
        <n v="33160.1916"/>
        <n v="33578.561498004"/>
        <n v="34591.07658"/>
        <n v="34668.968351664"/>
        <n v="34790.120462724"/>
        <n v="35870.246137392"/>
        <n v="36938.03078"/>
        <n v="37563.415500048"/>
        <n v="37791.740195652"/>
        <n v="44818.642130784"/>
        <n v="47289.092851872"/>
        <n v="49630.51051"/>
        <n v="49923.345921024"/>
        <n v="50555.714137272"/>
        <n v="50622.799208736"/>
        <n v="50645.110427064"/>
        <n v="50831.292130872"/>
        <n v="51110.890232016"/>
        <n v="51280.056508884"/>
        <n v="51921.112245672"/>
        <n v="52095.786297"/>
        <n v="52464.205305312"/>
        <n v="55073.6752821"/>
        <n v="56091.3347357"/>
        <n v="58455.062688516"/>
        <n v="58796.96410402"/>
        <n v="60420.482667624"/>
        <n v="61253.611915"/>
        <n v="62277.56532"/>
        <n v="62366.522455"/>
        <n v="62761.627500204"/>
        <n v="63371.54881"/>
        <n v="63817.810443972"/>
        <n v="63823.905305"/>
        <n v="63945.038425"/>
        <n v="64566.432448152"/>
        <n v="65481.914885"/>
        <n v="65697.683255"/>
        <n v="65752.5717"/>
        <n v="66061.082615"/>
        <n v="66448.804273392"/>
        <n v="66577.79108"/>
        <n v="66695.13879"/>
        <n v="67144.85685423"/>
        <n v="67467.36243"/>
        <n v="67652.84752"/>
        <n v="68343.684845"/>
        <n v="68690.04986"/>
        <n v="68885.360415432"/>
        <n v="69655.32941"/>
        <n v="69810.53122"/>
        <n v="69822.242314608"/>
        <n v="70478.656085"/>
        <n v="71641.223630496"/>
        <n v="71992.820085"/>
        <n v="72089.82145038"/>
        <n v="74331.4856556"/>
        <n v="78629.61278394"/>
        <n v="80783.39864958"/>
        <n v="83987.86346994"/>
        <n v="84464.3711325"/>
        <n v="85832.1351234"/>
        <n v="85933.9627062"/>
        <n v="88141.50142224"/>
        <n v="88409.67893538"/>
        <n v="88550.802880152"/>
        <n v="88565.7703992"/>
        <n v="90348.392832828"/>
        <n v="91993.25276754"/>
        <n v="92866.58517006"/>
        <n v="97287.098453772"/>
        <n v="99512.072777484"/>
        <n v="99716.314681944"/>
        <n v="99878.49308826"/>
        <n v="100791.292196292"/>
        <n v="101554.983925644"/>
        <n v="103202.137820028"/>
        <n v="105873.113170992"/>
        <n v="106035.564126972"/>
        <n v="108581.037928488"/>
        <n v="114191.067722844"/>
      </sharedItems>
    </cacheField>
    <cacheField name="Year" numFmtId="0">
      <sharedItems containsSemiMixedTypes="0" containsString="0" containsNumber="1" containsInteger="1" minValue="2019" maxValue="2025" count="3">
        <n v="2019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ES" numFmtId="0">
      <sharedItems count="12">
        <s v="ABR"/>
        <s v="AGO"/>
        <s v="DIC"/>
        <s v="ENE"/>
        <s v="FEB"/>
        <s v="JUL"/>
        <s v="JUN"/>
        <s v="MAR"/>
        <s v="MAY"/>
        <s v="NOV"/>
        <s v="OCT"/>
        <s v="SEP"/>
      </sharedItems>
    </cacheField>
    <cacheField name="FUEL2" numFmtId="0">
      <sharedItems count="2">
        <s v="DIESEL"/>
        <s v="GASOLIN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8">
  <r>
    <x v="0"/>
    <x v="1"/>
    <x v="442"/>
    <x v="0"/>
    <x v="0"/>
    <x v="442"/>
    <x v="0"/>
    <x v="0"/>
    <x v="3"/>
    <x v="0"/>
  </r>
  <r>
    <x v="0"/>
    <x v="1"/>
    <x v="422"/>
    <x v="0"/>
    <x v="0"/>
    <x v="422"/>
    <x v="0"/>
    <x v="1"/>
    <x v="4"/>
    <x v="0"/>
  </r>
  <r>
    <x v="0"/>
    <x v="1"/>
    <x v="428"/>
    <x v="0"/>
    <x v="0"/>
    <x v="428"/>
    <x v="0"/>
    <x v="2"/>
    <x v="7"/>
    <x v="0"/>
  </r>
  <r>
    <x v="0"/>
    <x v="1"/>
    <x v="433"/>
    <x v="0"/>
    <x v="0"/>
    <x v="433"/>
    <x v="0"/>
    <x v="3"/>
    <x v="0"/>
    <x v="0"/>
  </r>
  <r>
    <x v="0"/>
    <x v="1"/>
    <x v="441"/>
    <x v="0"/>
    <x v="0"/>
    <x v="441"/>
    <x v="0"/>
    <x v="4"/>
    <x v="8"/>
    <x v="0"/>
  </r>
  <r>
    <x v="0"/>
    <x v="1"/>
    <x v="425"/>
    <x v="0"/>
    <x v="0"/>
    <x v="425"/>
    <x v="0"/>
    <x v="5"/>
    <x v="6"/>
    <x v="0"/>
  </r>
  <r>
    <x v="0"/>
    <x v="1"/>
    <x v="443"/>
    <x v="0"/>
    <x v="0"/>
    <x v="443"/>
    <x v="0"/>
    <x v="6"/>
    <x v="5"/>
    <x v="0"/>
  </r>
  <r>
    <x v="0"/>
    <x v="1"/>
    <x v="444"/>
    <x v="0"/>
    <x v="0"/>
    <x v="444"/>
    <x v="0"/>
    <x v="7"/>
    <x v="1"/>
    <x v="0"/>
  </r>
  <r>
    <x v="0"/>
    <x v="1"/>
    <x v="438"/>
    <x v="0"/>
    <x v="0"/>
    <x v="438"/>
    <x v="0"/>
    <x v="8"/>
    <x v="11"/>
    <x v="0"/>
  </r>
  <r>
    <x v="0"/>
    <x v="1"/>
    <x v="417"/>
    <x v="0"/>
    <x v="0"/>
    <x v="417"/>
    <x v="0"/>
    <x v="9"/>
    <x v="10"/>
    <x v="0"/>
  </r>
  <r>
    <x v="0"/>
    <x v="1"/>
    <x v="436"/>
    <x v="0"/>
    <x v="0"/>
    <x v="436"/>
    <x v="0"/>
    <x v="10"/>
    <x v="9"/>
    <x v="0"/>
  </r>
  <r>
    <x v="0"/>
    <x v="1"/>
    <x v="435"/>
    <x v="0"/>
    <x v="0"/>
    <x v="435"/>
    <x v="0"/>
    <x v="11"/>
    <x v="2"/>
    <x v="0"/>
  </r>
  <r>
    <x v="0"/>
    <x v="1"/>
    <x v="105"/>
    <x v="0"/>
    <x v="1"/>
    <x v="105"/>
    <x v="0"/>
    <x v="0"/>
    <x v="3"/>
    <x v="0"/>
  </r>
  <r>
    <x v="0"/>
    <x v="1"/>
    <x v="91"/>
    <x v="0"/>
    <x v="1"/>
    <x v="91"/>
    <x v="0"/>
    <x v="1"/>
    <x v="4"/>
    <x v="0"/>
  </r>
  <r>
    <x v="0"/>
    <x v="1"/>
    <x v="98"/>
    <x v="0"/>
    <x v="1"/>
    <x v="98"/>
    <x v="0"/>
    <x v="2"/>
    <x v="7"/>
    <x v="0"/>
  </r>
  <r>
    <x v="0"/>
    <x v="1"/>
    <x v="96"/>
    <x v="0"/>
    <x v="1"/>
    <x v="96"/>
    <x v="0"/>
    <x v="3"/>
    <x v="0"/>
    <x v="0"/>
  </r>
  <r>
    <x v="0"/>
    <x v="1"/>
    <x v="115"/>
    <x v="0"/>
    <x v="1"/>
    <x v="115"/>
    <x v="0"/>
    <x v="4"/>
    <x v="8"/>
    <x v="0"/>
  </r>
  <r>
    <x v="0"/>
    <x v="1"/>
    <x v="110"/>
    <x v="0"/>
    <x v="1"/>
    <x v="110"/>
    <x v="0"/>
    <x v="5"/>
    <x v="6"/>
    <x v="0"/>
  </r>
  <r>
    <x v="0"/>
    <x v="1"/>
    <x v="130"/>
    <x v="0"/>
    <x v="1"/>
    <x v="130"/>
    <x v="0"/>
    <x v="6"/>
    <x v="5"/>
    <x v="0"/>
  </r>
  <r>
    <x v="0"/>
    <x v="1"/>
    <x v="145"/>
    <x v="0"/>
    <x v="1"/>
    <x v="145"/>
    <x v="0"/>
    <x v="7"/>
    <x v="1"/>
    <x v="0"/>
  </r>
  <r>
    <x v="0"/>
    <x v="1"/>
    <x v="135"/>
    <x v="0"/>
    <x v="1"/>
    <x v="135"/>
    <x v="0"/>
    <x v="8"/>
    <x v="11"/>
    <x v="0"/>
  </r>
  <r>
    <x v="0"/>
    <x v="1"/>
    <x v="84"/>
    <x v="0"/>
    <x v="1"/>
    <x v="84"/>
    <x v="0"/>
    <x v="9"/>
    <x v="10"/>
    <x v="0"/>
  </r>
  <r>
    <x v="0"/>
    <x v="1"/>
    <x v="147"/>
    <x v="0"/>
    <x v="1"/>
    <x v="147"/>
    <x v="0"/>
    <x v="10"/>
    <x v="9"/>
    <x v="0"/>
  </r>
  <r>
    <x v="0"/>
    <x v="1"/>
    <x v="138"/>
    <x v="0"/>
    <x v="1"/>
    <x v="138"/>
    <x v="0"/>
    <x v="11"/>
    <x v="2"/>
    <x v="0"/>
  </r>
  <r>
    <x v="0"/>
    <x v="1"/>
    <x v="207"/>
    <x v="0"/>
    <x v="3"/>
    <x v="207"/>
    <x v="0"/>
    <x v="0"/>
    <x v="3"/>
    <x v="0"/>
  </r>
  <r>
    <x v="0"/>
    <x v="1"/>
    <x v="212"/>
    <x v="0"/>
    <x v="3"/>
    <x v="212"/>
    <x v="0"/>
    <x v="1"/>
    <x v="4"/>
    <x v="0"/>
  </r>
  <r>
    <x v="0"/>
    <x v="1"/>
    <x v="232"/>
    <x v="0"/>
    <x v="3"/>
    <x v="232"/>
    <x v="0"/>
    <x v="2"/>
    <x v="7"/>
    <x v="0"/>
  </r>
  <r>
    <x v="0"/>
    <x v="1"/>
    <x v="214"/>
    <x v="0"/>
    <x v="3"/>
    <x v="214"/>
    <x v="0"/>
    <x v="3"/>
    <x v="0"/>
    <x v="0"/>
  </r>
  <r>
    <x v="0"/>
    <x v="1"/>
    <x v="238"/>
    <x v="0"/>
    <x v="3"/>
    <x v="238"/>
    <x v="0"/>
    <x v="4"/>
    <x v="8"/>
    <x v="0"/>
  </r>
  <r>
    <x v="0"/>
    <x v="1"/>
    <x v="235"/>
    <x v="0"/>
    <x v="3"/>
    <x v="235"/>
    <x v="0"/>
    <x v="5"/>
    <x v="6"/>
    <x v="0"/>
  </r>
  <r>
    <x v="0"/>
    <x v="1"/>
    <x v="245"/>
    <x v="0"/>
    <x v="3"/>
    <x v="245"/>
    <x v="0"/>
    <x v="6"/>
    <x v="5"/>
    <x v="0"/>
  </r>
  <r>
    <x v="0"/>
    <x v="1"/>
    <x v="256"/>
    <x v="0"/>
    <x v="3"/>
    <x v="256"/>
    <x v="0"/>
    <x v="7"/>
    <x v="1"/>
    <x v="0"/>
  </r>
  <r>
    <x v="0"/>
    <x v="1"/>
    <x v="226"/>
    <x v="0"/>
    <x v="3"/>
    <x v="226"/>
    <x v="0"/>
    <x v="8"/>
    <x v="11"/>
    <x v="0"/>
  </r>
  <r>
    <x v="0"/>
    <x v="1"/>
    <x v="180"/>
    <x v="0"/>
    <x v="3"/>
    <x v="180"/>
    <x v="0"/>
    <x v="9"/>
    <x v="10"/>
    <x v="0"/>
  </r>
  <r>
    <x v="0"/>
    <x v="1"/>
    <x v="218"/>
    <x v="0"/>
    <x v="3"/>
    <x v="218"/>
    <x v="0"/>
    <x v="10"/>
    <x v="9"/>
    <x v="0"/>
  </r>
  <r>
    <x v="0"/>
    <x v="1"/>
    <x v="229"/>
    <x v="0"/>
    <x v="3"/>
    <x v="229"/>
    <x v="0"/>
    <x v="11"/>
    <x v="2"/>
    <x v="0"/>
  </r>
  <r>
    <x v="0"/>
    <x v="1"/>
    <x v="237"/>
    <x v="0"/>
    <x v="2"/>
    <x v="237"/>
    <x v="0"/>
    <x v="0"/>
    <x v="3"/>
    <x v="0"/>
  </r>
  <r>
    <x v="0"/>
    <x v="1"/>
    <x v="236"/>
    <x v="0"/>
    <x v="2"/>
    <x v="236"/>
    <x v="0"/>
    <x v="1"/>
    <x v="4"/>
    <x v="0"/>
  </r>
  <r>
    <x v="0"/>
    <x v="1"/>
    <x v="240"/>
    <x v="0"/>
    <x v="2"/>
    <x v="240"/>
    <x v="0"/>
    <x v="2"/>
    <x v="7"/>
    <x v="0"/>
  </r>
  <r>
    <x v="0"/>
    <x v="1"/>
    <x v="246"/>
    <x v="0"/>
    <x v="2"/>
    <x v="246"/>
    <x v="0"/>
    <x v="3"/>
    <x v="0"/>
    <x v="0"/>
  </r>
  <r>
    <x v="0"/>
    <x v="1"/>
    <x v="253"/>
    <x v="0"/>
    <x v="2"/>
    <x v="253"/>
    <x v="0"/>
    <x v="4"/>
    <x v="8"/>
    <x v="0"/>
  </r>
  <r>
    <x v="0"/>
    <x v="1"/>
    <x v="252"/>
    <x v="0"/>
    <x v="2"/>
    <x v="252"/>
    <x v="0"/>
    <x v="5"/>
    <x v="6"/>
    <x v="0"/>
  </r>
  <r>
    <x v="0"/>
    <x v="1"/>
    <x v="272"/>
    <x v="0"/>
    <x v="2"/>
    <x v="272"/>
    <x v="0"/>
    <x v="6"/>
    <x v="5"/>
    <x v="0"/>
  </r>
  <r>
    <x v="0"/>
    <x v="1"/>
    <x v="276"/>
    <x v="0"/>
    <x v="2"/>
    <x v="276"/>
    <x v="0"/>
    <x v="7"/>
    <x v="1"/>
    <x v="0"/>
  </r>
  <r>
    <x v="0"/>
    <x v="1"/>
    <x v="269"/>
    <x v="0"/>
    <x v="2"/>
    <x v="269"/>
    <x v="0"/>
    <x v="8"/>
    <x v="11"/>
    <x v="0"/>
  </r>
  <r>
    <x v="0"/>
    <x v="1"/>
    <x v="261"/>
    <x v="0"/>
    <x v="2"/>
    <x v="261"/>
    <x v="0"/>
    <x v="9"/>
    <x v="10"/>
    <x v="0"/>
  </r>
  <r>
    <x v="0"/>
    <x v="1"/>
    <x v="265"/>
    <x v="0"/>
    <x v="2"/>
    <x v="265"/>
    <x v="0"/>
    <x v="10"/>
    <x v="9"/>
    <x v="0"/>
  </r>
  <r>
    <x v="0"/>
    <x v="1"/>
    <x v="268"/>
    <x v="0"/>
    <x v="2"/>
    <x v="268"/>
    <x v="0"/>
    <x v="11"/>
    <x v="2"/>
    <x v="0"/>
  </r>
  <r>
    <x v="0"/>
    <x v="1"/>
    <x v="318"/>
    <x v="0"/>
    <x v="4"/>
    <x v="318"/>
    <x v="0"/>
    <x v="0"/>
    <x v="3"/>
    <x v="0"/>
  </r>
  <r>
    <x v="0"/>
    <x v="1"/>
    <x v="282"/>
    <x v="0"/>
    <x v="4"/>
    <x v="282"/>
    <x v="0"/>
    <x v="1"/>
    <x v="4"/>
    <x v="0"/>
  </r>
  <r>
    <x v="0"/>
    <x v="1"/>
    <x v="286"/>
    <x v="0"/>
    <x v="4"/>
    <x v="286"/>
    <x v="0"/>
    <x v="2"/>
    <x v="7"/>
    <x v="0"/>
  </r>
  <r>
    <x v="0"/>
    <x v="1"/>
    <x v="303"/>
    <x v="0"/>
    <x v="4"/>
    <x v="303"/>
    <x v="0"/>
    <x v="3"/>
    <x v="0"/>
    <x v="0"/>
  </r>
  <r>
    <x v="0"/>
    <x v="1"/>
    <x v="314"/>
    <x v="0"/>
    <x v="4"/>
    <x v="314"/>
    <x v="0"/>
    <x v="4"/>
    <x v="8"/>
    <x v="0"/>
  </r>
  <r>
    <x v="0"/>
    <x v="1"/>
    <x v="279"/>
    <x v="0"/>
    <x v="4"/>
    <x v="279"/>
    <x v="0"/>
    <x v="5"/>
    <x v="6"/>
    <x v="0"/>
  </r>
  <r>
    <x v="0"/>
    <x v="1"/>
    <x v="312"/>
    <x v="0"/>
    <x v="4"/>
    <x v="312"/>
    <x v="0"/>
    <x v="6"/>
    <x v="5"/>
    <x v="0"/>
  </r>
  <r>
    <x v="0"/>
    <x v="1"/>
    <x v="316"/>
    <x v="0"/>
    <x v="4"/>
    <x v="316"/>
    <x v="0"/>
    <x v="7"/>
    <x v="1"/>
    <x v="0"/>
  </r>
  <r>
    <x v="0"/>
    <x v="1"/>
    <x v="288"/>
    <x v="0"/>
    <x v="4"/>
    <x v="288"/>
    <x v="0"/>
    <x v="8"/>
    <x v="11"/>
    <x v="0"/>
  </r>
  <r>
    <x v="0"/>
    <x v="1"/>
    <x v="271"/>
    <x v="0"/>
    <x v="4"/>
    <x v="271"/>
    <x v="0"/>
    <x v="9"/>
    <x v="10"/>
    <x v="0"/>
  </r>
  <r>
    <x v="0"/>
    <x v="1"/>
    <x v="307"/>
    <x v="0"/>
    <x v="4"/>
    <x v="307"/>
    <x v="0"/>
    <x v="10"/>
    <x v="9"/>
    <x v="0"/>
  </r>
  <r>
    <x v="0"/>
    <x v="1"/>
    <x v="309"/>
    <x v="0"/>
    <x v="4"/>
    <x v="309"/>
    <x v="0"/>
    <x v="11"/>
    <x v="2"/>
    <x v="0"/>
  </r>
  <r>
    <x v="0"/>
    <x v="1"/>
    <x v="351"/>
    <x v="0"/>
    <x v="5"/>
    <x v="351"/>
    <x v="0"/>
    <x v="0"/>
    <x v="3"/>
    <x v="0"/>
  </r>
  <r>
    <x v="0"/>
    <x v="1"/>
    <x v="328"/>
    <x v="0"/>
    <x v="5"/>
    <x v="328"/>
    <x v="0"/>
    <x v="1"/>
    <x v="4"/>
    <x v="0"/>
  </r>
  <r>
    <x v="0"/>
    <x v="1"/>
    <x v="333"/>
    <x v="0"/>
    <x v="5"/>
    <x v="333"/>
    <x v="0"/>
    <x v="2"/>
    <x v="7"/>
    <x v="0"/>
  </r>
  <r>
    <x v="0"/>
    <x v="1"/>
    <x v="337"/>
    <x v="0"/>
    <x v="5"/>
    <x v="337"/>
    <x v="0"/>
    <x v="3"/>
    <x v="0"/>
    <x v="0"/>
  </r>
  <r>
    <x v="0"/>
    <x v="1"/>
    <x v="346"/>
    <x v="0"/>
    <x v="5"/>
    <x v="346"/>
    <x v="0"/>
    <x v="4"/>
    <x v="8"/>
    <x v="0"/>
  </r>
  <r>
    <x v="0"/>
    <x v="1"/>
    <x v="325"/>
    <x v="0"/>
    <x v="5"/>
    <x v="325"/>
    <x v="0"/>
    <x v="5"/>
    <x v="6"/>
    <x v="0"/>
  </r>
  <r>
    <x v="0"/>
    <x v="1"/>
    <x v="373"/>
    <x v="0"/>
    <x v="5"/>
    <x v="373"/>
    <x v="0"/>
    <x v="6"/>
    <x v="5"/>
    <x v="0"/>
  </r>
  <r>
    <x v="0"/>
    <x v="1"/>
    <x v="383"/>
    <x v="0"/>
    <x v="5"/>
    <x v="383"/>
    <x v="0"/>
    <x v="7"/>
    <x v="1"/>
    <x v="0"/>
  </r>
  <r>
    <x v="0"/>
    <x v="1"/>
    <x v="343"/>
    <x v="0"/>
    <x v="5"/>
    <x v="343"/>
    <x v="0"/>
    <x v="8"/>
    <x v="11"/>
    <x v="0"/>
  </r>
  <r>
    <x v="0"/>
    <x v="1"/>
    <x v="295"/>
    <x v="0"/>
    <x v="5"/>
    <x v="295"/>
    <x v="0"/>
    <x v="9"/>
    <x v="10"/>
    <x v="0"/>
  </r>
  <r>
    <x v="0"/>
    <x v="1"/>
    <x v="361"/>
    <x v="0"/>
    <x v="5"/>
    <x v="361"/>
    <x v="0"/>
    <x v="10"/>
    <x v="9"/>
    <x v="0"/>
  </r>
  <r>
    <x v="0"/>
    <x v="1"/>
    <x v="360"/>
    <x v="0"/>
    <x v="5"/>
    <x v="360"/>
    <x v="0"/>
    <x v="11"/>
    <x v="2"/>
    <x v="0"/>
  </r>
  <r>
    <x v="0"/>
    <x v="1"/>
    <x v="481"/>
    <x v="0"/>
    <x v="6"/>
    <x v="481"/>
    <x v="0"/>
    <x v="0"/>
    <x v="3"/>
    <x v="0"/>
  </r>
  <r>
    <x v="0"/>
    <x v="1"/>
    <x v="457"/>
    <x v="0"/>
    <x v="6"/>
    <x v="457"/>
    <x v="0"/>
    <x v="1"/>
    <x v="4"/>
    <x v="0"/>
  </r>
  <r>
    <x v="0"/>
    <x v="1"/>
    <x v="472"/>
    <x v="0"/>
    <x v="6"/>
    <x v="472"/>
    <x v="0"/>
    <x v="2"/>
    <x v="7"/>
    <x v="0"/>
  </r>
  <r>
    <x v="0"/>
    <x v="1"/>
    <x v="477"/>
    <x v="0"/>
    <x v="6"/>
    <x v="477"/>
    <x v="0"/>
    <x v="3"/>
    <x v="0"/>
    <x v="0"/>
  </r>
  <r>
    <x v="0"/>
    <x v="1"/>
    <x v="489"/>
    <x v="0"/>
    <x v="6"/>
    <x v="489"/>
    <x v="0"/>
    <x v="4"/>
    <x v="8"/>
    <x v="0"/>
  </r>
  <r>
    <x v="0"/>
    <x v="1"/>
    <x v="484"/>
    <x v="0"/>
    <x v="6"/>
    <x v="484"/>
    <x v="0"/>
    <x v="5"/>
    <x v="6"/>
    <x v="0"/>
  </r>
  <r>
    <x v="0"/>
    <x v="1"/>
    <x v="497"/>
    <x v="0"/>
    <x v="6"/>
    <x v="497"/>
    <x v="0"/>
    <x v="6"/>
    <x v="5"/>
    <x v="0"/>
  </r>
  <r>
    <x v="0"/>
    <x v="1"/>
    <x v="495"/>
    <x v="0"/>
    <x v="6"/>
    <x v="495"/>
    <x v="0"/>
    <x v="7"/>
    <x v="1"/>
    <x v="0"/>
  </r>
  <r>
    <x v="0"/>
    <x v="1"/>
    <x v="487"/>
    <x v="0"/>
    <x v="6"/>
    <x v="487"/>
    <x v="0"/>
    <x v="8"/>
    <x v="11"/>
    <x v="0"/>
  </r>
  <r>
    <x v="0"/>
    <x v="1"/>
    <x v="480"/>
    <x v="0"/>
    <x v="6"/>
    <x v="480"/>
    <x v="0"/>
    <x v="9"/>
    <x v="10"/>
    <x v="0"/>
  </r>
  <r>
    <x v="0"/>
    <x v="1"/>
    <x v="486"/>
    <x v="0"/>
    <x v="6"/>
    <x v="486"/>
    <x v="0"/>
    <x v="10"/>
    <x v="9"/>
    <x v="0"/>
  </r>
  <r>
    <x v="0"/>
    <x v="1"/>
    <x v="498"/>
    <x v="0"/>
    <x v="6"/>
    <x v="498"/>
    <x v="0"/>
    <x v="11"/>
    <x v="2"/>
    <x v="0"/>
  </r>
  <r>
    <x v="0"/>
    <x v="1"/>
    <x v="242"/>
    <x v="0"/>
    <x v="7"/>
    <x v="242"/>
    <x v="0"/>
    <x v="0"/>
    <x v="3"/>
    <x v="0"/>
  </r>
  <r>
    <x v="0"/>
    <x v="1"/>
    <x v="234"/>
    <x v="0"/>
    <x v="7"/>
    <x v="234"/>
    <x v="0"/>
    <x v="1"/>
    <x v="4"/>
    <x v="0"/>
  </r>
  <r>
    <x v="0"/>
    <x v="1"/>
    <x v="250"/>
    <x v="0"/>
    <x v="7"/>
    <x v="250"/>
    <x v="0"/>
    <x v="2"/>
    <x v="7"/>
    <x v="0"/>
  </r>
  <r>
    <x v="0"/>
    <x v="1"/>
    <x v="243"/>
    <x v="0"/>
    <x v="7"/>
    <x v="243"/>
    <x v="0"/>
    <x v="3"/>
    <x v="0"/>
    <x v="0"/>
  </r>
  <r>
    <x v="0"/>
    <x v="1"/>
    <x v="248"/>
    <x v="0"/>
    <x v="7"/>
    <x v="248"/>
    <x v="0"/>
    <x v="4"/>
    <x v="8"/>
    <x v="0"/>
  </r>
  <r>
    <x v="0"/>
    <x v="1"/>
    <x v="241"/>
    <x v="0"/>
    <x v="7"/>
    <x v="241"/>
    <x v="0"/>
    <x v="5"/>
    <x v="6"/>
    <x v="0"/>
  </r>
  <r>
    <x v="0"/>
    <x v="1"/>
    <x v="255"/>
    <x v="0"/>
    <x v="7"/>
    <x v="255"/>
    <x v="0"/>
    <x v="6"/>
    <x v="5"/>
    <x v="0"/>
  </r>
  <r>
    <x v="0"/>
    <x v="1"/>
    <x v="267"/>
    <x v="0"/>
    <x v="7"/>
    <x v="267"/>
    <x v="0"/>
    <x v="7"/>
    <x v="1"/>
    <x v="0"/>
  </r>
  <r>
    <x v="0"/>
    <x v="1"/>
    <x v="257"/>
    <x v="0"/>
    <x v="7"/>
    <x v="257"/>
    <x v="0"/>
    <x v="8"/>
    <x v="11"/>
    <x v="0"/>
  </r>
  <r>
    <x v="0"/>
    <x v="1"/>
    <x v="244"/>
    <x v="0"/>
    <x v="7"/>
    <x v="244"/>
    <x v="0"/>
    <x v="9"/>
    <x v="10"/>
    <x v="0"/>
  </r>
  <r>
    <x v="0"/>
    <x v="1"/>
    <x v="260"/>
    <x v="0"/>
    <x v="7"/>
    <x v="260"/>
    <x v="0"/>
    <x v="10"/>
    <x v="9"/>
    <x v="0"/>
  </r>
  <r>
    <x v="0"/>
    <x v="1"/>
    <x v="258"/>
    <x v="0"/>
    <x v="7"/>
    <x v="258"/>
    <x v="0"/>
    <x v="11"/>
    <x v="2"/>
    <x v="0"/>
  </r>
  <r>
    <x v="0"/>
    <x v="1"/>
    <x v="18"/>
    <x v="0"/>
    <x v="8"/>
    <x v="18"/>
    <x v="0"/>
    <x v="0"/>
    <x v="3"/>
    <x v="0"/>
  </r>
  <r>
    <x v="0"/>
    <x v="1"/>
    <x v="13"/>
    <x v="0"/>
    <x v="8"/>
    <x v="13"/>
    <x v="0"/>
    <x v="1"/>
    <x v="4"/>
    <x v="0"/>
  </r>
  <r>
    <x v="0"/>
    <x v="1"/>
    <x v="19"/>
    <x v="0"/>
    <x v="8"/>
    <x v="19"/>
    <x v="0"/>
    <x v="2"/>
    <x v="7"/>
    <x v="0"/>
  </r>
  <r>
    <x v="0"/>
    <x v="1"/>
    <x v="21"/>
    <x v="0"/>
    <x v="8"/>
    <x v="21"/>
    <x v="0"/>
    <x v="3"/>
    <x v="0"/>
    <x v="0"/>
  </r>
  <r>
    <x v="0"/>
    <x v="1"/>
    <x v="17"/>
    <x v="0"/>
    <x v="8"/>
    <x v="17"/>
    <x v="0"/>
    <x v="4"/>
    <x v="8"/>
    <x v="0"/>
  </r>
  <r>
    <x v="0"/>
    <x v="1"/>
    <x v="16"/>
    <x v="0"/>
    <x v="8"/>
    <x v="16"/>
    <x v="0"/>
    <x v="5"/>
    <x v="6"/>
    <x v="0"/>
  </r>
  <r>
    <x v="0"/>
    <x v="1"/>
    <x v="23"/>
    <x v="0"/>
    <x v="8"/>
    <x v="23"/>
    <x v="0"/>
    <x v="6"/>
    <x v="5"/>
    <x v="0"/>
  </r>
  <r>
    <x v="0"/>
    <x v="1"/>
    <x v="22"/>
    <x v="0"/>
    <x v="8"/>
    <x v="22"/>
    <x v="0"/>
    <x v="7"/>
    <x v="1"/>
    <x v="0"/>
  </r>
  <r>
    <x v="0"/>
    <x v="1"/>
    <x v="14"/>
    <x v="0"/>
    <x v="8"/>
    <x v="14"/>
    <x v="0"/>
    <x v="8"/>
    <x v="11"/>
    <x v="0"/>
  </r>
  <r>
    <x v="0"/>
    <x v="1"/>
    <x v="15"/>
    <x v="0"/>
    <x v="8"/>
    <x v="15"/>
    <x v="0"/>
    <x v="9"/>
    <x v="10"/>
    <x v="0"/>
  </r>
  <r>
    <x v="0"/>
    <x v="1"/>
    <x v="12"/>
    <x v="0"/>
    <x v="8"/>
    <x v="12"/>
    <x v="0"/>
    <x v="10"/>
    <x v="9"/>
    <x v="0"/>
  </r>
  <r>
    <x v="0"/>
    <x v="1"/>
    <x v="20"/>
    <x v="0"/>
    <x v="8"/>
    <x v="20"/>
    <x v="0"/>
    <x v="11"/>
    <x v="2"/>
    <x v="0"/>
  </r>
  <r>
    <x v="0"/>
    <x v="1"/>
    <x v="571"/>
    <x v="0"/>
    <x v="9"/>
    <x v="571"/>
    <x v="0"/>
    <x v="0"/>
    <x v="3"/>
    <x v="0"/>
  </r>
  <r>
    <x v="0"/>
    <x v="1"/>
    <x v="563"/>
    <x v="0"/>
    <x v="9"/>
    <x v="563"/>
    <x v="0"/>
    <x v="1"/>
    <x v="4"/>
    <x v="0"/>
  </r>
  <r>
    <x v="0"/>
    <x v="1"/>
    <x v="565"/>
    <x v="0"/>
    <x v="9"/>
    <x v="565"/>
    <x v="0"/>
    <x v="2"/>
    <x v="7"/>
    <x v="0"/>
  </r>
  <r>
    <x v="0"/>
    <x v="1"/>
    <x v="567"/>
    <x v="0"/>
    <x v="9"/>
    <x v="567"/>
    <x v="0"/>
    <x v="3"/>
    <x v="0"/>
    <x v="0"/>
  </r>
  <r>
    <x v="0"/>
    <x v="1"/>
    <x v="576"/>
    <x v="0"/>
    <x v="9"/>
    <x v="576"/>
    <x v="0"/>
    <x v="4"/>
    <x v="8"/>
    <x v="0"/>
  </r>
  <r>
    <x v="0"/>
    <x v="1"/>
    <x v="573"/>
    <x v="0"/>
    <x v="9"/>
    <x v="573"/>
    <x v="0"/>
    <x v="5"/>
    <x v="6"/>
    <x v="0"/>
  </r>
  <r>
    <x v="0"/>
    <x v="1"/>
    <x v="592"/>
    <x v="0"/>
    <x v="9"/>
    <x v="592"/>
    <x v="0"/>
    <x v="6"/>
    <x v="5"/>
    <x v="0"/>
  </r>
  <r>
    <x v="0"/>
    <x v="1"/>
    <x v="596"/>
    <x v="0"/>
    <x v="9"/>
    <x v="596"/>
    <x v="0"/>
    <x v="7"/>
    <x v="1"/>
    <x v="0"/>
  </r>
  <r>
    <x v="0"/>
    <x v="1"/>
    <x v="589"/>
    <x v="0"/>
    <x v="9"/>
    <x v="589"/>
    <x v="0"/>
    <x v="8"/>
    <x v="11"/>
    <x v="0"/>
  </r>
  <r>
    <x v="0"/>
    <x v="1"/>
    <x v="581"/>
    <x v="0"/>
    <x v="9"/>
    <x v="581"/>
    <x v="0"/>
    <x v="9"/>
    <x v="10"/>
    <x v="0"/>
  </r>
  <r>
    <x v="0"/>
    <x v="1"/>
    <x v="594"/>
    <x v="0"/>
    <x v="9"/>
    <x v="594"/>
    <x v="0"/>
    <x v="10"/>
    <x v="9"/>
    <x v="0"/>
  </r>
  <r>
    <x v="0"/>
    <x v="1"/>
    <x v="597"/>
    <x v="0"/>
    <x v="9"/>
    <x v="597"/>
    <x v="0"/>
    <x v="11"/>
    <x v="2"/>
    <x v="0"/>
  </r>
  <r>
    <x v="0"/>
    <x v="1"/>
    <x v="368"/>
    <x v="0"/>
    <x v="10"/>
    <x v="368"/>
    <x v="0"/>
    <x v="0"/>
    <x v="3"/>
    <x v="0"/>
  </r>
  <r>
    <x v="0"/>
    <x v="1"/>
    <x v="350"/>
    <x v="0"/>
    <x v="10"/>
    <x v="350"/>
    <x v="0"/>
    <x v="1"/>
    <x v="4"/>
    <x v="0"/>
  </r>
  <r>
    <x v="0"/>
    <x v="1"/>
    <x v="371"/>
    <x v="0"/>
    <x v="10"/>
    <x v="371"/>
    <x v="0"/>
    <x v="2"/>
    <x v="7"/>
    <x v="0"/>
  </r>
  <r>
    <x v="0"/>
    <x v="1"/>
    <x v="357"/>
    <x v="0"/>
    <x v="10"/>
    <x v="357"/>
    <x v="0"/>
    <x v="3"/>
    <x v="0"/>
    <x v="0"/>
  </r>
  <r>
    <x v="0"/>
    <x v="1"/>
    <x v="378"/>
    <x v="0"/>
    <x v="10"/>
    <x v="378"/>
    <x v="0"/>
    <x v="4"/>
    <x v="8"/>
    <x v="0"/>
  </r>
  <r>
    <x v="0"/>
    <x v="1"/>
    <x v="363"/>
    <x v="0"/>
    <x v="10"/>
    <x v="363"/>
    <x v="0"/>
    <x v="5"/>
    <x v="6"/>
    <x v="0"/>
  </r>
  <r>
    <x v="0"/>
    <x v="1"/>
    <x v="392"/>
    <x v="0"/>
    <x v="10"/>
    <x v="392"/>
    <x v="0"/>
    <x v="6"/>
    <x v="5"/>
    <x v="0"/>
  </r>
  <r>
    <x v="0"/>
    <x v="1"/>
    <x v="396"/>
    <x v="0"/>
    <x v="10"/>
    <x v="396"/>
    <x v="0"/>
    <x v="7"/>
    <x v="1"/>
    <x v="0"/>
  </r>
  <r>
    <x v="0"/>
    <x v="1"/>
    <x v="332"/>
    <x v="0"/>
    <x v="10"/>
    <x v="332"/>
    <x v="0"/>
    <x v="8"/>
    <x v="11"/>
    <x v="0"/>
  </r>
  <r>
    <x v="0"/>
    <x v="1"/>
    <x v="284"/>
    <x v="0"/>
    <x v="10"/>
    <x v="284"/>
    <x v="0"/>
    <x v="9"/>
    <x v="10"/>
    <x v="0"/>
  </r>
  <r>
    <x v="0"/>
    <x v="1"/>
    <x v="374"/>
    <x v="0"/>
    <x v="10"/>
    <x v="374"/>
    <x v="0"/>
    <x v="10"/>
    <x v="9"/>
    <x v="0"/>
  </r>
  <r>
    <x v="0"/>
    <x v="1"/>
    <x v="399"/>
    <x v="0"/>
    <x v="10"/>
    <x v="399"/>
    <x v="0"/>
    <x v="11"/>
    <x v="2"/>
    <x v="0"/>
  </r>
  <r>
    <x v="0"/>
    <x v="1"/>
    <x v="297"/>
    <x v="0"/>
    <x v="11"/>
    <x v="297"/>
    <x v="0"/>
    <x v="0"/>
    <x v="3"/>
    <x v="0"/>
  </r>
  <r>
    <x v="0"/>
    <x v="1"/>
    <x v="274"/>
    <x v="0"/>
    <x v="11"/>
    <x v="274"/>
    <x v="0"/>
    <x v="1"/>
    <x v="4"/>
    <x v="0"/>
  </r>
  <r>
    <x v="0"/>
    <x v="1"/>
    <x v="280"/>
    <x v="0"/>
    <x v="11"/>
    <x v="280"/>
    <x v="0"/>
    <x v="2"/>
    <x v="7"/>
    <x v="0"/>
  </r>
  <r>
    <x v="0"/>
    <x v="1"/>
    <x v="281"/>
    <x v="0"/>
    <x v="11"/>
    <x v="281"/>
    <x v="0"/>
    <x v="3"/>
    <x v="0"/>
    <x v="0"/>
  </r>
  <r>
    <x v="0"/>
    <x v="1"/>
    <x v="287"/>
    <x v="0"/>
    <x v="11"/>
    <x v="287"/>
    <x v="0"/>
    <x v="4"/>
    <x v="8"/>
    <x v="0"/>
  </r>
  <r>
    <x v="0"/>
    <x v="1"/>
    <x v="283"/>
    <x v="0"/>
    <x v="11"/>
    <x v="283"/>
    <x v="0"/>
    <x v="5"/>
    <x v="6"/>
    <x v="0"/>
  </r>
  <r>
    <x v="0"/>
    <x v="1"/>
    <x v="311"/>
    <x v="0"/>
    <x v="11"/>
    <x v="311"/>
    <x v="0"/>
    <x v="6"/>
    <x v="5"/>
    <x v="0"/>
  </r>
  <r>
    <x v="0"/>
    <x v="1"/>
    <x v="335"/>
    <x v="0"/>
    <x v="11"/>
    <x v="335"/>
    <x v="0"/>
    <x v="7"/>
    <x v="1"/>
    <x v="0"/>
  </r>
  <r>
    <x v="0"/>
    <x v="1"/>
    <x v="298"/>
    <x v="0"/>
    <x v="11"/>
    <x v="298"/>
    <x v="0"/>
    <x v="8"/>
    <x v="11"/>
    <x v="0"/>
  </r>
  <r>
    <x v="0"/>
    <x v="1"/>
    <x v="277"/>
    <x v="0"/>
    <x v="11"/>
    <x v="277"/>
    <x v="0"/>
    <x v="9"/>
    <x v="10"/>
    <x v="0"/>
  </r>
  <r>
    <x v="0"/>
    <x v="1"/>
    <x v="294"/>
    <x v="0"/>
    <x v="11"/>
    <x v="294"/>
    <x v="0"/>
    <x v="10"/>
    <x v="9"/>
    <x v="0"/>
  </r>
  <r>
    <x v="0"/>
    <x v="1"/>
    <x v="305"/>
    <x v="0"/>
    <x v="11"/>
    <x v="305"/>
    <x v="0"/>
    <x v="11"/>
    <x v="2"/>
    <x v="0"/>
  </r>
  <r>
    <x v="0"/>
    <x v="1"/>
    <x v="429"/>
    <x v="0"/>
    <x v="12"/>
    <x v="429"/>
    <x v="0"/>
    <x v="0"/>
    <x v="3"/>
    <x v="0"/>
  </r>
  <r>
    <x v="0"/>
    <x v="1"/>
    <x v="415"/>
    <x v="0"/>
    <x v="12"/>
    <x v="415"/>
    <x v="0"/>
    <x v="1"/>
    <x v="4"/>
    <x v="0"/>
  </r>
  <r>
    <x v="0"/>
    <x v="1"/>
    <x v="420"/>
    <x v="0"/>
    <x v="12"/>
    <x v="420"/>
    <x v="0"/>
    <x v="2"/>
    <x v="7"/>
    <x v="0"/>
  </r>
  <r>
    <x v="0"/>
    <x v="1"/>
    <x v="431"/>
    <x v="0"/>
    <x v="12"/>
    <x v="431"/>
    <x v="0"/>
    <x v="3"/>
    <x v="0"/>
    <x v="0"/>
  </r>
  <r>
    <x v="0"/>
    <x v="1"/>
    <x v="453"/>
    <x v="0"/>
    <x v="12"/>
    <x v="453"/>
    <x v="0"/>
    <x v="4"/>
    <x v="8"/>
    <x v="0"/>
  </r>
  <r>
    <x v="0"/>
    <x v="1"/>
    <x v="451"/>
    <x v="0"/>
    <x v="12"/>
    <x v="451"/>
    <x v="0"/>
    <x v="5"/>
    <x v="6"/>
    <x v="0"/>
  </r>
  <r>
    <x v="0"/>
    <x v="1"/>
    <x v="465"/>
    <x v="0"/>
    <x v="12"/>
    <x v="465"/>
    <x v="0"/>
    <x v="6"/>
    <x v="5"/>
    <x v="0"/>
  </r>
  <r>
    <x v="0"/>
    <x v="1"/>
    <x v="473"/>
    <x v="0"/>
    <x v="12"/>
    <x v="473"/>
    <x v="0"/>
    <x v="7"/>
    <x v="1"/>
    <x v="0"/>
  </r>
  <r>
    <x v="0"/>
    <x v="1"/>
    <x v="470"/>
    <x v="0"/>
    <x v="12"/>
    <x v="470"/>
    <x v="0"/>
    <x v="8"/>
    <x v="11"/>
    <x v="0"/>
  </r>
  <r>
    <x v="0"/>
    <x v="1"/>
    <x v="466"/>
    <x v="0"/>
    <x v="12"/>
    <x v="466"/>
    <x v="0"/>
    <x v="9"/>
    <x v="10"/>
    <x v="0"/>
  </r>
  <r>
    <x v="0"/>
    <x v="1"/>
    <x v="478"/>
    <x v="0"/>
    <x v="12"/>
    <x v="478"/>
    <x v="0"/>
    <x v="10"/>
    <x v="9"/>
    <x v="0"/>
  </r>
  <r>
    <x v="0"/>
    <x v="1"/>
    <x v="475"/>
    <x v="0"/>
    <x v="12"/>
    <x v="475"/>
    <x v="0"/>
    <x v="11"/>
    <x v="2"/>
    <x v="0"/>
  </r>
  <r>
    <x v="0"/>
    <x v="1"/>
    <x v="496"/>
    <x v="0"/>
    <x v="13"/>
    <x v="496"/>
    <x v="0"/>
    <x v="0"/>
    <x v="3"/>
    <x v="0"/>
  </r>
  <r>
    <x v="0"/>
    <x v="1"/>
    <x v="482"/>
    <x v="0"/>
    <x v="13"/>
    <x v="482"/>
    <x v="0"/>
    <x v="1"/>
    <x v="4"/>
    <x v="0"/>
  </r>
  <r>
    <x v="0"/>
    <x v="1"/>
    <x v="491"/>
    <x v="0"/>
    <x v="13"/>
    <x v="491"/>
    <x v="0"/>
    <x v="2"/>
    <x v="7"/>
    <x v="0"/>
  </r>
  <r>
    <x v="0"/>
    <x v="1"/>
    <x v="493"/>
    <x v="0"/>
    <x v="13"/>
    <x v="493"/>
    <x v="0"/>
    <x v="3"/>
    <x v="0"/>
    <x v="0"/>
  </r>
  <r>
    <x v="0"/>
    <x v="1"/>
    <x v="505"/>
    <x v="0"/>
    <x v="13"/>
    <x v="505"/>
    <x v="0"/>
    <x v="4"/>
    <x v="8"/>
    <x v="0"/>
  </r>
  <r>
    <x v="0"/>
    <x v="1"/>
    <x v="492"/>
    <x v="0"/>
    <x v="13"/>
    <x v="492"/>
    <x v="0"/>
    <x v="5"/>
    <x v="6"/>
    <x v="0"/>
  </r>
  <r>
    <x v="0"/>
    <x v="1"/>
    <x v="511"/>
    <x v="0"/>
    <x v="13"/>
    <x v="511"/>
    <x v="0"/>
    <x v="6"/>
    <x v="5"/>
    <x v="0"/>
  </r>
  <r>
    <x v="0"/>
    <x v="1"/>
    <x v="512"/>
    <x v="0"/>
    <x v="13"/>
    <x v="512"/>
    <x v="0"/>
    <x v="7"/>
    <x v="1"/>
    <x v="0"/>
  </r>
  <r>
    <x v="0"/>
    <x v="1"/>
    <x v="499"/>
    <x v="0"/>
    <x v="13"/>
    <x v="499"/>
    <x v="0"/>
    <x v="8"/>
    <x v="11"/>
    <x v="0"/>
  </r>
  <r>
    <x v="0"/>
    <x v="1"/>
    <x v="485"/>
    <x v="0"/>
    <x v="13"/>
    <x v="485"/>
    <x v="0"/>
    <x v="9"/>
    <x v="10"/>
    <x v="0"/>
  </r>
  <r>
    <x v="0"/>
    <x v="1"/>
    <x v="502"/>
    <x v="0"/>
    <x v="13"/>
    <x v="502"/>
    <x v="0"/>
    <x v="10"/>
    <x v="9"/>
    <x v="0"/>
  </r>
  <r>
    <x v="0"/>
    <x v="1"/>
    <x v="509"/>
    <x v="0"/>
    <x v="13"/>
    <x v="509"/>
    <x v="0"/>
    <x v="11"/>
    <x v="2"/>
    <x v="0"/>
  </r>
  <r>
    <x v="0"/>
    <x v="1"/>
    <x v="146"/>
    <x v="0"/>
    <x v="14"/>
    <x v="146"/>
    <x v="0"/>
    <x v="0"/>
    <x v="3"/>
    <x v="0"/>
  </r>
  <r>
    <x v="0"/>
    <x v="1"/>
    <x v="120"/>
    <x v="0"/>
    <x v="14"/>
    <x v="120"/>
    <x v="0"/>
    <x v="1"/>
    <x v="4"/>
    <x v="0"/>
  </r>
  <r>
    <x v="0"/>
    <x v="1"/>
    <x v="132"/>
    <x v="0"/>
    <x v="14"/>
    <x v="132"/>
    <x v="0"/>
    <x v="2"/>
    <x v="7"/>
    <x v="0"/>
  </r>
  <r>
    <x v="0"/>
    <x v="1"/>
    <x v="141"/>
    <x v="0"/>
    <x v="14"/>
    <x v="141"/>
    <x v="0"/>
    <x v="3"/>
    <x v="0"/>
    <x v="0"/>
  </r>
  <r>
    <x v="0"/>
    <x v="1"/>
    <x v="137"/>
    <x v="0"/>
    <x v="14"/>
    <x v="137"/>
    <x v="0"/>
    <x v="4"/>
    <x v="8"/>
    <x v="0"/>
  </r>
  <r>
    <x v="0"/>
    <x v="1"/>
    <x v="129"/>
    <x v="0"/>
    <x v="14"/>
    <x v="129"/>
    <x v="0"/>
    <x v="5"/>
    <x v="6"/>
    <x v="0"/>
  </r>
  <r>
    <x v="0"/>
    <x v="1"/>
    <x v="139"/>
    <x v="0"/>
    <x v="14"/>
    <x v="139"/>
    <x v="0"/>
    <x v="6"/>
    <x v="5"/>
    <x v="0"/>
  </r>
  <r>
    <x v="0"/>
    <x v="1"/>
    <x v="152"/>
    <x v="0"/>
    <x v="14"/>
    <x v="152"/>
    <x v="0"/>
    <x v="7"/>
    <x v="1"/>
    <x v="0"/>
  </r>
  <r>
    <x v="0"/>
    <x v="1"/>
    <x v="150"/>
    <x v="0"/>
    <x v="14"/>
    <x v="150"/>
    <x v="0"/>
    <x v="8"/>
    <x v="11"/>
    <x v="0"/>
  </r>
  <r>
    <x v="0"/>
    <x v="1"/>
    <x v="111"/>
    <x v="0"/>
    <x v="14"/>
    <x v="111"/>
    <x v="0"/>
    <x v="9"/>
    <x v="10"/>
    <x v="0"/>
  </r>
  <r>
    <x v="0"/>
    <x v="1"/>
    <x v="133"/>
    <x v="0"/>
    <x v="14"/>
    <x v="133"/>
    <x v="0"/>
    <x v="10"/>
    <x v="9"/>
    <x v="0"/>
  </r>
  <r>
    <x v="0"/>
    <x v="1"/>
    <x v="142"/>
    <x v="0"/>
    <x v="14"/>
    <x v="142"/>
    <x v="0"/>
    <x v="11"/>
    <x v="2"/>
    <x v="0"/>
  </r>
  <r>
    <x v="0"/>
    <x v="1"/>
    <x v="102"/>
    <x v="0"/>
    <x v="15"/>
    <x v="102"/>
    <x v="0"/>
    <x v="0"/>
    <x v="3"/>
    <x v="0"/>
  </r>
  <r>
    <x v="0"/>
    <x v="1"/>
    <x v="90"/>
    <x v="0"/>
    <x v="15"/>
    <x v="90"/>
    <x v="0"/>
    <x v="1"/>
    <x v="4"/>
    <x v="0"/>
  </r>
  <r>
    <x v="0"/>
    <x v="1"/>
    <x v="143"/>
    <x v="0"/>
    <x v="15"/>
    <x v="143"/>
    <x v="0"/>
    <x v="2"/>
    <x v="7"/>
    <x v="0"/>
  </r>
  <r>
    <x v="0"/>
    <x v="1"/>
    <x v="131"/>
    <x v="0"/>
    <x v="15"/>
    <x v="131"/>
    <x v="0"/>
    <x v="3"/>
    <x v="0"/>
    <x v="0"/>
  </r>
  <r>
    <x v="0"/>
    <x v="1"/>
    <x v="127"/>
    <x v="0"/>
    <x v="15"/>
    <x v="127"/>
    <x v="0"/>
    <x v="4"/>
    <x v="8"/>
    <x v="0"/>
  </r>
  <r>
    <x v="0"/>
    <x v="1"/>
    <x v="92"/>
    <x v="0"/>
    <x v="15"/>
    <x v="92"/>
    <x v="0"/>
    <x v="5"/>
    <x v="6"/>
    <x v="0"/>
  </r>
  <r>
    <x v="0"/>
    <x v="1"/>
    <x v="83"/>
    <x v="0"/>
    <x v="15"/>
    <x v="83"/>
    <x v="0"/>
    <x v="6"/>
    <x v="5"/>
    <x v="0"/>
  </r>
  <r>
    <x v="0"/>
    <x v="1"/>
    <x v="124"/>
    <x v="0"/>
    <x v="15"/>
    <x v="124"/>
    <x v="0"/>
    <x v="7"/>
    <x v="1"/>
    <x v="0"/>
  </r>
  <r>
    <x v="0"/>
    <x v="1"/>
    <x v="134"/>
    <x v="0"/>
    <x v="15"/>
    <x v="134"/>
    <x v="0"/>
    <x v="8"/>
    <x v="11"/>
    <x v="0"/>
  </r>
  <r>
    <x v="0"/>
    <x v="1"/>
    <x v="101"/>
    <x v="0"/>
    <x v="15"/>
    <x v="101"/>
    <x v="0"/>
    <x v="9"/>
    <x v="10"/>
    <x v="0"/>
  </r>
  <r>
    <x v="0"/>
    <x v="1"/>
    <x v="136"/>
    <x v="0"/>
    <x v="15"/>
    <x v="136"/>
    <x v="0"/>
    <x v="10"/>
    <x v="9"/>
    <x v="0"/>
  </r>
  <r>
    <x v="0"/>
    <x v="1"/>
    <x v="149"/>
    <x v="0"/>
    <x v="15"/>
    <x v="149"/>
    <x v="0"/>
    <x v="11"/>
    <x v="2"/>
    <x v="0"/>
  </r>
  <r>
    <x v="0"/>
    <x v="1"/>
    <x v="157"/>
    <x v="0"/>
    <x v="16"/>
    <x v="157"/>
    <x v="0"/>
    <x v="0"/>
    <x v="3"/>
    <x v="0"/>
  </r>
  <r>
    <x v="0"/>
    <x v="1"/>
    <x v="159"/>
    <x v="0"/>
    <x v="16"/>
    <x v="159"/>
    <x v="0"/>
    <x v="1"/>
    <x v="4"/>
    <x v="0"/>
  </r>
  <r>
    <x v="0"/>
    <x v="1"/>
    <x v="166"/>
    <x v="0"/>
    <x v="16"/>
    <x v="166"/>
    <x v="0"/>
    <x v="2"/>
    <x v="7"/>
    <x v="0"/>
  </r>
  <r>
    <x v="0"/>
    <x v="1"/>
    <x v="162"/>
    <x v="0"/>
    <x v="16"/>
    <x v="162"/>
    <x v="0"/>
    <x v="3"/>
    <x v="0"/>
    <x v="0"/>
  </r>
  <r>
    <x v="0"/>
    <x v="1"/>
    <x v="161"/>
    <x v="0"/>
    <x v="16"/>
    <x v="161"/>
    <x v="0"/>
    <x v="4"/>
    <x v="8"/>
    <x v="0"/>
  </r>
  <r>
    <x v="0"/>
    <x v="1"/>
    <x v="163"/>
    <x v="0"/>
    <x v="16"/>
    <x v="163"/>
    <x v="0"/>
    <x v="5"/>
    <x v="6"/>
    <x v="0"/>
  </r>
  <r>
    <x v="0"/>
    <x v="1"/>
    <x v="173"/>
    <x v="0"/>
    <x v="16"/>
    <x v="173"/>
    <x v="0"/>
    <x v="6"/>
    <x v="5"/>
    <x v="0"/>
  </r>
  <r>
    <x v="0"/>
    <x v="1"/>
    <x v="169"/>
    <x v="0"/>
    <x v="16"/>
    <x v="169"/>
    <x v="0"/>
    <x v="7"/>
    <x v="1"/>
    <x v="0"/>
  </r>
  <r>
    <x v="0"/>
    <x v="1"/>
    <x v="168"/>
    <x v="0"/>
    <x v="16"/>
    <x v="168"/>
    <x v="0"/>
    <x v="8"/>
    <x v="11"/>
    <x v="0"/>
  </r>
  <r>
    <x v="0"/>
    <x v="1"/>
    <x v="126"/>
    <x v="0"/>
    <x v="16"/>
    <x v="126"/>
    <x v="0"/>
    <x v="9"/>
    <x v="10"/>
    <x v="0"/>
  </r>
  <r>
    <x v="0"/>
    <x v="1"/>
    <x v="167"/>
    <x v="0"/>
    <x v="16"/>
    <x v="167"/>
    <x v="0"/>
    <x v="10"/>
    <x v="9"/>
    <x v="0"/>
  </r>
  <r>
    <x v="0"/>
    <x v="1"/>
    <x v="171"/>
    <x v="0"/>
    <x v="16"/>
    <x v="171"/>
    <x v="0"/>
    <x v="11"/>
    <x v="2"/>
    <x v="0"/>
  </r>
  <r>
    <x v="0"/>
    <x v="1"/>
    <x v="63"/>
    <x v="0"/>
    <x v="17"/>
    <x v="63"/>
    <x v="0"/>
    <x v="0"/>
    <x v="3"/>
    <x v="0"/>
  </r>
  <r>
    <x v="0"/>
    <x v="1"/>
    <x v="70"/>
    <x v="0"/>
    <x v="17"/>
    <x v="70"/>
    <x v="0"/>
    <x v="1"/>
    <x v="4"/>
    <x v="0"/>
  </r>
  <r>
    <x v="0"/>
    <x v="1"/>
    <x v="71"/>
    <x v="0"/>
    <x v="17"/>
    <x v="71"/>
    <x v="0"/>
    <x v="2"/>
    <x v="7"/>
    <x v="0"/>
  </r>
  <r>
    <x v="0"/>
    <x v="1"/>
    <x v="76"/>
    <x v="0"/>
    <x v="17"/>
    <x v="76"/>
    <x v="0"/>
    <x v="3"/>
    <x v="0"/>
    <x v="0"/>
  </r>
  <r>
    <x v="0"/>
    <x v="1"/>
    <x v="75"/>
    <x v="0"/>
    <x v="17"/>
    <x v="75"/>
    <x v="0"/>
    <x v="4"/>
    <x v="8"/>
    <x v="0"/>
  </r>
  <r>
    <x v="0"/>
    <x v="1"/>
    <x v="77"/>
    <x v="0"/>
    <x v="17"/>
    <x v="77"/>
    <x v="0"/>
    <x v="5"/>
    <x v="6"/>
    <x v="0"/>
  </r>
  <r>
    <x v="0"/>
    <x v="1"/>
    <x v="107"/>
    <x v="0"/>
    <x v="17"/>
    <x v="107"/>
    <x v="0"/>
    <x v="6"/>
    <x v="5"/>
    <x v="0"/>
  </r>
  <r>
    <x v="0"/>
    <x v="1"/>
    <x v="94"/>
    <x v="0"/>
    <x v="17"/>
    <x v="94"/>
    <x v="0"/>
    <x v="7"/>
    <x v="1"/>
    <x v="0"/>
  </r>
  <r>
    <x v="0"/>
    <x v="1"/>
    <x v="66"/>
    <x v="0"/>
    <x v="17"/>
    <x v="66"/>
    <x v="0"/>
    <x v="8"/>
    <x v="11"/>
    <x v="0"/>
  </r>
  <r>
    <x v="0"/>
    <x v="1"/>
    <x v="53"/>
    <x v="0"/>
    <x v="17"/>
    <x v="53"/>
    <x v="0"/>
    <x v="9"/>
    <x v="10"/>
    <x v="0"/>
  </r>
  <r>
    <x v="0"/>
    <x v="1"/>
    <x v="69"/>
    <x v="0"/>
    <x v="17"/>
    <x v="69"/>
    <x v="0"/>
    <x v="10"/>
    <x v="9"/>
    <x v="0"/>
  </r>
  <r>
    <x v="0"/>
    <x v="1"/>
    <x v="61"/>
    <x v="0"/>
    <x v="17"/>
    <x v="61"/>
    <x v="0"/>
    <x v="11"/>
    <x v="2"/>
    <x v="0"/>
  </r>
  <r>
    <x v="0"/>
    <x v="1"/>
    <x v="556"/>
    <x v="0"/>
    <x v="18"/>
    <x v="556"/>
    <x v="0"/>
    <x v="0"/>
    <x v="3"/>
    <x v="0"/>
  </r>
  <r>
    <x v="0"/>
    <x v="1"/>
    <x v="551"/>
    <x v="0"/>
    <x v="18"/>
    <x v="551"/>
    <x v="0"/>
    <x v="1"/>
    <x v="4"/>
    <x v="0"/>
  </r>
  <r>
    <x v="0"/>
    <x v="1"/>
    <x v="554"/>
    <x v="0"/>
    <x v="18"/>
    <x v="554"/>
    <x v="0"/>
    <x v="2"/>
    <x v="7"/>
    <x v="0"/>
  </r>
  <r>
    <x v="0"/>
    <x v="1"/>
    <x v="557"/>
    <x v="0"/>
    <x v="18"/>
    <x v="557"/>
    <x v="0"/>
    <x v="3"/>
    <x v="0"/>
    <x v="0"/>
  </r>
  <r>
    <x v="0"/>
    <x v="1"/>
    <x v="562"/>
    <x v="0"/>
    <x v="18"/>
    <x v="562"/>
    <x v="0"/>
    <x v="4"/>
    <x v="8"/>
    <x v="0"/>
  </r>
  <r>
    <x v="0"/>
    <x v="1"/>
    <x v="553"/>
    <x v="0"/>
    <x v="18"/>
    <x v="553"/>
    <x v="0"/>
    <x v="5"/>
    <x v="6"/>
    <x v="0"/>
  </r>
  <r>
    <x v="0"/>
    <x v="1"/>
    <x v="561"/>
    <x v="0"/>
    <x v="18"/>
    <x v="561"/>
    <x v="0"/>
    <x v="6"/>
    <x v="5"/>
    <x v="0"/>
  </r>
  <r>
    <x v="0"/>
    <x v="1"/>
    <x v="559"/>
    <x v="0"/>
    <x v="18"/>
    <x v="559"/>
    <x v="0"/>
    <x v="7"/>
    <x v="1"/>
    <x v="0"/>
  </r>
  <r>
    <x v="0"/>
    <x v="1"/>
    <x v="555"/>
    <x v="0"/>
    <x v="18"/>
    <x v="555"/>
    <x v="0"/>
    <x v="8"/>
    <x v="11"/>
    <x v="0"/>
  </r>
  <r>
    <x v="0"/>
    <x v="1"/>
    <x v="550"/>
    <x v="0"/>
    <x v="18"/>
    <x v="550"/>
    <x v="0"/>
    <x v="9"/>
    <x v="10"/>
    <x v="0"/>
  </r>
  <r>
    <x v="0"/>
    <x v="1"/>
    <x v="558"/>
    <x v="0"/>
    <x v="18"/>
    <x v="558"/>
    <x v="0"/>
    <x v="10"/>
    <x v="9"/>
    <x v="0"/>
  </r>
  <r>
    <x v="0"/>
    <x v="1"/>
    <x v="560"/>
    <x v="0"/>
    <x v="18"/>
    <x v="560"/>
    <x v="0"/>
    <x v="11"/>
    <x v="2"/>
    <x v="0"/>
  </r>
  <r>
    <x v="0"/>
    <x v="1"/>
    <x v="210"/>
    <x v="0"/>
    <x v="20"/>
    <x v="210"/>
    <x v="0"/>
    <x v="0"/>
    <x v="3"/>
    <x v="0"/>
  </r>
  <r>
    <x v="0"/>
    <x v="1"/>
    <x v="191"/>
    <x v="0"/>
    <x v="20"/>
    <x v="191"/>
    <x v="0"/>
    <x v="1"/>
    <x v="4"/>
    <x v="0"/>
  </r>
  <r>
    <x v="0"/>
    <x v="1"/>
    <x v="201"/>
    <x v="0"/>
    <x v="20"/>
    <x v="201"/>
    <x v="0"/>
    <x v="2"/>
    <x v="7"/>
    <x v="0"/>
  </r>
  <r>
    <x v="0"/>
    <x v="1"/>
    <x v="220"/>
    <x v="0"/>
    <x v="20"/>
    <x v="220"/>
    <x v="0"/>
    <x v="3"/>
    <x v="0"/>
    <x v="0"/>
  </r>
  <r>
    <x v="0"/>
    <x v="1"/>
    <x v="227"/>
    <x v="0"/>
    <x v="20"/>
    <x v="227"/>
    <x v="0"/>
    <x v="4"/>
    <x v="8"/>
    <x v="0"/>
  </r>
  <r>
    <x v="0"/>
    <x v="1"/>
    <x v="202"/>
    <x v="0"/>
    <x v="20"/>
    <x v="202"/>
    <x v="0"/>
    <x v="5"/>
    <x v="6"/>
    <x v="0"/>
  </r>
  <r>
    <x v="0"/>
    <x v="1"/>
    <x v="231"/>
    <x v="0"/>
    <x v="20"/>
    <x v="231"/>
    <x v="0"/>
    <x v="6"/>
    <x v="5"/>
    <x v="0"/>
  </r>
  <r>
    <x v="0"/>
    <x v="1"/>
    <x v="228"/>
    <x v="0"/>
    <x v="20"/>
    <x v="228"/>
    <x v="0"/>
    <x v="7"/>
    <x v="1"/>
    <x v="0"/>
  </r>
  <r>
    <x v="0"/>
    <x v="1"/>
    <x v="221"/>
    <x v="0"/>
    <x v="20"/>
    <x v="221"/>
    <x v="0"/>
    <x v="8"/>
    <x v="11"/>
    <x v="0"/>
  </r>
  <r>
    <x v="0"/>
    <x v="1"/>
    <x v="190"/>
    <x v="0"/>
    <x v="20"/>
    <x v="190"/>
    <x v="0"/>
    <x v="9"/>
    <x v="10"/>
    <x v="0"/>
  </r>
  <r>
    <x v="0"/>
    <x v="1"/>
    <x v="194"/>
    <x v="0"/>
    <x v="20"/>
    <x v="194"/>
    <x v="0"/>
    <x v="10"/>
    <x v="9"/>
    <x v="0"/>
  </r>
  <r>
    <x v="0"/>
    <x v="1"/>
    <x v="211"/>
    <x v="0"/>
    <x v="20"/>
    <x v="211"/>
    <x v="0"/>
    <x v="11"/>
    <x v="2"/>
    <x v="0"/>
  </r>
  <r>
    <x v="0"/>
    <x v="1"/>
    <x v="407"/>
    <x v="0"/>
    <x v="21"/>
    <x v="407"/>
    <x v="0"/>
    <x v="0"/>
    <x v="3"/>
    <x v="0"/>
  </r>
  <r>
    <x v="0"/>
    <x v="1"/>
    <x v="384"/>
    <x v="0"/>
    <x v="21"/>
    <x v="384"/>
    <x v="0"/>
    <x v="1"/>
    <x v="4"/>
    <x v="0"/>
  </r>
  <r>
    <x v="0"/>
    <x v="1"/>
    <x v="402"/>
    <x v="0"/>
    <x v="21"/>
    <x v="402"/>
    <x v="0"/>
    <x v="2"/>
    <x v="7"/>
    <x v="0"/>
  </r>
  <r>
    <x v="0"/>
    <x v="1"/>
    <x v="401"/>
    <x v="0"/>
    <x v="21"/>
    <x v="401"/>
    <x v="0"/>
    <x v="3"/>
    <x v="0"/>
    <x v="0"/>
  </r>
  <r>
    <x v="0"/>
    <x v="1"/>
    <x v="416"/>
    <x v="0"/>
    <x v="21"/>
    <x v="416"/>
    <x v="0"/>
    <x v="4"/>
    <x v="8"/>
    <x v="0"/>
  </r>
  <r>
    <x v="0"/>
    <x v="1"/>
    <x v="409"/>
    <x v="0"/>
    <x v="21"/>
    <x v="409"/>
    <x v="0"/>
    <x v="5"/>
    <x v="6"/>
    <x v="0"/>
  </r>
  <r>
    <x v="0"/>
    <x v="1"/>
    <x v="419"/>
    <x v="0"/>
    <x v="21"/>
    <x v="419"/>
    <x v="0"/>
    <x v="6"/>
    <x v="5"/>
    <x v="0"/>
  </r>
  <r>
    <x v="0"/>
    <x v="1"/>
    <x v="421"/>
    <x v="0"/>
    <x v="21"/>
    <x v="421"/>
    <x v="0"/>
    <x v="7"/>
    <x v="1"/>
    <x v="0"/>
  </r>
  <r>
    <x v="0"/>
    <x v="1"/>
    <x v="412"/>
    <x v="0"/>
    <x v="21"/>
    <x v="412"/>
    <x v="0"/>
    <x v="8"/>
    <x v="11"/>
    <x v="0"/>
  </r>
  <r>
    <x v="0"/>
    <x v="1"/>
    <x v="405"/>
    <x v="0"/>
    <x v="21"/>
    <x v="405"/>
    <x v="0"/>
    <x v="9"/>
    <x v="10"/>
    <x v="0"/>
  </r>
  <r>
    <x v="0"/>
    <x v="1"/>
    <x v="411"/>
    <x v="0"/>
    <x v="21"/>
    <x v="411"/>
    <x v="0"/>
    <x v="10"/>
    <x v="9"/>
    <x v="0"/>
  </r>
  <r>
    <x v="0"/>
    <x v="1"/>
    <x v="418"/>
    <x v="0"/>
    <x v="21"/>
    <x v="418"/>
    <x v="0"/>
    <x v="11"/>
    <x v="2"/>
    <x v="0"/>
  </r>
  <r>
    <x v="0"/>
    <x v="1"/>
    <x v="198"/>
    <x v="0"/>
    <x v="22"/>
    <x v="198"/>
    <x v="0"/>
    <x v="0"/>
    <x v="3"/>
    <x v="0"/>
  </r>
  <r>
    <x v="0"/>
    <x v="1"/>
    <x v="193"/>
    <x v="0"/>
    <x v="22"/>
    <x v="193"/>
    <x v="0"/>
    <x v="1"/>
    <x v="4"/>
    <x v="0"/>
  </r>
  <r>
    <x v="0"/>
    <x v="1"/>
    <x v="205"/>
    <x v="0"/>
    <x v="22"/>
    <x v="205"/>
    <x v="0"/>
    <x v="2"/>
    <x v="7"/>
    <x v="0"/>
  </r>
  <r>
    <x v="0"/>
    <x v="1"/>
    <x v="203"/>
    <x v="0"/>
    <x v="22"/>
    <x v="203"/>
    <x v="0"/>
    <x v="3"/>
    <x v="0"/>
    <x v="0"/>
  </r>
  <r>
    <x v="0"/>
    <x v="1"/>
    <x v="196"/>
    <x v="0"/>
    <x v="22"/>
    <x v="196"/>
    <x v="0"/>
    <x v="4"/>
    <x v="8"/>
    <x v="0"/>
  </r>
  <r>
    <x v="0"/>
    <x v="1"/>
    <x v="195"/>
    <x v="0"/>
    <x v="22"/>
    <x v="195"/>
    <x v="0"/>
    <x v="5"/>
    <x v="6"/>
    <x v="0"/>
  </r>
  <r>
    <x v="0"/>
    <x v="1"/>
    <x v="200"/>
    <x v="0"/>
    <x v="22"/>
    <x v="200"/>
    <x v="0"/>
    <x v="6"/>
    <x v="5"/>
    <x v="0"/>
  </r>
  <r>
    <x v="0"/>
    <x v="1"/>
    <x v="197"/>
    <x v="0"/>
    <x v="22"/>
    <x v="197"/>
    <x v="0"/>
    <x v="7"/>
    <x v="1"/>
    <x v="0"/>
  </r>
  <r>
    <x v="0"/>
    <x v="1"/>
    <x v="199"/>
    <x v="0"/>
    <x v="22"/>
    <x v="199"/>
    <x v="0"/>
    <x v="8"/>
    <x v="11"/>
    <x v="0"/>
  </r>
  <r>
    <x v="0"/>
    <x v="1"/>
    <x v="165"/>
    <x v="0"/>
    <x v="22"/>
    <x v="165"/>
    <x v="0"/>
    <x v="9"/>
    <x v="10"/>
    <x v="0"/>
  </r>
  <r>
    <x v="0"/>
    <x v="1"/>
    <x v="208"/>
    <x v="0"/>
    <x v="22"/>
    <x v="208"/>
    <x v="0"/>
    <x v="10"/>
    <x v="9"/>
    <x v="0"/>
  </r>
  <r>
    <x v="0"/>
    <x v="1"/>
    <x v="225"/>
    <x v="0"/>
    <x v="22"/>
    <x v="225"/>
    <x v="0"/>
    <x v="11"/>
    <x v="2"/>
    <x v="0"/>
  </r>
  <r>
    <x v="0"/>
    <x v="1"/>
    <x v="375"/>
    <x v="0"/>
    <x v="23"/>
    <x v="375"/>
    <x v="0"/>
    <x v="0"/>
    <x v="3"/>
    <x v="0"/>
  </r>
  <r>
    <x v="0"/>
    <x v="1"/>
    <x v="358"/>
    <x v="0"/>
    <x v="23"/>
    <x v="358"/>
    <x v="0"/>
    <x v="1"/>
    <x v="4"/>
    <x v="0"/>
  </r>
  <r>
    <x v="0"/>
    <x v="1"/>
    <x v="390"/>
    <x v="0"/>
    <x v="23"/>
    <x v="390"/>
    <x v="0"/>
    <x v="2"/>
    <x v="7"/>
    <x v="0"/>
  </r>
  <r>
    <x v="0"/>
    <x v="1"/>
    <x v="391"/>
    <x v="0"/>
    <x v="23"/>
    <x v="391"/>
    <x v="0"/>
    <x v="3"/>
    <x v="0"/>
    <x v="0"/>
  </r>
  <r>
    <x v="0"/>
    <x v="1"/>
    <x v="404"/>
    <x v="0"/>
    <x v="23"/>
    <x v="404"/>
    <x v="0"/>
    <x v="4"/>
    <x v="8"/>
    <x v="0"/>
  </r>
  <r>
    <x v="0"/>
    <x v="1"/>
    <x v="387"/>
    <x v="0"/>
    <x v="23"/>
    <x v="387"/>
    <x v="0"/>
    <x v="5"/>
    <x v="6"/>
    <x v="0"/>
  </r>
  <r>
    <x v="0"/>
    <x v="1"/>
    <x v="414"/>
    <x v="0"/>
    <x v="23"/>
    <x v="414"/>
    <x v="0"/>
    <x v="6"/>
    <x v="5"/>
    <x v="0"/>
  </r>
  <r>
    <x v="0"/>
    <x v="1"/>
    <x v="406"/>
    <x v="0"/>
    <x v="23"/>
    <x v="406"/>
    <x v="0"/>
    <x v="7"/>
    <x v="1"/>
    <x v="0"/>
  </r>
  <r>
    <x v="0"/>
    <x v="1"/>
    <x v="388"/>
    <x v="0"/>
    <x v="23"/>
    <x v="388"/>
    <x v="0"/>
    <x v="8"/>
    <x v="11"/>
    <x v="0"/>
  </r>
  <r>
    <x v="0"/>
    <x v="1"/>
    <x v="306"/>
    <x v="0"/>
    <x v="23"/>
    <x v="306"/>
    <x v="0"/>
    <x v="9"/>
    <x v="10"/>
    <x v="0"/>
  </r>
  <r>
    <x v="0"/>
    <x v="1"/>
    <x v="394"/>
    <x v="0"/>
    <x v="23"/>
    <x v="394"/>
    <x v="0"/>
    <x v="10"/>
    <x v="9"/>
    <x v="0"/>
  </r>
  <r>
    <x v="0"/>
    <x v="1"/>
    <x v="398"/>
    <x v="0"/>
    <x v="23"/>
    <x v="398"/>
    <x v="0"/>
    <x v="11"/>
    <x v="2"/>
    <x v="0"/>
  </r>
  <r>
    <x v="0"/>
    <x v="1"/>
    <x v="0"/>
    <x v="0"/>
    <x v="24"/>
    <x v="0"/>
    <x v="0"/>
    <x v="0"/>
    <x v="3"/>
    <x v="0"/>
  </r>
  <r>
    <x v="0"/>
    <x v="1"/>
    <x v="1"/>
    <x v="0"/>
    <x v="24"/>
    <x v="1"/>
    <x v="0"/>
    <x v="1"/>
    <x v="4"/>
    <x v="0"/>
  </r>
  <r>
    <x v="0"/>
    <x v="1"/>
    <x v="2"/>
    <x v="0"/>
    <x v="24"/>
    <x v="2"/>
    <x v="0"/>
    <x v="2"/>
    <x v="7"/>
    <x v="0"/>
  </r>
  <r>
    <x v="0"/>
    <x v="1"/>
    <x v="3"/>
    <x v="0"/>
    <x v="24"/>
    <x v="3"/>
    <x v="0"/>
    <x v="3"/>
    <x v="0"/>
    <x v="0"/>
  </r>
  <r>
    <x v="0"/>
    <x v="1"/>
    <x v="6"/>
    <x v="0"/>
    <x v="24"/>
    <x v="6"/>
    <x v="0"/>
    <x v="4"/>
    <x v="8"/>
    <x v="0"/>
  </r>
  <r>
    <x v="0"/>
    <x v="1"/>
    <x v="5"/>
    <x v="0"/>
    <x v="24"/>
    <x v="5"/>
    <x v="0"/>
    <x v="5"/>
    <x v="6"/>
    <x v="0"/>
  </r>
  <r>
    <x v="0"/>
    <x v="1"/>
    <x v="7"/>
    <x v="0"/>
    <x v="24"/>
    <x v="7"/>
    <x v="0"/>
    <x v="6"/>
    <x v="5"/>
    <x v="0"/>
  </r>
  <r>
    <x v="0"/>
    <x v="1"/>
    <x v="8"/>
    <x v="0"/>
    <x v="24"/>
    <x v="8"/>
    <x v="0"/>
    <x v="7"/>
    <x v="1"/>
    <x v="0"/>
  </r>
  <r>
    <x v="0"/>
    <x v="1"/>
    <x v="9"/>
    <x v="0"/>
    <x v="24"/>
    <x v="9"/>
    <x v="0"/>
    <x v="8"/>
    <x v="11"/>
    <x v="0"/>
  </r>
  <r>
    <x v="0"/>
    <x v="1"/>
    <x v="4"/>
    <x v="0"/>
    <x v="24"/>
    <x v="4"/>
    <x v="0"/>
    <x v="9"/>
    <x v="10"/>
    <x v="0"/>
  </r>
  <r>
    <x v="0"/>
    <x v="1"/>
    <x v="10"/>
    <x v="0"/>
    <x v="24"/>
    <x v="10"/>
    <x v="0"/>
    <x v="10"/>
    <x v="9"/>
    <x v="0"/>
  </r>
  <r>
    <x v="0"/>
    <x v="1"/>
    <x v="11"/>
    <x v="0"/>
    <x v="24"/>
    <x v="11"/>
    <x v="0"/>
    <x v="11"/>
    <x v="2"/>
    <x v="0"/>
  </r>
  <r>
    <x v="0"/>
    <x v="1"/>
    <x v="0"/>
    <x v="0"/>
    <x v="25"/>
    <x v="0"/>
    <x v="0"/>
    <x v="0"/>
    <x v="3"/>
    <x v="0"/>
  </r>
  <r>
    <x v="0"/>
    <x v="1"/>
    <x v="1"/>
    <x v="0"/>
    <x v="25"/>
    <x v="1"/>
    <x v="0"/>
    <x v="1"/>
    <x v="4"/>
    <x v="0"/>
  </r>
  <r>
    <x v="0"/>
    <x v="1"/>
    <x v="2"/>
    <x v="0"/>
    <x v="25"/>
    <x v="2"/>
    <x v="0"/>
    <x v="2"/>
    <x v="7"/>
    <x v="0"/>
  </r>
  <r>
    <x v="0"/>
    <x v="1"/>
    <x v="3"/>
    <x v="0"/>
    <x v="25"/>
    <x v="3"/>
    <x v="0"/>
    <x v="3"/>
    <x v="0"/>
    <x v="0"/>
  </r>
  <r>
    <x v="0"/>
    <x v="1"/>
    <x v="6"/>
    <x v="0"/>
    <x v="25"/>
    <x v="6"/>
    <x v="0"/>
    <x v="4"/>
    <x v="8"/>
    <x v="0"/>
  </r>
  <r>
    <x v="0"/>
    <x v="1"/>
    <x v="5"/>
    <x v="0"/>
    <x v="25"/>
    <x v="5"/>
    <x v="0"/>
    <x v="5"/>
    <x v="6"/>
    <x v="0"/>
  </r>
  <r>
    <x v="0"/>
    <x v="1"/>
    <x v="7"/>
    <x v="0"/>
    <x v="25"/>
    <x v="7"/>
    <x v="0"/>
    <x v="6"/>
    <x v="5"/>
    <x v="0"/>
  </r>
  <r>
    <x v="0"/>
    <x v="1"/>
    <x v="8"/>
    <x v="0"/>
    <x v="25"/>
    <x v="8"/>
    <x v="0"/>
    <x v="7"/>
    <x v="1"/>
    <x v="0"/>
  </r>
  <r>
    <x v="0"/>
    <x v="1"/>
    <x v="9"/>
    <x v="0"/>
    <x v="25"/>
    <x v="9"/>
    <x v="0"/>
    <x v="8"/>
    <x v="11"/>
    <x v="0"/>
  </r>
  <r>
    <x v="0"/>
    <x v="1"/>
    <x v="4"/>
    <x v="0"/>
    <x v="25"/>
    <x v="4"/>
    <x v="0"/>
    <x v="9"/>
    <x v="10"/>
    <x v="0"/>
  </r>
  <r>
    <x v="0"/>
    <x v="1"/>
    <x v="10"/>
    <x v="0"/>
    <x v="25"/>
    <x v="10"/>
    <x v="0"/>
    <x v="10"/>
    <x v="9"/>
    <x v="0"/>
  </r>
  <r>
    <x v="0"/>
    <x v="1"/>
    <x v="11"/>
    <x v="0"/>
    <x v="25"/>
    <x v="11"/>
    <x v="0"/>
    <x v="11"/>
    <x v="2"/>
    <x v="0"/>
  </r>
  <r>
    <x v="1"/>
    <x v="0"/>
    <x v="500"/>
    <x v="0"/>
    <x v="0"/>
    <x v="500"/>
    <x v="0"/>
    <x v="0"/>
    <x v="3"/>
    <x v="1"/>
  </r>
  <r>
    <x v="1"/>
    <x v="0"/>
    <x v="490"/>
    <x v="0"/>
    <x v="0"/>
    <x v="490"/>
    <x v="0"/>
    <x v="1"/>
    <x v="4"/>
    <x v="1"/>
  </r>
  <r>
    <x v="1"/>
    <x v="0"/>
    <x v="506"/>
    <x v="0"/>
    <x v="0"/>
    <x v="506"/>
    <x v="0"/>
    <x v="2"/>
    <x v="7"/>
    <x v="1"/>
  </r>
  <r>
    <x v="1"/>
    <x v="0"/>
    <x v="504"/>
    <x v="0"/>
    <x v="0"/>
    <x v="504"/>
    <x v="0"/>
    <x v="3"/>
    <x v="0"/>
    <x v="1"/>
  </r>
  <r>
    <x v="1"/>
    <x v="0"/>
    <x v="510"/>
    <x v="0"/>
    <x v="0"/>
    <x v="510"/>
    <x v="0"/>
    <x v="4"/>
    <x v="8"/>
    <x v="1"/>
  </r>
  <r>
    <x v="1"/>
    <x v="0"/>
    <x v="494"/>
    <x v="0"/>
    <x v="0"/>
    <x v="494"/>
    <x v="0"/>
    <x v="5"/>
    <x v="6"/>
    <x v="1"/>
  </r>
  <r>
    <x v="1"/>
    <x v="0"/>
    <x v="508"/>
    <x v="0"/>
    <x v="0"/>
    <x v="508"/>
    <x v="0"/>
    <x v="6"/>
    <x v="5"/>
    <x v="1"/>
  </r>
  <r>
    <x v="1"/>
    <x v="0"/>
    <x v="507"/>
    <x v="0"/>
    <x v="0"/>
    <x v="507"/>
    <x v="0"/>
    <x v="7"/>
    <x v="1"/>
    <x v="1"/>
  </r>
  <r>
    <x v="1"/>
    <x v="0"/>
    <x v="501"/>
    <x v="0"/>
    <x v="0"/>
    <x v="501"/>
    <x v="0"/>
    <x v="8"/>
    <x v="11"/>
    <x v="1"/>
  </r>
  <r>
    <x v="1"/>
    <x v="0"/>
    <x v="488"/>
    <x v="0"/>
    <x v="0"/>
    <x v="488"/>
    <x v="0"/>
    <x v="9"/>
    <x v="10"/>
    <x v="1"/>
  </r>
  <r>
    <x v="1"/>
    <x v="0"/>
    <x v="503"/>
    <x v="0"/>
    <x v="0"/>
    <x v="503"/>
    <x v="0"/>
    <x v="10"/>
    <x v="9"/>
    <x v="1"/>
  </r>
  <r>
    <x v="1"/>
    <x v="0"/>
    <x v="513"/>
    <x v="0"/>
    <x v="0"/>
    <x v="513"/>
    <x v="0"/>
    <x v="11"/>
    <x v="2"/>
    <x v="1"/>
  </r>
  <r>
    <x v="1"/>
    <x v="0"/>
    <x v="128"/>
    <x v="0"/>
    <x v="1"/>
    <x v="128"/>
    <x v="0"/>
    <x v="0"/>
    <x v="3"/>
    <x v="1"/>
  </r>
  <r>
    <x v="1"/>
    <x v="0"/>
    <x v="123"/>
    <x v="0"/>
    <x v="1"/>
    <x v="123"/>
    <x v="0"/>
    <x v="1"/>
    <x v="4"/>
    <x v="1"/>
  </r>
  <r>
    <x v="1"/>
    <x v="0"/>
    <x v="155"/>
    <x v="0"/>
    <x v="1"/>
    <x v="155"/>
    <x v="0"/>
    <x v="2"/>
    <x v="7"/>
    <x v="1"/>
  </r>
  <r>
    <x v="1"/>
    <x v="0"/>
    <x v="125"/>
    <x v="0"/>
    <x v="1"/>
    <x v="125"/>
    <x v="0"/>
    <x v="3"/>
    <x v="0"/>
    <x v="1"/>
  </r>
  <r>
    <x v="1"/>
    <x v="0"/>
    <x v="144"/>
    <x v="0"/>
    <x v="1"/>
    <x v="144"/>
    <x v="0"/>
    <x v="4"/>
    <x v="8"/>
    <x v="1"/>
  </r>
  <r>
    <x v="1"/>
    <x v="0"/>
    <x v="121"/>
    <x v="0"/>
    <x v="1"/>
    <x v="121"/>
    <x v="0"/>
    <x v="5"/>
    <x v="6"/>
    <x v="1"/>
  </r>
  <r>
    <x v="1"/>
    <x v="0"/>
    <x v="154"/>
    <x v="0"/>
    <x v="1"/>
    <x v="154"/>
    <x v="0"/>
    <x v="6"/>
    <x v="5"/>
    <x v="1"/>
  </r>
  <r>
    <x v="1"/>
    <x v="0"/>
    <x v="158"/>
    <x v="0"/>
    <x v="1"/>
    <x v="158"/>
    <x v="0"/>
    <x v="7"/>
    <x v="1"/>
    <x v="1"/>
  </r>
  <r>
    <x v="1"/>
    <x v="0"/>
    <x v="148"/>
    <x v="0"/>
    <x v="1"/>
    <x v="148"/>
    <x v="0"/>
    <x v="8"/>
    <x v="11"/>
    <x v="1"/>
  </r>
  <r>
    <x v="1"/>
    <x v="0"/>
    <x v="99"/>
    <x v="0"/>
    <x v="1"/>
    <x v="99"/>
    <x v="0"/>
    <x v="9"/>
    <x v="10"/>
    <x v="1"/>
  </r>
  <r>
    <x v="1"/>
    <x v="0"/>
    <x v="151"/>
    <x v="0"/>
    <x v="1"/>
    <x v="151"/>
    <x v="0"/>
    <x v="10"/>
    <x v="9"/>
    <x v="1"/>
  </r>
  <r>
    <x v="1"/>
    <x v="0"/>
    <x v="160"/>
    <x v="0"/>
    <x v="1"/>
    <x v="160"/>
    <x v="0"/>
    <x v="11"/>
    <x v="2"/>
    <x v="1"/>
  </r>
  <r>
    <x v="1"/>
    <x v="0"/>
    <x v="174"/>
    <x v="0"/>
    <x v="3"/>
    <x v="174"/>
    <x v="0"/>
    <x v="0"/>
    <x v="3"/>
    <x v="1"/>
  </r>
  <r>
    <x v="1"/>
    <x v="0"/>
    <x v="164"/>
    <x v="0"/>
    <x v="3"/>
    <x v="164"/>
    <x v="0"/>
    <x v="1"/>
    <x v="4"/>
    <x v="1"/>
  </r>
  <r>
    <x v="1"/>
    <x v="0"/>
    <x v="217"/>
    <x v="0"/>
    <x v="3"/>
    <x v="217"/>
    <x v="0"/>
    <x v="2"/>
    <x v="7"/>
    <x v="1"/>
  </r>
  <r>
    <x v="1"/>
    <x v="0"/>
    <x v="175"/>
    <x v="0"/>
    <x v="3"/>
    <x v="175"/>
    <x v="0"/>
    <x v="3"/>
    <x v="0"/>
    <x v="1"/>
  </r>
  <r>
    <x v="1"/>
    <x v="0"/>
    <x v="179"/>
    <x v="0"/>
    <x v="3"/>
    <x v="179"/>
    <x v="0"/>
    <x v="4"/>
    <x v="8"/>
    <x v="1"/>
  </r>
  <r>
    <x v="1"/>
    <x v="0"/>
    <x v="172"/>
    <x v="0"/>
    <x v="3"/>
    <x v="172"/>
    <x v="0"/>
    <x v="5"/>
    <x v="6"/>
    <x v="1"/>
  </r>
  <r>
    <x v="1"/>
    <x v="0"/>
    <x v="181"/>
    <x v="0"/>
    <x v="3"/>
    <x v="181"/>
    <x v="0"/>
    <x v="6"/>
    <x v="5"/>
    <x v="1"/>
  </r>
  <r>
    <x v="1"/>
    <x v="0"/>
    <x v="184"/>
    <x v="0"/>
    <x v="3"/>
    <x v="184"/>
    <x v="0"/>
    <x v="7"/>
    <x v="1"/>
    <x v="1"/>
  </r>
  <r>
    <x v="1"/>
    <x v="0"/>
    <x v="153"/>
    <x v="0"/>
    <x v="3"/>
    <x v="153"/>
    <x v="0"/>
    <x v="8"/>
    <x v="11"/>
    <x v="1"/>
  </r>
  <r>
    <x v="1"/>
    <x v="0"/>
    <x v="140"/>
    <x v="0"/>
    <x v="3"/>
    <x v="140"/>
    <x v="0"/>
    <x v="9"/>
    <x v="10"/>
    <x v="1"/>
  </r>
  <r>
    <x v="1"/>
    <x v="0"/>
    <x v="156"/>
    <x v="0"/>
    <x v="3"/>
    <x v="156"/>
    <x v="0"/>
    <x v="10"/>
    <x v="9"/>
    <x v="1"/>
  </r>
  <r>
    <x v="1"/>
    <x v="0"/>
    <x v="177"/>
    <x v="0"/>
    <x v="3"/>
    <x v="177"/>
    <x v="0"/>
    <x v="11"/>
    <x v="2"/>
    <x v="1"/>
  </r>
  <r>
    <x v="1"/>
    <x v="0"/>
    <x v="216"/>
    <x v="0"/>
    <x v="2"/>
    <x v="216"/>
    <x v="0"/>
    <x v="0"/>
    <x v="3"/>
    <x v="1"/>
  </r>
  <r>
    <x v="1"/>
    <x v="0"/>
    <x v="204"/>
    <x v="0"/>
    <x v="2"/>
    <x v="204"/>
    <x v="0"/>
    <x v="1"/>
    <x v="4"/>
    <x v="1"/>
  </r>
  <r>
    <x v="1"/>
    <x v="0"/>
    <x v="223"/>
    <x v="0"/>
    <x v="2"/>
    <x v="223"/>
    <x v="0"/>
    <x v="2"/>
    <x v="7"/>
    <x v="1"/>
  </r>
  <r>
    <x v="1"/>
    <x v="0"/>
    <x v="219"/>
    <x v="0"/>
    <x v="2"/>
    <x v="219"/>
    <x v="0"/>
    <x v="3"/>
    <x v="0"/>
    <x v="1"/>
  </r>
  <r>
    <x v="1"/>
    <x v="0"/>
    <x v="222"/>
    <x v="0"/>
    <x v="2"/>
    <x v="222"/>
    <x v="0"/>
    <x v="4"/>
    <x v="8"/>
    <x v="1"/>
  </r>
  <r>
    <x v="1"/>
    <x v="0"/>
    <x v="209"/>
    <x v="0"/>
    <x v="2"/>
    <x v="209"/>
    <x v="0"/>
    <x v="5"/>
    <x v="6"/>
    <x v="1"/>
  </r>
  <r>
    <x v="1"/>
    <x v="0"/>
    <x v="224"/>
    <x v="0"/>
    <x v="2"/>
    <x v="224"/>
    <x v="0"/>
    <x v="6"/>
    <x v="5"/>
    <x v="1"/>
  </r>
  <r>
    <x v="1"/>
    <x v="0"/>
    <x v="233"/>
    <x v="0"/>
    <x v="2"/>
    <x v="233"/>
    <x v="0"/>
    <x v="7"/>
    <x v="1"/>
    <x v="1"/>
  </r>
  <r>
    <x v="1"/>
    <x v="0"/>
    <x v="215"/>
    <x v="0"/>
    <x v="2"/>
    <x v="215"/>
    <x v="0"/>
    <x v="8"/>
    <x v="11"/>
    <x v="1"/>
  </r>
  <r>
    <x v="1"/>
    <x v="0"/>
    <x v="206"/>
    <x v="0"/>
    <x v="2"/>
    <x v="206"/>
    <x v="0"/>
    <x v="9"/>
    <x v="10"/>
    <x v="1"/>
  </r>
  <r>
    <x v="1"/>
    <x v="0"/>
    <x v="213"/>
    <x v="0"/>
    <x v="2"/>
    <x v="213"/>
    <x v="0"/>
    <x v="10"/>
    <x v="9"/>
    <x v="1"/>
  </r>
  <r>
    <x v="1"/>
    <x v="0"/>
    <x v="230"/>
    <x v="0"/>
    <x v="2"/>
    <x v="230"/>
    <x v="0"/>
    <x v="11"/>
    <x v="2"/>
    <x v="1"/>
  </r>
  <r>
    <x v="1"/>
    <x v="0"/>
    <x v="344"/>
    <x v="0"/>
    <x v="4"/>
    <x v="344"/>
    <x v="0"/>
    <x v="0"/>
    <x v="3"/>
    <x v="1"/>
  </r>
  <r>
    <x v="1"/>
    <x v="0"/>
    <x v="327"/>
    <x v="0"/>
    <x v="4"/>
    <x v="327"/>
    <x v="0"/>
    <x v="1"/>
    <x v="4"/>
    <x v="1"/>
  </r>
  <r>
    <x v="1"/>
    <x v="0"/>
    <x v="397"/>
    <x v="0"/>
    <x v="4"/>
    <x v="397"/>
    <x v="0"/>
    <x v="2"/>
    <x v="7"/>
    <x v="1"/>
  </r>
  <r>
    <x v="1"/>
    <x v="0"/>
    <x v="372"/>
    <x v="0"/>
    <x v="4"/>
    <x v="372"/>
    <x v="0"/>
    <x v="3"/>
    <x v="0"/>
    <x v="1"/>
  </r>
  <r>
    <x v="1"/>
    <x v="0"/>
    <x v="381"/>
    <x v="0"/>
    <x v="4"/>
    <x v="381"/>
    <x v="0"/>
    <x v="4"/>
    <x v="8"/>
    <x v="1"/>
  </r>
  <r>
    <x v="1"/>
    <x v="0"/>
    <x v="330"/>
    <x v="0"/>
    <x v="4"/>
    <x v="330"/>
    <x v="0"/>
    <x v="5"/>
    <x v="6"/>
    <x v="1"/>
  </r>
  <r>
    <x v="1"/>
    <x v="0"/>
    <x v="382"/>
    <x v="0"/>
    <x v="4"/>
    <x v="382"/>
    <x v="0"/>
    <x v="6"/>
    <x v="5"/>
    <x v="1"/>
  </r>
  <r>
    <x v="1"/>
    <x v="0"/>
    <x v="389"/>
    <x v="0"/>
    <x v="4"/>
    <x v="389"/>
    <x v="0"/>
    <x v="7"/>
    <x v="1"/>
    <x v="1"/>
  </r>
  <r>
    <x v="1"/>
    <x v="0"/>
    <x v="352"/>
    <x v="0"/>
    <x v="4"/>
    <x v="352"/>
    <x v="0"/>
    <x v="8"/>
    <x v="11"/>
    <x v="1"/>
  </r>
  <r>
    <x v="1"/>
    <x v="0"/>
    <x v="301"/>
    <x v="0"/>
    <x v="4"/>
    <x v="301"/>
    <x v="0"/>
    <x v="9"/>
    <x v="10"/>
    <x v="1"/>
  </r>
  <r>
    <x v="1"/>
    <x v="0"/>
    <x v="353"/>
    <x v="0"/>
    <x v="4"/>
    <x v="353"/>
    <x v="0"/>
    <x v="10"/>
    <x v="9"/>
    <x v="1"/>
  </r>
  <r>
    <x v="1"/>
    <x v="0"/>
    <x v="400"/>
    <x v="0"/>
    <x v="4"/>
    <x v="400"/>
    <x v="0"/>
    <x v="11"/>
    <x v="2"/>
    <x v="1"/>
  </r>
  <r>
    <x v="1"/>
    <x v="0"/>
    <x v="348"/>
    <x v="0"/>
    <x v="5"/>
    <x v="348"/>
    <x v="0"/>
    <x v="0"/>
    <x v="3"/>
    <x v="1"/>
  </r>
  <r>
    <x v="1"/>
    <x v="0"/>
    <x v="326"/>
    <x v="0"/>
    <x v="5"/>
    <x v="326"/>
    <x v="0"/>
    <x v="1"/>
    <x v="4"/>
    <x v="1"/>
  </r>
  <r>
    <x v="1"/>
    <x v="0"/>
    <x v="370"/>
    <x v="0"/>
    <x v="5"/>
    <x v="370"/>
    <x v="0"/>
    <x v="2"/>
    <x v="7"/>
    <x v="1"/>
  </r>
  <r>
    <x v="1"/>
    <x v="0"/>
    <x v="349"/>
    <x v="0"/>
    <x v="5"/>
    <x v="349"/>
    <x v="0"/>
    <x v="3"/>
    <x v="0"/>
    <x v="1"/>
  </r>
  <r>
    <x v="1"/>
    <x v="0"/>
    <x v="379"/>
    <x v="0"/>
    <x v="5"/>
    <x v="379"/>
    <x v="0"/>
    <x v="4"/>
    <x v="8"/>
    <x v="1"/>
  </r>
  <r>
    <x v="1"/>
    <x v="0"/>
    <x v="339"/>
    <x v="0"/>
    <x v="5"/>
    <x v="339"/>
    <x v="0"/>
    <x v="5"/>
    <x v="6"/>
    <x v="1"/>
  </r>
  <r>
    <x v="1"/>
    <x v="0"/>
    <x v="380"/>
    <x v="0"/>
    <x v="5"/>
    <x v="380"/>
    <x v="0"/>
    <x v="6"/>
    <x v="5"/>
    <x v="1"/>
  </r>
  <r>
    <x v="1"/>
    <x v="0"/>
    <x v="386"/>
    <x v="0"/>
    <x v="5"/>
    <x v="386"/>
    <x v="0"/>
    <x v="7"/>
    <x v="1"/>
    <x v="1"/>
  </r>
  <r>
    <x v="1"/>
    <x v="0"/>
    <x v="356"/>
    <x v="0"/>
    <x v="5"/>
    <x v="356"/>
    <x v="0"/>
    <x v="8"/>
    <x v="11"/>
    <x v="1"/>
  </r>
  <r>
    <x v="1"/>
    <x v="0"/>
    <x v="291"/>
    <x v="0"/>
    <x v="5"/>
    <x v="291"/>
    <x v="0"/>
    <x v="9"/>
    <x v="10"/>
    <x v="1"/>
  </r>
  <r>
    <x v="1"/>
    <x v="0"/>
    <x v="347"/>
    <x v="0"/>
    <x v="5"/>
    <x v="347"/>
    <x v="0"/>
    <x v="10"/>
    <x v="9"/>
    <x v="1"/>
  </r>
  <r>
    <x v="1"/>
    <x v="0"/>
    <x v="393"/>
    <x v="0"/>
    <x v="5"/>
    <x v="393"/>
    <x v="0"/>
    <x v="11"/>
    <x v="2"/>
    <x v="1"/>
  </r>
  <r>
    <x v="1"/>
    <x v="0"/>
    <x v="469"/>
    <x v="0"/>
    <x v="6"/>
    <x v="469"/>
    <x v="0"/>
    <x v="0"/>
    <x v="3"/>
    <x v="1"/>
  </r>
  <r>
    <x v="1"/>
    <x v="0"/>
    <x v="452"/>
    <x v="0"/>
    <x v="6"/>
    <x v="452"/>
    <x v="0"/>
    <x v="1"/>
    <x v="4"/>
    <x v="1"/>
  </r>
  <r>
    <x v="1"/>
    <x v="0"/>
    <x v="467"/>
    <x v="0"/>
    <x v="6"/>
    <x v="467"/>
    <x v="0"/>
    <x v="2"/>
    <x v="7"/>
    <x v="1"/>
  </r>
  <r>
    <x v="1"/>
    <x v="0"/>
    <x v="471"/>
    <x v="0"/>
    <x v="6"/>
    <x v="471"/>
    <x v="0"/>
    <x v="3"/>
    <x v="0"/>
    <x v="1"/>
  </r>
  <r>
    <x v="1"/>
    <x v="0"/>
    <x v="476"/>
    <x v="0"/>
    <x v="6"/>
    <x v="476"/>
    <x v="0"/>
    <x v="4"/>
    <x v="8"/>
    <x v="1"/>
  </r>
  <r>
    <x v="1"/>
    <x v="0"/>
    <x v="463"/>
    <x v="0"/>
    <x v="6"/>
    <x v="463"/>
    <x v="0"/>
    <x v="5"/>
    <x v="6"/>
    <x v="1"/>
  </r>
  <r>
    <x v="1"/>
    <x v="0"/>
    <x v="474"/>
    <x v="0"/>
    <x v="6"/>
    <x v="474"/>
    <x v="0"/>
    <x v="6"/>
    <x v="5"/>
    <x v="1"/>
  </r>
  <r>
    <x v="1"/>
    <x v="0"/>
    <x v="479"/>
    <x v="0"/>
    <x v="6"/>
    <x v="479"/>
    <x v="0"/>
    <x v="7"/>
    <x v="1"/>
    <x v="1"/>
  </r>
  <r>
    <x v="1"/>
    <x v="0"/>
    <x v="459"/>
    <x v="0"/>
    <x v="6"/>
    <x v="459"/>
    <x v="0"/>
    <x v="8"/>
    <x v="11"/>
    <x v="1"/>
  </r>
  <r>
    <x v="1"/>
    <x v="0"/>
    <x v="454"/>
    <x v="0"/>
    <x v="6"/>
    <x v="454"/>
    <x v="0"/>
    <x v="9"/>
    <x v="10"/>
    <x v="1"/>
  </r>
  <r>
    <x v="1"/>
    <x v="0"/>
    <x v="461"/>
    <x v="0"/>
    <x v="6"/>
    <x v="461"/>
    <x v="0"/>
    <x v="10"/>
    <x v="9"/>
    <x v="1"/>
  </r>
  <r>
    <x v="1"/>
    <x v="0"/>
    <x v="483"/>
    <x v="0"/>
    <x v="6"/>
    <x v="483"/>
    <x v="0"/>
    <x v="11"/>
    <x v="2"/>
    <x v="1"/>
  </r>
  <r>
    <x v="1"/>
    <x v="0"/>
    <x v="300"/>
    <x v="0"/>
    <x v="7"/>
    <x v="300"/>
    <x v="0"/>
    <x v="0"/>
    <x v="3"/>
    <x v="1"/>
  </r>
  <r>
    <x v="1"/>
    <x v="0"/>
    <x v="285"/>
    <x v="0"/>
    <x v="7"/>
    <x v="285"/>
    <x v="0"/>
    <x v="1"/>
    <x v="4"/>
    <x v="1"/>
  </r>
  <r>
    <x v="1"/>
    <x v="0"/>
    <x v="336"/>
    <x v="0"/>
    <x v="7"/>
    <x v="336"/>
    <x v="0"/>
    <x v="2"/>
    <x v="7"/>
    <x v="1"/>
  </r>
  <r>
    <x v="1"/>
    <x v="0"/>
    <x v="317"/>
    <x v="0"/>
    <x v="7"/>
    <x v="317"/>
    <x v="0"/>
    <x v="3"/>
    <x v="0"/>
    <x v="1"/>
  </r>
  <r>
    <x v="1"/>
    <x v="0"/>
    <x v="320"/>
    <x v="0"/>
    <x v="7"/>
    <x v="320"/>
    <x v="0"/>
    <x v="4"/>
    <x v="8"/>
    <x v="1"/>
  </r>
  <r>
    <x v="1"/>
    <x v="0"/>
    <x v="292"/>
    <x v="0"/>
    <x v="7"/>
    <x v="292"/>
    <x v="0"/>
    <x v="5"/>
    <x v="6"/>
    <x v="1"/>
  </r>
  <r>
    <x v="1"/>
    <x v="0"/>
    <x v="338"/>
    <x v="0"/>
    <x v="7"/>
    <x v="338"/>
    <x v="0"/>
    <x v="6"/>
    <x v="5"/>
    <x v="1"/>
  </r>
  <r>
    <x v="1"/>
    <x v="0"/>
    <x v="410"/>
    <x v="0"/>
    <x v="7"/>
    <x v="410"/>
    <x v="0"/>
    <x v="7"/>
    <x v="1"/>
    <x v="1"/>
  </r>
  <r>
    <x v="1"/>
    <x v="0"/>
    <x v="321"/>
    <x v="0"/>
    <x v="7"/>
    <x v="321"/>
    <x v="0"/>
    <x v="8"/>
    <x v="11"/>
    <x v="1"/>
  </r>
  <r>
    <x v="1"/>
    <x v="0"/>
    <x v="296"/>
    <x v="0"/>
    <x v="7"/>
    <x v="296"/>
    <x v="0"/>
    <x v="9"/>
    <x v="10"/>
    <x v="1"/>
  </r>
  <r>
    <x v="1"/>
    <x v="0"/>
    <x v="334"/>
    <x v="0"/>
    <x v="7"/>
    <x v="334"/>
    <x v="0"/>
    <x v="10"/>
    <x v="9"/>
    <x v="1"/>
  </r>
  <r>
    <x v="1"/>
    <x v="0"/>
    <x v="369"/>
    <x v="0"/>
    <x v="7"/>
    <x v="369"/>
    <x v="0"/>
    <x v="11"/>
    <x v="2"/>
    <x v="1"/>
  </r>
  <r>
    <x v="1"/>
    <x v="0"/>
    <x v="43"/>
    <x v="0"/>
    <x v="8"/>
    <x v="43"/>
    <x v="0"/>
    <x v="0"/>
    <x v="3"/>
    <x v="1"/>
  </r>
  <r>
    <x v="1"/>
    <x v="0"/>
    <x v="38"/>
    <x v="0"/>
    <x v="8"/>
    <x v="38"/>
    <x v="0"/>
    <x v="1"/>
    <x v="4"/>
    <x v="1"/>
  </r>
  <r>
    <x v="1"/>
    <x v="0"/>
    <x v="47"/>
    <x v="0"/>
    <x v="8"/>
    <x v="47"/>
    <x v="0"/>
    <x v="2"/>
    <x v="7"/>
    <x v="1"/>
  </r>
  <r>
    <x v="1"/>
    <x v="0"/>
    <x v="44"/>
    <x v="0"/>
    <x v="8"/>
    <x v="44"/>
    <x v="0"/>
    <x v="3"/>
    <x v="0"/>
    <x v="1"/>
  </r>
  <r>
    <x v="1"/>
    <x v="0"/>
    <x v="39"/>
    <x v="0"/>
    <x v="8"/>
    <x v="39"/>
    <x v="0"/>
    <x v="4"/>
    <x v="8"/>
    <x v="1"/>
  </r>
  <r>
    <x v="1"/>
    <x v="0"/>
    <x v="42"/>
    <x v="0"/>
    <x v="8"/>
    <x v="42"/>
    <x v="0"/>
    <x v="5"/>
    <x v="6"/>
    <x v="1"/>
  </r>
  <r>
    <x v="1"/>
    <x v="0"/>
    <x v="45"/>
    <x v="0"/>
    <x v="8"/>
    <x v="45"/>
    <x v="0"/>
    <x v="6"/>
    <x v="5"/>
    <x v="1"/>
  </r>
  <r>
    <x v="1"/>
    <x v="0"/>
    <x v="46"/>
    <x v="0"/>
    <x v="8"/>
    <x v="46"/>
    <x v="0"/>
    <x v="7"/>
    <x v="1"/>
    <x v="1"/>
  </r>
  <r>
    <x v="1"/>
    <x v="0"/>
    <x v="36"/>
    <x v="0"/>
    <x v="8"/>
    <x v="36"/>
    <x v="0"/>
    <x v="8"/>
    <x v="11"/>
    <x v="1"/>
  </r>
  <r>
    <x v="1"/>
    <x v="0"/>
    <x v="40"/>
    <x v="0"/>
    <x v="8"/>
    <x v="40"/>
    <x v="0"/>
    <x v="9"/>
    <x v="10"/>
    <x v="1"/>
  </r>
  <r>
    <x v="1"/>
    <x v="0"/>
    <x v="37"/>
    <x v="0"/>
    <x v="8"/>
    <x v="37"/>
    <x v="0"/>
    <x v="10"/>
    <x v="9"/>
    <x v="1"/>
  </r>
  <r>
    <x v="1"/>
    <x v="0"/>
    <x v="41"/>
    <x v="0"/>
    <x v="8"/>
    <x v="41"/>
    <x v="0"/>
    <x v="11"/>
    <x v="2"/>
    <x v="1"/>
  </r>
  <r>
    <x v="1"/>
    <x v="0"/>
    <x v="613"/>
    <x v="0"/>
    <x v="9"/>
    <x v="613"/>
    <x v="0"/>
    <x v="0"/>
    <x v="3"/>
    <x v="1"/>
  </r>
  <r>
    <x v="1"/>
    <x v="0"/>
    <x v="609"/>
    <x v="0"/>
    <x v="9"/>
    <x v="609"/>
    <x v="0"/>
    <x v="1"/>
    <x v="4"/>
    <x v="1"/>
  </r>
  <r>
    <x v="1"/>
    <x v="0"/>
    <x v="614"/>
    <x v="0"/>
    <x v="9"/>
    <x v="614"/>
    <x v="0"/>
    <x v="2"/>
    <x v="7"/>
    <x v="1"/>
  </r>
  <r>
    <x v="1"/>
    <x v="0"/>
    <x v="612"/>
    <x v="0"/>
    <x v="9"/>
    <x v="612"/>
    <x v="0"/>
    <x v="3"/>
    <x v="0"/>
    <x v="1"/>
  </r>
  <r>
    <x v="1"/>
    <x v="0"/>
    <x v="618"/>
    <x v="0"/>
    <x v="9"/>
    <x v="618"/>
    <x v="0"/>
    <x v="4"/>
    <x v="8"/>
    <x v="1"/>
  </r>
  <r>
    <x v="1"/>
    <x v="0"/>
    <x v="616"/>
    <x v="0"/>
    <x v="9"/>
    <x v="616"/>
    <x v="0"/>
    <x v="5"/>
    <x v="6"/>
    <x v="1"/>
  </r>
  <r>
    <x v="1"/>
    <x v="0"/>
    <x v="619"/>
    <x v="0"/>
    <x v="9"/>
    <x v="619"/>
    <x v="0"/>
    <x v="6"/>
    <x v="5"/>
    <x v="1"/>
  </r>
  <r>
    <x v="1"/>
    <x v="0"/>
    <x v="620"/>
    <x v="0"/>
    <x v="9"/>
    <x v="620"/>
    <x v="0"/>
    <x v="7"/>
    <x v="1"/>
    <x v="1"/>
  </r>
  <r>
    <x v="1"/>
    <x v="0"/>
    <x v="615"/>
    <x v="0"/>
    <x v="9"/>
    <x v="615"/>
    <x v="0"/>
    <x v="8"/>
    <x v="11"/>
    <x v="1"/>
  </r>
  <r>
    <x v="1"/>
    <x v="0"/>
    <x v="611"/>
    <x v="0"/>
    <x v="9"/>
    <x v="611"/>
    <x v="0"/>
    <x v="9"/>
    <x v="10"/>
    <x v="1"/>
  </r>
  <r>
    <x v="1"/>
    <x v="0"/>
    <x v="617"/>
    <x v="0"/>
    <x v="9"/>
    <x v="617"/>
    <x v="0"/>
    <x v="10"/>
    <x v="9"/>
    <x v="1"/>
  </r>
  <r>
    <x v="1"/>
    <x v="0"/>
    <x v="621"/>
    <x v="0"/>
    <x v="9"/>
    <x v="621"/>
    <x v="0"/>
    <x v="11"/>
    <x v="2"/>
    <x v="1"/>
  </r>
  <r>
    <x v="1"/>
    <x v="0"/>
    <x v="331"/>
    <x v="0"/>
    <x v="10"/>
    <x v="331"/>
    <x v="0"/>
    <x v="0"/>
    <x v="3"/>
    <x v="1"/>
  </r>
  <r>
    <x v="1"/>
    <x v="0"/>
    <x v="313"/>
    <x v="0"/>
    <x v="10"/>
    <x v="313"/>
    <x v="0"/>
    <x v="1"/>
    <x v="4"/>
    <x v="1"/>
  </r>
  <r>
    <x v="1"/>
    <x v="0"/>
    <x v="376"/>
    <x v="0"/>
    <x v="10"/>
    <x v="376"/>
    <x v="0"/>
    <x v="2"/>
    <x v="7"/>
    <x v="1"/>
  </r>
  <r>
    <x v="1"/>
    <x v="0"/>
    <x v="341"/>
    <x v="0"/>
    <x v="10"/>
    <x v="341"/>
    <x v="0"/>
    <x v="3"/>
    <x v="0"/>
    <x v="1"/>
  </r>
  <r>
    <x v="1"/>
    <x v="0"/>
    <x v="355"/>
    <x v="0"/>
    <x v="10"/>
    <x v="355"/>
    <x v="0"/>
    <x v="4"/>
    <x v="8"/>
    <x v="1"/>
  </r>
  <r>
    <x v="1"/>
    <x v="0"/>
    <x v="329"/>
    <x v="0"/>
    <x v="10"/>
    <x v="329"/>
    <x v="0"/>
    <x v="5"/>
    <x v="6"/>
    <x v="1"/>
  </r>
  <r>
    <x v="1"/>
    <x v="0"/>
    <x v="342"/>
    <x v="0"/>
    <x v="10"/>
    <x v="342"/>
    <x v="0"/>
    <x v="6"/>
    <x v="5"/>
    <x v="1"/>
  </r>
  <r>
    <x v="1"/>
    <x v="0"/>
    <x v="366"/>
    <x v="0"/>
    <x v="10"/>
    <x v="366"/>
    <x v="0"/>
    <x v="7"/>
    <x v="1"/>
    <x v="1"/>
  </r>
  <r>
    <x v="1"/>
    <x v="0"/>
    <x v="319"/>
    <x v="0"/>
    <x v="10"/>
    <x v="319"/>
    <x v="0"/>
    <x v="8"/>
    <x v="11"/>
    <x v="1"/>
  </r>
  <r>
    <x v="1"/>
    <x v="0"/>
    <x v="275"/>
    <x v="0"/>
    <x v="10"/>
    <x v="275"/>
    <x v="0"/>
    <x v="9"/>
    <x v="10"/>
    <x v="1"/>
  </r>
  <r>
    <x v="1"/>
    <x v="0"/>
    <x v="322"/>
    <x v="0"/>
    <x v="10"/>
    <x v="322"/>
    <x v="0"/>
    <x v="10"/>
    <x v="9"/>
    <x v="1"/>
  </r>
  <r>
    <x v="1"/>
    <x v="0"/>
    <x v="377"/>
    <x v="0"/>
    <x v="10"/>
    <x v="377"/>
    <x v="0"/>
    <x v="11"/>
    <x v="2"/>
    <x v="1"/>
  </r>
  <r>
    <x v="1"/>
    <x v="0"/>
    <x v="299"/>
    <x v="0"/>
    <x v="11"/>
    <x v="299"/>
    <x v="0"/>
    <x v="0"/>
    <x v="3"/>
    <x v="1"/>
  </r>
  <r>
    <x v="1"/>
    <x v="0"/>
    <x v="278"/>
    <x v="0"/>
    <x v="11"/>
    <x v="278"/>
    <x v="0"/>
    <x v="1"/>
    <x v="4"/>
    <x v="1"/>
  </r>
  <r>
    <x v="1"/>
    <x v="0"/>
    <x v="310"/>
    <x v="0"/>
    <x v="11"/>
    <x v="310"/>
    <x v="0"/>
    <x v="2"/>
    <x v="7"/>
    <x v="1"/>
  </r>
  <r>
    <x v="1"/>
    <x v="0"/>
    <x v="289"/>
    <x v="0"/>
    <x v="11"/>
    <x v="289"/>
    <x v="0"/>
    <x v="3"/>
    <x v="0"/>
    <x v="1"/>
  </r>
  <r>
    <x v="1"/>
    <x v="0"/>
    <x v="304"/>
    <x v="0"/>
    <x v="11"/>
    <x v="304"/>
    <x v="0"/>
    <x v="4"/>
    <x v="8"/>
    <x v="1"/>
  </r>
  <r>
    <x v="1"/>
    <x v="0"/>
    <x v="290"/>
    <x v="0"/>
    <x v="11"/>
    <x v="290"/>
    <x v="0"/>
    <x v="5"/>
    <x v="6"/>
    <x v="1"/>
  </r>
  <r>
    <x v="1"/>
    <x v="0"/>
    <x v="308"/>
    <x v="0"/>
    <x v="11"/>
    <x v="308"/>
    <x v="0"/>
    <x v="6"/>
    <x v="5"/>
    <x v="1"/>
  </r>
  <r>
    <x v="1"/>
    <x v="0"/>
    <x v="364"/>
    <x v="0"/>
    <x v="11"/>
    <x v="364"/>
    <x v="0"/>
    <x v="7"/>
    <x v="1"/>
    <x v="1"/>
  </r>
  <r>
    <x v="1"/>
    <x v="0"/>
    <x v="315"/>
    <x v="0"/>
    <x v="11"/>
    <x v="315"/>
    <x v="0"/>
    <x v="8"/>
    <x v="11"/>
    <x v="1"/>
  </r>
  <r>
    <x v="1"/>
    <x v="0"/>
    <x v="293"/>
    <x v="0"/>
    <x v="11"/>
    <x v="293"/>
    <x v="0"/>
    <x v="9"/>
    <x v="10"/>
    <x v="1"/>
  </r>
  <r>
    <x v="1"/>
    <x v="0"/>
    <x v="302"/>
    <x v="0"/>
    <x v="11"/>
    <x v="302"/>
    <x v="0"/>
    <x v="10"/>
    <x v="9"/>
    <x v="1"/>
  </r>
  <r>
    <x v="1"/>
    <x v="0"/>
    <x v="324"/>
    <x v="0"/>
    <x v="11"/>
    <x v="324"/>
    <x v="0"/>
    <x v="11"/>
    <x v="2"/>
    <x v="1"/>
  </r>
  <r>
    <x v="1"/>
    <x v="0"/>
    <x v="424"/>
    <x v="0"/>
    <x v="12"/>
    <x v="424"/>
    <x v="0"/>
    <x v="0"/>
    <x v="3"/>
    <x v="1"/>
  </r>
  <r>
    <x v="1"/>
    <x v="0"/>
    <x v="413"/>
    <x v="0"/>
    <x v="12"/>
    <x v="413"/>
    <x v="0"/>
    <x v="1"/>
    <x v="4"/>
    <x v="1"/>
  </r>
  <r>
    <x v="1"/>
    <x v="0"/>
    <x v="426"/>
    <x v="0"/>
    <x v="12"/>
    <x v="426"/>
    <x v="0"/>
    <x v="2"/>
    <x v="7"/>
    <x v="1"/>
  </r>
  <r>
    <x v="1"/>
    <x v="0"/>
    <x v="423"/>
    <x v="0"/>
    <x v="12"/>
    <x v="423"/>
    <x v="0"/>
    <x v="3"/>
    <x v="0"/>
    <x v="1"/>
  </r>
  <r>
    <x v="1"/>
    <x v="0"/>
    <x v="439"/>
    <x v="0"/>
    <x v="12"/>
    <x v="439"/>
    <x v="0"/>
    <x v="4"/>
    <x v="8"/>
    <x v="1"/>
  </r>
  <r>
    <x v="1"/>
    <x v="0"/>
    <x v="430"/>
    <x v="0"/>
    <x v="12"/>
    <x v="430"/>
    <x v="0"/>
    <x v="5"/>
    <x v="6"/>
    <x v="1"/>
  </r>
  <r>
    <x v="1"/>
    <x v="0"/>
    <x v="440"/>
    <x v="0"/>
    <x v="12"/>
    <x v="440"/>
    <x v="0"/>
    <x v="6"/>
    <x v="5"/>
    <x v="1"/>
  </r>
  <r>
    <x v="1"/>
    <x v="0"/>
    <x v="446"/>
    <x v="0"/>
    <x v="12"/>
    <x v="446"/>
    <x v="0"/>
    <x v="7"/>
    <x v="1"/>
    <x v="1"/>
  </r>
  <r>
    <x v="1"/>
    <x v="0"/>
    <x v="434"/>
    <x v="0"/>
    <x v="12"/>
    <x v="434"/>
    <x v="0"/>
    <x v="8"/>
    <x v="11"/>
    <x v="1"/>
  </r>
  <r>
    <x v="1"/>
    <x v="0"/>
    <x v="432"/>
    <x v="0"/>
    <x v="12"/>
    <x v="432"/>
    <x v="0"/>
    <x v="9"/>
    <x v="10"/>
    <x v="1"/>
  </r>
  <r>
    <x v="1"/>
    <x v="0"/>
    <x v="437"/>
    <x v="0"/>
    <x v="12"/>
    <x v="437"/>
    <x v="0"/>
    <x v="10"/>
    <x v="9"/>
    <x v="1"/>
  </r>
  <r>
    <x v="1"/>
    <x v="0"/>
    <x v="447"/>
    <x v="0"/>
    <x v="12"/>
    <x v="447"/>
    <x v="0"/>
    <x v="11"/>
    <x v="2"/>
    <x v="1"/>
  </r>
  <r>
    <x v="1"/>
    <x v="0"/>
    <x v="539"/>
    <x v="0"/>
    <x v="13"/>
    <x v="539"/>
    <x v="0"/>
    <x v="0"/>
    <x v="3"/>
    <x v="1"/>
  </r>
  <r>
    <x v="1"/>
    <x v="0"/>
    <x v="518"/>
    <x v="0"/>
    <x v="13"/>
    <x v="518"/>
    <x v="0"/>
    <x v="1"/>
    <x v="4"/>
    <x v="1"/>
  </r>
  <r>
    <x v="1"/>
    <x v="0"/>
    <x v="542"/>
    <x v="0"/>
    <x v="13"/>
    <x v="542"/>
    <x v="0"/>
    <x v="2"/>
    <x v="7"/>
    <x v="1"/>
  </r>
  <r>
    <x v="1"/>
    <x v="0"/>
    <x v="538"/>
    <x v="0"/>
    <x v="13"/>
    <x v="538"/>
    <x v="0"/>
    <x v="3"/>
    <x v="0"/>
    <x v="1"/>
  </r>
  <r>
    <x v="1"/>
    <x v="0"/>
    <x v="545"/>
    <x v="0"/>
    <x v="13"/>
    <x v="545"/>
    <x v="0"/>
    <x v="4"/>
    <x v="8"/>
    <x v="1"/>
  </r>
  <r>
    <x v="1"/>
    <x v="0"/>
    <x v="532"/>
    <x v="0"/>
    <x v="13"/>
    <x v="532"/>
    <x v="0"/>
    <x v="5"/>
    <x v="6"/>
    <x v="1"/>
  </r>
  <r>
    <x v="1"/>
    <x v="0"/>
    <x v="546"/>
    <x v="0"/>
    <x v="13"/>
    <x v="546"/>
    <x v="0"/>
    <x v="6"/>
    <x v="5"/>
    <x v="1"/>
  </r>
  <r>
    <x v="1"/>
    <x v="0"/>
    <x v="548"/>
    <x v="0"/>
    <x v="13"/>
    <x v="548"/>
    <x v="0"/>
    <x v="7"/>
    <x v="1"/>
    <x v="1"/>
  </r>
  <r>
    <x v="1"/>
    <x v="0"/>
    <x v="540"/>
    <x v="0"/>
    <x v="13"/>
    <x v="540"/>
    <x v="0"/>
    <x v="8"/>
    <x v="11"/>
    <x v="1"/>
  </r>
  <r>
    <x v="1"/>
    <x v="0"/>
    <x v="531"/>
    <x v="0"/>
    <x v="13"/>
    <x v="531"/>
    <x v="0"/>
    <x v="9"/>
    <x v="10"/>
    <x v="1"/>
  </r>
  <r>
    <x v="1"/>
    <x v="0"/>
    <x v="544"/>
    <x v="0"/>
    <x v="13"/>
    <x v="544"/>
    <x v="0"/>
    <x v="10"/>
    <x v="9"/>
    <x v="1"/>
  </r>
  <r>
    <x v="1"/>
    <x v="0"/>
    <x v="549"/>
    <x v="0"/>
    <x v="13"/>
    <x v="549"/>
    <x v="0"/>
    <x v="11"/>
    <x v="2"/>
    <x v="1"/>
  </r>
  <r>
    <x v="1"/>
    <x v="0"/>
    <x v="87"/>
    <x v="0"/>
    <x v="14"/>
    <x v="87"/>
    <x v="0"/>
    <x v="0"/>
    <x v="3"/>
    <x v="1"/>
  </r>
  <r>
    <x v="1"/>
    <x v="0"/>
    <x v="73"/>
    <x v="0"/>
    <x v="14"/>
    <x v="73"/>
    <x v="0"/>
    <x v="1"/>
    <x v="4"/>
    <x v="1"/>
  </r>
  <r>
    <x v="1"/>
    <x v="0"/>
    <x v="108"/>
    <x v="0"/>
    <x v="14"/>
    <x v="108"/>
    <x v="0"/>
    <x v="2"/>
    <x v="7"/>
    <x v="1"/>
  </r>
  <r>
    <x v="1"/>
    <x v="0"/>
    <x v="88"/>
    <x v="0"/>
    <x v="14"/>
    <x v="88"/>
    <x v="0"/>
    <x v="3"/>
    <x v="0"/>
    <x v="1"/>
  </r>
  <r>
    <x v="1"/>
    <x v="0"/>
    <x v="89"/>
    <x v="0"/>
    <x v="14"/>
    <x v="89"/>
    <x v="0"/>
    <x v="4"/>
    <x v="8"/>
    <x v="1"/>
  </r>
  <r>
    <x v="1"/>
    <x v="0"/>
    <x v="81"/>
    <x v="0"/>
    <x v="14"/>
    <x v="81"/>
    <x v="0"/>
    <x v="5"/>
    <x v="6"/>
    <x v="1"/>
  </r>
  <r>
    <x v="1"/>
    <x v="0"/>
    <x v="86"/>
    <x v="0"/>
    <x v="14"/>
    <x v="86"/>
    <x v="0"/>
    <x v="6"/>
    <x v="5"/>
    <x v="1"/>
  </r>
  <r>
    <x v="1"/>
    <x v="0"/>
    <x v="103"/>
    <x v="0"/>
    <x v="14"/>
    <x v="103"/>
    <x v="0"/>
    <x v="7"/>
    <x v="1"/>
    <x v="1"/>
  </r>
  <r>
    <x v="1"/>
    <x v="0"/>
    <x v="100"/>
    <x v="0"/>
    <x v="14"/>
    <x v="100"/>
    <x v="0"/>
    <x v="8"/>
    <x v="11"/>
    <x v="1"/>
  </r>
  <r>
    <x v="1"/>
    <x v="0"/>
    <x v="85"/>
    <x v="0"/>
    <x v="14"/>
    <x v="85"/>
    <x v="0"/>
    <x v="9"/>
    <x v="10"/>
    <x v="1"/>
  </r>
  <r>
    <x v="1"/>
    <x v="0"/>
    <x v="95"/>
    <x v="0"/>
    <x v="14"/>
    <x v="95"/>
    <x v="0"/>
    <x v="10"/>
    <x v="9"/>
    <x v="1"/>
  </r>
  <r>
    <x v="1"/>
    <x v="0"/>
    <x v="119"/>
    <x v="0"/>
    <x v="14"/>
    <x v="119"/>
    <x v="0"/>
    <x v="11"/>
    <x v="2"/>
    <x v="1"/>
  </r>
  <r>
    <x v="1"/>
    <x v="0"/>
    <x v="51"/>
    <x v="0"/>
    <x v="15"/>
    <x v="51"/>
    <x v="0"/>
    <x v="0"/>
    <x v="3"/>
    <x v="1"/>
  </r>
  <r>
    <x v="1"/>
    <x v="0"/>
    <x v="49"/>
    <x v="0"/>
    <x v="15"/>
    <x v="49"/>
    <x v="0"/>
    <x v="1"/>
    <x v="4"/>
    <x v="1"/>
  </r>
  <r>
    <x v="1"/>
    <x v="0"/>
    <x v="64"/>
    <x v="0"/>
    <x v="15"/>
    <x v="64"/>
    <x v="0"/>
    <x v="2"/>
    <x v="7"/>
    <x v="1"/>
  </r>
  <r>
    <x v="1"/>
    <x v="0"/>
    <x v="56"/>
    <x v="0"/>
    <x v="15"/>
    <x v="56"/>
    <x v="0"/>
    <x v="3"/>
    <x v="0"/>
    <x v="1"/>
  </r>
  <r>
    <x v="1"/>
    <x v="0"/>
    <x v="57"/>
    <x v="0"/>
    <x v="15"/>
    <x v="57"/>
    <x v="0"/>
    <x v="4"/>
    <x v="8"/>
    <x v="1"/>
  </r>
  <r>
    <x v="1"/>
    <x v="0"/>
    <x v="50"/>
    <x v="0"/>
    <x v="15"/>
    <x v="50"/>
    <x v="0"/>
    <x v="5"/>
    <x v="6"/>
    <x v="1"/>
  </r>
  <r>
    <x v="1"/>
    <x v="0"/>
    <x v="55"/>
    <x v="0"/>
    <x v="15"/>
    <x v="55"/>
    <x v="0"/>
    <x v="6"/>
    <x v="5"/>
    <x v="1"/>
  </r>
  <r>
    <x v="1"/>
    <x v="0"/>
    <x v="60"/>
    <x v="0"/>
    <x v="15"/>
    <x v="60"/>
    <x v="0"/>
    <x v="7"/>
    <x v="1"/>
    <x v="1"/>
  </r>
  <r>
    <x v="1"/>
    <x v="0"/>
    <x v="54"/>
    <x v="0"/>
    <x v="15"/>
    <x v="54"/>
    <x v="0"/>
    <x v="8"/>
    <x v="11"/>
    <x v="1"/>
  </r>
  <r>
    <x v="1"/>
    <x v="0"/>
    <x v="48"/>
    <x v="0"/>
    <x v="15"/>
    <x v="48"/>
    <x v="0"/>
    <x v="9"/>
    <x v="10"/>
    <x v="1"/>
  </r>
  <r>
    <x v="1"/>
    <x v="0"/>
    <x v="58"/>
    <x v="0"/>
    <x v="15"/>
    <x v="58"/>
    <x v="0"/>
    <x v="10"/>
    <x v="9"/>
    <x v="1"/>
  </r>
  <r>
    <x v="1"/>
    <x v="0"/>
    <x v="62"/>
    <x v="0"/>
    <x v="15"/>
    <x v="62"/>
    <x v="0"/>
    <x v="11"/>
    <x v="2"/>
    <x v="1"/>
  </r>
  <r>
    <x v="1"/>
    <x v="0"/>
    <x v="104"/>
    <x v="0"/>
    <x v="16"/>
    <x v="104"/>
    <x v="0"/>
    <x v="0"/>
    <x v="3"/>
    <x v="1"/>
  </r>
  <r>
    <x v="1"/>
    <x v="0"/>
    <x v="97"/>
    <x v="0"/>
    <x v="16"/>
    <x v="97"/>
    <x v="0"/>
    <x v="1"/>
    <x v="4"/>
    <x v="1"/>
  </r>
  <r>
    <x v="1"/>
    <x v="0"/>
    <x v="118"/>
    <x v="0"/>
    <x v="16"/>
    <x v="118"/>
    <x v="0"/>
    <x v="2"/>
    <x v="7"/>
    <x v="1"/>
  </r>
  <r>
    <x v="1"/>
    <x v="0"/>
    <x v="113"/>
    <x v="0"/>
    <x v="16"/>
    <x v="113"/>
    <x v="0"/>
    <x v="3"/>
    <x v="0"/>
    <x v="1"/>
  </r>
  <r>
    <x v="1"/>
    <x v="0"/>
    <x v="117"/>
    <x v="0"/>
    <x v="16"/>
    <x v="117"/>
    <x v="0"/>
    <x v="4"/>
    <x v="8"/>
    <x v="1"/>
  </r>
  <r>
    <x v="1"/>
    <x v="0"/>
    <x v="109"/>
    <x v="0"/>
    <x v="16"/>
    <x v="109"/>
    <x v="0"/>
    <x v="5"/>
    <x v="6"/>
    <x v="1"/>
  </r>
  <r>
    <x v="1"/>
    <x v="0"/>
    <x v="112"/>
    <x v="0"/>
    <x v="16"/>
    <x v="112"/>
    <x v="0"/>
    <x v="6"/>
    <x v="5"/>
    <x v="1"/>
  </r>
  <r>
    <x v="1"/>
    <x v="0"/>
    <x v="116"/>
    <x v="0"/>
    <x v="16"/>
    <x v="116"/>
    <x v="0"/>
    <x v="7"/>
    <x v="1"/>
    <x v="1"/>
  </r>
  <r>
    <x v="1"/>
    <x v="0"/>
    <x v="114"/>
    <x v="0"/>
    <x v="16"/>
    <x v="114"/>
    <x v="0"/>
    <x v="8"/>
    <x v="11"/>
    <x v="1"/>
  </r>
  <r>
    <x v="1"/>
    <x v="0"/>
    <x v="93"/>
    <x v="0"/>
    <x v="16"/>
    <x v="93"/>
    <x v="0"/>
    <x v="9"/>
    <x v="10"/>
    <x v="1"/>
  </r>
  <r>
    <x v="1"/>
    <x v="0"/>
    <x v="106"/>
    <x v="0"/>
    <x v="16"/>
    <x v="106"/>
    <x v="0"/>
    <x v="10"/>
    <x v="9"/>
    <x v="1"/>
  </r>
  <r>
    <x v="1"/>
    <x v="0"/>
    <x v="122"/>
    <x v="0"/>
    <x v="16"/>
    <x v="122"/>
    <x v="0"/>
    <x v="11"/>
    <x v="2"/>
    <x v="1"/>
  </r>
  <r>
    <x v="1"/>
    <x v="0"/>
    <x v="67"/>
    <x v="0"/>
    <x v="17"/>
    <x v="67"/>
    <x v="0"/>
    <x v="0"/>
    <x v="3"/>
    <x v="1"/>
  </r>
  <r>
    <x v="1"/>
    <x v="0"/>
    <x v="65"/>
    <x v="0"/>
    <x v="17"/>
    <x v="65"/>
    <x v="0"/>
    <x v="1"/>
    <x v="4"/>
    <x v="1"/>
  </r>
  <r>
    <x v="1"/>
    <x v="0"/>
    <x v="80"/>
    <x v="0"/>
    <x v="17"/>
    <x v="80"/>
    <x v="0"/>
    <x v="2"/>
    <x v="7"/>
    <x v="1"/>
  </r>
  <r>
    <x v="1"/>
    <x v="0"/>
    <x v="72"/>
    <x v="0"/>
    <x v="17"/>
    <x v="72"/>
    <x v="0"/>
    <x v="3"/>
    <x v="0"/>
    <x v="1"/>
  </r>
  <r>
    <x v="1"/>
    <x v="0"/>
    <x v="74"/>
    <x v="0"/>
    <x v="17"/>
    <x v="74"/>
    <x v="0"/>
    <x v="4"/>
    <x v="8"/>
    <x v="1"/>
  </r>
  <r>
    <x v="1"/>
    <x v="0"/>
    <x v="68"/>
    <x v="0"/>
    <x v="17"/>
    <x v="68"/>
    <x v="0"/>
    <x v="5"/>
    <x v="6"/>
    <x v="1"/>
  </r>
  <r>
    <x v="1"/>
    <x v="0"/>
    <x v="78"/>
    <x v="0"/>
    <x v="17"/>
    <x v="78"/>
    <x v="0"/>
    <x v="6"/>
    <x v="5"/>
    <x v="1"/>
  </r>
  <r>
    <x v="1"/>
    <x v="0"/>
    <x v="82"/>
    <x v="0"/>
    <x v="17"/>
    <x v="82"/>
    <x v="0"/>
    <x v="7"/>
    <x v="1"/>
    <x v="1"/>
  </r>
  <r>
    <x v="1"/>
    <x v="0"/>
    <x v="59"/>
    <x v="0"/>
    <x v="17"/>
    <x v="59"/>
    <x v="0"/>
    <x v="8"/>
    <x v="11"/>
    <x v="1"/>
  </r>
  <r>
    <x v="1"/>
    <x v="0"/>
    <x v="52"/>
    <x v="0"/>
    <x v="17"/>
    <x v="52"/>
    <x v="0"/>
    <x v="9"/>
    <x v="10"/>
    <x v="1"/>
  </r>
  <r>
    <x v="1"/>
    <x v="0"/>
    <x v="65"/>
    <x v="0"/>
    <x v="17"/>
    <x v="65"/>
    <x v="0"/>
    <x v="10"/>
    <x v="9"/>
    <x v="1"/>
  </r>
  <r>
    <x v="1"/>
    <x v="0"/>
    <x v="79"/>
    <x v="0"/>
    <x v="17"/>
    <x v="79"/>
    <x v="0"/>
    <x v="11"/>
    <x v="2"/>
    <x v="1"/>
  </r>
  <r>
    <x v="1"/>
    <x v="0"/>
    <x v="601"/>
    <x v="0"/>
    <x v="18"/>
    <x v="601"/>
    <x v="0"/>
    <x v="0"/>
    <x v="3"/>
    <x v="1"/>
  </r>
  <r>
    <x v="1"/>
    <x v="0"/>
    <x v="599"/>
    <x v="0"/>
    <x v="18"/>
    <x v="599"/>
    <x v="0"/>
    <x v="1"/>
    <x v="4"/>
    <x v="1"/>
  </r>
  <r>
    <x v="1"/>
    <x v="0"/>
    <x v="605"/>
    <x v="0"/>
    <x v="18"/>
    <x v="605"/>
    <x v="0"/>
    <x v="2"/>
    <x v="7"/>
    <x v="1"/>
  </r>
  <r>
    <x v="1"/>
    <x v="0"/>
    <x v="604"/>
    <x v="0"/>
    <x v="18"/>
    <x v="604"/>
    <x v="0"/>
    <x v="3"/>
    <x v="0"/>
    <x v="1"/>
  </r>
  <r>
    <x v="1"/>
    <x v="0"/>
    <x v="608"/>
    <x v="0"/>
    <x v="18"/>
    <x v="608"/>
    <x v="0"/>
    <x v="4"/>
    <x v="8"/>
    <x v="1"/>
  </r>
  <r>
    <x v="1"/>
    <x v="0"/>
    <x v="602"/>
    <x v="0"/>
    <x v="18"/>
    <x v="602"/>
    <x v="0"/>
    <x v="5"/>
    <x v="6"/>
    <x v="1"/>
  </r>
  <r>
    <x v="1"/>
    <x v="0"/>
    <x v="606"/>
    <x v="0"/>
    <x v="18"/>
    <x v="606"/>
    <x v="0"/>
    <x v="6"/>
    <x v="5"/>
    <x v="1"/>
  </r>
  <r>
    <x v="1"/>
    <x v="0"/>
    <x v="607"/>
    <x v="0"/>
    <x v="18"/>
    <x v="607"/>
    <x v="0"/>
    <x v="7"/>
    <x v="1"/>
    <x v="1"/>
  </r>
  <r>
    <x v="1"/>
    <x v="0"/>
    <x v="600"/>
    <x v="0"/>
    <x v="18"/>
    <x v="600"/>
    <x v="0"/>
    <x v="8"/>
    <x v="11"/>
    <x v="1"/>
  </r>
  <r>
    <x v="1"/>
    <x v="0"/>
    <x v="598"/>
    <x v="0"/>
    <x v="18"/>
    <x v="598"/>
    <x v="0"/>
    <x v="9"/>
    <x v="10"/>
    <x v="1"/>
  </r>
  <r>
    <x v="1"/>
    <x v="0"/>
    <x v="603"/>
    <x v="0"/>
    <x v="18"/>
    <x v="603"/>
    <x v="0"/>
    <x v="10"/>
    <x v="9"/>
    <x v="1"/>
  </r>
  <r>
    <x v="1"/>
    <x v="0"/>
    <x v="610"/>
    <x v="0"/>
    <x v="18"/>
    <x v="610"/>
    <x v="0"/>
    <x v="11"/>
    <x v="2"/>
    <x v="1"/>
  </r>
  <r>
    <x v="1"/>
    <x v="0"/>
    <x v="262"/>
    <x v="0"/>
    <x v="20"/>
    <x v="262"/>
    <x v="0"/>
    <x v="0"/>
    <x v="3"/>
    <x v="1"/>
  </r>
  <r>
    <x v="1"/>
    <x v="0"/>
    <x v="254"/>
    <x v="0"/>
    <x v="20"/>
    <x v="254"/>
    <x v="0"/>
    <x v="1"/>
    <x v="4"/>
    <x v="1"/>
  </r>
  <r>
    <x v="1"/>
    <x v="0"/>
    <x v="270"/>
    <x v="0"/>
    <x v="20"/>
    <x v="270"/>
    <x v="0"/>
    <x v="2"/>
    <x v="7"/>
    <x v="1"/>
  </r>
  <r>
    <x v="1"/>
    <x v="0"/>
    <x v="264"/>
    <x v="0"/>
    <x v="20"/>
    <x v="264"/>
    <x v="0"/>
    <x v="3"/>
    <x v="0"/>
    <x v="1"/>
  </r>
  <r>
    <x v="1"/>
    <x v="0"/>
    <x v="266"/>
    <x v="0"/>
    <x v="20"/>
    <x v="266"/>
    <x v="0"/>
    <x v="4"/>
    <x v="8"/>
    <x v="1"/>
  </r>
  <r>
    <x v="1"/>
    <x v="0"/>
    <x v="239"/>
    <x v="0"/>
    <x v="20"/>
    <x v="239"/>
    <x v="0"/>
    <x v="5"/>
    <x v="6"/>
    <x v="1"/>
  </r>
  <r>
    <x v="1"/>
    <x v="0"/>
    <x v="259"/>
    <x v="0"/>
    <x v="20"/>
    <x v="259"/>
    <x v="0"/>
    <x v="6"/>
    <x v="5"/>
    <x v="1"/>
  </r>
  <r>
    <x v="1"/>
    <x v="0"/>
    <x v="263"/>
    <x v="0"/>
    <x v="20"/>
    <x v="263"/>
    <x v="0"/>
    <x v="7"/>
    <x v="1"/>
    <x v="1"/>
  </r>
  <r>
    <x v="1"/>
    <x v="0"/>
    <x v="251"/>
    <x v="0"/>
    <x v="20"/>
    <x v="251"/>
    <x v="0"/>
    <x v="8"/>
    <x v="11"/>
    <x v="1"/>
  </r>
  <r>
    <x v="1"/>
    <x v="0"/>
    <x v="249"/>
    <x v="0"/>
    <x v="20"/>
    <x v="249"/>
    <x v="0"/>
    <x v="9"/>
    <x v="10"/>
    <x v="1"/>
  </r>
  <r>
    <x v="1"/>
    <x v="0"/>
    <x v="247"/>
    <x v="0"/>
    <x v="20"/>
    <x v="247"/>
    <x v="0"/>
    <x v="10"/>
    <x v="9"/>
    <x v="1"/>
  </r>
  <r>
    <x v="1"/>
    <x v="0"/>
    <x v="273"/>
    <x v="0"/>
    <x v="20"/>
    <x v="273"/>
    <x v="0"/>
    <x v="11"/>
    <x v="2"/>
    <x v="1"/>
  </r>
  <r>
    <x v="1"/>
    <x v="0"/>
    <x v="359"/>
    <x v="0"/>
    <x v="21"/>
    <x v="359"/>
    <x v="0"/>
    <x v="0"/>
    <x v="3"/>
    <x v="1"/>
  </r>
  <r>
    <x v="1"/>
    <x v="0"/>
    <x v="323"/>
    <x v="0"/>
    <x v="21"/>
    <x v="323"/>
    <x v="0"/>
    <x v="1"/>
    <x v="4"/>
    <x v="1"/>
  </r>
  <r>
    <x v="1"/>
    <x v="0"/>
    <x v="367"/>
    <x v="0"/>
    <x v="21"/>
    <x v="367"/>
    <x v="0"/>
    <x v="2"/>
    <x v="7"/>
    <x v="1"/>
  </r>
  <r>
    <x v="1"/>
    <x v="0"/>
    <x v="362"/>
    <x v="0"/>
    <x v="21"/>
    <x v="362"/>
    <x v="0"/>
    <x v="3"/>
    <x v="0"/>
    <x v="1"/>
  </r>
  <r>
    <x v="1"/>
    <x v="0"/>
    <x v="385"/>
    <x v="0"/>
    <x v="21"/>
    <x v="385"/>
    <x v="0"/>
    <x v="4"/>
    <x v="8"/>
    <x v="1"/>
  </r>
  <r>
    <x v="1"/>
    <x v="0"/>
    <x v="345"/>
    <x v="0"/>
    <x v="21"/>
    <x v="345"/>
    <x v="0"/>
    <x v="5"/>
    <x v="6"/>
    <x v="1"/>
  </r>
  <r>
    <x v="1"/>
    <x v="0"/>
    <x v="395"/>
    <x v="0"/>
    <x v="21"/>
    <x v="395"/>
    <x v="0"/>
    <x v="6"/>
    <x v="5"/>
    <x v="1"/>
  </r>
  <r>
    <x v="1"/>
    <x v="0"/>
    <x v="408"/>
    <x v="0"/>
    <x v="21"/>
    <x v="408"/>
    <x v="0"/>
    <x v="7"/>
    <x v="1"/>
    <x v="1"/>
  </r>
  <r>
    <x v="1"/>
    <x v="0"/>
    <x v="354"/>
    <x v="0"/>
    <x v="21"/>
    <x v="354"/>
    <x v="0"/>
    <x v="8"/>
    <x v="11"/>
    <x v="1"/>
  </r>
  <r>
    <x v="1"/>
    <x v="0"/>
    <x v="340"/>
    <x v="0"/>
    <x v="21"/>
    <x v="340"/>
    <x v="0"/>
    <x v="9"/>
    <x v="10"/>
    <x v="1"/>
  </r>
  <r>
    <x v="1"/>
    <x v="0"/>
    <x v="365"/>
    <x v="0"/>
    <x v="21"/>
    <x v="365"/>
    <x v="0"/>
    <x v="10"/>
    <x v="9"/>
    <x v="1"/>
  </r>
  <r>
    <x v="1"/>
    <x v="0"/>
    <x v="403"/>
    <x v="0"/>
    <x v="21"/>
    <x v="403"/>
    <x v="0"/>
    <x v="11"/>
    <x v="2"/>
    <x v="1"/>
  </r>
  <r>
    <x v="1"/>
    <x v="0"/>
    <x v="185"/>
    <x v="0"/>
    <x v="22"/>
    <x v="185"/>
    <x v="0"/>
    <x v="0"/>
    <x v="3"/>
    <x v="1"/>
  </r>
  <r>
    <x v="1"/>
    <x v="0"/>
    <x v="176"/>
    <x v="0"/>
    <x v="22"/>
    <x v="176"/>
    <x v="0"/>
    <x v="1"/>
    <x v="4"/>
    <x v="1"/>
  </r>
  <r>
    <x v="1"/>
    <x v="0"/>
    <x v="189"/>
    <x v="0"/>
    <x v="22"/>
    <x v="189"/>
    <x v="0"/>
    <x v="2"/>
    <x v="7"/>
    <x v="1"/>
  </r>
  <r>
    <x v="1"/>
    <x v="0"/>
    <x v="184"/>
    <x v="0"/>
    <x v="22"/>
    <x v="184"/>
    <x v="0"/>
    <x v="3"/>
    <x v="0"/>
    <x v="1"/>
  </r>
  <r>
    <x v="1"/>
    <x v="0"/>
    <x v="187"/>
    <x v="0"/>
    <x v="22"/>
    <x v="187"/>
    <x v="0"/>
    <x v="4"/>
    <x v="8"/>
    <x v="1"/>
  </r>
  <r>
    <x v="1"/>
    <x v="0"/>
    <x v="178"/>
    <x v="0"/>
    <x v="22"/>
    <x v="178"/>
    <x v="0"/>
    <x v="5"/>
    <x v="6"/>
    <x v="1"/>
  </r>
  <r>
    <x v="1"/>
    <x v="0"/>
    <x v="182"/>
    <x v="0"/>
    <x v="22"/>
    <x v="182"/>
    <x v="0"/>
    <x v="6"/>
    <x v="5"/>
    <x v="1"/>
  </r>
  <r>
    <x v="1"/>
    <x v="0"/>
    <x v="186"/>
    <x v="0"/>
    <x v="22"/>
    <x v="186"/>
    <x v="0"/>
    <x v="7"/>
    <x v="1"/>
    <x v="1"/>
  </r>
  <r>
    <x v="1"/>
    <x v="0"/>
    <x v="188"/>
    <x v="0"/>
    <x v="22"/>
    <x v="188"/>
    <x v="0"/>
    <x v="8"/>
    <x v="11"/>
    <x v="1"/>
  </r>
  <r>
    <x v="1"/>
    <x v="0"/>
    <x v="170"/>
    <x v="0"/>
    <x v="22"/>
    <x v="170"/>
    <x v="0"/>
    <x v="9"/>
    <x v="10"/>
    <x v="1"/>
  </r>
  <r>
    <x v="1"/>
    <x v="0"/>
    <x v="183"/>
    <x v="0"/>
    <x v="22"/>
    <x v="183"/>
    <x v="0"/>
    <x v="10"/>
    <x v="9"/>
    <x v="1"/>
  </r>
  <r>
    <x v="1"/>
    <x v="0"/>
    <x v="192"/>
    <x v="0"/>
    <x v="22"/>
    <x v="192"/>
    <x v="0"/>
    <x v="11"/>
    <x v="2"/>
    <x v="1"/>
  </r>
  <r>
    <x v="1"/>
    <x v="0"/>
    <x v="450"/>
    <x v="0"/>
    <x v="23"/>
    <x v="450"/>
    <x v="0"/>
    <x v="0"/>
    <x v="3"/>
    <x v="1"/>
  </r>
  <r>
    <x v="1"/>
    <x v="0"/>
    <x v="445"/>
    <x v="0"/>
    <x v="23"/>
    <x v="445"/>
    <x v="0"/>
    <x v="1"/>
    <x v="4"/>
    <x v="1"/>
  </r>
  <r>
    <x v="1"/>
    <x v="0"/>
    <x v="460"/>
    <x v="0"/>
    <x v="23"/>
    <x v="460"/>
    <x v="0"/>
    <x v="2"/>
    <x v="7"/>
    <x v="1"/>
  </r>
  <r>
    <x v="1"/>
    <x v="0"/>
    <x v="456"/>
    <x v="0"/>
    <x v="23"/>
    <x v="456"/>
    <x v="0"/>
    <x v="3"/>
    <x v="0"/>
    <x v="1"/>
  </r>
  <r>
    <x v="1"/>
    <x v="0"/>
    <x v="464"/>
    <x v="0"/>
    <x v="23"/>
    <x v="464"/>
    <x v="0"/>
    <x v="4"/>
    <x v="8"/>
    <x v="1"/>
  </r>
  <r>
    <x v="1"/>
    <x v="0"/>
    <x v="448"/>
    <x v="0"/>
    <x v="23"/>
    <x v="448"/>
    <x v="0"/>
    <x v="5"/>
    <x v="6"/>
    <x v="1"/>
  </r>
  <r>
    <x v="1"/>
    <x v="0"/>
    <x v="458"/>
    <x v="0"/>
    <x v="23"/>
    <x v="458"/>
    <x v="0"/>
    <x v="6"/>
    <x v="5"/>
    <x v="1"/>
  </r>
  <r>
    <x v="1"/>
    <x v="0"/>
    <x v="462"/>
    <x v="0"/>
    <x v="23"/>
    <x v="462"/>
    <x v="0"/>
    <x v="7"/>
    <x v="1"/>
    <x v="1"/>
  </r>
  <r>
    <x v="1"/>
    <x v="0"/>
    <x v="449"/>
    <x v="0"/>
    <x v="23"/>
    <x v="449"/>
    <x v="0"/>
    <x v="8"/>
    <x v="11"/>
    <x v="1"/>
  </r>
  <r>
    <x v="1"/>
    <x v="0"/>
    <x v="427"/>
    <x v="0"/>
    <x v="23"/>
    <x v="427"/>
    <x v="0"/>
    <x v="9"/>
    <x v="10"/>
    <x v="1"/>
  </r>
  <r>
    <x v="1"/>
    <x v="0"/>
    <x v="455"/>
    <x v="0"/>
    <x v="23"/>
    <x v="455"/>
    <x v="0"/>
    <x v="10"/>
    <x v="9"/>
    <x v="1"/>
  </r>
  <r>
    <x v="1"/>
    <x v="0"/>
    <x v="468"/>
    <x v="0"/>
    <x v="23"/>
    <x v="468"/>
    <x v="0"/>
    <x v="11"/>
    <x v="2"/>
    <x v="1"/>
  </r>
  <r>
    <x v="1"/>
    <x v="0"/>
    <x v="25"/>
    <x v="0"/>
    <x v="24"/>
    <x v="25"/>
    <x v="0"/>
    <x v="0"/>
    <x v="3"/>
    <x v="1"/>
  </r>
  <r>
    <x v="1"/>
    <x v="0"/>
    <x v="24"/>
    <x v="0"/>
    <x v="24"/>
    <x v="24"/>
    <x v="0"/>
    <x v="1"/>
    <x v="4"/>
    <x v="1"/>
  </r>
  <r>
    <x v="1"/>
    <x v="0"/>
    <x v="34"/>
    <x v="0"/>
    <x v="24"/>
    <x v="34"/>
    <x v="0"/>
    <x v="2"/>
    <x v="7"/>
    <x v="1"/>
  </r>
  <r>
    <x v="1"/>
    <x v="0"/>
    <x v="26"/>
    <x v="0"/>
    <x v="24"/>
    <x v="26"/>
    <x v="0"/>
    <x v="3"/>
    <x v="0"/>
    <x v="1"/>
  </r>
  <r>
    <x v="1"/>
    <x v="0"/>
    <x v="32"/>
    <x v="0"/>
    <x v="24"/>
    <x v="32"/>
    <x v="0"/>
    <x v="4"/>
    <x v="8"/>
    <x v="1"/>
  </r>
  <r>
    <x v="1"/>
    <x v="0"/>
    <x v="27"/>
    <x v="0"/>
    <x v="24"/>
    <x v="27"/>
    <x v="0"/>
    <x v="5"/>
    <x v="6"/>
    <x v="1"/>
  </r>
  <r>
    <x v="1"/>
    <x v="0"/>
    <x v="30"/>
    <x v="0"/>
    <x v="24"/>
    <x v="30"/>
    <x v="0"/>
    <x v="6"/>
    <x v="5"/>
    <x v="1"/>
  </r>
  <r>
    <x v="1"/>
    <x v="0"/>
    <x v="33"/>
    <x v="0"/>
    <x v="24"/>
    <x v="33"/>
    <x v="0"/>
    <x v="7"/>
    <x v="1"/>
    <x v="1"/>
  </r>
  <r>
    <x v="1"/>
    <x v="0"/>
    <x v="28"/>
    <x v="0"/>
    <x v="24"/>
    <x v="28"/>
    <x v="0"/>
    <x v="8"/>
    <x v="11"/>
    <x v="1"/>
  </r>
  <r>
    <x v="1"/>
    <x v="0"/>
    <x v="31"/>
    <x v="0"/>
    <x v="24"/>
    <x v="31"/>
    <x v="0"/>
    <x v="9"/>
    <x v="10"/>
    <x v="1"/>
  </r>
  <r>
    <x v="1"/>
    <x v="0"/>
    <x v="29"/>
    <x v="0"/>
    <x v="24"/>
    <x v="29"/>
    <x v="0"/>
    <x v="10"/>
    <x v="9"/>
    <x v="1"/>
  </r>
  <r>
    <x v="1"/>
    <x v="0"/>
    <x v="35"/>
    <x v="0"/>
    <x v="24"/>
    <x v="35"/>
    <x v="0"/>
    <x v="11"/>
    <x v="2"/>
    <x v="1"/>
  </r>
  <r>
    <x v="1"/>
    <x v="0"/>
    <x v="25"/>
    <x v="0"/>
    <x v="25"/>
    <x v="25"/>
    <x v="0"/>
    <x v="0"/>
    <x v="3"/>
    <x v="1"/>
  </r>
  <r>
    <x v="1"/>
    <x v="0"/>
    <x v="24"/>
    <x v="0"/>
    <x v="25"/>
    <x v="24"/>
    <x v="0"/>
    <x v="1"/>
    <x v="4"/>
    <x v="1"/>
  </r>
  <r>
    <x v="1"/>
    <x v="0"/>
    <x v="34"/>
    <x v="0"/>
    <x v="25"/>
    <x v="34"/>
    <x v="0"/>
    <x v="2"/>
    <x v="7"/>
    <x v="1"/>
  </r>
  <r>
    <x v="1"/>
    <x v="0"/>
    <x v="26"/>
    <x v="0"/>
    <x v="25"/>
    <x v="26"/>
    <x v="0"/>
    <x v="3"/>
    <x v="0"/>
    <x v="1"/>
  </r>
  <r>
    <x v="1"/>
    <x v="0"/>
    <x v="32"/>
    <x v="0"/>
    <x v="25"/>
    <x v="32"/>
    <x v="0"/>
    <x v="4"/>
    <x v="8"/>
    <x v="1"/>
  </r>
  <r>
    <x v="1"/>
    <x v="0"/>
    <x v="27"/>
    <x v="0"/>
    <x v="25"/>
    <x v="27"/>
    <x v="0"/>
    <x v="5"/>
    <x v="6"/>
    <x v="1"/>
  </r>
  <r>
    <x v="1"/>
    <x v="0"/>
    <x v="30"/>
    <x v="0"/>
    <x v="25"/>
    <x v="30"/>
    <x v="0"/>
    <x v="6"/>
    <x v="5"/>
    <x v="1"/>
  </r>
  <r>
    <x v="1"/>
    <x v="0"/>
    <x v="33"/>
    <x v="0"/>
    <x v="25"/>
    <x v="33"/>
    <x v="0"/>
    <x v="7"/>
    <x v="1"/>
    <x v="1"/>
  </r>
  <r>
    <x v="1"/>
    <x v="0"/>
    <x v="28"/>
    <x v="0"/>
    <x v="25"/>
    <x v="28"/>
    <x v="0"/>
    <x v="8"/>
    <x v="11"/>
    <x v="1"/>
  </r>
  <r>
    <x v="1"/>
    <x v="0"/>
    <x v="31"/>
    <x v="0"/>
    <x v="25"/>
    <x v="31"/>
    <x v="0"/>
    <x v="9"/>
    <x v="10"/>
    <x v="1"/>
  </r>
  <r>
    <x v="1"/>
    <x v="0"/>
    <x v="29"/>
    <x v="0"/>
    <x v="25"/>
    <x v="29"/>
    <x v="0"/>
    <x v="10"/>
    <x v="9"/>
    <x v="1"/>
  </r>
  <r>
    <x v="1"/>
    <x v="0"/>
    <x v="35"/>
    <x v="0"/>
    <x v="25"/>
    <x v="35"/>
    <x v="0"/>
    <x v="11"/>
    <x v="2"/>
    <x v="1"/>
  </r>
  <r>
    <x v="0"/>
    <x v="1"/>
    <x v="514"/>
    <x v="0"/>
    <x v="19"/>
    <x v="514"/>
    <x v="1"/>
    <x v="0"/>
    <x v="3"/>
    <x v="0"/>
  </r>
  <r>
    <x v="0"/>
    <x v="1"/>
    <x v="515"/>
    <x v="0"/>
    <x v="19"/>
    <x v="515"/>
    <x v="1"/>
    <x v="1"/>
    <x v="4"/>
    <x v="0"/>
  </r>
  <r>
    <x v="0"/>
    <x v="1"/>
    <x v="529"/>
    <x v="0"/>
    <x v="19"/>
    <x v="529"/>
    <x v="1"/>
    <x v="2"/>
    <x v="7"/>
    <x v="0"/>
  </r>
  <r>
    <x v="0"/>
    <x v="1"/>
    <x v="534"/>
    <x v="0"/>
    <x v="19"/>
    <x v="534"/>
    <x v="1"/>
    <x v="3"/>
    <x v="0"/>
    <x v="0"/>
  </r>
  <r>
    <x v="0"/>
    <x v="1"/>
    <x v="525"/>
    <x v="0"/>
    <x v="19"/>
    <x v="525"/>
    <x v="1"/>
    <x v="4"/>
    <x v="8"/>
    <x v="0"/>
  </r>
  <r>
    <x v="0"/>
    <x v="1"/>
    <x v="520"/>
    <x v="0"/>
    <x v="19"/>
    <x v="520"/>
    <x v="1"/>
    <x v="5"/>
    <x v="6"/>
    <x v="0"/>
  </r>
  <r>
    <x v="0"/>
    <x v="1"/>
    <x v="519"/>
    <x v="0"/>
    <x v="19"/>
    <x v="519"/>
    <x v="1"/>
    <x v="6"/>
    <x v="5"/>
    <x v="0"/>
  </r>
  <r>
    <x v="0"/>
    <x v="1"/>
    <x v="517"/>
    <x v="0"/>
    <x v="19"/>
    <x v="517"/>
    <x v="1"/>
    <x v="7"/>
    <x v="1"/>
    <x v="0"/>
  </r>
  <r>
    <x v="0"/>
    <x v="1"/>
    <x v="522"/>
    <x v="0"/>
    <x v="19"/>
    <x v="522"/>
    <x v="1"/>
    <x v="8"/>
    <x v="11"/>
    <x v="0"/>
  </r>
  <r>
    <x v="0"/>
    <x v="1"/>
    <x v="547"/>
    <x v="0"/>
    <x v="19"/>
    <x v="547"/>
    <x v="1"/>
    <x v="9"/>
    <x v="10"/>
    <x v="0"/>
  </r>
  <r>
    <x v="0"/>
    <x v="1"/>
    <x v="543"/>
    <x v="0"/>
    <x v="19"/>
    <x v="543"/>
    <x v="1"/>
    <x v="10"/>
    <x v="9"/>
    <x v="0"/>
  </r>
  <r>
    <x v="0"/>
    <x v="1"/>
    <x v="541"/>
    <x v="0"/>
    <x v="19"/>
    <x v="541"/>
    <x v="1"/>
    <x v="11"/>
    <x v="2"/>
    <x v="0"/>
  </r>
  <r>
    <x v="1"/>
    <x v="1"/>
    <x v="568"/>
    <x v="0"/>
    <x v="19"/>
    <x v="568"/>
    <x v="1"/>
    <x v="0"/>
    <x v="3"/>
    <x v="1"/>
  </r>
  <r>
    <x v="1"/>
    <x v="1"/>
    <x v="572"/>
    <x v="0"/>
    <x v="19"/>
    <x v="572"/>
    <x v="1"/>
    <x v="1"/>
    <x v="4"/>
    <x v="1"/>
  </r>
  <r>
    <x v="1"/>
    <x v="1"/>
    <x v="588"/>
    <x v="0"/>
    <x v="19"/>
    <x v="588"/>
    <x v="1"/>
    <x v="2"/>
    <x v="7"/>
    <x v="1"/>
  </r>
  <r>
    <x v="1"/>
    <x v="1"/>
    <x v="583"/>
    <x v="0"/>
    <x v="19"/>
    <x v="583"/>
    <x v="1"/>
    <x v="3"/>
    <x v="0"/>
    <x v="1"/>
  </r>
  <r>
    <x v="1"/>
    <x v="1"/>
    <x v="591"/>
    <x v="0"/>
    <x v="19"/>
    <x v="591"/>
    <x v="1"/>
    <x v="4"/>
    <x v="8"/>
    <x v="1"/>
  </r>
  <r>
    <x v="1"/>
    <x v="1"/>
    <x v="587"/>
    <x v="0"/>
    <x v="19"/>
    <x v="587"/>
    <x v="1"/>
    <x v="5"/>
    <x v="6"/>
    <x v="1"/>
  </r>
  <r>
    <x v="1"/>
    <x v="1"/>
    <x v="579"/>
    <x v="0"/>
    <x v="19"/>
    <x v="579"/>
    <x v="1"/>
    <x v="6"/>
    <x v="5"/>
    <x v="1"/>
  </r>
  <r>
    <x v="1"/>
    <x v="1"/>
    <x v="578"/>
    <x v="0"/>
    <x v="19"/>
    <x v="578"/>
    <x v="1"/>
    <x v="7"/>
    <x v="1"/>
    <x v="1"/>
  </r>
  <r>
    <x v="1"/>
    <x v="1"/>
    <x v="575"/>
    <x v="0"/>
    <x v="19"/>
    <x v="575"/>
    <x v="1"/>
    <x v="8"/>
    <x v="11"/>
    <x v="1"/>
  </r>
  <r>
    <x v="1"/>
    <x v="1"/>
    <x v="593"/>
    <x v="0"/>
    <x v="19"/>
    <x v="593"/>
    <x v="1"/>
    <x v="9"/>
    <x v="10"/>
    <x v="1"/>
  </r>
  <r>
    <x v="1"/>
    <x v="1"/>
    <x v="585"/>
    <x v="0"/>
    <x v="19"/>
    <x v="585"/>
    <x v="1"/>
    <x v="10"/>
    <x v="9"/>
    <x v="1"/>
  </r>
  <r>
    <x v="1"/>
    <x v="1"/>
    <x v="595"/>
    <x v="0"/>
    <x v="19"/>
    <x v="595"/>
    <x v="1"/>
    <x v="11"/>
    <x v="2"/>
    <x v="1"/>
  </r>
  <r>
    <x v="0"/>
    <x v="1"/>
    <x v="521"/>
    <x v="0"/>
    <x v="19"/>
    <x v="521"/>
    <x v="2"/>
    <x v="0"/>
    <x v="3"/>
    <x v="0"/>
  </r>
  <r>
    <x v="0"/>
    <x v="1"/>
    <x v="516"/>
    <x v="0"/>
    <x v="19"/>
    <x v="516"/>
    <x v="2"/>
    <x v="1"/>
    <x v="4"/>
    <x v="0"/>
  </r>
  <r>
    <x v="0"/>
    <x v="1"/>
    <x v="526"/>
    <x v="0"/>
    <x v="19"/>
    <x v="526"/>
    <x v="2"/>
    <x v="2"/>
    <x v="7"/>
    <x v="0"/>
  </r>
  <r>
    <x v="0"/>
    <x v="1"/>
    <x v="527"/>
    <x v="0"/>
    <x v="19"/>
    <x v="527"/>
    <x v="2"/>
    <x v="3"/>
    <x v="0"/>
    <x v="0"/>
  </r>
  <r>
    <x v="0"/>
    <x v="1"/>
    <x v="536"/>
    <x v="0"/>
    <x v="19"/>
    <x v="536"/>
    <x v="2"/>
    <x v="4"/>
    <x v="8"/>
    <x v="0"/>
  </r>
  <r>
    <x v="0"/>
    <x v="1"/>
    <x v="533"/>
    <x v="0"/>
    <x v="19"/>
    <x v="533"/>
    <x v="2"/>
    <x v="5"/>
    <x v="6"/>
    <x v="0"/>
  </r>
  <r>
    <x v="0"/>
    <x v="1"/>
    <x v="528"/>
    <x v="0"/>
    <x v="19"/>
    <x v="528"/>
    <x v="2"/>
    <x v="6"/>
    <x v="5"/>
    <x v="0"/>
  </r>
  <r>
    <x v="0"/>
    <x v="1"/>
    <x v="524"/>
    <x v="0"/>
    <x v="19"/>
    <x v="524"/>
    <x v="2"/>
    <x v="7"/>
    <x v="1"/>
    <x v="0"/>
  </r>
  <r>
    <x v="0"/>
    <x v="1"/>
    <x v="530"/>
    <x v="0"/>
    <x v="19"/>
    <x v="530"/>
    <x v="2"/>
    <x v="8"/>
    <x v="11"/>
    <x v="0"/>
  </r>
  <r>
    <x v="0"/>
    <x v="1"/>
    <x v="535"/>
    <x v="0"/>
    <x v="19"/>
    <x v="535"/>
    <x v="2"/>
    <x v="9"/>
    <x v="10"/>
    <x v="0"/>
  </r>
  <r>
    <x v="0"/>
    <x v="1"/>
    <x v="523"/>
    <x v="0"/>
    <x v="19"/>
    <x v="523"/>
    <x v="2"/>
    <x v="10"/>
    <x v="9"/>
    <x v="0"/>
  </r>
  <r>
    <x v="0"/>
    <x v="1"/>
    <x v="537"/>
    <x v="0"/>
    <x v="19"/>
    <x v="537"/>
    <x v="2"/>
    <x v="11"/>
    <x v="2"/>
    <x v="0"/>
  </r>
  <r>
    <x v="1"/>
    <x v="1"/>
    <x v="574"/>
    <x v="0"/>
    <x v="19"/>
    <x v="574"/>
    <x v="2"/>
    <x v="0"/>
    <x v="3"/>
    <x v="1"/>
  </r>
  <r>
    <x v="1"/>
    <x v="1"/>
    <x v="569"/>
    <x v="0"/>
    <x v="19"/>
    <x v="569"/>
    <x v="2"/>
    <x v="1"/>
    <x v="4"/>
    <x v="1"/>
  </r>
  <r>
    <x v="1"/>
    <x v="1"/>
    <x v="584"/>
    <x v="0"/>
    <x v="19"/>
    <x v="584"/>
    <x v="2"/>
    <x v="2"/>
    <x v="7"/>
    <x v="1"/>
  </r>
  <r>
    <x v="1"/>
    <x v="1"/>
    <x v="582"/>
    <x v="0"/>
    <x v="19"/>
    <x v="582"/>
    <x v="2"/>
    <x v="3"/>
    <x v="0"/>
    <x v="1"/>
  </r>
  <r>
    <x v="1"/>
    <x v="1"/>
    <x v="590"/>
    <x v="0"/>
    <x v="19"/>
    <x v="590"/>
    <x v="2"/>
    <x v="4"/>
    <x v="8"/>
    <x v="1"/>
  </r>
  <r>
    <x v="1"/>
    <x v="1"/>
    <x v="580"/>
    <x v="0"/>
    <x v="19"/>
    <x v="580"/>
    <x v="2"/>
    <x v="5"/>
    <x v="6"/>
    <x v="1"/>
  </r>
  <r>
    <x v="1"/>
    <x v="1"/>
    <x v="586"/>
    <x v="0"/>
    <x v="19"/>
    <x v="586"/>
    <x v="2"/>
    <x v="6"/>
    <x v="5"/>
    <x v="1"/>
  </r>
  <r>
    <x v="1"/>
    <x v="1"/>
    <x v="577"/>
    <x v="0"/>
    <x v="19"/>
    <x v="577"/>
    <x v="2"/>
    <x v="7"/>
    <x v="1"/>
    <x v="1"/>
  </r>
  <r>
    <x v="1"/>
    <x v="1"/>
    <x v="570"/>
    <x v="0"/>
    <x v="19"/>
    <x v="570"/>
    <x v="2"/>
    <x v="8"/>
    <x v="11"/>
    <x v="1"/>
  </r>
  <r>
    <x v="1"/>
    <x v="1"/>
    <x v="552"/>
    <x v="0"/>
    <x v="19"/>
    <x v="552"/>
    <x v="2"/>
    <x v="9"/>
    <x v="10"/>
    <x v="1"/>
  </r>
  <r>
    <x v="1"/>
    <x v="1"/>
    <x v="564"/>
    <x v="0"/>
    <x v="19"/>
    <x v="564"/>
    <x v="2"/>
    <x v="10"/>
    <x v="9"/>
    <x v="1"/>
  </r>
  <r>
    <x v="1"/>
    <x v="1"/>
    <x v="566"/>
    <x v="0"/>
    <x v="19"/>
    <x v="566"/>
    <x v="2"/>
    <x v="11"/>
    <x v="2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E32" firstHeaderRow="1" firstDataRow="2" firstDataCol="2"/>
  <pivotFields count="10">
    <pivotField axis="axisCol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axis="axisRow" compact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2"/>
        <item x="23"/>
        <item x="24"/>
        <item x="25"/>
        <item x="21"/>
        <item x="19"/>
      </items>
    </pivotField>
    <pivotField dataField="1" compact="0" showAll="0"/>
    <pivotField axis="axisRow" compact="0" showAll="0" defaultSubtotal="0" outline="0">
      <items count="3">
        <item x="0"/>
        <item x="1"/>
        <item x="2"/>
      </items>
    </pivotField>
    <pivotField compact="0" showAll="0"/>
    <pivotField compact="0" showAll="0"/>
    <pivotField compact="0" showAll="0"/>
  </pivotFields>
  <rowFields count="2">
    <field x="6"/>
    <field x="4"/>
  </rowFields>
  <colFields count="1">
    <field x="0"/>
  </colFields>
  <dataFields count="1">
    <dataField name="Soma de FUEL_M3" fld="5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B63" activeCellId="0" sqref="B63"/>
    </sheetView>
  </sheetViews>
  <sheetFormatPr defaultColWidth="11.71484375" defaultRowHeight="12.8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1.29"/>
    <col collapsed="false" customWidth="true" hidden="false" outlineLevel="0" max="3" min="3" style="1" width="39.14"/>
    <col collapsed="false" customWidth="true" hidden="false" outlineLevel="0" max="4" min="4" style="1" width="7.71"/>
    <col collapsed="false" customWidth="true" hidden="false" outlineLevel="0" max="6" min="5" style="1" width="12.71"/>
    <col collapsed="false" customWidth="true" hidden="false" outlineLevel="0" max="7" min="7" style="1" width="14.42"/>
    <col collapsed="false" customWidth="true" hidden="false" outlineLevel="0" max="9" min="8" style="1" width="20.57"/>
    <col collapsed="false" customWidth="true" hidden="false" outlineLevel="0" max="10" min="10" style="1" width="9.14"/>
    <col collapsed="false" customWidth="true" hidden="false" outlineLevel="0" max="11" min="11" style="1" width="24.57"/>
    <col collapsed="false" customWidth="true" hidden="false" outlineLevel="0" max="12" min="12" style="1" width="24.14"/>
    <col collapsed="false" customWidth="true" hidden="false" outlineLevel="0" max="13" min="13" style="1" width="32.86"/>
    <col collapsed="false" customWidth="true" hidden="false" outlineLevel="0" max="14" min="14" style="1" width="13.86"/>
    <col collapsed="false" customWidth="true" hidden="false" outlineLevel="0" max="15" min="15" style="1" width="14"/>
    <col collapsed="false" customWidth="true" hidden="false" outlineLevel="0" max="16" min="16" style="1" width="13.42"/>
    <col collapsed="false" customWidth="true" hidden="false" outlineLevel="0" max="17" min="17" style="1" width="9.57"/>
    <col collapsed="false" customWidth="true" hidden="false" outlineLevel="0" max="19" min="18" style="1" width="17.71"/>
    <col collapsed="false" customWidth="true" hidden="false" outlineLevel="0" max="20" min="20" style="1" width="80.57"/>
    <col collapsed="false" customWidth="true" hidden="false" outlineLevel="0" max="21" min="21" style="1" width="13.29"/>
    <col collapsed="false" customWidth="true" hidden="false" outlineLevel="0" max="22" min="22" style="1" width="12.71"/>
    <col collapsed="false" customWidth="true" hidden="false" outlineLevel="0" max="23" min="23" style="1" width="14.14"/>
    <col collapsed="false" customWidth="true" hidden="false" outlineLevel="0" max="24" min="24" style="1" width="15.29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customFormat="false" ht="12.75" hidden="false" customHeight="false" outlineLevel="0" collapsed="false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n">
        <v>4.5</v>
      </c>
      <c r="G2" s="1" t="s">
        <v>29</v>
      </c>
      <c r="H2" s="1" t="n">
        <v>1.798</v>
      </c>
      <c r="I2" s="1" t="n">
        <v>-0.137</v>
      </c>
      <c r="J2" s="5" t="n">
        <f aca="false">IF(D2="D", 250, 50)</f>
        <v>50</v>
      </c>
      <c r="K2" s="1" t="s">
        <v>30</v>
      </c>
      <c r="L2" s="1" t="str">
        <f aca="false">IF(D2="G","Petrol",IF(D2="D","Diesel",IF(D2="HY","Petrol Hybrid",IF(D2="GLP","LPG Bifuell ~ LPG",D2))))</f>
        <v>Petrol</v>
      </c>
      <c r="M2" s="1" t="s">
        <v>31</v>
      </c>
      <c r="Q2" s="1" t="n">
        <v>34.2</v>
      </c>
      <c r="R2" s="1" t="s">
        <v>32</v>
      </c>
      <c r="S2" s="1" t="n">
        <v>17.787</v>
      </c>
      <c r="U2" s="1" t="s">
        <v>24</v>
      </c>
      <c r="V2" s="1" t="s">
        <v>33</v>
      </c>
      <c r="W2" s="1" t="s">
        <v>34</v>
      </c>
      <c r="X2" s="1" t="str">
        <f aca="false">D2</f>
        <v>G</v>
      </c>
    </row>
    <row r="3" customFormat="false" ht="12.75" hidden="false" customHeight="false" outlineLevel="0" collapsed="false">
      <c r="A3" s="1" t="s">
        <v>24</v>
      </c>
      <c r="B3" s="1" t="s">
        <v>35</v>
      </c>
      <c r="C3" s="1" t="s">
        <v>36</v>
      </c>
      <c r="D3" s="1" t="s">
        <v>27</v>
      </c>
      <c r="E3" s="1" t="s">
        <v>37</v>
      </c>
      <c r="F3" s="1" t="n">
        <v>4.5</v>
      </c>
      <c r="G3" s="1" t="s">
        <v>29</v>
      </c>
      <c r="H3" s="1" t="n">
        <v>1.798</v>
      </c>
      <c r="I3" s="1" t="n">
        <v>-0.137</v>
      </c>
      <c r="J3" s="5" t="n">
        <f aca="false">IF(D3="D", 250, 50)</f>
        <v>50</v>
      </c>
      <c r="K3" s="1" t="s">
        <v>30</v>
      </c>
      <c r="L3" s="1" t="str">
        <f aca="false">IF(D3="G","Petrol",IF(D3="D","Diesel",IF(D3="HY","Petrol Hybrid",IF(D3="GLP","LPG Bifuell ~ LPG",D3))))</f>
        <v>Petrol</v>
      </c>
      <c r="M3" s="1" t="s">
        <v>31</v>
      </c>
      <c r="Q3" s="1" t="n">
        <v>34.2</v>
      </c>
      <c r="R3" s="1" t="s">
        <v>32</v>
      </c>
      <c r="S3" s="1" t="n">
        <v>17.787</v>
      </c>
      <c r="U3" s="1" t="s">
        <v>24</v>
      </c>
      <c r="V3" s="1" t="s">
        <v>33</v>
      </c>
      <c r="W3" s="1" t="s">
        <v>34</v>
      </c>
      <c r="X3" s="1" t="str">
        <f aca="false">D3</f>
        <v>G</v>
      </c>
    </row>
    <row r="4" customFormat="false" ht="12.75" hidden="false" customHeight="false" outlineLevel="0" collapsed="false">
      <c r="A4" s="1" t="s">
        <v>24</v>
      </c>
      <c r="B4" s="1" t="s">
        <v>38</v>
      </c>
      <c r="C4" s="1" t="s">
        <v>39</v>
      </c>
      <c r="D4" s="1" t="s">
        <v>27</v>
      </c>
      <c r="E4" s="1" t="s">
        <v>40</v>
      </c>
      <c r="F4" s="1" t="n">
        <v>4.5</v>
      </c>
      <c r="G4" s="1" t="s">
        <v>29</v>
      </c>
      <c r="H4" s="1" t="n">
        <v>1.798</v>
      </c>
      <c r="I4" s="1" t="n">
        <v>-0.137</v>
      </c>
      <c r="J4" s="5" t="n">
        <f aca="false">IF(D4="D", 250, 50)</f>
        <v>50</v>
      </c>
      <c r="K4" s="1" t="s">
        <v>30</v>
      </c>
      <c r="L4" s="1" t="str">
        <f aca="false">IF(D4="G","Petrol",IF(D4="D","Diesel",IF(D4="HY","Petrol Hybrid",IF(D4="GLP","LPG Bifuell ~ LPG",D4))))</f>
        <v>Petrol</v>
      </c>
      <c r="M4" s="1" t="s">
        <v>41</v>
      </c>
      <c r="Q4" s="1" t="n">
        <v>34.2</v>
      </c>
      <c r="R4" s="1" t="s">
        <v>32</v>
      </c>
      <c r="S4" s="1" t="n">
        <v>17.787</v>
      </c>
      <c r="U4" s="1" t="s">
        <v>24</v>
      </c>
      <c r="V4" s="1" t="s">
        <v>33</v>
      </c>
      <c r="W4" s="1" t="s">
        <v>42</v>
      </c>
      <c r="X4" s="1" t="str">
        <f aca="false">D4</f>
        <v>G</v>
      </c>
    </row>
    <row r="5" customFormat="false" ht="12.75" hidden="false" customHeight="false" outlineLevel="0" collapsed="false">
      <c r="A5" s="1" t="s">
        <v>24</v>
      </c>
      <c r="B5" s="1" t="s">
        <v>43</v>
      </c>
      <c r="C5" s="1" t="s">
        <v>44</v>
      </c>
      <c r="D5" s="1" t="s">
        <v>27</v>
      </c>
      <c r="E5" s="1" t="s">
        <v>45</v>
      </c>
      <c r="F5" s="1" t="n">
        <v>4.5</v>
      </c>
      <c r="G5" s="1" t="s">
        <v>29</v>
      </c>
      <c r="H5" s="1" t="n">
        <v>1.798</v>
      </c>
      <c r="I5" s="1" t="n">
        <v>-0.137</v>
      </c>
      <c r="J5" s="5" t="n">
        <f aca="false">IF(D5="D", 250, 50)</f>
        <v>50</v>
      </c>
      <c r="K5" s="1" t="s">
        <v>30</v>
      </c>
      <c r="L5" s="1" t="str">
        <f aca="false">IF(D5="G","Petrol",IF(D5="D","Diesel",IF(D5="HY","Petrol Hybrid",IF(D5="GLP","LPG Bifuell ~ LPG",D5))))</f>
        <v>Petrol</v>
      </c>
      <c r="M5" s="1" t="s">
        <v>46</v>
      </c>
      <c r="Q5" s="1" t="n">
        <v>34.2</v>
      </c>
      <c r="R5" s="1" t="s">
        <v>32</v>
      </c>
      <c r="S5" s="1" t="n">
        <v>17.787</v>
      </c>
      <c r="U5" s="1" t="s">
        <v>24</v>
      </c>
      <c r="V5" s="1" t="s">
        <v>33</v>
      </c>
      <c r="W5" s="1" t="s">
        <v>47</v>
      </c>
      <c r="X5" s="1" t="str">
        <f aca="false">D5</f>
        <v>G</v>
      </c>
    </row>
    <row r="6" customFormat="false" ht="12.75" hidden="false" customHeight="false" outlineLevel="0" collapsed="false">
      <c r="A6" s="1" t="s">
        <v>24</v>
      </c>
      <c r="B6" s="1" t="s">
        <v>48</v>
      </c>
      <c r="C6" s="1" t="s">
        <v>26</v>
      </c>
      <c r="D6" s="1" t="s">
        <v>49</v>
      </c>
      <c r="E6" s="1" t="s">
        <v>28</v>
      </c>
      <c r="F6" s="1" t="n">
        <v>4.5</v>
      </c>
      <c r="G6" s="1" t="s">
        <v>29</v>
      </c>
      <c r="H6" s="1" t="n">
        <v>1.798</v>
      </c>
      <c r="I6" s="1" t="n">
        <v>-0.137</v>
      </c>
      <c r="J6" s="5" t="n">
        <f aca="false">IF(D6="D", 250, 50)</f>
        <v>250</v>
      </c>
      <c r="K6" s="1" t="s">
        <v>30</v>
      </c>
      <c r="L6" s="1" t="str">
        <f aca="false">IF(D6="G","Petrol",IF(D6="D","Diesel",IF(D6="HY","Petrol Hybrid",IF(D6="GLP","LPG Bifuell ~ LPG",D6))))</f>
        <v>Diesel</v>
      </c>
      <c r="M6" s="1" t="s">
        <v>31</v>
      </c>
      <c r="Q6" s="1" t="n">
        <v>34.2</v>
      </c>
      <c r="R6" s="1" t="s">
        <v>32</v>
      </c>
      <c r="S6" s="1" t="n">
        <v>17.787</v>
      </c>
      <c r="U6" s="1" t="s">
        <v>24</v>
      </c>
      <c r="V6" s="1" t="s">
        <v>33</v>
      </c>
      <c r="W6" s="1" t="s">
        <v>34</v>
      </c>
      <c r="X6" s="1" t="str">
        <f aca="false">D6</f>
        <v>D</v>
      </c>
    </row>
    <row r="7" customFormat="false" ht="12.75" hidden="false" customHeight="false" outlineLevel="0" collapsed="false">
      <c r="A7" s="1" t="s">
        <v>24</v>
      </c>
      <c r="B7" s="1" t="s">
        <v>50</v>
      </c>
      <c r="C7" s="1" t="s">
        <v>36</v>
      </c>
      <c r="D7" s="1" t="s">
        <v>49</v>
      </c>
      <c r="E7" s="1" t="s">
        <v>37</v>
      </c>
      <c r="F7" s="1" t="n">
        <v>4.5</v>
      </c>
      <c r="G7" s="1" t="s">
        <v>29</v>
      </c>
      <c r="H7" s="1" t="n">
        <v>1.798</v>
      </c>
      <c r="I7" s="1" t="n">
        <v>-0.137</v>
      </c>
      <c r="J7" s="5" t="n">
        <f aca="false">IF(D7="D", 250, 50)</f>
        <v>250</v>
      </c>
      <c r="K7" s="1" t="s">
        <v>30</v>
      </c>
      <c r="L7" s="1" t="str">
        <f aca="false">IF(D7="G","Petrol",IF(D7="D","Diesel",IF(D7="HY","Petrol Hybrid",IF(D7="GLP","LPG Bifuell ~ LPG",D7))))</f>
        <v>Diesel</v>
      </c>
      <c r="M7" s="1" t="s">
        <v>31</v>
      </c>
      <c r="Q7" s="1" t="n">
        <v>34.2</v>
      </c>
      <c r="R7" s="1" t="s">
        <v>32</v>
      </c>
      <c r="S7" s="1" t="n">
        <v>17.787</v>
      </c>
      <c r="U7" s="1" t="s">
        <v>24</v>
      </c>
      <c r="V7" s="1" t="s">
        <v>33</v>
      </c>
      <c r="W7" s="1" t="s">
        <v>34</v>
      </c>
      <c r="X7" s="1" t="str">
        <f aca="false">D7</f>
        <v>D</v>
      </c>
    </row>
    <row r="8" customFormat="false" ht="12.75" hidden="false" customHeight="false" outlineLevel="0" collapsed="false">
      <c r="A8" s="1" t="s">
        <v>24</v>
      </c>
      <c r="B8" s="1" t="s">
        <v>51</v>
      </c>
      <c r="C8" s="1" t="s">
        <v>39</v>
      </c>
      <c r="D8" s="1" t="s">
        <v>49</v>
      </c>
      <c r="E8" s="1" t="s">
        <v>40</v>
      </c>
      <c r="F8" s="1" t="n">
        <v>4.5</v>
      </c>
      <c r="G8" s="1" t="s">
        <v>29</v>
      </c>
      <c r="H8" s="1" t="n">
        <v>1.798</v>
      </c>
      <c r="I8" s="1" t="n">
        <v>-0.137</v>
      </c>
      <c r="J8" s="5" t="n">
        <f aca="false">IF(D8="D", 250, 50)</f>
        <v>250</v>
      </c>
      <c r="K8" s="1" t="s">
        <v>30</v>
      </c>
      <c r="L8" s="1" t="str">
        <f aca="false">IF(D8="G","Petrol",IF(D8="D","Diesel",IF(D8="HY","Petrol Hybrid",IF(D8="GLP","LPG Bifuell ~ LPG",D8))))</f>
        <v>Diesel</v>
      </c>
      <c r="M8" s="1" t="s">
        <v>41</v>
      </c>
      <c r="Q8" s="1" t="n">
        <v>34.2</v>
      </c>
      <c r="R8" s="1" t="s">
        <v>32</v>
      </c>
      <c r="S8" s="1" t="n">
        <v>17.787</v>
      </c>
      <c r="U8" s="1" t="s">
        <v>24</v>
      </c>
      <c r="V8" s="1" t="s">
        <v>33</v>
      </c>
      <c r="W8" s="1" t="s">
        <v>42</v>
      </c>
      <c r="X8" s="1" t="str">
        <f aca="false">D8</f>
        <v>D</v>
      </c>
    </row>
    <row r="9" customFormat="false" ht="12.75" hidden="false" customHeight="false" outlineLevel="0" collapsed="false">
      <c r="A9" s="1" t="s">
        <v>24</v>
      </c>
      <c r="B9" s="1" t="s">
        <v>52</v>
      </c>
      <c r="C9" s="1" t="s">
        <v>44</v>
      </c>
      <c r="D9" s="1" t="s">
        <v>49</v>
      </c>
      <c r="E9" s="1" t="s">
        <v>45</v>
      </c>
      <c r="F9" s="1" t="n">
        <v>4.5</v>
      </c>
      <c r="G9" s="1" t="s">
        <v>29</v>
      </c>
      <c r="H9" s="1" t="n">
        <v>1.798</v>
      </c>
      <c r="I9" s="1" t="n">
        <v>-0.137</v>
      </c>
      <c r="J9" s="5" t="n">
        <f aca="false">IF(D9="D", 250, 50)</f>
        <v>250</v>
      </c>
      <c r="K9" s="1" t="s">
        <v>30</v>
      </c>
      <c r="L9" s="1" t="str">
        <f aca="false">IF(D9="G","Petrol",IF(D9="D","Diesel",IF(D9="HY","Petrol Hybrid",IF(D9="GLP","LPG Bifuell ~ LPG",D9))))</f>
        <v>Diesel</v>
      </c>
      <c r="M9" s="1" t="s">
        <v>46</v>
      </c>
      <c r="Q9" s="1" t="n">
        <v>34.2</v>
      </c>
      <c r="R9" s="1" t="s">
        <v>32</v>
      </c>
      <c r="S9" s="1" t="n">
        <v>17.787</v>
      </c>
      <c r="U9" s="1" t="s">
        <v>24</v>
      </c>
      <c r="V9" s="1" t="s">
        <v>33</v>
      </c>
      <c r="W9" s="1" t="s">
        <v>47</v>
      </c>
      <c r="X9" s="1" t="str">
        <f aca="false">D9</f>
        <v>D</v>
      </c>
    </row>
    <row r="10" customFormat="false" ht="12.75" hidden="false" customHeight="false" outlineLevel="0" collapsed="false">
      <c r="A10" s="1" t="s">
        <v>24</v>
      </c>
      <c r="B10" s="1" t="s">
        <v>53</v>
      </c>
      <c r="C10" s="1" t="s">
        <v>54</v>
      </c>
      <c r="D10" s="1" t="s">
        <v>55</v>
      </c>
      <c r="E10" s="1" t="s">
        <v>56</v>
      </c>
      <c r="F10" s="1" t="n">
        <v>4.5</v>
      </c>
      <c r="G10" s="1" t="s">
        <v>29</v>
      </c>
      <c r="H10" s="1" t="n">
        <v>1.798</v>
      </c>
      <c r="I10" s="1" t="n">
        <v>-0.137</v>
      </c>
      <c r="J10" s="5" t="n">
        <f aca="false">IF(D10="D", 250, 50)</f>
        <v>50</v>
      </c>
      <c r="K10" s="1" t="s">
        <v>30</v>
      </c>
      <c r="L10" s="1" t="str">
        <f aca="false">IF(D10="G","Petrol",IF(D10="D","Diesel",IF(D10="HY","Petrol Hybrid",IF(D10="GLP","LPG Bifuell ~ LPG",D10))))</f>
        <v>ELEC</v>
      </c>
      <c r="M10" s="1" t="s">
        <v>31</v>
      </c>
      <c r="Q10" s="1" t="n">
        <v>34.2</v>
      </c>
      <c r="R10" s="1" t="s">
        <v>32</v>
      </c>
      <c r="S10" s="1" t="n">
        <v>17.787</v>
      </c>
      <c r="U10" s="1" t="s">
        <v>24</v>
      </c>
      <c r="V10" s="1" t="s">
        <v>33</v>
      </c>
      <c r="W10" s="1" t="s">
        <v>34</v>
      </c>
      <c r="X10" s="1" t="str">
        <f aca="false">D10</f>
        <v>ELEC</v>
      </c>
    </row>
    <row r="11" customFormat="false" ht="12.75" hidden="false" customHeight="false" outlineLevel="0" collapsed="false">
      <c r="A11" s="1" t="s">
        <v>24</v>
      </c>
      <c r="B11" s="1" t="s">
        <v>57</v>
      </c>
      <c r="C11" s="1" t="s">
        <v>36</v>
      </c>
      <c r="D11" s="1" t="s">
        <v>58</v>
      </c>
      <c r="E11" s="1" t="s">
        <v>37</v>
      </c>
      <c r="F11" s="1" t="n">
        <v>4.5</v>
      </c>
      <c r="G11" s="1" t="s">
        <v>29</v>
      </c>
      <c r="H11" s="1" t="n">
        <v>1.798</v>
      </c>
      <c r="I11" s="1" t="n">
        <v>-0.137</v>
      </c>
      <c r="J11" s="5" t="n">
        <f aca="false">IF(D11="D", 250, 50)</f>
        <v>50</v>
      </c>
      <c r="K11" s="1" t="s">
        <v>30</v>
      </c>
      <c r="L11" s="1" t="str">
        <f aca="false">IF(D11="G","Petrol",IF(D11="D","Diesel",IF(D11="HY","Petrol Hybrid",IF(D11="GLP","LPG Bifuell ~ LPG",D11))))</f>
        <v>Petrol Hybrid</v>
      </c>
      <c r="M11" s="1" t="s">
        <v>31</v>
      </c>
      <c r="Q11" s="1" t="n">
        <v>34.2</v>
      </c>
      <c r="R11" s="1" t="s">
        <v>32</v>
      </c>
      <c r="S11" s="1" t="n">
        <v>17.787</v>
      </c>
      <c r="U11" s="1" t="s">
        <v>24</v>
      </c>
      <c r="V11" s="1" t="s">
        <v>33</v>
      </c>
      <c r="W11" s="1" t="s">
        <v>42</v>
      </c>
      <c r="X11" s="1" t="s">
        <v>59</v>
      </c>
    </row>
    <row r="12" customFormat="false" ht="12.75" hidden="false" customHeight="false" outlineLevel="0" collapsed="false">
      <c r="A12" s="1" t="s">
        <v>24</v>
      </c>
      <c r="B12" s="1" t="s">
        <v>60</v>
      </c>
      <c r="C12" s="1" t="s">
        <v>61</v>
      </c>
      <c r="D12" s="1" t="s">
        <v>27</v>
      </c>
      <c r="E12" s="1" t="s">
        <v>37</v>
      </c>
      <c r="F12" s="1" t="n">
        <v>4.5</v>
      </c>
      <c r="G12" s="1" t="s">
        <v>29</v>
      </c>
      <c r="H12" s="1" t="n">
        <v>1.798</v>
      </c>
      <c r="I12" s="1" t="n">
        <v>-0.137</v>
      </c>
      <c r="J12" s="5" t="n">
        <f aca="false">IF(D12="D", 250, 50)</f>
        <v>50</v>
      </c>
      <c r="K12" s="1" t="s">
        <v>30</v>
      </c>
      <c r="L12" s="1" t="str">
        <f aca="false">IF(D12="G","Petrol",IF(D12="D","Diesel",IF(D12="HY","Petrol Hybrid",IF(D12="GLP","LPG Bifuell ~ LPG",D12))))</f>
        <v>Petrol</v>
      </c>
      <c r="M12" s="1" t="s">
        <v>31</v>
      </c>
      <c r="Q12" s="1" t="n">
        <v>34.2</v>
      </c>
      <c r="R12" s="1" t="s">
        <v>32</v>
      </c>
      <c r="S12" s="1" t="n">
        <v>17.787</v>
      </c>
      <c r="U12" s="1" t="s">
        <v>24</v>
      </c>
      <c r="V12" s="1" t="s">
        <v>33</v>
      </c>
      <c r="W12" s="1" t="s">
        <v>42</v>
      </c>
      <c r="X12" s="1" t="str">
        <f aca="false">D12</f>
        <v>G</v>
      </c>
    </row>
    <row r="13" customFormat="false" ht="12.75" hidden="false" customHeight="false" outlineLevel="0" collapsed="false">
      <c r="A13" s="1" t="s">
        <v>24</v>
      </c>
      <c r="B13" s="1" t="s">
        <v>62</v>
      </c>
      <c r="C13" s="1" t="s">
        <v>63</v>
      </c>
      <c r="D13" s="1" t="s">
        <v>64</v>
      </c>
      <c r="E13" s="1" t="s">
        <v>37</v>
      </c>
      <c r="F13" s="1" t="n">
        <v>4.5</v>
      </c>
      <c r="G13" s="1" t="s">
        <v>29</v>
      </c>
      <c r="H13" s="1" t="n">
        <v>1.798</v>
      </c>
      <c r="I13" s="1" t="n">
        <v>-0.137</v>
      </c>
      <c r="J13" s="5" t="n">
        <f aca="false">IF(D13="D", 250, 50)</f>
        <v>50</v>
      </c>
      <c r="K13" s="1" t="s">
        <v>30</v>
      </c>
      <c r="L13" s="1" t="str">
        <f aca="false">IF(D13="G","Petrol",IF(D13="D","Diesel",IF(D13="HY","Petrol Hybrid",IF(D13="GLP","LPG Bifuell ~ LPG",D13))))</f>
        <v>LPG Bifuell ~ LPG</v>
      </c>
      <c r="M13" s="1" t="s">
        <v>31</v>
      </c>
      <c r="Q13" s="1" t="n">
        <v>34.2</v>
      </c>
      <c r="R13" s="1" t="s">
        <v>32</v>
      </c>
      <c r="S13" s="1" t="n">
        <v>17.787</v>
      </c>
      <c r="U13" s="1" t="s">
        <v>24</v>
      </c>
      <c r="V13" s="1" t="s">
        <v>33</v>
      </c>
      <c r="W13" s="1" t="s">
        <v>42</v>
      </c>
      <c r="X13" s="1" t="s">
        <v>65</v>
      </c>
    </row>
    <row r="14" customFormat="false" ht="12.75" hidden="false" customHeight="false" outlineLevel="0" collapsed="false">
      <c r="A14" s="1" t="s">
        <v>66</v>
      </c>
      <c r="B14" s="1" t="s">
        <v>67</v>
      </c>
      <c r="C14" s="1" t="s">
        <v>68</v>
      </c>
      <c r="D14" s="1" t="s">
        <v>27</v>
      </c>
      <c r="E14" s="1" t="s">
        <v>69</v>
      </c>
      <c r="F14" s="1" t="n">
        <v>4.5</v>
      </c>
      <c r="G14" s="1" t="s">
        <v>29</v>
      </c>
      <c r="H14" s="1" t="n">
        <v>1.618</v>
      </c>
      <c r="I14" s="1" t="n">
        <v>-0.141</v>
      </c>
      <c r="J14" s="5" t="n">
        <f aca="false">IF(D14="D", 250, 50)</f>
        <v>50</v>
      </c>
      <c r="K14" s="1" t="s">
        <v>70</v>
      </c>
      <c r="L14" s="1" t="str">
        <f aca="false">IF(D14="G","Petrol",IF(D14="D","Diesel",IF(D14="HY","Petrol Hybrid",IF(D14="GLP","LPG Bifuell ~ LPG",D14))))</f>
        <v>Petrol</v>
      </c>
      <c r="M14" s="1" t="s">
        <v>71</v>
      </c>
      <c r="Q14" s="1" t="n">
        <v>34.2</v>
      </c>
      <c r="R14" s="1" t="s">
        <v>32</v>
      </c>
      <c r="S14" s="1" t="n">
        <v>17.787</v>
      </c>
      <c r="U14" s="1" t="s">
        <v>66</v>
      </c>
      <c r="V14" s="1" t="s">
        <v>33</v>
      </c>
      <c r="W14" s="1" t="s">
        <v>72</v>
      </c>
      <c r="X14" s="1" t="str">
        <f aca="false">D14</f>
        <v>G</v>
      </c>
    </row>
    <row r="15" customFormat="false" ht="12.75" hidden="false" customHeight="false" outlineLevel="0" collapsed="false">
      <c r="A15" s="1" t="s">
        <v>66</v>
      </c>
      <c r="B15" s="1" t="s">
        <v>73</v>
      </c>
      <c r="C15" s="1" t="s">
        <v>74</v>
      </c>
      <c r="D15" s="1" t="s">
        <v>27</v>
      </c>
      <c r="E15" s="1" t="s">
        <v>75</v>
      </c>
      <c r="F15" s="1" t="n">
        <v>4.5</v>
      </c>
      <c r="G15" s="1" t="s">
        <v>29</v>
      </c>
      <c r="H15" s="1" t="n">
        <v>1.618</v>
      </c>
      <c r="I15" s="1" t="n">
        <v>-0.141</v>
      </c>
      <c r="J15" s="5" t="n">
        <f aca="false">IF(D15="D", 250, 50)</f>
        <v>50</v>
      </c>
      <c r="K15" s="1" t="s">
        <v>70</v>
      </c>
      <c r="L15" s="1" t="str">
        <f aca="false">IF(D15="G","Petrol",IF(D15="D","Diesel",IF(D15="HY","Petrol Hybrid",IF(D15="GLP","LPG Bifuell ~ LPG",D15))))</f>
        <v>Petrol</v>
      </c>
      <c r="M15" s="1" t="s">
        <v>76</v>
      </c>
      <c r="Q15" s="1" t="n">
        <v>34.2</v>
      </c>
      <c r="R15" s="1" t="s">
        <v>32</v>
      </c>
      <c r="S15" s="1" t="n">
        <v>17.787</v>
      </c>
      <c r="U15" s="1" t="s">
        <v>66</v>
      </c>
      <c r="V15" s="1" t="s">
        <v>33</v>
      </c>
      <c r="W15" s="1" t="s">
        <v>72</v>
      </c>
      <c r="X15" s="1" t="str">
        <f aca="false">D15</f>
        <v>G</v>
      </c>
    </row>
    <row r="16" customFormat="false" ht="12.75" hidden="false" customHeight="false" outlineLevel="0" collapsed="false">
      <c r="A16" s="1" t="s">
        <v>66</v>
      </c>
      <c r="B16" s="1" t="s">
        <v>77</v>
      </c>
      <c r="C16" s="1" t="s">
        <v>78</v>
      </c>
      <c r="D16" s="1" t="s">
        <v>27</v>
      </c>
      <c r="E16" s="1" t="s">
        <v>79</v>
      </c>
      <c r="F16" s="1" t="n">
        <v>4.5</v>
      </c>
      <c r="G16" s="1" t="s">
        <v>29</v>
      </c>
      <c r="H16" s="1" t="n">
        <v>1.618</v>
      </c>
      <c r="I16" s="1" t="n">
        <v>-0.141</v>
      </c>
      <c r="J16" s="5" t="n">
        <f aca="false">IF(D16="D", 250, 50)</f>
        <v>50</v>
      </c>
      <c r="K16" s="1" t="s">
        <v>70</v>
      </c>
      <c r="L16" s="1" t="str">
        <f aca="false">IF(D16="G","Petrol",IF(D16="D","Diesel",IF(D16="HY","Petrol Hybrid",IF(D16="GLP","LPG Bifuell ~ LPG",D16))))</f>
        <v>Petrol</v>
      </c>
      <c r="M16" s="1" t="s">
        <v>80</v>
      </c>
      <c r="Q16" s="1" t="n">
        <v>34.2</v>
      </c>
      <c r="R16" s="1" t="s">
        <v>32</v>
      </c>
      <c r="S16" s="1" t="n">
        <v>17.787</v>
      </c>
      <c r="U16" s="1" t="s">
        <v>66</v>
      </c>
      <c r="V16" s="1" t="s">
        <v>33</v>
      </c>
      <c r="W16" s="1" t="s">
        <v>72</v>
      </c>
      <c r="X16" s="1" t="str">
        <f aca="false">D16</f>
        <v>G</v>
      </c>
    </row>
    <row r="17" customFormat="false" ht="12.75" hidden="false" customHeight="false" outlineLevel="0" collapsed="false">
      <c r="A17" s="1" t="s">
        <v>66</v>
      </c>
      <c r="B17" s="1" t="s">
        <v>81</v>
      </c>
      <c r="C17" s="1" t="s">
        <v>82</v>
      </c>
      <c r="D17" s="1" t="s">
        <v>49</v>
      </c>
      <c r="E17" s="1" t="s">
        <v>69</v>
      </c>
      <c r="F17" s="1" t="n">
        <v>4.5</v>
      </c>
      <c r="G17" s="1" t="s">
        <v>83</v>
      </c>
      <c r="H17" s="1" t="n">
        <v>0.1</v>
      </c>
      <c r="I17" s="1" t="n">
        <v>17</v>
      </c>
      <c r="J17" s="5" t="n">
        <f aca="false">IF(D17="D", 250, 50)</f>
        <v>250</v>
      </c>
      <c r="K17" s="1" t="s">
        <v>70</v>
      </c>
      <c r="L17" s="1" t="str">
        <f aca="false">IF(D17="G","Petrol",IF(D17="D","Diesel",IF(D17="HY","Petrol Hybrid",IF(D17="GLP","LPG Bifuell ~ LPG",D17))))</f>
        <v>Diesel</v>
      </c>
      <c r="M17" s="1" t="s">
        <v>71</v>
      </c>
      <c r="Q17" s="1" t="n">
        <v>34.2</v>
      </c>
      <c r="R17" s="1" t="s">
        <v>32</v>
      </c>
      <c r="S17" s="1" t="n">
        <v>17.787</v>
      </c>
      <c r="U17" s="1" t="s">
        <v>66</v>
      </c>
      <c r="V17" s="1" t="s">
        <v>33</v>
      </c>
      <c r="W17" s="1" t="s">
        <v>72</v>
      </c>
      <c r="X17" s="1" t="str">
        <f aca="false">D17</f>
        <v>D</v>
      </c>
    </row>
    <row r="18" customFormat="false" ht="12.75" hidden="false" customHeight="false" outlineLevel="0" collapsed="false">
      <c r="A18" s="1" t="s">
        <v>66</v>
      </c>
      <c r="B18" s="1" t="s">
        <v>84</v>
      </c>
      <c r="C18" s="1" t="s">
        <v>85</v>
      </c>
      <c r="D18" s="1" t="s">
        <v>49</v>
      </c>
      <c r="E18" s="1" t="s">
        <v>75</v>
      </c>
      <c r="F18" s="1" t="n">
        <v>4.5</v>
      </c>
      <c r="G18" s="1" t="s">
        <v>83</v>
      </c>
      <c r="H18" s="1" t="n">
        <v>0.1</v>
      </c>
      <c r="I18" s="1" t="n">
        <v>17</v>
      </c>
      <c r="J18" s="5" t="n">
        <f aca="false">IF(D18="D", 250, 50)</f>
        <v>250</v>
      </c>
      <c r="K18" s="1" t="s">
        <v>70</v>
      </c>
      <c r="L18" s="1" t="str">
        <f aca="false">IF(D18="G","Petrol",IF(D18="D","Diesel",IF(D18="HY","Petrol Hybrid",IF(D18="GLP","LPG Bifuell ~ LPG",D18))))</f>
        <v>Diesel</v>
      </c>
      <c r="M18" s="1" t="s">
        <v>76</v>
      </c>
      <c r="Q18" s="1" t="n">
        <v>34.2</v>
      </c>
      <c r="R18" s="1" t="s">
        <v>32</v>
      </c>
      <c r="S18" s="1" t="n">
        <v>17.787</v>
      </c>
      <c r="U18" s="1" t="s">
        <v>66</v>
      </c>
      <c r="V18" s="1" t="s">
        <v>33</v>
      </c>
      <c r="W18" s="1" t="s">
        <v>72</v>
      </c>
      <c r="X18" s="1" t="str">
        <f aca="false">D18</f>
        <v>D</v>
      </c>
    </row>
    <row r="19" customFormat="false" ht="12.75" hidden="false" customHeight="false" outlineLevel="0" collapsed="false">
      <c r="A19" s="1" t="s">
        <v>66</v>
      </c>
      <c r="B19" s="1" t="s">
        <v>86</v>
      </c>
      <c r="C19" s="1" t="s">
        <v>87</v>
      </c>
      <c r="D19" s="1" t="s">
        <v>49</v>
      </c>
      <c r="E19" s="1" t="s">
        <v>79</v>
      </c>
      <c r="F19" s="1" t="n">
        <v>4.5</v>
      </c>
      <c r="G19" s="1" t="s">
        <v>83</v>
      </c>
      <c r="H19" s="1" t="n">
        <v>0.1</v>
      </c>
      <c r="I19" s="1" t="n">
        <v>17</v>
      </c>
      <c r="J19" s="5" t="n">
        <f aca="false">IF(D19="D", 250, 50)</f>
        <v>250</v>
      </c>
      <c r="K19" s="1" t="s">
        <v>70</v>
      </c>
      <c r="L19" s="1" t="str">
        <f aca="false">IF(D19="G","Petrol",IF(D19="D","Diesel",IF(D19="HY","Petrol Hybrid",IF(D19="GLP","LPG Bifuell ~ LPG",D19))))</f>
        <v>Diesel</v>
      </c>
      <c r="M19" s="1" t="s">
        <v>80</v>
      </c>
      <c r="Q19" s="1" t="n">
        <v>34.2</v>
      </c>
      <c r="R19" s="1" t="s">
        <v>32</v>
      </c>
      <c r="S19" s="1" t="n">
        <v>17.787</v>
      </c>
      <c r="U19" s="1" t="s">
        <v>66</v>
      </c>
      <c r="V19" s="1" t="s">
        <v>33</v>
      </c>
      <c r="W19" s="1" t="s">
        <v>72</v>
      </c>
      <c r="X19" s="1" t="str">
        <f aca="false">D19</f>
        <v>D</v>
      </c>
    </row>
    <row r="20" customFormat="false" ht="12.75" hidden="false" customHeight="false" outlineLevel="0" collapsed="false">
      <c r="A20" s="1" t="s">
        <v>66</v>
      </c>
      <c r="B20" s="1" t="s">
        <v>88</v>
      </c>
      <c r="C20" s="1" t="s">
        <v>89</v>
      </c>
      <c r="D20" s="1" t="s">
        <v>55</v>
      </c>
      <c r="E20" s="1" t="s">
        <v>56</v>
      </c>
      <c r="F20" s="1" t="n">
        <v>4.5</v>
      </c>
      <c r="G20" s="1" t="s">
        <v>29</v>
      </c>
      <c r="H20" s="1" t="n">
        <v>1.798</v>
      </c>
      <c r="I20" s="1" t="n">
        <v>-0.137</v>
      </c>
      <c r="J20" s="5" t="n">
        <f aca="false">IF(D20="D", 250, 50)</f>
        <v>50</v>
      </c>
      <c r="K20" s="1" t="s">
        <v>70</v>
      </c>
      <c r="L20" s="1" t="str">
        <f aca="false">IF(D20="G","Petrol",IF(D20="D","Diesel",IF(D20="HY","Petrol Hybrid",IF(D20="GLP","LPG Bifuell ~ LPG",D20))))</f>
        <v>ELEC</v>
      </c>
      <c r="M20" s="1" t="s">
        <v>71</v>
      </c>
      <c r="Q20" s="1" t="n">
        <v>34.2</v>
      </c>
      <c r="R20" s="1" t="s">
        <v>32</v>
      </c>
      <c r="S20" s="1" t="n">
        <v>17.787</v>
      </c>
      <c r="U20" s="1" t="s">
        <v>66</v>
      </c>
      <c r="V20" s="1" t="s">
        <v>33</v>
      </c>
      <c r="W20" s="1" t="s">
        <v>72</v>
      </c>
      <c r="X20" s="1" t="str">
        <f aca="false">D20</f>
        <v>ELEC</v>
      </c>
    </row>
    <row r="21" customFormat="false" ht="12.75" hidden="false" customHeight="false" outlineLevel="0" collapsed="false">
      <c r="A21" s="1" t="s">
        <v>66</v>
      </c>
      <c r="B21" s="1" t="s">
        <v>90</v>
      </c>
      <c r="C21" s="1" t="s">
        <v>89</v>
      </c>
      <c r="D21" s="1" t="s">
        <v>58</v>
      </c>
      <c r="E21" s="1" t="s">
        <v>56</v>
      </c>
      <c r="F21" s="1" t="n">
        <v>4.5</v>
      </c>
      <c r="G21" s="1" t="s">
        <v>29</v>
      </c>
      <c r="H21" s="1" t="n">
        <v>1.798</v>
      </c>
      <c r="I21" s="1" t="n">
        <v>-0.137</v>
      </c>
      <c r="J21" s="5" t="n">
        <f aca="false">IF(D21="D", 250, 50)</f>
        <v>50</v>
      </c>
      <c r="K21" s="1" t="s">
        <v>70</v>
      </c>
      <c r="L21" s="1" t="str">
        <f aca="false">IF(D21="G","Petrol",IF(D21="D","Diesel",IF(D21="HY","Petrol Hybrid",IF(D21="GLP","LPG Bifuell ~ LPG",D21))))</f>
        <v>Petrol Hybrid</v>
      </c>
      <c r="M21" s="1" t="s">
        <v>71</v>
      </c>
      <c r="Q21" s="1" t="n">
        <v>34.2</v>
      </c>
      <c r="R21" s="1" t="s">
        <v>32</v>
      </c>
      <c r="S21" s="1" t="n">
        <v>17.787</v>
      </c>
      <c r="U21" s="1" t="s">
        <v>24</v>
      </c>
      <c r="V21" s="1" t="s">
        <v>33</v>
      </c>
      <c r="W21" s="1" t="s">
        <v>42</v>
      </c>
      <c r="X21" s="1" t="s">
        <v>59</v>
      </c>
    </row>
    <row r="22" customFormat="false" ht="12.75" hidden="false" customHeight="false" outlineLevel="0" collapsed="false">
      <c r="A22" s="1" t="s">
        <v>91</v>
      </c>
      <c r="B22" s="1" t="s">
        <v>92</v>
      </c>
      <c r="C22" s="1" t="str">
        <f aca="false">CONCATENATE("Rigid trucks diesel ", E22)</f>
        <v>Rigid trucks diesel &lt;=7.5t</v>
      </c>
      <c r="D22" s="1" t="s">
        <v>49</v>
      </c>
      <c r="E22" s="1" t="s">
        <v>93</v>
      </c>
      <c r="G22" s="1" t="s">
        <v>83</v>
      </c>
      <c r="H22" s="1" t="n">
        <v>0.1</v>
      </c>
      <c r="I22" s="1" t="n">
        <v>17</v>
      </c>
      <c r="J22" s="5" t="n">
        <f aca="false">IF(D22="D", 250, 50)</f>
        <v>250</v>
      </c>
      <c r="K22" s="1" t="s">
        <v>94</v>
      </c>
      <c r="L22" s="1" t="str">
        <f aca="false">IF(D22="G","Petrol",IF(D22="D","Diesel",IF(D22="HY","Petrol Hybrid",IF(D22="GLP","LPG Bifuell ~ LPG",D22))))</f>
        <v>Diesel</v>
      </c>
      <c r="M22" s="1" t="s">
        <v>95</v>
      </c>
      <c r="O22" s="1" t="n">
        <v>0</v>
      </c>
      <c r="P22" s="1" t="n">
        <v>0.5</v>
      </c>
      <c r="Q22" s="1" t="n">
        <v>22.8</v>
      </c>
      <c r="R22" s="1" t="s">
        <v>96</v>
      </c>
      <c r="S22" s="1" t="n">
        <v>10.752</v>
      </c>
      <c r="U22" s="1" t="s">
        <v>97</v>
      </c>
      <c r="V22" s="1" t="s">
        <v>98</v>
      </c>
      <c r="W22" s="1" t="s">
        <v>99</v>
      </c>
      <c r="X22" s="1" t="str">
        <f aca="false">D22</f>
        <v>D</v>
      </c>
    </row>
    <row r="23" customFormat="false" ht="12.75" hidden="false" customHeight="false" outlineLevel="0" collapsed="false">
      <c r="A23" s="1" t="s">
        <v>91</v>
      </c>
      <c r="B23" s="1" t="s">
        <v>100</v>
      </c>
      <c r="C23" s="1" t="str">
        <f aca="false">CONCATENATE("Rigid trucks diesel ", E23)</f>
        <v>Rigid trucks diesel 7.5-12t</v>
      </c>
      <c r="D23" s="1" t="s">
        <v>49</v>
      </c>
      <c r="E23" s="1" t="s">
        <v>101</v>
      </c>
      <c r="G23" s="1" t="s">
        <v>83</v>
      </c>
      <c r="H23" s="1" t="n">
        <v>0.1</v>
      </c>
      <c r="I23" s="1" t="n">
        <v>17</v>
      </c>
      <c r="J23" s="5" t="n">
        <f aca="false">IF(D23="D", 250, 50)</f>
        <v>250</v>
      </c>
      <c r="K23" s="1" t="s">
        <v>94</v>
      </c>
      <c r="L23" s="1" t="str">
        <f aca="false">IF(D23="G","Petrol",IF(D23="D","Diesel",IF(D23="HY","Petrol Hybrid",IF(D23="GLP","LPG Bifuell ~ LPG",D23))))</f>
        <v>Diesel</v>
      </c>
      <c r="M23" s="1" t="s">
        <v>102</v>
      </c>
      <c r="O23" s="1" t="n">
        <v>0</v>
      </c>
      <c r="P23" s="1" t="n">
        <v>0.5</v>
      </c>
      <c r="Q23" s="1" t="n">
        <v>22.8</v>
      </c>
      <c r="R23" s="1" t="s">
        <v>96</v>
      </c>
      <c r="S23" s="1" t="n">
        <v>10.752</v>
      </c>
      <c r="U23" s="1" t="s">
        <v>97</v>
      </c>
      <c r="V23" s="1" t="s">
        <v>98</v>
      </c>
      <c r="W23" s="1" t="s">
        <v>103</v>
      </c>
      <c r="X23" s="1" t="str">
        <f aca="false">D23</f>
        <v>D</v>
      </c>
    </row>
    <row r="24" customFormat="false" ht="12.75" hidden="false" customHeight="false" outlineLevel="0" collapsed="false">
      <c r="A24" s="1" t="s">
        <v>91</v>
      </c>
      <c r="B24" s="1" t="s">
        <v>104</v>
      </c>
      <c r="C24" s="1" t="str">
        <f aca="false">CONCATENATE("Rigid trucks diesel ", E24)</f>
        <v>Rigid trucks diesel 12-14t</v>
      </c>
      <c r="D24" s="1" t="s">
        <v>49</v>
      </c>
      <c r="E24" s="1" t="s">
        <v>105</v>
      </c>
      <c r="G24" s="1" t="s">
        <v>83</v>
      </c>
      <c r="H24" s="1" t="n">
        <v>0.1</v>
      </c>
      <c r="I24" s="1" t="n">
        <v>17</v>
      </c>
      <c r="J24" s="5" t="n">
        <f aca="false">IF(D24="D", 250, 50)</f>
        <v>250</v>
      </c>
      <c r="K24" s="1" t="s">
        <v>94</v>
      </c>
      <c r="L24" s="1" t="str">
        <f aca="false">IF(D24="G","Petrol",IF(D24="D","Diesel",IF(D24="HY","Petrol Hybrid",IF(D24="GLP","LPG Bifuell ~ LPG",D24))))</f>
        <v>Diesel</v>
      </c>
      <c r="M24" s="1" t="s">
        <v>106</v>
      </c>
      <c r="O24" s="1" t="n">
        <v>0</v>
      </c>
      <c r="P24" s="1" t="n">
        <v>0.5</v>
      </c>
      <c r="Q24" s="1" t="n">
        <v>22.8</v>
      </c>
      <c r="R24" s="1" t="s">
        <v>96</v>
      </c>
      <c r="S24" s="1" t="n">
        <v>10.752</v>
      </c>
      <c r="U24" s="1" t="s">
        <v>97</v>
      </c>
      <c r="V24" s="1" t="s">
        <v>98</v>
      </c>
      <c r="W24" s="1" t="s">
        <v>107</v>
      </c>
      <c r="X24" s="1" t="str">
        <f aca="false">D24</f>
        <v>D</v>
      </c>
    </row>
    <row r="25" customFormat="false" ht="12.75" hidden="false" customHeight="false" outlineLevel="0" collapsed="false">
      <c r="A25" s="1" t="s">
        <v>91</v>
      </c>
      <c r="B25" s="1" t="s">
        <v>108</v>
      </c>
      <c r="C25" s="1" t="str">
        <f aca="false">CONCATENATE("Rigid trucks diesel ", E25)</f>
        <v>Rigid trucks diesel 14-16t</v>
      </c>
      <c r="D25" s="1" t="s">
        <v>49</v>
      </c>
      <c r="E25" s="1" t="s">
        <v>109</v>
      </c>
      <c r="G25" s="1" t="s">
        <v>83</v>
      </c>
      <c r="H25" s="1" t="n">
        <v>0.1</v>
      </c>
      <c r="I25" s="1" t="n">
        <v>17</v>
      </c>
      <c r="J25" s="5" t="n">
        <f aca="false">IF(D25="D", 250, 50)</f>
        <v>250</v>
      </c>
      <c r="K25" s="1" t="s">
        <v>94</v>
      </c>
      <c r="L25" s="1" t="str">
        <f aca="false">IF(D25="G","Petrol",IF(D25="D","Diesel",IF(D25="HY","Petrol Hybrid",IF(D25="GLP","LPG Bifuell ~ LPG",D25))))</f>
        <v>Diesel</v>
      </c>
      <c r="M25" s="1" t="s">
        <v>110</v>
      </c>
      <c r="O25" s="1" t="n">
        <v>0</v>
      </c>
      <c r="P25" s="1" t="n">
        <v>0.5</v>
      </c>
      <c r="Q25" s="1" t="n">
        <v>22.8</v>
      </c>
      <c r="R25" s="1" t="s">
        <v>96</v>
      </c>
      <c r="S25" s="1" t="n">
        <v>10.752</v>
      </c>
      <c r="U25" s="1" t="s">
        <v>97</v>
      </c>
      <c r="V25" s="1" t="s">
        <v>98</v>
      </c>
      <c r="W25" s="1" t="s">
        <v>111</v>
      </c>
      <c r="X25" s="1" t="str">
        <f aca="false">D25</f>
        <v>D</v>
      </c>
    </row>
    <row r="26" customFormat="false" ht="12.75" hidden="false" customHeight="false" outlineLevel="0" collapsed="false">
      <c r="A26" s="1" t="s">
        <v>91</v>
      </c>
      <c r="B26" s="1" t="s">
        <v>112</v>
      </c>
      <c r="C26" s="1" t="str">
        <f aca="false">CONCATENATE("Rigid trucks diesel ", E26)</f>
        <v>Rigid trucks diesel 16-20t</v>
      </c>
      <c r="D26" s="1" t="s">
        <v>49</v>
      </c>
      <c r="E26" s="1" t="s">
        <v>113</v>
      </c>
      <c r="G26" s="1" t="s">
        <v>83</v>
      </c>
      <c r="H26" s="1" t="n">
        <v>0.1</v>
      </c>
      <c r="I26" s="1" t="n">
        <v>17</v>
      </c>
      <c r="J26" s="5" t="n">
        <f aca="false">IF(D26="D", 250, 50)</f>
        <v>250</v>
      </c>
      <c r="K26" s="1" t="s">
        <v>94</v>
      </c>
      <c r="L26" s="1" t="str">
        <f aca="false">IF(D26="G","Petrol",IF(D26="D","Diesel",IF(D26="HY","Petrol Hybrid",IF(D26="GLP","LPG Bifuell ~ LPG",D26))))</f>
        <v>Diesel</v>
      </c>
      <c r="M26" s="1" t="s">
        <v>110</v>
      </c>
      <c r="O26" s="1" t="n">
        <v>0</v>
      </c>
      <c r="P26" s="1" t="n">
        <v>0.5</v>
      </c>
      <c r="Q26" s="1" t="n">
        <v>22.8</v>
      </c>
      <c r="R26" s="1" t="s">
        <v>96</v>
      </c>
      <c r="S26" s="1" t="n">
        <v>10.752</v>
      </c>
      <c r="U26" s="1" t="s">
        <v>97</v>
      </c>
      <c r="V26" s="1" t="s">
        <v>98</v>
      </c>
      <c r="W26" s="1" t="s">
        <v>111</v>
      </c>
      <c r="X26" s="1" t="str">
        <f aca="false">D26</f>
        <v>D</v>
      </c>
    </row>
    <row r="27" customFormat="false" ht="12.75" hidden="false" customHeight="false" outlineLevel="0" collapsed="false">
      <c r="A27" s="1" t="s">
        <v>91</v>
      </c>
      <c r="B27" s="1" t="s">
        <v>114</v>
      </c>
      <c r="C27" s="1" t="str">
        <f aca="false">CONCATENATE("Rigid trucks diesel ", E27)</f>
        <v>Rigid trucks diesel 20-26t</v>
      </c>
      <c r="D27" s="1" t="s">
        <v>49</v>
      </c>
      <c r="E27" s="1" t="s">
        <v>115</v>
      </c>
      <c r="G27" s="1" t="s">
        <v>83</v>
      </c>
      <c r="H27" s="1" t="n">
        <v>0.1</v>
      </c>
      <c r="I27" s="1" t="n">
        <v>17</v>
      </c>
      <c r="J27" s="5" t="n">
        <f aca="false">IF(D27="D", 250, 50)</f>
        <v>250</v>
      </c>
      <c r="K27" s="1" t="s">
        <v>94</v>
      </c>
      <c r="L27" s="1" t="str">
        <f aca="false">IF(D27="G","Petrol",IF(D27="D","Diesel",IF(D27="HY","Petrol Hybrid",IF(D27="GLP","LPG Bifuell ~ LPG",D27))))</f>
        <v>Diesel</v>
      </c>
      <c r="M27" s="1" t="s">
        <v>116</v>
      </c>
      <c r="O27" s="1" t="n">
        <v>0</v>
      </c>
      <c r="P27" s="1" t="n">
        <v>0.5</v>
      </c>
      <c r="Q27" s="1" t="n">
        <v>22.8</v>
      </c>
      <c r="R27" s="1" t="s">
        <v>96</v>
      </c>
      <c r="S27" s="1" t="n">
        <v>10.752</v>
      </c>
      <c r="U27" s="1" t="s">
        <v>97</v>
      </c>
      <c r="V27" s="1" t="s">
        <v>98</v>
      </c>
      <c r="W27" s="1" t="s">
        <v>117</v>
      </c>
      <c r="X27" s="1" t="str">
        <f aca="false">D27</f>
        <v>D</v>
      </c>
    </row>
    <row r="28" customFormat="false" ht="12.75" hidden="false" customHeight="false" outlineLevel="0" collapsed="false">
      <c r="A28" s="1" t="s">
        <v>91</v>
      </c>
      <c r="B28" s="1" t="s">
        <v>118</v>
      </c>
      <c r="C28" s="1" t="str">
        <f aca="false">CONCATENATE("Rigid trucks diesel ", E28)</f>
        <v>Rigid trucks diesel 26-28t</v>
      </c>
      <c r="D28" s="1" t="s">
        <v>49</v>
      </c>
      <c r="E28" s="1" t="s">
        <v>119</v>
      </c>
      <c r="G28" s="1" t="s">
        <v>83</v>
      </c>
      <c r="H28" s="1" t="n">
        <v>0.1</v>
      </c>
      <c r="I28" s="1" t="n">
        <v>17</v>
      </c>
      <c r="J28" s="5" t="n">
        <f aca="false">IF(D28="D", 250, 50)</f>
        <v>250</v>
      </c>
      <c r="K28" s="1" t="s">
        <v>94</v>
      </c>
      <c r="L28" s="1" t="str">
        <f aca="false">IF(D28="G","Petrol",IF(D28="D","Diesel",IF(D28="HY","Petrol Hybrid",IF(D28="GLP","LPG Bifuell ~ LPG",D28))))</f>
        <v>Diesel</v>
      </c>
      <c r="M28" s="1" t="s">
        <v>120</v>
      </c>
      <c r="O28" s="1" t="n">
        <v>0</v>
      </c>
      <c r="P28" s="1" t="n">
        <v>0.5</v>
      </c>
      <c r="Q28" s="1" t="n">
        <v>22.8</v>
      </c>
      <c r="R28" s="1" t="s">
        <v>96</v>
      </c>
      <c r="S28" s="1" t="n">
        <v>10.752</v>
      </c>
      <c r="U28" s="1" t="s">
        <v>97</v>
      </c>
      <c r="V28" s="1" t="s">
        <v>98</v>
      </c>
      <c r="W28" s="1" t="s">
        <v>121</v>
      </c>
      <c r="X28" s="1" t="str">
        <f aca="false">D28</f>
        <v>D</v>
      </c>
    </row>
    <row r="29" customFormat="false" ht="12.75" hidden="false" customHeight="false" outlineLevel="0" collapsed="false">
      <c r="A29" s="1" t="s">
        <v>91</v>
      </c>
      <c r="B29" s="1" t="s">
        <v>122</v>
      </c>
      <c r="C29" s="1" t="str">
        <f aca="false">CONCATENATE("Rigid trucks diesel ", E29)</f>
        <v>Rigid trucks diesel 38-32t</v>
      </c>
      <c r="D29" s="1" t="s">
        <v>49</v>
      </c>
      <c r="E29" s="1" t="s">
        <v>123</v>
      </c>
      <c r="G29" s="1" t="s">
        <v>83</v>
      </c>
      <c r="H29" s="1" t="n">
        <v>0.1</v>
      </c>
      <c r="I29" s="1" t="n">
        <v>17</v>
      </c>
      <c r="J29" s="5" t="n">
        <f aca="false">IF(D29="D", 250, 50)</f>
        <v>250</v>
      </c>
      <c r="K29" s="1" t="s">
        <v>94</v>
      </c>
      <c r="L29" s="1" t="str">
        <f aca="false">IF(D29="G","Petrol",IF(D29="D","Diesel",IF(D29="HY","Petrol Hybrid",IF(D29="GLP","LPG Bifuell ~ LPG",D29))))</f>
        <v>Diesel</v>
      </c>
      <c r="M29" s="1" t="s">
        <v>124</v>
      </c>
      <c r="O29" s="1" t="n">
        <v>0</v>
      </c>
      <c r="P29" s="1" t="n">
        <v>0.5</v>
      </c>
      <c r="Q29" s="1" t="n">
        <v>22.8</v>
      </c>
      <c r="R29" s="1" t="s">
        <v>96</v>
      </c>
      <c r="S29" s="1" t="n">
        <v>10.752</v>
      </c>
      <c r="U29" s="1" t="s">
        <v>97</v>
      </c>
      <c r="V29" s="1" t="s">
        <v>98</v>
      </c>
      <c r="W29" s="1" t="s">
        <v>125</v>
      </c>
      <c r="X29" s="1" t="str">
        <f aca="false">D29</f>
        <v>D</v>
      </c>
    </row>
    <row r="30" customFormat="false" ht="12.75" hidden="false" customHeight="false" outlineLevel="0" collapsed="false">
      <c r="A30" s="1" t="s">
        <v>91</v>
      </c>
      <c r="B30" s="1" t="s">
        <v>126</v>
      </c>
      <c r="C30" s="1" t="str">
        <f aca="false">CONCATENATE("Rigid trucks diesel ", E30)</f>
        <v>Rigid trucks diesel &gt;=32t</v>
      </c>
      <c r="D30" s="1" t="s">
        <v>49</v>
      </c>
      <c r="E30" s="1" t="s">
        <v>127</v>
      </c>
      <c r="G30" s="1" t="s">
        <v>83</v>
      </c>
      <c r="H30" s="1" t="n">
        <v>0.1</v>
      </c>
      <c r="I30" s="1" t="n">
        <v>17</v>
      </c>
      <c r="J30" s="5" t="n">
        <f aca="false">IF(D30="D", 250, 50)</f>
        <v>250</v>
      </c>
      <c r="K30" s="1" t="s">
        <v>94</v>
      </c>
      <c r="L30" s="1" t="str">
        <f aca="false">IF(D30="G","Petrol",IF(D30="D","Diesel",IF(D30="HY","Petrol Hybrid",IF(D30="GLP","LPG Bifuell ~ LPG",D30))))</f>
        <v>Diesel</v>
      </c>
      <c r="M30" s="1" t="s">
        <v>128</v>
      </c>
      <c r="O30" s="1" t="n">
        <v>0</v>
      </c>
      <c r="P30" s="1" t="n">
        <v>0.5</v>
      </c>
      <c r="Q30" s="1" t="n">
        <v>22.8</v>
      </c>
      <c r="R30" s="1" t="s">
        <v>96</v>
      </c>
      <c r="S30" s="1" t="n">
        <v>10.752</v>
      </c>
      <c r="U30" s="1" t="s">
        <v>97</v>
      </c>
      <c r="V30" s="1" t="s">
        <v>98</v>
      </c>
      <c r="W30" s="1" t="s">
        <v>129</v>
      </c>
      <c r="X30" s="1" t="str">
        <f aca="false">D30</f>
        <v>D</v>
      </c>
    </row>
    <row r="31" customFormat="false" ht="12.75" hidden="false" customHeight="false" outlineLevel="0" collapsed="false">
      <c r="A31" s="1" t="s">
        <v>91</v>
      </c>
      <c r="B31" s="1" t="s">
        <v>130</v>
      </c>
      <c r="C31" s="1" t="str">
        <f aca="false">CONCATENATE("Rigid trucks gasoline ", E31)</f>
        <v>Rigid trucks gasoline &lt;=7.5t</v>
      </c>
      <c r="D31" s="1" t="s">
        <v>27</v>
      </c>
      <c r="E31" s="1" t="s">
        <v>93</v>
      </c>
      <c r="G31" s="1" t="s">
        <v>83</v>
      </c>
      <c r="H31" s="1" t="n">
        <v>0.1</v>
      </c>
      <c r="I31" s="1" t="n">
        <v>17</v>
      </c>
      <c r="J31" s="5" t="n">
        <f aca="false">IF(D31="D", 250, 50)</f>
        <v>50</v>
      </c>
      <c r="K31" s="1" t="s">
        <v>30</v>
      </c>
      <c r="L31" s="1" t="str">
        <f aca="false">IF(D31="G","Petrol",IF(D31="D","Diesel",IF(D31="HY","Petrol Hybrid",IF(D31="GLP","LPG Bifuell ~ LPG",D31))))</f>
        <v>Petrol</v>
      </c>
      <c r="M31" s="1" t="s">
        <v>46</v>
      </c>
      <c r="Q31" s="1" t="n">
        <v>22.8</v>
      </c>
      <c r="R31" s="1" t="s">
        <v>96</v>
      </c>
      <c r="S31" s="1" t="n">
        <v>10.752</v>
      </c>
      <c r="T31" s="1" t="s">
        <v>131</v>
      </c>
      <c r="U31" s="1" t="s">
        <v>24</v>
      </c>
      <c r="V31" s="1" t="s">
        <v>33</v>
      </c>
      <c r="W31" s="1" t="s">
        <v>47</v>
      </c>
      <c r="X31" s="1" t="str">
        <f aca="false">D31</f>
        <v>G</v>
      </c>
    </row>
    <row r="32" customFormat="false" ht="12.75" hidden="false" customHeight="false" outlineLevel="0" collapsed="false">
      <c r="A32" s="1" t="s">
        <v>91</v>
      </c>
      <c r="B32" s="1" t="s">
        <v>132</v>
      </c>
      <c r="C32" s="1" t="str">
        <f aca="false">CONCATENATE("Rigid trucks gasoline ", E32)</f>
        <v>Rigid trucks gasoline 7.5-12t</v>
      </c>
      <c r="D32" s="1" t="s">
        <v>27</v>
      </c>
      <c r="E32" s="1" t="s">
        <v>101</v>
      </c>
      <c r="G32" s="1" t="s">
        <v>83</v>
      </c>
      <c r="H32" s="1" t="n">
        <v>0.1</v>
      </c>
      <c r="I32" s="1" t="n">
        <v>17</v>
      </c>
      <c r="J32" s="5" t="n">
        <f aca="false">IF(D32="D", 250, 50)</f>
        <v>50</v>
      </c>
      <c r="K32" s="1" t="s">
        <v>30</v>
      </c>
      <c r="L32" s="1" t="str">
        <f aca="false">IF(D32="G","Petrol",IF(D32="D","Diesel",IF(D32="HY","Petrol Hybrid",IF(D32="GLP","LPG Bifuell ~ LPG",D32))))</f>
        <v>Petrol</v>
      </c>
      <c r="M32" s="1" t="s">
        <v>46</v>
      </c>
      <c r="Q32" s="1" t="n">
        <v>22.8</v>
      </c>
      <c r="R32" s="1" t="s">
        <v>96</v>
      </c>
      <c r="S32" s="1" t="n">
        <v>10.752</v>
      </c>
      <c r="U32" s="1" t="s">
        <v>24</v>
      </c>
      <c r="V32" s="1" t="s">
        <v>33</v>
      </c>
      <c r="W32" s="1" t="s">
        <v>47</v>
      </c>
      <c r="X32" s="1" t="str">
        <f aca="false">D32</f>
        <v>G</v>
      </c>
    </row>
    <row r="33" customFormat="false" ht="12.75" hidden="false" customHeight="false" outlineLevel="0" collapsed="false">
      <c r="A33" s="1" t="s">
        <v>91</v>
      </c>
      <c r="B33" s="1" t="s">
        <v>133</v>
      </c>
      <c r="C33" s="1" t="str">
        <f aca="false">CONCATENATE("Rigid trucks gasoline ", E33)</f>
        <v>Rigid trucks gasoline 12-14t</v>
      </c>
      <c r="D33" s="1" t="s">
        <v>27</v>
      </c>
      <c r="E33" s="1" t="s">
        <v>105</v>
      </c>
      <c r="G33" s="1" t="s">
        <v>83</v>
      </c>
      <c r="H33" s="1" t="n">
        <v>0.1</v>
      </c>
      <c r="I33" s="1" t="n">
        <v>17</v>
      </c>
      <c r="J33" s="5" t="n">
        <f aca="false">IF(D33="D", 250, 50)</f>
        <v>50</v>
      </c>
      <c r="K33" s="1" t="s">
        <v>30</v>
      </c>
      <c r="L33" s="1" t="str">
        <f aca="false">IF(D33="G","Petrol",IF(D33="D","Diesel",IF(D33="HY","Petrol Hybrid",IF(D33="GLP","LPG Bifuell ~ LPG",D33))))</f>
        <v>Petrol</v>
      </c>
      <c r="M33" s="1" t="s">
        <v>46</v>
      </c>
      <c r="Q33" s="1" t="n">
        <v>22.8</v>
      </c>
      <c r="R33" s="1" t="s">
        <v>96</v>
      </c>
      <c r="S33" s="1" t="n">
        <v>10.752</v>
      </c>
      <c r="U33" s="1" t="s">
        <v>24</v>
      </c>
      <c r="V33" s="1" t="s">
        <v>33</v>
      </c>
      <c r="W33" s="1" t="s">
        <v>47</v>
      </c>
      <c r="X33" s="1" t="str">
        <f aca="false">D33</f>
        <v>G</v>
      </c>
    </row>
    <row r="34" customFormat="false" ht="12.75" hidden="false" customHeight="false" outlineLevel="0" collapsed="false">
      <c r="A34" s="1" t="s">
        <v>91</v>
      </c>
      <c r="B34" s="1" t="s">
        <v>134</v>
      </c>
      <c r="C34" s="1" t="str">
        <f aca="false">CONCATENATE("Rigid trucks gasoline ", E34)</f>
        <v>Rigid trucks gasoline 14-16t</v>
      </c>
      <c r="D34" s="1" t="s">
        <v>27</v>
      </c>
      <c r="E34" s="1" t="s">
        <v>109</v>
      </c>
      <c r="G34" s="1" t="s">
        <v>83</v>
      </c>
      <c r="H34" s="1" t="n">
        <v>0.1</v>
      </c>
      <c r="I34" s="1" t="n">
        <v>17</v>
      </c>
      <c r="J34" s="5" t="n">
        <f aca="false">IF(D34="D", 250, 50)</f>
        <v>50</v>
      </c>
      <c r="K34" s="1" t="s">
        <v>30</v>
      </c>
      <c r="L34" s="1" t="str">
        <f aca="false">IF(D34="G","Petrol",IF(D34="D","Diesel",IF(D34="HY","Petrol Hybrid",IF(D34="GLP","LPG Bifuell ~ LPG",D34))))</f>
        <v>Petrol</v>
      </c>
      <c r="M34" s="1" t="s">
        <v>46</v>
      </c>
      <c r="Q34" s="1" t="n">
        <v>22.8</v>
      </c>
      <c r="R34" s="1" t="s">
        <v>96</v>
      </c>
      <c r="S34" s="1" t="n">
        <v>10.752</v>
      </c>
      <c r="U34" s="1" t="s">
        <v>24</v>
      </c>
      <c r="V34" s="1" t="s">
        <v>33</v>
      </c>
      <c r="W34" s="1" t="s">
        <v>47</v>
      </c>
      <c r="X34" s="1" t="str">
        <f aca="false">D34</f>
        <v>G</v>
      </c>
    </row>
    <row r="35" customFormat="false" ht="12.75" hidden="false" customHeight="false" outlineLevel="0" collapsed="false">
      <c r="A35" s="1" t="s">
        <v>91</v>
      </c>
      <c r="B35" s="1" t="s">
        <v>135</v>
      </c>
      <c r="C35" s="1" t="str">
        <f aca="false">CONCATENATE("Rigid trucks gasoline ", E35)</f>
        <v>Rigid trucks gasoline 16-20t</v>
      </c>
      <c r="D35" s="1" t="s">
        <v>27</v>
      </c>
      <c r="E35" s="1" t="s">
        <v>113</v>
      </c>
      <c r="G35" s="1" t="s">
        <v>83</v>
      </c>
      <c r="H35" s="1" t="n">
        <v>0.1</v>
      </c>
      <c r="I35" s="1" t="n">
        <v>17</v>
      </c>
      <c r="J35" s="5" t="n">
        <f aca="false">IF(D35="D", 250, 50)</f>
        <v>50</v>
      </c>
      <c r="K35" s="1" t="s">
        <v>30</v>
      </c>
      <c r="L35" s="1" t="str">
        <f aca="false">IF(D35="G","Petrol",IF(D35="D","Diesel",IF(D35="HY","Petrol Hybrid",IF(D35="GLP","LPG Bifuell ~ LPG",D35))))</f>
        <v>Petrol</v>
      </c>
      <c r="M35" s="1" t="s">
        <v>46</v>
      </c>
      <c r="Q35" s="1" t="n">
        <v>22.8</v>
      </c>
      <c r="R35" s="1" t="s">
        <v>96</v>
      </c>
      <c r="S35" s="1" t="n">
        <v>10.752</v>
      </c>
      <c r="U35" s="1" t="s">
        <v>24</v>
      </c>
      <c r="V35" s="1" t="s">
        <v>33</v>
      </c>
      <c r="W35" s="1" t="s">
        <v>47</v>
      </c>
      <c r="X35" s="1" t="str">
        <f aca="false">D35</f>
        <v>G</v>
      </c>
    </row>
    <row r="36" customFormat="false" ht="12.75" hidden="false" customHeight="false" outlineLevel="0" collapsed="false">
      <c r="A36" s="1" t="s">
        <v>91</v>
      </c>
      <c r="B36" s="1" t="s">
        <v>136</v>
      </c>
      <c r="C36" s="1" t="str">
        <f aca="false">CONCATENATE("Rigid trucks gasoline ", E36)</f>
        <v>Rigid trucks gasoline 20-26t</v>
      </c>
      <c r="D36" s="1" t="s">
        <v>27</v>
      </c>
      <c r="E36" s="1" t="s">
        <v>115</v>
      </c>
      <c r="G36" s="1" t="s">
        <v>83</v>
      </c>
      <c r="H36" s="1" t="n">
        <v>0.1</v>
      </c>
      <c r="I36" s="1" t="n">
        <v>17</v>
      </c>
      <c r="J36" s="5" t="n">
        <f aca="false">IF(D36="D", 250, 50)</f>
        <v>50</v>
      </c>
      <c r="K36" s="1" t="s">
        <v>30</v>
      </c>
      <c r="L36" s="1" t="str">
        <f aca="false">IF(D36="G","Petrol",IF(D36="D","Diesel",IF(D36="HY","Petrol Hybrid",IF(D36="GLP","LPG Bifuell ~ LPG",D36))))</f>
        <v>Petrol</v>
      </c>
      <c r="M36" s="1" t="s">
        <v>46</v>
      </c>
      <c r="Q36" s="1" t="n">
        <v>22.8</v>
      </c>
      <c r="R36" s="1" t="s">
        <v>96</v>
      </c>
      <c r="S36" s="1" t="n">
        <v>10.752</v>
      </c>
      <c r="U36" s="1" t="s">
        <v>24</v>
      </c>
      <c r="V36" s="1" t="s">
        <v>33</v>
      </c>
      <c r="W36" s="1" t="s">
        <v>47</v>
      </c>
      <c r="X36" s="1" t="str">
        <f aca="false">D36</f>
        <v>G</v>
      </c>
    </row>
    <row r="37" customFormat="false" ht="12.75" hidden="false" customHeight="false" outlineLevel="0" collapsed="false">
      <c r="A37" s="1" t="s">
        <v>91</v>
      </c>
      <c r="B37" s="1" t="s">
        <v>137</v>
      </c>
      <c r="C37" s="1" t="str">
        <f aca="false">CONCATENATE("Rigid trucks gasoline ", E37)</f>
        <v>Rigid trucks gasoline 26-28t</v>
      </c>
      <c r="D37" s="1" t="s">
        <v>27</v>
      </c>
      <c r="E37" s="1" t="s">
        <v>119</v>
      </c>
      <c r="G37" s="1" t="s">
        <v>83</v>
      </c>
      <c r="H37" s="1" t="n">
        <v>0.1</v>
      </c>
      <c r="I37" s="1" t="n">
        <v>17</v>
      </c>
      <c r="J37" s="5" t="n">
        <f aca="false">IF(D37="D", 250, 50)</f>
        <v>50</v>
      </c>
      <c r="K37" s="1" t="s">
        <v>30</v>
      </c>
      <c r="L37" s="1" t="str">
        <f aca="false">IF(D37="G","Petrol",IF(D37="D","Diesel",IF(D37="HY","Petrol Hybrid",IF(D37="GLP","LPG Bifuell ~ LPG",D37))))</f>
        <v>Petrol</v>
      </c>
      <c r="M37" s="1" t="s">
        <v>46</v>
      </c>
      <c r="Q37" s="1" t="n">
        <v>22.8</v>
      </c>
      <c r="R37" s="1" t="s">
        <v>96</v>
      </c>
      <c r="S37" s="1" t="n">
        <v>10.752</v>
      </c>
      <c r="U37" s="1" t="s">
        <v>24</v>
      </c>
      <c r="V37" s="1" t="s">
        <v>33</v>
      </c>
      <c r="W37" s="1" t="s">
        <v>47</v>
      </c>
      <c r="X37" s="1" t="str">
        <f aca="false">D37</f>
        <v>G</v>
      </c>
    </row>
    <row r="38" customFormat="false" ht="12.75" hidden="false" customHeight="false" outlineLevel="0" collapsed="false">
      <c r="A38" s="1" t="s">
        <v>91</v>
      </c>
      <c r="B38" s="1" t="s">
        <v>138</v>
      </c>
      <c r="C38" s="1" t="str">
        <f aca="false">CONCATENATE("Rigid trucks gasoline ", E38)</f>
        <v>Rigid trucks gasoline 38-32t</v>
      </c>
      <c r="D38" s="1" t="s">
        <v>27</v>
      </c>
      <c r="E38" s="1" t="s">
        <v>123</v>
      </c>
      <c r="G38" s="1" t="s">
        <v>83</v>
      </c>
      <c r="H38" s="1" t="n">
        <v>0.1</v>
      </c>
      <c r="I38" s="1" t="n">
        <v>17</v>
      </c>
      <c r="J38" s="5" t="n">
        <f aca="false">IF(D38="D", 250, 50)</f>
        <v>50</v>
      </c>
      <c r="K38" s="1" t="s">
        <v>30</v>
      </c>
      <c r="L38" s="1" t="str">
        <f aca="false">IF(D38="G","Petrol",IF(D38="D","Diesel",IF(D38="HY","Petrol Hybrid",IF(D38="GLP","LPG Bifuell ~ LPG",D38))))</f>
        <v>Petrol</v>
      </c>
      <c r="M38" s="1" t="s">
        <v>46</v>
      </c>
      <c r="Q38" s="1" t="n">
        <v>22.8</v>
      </c>
      <c r="R38" s="1" t="s">
        <v>96</v>
      </c>
      <c r="S38" s="1" t="n">
        <v>10.752</v>
      </c>
      <c r="U38" s="1" t="s">
        <v>24</v>
      </c>
      <c r="V38" s="1" t="s">
        <v>33</v>
      </c>
      <c r="W38" s="1" t="s">
        <v>47</v>
      </c>
      <c r="X38" s="1" t="str">
        <f aca="false">D38</f>
        <v>G</v>
      </c>
    </row>
    <row r="39" customFormat="false" ht="12.75" hidden="false" customHeight="false" outlineLevel="0" collapsed="false">
      <c r="A39" s="1" t="s">
        <v>91</v>
      </c>
      <c r="B39" s="1" t="s">
        <v>139</v>
      </c>
      <c r="C39" s="1" t="str">
        <f aca="false">CONCATENATE("Rigid trucks gasoline ", E39)</f>
        <v>Rigid trucks gasoline &gt;=32t</v>
      </c>
      <c r="D39" s="1" t="s">
        <v>27</v>
      </c>
      <c r="E39" s="1" t="s">
        <v>127</v>
      </c>
      <c r="G39" s="1" t="s">
        <v>83</v>
      </c>
      <c r="H39" s="1" t="n">
        <v>0.1</v>
      </c>
      <c r="I39" s="1" t="n">
        <v>17</v>
      </c>
      <c r="J39" s="5" t="n">
        <f aca="false">IF(D39="D", 250, 50)</f>
        <v>50</v>
      </c>
      <c r="K39" s="1" t="s">
        <v>30</v>
      </c>
      <c r="L39" s="1" t="str">
        <f aca="false">IF(D39="G","Petrol",IF(D39="D","Diesel",IF(D39="HY","Petrol Hybrid",IF(D39="GLP","LPG Bifuell ~ LPG",D39))))</f>
        <v>Petrol</v>
      </c>
      <c r="M39" s="1" t="s">
        <v>46</v>
      </c>
      <c r="Q39" s="1" t="n">
        <v>22.8</v>
      </c>
      <c r="R39" s="1" t="s">
        <v>96</v>
      </c>
      <c r="S39" s="1" t="n">
        <v>10.752</v>
      </c>
      <c r="U39" s="1" t="s">
        <v>24</v>
      </c>
      <c r="V39" s="1" t="s">
        <v>33</v>
      </c>
      <c r="W39" s="1" t="s">
        <v>47</v>
      </c>
      <c r="X39" s="1" t="str">
        <f aca="false">D39</f>
        <v>G</v>
      </c>
    </row>
    <row r="40" customFormat="false" ht="12.75" hidden="false" customHeight="false" outlineLevel="0" collapsed="false">
      <c r="A40" s="1" t="s">
        <v>91</v>
      </c>
      <c r="B40" s="1" t="s">
        <v>140</v>
      </c>
      <c r="C40" s="1" t="str">
        <f aca="false">CONCATENATE("Articulated trucks diesel ", E40)</f>
        <v>Articulated trucks diesel 16-20t</v>
      </c>
      <c r="D40" s="1" t="s">
        <v>49</v>
      </c>
      <c r="E40" s="1" t="s">
        <v>113</v>
      </c>
      <c r="G40" s="1" t="s">
        <v>83</v>
      </c>
      <c r="H40" s="1" t="n">
        <v>0.1</v>
      </c>
      <c r="I40" s="1" t="n">
        <v>17</v>
      </c>
      <c r="J40" s="5" t="n">
        <f aca="false">IF(D40="D", 250, 50)</f>
        <v>250</v>
      </c>
      <c r="K40" s="1" t="s">
        <v>94</v>
      </c>
      <c r="L40" s="1" t="str">
        <f aca="false">IF(D40="G","Petrol",IF(D40="D","Diesel",IF(D40="HY","Petrol Hybrid",IF(D40="GLP","LPG Bifuell ~ LPG",D40))))</f>
        <v>Diesel</v>
      </c>
      <c r="M40" s="1" t="s">
        <v>141</v>
      </c>
      <c r="O40" s="1" t="n">
        <v>0</v>
      </c>
      <c r="P40" s="1" t="n">
        <v>0.5</v>
      </c>
      <c r="Q40" s="1" t="n">
        <v>22.8</v>
      </c>
      <c r="R40" s="1" t="s">
        <v>96</v>
      </c>
      <c r="S40" s="1" t="n">
        <v>10.752</v>
      </c>
      <c r="U40" s="1" t="s">
        <v>97</v>
      </c>
      <c r="V40" s="1" t="s">
        <v>142</v>
      </c>
      <c r="W40" s="1" t="s">
        <v>143</v>
      </c>
      <c r="X40" s="1" t="str">
        <f aca="false">D40</f>
        <v>D</v>
      </c>
    </row>
    <row r="41" customFormat="false" ht="12.75" hidden="false" customHeight="false" outlineLevel="0" collapsed="false">
      <c r="A41" s="1" t="s">
        <v>91</v>
      </c>
      <c r="B41" s="1" t="s">
        <v>144</v>
      </c>
      <c r="C41" s="1" t="str">
        <f aca="false">CONCATENATE("Articulated trucks diesel ", E41)</f>
        <v>Articulated trucks diesel 20-28t</v>
      </c>
      <c r="D41" s="1" t="s">
        <v>49</v>
      </c>
      <c r="E41" s="1" t="s">
        <v>145</v>
      </c>
      <c r="G41" s="1" t="s">
        <v>83</v>
      </c>
      <c r="H41" s="1" t="n">
        <v>0.1</v>
      </c>
      <c r="I41" s="1" t="n">
        <v>17</v>
      </c>
      <c r="J41" s="5" t="n">
        <f aca="false">IF(D41="D", 250, 50)</f>
        <v>250</v>
      </c>
      <c r="K41" s="1" t="s">
        <v>94</v>
      </c>
      <c r="L41" s="1" t="str">
        <f aca="false">IF(D41="G","Petrol",IF(D41="D","Diesel",IF(D41="HY","Petrol Hybrid",IF(D41="GLP","LPG Bifuell ~ LPG",D41))))</f>
        <v>Diesel</v>
      </c>
      <c r="M41" s="1" t="s">
        <v>146</v>
      </c>
      <c r="O41" s="1" t="n">
        <v>0</v>
      </c>
      <c r="P41" s="1" t="n">
        <v>0.5</v>
      </c>
      <c r="Q41" s="1" t="n">
        <v>22.8</v>
      </c>
      <c r="R41" s="1" t="s">
        <v>96</v>
      </c>
      <c r="S41" s="1" t="n">
        <v>10.752</v>
      </c>
      <c r="U41" s="1" t="s">
        <v>97</v>
      </c>
      <c r="V41" s="1" t="s">
        <v>142</v>
      </c>
      <c r="W41" s="1" t="s">
        <v>143</v>
      </c>
      <c r="X41" s="1" t="str">
        <f aca="false">D41</f>
        <v>D</v>
      </c>
    </row>
    <row r="42" customFormat="false" ht="12.75" hidden="false" customHeight="false" outlineLevel="0" collapsed="false">
      <c r="A42" s="1" t="s">
        <v>91</v>
      </c>
      <c r="B42" s="1" t="s">
        <v>147</v>
      </c>
      <c r="C42" s="1" t="str">
        <f aca="false">CONCATENATE("Articulated trucks diesel ", E42)</f>
        <v>Articulated trucks diesel 28-34t</v>
      </c>
      <c r="D42" s="1" t="s">
        <v>49</v>
      </c>
      <c r="E42" s="1" t="s">
        <v>148</v>
      </c>
      <c r="G42" s="1" t="s">
        <v>83</v>
      </c>
      <c r="H42" s="1" t="n">
        <v>0.1</v>
      </c>
      <c r="I42" s="1" t="n">
        <v>17</v>
      </c>
      <c r="J42" s="5" t="n">
        <f aca="false">IF(D42="D", 250, 50)</f>
        <v>250</v>
      </c>
      <c r="K42" s="1" t="s">
        <v>94</v>
      </c>
      <c r="L42" s="1" t="str">
        <f aca="false">IF(D42="G","Petrol",IF(D42="D","Diesel",IF(D42="HY","Petrol Hybrid",IF(D42="GLP","LPG Bifuell ~ LPG",D42))))</f>
        <v>Diesel</v>
      </c>
      <c r="M42" s="1" t="s">
        <v>149</v>
      </c>
      <c r="O42" s="1" t="n">
        <v>0</v>
      </c>
      <c r="P42" s="1" t="n">
        <v>0.5</v>
      </c>
      <c r="Q42" s="1" t="n">
        <v>22.8</v>
      </c>
      <c r="R42" s="1" t="s">
        <v>96</v>
      </c>
      <c r="S42" s="1" t="n">
        <v>10.752</v>
      </c>
      <c r="U42" s="1" t="s">
        <v>97</v>
      </c>
      <c r="V42" s="1" t="s">
        <v>142</v>
      </c>
      <c r="W42" s="1" t="s">
        <v>150</v>
      </c>
      <c r="X42" s="1" t="str">
        <f aca="false">D42</f>
        <v>D</v>
      </c>
    </row>
    <row r="43" customFormat="false" ht="12.75" hidden="false" customHeight="false" outlineLevel="0" collapsed="false">
      <c r="A43" s="1" t="s">
        <v>91</v>
      </c>
      <c r="B43" s="1" t="s">
        <v>151</v>
      </c>
      <c r="C43" s="1" t="str">
        <f aca="false">CONCATENATE("Articulated trucks diesel ", E43)</f>
        <v>Articulated trucks diesel 34-40t</v>
      </c>
      <c r="D43" s="1" t="s">
        <v>49</v>
      </c>
      <c r="E43" s="1" t="s">
        <v>152</v>
      </c>
      <c r="G43" s="1" t="s">
        <v>83</v>
      </c>
      <c r="H43" s="1" t="n">
        <v>0.1</v>
      </c>
      <c r="I43" s="1" t="n">
        <v>17</v>
      </c>
      <c r="J43" s="5" t="n">
        <f aca="false">IF(D43="D", 250, 50)</f>
        <v>250</v>
      </c>
      <c r="K43" s="1" t="s">
        <v>94</v>
      </c>
      <c r="L43" s="1" t="str">
        <f aca="false">IF(D43="G","Petrol",IF(D43="D","Diesel",IF(D43="HY","Petrol Hybrid",IF(D43="GLP","LPG Bifuell ~ LPG",D43))))</f>
        <v>Diesel</v>
      </c>
      <c r="M43" s="1" t="s">
        <v>153</v>
      </c>
      <c r="O43" s="1" t="n">
        <v>0</v>
      </c>
      <c r="P43" s="1" t="n">
        <v>0.5</v>
      </c>
      <c r="Q43" s="1" t="n">
        <v>22.8</v>
      </c>
      <c r="R43" s="1" t="s">
        <v>96</v>
      </c>
      <c r="S43" s="1" t="n">
        <v>10.752</v>
      </c>
      <c r="U43" s="1" t="s">
        <v>97</v>
      </c>
      <c r="V43" s="1" t="s">
        <v>142</v>
      </c>
      <c r="W43" s="1" t="s">
        <v>154</v>
      </c>
      <c r="X43" s="1" t="str">
        <f aca="false">D43</f>
        <v>D</v>
      </c>
    </row>
    <row r="44" customFormat="false" ht="12.75" hidden="false" customHeight="false" outlineLevel="0" collapsed="false">
      <c r="A44" s="1" t="s">
        <v>91</v>
      </c>
      <c r="B44" s="1" t="s">
        <v>155</v>
      </c>
      <c r="C44" s="1" t="str">
        <f aca="false">CONCATENATE("Articulated trucks diesel ", E44)</f>
        <v>Articulated trucks diesel 40-50t</v>
      </c>
      <c r="D44" s="1" t="s">
        <v>49</v>
      </c>
      <c r="E44" s="1" t="s">
        <v>156</v>
      </c>
      <c r="G44" s="1" t="s">
        <v>83</v>
      </c>
      <c r="H44" s="1" t="n">
        <v>0.1</v>
      </c>
      <c r="I44" s="1" t="n">
        <v>17</v>
      </c>
      <c r="J44" s="5" t="n">
        <f aca="false">IF(D44="D", 250, 50)</f>
        <v>250</v>
      </c>
      <c r="K44" s="1" t="s">
        <v>94</v>
      </c>
      <c r="L44" s="1" t="str">
        <f aca="false">IF(D44="G","Petrol",IF(D44="D","Diesel",IF(D44="HY","Petrol Hybrid",IF(D44="GLP","LPG Bifuell ~ LPG",D44))))</f>
        <v>Diesel</v>
      </c>
      <c r="M44" s="1" t="s">
        <v>157</v>
      </c>
      <c r="O44" s="1" t="n">
        <v>0</v>
      </c>
      <c r="P44" s="1" t="n">
        <v>0.5</v>
      </c>
      <c r="Q44" s="1" t="n">
        <v>22.8</v>
      </c>
      <c r="R44" s="1" t="s">
        <v>96</v>
      </c>
      <c r="S44" s="1" t="n">
        <v>10.752</v>
      </c>
      <c r="U44" s="1" t="s">
        <v>97</v>
      </c>
      <c r="V44" s="1" t="s">
        <v>142</v>
      </c>
      <c r="W44" s="1" t="s">
        <v>158</v>
      </c>
      <c r="X44" s="1" t="str">
        <f aca="false">D44</f>
        <v>D</v>
      </c>
    </row>
    <row r="45" customFormat="false" ht="12.75" hidden="false" customHeight="false" outlineLevel="0" collapsed="false">
      <c r="A45" s="1" t="s">
        <v>91</v>
      </c>
      <c r="B45" s="1" t="s">
        <v>159</v>
      </c>
      <c r="C45" s="1" t="str">
        <f aca="false">CONCATENATE("Articulated trucks diesel ", E45)</f>
        <v>Articulated trucks diesel 50-60t</v>
      </c>
      <c r="D45" s="1" t="s">
        <v>49</v>
      </c>
      <c r="E45" s="1" t="s">
        <v>160</v>
      </c>
      <c r="G45" s="1" t="s">
        <v>83</v>
      </c>
      <c r="H45" s="1" t="n">
        <v>0.1</v>
      </c>
      <c r="I45" s="1" t="n">
        <v>17</v>
      </c>
      <c r="J45" s="5" t="n">
        <f aca="false">IF(D45="D", 250, 50)</f>
        <v>250</v>
      </c>
      <c r="K45" s="1" t="s">
        <v>94</v>
      </c>
      <c r="L45" s="1" t="str">
        <f aca="false">IF(D45="G","Petrol",IF(D45="D","Diesel",IF(D45="HY","Petrol Hybrid",IF(D45="GLP","LPG Bifuell ~ LPG",D45))))</f>
        <v>Diesel</v>
      </c>
      <c r="M45" s="1" t="s">
        <v>161</v>
      </c>
      <c r="O45" s="1" t="n">
        <v>0</v>
      </c>
      <c r="P45" s="1" t="n">
        <v>0.5</v>
      </c>
      <c r="Q45" s="1" t="n">
        <v>22.8</v>
      </c>
      <c r="R45" s="1" t="s">
        <v>96</v>
      </c>
      <c r="S45" s="1" t="n">
        <v>10.752</v>
      </c>
      <c r="U45" s="1" t="s">
        <v>97</v>
      </c>
      <c r="V45" s="1" t="s">
        <v>142</v>
      </c>
      <c r="W45" s="1" t="s">
        <v>162</v>
      </c>
      <c r="X45" s="1" t="str">
        <f aca="false">D45</f>
        <v>D</v>
      </c>
    </row>
    <row r="46" customFormat="false" ht="12.75" hidden="false" customHeight="false" outlineLevel="0" collapsed="false">
      <c r="A46" s="1" t="s">
        <v>91</v>
      </c>
      <c r="B46" s="1" t="s">
        <v>163</v>
      </c>
      <c r="C46" s="1" t="s">
        <v>164</v>
      </c>
      <c r="D46" s="1" t="s">
        <v>55</v>
      </c>
      <c r="E46" s="1" t="s">
        <v>56</v>
      </c>
      <c r="G46" s="1" t="s">
        <v>83</v>
      </c>
      <c r="H46" s="1" t="n">
        <v>0.1</v>
      </c>
      <c r="I46" s="1" t="n">
        <v>17</v>
      </c>
      <c r="J46" s="5" t="n">
        <f aca="false">IF(D46="D", 250, 50)</f>
        <v>50</v>
      </c>
      <c r="K46" s="1" t="s">
        <v>94</v>
      </c>
      <c r="L46" s="1" t="str">
        <f aca="false">IF(D46="G","Petrol",IF(D46="D","Diesel",IF(D46="HY","Petrol Hybrid",IF(D46="GLP","LPG Bifuell ~ LPG",D46))))</f>
        <v>ELEC</v>
      </c>
      <c r="M46" s="1" t="s">
        <v>165</v>
      </c>
      <c r="O46" s="1" t="n">
        <v>0</v>
      </c>
      <c r="P46" s="1" t="n">
        <v>0.5</v>
      </c>
      <c r="Q46" s="1" t="n">
        <v>22.8</v>
      </c>
      <c r="R46" s="1" t="s">
        <v>96</v>
      </c>
      <c r="S46" s="1" t="n">
        <v>10.752</v>
      </c>
      <c r="U46" s="1" t="s">
        <v>97</v>
      </c>
      <c r="V46" s="1" t="s">
        <v>55</v>
      </c>
      <c r="X46" s="1" t="str">
        <f aca="false">D46</f>
        <v>ELEC</v>
      </c>
    </row>
    <row r="47" customFormat="false" ht="12.75" hidden="false" customHeight="false" outlineLevel="0" collapsed="false">
      <c r="A47" s="1" t="s">
        <v>166</v>
      </c>
      <c r="B47" s="1" t="s">
        <v>167</v>
      </c>
      <c r="C47" s="1" t="str">
        <f aca="false">CONCATENATE("Urban bus diesel ", E47)</f>
        <v>Urban bus diesel &lt;=15t</v>
      </c>
      <c r="D47" s="1" t="s">
        <v>49</v>
      </c>
      <c r="E47" s="1" t="s">
        <v>168</v>
      </c>
      <c r="G47" s="1" t="s">
        <v>83</v>
      </c>
      <c r="H47" s="1" t="n">
        <v>0.1</v>
      </c>
      <c r="I47" s="1" t="n">
        <v>17</v>
      </c>
      <c r="J47" s="5" t="n">
        <f aca="false">IF(D47="D", 250, 50)</f>
        <v>250</v>
      </c>
      <c r="K47" s="1" t="s">
        <v>169</v>
      </c>
      <c r="L47" s="1" t="str">
        <f aca="false">IF(D47="G","Petrol",IF(D47="D","Diesel",IF(D47="HY","Petrol Hybrid",IF(D47="GLP","LPG Bifuell ~ LPG",D47))))</f>
        <v>Diesel</v>
      </c>
      <c r="M47" s="1" t="s">
        <v>170</v>
      </c>
      <c r="O47" s="1" t="n">
        <v>0</v>
      </c>
      <c r="P47" s="1" t="n">
        <v>0.5</v>
      </c>
      <c r="Q47" s="1" t="n">
        <v>22.8</v>
      </c>
      <c r="R47" s="1" t="s">
        <v>96</v>
      </c>
      <c r="S47" s="1" t="n">
        <v>10.752</v>
      </c>
      <c r="U47" s="1" t="s">
        <v>171</v>
      </c>
      <c r="V47" s="1" t="s">
        <v>172</v>
      </c>
      <c r="W47" s="1" t="s">
        <v>173</v>
      </c>
      <c r="X47" s="1" t="str">
        <f aca="false">D47</f>
        <v>D</v>
      </c>
    </row>
    <row r="48" customFormat="false" ht="12.75" hidden="false" customHeight="false" outlineLevel="0" collapsed="false">
      <c r="A48" s="1" t="s">
        <v>166</v>
      </c>
      <c r="B48" s="1" t="s">
        <v>174</v>
      </c>
      <c r="C48" s="1" t="str">
        <f aca="false">CONCATENATE("Urban bus diesel ", E48)</f>
        <v>Urban bus diesel 15-18t</v>
      </c>
      <c r="D48" s="1" t="s">
        <v>49</v>
      </c>
      <c r="E48" s="1" t="s">
        <v>175</v>
      </c>
      <c r="G48" s="1" t="s">
        <v>83</v>
      </c>
      <c r="H48" s="1" t="n">
        <v>0.1</v>
      </c>
      <c r="I48" s="1" t="n">
        <v>17</v>
      </c>
      <c r="J48" s="5" t="n">
        <f aca="false">IF(D48="D", 250, 50)</f>
        <v>250</v>
      </c>
      <c r="K48" s="1" t="s">
        <v>169</v>
      </c>
      <c r="L48" s="1" t="str">
        <f aca="false">IF(D48="G","Petrol",IF(D48="D","Diesel",IF(D48="HY","Petrol Hybrid",IF(D48="GLP","LPG Bifuell ~ LPG",D48))))</f>
        <v>Diesel</v>
      </c>
      <c r="M48" s="1" t="s">
        <v>176</v>
      </c>
      <c r="O48" s="1" t="n">
        <v>0</v>
      </c>
      <c r="P48" s="1" t="n">
        <v>0.5</v>
      </c>
      <c r="Q48" s="1" t="n">
        <v>22.8</v>
      </c>
      <c r="R48" s="1" t="s">
        <v>96</v>
      </c>
      <c r="S48" s="1" t="n">
        <v>10.752</v>
      </c>
      <c r="U48" s="1" t="s">
        <v>171</v>
      </c>
      <c r="V48" s="1" t="s">
        <v>177</v>
      </c>
      <c r="W48" s="1" t="s">
        <v>178</v>
      </c>
      <c r="X48" s="1" t="str">
        <f aca="false">D48</f>
        <v>D</v>
      </c>
    </row>
    <row r="49" customFormat="false" ht="12.75" hidden="false" customHeight="false" outlineLevel="0" collapsed="false">
      <c r="A49" s="1" t="s">
        <v>166</v>
      </c>
      <c r="B49" s="1" t="s">
        <v>179</v>
      </c>
      <c r="C49" s="1" t="str">
        <f aca="false">CONCATENATE("Urban bus diesel ", E49)</f>
        <v>Urban bus diesel &gt;=18t</v>
      </c>
      <c r="D49" s="1" t="s">
        <v>49</v>
      </c>
      <c r="E49" s="1" t="s">
        <v>180</v>
      </c>
      <c r="G49" s="1" t="s">
        <v>83</v>
      </c>
      <c r="H49" s="1" t="n">
        <v>0.1</v>
      </c>
      <c r="I49" s="1" t="n">
        <v>17</v>
      </c>
      <c r="J49" s="5" t="n">
        <f aca="false">IF(D49="D", 250, 50)</f>
        <v>250</v>
      </c>
      <c r="K49" s="1" t="s">
        <v>169</v>
      </c>
      <c r="L49" s="1" t="str">
        <f aca="false">IF(D49="G","Petrol",IF(D49="D","Diesel",IF(D49="HY","Petrol Hybrid",IF(D49="GLP","LPG Bifuell ~ LPG",D49))))</f>
        <v>Diesel</v>
      </c>
      <c r="M49" s="1" t="s">
        <v>181</v>
      </c>
      <c r="O49" s="1" t="n">
        <v>0</v>
      </c>
      <c r="P49" s="1" t="n">
        <v>0.5</v>
      </c>
      <c r="Q49" s="1" t="n">
        <v>22.8</v>
      </c>
      <c r="R49" s="1" t="s">
        <v>96</v>
      </c>
      <c r="S49" s="1" t="n">
        <v>10.752</v>
      </c>
      <c r="U49" s="1" t="s">
        <v>171</v>
      </c>
      <c r="V49" s="1" t="s">
        <v>182</v>
      </c>
      <c r="W49" s="1" t="s">
        <v>183</v>
      </c>
      <c r="X49" s="1" t="str">
        <f aca="false">D49</f>
        <v>D</v>
      </c>
    </row>
    <row r="50" customFormat="false" ht="12.75" hidden="false" customHeight="false" outlineLevel="0" collapsed="false">
      <c r="A50" s="1" t="s">
        <v>166</v>
      </c>
      <c r="B50" s="1" t="s">
        <v>184</v>
      </c>
      <c r="C50" s="1" t="str">
        <f aca="false">CONCATENATE("Urban bus gasoline", E50)</f>
        <v>Urban bus gasoline&lt;=15t</v>
      </c>
      <c r="D50" s="1" t="s">
        <v>27</v>
      </c>
      <c r="E50" s="1" t="s">
        <v>168</v>
      </c>
      <c r="G50" s="1" t="s">
        <v>83</v>
      </c>
      <c r="H50" s="1" t="n">
        <v>0.1</v>
      </c>
      <c r="I50" s="1" t="n">
        <v>17</v>
      </c>
      <c r="J50" s="5" t="n">
        <f aca="false">IF(D50="D", 250, 50)</f>
        <v>50</v>
      </c>
      <c r="K50" s="1" t="s">
        <v>30</v>
      </c>
      <c r="L50" s="1" t="str">
        <f aca="false">IF(D50="G","Petrol",IF(D50="D","Diesel",IF(D50="HY","Petrol Hybrid",IF(D50="GLP","LPG Bifuell ~ LPG",D50))))</f>
        <v>Petrol</v>
      </c>
      <c r="M50" s="1" t="s">
        <v>46</v>
      </c>
      <c r="O50" s="1" t="n">
        <v>0</v>
      </c>
      <c r="P50" s="1" t="n">
        <v>0.5</v>
      </c>
      <c r="Q50" s="1" t="n">
        <v>22.8</v>
      </c>
      <c r="R50" s="1" t="s">
        <v>96</v>
      </c>
      <c r="S50" s="1" t="n">
        <v>10.752</v>
      </c>
      <c r="T50" s="1" t="s">
        <v>185</v>
      </c>
      <c r="U50" s="1" t="s">
        <v>24</v>
      </c>
      <c r="V50" s="1" t="s">
        <v>33</v>
      </c>
      <c r="W50" s="1" t="s">
        <v>47</v>
      </c>
      <c r="X50" s="1" t="str">
        <f aca="false">D50</f>
        <v>G</v>
      </c>
    </row>
    <row r="51" customFormat="false" ht="12.75" hidden="false" customHeight="false" outlineLevel="0" collapsed="false">
      <c r="A51" s="1" t="s">
        <v>166</v>
      </c>
      <c r="B51" s="1" t="s">
        <v>186</v>
      </c>
      <c r="C51" s="1" t="str">
        <f aca="false">CONCATENATE("Urban bus gasoline", E51)</f>
        <v>Urban bus gasoline15-18t</v>
      </c>
      <c r="D51" s="1" t="s">
        <v>27</v>
      </c>
      <c r="E51" s="1" t="s">
        <v>175</v>
      </c>
      <c r="G51" s="1" t="s">
        <v>83</v>
      </c>
      <c r="H51" s="1" t="n">
        <v>0.1</v>
      </c>
      <c r="I51" s="1" t="n">
        <v>17</v>
      </c>
      <c r="J51" s="5" t="n">
        <f aca="false">IF(D51="D", 250, 50)</f>
        <v>50</v>
      </c>
      <c r="K51" s="1" t="s">
        <v>30</v>
      </c>
      <c r="L51" s="1" t="str">
        <f aca="false">IF(D51="G","Petrol",IF(D51="D","Diesel",IF(D51="HY","Petrol Hybrid",IF(D51="GLP","LPG Bifuell ~ LPG",D51))))</f>
        <v>Petrol</v>
      </c>
      <c r="M51" s="1" t="s">
        <v>46</v>
      </c>
      <c r="O51" s="1" t="n">
        <v>0</v>
      </c>
      <c r="P51" s="1" t="n">
        <v>0.5</v>
      </c>
      <c r="Q51" s="1" t="n">
        <v>22.8</v>
      </c>
      <c r="R51" s="1" t="s">
        <v>96</v>
      </c>
      <c r="S51" s="1" t="n">
        <v>10.752</v>
      </c>
      <c r="U51" s="1" t="s">
        <v>24</v>
      </c>
      <c r="V51" s="1" t="s">
        <v>33</v>
      </c>
      <c r="W51" s="1" t="s">
        <v>47</v>
      </c>
      <c r="X51" s="1" t="str">
        <f aca="false">D51</f>
        <v>G</v>
      </c>
    </row>
    <row r="52" customFormat="false" ht="12.75" hidden="false" customHeight="false" outlineLevel="0" collapsed="false">
      <c r="A52" s="1" t="s">
        <v>166</v>
      </c>
      <c r="B52" s="1" t="s">
        <v>187</v>
      </c>
      <c r="C52" s="1" t="str">
        <f aca="false">CONCATENATE("Urban bus gasoline", E52)</f>
        <v>Urban bus gasoline&gt;=18t</v>
      </c>
      <c r="D52" s="1" t="s">
        <v>27</v>
      </c>
      <c r="E52" s="1" t="s">
        <v>180</v>
      </c>
      <c r="G52" s="1" t="s">
        <v>83</v>
      </c>
      <c r="H52" s="1" t="n">
        <v>0.1</v>
      </c>
      <c r="I52" s="1" t="n">
        <v>17</v>
      </c>
      <c r="J52" s="5" t="n">
        <f aca="false">IF(D52="D", 250, 50)</f>
        <v>50</v>
      </c>
      <c r="K52" s="1" t="s">
        <v>30</v>
      </c>
      <c r="L52" s="1" t="str">
        <f aca="false">IF(D52="G","Petrol",IF(D52="D","Diesel",IF(D52="HY","Petrol Hybrid",IF(D52="GLP","LPG Bifuell ~ LPG",D52))))</f>
        <v>Petrol</v>
      </c>
      <c r="M52" s="1" t="s">
        <v>46</v>
      </c>
      <c r="O52" s="1" t="n">
        <v>0</v>
      </c>
      <c r="P52" s="1" t="n">
        <v>0.5</v>
      </c>
      <c r="Q52" s="1" t="n">
        <v>22.8</v>
      </c>
      <c r="R52" s="1" t="s">
        <v>96</v>
      </c>
      <c r="S52" s="1" t="n">
        <v>10.752</v>
      </c>
      <c r="U52" s="1" t="s">
        <v>24</v>
      </c>
      <c r="V52" s="1" t="s">
        <v>33</v>
      </c>
      <c r="W52" s="1" t="s">
        <v>47</v>
      </c>
      <c r="X52" s="1" t="str">
        <f aca="false">D52</f>
        <v>G</v>
      </c>
    </row>
    <row r="53" customFormat="false" ht="12.75" hidden="false" customHeight="false" outlineLevel="0" collapsed="false">
      <c r="A53" s="1" t="s">
        <v>166</v>
      </c>
      <c r="B53" s="1" t="s">
        <v>188</v>
      </c>
      <c r="C53" s="1" t="str">
        <f aca="false">CONCATENATE("Coach bus diesel ", E53)</f>
        <v>Coach bus diesel &lt;=18</v>
      </c>
      <c r="D53" s="1" t="s">
        <v>49</v>
      </c>
      <c r="E53" s="1" t="s">
        <v>189</v>
      </c>
      <c r="G53" s="1" t="s">
        <v>83</v>
      </c>
      <c r="H53" s="1" t="n">
        <v>0.1</v>
      </c>
      <c r="I53" s="1" t="n">
        <v>17</v>
      </c>
      <c r="J53" s="5" t="n">
        <f aca="false">IF(D53="D", 250, 50)</f>
        <v>250</v>
      </c>
      <c r="K53" s="1" t="s">
        <v>169</v>
      </c>
      <c r="L53" s="1" t="str">
        <f aca="false">IF(D53="G","Petrol",IF(D53="D","Diesel",IF(D53="HY","Petrol Hybrid",IF(D53="GLP","LPG Bifuell ~ LPG",D53))))</f>
        <v>Diesel</v>
      </c>
      <c r="M53" s="1" t="s">
        <v>190</v>
      </c>
      <c r="O53" s="1" t="n">
        <v>0</v>
      </c>
      <c r="P53" s="1" t="n">
        <v>0.5</v>
      </c>
      <c r="Q53" s="1" t="n">
        <v>22.8</v>
      </c>
      <c r="R53" s="1" t="s">
        <v>96</v>
      </c>
      <c r="S53" s="1" t="n">
        <v>10.752</v>
      </c>
      <c r="U53" s="1" t="s">
        <v>191</v>
      </c>
      <c r="V53" s="1" t="s">
        <v>177</v>
      </c>
      <c r="W53" s="1" t="s">
        <v>189</v>
      </c>
      <c r="X53" s="1" t="str">
        <f aca="false">D53</f>
        <v>D</v>
      </c>
    </row>
    <row r="54" customFormat="false" ht="12.75" hidden="false" customHeight="false" outlineLevel="0" collapsed="false">
      <c r="A54" s="1" t="s">
        <v>166</v>
      </c>
      <c r="B54" s="1" t="s">
        <v>192</v>
      </c>
      <c r="C54" s="1" t="str">
        <f aca="false">CONCATENATE("Coach bus diesel ", E54)</f>
        <v>Coach bus diesel &gt;18t</v>
      </c>
      <c r="D54" s="1" t="s">
        <v>49</v>
      </c>
      <c r="E54" s="1" t="s">
        <v>193</v>
      </c>
      <c r="G54" s="1" t="s">
        <v>83</v>
      </c>
      <c r="H54" s="1" t="n">
        <v>0.1</v>
      </c>
      <c r="I54" s="1" t="n">
        <v>17</v>
      </c>
      <c r="J54" s="5" t="n">
        <f aca="false">IF(D54="D", 250, 50)</f>
        <v>250</v>
      </c>
      <c r="K54" s="1" t="s">
        <v>169</v>
      </c>
      <c r="L54" s="1" t="str">
        <f aca="false">IF(D54="G","Petrol",IF(D54="D","Diesel",IF(D54="HY","Petrol Hybrid",IF(D54="GLP","LPG Bifuell ~ LPG",D54))))</f>
        <v>Diesel</v>
      </c>
      <c r="M54" s="1" t="s">
        <v>194</v>
      </c>
      <c r="O54" s="1" t="n">
        <v>0</v>
      </c>
      <c r="P54" s="1" t="n">
        <v>0.5</v>
      </c>
      <c r="Q54" s="1" t="n">
        <v>22.8</v>
      </c>
      <c r="R54" s="1" t="s">
        <v>96</v>
      </c>
      <c r="S54" s="1" t="n">
        <v>10.752</v>
      </c>
      <c r="U54" s="1" t="s">
        <v>191</v>
      </c>
      <c r="V54" s="1" t="s">
        <v>195</v>
      </c>
      <c r="W54" s="1" t="s">
        <v>183</v>
      </c>
      <c r="X54" s="1" t="str">
        <f aca="false">D54</f>
        <v>D</v>
      </c>
    </row>
    <row r="55" customFormat="false" ht="12.75" hidden="false" customHeight="false" outlineLevel="0" collapsed="false">
      <c r="A55" s="1" t="s">
        <v>166</v>
      </c>
      <c r="B55" s="1" t="s">
        <v>196</v>
      </c>
      <c r="C55" s="1" t="str">
        <f aca="false">CONCATENATE("Coach bus gasoline ", E55)</f>
        <v>Coach bus gasoline &lt;=18</v>
      </c>
      <c r="D55" s="1" t="s">
        <v>27</v>
      </c>
      <c r="E55" s="1" t="s">
        <v>189</v>
      </c>
      <c r="G55" s="1" t="s">
        <v>83</v>
      </c>
      <c r="H55" s="1" t="n">
        <v>0.1</v>
      </c>
      <c r="I55" s="1" t="n">
        <v>17</v>
      </c>
      <c r="J55" s="5" t="n">
        <f aca="false">IF(D55="D", 250, 50)</f>
        <v>50</v>
      </c>
      <c r="K55" s="1" t="s">
        <v>30</v>
      </c>
      <c r="L55" s="1" t="str">
        <f aca="false">IF(D55="G","Petrol",IF(D55="D","Diesel",IF(D55="HY","Petrol Hybrid",IF(D55="GLP","LPG Bifuell ~ LPG",D55))))</f>
        <v>Petrol</v>
      </c>
      <c r="M55" s="1" t="s">
        <v>46</v>
      </c>
      <c r="O55" s="1" t="n">
        <v>0</v>
      </c>
      <c r="P55" s="1" t="n">
        <v>0.5</v>
      </c>
      <c r="Q55" s="1" t="n">
        <v>22.8</v>
      </c>
      <c r="R55" s="1" t="s">
        <v>96</v>
      </c>
      <c r="S55" s="1" t="n">
        <v>10.752</v>
      </c>
      <c r="U55" s="1" t="s">
        <v>24</v>
      </c>
      <c r="V55" s="1" t="s">
        <v>33</v>
      </c>
      <c r="W55" s="1" t="s">
        <v>47</v>
      </c>
      <c r="X55" s="1" t="str">
        <f aca="false">D55</f>
        <v>G</v>
      </c>
    </row>
    <row r="56" customFormat="false" ht="12.75" hidden="false" customHeight="false" outlineLevel="0" collapsed="false">
      <c r="A56" s="1" t="s">
        <v>166</v>
      </c>
      <c r="B56" s="1" t="s">
        <v>197</v>
      </c>
      <c r="C56" s="1" t="str">
        <f aca="false">CONCATENATE("Coach bus gasoline ", E56)</f>
        <v>Coach bus gasoline &gt;18t</v>
      </c>
      <c r="D56" s="1" t="s">
        <v>27</v>
      </c>
      <c r="E56" s="1" t="s">
        <v>193</v>
      </c>
      <c r="G56" s="1" t="s">
        <v>83</v>
      </c>
      <c r="H56" s="1" t="n">
        <v>0.1</v>
      </c>
      <c r="I56" s="1" t="n">
        <v>17</v>
      </c>
      <c r="J56" s="5" t="n">
        <f aca="false">IF(D56="D", 250, 50)</f>
        <v>50</v>
      </c>
      <c r="K56" s="1" t="s">
        <v>30</v>
      </c>
      <c r="L56" s="1" t="str">
        <f aca="false">IF(D56="G","Petrol",IF(D56="D","Diesel",IF(D56="HY","Petrol Hybrid",IF(D56="GLP","LPG Bifuell ~ LPG",D56))))</f>
        <v>Petrol</v>
      </c>
      <c r="M56" s="1" t="s">
        <v>46</v>
      </c>
      <c r="O56" s="1" t="n">
        <v>0</v>
      </c>
      <c r="P56" s="1" t="n">
        <v>0.5</v>
      </c>
      <c r="Q56" s="1" t="n">
        <v>22.8</v>
      </c>
      <c r="R56" s="1" t="s">
        <v>96</v>
      </c>
      <c r="S56" s="1" t="n">
        <v>10.752</v>
      </c>
      <c r="U56" s="1" t="s">
        <v>24</v>
      </c>
      <c r="V56" s="1" t="s">
        <v>33</v>
      </c>
      <c r="W56" s="1" t="s">
        <v>47</v>
      </c>
      <c r="X56" s="1" t="str">
        <f aca="false">D56</f>
        <v>G</v>
      </c>
    </row>
    <row r="57" customFormat="false" ht="12.75" hidden="false" customHeight="false" outlineLevel="0" collapsed="false">
      <c r="A57" s="1" t="s">
        <v>166</v>
      </c>
      <c r="B57" s="1" t="s">
        <v>198</v>
      </c>
      <c r="C57" s="1" t="s">
        <v>199</v>
      </c>
      <c r="D57" s="1" t="s">
        <v>58</v>
      </c>
      <c r="E57" s="1" t="s">
        <v>56</v>
      </c>
      <c r="G57" s="1" t="s">
        <v>83</v>
      </c>
      <c r="H57" s="1" t="n">
        <v>0.1</v>
      </c>
      <c r="I57" s="1" t="n">
        <v>17</v>
      </c>
      <c r="J57" s="5" t="n">
        <f aca="false">IF(D57="D", 250, 50)</f>
        <v>50</v>
      </c>
      <c r="K57" s="1" t="s">
        <v>169</v>
      </c>
      <c r="L57" s="1" t="s">
        <v>200</v>
      </c>
      <c r="M57" s="1" t="s">
        <v>170</v>
      </c>
      <c r="O57" s="1" t="n">
        <v>0</v>
      </c>
      <c r="P57" s="1" t="n">
        <v>0.5</v>
      </c>
      <c r="Q57" s="1" t="n">
        <v>22.8</v>
      </c>
      <c r="R57" s="1" t="s">
        <v>96</v>
      </c>
      <c r="S57" s="1" t="n">
        <v>10.752</v>
      </c>
      <c r="U57" s="1" t="s">
        <v>24</v>
      </c>
      <c r="V57" s="1" t="s">
        <v>33</v>
      </c>
      <c r="W57" s="1" t="s">
        <v>42</v>
      </c>
      <c r="X57" s="1" t="s">
        <v>59</v>
      </c>
    </row>
    <row r="58" customFormat="false" ht="12.75" hidden="false" customHeight="false" outlineLevel="0" collapsed="false">
      <c r="A58" s="1" t="s">
        <v>166</v>
      </c>
      <c r="B58" s="1" t="s">
        <v>201</v>
      </c>
      <c r="C58" s="1" t="s">
        <v>202</v>
      </c>
      <c r="D58" s="1" t="s">
        <v>55</v>
      </c>
      <c r="E58" s="1" t="s">
        <v>56</v>
      </c>
      <c r="G58" s="1" t="s">
        <v>83</v>
      </c>
      <c r="H58" s="1" t="n">
        <v>0.1</v>
      </c>
      <c r="I58" s="1" t="n">
        <v>17</v>
      </c>
      <c r="J58" s="5" t="n">
        <f aca="false">IF(D58="D", 250, 50)</f>
        <v>50</v>
      </c>
      <c r="K58" s="1" t="s">
        <v>169</v>
      </c>
      <c r="L58" s="1" t="s">
        <v>203</v>
      </c>
      <c r="M58" s="1" t="s">
        <v>170</v>
      </c>
      <c r="O58" s="1" t="n">
        <v>0</v>
      </c>
      <c r="P58" s="1" t="n">
        <v>0.5</v>
      </c>
      <c r="Q58" s="1" t="n">
        <v>22.8</v>
      </c>
      <c r="R58" s="1" t="s">
        <v>96</v>
      </c>
      <c r="S58" s="1" t="n">
        <v>10.752</v>
      </c>
      <c r="U58" s="1" t="s">
        <v>166</v>
      </c>
      <c r="V58" s="1" t="s">
        <v>55</v>
      </c>
      <c r="X58" s="1" t="str">
        <f aca="false">D58</f>
        <v>ELEC</v>
      </c>
    </row>
    <row r="59" customFormat="false" ht="12.75" hidden="false" customHeight="false" outlineLevel="0" collapsed="false">
      <c r="A59" s="1" t="s">
        <v>204</v>
      </c>
      <c r="B59" s="1" t="s">
        <v>205</v>
      </c>
      <c r="C59" s="1" t="s">
        <v>206</v>
      </c>
      <c r="D59" s="1" t="s">
        <v>27</v>
      </c>
      <c r="E59" s="1" t="s">
        <v>207</v>
      </c>
      <c r="F59" s="1" t="n">
        <v>4.5</v>
      </c>
      <c r="G59" s="1" t="s">
        <v>29</v>
      </c>
      <c r="H59" s="1" t="n">
        <v>1.618</v>
      </c>
      <c r="I59" s="1" t="n">
        <v>-0.141</v>
      </c>
      <c r="J59" s="5" t="n">
        <f aca="false">IF(D59="D", 250, 50)</f>
        <v>50</v>
      </c>
      <c r="K59" s="1" t="s">
        <v>208</v>
      </c>
      <c r="L59" s="1" t="str">
        <f aca="false">IF(D59="G","Petrol",IF(D59="D","Diesel",IF(D59="HY","Petrol Hybrid",IF(D59="GLP","LPG Bifuell ~ LPG",D59))))</f>
        <v>Petrol</v>
      </c>
      <c r="M59" s="1" t="s">
        <v>209</v>
      </c>
      <c r="Q59" s="1" t="n">
        <v>54.7</v>
      </c>
      <c r="R59" s="1" t="s">
        <v>210</v>
      </c>
      <c r="S59" s="1" t="n">
        <v>9.111</v>
      </c>
      <c r="T59" s="1" t="s">
        <v>211</v>
      </c>
      <c r="U59" s="1" t="s">
        <v>212</v>
      </c>
      <c r="V59" s="1" t="s">
        <v>213</v>
      </c>
      <c r="W59" s="1" t="s">
        <v>214</v>
      </c>
      <c r="X59" s="1" t="str">
        <f aca="false">D59</f>
        <v>G</v>
      </c>
    </row>
    <row r="60" customFormat="false" ht="12.75" hidden="false" customHeight="false" outlineLevel="0" collapsed="false">
      <c r="A60" s="1" t="s">
        <v>204</v>
      </c>
      <c r="B60" s="1" t="s">
        <v>215</v>
      </c>
      <c r="C60" s="1" t="s">
        <v>216</v>
      </c>
      <c r="D60" s="1" t="s">
        <v>27</v>
      </c>
      <c r="E60" s="1" t="s">
        <v>217</v>
      </c>
      <c r="F60" s="1" t="n">
        <v>4.5</v>
      </c>
      <c r="G60" s="1" t="s">
        <v>29</v>
      </c>
      <c r="H60" s="1" t="n">
        <v>1.618</v>
      </c>
      <c r="I60" s="1" t="n">
        <v>-0.141</v>
      </c>
      <c r="J60" s="5" t="n">
        <f aca="false">IF(D60="D", 250, 50)</f>
        <v>50</v>
      </c>
      <c r="K60" s="1" t="s">
        <v>208</v>
      </c>
      <c r="L60" s="1" t="str">
        <f aca="false">IF(D60="G","Petrol",IF(D60="D","Diesel",IF(D60="HY","Petrol Hybrid",IF(D60="GLP","LPG Bifuell ~ LPG",D60))))</f>
        <v>Petrol</v>
      </c>
      <c r="M60" s="1" t="s">
        <v>218</v>
      </c>
      <c r="Q60" s="1" t="n">
        <v>54.7</v>
      </c>
      <c r="R60" s="1" t="s">
        <v>210</v>
      </c>
      <c r="S60" s="1" t="n">
        <v>9.111</v>
      </c>
      <c r="U60" s="1" t="s">
        <v>212</v>
      </c>
      <c r="V60" s="1" t="s">
        <v>33</v>
      </c>
      <c r="W60" s="1" t="s">
        <v>219</v>
      </c>
      <c r="X60" s="1" t="str">
        <f aca="false">D60</f>
        <v>G</v>
      </c>
    </row>
    <row r="61" customFormat="false" ht="12.75" hidden="false" customHeight="false" outlineLevel="0" collapsed="false">
      <c r="A61" s="1" t="s">
        <v>204</v>
      </c>
      <c r="B61" s="1" t="s">
        <v>220</v>
      </c>
      <c r="C61" s="1" t="s">
        <v>221</v>
      </c>
      <c r="D61" s="1" t="s">
        <v>27</v>
      </c>
      <c r="E61" s="1" t="s">
        <v>222</v>
      </c>
      <c r="F61" s="1" t="n">
        <v>4.5</v>
      </c>
      <c r="G61" s="1" t="s">
        <v>29</v>
      </c>
      <c r="H61" s="1" t="n">
        <v>1.618</v>
      </c>
      <c r="I61" s="1" t="n">
        <v>-0.141</v>
      </c>
      <c r="J61" s="5" t="n">
        <f aca="false">IF(D61="D", 250, 50)</f>
        <v>50</v>
      </c>
      <c r="K61" s="1" t="s">
        <v>208</v>
      </c>
      <c r="L61" s="1" t="str">
        <f aca="false">IF(D61="G","Petrol",IF(D61="D","Diesel",IF(D61="HY","Petrol Hybrid",IF(D61="GLP","LPG Bifuell ~ LPG",D61))))</f>
        <v>Petrol</v>
      </c>
      <c r="M61" s="1" t="s">
        <v>223</v>
      </c>
      <c r="Q61" s="1" t="n">
        <v>54.7</v>
      </c>
      <c r="R61" s="1" t="s">
        <v>210</v>
      </c>
      <c r="S61" s="1" t="n">
        <v>9.111</v>
      </c>
      <c r="U61" s="1" t="s">
        <v>212</v>
      </c>
      <c r="V61" s="1" t="s">
        <v>33</v>
      </c>
      <c r="W61" s="1" t="s">
        <v>224</v>
      </c>
      <c r="X61" s="1" t="str">
        <f aca="false">D61</f>
        <v>G</v>
      </c>
    </row>
    <row r="62" customFormat="false" ht="12.75" hidden="false" customHeight="false" outlineLevel="0" collapsed="false">
      <c r="A62" s="1" t="s">
        <v>204</v>
      </c>
      <c r="B62" s="1" t="s">
        <v>225</v>
      </c>
      <c r="C62" s="1" t="s">
        <v>226</v>
      </c>
      <c r="D62" s="1" t="s">
        <v>27</v>
      </c>
      <c r="E62" s="1" t="s">
        <v>227</v>
      </c>
      <c r="F62" s="1" t="n">
        <v>4.5</v>
      </c>
      <c r="G62" s="1" t="s">
        <v>29</v>
      </c>
      <c r="H62" s="1" t="n">
        <v>1.618</v>
      </c>
      <c r="I62" s="1" t="n">
        <v>-0.141</v>
      </c>
      <c r="J62" s="5" t="n">
        <f aca="false">IF(D62="D", 250, 50)</f>
        <v>50</v>
      </c>
      <c r="K62" s="1" t="s">
        <v>208</v>
      </c>
      <c r="L62" s="1" t="str">
        <f aca="false">IF(D62="G","Petrol",IF(D62="D","Diesel",IF(D62="HY","Petrol Hybrid",IF(D62="GLP","LPG Bifuell ~ LPG",D62))))</f>
        <v>Petrol</v>
      </c>
      <c r="M62" s="1" t="s">
        <v>228</v>
      </c>
      <c r="Q62" s="1" t="n">
        <v>54.7</v>
      </c>
      <c r="R62" s="1" t="s">
        <v>210</v>
      </c>
      <c r="S62" s="1" t="n">
        <v>9.111</v>
      </c>
      <c r="U62" s="1" t="s">
        <v>212</v>
      </c>
      <c r="V62" s="1" t="s">
        <v>33</v>
      </c>
      <c r="W62" s="1" t="s">
        <v>229</v>
      </c>
      <c r="X62" s="1" t="str">
        <f aca="false">D62</f>
        <v>G</v>
      </c>
    </row>
    <row r="63" customFormat="false" ht="12.75" hidden="false" customHeight="false" outlineLevel="0" collapsed="false">
      <c r="A63" s="1" t="s">
        <v>204</v>
      </c>
      <c r="B63" s="1" t="s">
        <v>230</v>
      </c>
      <c r="C63" s="1" t="s">
        <v>231</v>
      </c>
      <c r="D63" s="1" t="s">
        <v>55</v>
      </c>
      <c r="E63" s="1" t="s">
        <v>56</v>
      </c>
      <c r="F63" s="1" t="n">
        <v>4.5</v>
      </c>
      <c r="G63" s="1" t="s">
        <v>29</v>
      </c>
      <c r="H63" s="1" t="n">
        <v>1.618</v>
      </c>
      <c r="I63" s="1" t="n">
        <v>-0.141</v>
      </c>
      <c r="J63" s="5" t="n">
        <f aca="false">IF(D63="D", 250, 50)</f>
        <v>50</v>
      </c>
      <c r="K63" s="1" t="s">
        <v>208</v>
      </c>
      <c r="L63" s="1" t="str">
        <f aca="false">IF(D63="G","Petrol",IF(D63="D","Diesel",IF(D63="HY","Petrol Hybrid",IF(D63="GLP","LPG Bifuell ~ LPG",D63))))</f>
        <v>ELEC</v>
      </c>
      <c r="M63" s="1" t="s">
        <v>209</v>
      </c>
      <c r="Q63" s="1" t="n">
        <v>54.7</v>
      </c>
      <c r="R63" s="1" t="s">
        <v>210</v>
      </c>
      <c r="S63" s="1" t="n">
        <v>9.111</v>
      </c>
      <c r="U63" s="1" t="s">
        <v>212</v>
      </c>
      <c r="V63" s="1" t="s">
        <v>33</v>
      </c>
      <c r="W63" s="1" t="s">
        <v>219</v>
      </c>
      <c r="X63" s="1" t="str">
        <f aca="false">D63</f>
        <v>ELEC</v>
      </c>
    </row>
  </sheetData>
  <autoFilter ref="A1:X6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6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22"/>
    <col collapsed="false" customWidth="true" hidden="true" outlineLevel="0" max="2" min="2" style="1" width="17.88"/>
    <col collapsed="false" customWidth="true" hidden="true" outlineLevel="0" max="3" min="3" style="1" width="16.89"/>
    <col collapsed="false" customWidth="true" hidden="false" outlineLevel="0" max="4" min="4" style="1" width="17.54"/>
    <col collapsed="false" customWidth="true" hidden="false" outlineLevel="0" max="6" min="5" style="1" width="13.95"/>
    <col collapsed="false" customWidth="true" hidden="false" outlineLevel="0" max="7" min="7" style="1" width="15.91"/>
    <col collapsed="false" customWidth="true" hidden="false" outlineLevel="0" max="8" min="8" style="1" width="17.38"/>
    <col collapsed="false" customWidth="true" hidden="false" outlineLevel="0" max="9" min="9" style="1" width="13.8"/>
    <col collapsed="false" customWidth="true" hidden="false" outlineLevel="0" max="10" min="10" style="1" width="12.47"/>
    <col collapsed="false" customWidth="true" hidden="false" outlineLevel="0" max="11" min="11" style="1" width="17.05"/>
    <col collapsed="false" customWidth="true" hidden="false" outlineLevel="0" max="12" min="12" style="1" width="17.54"/>
    <col collapsed="false" customWidth="true" hidden="false" outlineLevel="0" max="13" min="13" style="1" width="19.67"/>
    <col collapsed="false" customWidth="true" hidden="false" outlineLevel="0" max="14" min="14" style="1" width="13.13"/>
    <col collapsed="false" customWidth="true" hidden="false" outlineLevel="0" max="15" min="15" style="1" width="13.61"/>
    <col collapsed="false" customWidth="true" hidden="false" outlineLevel="0" max="16" min="16" style="1" width="14.11"/>
    <col collapsed="false" customWidth="true" hidden="false" outlineLevel="0" max="17" min="17" style="1" width="12.96"/>
    <col collapsed="false" customWidth="true" hidden="false" outlineLevel="0" max="18" min="18" style="1" width="13.45"/>
    <col collapsed="false" customWidth="true" hidden="false" outlineLevel="0" max="19" min="19" style="1" width="13.95"/>
    <col collapsed="false" customWidth="true" hidden="false" outlineLevel="0" max="20" min="20" style="1" width="13.45"/>
    <col collapsed="false" customWidth="true" hidden="false" outlineLevel="0" max="21" min="21" style="1" width="11.32"/>
    <col collapsed="false" customWidth="true" hidden="false" outlineLevel="0" max="22" min="22" style="1" width="19.52"/>
    <col collapsed="false" customWidth="true" hidden="false" outlineLevel="0" max="23" min="23" style="1" width="22.45"/>
    <col collapsed="false" customWidth="true" hidden="false" outlineLevel="0" max="29" min="24" style="1" width="23.43"/>
    <col collapsed="false" customWidth="true" hidden="false" outlineLevel="0" max="30" min="30" style="1" width="20.49"/>
    <col collapsed="false" customWidth="true" hidden="false" outlineLevel="0" max="31" min="31" style="1" width="19.67"/>
    <col collapsed="false" customWidth="true" hidden="false" outlineLevel="0" max="32" min="32" style="1" width="22.62"/>
    <col collapsed="false" customWidth="true" hidden="false" outlineLevel="0" max="38" min="33" style="1" width="23.6"/>
    <col collapsed="false" customWidth="true" hidden="false" outlineLevel="0" max="39" min="39" style="1" width="20.66"/>
    <col collapsed="false" customWidth="true" hidden="false" outlineLevel="0" max="40" min="40" style="1" width="23.27"/>
    <col collapsed="false" customWidth="true" hidden="false" outlineLevel="0" max="45" min="41" style="1" width="20.49"/>
    <col collapsed="false" customWidth="true" hidden="false" outlineLevel="0" max="46" min="46" style="1" width="14.6"/>
    <col collapsed="false" customWidth="true" hidden="false" outlineLevel="0" max="47" min="47" style="1" width="13.95"/>
    <col collapsed="false" customWidth="true" hidden="false" outlineLevel="0" max="48" min="48" style="1" width="16.89"/>
    <col collapsed="false" customWidth="true" hidden="false" outlineLevel="0" max="49" min="49" style="1" width="13.95"/>
    <col collapsed="false" customWidth="true" hidden="false" outlineLevel="0" max="50" min="50" style="1" width="14.11"/>
    <col collapsed="false" customWidth="true" hidden="false" outlineLevel="0" max="51" min="51" style="1" width="17.05"/>
    <col collapsed="false" customWidth="true" hidden="false" outlineLevel="0" max="52" min="52" style="1" width="14.11"/>
    <col collapsed="false" customWidth="true" hidden="false" outlineLevel="0" max="54" min="53" style="1" width="18.03"/>
    <col collapsed="false" customWidth="true" hidden="false" outlineLevel="0" max="56" min="55" style="1" width="18.2"/>
    <col collapsed="false" customWidth="true" hidden="false" outlineLevel="0" max="57" min="57" style="1" width="15.09"/>
    <col collapsed="false" customWidth="true" hidden="false" outlineLevel="0" max="58" min="58" style="1" width="10.84"/>
    <col collapsed="false" customWidth="true" hidden="false" outlineLevel="0" max="59" min="59" style="1" width="12.96"/>
    <col collapsed="false" customWidth="true" hidden="false" outlineLevel="0" max="60" min="60" style="1" width="16.89"/>
    <col collapsed="false" customWidth="true" hidden="false" outlineLevel="0" max="61" min="61" style="1" width="17.88"/>
    <col collapsed="false" customWidth="true" hidden="false" outlineLevel="0" max="62" min="62" style="1" width="13.95"/>
    <col collapsed="false" customWidth="true" hidden="false" outlineLevel="0" max="63" min="63" style="1" width="11"/>
    <col collapsed="false" customWidth="true" hidden="false" outlineLevel="0" max="64" min="64" style="1" width="7.23"/>
  </cols>
  <sheetData>
    <row r="1" customFormat="false" ht="12.75" hidden="false" customHeight="false" outlineLevel="0" collapsed="false">
      <c r="A1" s="6" t="s">
        <v>232</v>
      </c>
      <c r="B1" s="6" t="s">
        <v>25</v>
      </c>
      <c r="C1" s="6" t="s">
        <v>35</v>
      </c>
      <c r="D1" s="6" t="s">
        <v>38</v>
      </c>
      <c r="E1" s="6" t="s">
        <v>43</v>
      </c>
      <c r="F1" s="6" t="s">
        <v>48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57</v>
      </c>
      <c r="L1" s="6" t="s">
        <v>60</v>
      </c>
      <c r="M1" s="6" t="s">
        <v>62</v>
      </c>
      <c r="N1" s="6" t="s">
        <v>67</v>
      </c>
      <c r="O1" s="6" t="s">
        <v>73</v>
      </c>
      <c r="P1" s="6" t="s">
        <v>77</v>
      </c>
      <c r="Q1" s="6" t="s">
        <v>81</v>
      </c>
      <c r="R1" s="6" t="s">
        <v>84</v>
      </c>
      <c r="S1" s="6" t="s">
        <v>86</v>
      </c>
      <c r="T1" s="6" t="s">
        <v>88</v>
      </c>
      <c r="U1" s="6" t="s">
        <v>90</v>
      </c>
      <c r="V1" s="6" t="s">
        <v>92</v>
      </c>
      <c r="W1" s="6" t="s">
        <v>100</v>
      </c>
      <c r="X1" s="6" t="s">
        <v>104</v>
      </c>
      <c r="Y1" s="6" t="s">
        <v>108</v>
      </c>
      <c r="Z1" s="6" t="s">
        <v>112</v>
      </c>
      <c r="AA1" s="6" t="s">
        <v>114</v>
      </c>
      <c r="AB1" s="6" t="s">
        <v>118</v>
      </c>
      <c r="AC1" s="6" t="s">
        <v>122</v>
      </c>
      <c r="AD1" s="4" t="s">
        <v>126</v>
      </c>
      <c r="AE1" s="4" t="s">
        <v>130</v>
      </c>
      <c r="AF1" s="4" t="s">
        <v>132</v>
      </c>
      <c r="AG1" s="4" t="s">
        <v>133</v>
      </c>
      <c r="AH1" s="4" t="s">
        <v>134</v>
      </c>
      <c r="AI1" s="4" t="s">
        <v>135</v>
      </c>
      <c r="AJ1" s="4" t="s">
        <v>136</v>
      </c>
      <c r="AK1" s="4" t="s">
        <v>137</v>
      </c>
      <c r="AL1" s="4" t="s">
        <v>138</v>
      </c>
      <c r="AM1" s="4" t="s">
        <v>139</v>
      </c>
      <c r="AN1" s="4" t="s">
        <v>140</v>
      </c>
      <c r="AO1" s="6" t="s">
        <v>144</v>
      </c>
      <c r="AP1" s="6" t="s">
        <v>147</v>
      </c>
      <c r="AQ1" s="1" t="s">
        <v>151</v>
      </c>
      <c r="AR1" s="1" t="s">
        <v>155</v>
      </c>
      <c r="AS1" s="1" t="s">
        <v>159</v>
      </c>
      <c r="AT1" s="1" t="s">
        <v>163</v>
      </c>
      <c r="AU1" s="1" t="s">
        <v>167</v>
      </c>
      <c r="AV1" s="1" t="s">
        <v>174</v>
      </c>
      <c r="AW1" s="1" t="s">
        <v>179</v>
      </c>
      <c r="AX1" s="1" t="s">
        <v>184</v>
      </c>
      <c r="AY1" s="1" t="s">
        <v>186</v>
      </c>
      <c r="AZ1" s="1" t="s">
        <v>187</v>
      </c>
      <c r="BA1" s="1" t="s">
        <v>188</v>
      </c>
      <c r="BB1" s="1" t="s">
        <v>192</v>
      </c>
      <c r="BC1" s="1" t="s">
        <v>196</v>
      </c>
      <c r="BD1" s="1" t="s">
        <v>197</v>
      </c>
      <c r="BE1" s="1" t="s">
        <v>198</v>
      </c>
      <c r="BF1" s="1" t="s">
        <v>201</v>
      </c>
      <c r="BG1" s="1" t="s">
        <v>205</v>
      </c>
      <c r="BH1" s="1" t="s">
        <v>215</v>
      </c>
      <c r="BI1" s="1" t="s">
        <v>220</v>
      </c>
      <c r="BJ1" s="1" t="s">
        <v>225</v>
      </c>
      <c r="BK1" s="1" t="s">
        <v>230</v>
      </c>
      <c r="BL1" s="1" t="s">
        <v>233</v>
      </c>
    </row>
    <row r="2" customFormat="false" ht="12.75" hidden="false" customHeight="false" outlineLevel="0" collapsed="false">
      <c r="A2" s="1" t="n">
        <v>2026</v>
      </c>
      <c r="B2" s="7" t="n">
        <v>0</v>
      </c>
      <c r="C2" s="7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R2" s="8" t="n">
        <v>0</v>
      </c>
      <c r="AS2" s="8" t="n">
        <v>0</v>
      </c>
      <c r="AT2" s="8" t="n">
        <v>0</v>
      </c>
      <c r="AU2" s="8" t="n">
        <v>0</v>
      </c>
      <c r="AV2" s="8" t="n">
        <v>0</v>
      </c>
      <c r="AW2" s="8" t="n">
        <v>0</v>
      </c>
      <c r="AX2" s="8" t="n">
        <v>0</v>
      </c>
      <c r="AY2" s="8" t="n">
        <v>0</v>
      </c>
      <c r="AZ2" s="8" t="n">
        <v>0</v>
      </c>
      <c r="BA2" s="8" t="n">
        <v>0</v>
      </c>
      <c r="BB2" s="8" t="n">
        <v>0</v>
      </c>
      <c r="BC2" s="8" t="n">
        <v>0</v>
      </c>
      <c r="BD2" s="8" t="n">
        <v>0</v>
      </c>
      <c r="BE2" s="8" t="n">
        <v>0</v>
      </c>
      <c r="BF2" s="8" t="n">
        <v>0</v>
      </c>
      <c r="BG2" s="8" t="n">
        <v>0.157346929636462</v>
      </c>
      <c r="BH2" s="8" t="n">
        <v>26.5929805676498</v>
      </c>
      <c r="BI2" s="8" t="n">
        <v>0.227788694019166</v>
      </c>
      <c r="BJ2" s="8" t="n">
        <v>0.00296880999314079</v>
      </c>
      <c r="BK2" s="8" t="n">
        <v>0.0080967545267476</v>
      </c>
      <c r="BL2" s="4" t="s">
        <v>234</v>
      </c>
    </row>
    <row r="3" customFormat="false" ht="12.75" hidden="false" customHeight="false" outlineLevel="0" collapsed="false">
      <c r="A3" s="1" t="n">
        <v>2025</v>
      </c>
      <c r="B3" s="7" t="n">
        <v>153.022685448034</v>
      </c>
      <c r="C3" s="7" t="n">
        <v>4820.21459161306</v>
      </c>
      <c r="D3" s="8" t="n">
        <v>2677.89699534059</v>
      </c>
      <c r="E3" s="8" t="n">
        <v>17070.0150002467</v>
      </c>
      <c r="F3" s="8" t="n">
        <v>1.0821986510037</v>
      </c>
      <c r="G3" s="8" t="n">
        <v>34.0892575066164</v>
      </c>
      <c r="H3" s="8" t="n">
        <v>18.9384763925647</v>
      </c>
      <c r="I3" s="8" t="n">
        <v>120.721624717228</v>
      </c>
      <c r="J3" s="8" t="n">
        <v>5.02672102216208</v>
      </c>
      <c r="K3" s="8" t="n">
        <v>83.6502872525823</v>
      </c>
      <c r="L3" s="8" t="n">
        <v>245.440689330856</v>
      </c>
      <c r="M3" s="8" t="n">
        <v>0.215069436910058</v>
      </c>
      <c r="N3" s="8" t="n">
        <v>1073.17592417062</v>
      </c>
      <c r="O3" s="8" t="n">
        <v>98.6828436018957</v>
      </c>
      <c r="P3" s="8" t="n">
        <v>61.6767772511848</v>
      </c>
      <c r="Q3" s="8" t="n">
        <v>1033.33324148467</v>
      </c>
      <c r="R3" s="8" t="n">
        <v>406.029677560693</v>
      </c>
      <c r="S3" s="8" t="n">
        <v>131.866115663991</v>
      </c>
      <c r="T3" s="8" t="n">
        <v>0.0214783151175162</v>
      </c>
      <c r="U3" s="8" t="n">
        <v>0.00701993181158719</v>
      </c>
      <c r="V3" s="8" t="n">
        <v>1733.29069513696</v>
      </c>
      <c r="W3" s="8" t="n">
        <v>681.06534640679</v>
      </c>
      <c r="X3" s="8" t="n">
        <v>221.18935316148</v>
      </c>
      <c r="Y3" s="8" t="n">
        <v>221.18935316148</v>
      </c>
      <c r="Z3" s="8" t="n">
        <v>144.586218066646</v>
      </c>
      <c r="AA3" s="8" t="n">
        <v>144.586218066646</v>
      </c>
      <c r="AB3" s="8" t="n">
        <v>144.586218066646</v>
      </c>
      <c r="AC3" s="8" t="n">
        <v>144.586218066646</v>
      </c>
      <c r="AD3" s="8" t="n">
        <v>144.586218066646</v>
      </c>
      <c r="AE3" s="8" t="n">
        <v>6.63746726102903</v>
      </c>
      <c r="AF3" s="8" t="n">
        <v>2.60807315938384</v>
      </c>
      <c r="AG3" s="8" t="n">
        <v>0.847023003248455</v>
      </c>
      <c r="AH3" s="8" t="n">
        <v>0.847023003248455</v>
      </c>
      <c r="AI3" s="8" t="n">
        <v>0.553678786545112</v>
      </c>
      <c r="AJ3" s="8" t="n">
        <v>0.553678786545112</v>
      </c>
      <c r="AK3" s="8" t="n">
        <v>0.553678786545112</v>
      </c>
      <c r="AL3" s="8" t="n">
        <v>0.553678786545112</v>
      </c>
      <c r="AM3" s="8" t="n">
        <v>0.553678786545112</v>
      </c>
      <c r="AN3" s="8" t="n">
        <v>1.19497310908519</v>
      </c>
      <c r="AO3" s="8" t="n">
        <v>19.4530506130148</v>
      </c>
      <c r="AP3" s="8" t="n">
        <v>21.5095159635335</v>
      </c>
      <c r="AQ3" s="8" t="n">
        <v>78.5154324549254</v>
      </c>
      <c r="AR3" s="8" t="n">
        <v>78.5154324549254</v>
      </c>
      <c r="AS3" s="8" t="n">
        <v>78.5154324549254</v>
      </c>
      <c r="AT3" s="8" t="n">
        <v>0.000218817602011946</v>
      </c>
      <c r="AU3" s="8" t="n">
        <v>56.413013495655</v>
      </c>
      <c r="AV3" s="8" t="n">
        <v>62.2212172520123</v>
      </c>
      <c r="AW3" s="8" t="n">
        <v>4.13917968843859</v>
      </c>
      <c r="AX3" s="8" t="n">
        <v>0.195878519082135</v>
      </c>
      <c r="AY3" s="8" t="n">
        <v>0.216045893236154</v>
      </c>
      <c r="AZ3" s="8" t="n">
        <v>0.0143721516959673</v>
      </c>
      <c r="BA3" s="8" t="n">
        <v>27.8615751071243</v>
      </c>
      <c r="BB3" s="8" t="n">
        <v>71.9015568459413</v>
      </c>
      <c r="BC3" s="8" t="n">
        <v>0.0967415802330704</v>
      </c>
      <c r="BD3" s="8" t="n">
        <v>0.249658183492852</v>
      </c>
      <c r="BE3" s="8" t="n">
        <v>0.195878519082135</v>
      </c>
      <c r="BF3" s="8" t="n">
        <v>0.00195878519082135</v>
      </c>
      <c r="BG3" s="8" t="n">
        <v>471.03843069096</v>
      </c>
      <c r="BH3" s="8" t="n">
        <v>79609.5345674815</v>
      </c>
      <c r="BI3" s="8" t="n">
        <v>681.914983710413</v>
      </c>
      <c r="BJ3" s="8" t="n">
        <v>8.8875175602068</v>
      </c>
      <c r="BK3" s="8" t="n">
        <v>24.2386842551094</v>
      </c>
      <c r="BL3" s="4" t="s">
        <v>234</v>
      </c>
    </row>
    <row r="4" customFormat="false" ht="12.75" hidden="false" customHeight="false" outlineLevel="0" collapsed="false">
      <c r="A4" s="1" t="n">
        <v>2024</v>
      </c>
      <c r="B4" s="7" t="n">
        <v>537.383221981835</v>
      </c>
      <c r="C4" s="7" t="n">
        <v>16927.5714924278</v>
      </c>
      <c r="D4" s="8" t="n">
        <v>9404.20638468211</v>
      </c>
      <c r="E4" s="8" t="n">
        <v>52188.0095317991</v>
      </c>
      <c r="F4" s="8" t="n">
        <v>3.80045217608116</v>
      </c>
      <c r="G4" s="8" t="n">
        <v>119.714243546556</v>
      </c>
      <c r="H4" s="8" t="n">
        <v>66.5079130814203</v>
      </c>
      <c r="I4" s="8" t="n">
        <v>369.081181319752</v>
      </c>
      <c r="J4" s="8" t="n">
        <v>17.6527782856787</v>
      </c>
      <c r="K4" s="8" t="n">
        <v>293.762070322341</v>
      </c>
      <c r="L4" s="8" t="n">
        <v>861.935653866497</v>
      </c>
      <c r="M4" s="8" t="n">
        <v>0.517922317456873</v>
      </c>
      <c r="N4" s="8" t="n">
        <v>2584.38283779863</v>
      </c>
      <c r="O4" s="8" t="n">
        <v>237.644398878035</v>
      </c>
      <c r="P4" s="8" t="n">
        <v>148.527749298772</v>
      </c>
      <c r="Q4" s="8" t="n">
        <v>2107.77906663604</v>
      </c>
      <c r="R4" s="8" t="n">
        <v>805.86753962182</v>
      </c>
      <c r="S4" s="8" t="n">
        <v>252.680003070897</v>
      </c>
      <c r="T4" s="8" t="n">
        <v>0.0411564464648419</v>
      </c>
      <c r="U4" s="8" t="n">
        <v>0.0121809024083567</v>
      </c>
      <c r="V4" s="8" t="n">
        <v>3535.54274355444</v>
      </c>
      <c r="W4" s="8" t="n">
        <v>1351.74467622131</v>
      </c>
      <c r="X4" s="8" t="n">
        <v>423.839939128157</v>
      </c>
      <c r="Y4" s="8" t="n">
        <v>423.839939128157</v>
      </c>
      <c r="Z4" s="8" t="n">
        <v>250.884290493555</v>
      </c>
      <c r="AA4" s="8" t="n">
        <v>250.884290493555</v>
      </c>
      <c r="AB4" s="8" t="n">
        <v>250.884290493555</v>
      </c>
      <c r="AC4" s="8" t="n">
        <v>250.884290493555</v>
      </c>
      <c r="AD4" s="8" t="n">
        <v>250.884290493555</v>
      </c>
      <c r="AE4" s="8" t="n">
        <v>13.539015282406</v>
      </c>
      <c r="AF4" s="8" t="n">
        <v>5.1763740836215</v>
      </c>
      <c r="AG4" s="8" t="n">
        <v>1.6230536099759</v>
      </c>
      <c r="AH4" s="8" t="n">
        <v>1.6230536099759</v>
      </c>
      <c r="AI4" s="8" t="n">
        <v>0.960736862621817</v>
      </c>
      <c r="AJ4" s="8" t="n">
        <v>0.960736862621817</v>
      </c>
      <c r="AK4" s="8" t="n">
        <v>0.960736862621817</v>
      </c>
      <c r="AL4" s="8" t="n">
        <v>0.960736862621817</v>
      </c>
      <c r="AM4" s="8" t="n">
        <v>0.960736862621817</v>
      </c>
      <c r="AN4" s="8" t="n">
        <v>3.89329948443886</v>
      </c>
      <c r="AO4" s="8" t="n">
        <v>63.3792939327256</v>
      </c>
      <c r="AP4" s="8" t="n">
        <v>70.0793907198994</v>
      </c>
      <c r="AQ4" s="8" t="n">
        <v>255.808344449918</v>
      </c>
      <c r="AR4" s="8" t="n">
        <v>255.808344449918</v>
      </c>
      <c r="AS4" s="8" t="n">
        <v>255.808344449918</v>
      </c>
      <c r="AT4" s="8" t="n">
        <v>0.00044634116315624</v>
      </c>
      <c r="AU4" s="8" t="n">
        <v>177.688566737415</v>
      </c>
      <c r="AV4" s="8" t="n">
        <v>195.983129229907</v>
      </c>
      <c r="AW4" s="8" t="n">
        <v>13.0375043049938</v>
      </c>
      <c r="AX4" s="8" t="n">
        <v>0.61697419006047</v>
      </c>
      <c r="AY4" s="8" t="n">
        <v>0.680496976492732</v>
      </c>
      <c r="AZ4" s="8" t="n">
        <v>0.0452691121701173</v>
      </c>
      <c r="BA4" s="8" t="n">
        <v>87.7578246766249</v>
      </c>
      <c r="BB4" s="8" t="n">
        <v>226.474066717392</v>
      </c>
      <c r="BC4" s="8" t="n">
        <v>0.304714669016059</v>
      </c>
      <c r="BD4" s="8" t="n">
        <v>0.786368287213167</v>
      </c>
      <c r="BE4" s="8" t="n">
        <v>0.61697419006047</v>
      </c>
      <c r="BF4" s="8" t="n">
        <v>0.0061697419006047</v>
      </c>
      <c r="BG4" s="8" t="n">
        <v>797.329341444497</v>
      </c>
      <c r="BH4" s="8" t="n">
        <v>134755.496863138</v>
      </c>
      <c r="BI4" s="8" t="n">
        <v>1154.28124215979</v>
      </c>
      <c r="BJ4" s="8" t="n">
        <v>15.0439498385754</v>
      </c>
      <c r="BK4" s="8" t="n">
        <v>41.0289541052057</v>
      </c>
      <c r="BL4" s="4" t="s">
        <v>234</v>
      </c>
    </row>
    <row r="5" customFormat="false" ht="12.75" hidden="false" customHeight="false" outlineLevel="0" collapsed="false">
      <c r="A5" s="1" t="n">
        <v>2023</v>
      </c>
      <c r="B5" s="9" t="n">
        <v>536.232675474707</v>
      </c>
      <c r="C5" s="9" t="n">
        <v>16891.3292774533</v>
      </c>
      <c r="D5" s="8" t="n">
        <v>9384.07182080737</v>
      </c>
      <c r="E5" s="8" t="n">
        <v>56070.6164736499</v>
      </c>
      <c r="F5" s="8" t="n">
        <v>3.79231534411872</v>
      </c>
      <c r="G5" s="8" t="n">
        <v>119.45793333974</v>
      </c>
      <c r="H5" s="8" t="n">
        <v>66.3655185220777</v>
      </c>
      <c r="I5" s="8" t="n">
        <v>396.539541382812</v>
      </c>
      <c r="J5" s="8" t="n">
        <v>17.6149833907752</v>
      </c>
      <c r="K5" s="8" t="n">
        <v>293.133120794126</v>
      </c>
      <c r="L5" s="8" t="n">
        <v>860.090235149723</v>
      </c>
      <c r="M5" s="8" t="n">
        <v>0.383132255614625</v>
      </c>
      <c r="N5" s="8" t="n">
        <v>1911.79331850276</v>
      </c>
      <c r="O5" s="8" t="n">
        <v>175.797086758874</v>
      </c>
      <c r="P5" s="8" t="n">
        <v>109.873179224296</v>
      </c>
      <c r="Q5" s="8" t="n">
        <v>2548.67589046136</v>
      </c>
      <c r="R5" s="8" t="n">
        <v>972.33124311829</v>
      </c>
      <c r="S5" s="8" t="n">
        <v>304.304237334365</v>
      </c>
      <c r="T5" s="8" t="n">
        <v>0.0495649869426444</v>
      </c>
      <c r="U5" s="8" t="n">
        <v>0.0139204178353806</v>
      </c>
      <c r="V5" s="8" t="n">
        <v>4275.09348243697</v>
      </c>
      <c r="W5" s="8" t="n">
        <v>1630.96727040972</v>
      </c>
      <c r="X5" s="8" t="n">
        <v>510.433306398407</v>
      </c>
      <c r="Y5" s="8" t="n">
        <v>510.433306398407</v>
      </c>
      <c r="Z5" s="8" t="n">
        <v>286.712267689406</v>
      </c>
      <c r="AA5" s="8" t="n">
        <v>286.712267689406</v>
      </c>
      <c r="AB5" s="8" t="n">
        <v>286.712267689406</v>
      </c>
      <c r="AC5" s="8" t="n">
        <v>286.712267689406</v>
      </c>
      <c r="AD5" s="8" t="n">
        <v>286.712267689406</v>
      </c>
      <c r="AE5" s="8" t="n">
        <v>16.3710525344231</v>
      </c>
      <c r="AF5" s="8" t="n">
        <v>6.24562970973488</v>
      </c>
      <c r="AG5" s="8" t="n">
        <v>1.95465444409515</v>
      </c>
      <c r="AH5" s="8" t="n">
        <v>1.95465444409515</v>
      </c>
      <c r="AI5" s="8" t="n">
        <v>1.09793659855391</v>
      </c>
      <c r="AJ5" s="8" t="n">
        <v>1.09793659855391</v>
      </c>
      <c r="AK5" s="8" t="n">
        <v>1.09793659855391</v>
      </c>
      <c r="AL5" s="8" t="n">
        <v>1.09793659855391</v>
      </c>
      <c r="AM5" s="8" t="n">
        <v>1.09793659855391</v>
      </c>
      <c r="AN5" s="8" t="n">
        <v>5.78212794718642</v>
      </c>
      <c r="AO5" s="8" t="n">
        <v>94.1276642565231</v>
      </c>
      <c r="AP5" s="8" t="n">
        <v>104.078303049356</v>
      </c>
      <c r="AQ5" s="8" t="n">
        <v>379.913382846413</v>
      </c>
      <c r="AR5" s="8" t="n">
        <v>379.913382846413</v>
      </c>
      <c r="AS5" s="8" t="n">
        <v>379.913382846413</v>
      </c>
      <c r="AT5" s="8" t="n">
        <v>0.000539705028607356</v>
      </c>
      <c r="AU5" s="8" t="n">
        <v>151.097410596292</v>
      </c>
      <c r="AV5" s="8" t="n">
        <v>166.654185415082</v>
      </c>
      <c r="AW5" s="8" t="n">
        <v>11.0864372271835</v>
      </c>
      <c r="AX5" s="8" t="n">
        <v>0.524643786792679</v>
      </c>
      <c r="AY5" s="8" t="n">
        <v>0.578660366024589</v>
      </c>
      <c r="AZ5" s="8" t="n">
        <v>0.0384945737054984</v>
      </c>
      <c r="BA5" s="8" t="n">
        <v>74.6248355292139</v>
      </c>
      <c r="BB5" s="8" t="n">
        <v>192.582143446398</v>
      </c>
      <c r="BC5" s="8" t="n">
        <v>0.259114012254215</v>
      </c>
      <c r="BD5" s="8" t="n">
        <v>0.66868799807777</v>
      </c>
      <c r="BE5" s="8" t="n">
        <v>0.524643786792679</v>
      </c>
      <c r="BF5" s="8" t="n">
        <v>0.0052464378679268</v>
      </c>
      <c r="BG5" s="8" t="n">
        <v>575.458515328965</v>
      </c>
      <c r="BH5" s="8" t="n">
        <v>97257.4244123389</v>
      </c>
      <c r="BI5" s="8" t="n">
        <v>833.082310356169</v>
      </c>
      <c r="BJ5" s="8" t="n">
        <v>10.8577078363956</v>
      </c>
      <c r="BK5" s="8" t="n">
        <v>29.611930462897</v>
      </c>
      <c r="BL5" s="4" t="s">
        <v>234</v>
      </c>
    </row>
    <row r="6" customFormat="false" ht="12.75" hidden="false" customHeight="false" outlineLevel="0" collapsed="false">
      <c r="A6" s="1" t="n">
        <v>2022</v>
      </c>
      <c r="B6" s="9" t="n">
        <v>473.869154630714</v>
      </c>
      <c r="C6" s="9" t="n">
        <v>14926.8783708675</v>
      </c>
      <c r="D6" s="8" t="n">
        <v>8292.7102060375</v>
      </c>
      <c r="E6" s="8" t="n">
        <v>39429.6188150441</v>
      </c>
      <c r="F6" s="8" t="n">
        <v>3.35127146927358</v>
      </c>
      <c r="G6" s="8" t="n">
        <v>105.565051282118</v>
      </c>
      <c r="H6" s="8" t="n">
        <v>58.6472507122877</v>
      </c>
      <c r="I6" s="8" t="n">
        <v>278.851989600729</v>
      </c>
      <c r="J6" s="8" t="n">
        <v>15.5663719687191</v>
      </c>
      <c r="K6" s="8" t="n">
        <v>259.041924332579</v>
      </c>
      <c r="L6" s="8" t="n">
        <v>760.062285043941</v>
      </c>
      <c r="M6" s="8" t="n">
        <v>0.220166540088966</v>
      </c>
      <c r="N6" s="8" t="n">
        <v>1098.60998162298</v>
      </c>
      <c r="O6" s="8" t="n">
        <v>101.021607505561</v>
      </c>
      <c r="P6" s="8" t="n">
        <v>63.1385046909759</v>
      </c>
      <c r="Q6" s="8" t="n">
        <v>2410.68479962279</v>
      </c>
      <c r="R6" s="8" t="n">
        <v>908.608945662056</v>
      </c>
      <c r="S6" s="8" t="n">
        <v>279.851105861302</v>
      </c>
      <c r="T6" s="8" t="n">
        <v>0.0455820678982494</v>
      </c>
      <c r="U6" s="8" t="n">
        <v>0.011902171389883</v>
      </c>
      <c r="V6" s="8" t="n">
        <v>4043.63022918998</v>
      </c>
      <c r="W6" s="8" t="n">
        <v>1524.08087517971</v>
      </c>
      <c r="X6" s="8" t="n">
        <v>469.41615573719</v>
      </c>
      <c r="Y6" s="8" t="n">
        <v>469.41615573719</v>
      </c>
      <c r="Z6" s="8" t="n">
        <v>245.143399427853</v>
      </c>
      <c r="AA6" s="8" t="n">
        <v>245.143399427853</v>
      </c>
      <c r="AB6" s="8" t="n">
        <v>245.143399427853</v>
      </c>
      <c r="AC6" s="8" t="n">
        <v>245.143399427853</v>
      </c>
      <c r="AD6" s="8" t="n">
        <v>245.143399427853</v>
      </c>
      <c r="AE6" s="8" t="n">
        <v>15.48468663523</v>
      </c>
      <c r="AF6" s="8" t="n">
        <v>5.83631870900136</v>
      </c>
      <c r="AG6" s="8" t="n">
        <v>1.79758327569947</v>
      </c>
      <c r="AH6" s="8" t="n">
        <v>1.79758327569947</v>
      </c>
      <c r="AI6" s="8" t="n">
        <v>0.938752681546683</v>
      </c>
      <c r="AJ6" s="8" t="n">
        <v>0.938752681546683</v>
      </c>
      <c r="AK6" s="8" t="n">
        <v>0.938752681546683</v>
      </c>
      <c r="AL6" s="8" t="n">
        <v>0.938752681546683</v>
      </c>
      <c r="AM6" s="8" t="n">
        <v>0.938752681546683</v>
      </c>
      <c r="AN6" s="8" t="n">
        <v>3.53780569213036</v>
      </c>
      <c r="AO6" s="8" t="n">
        <v>57.592185685843</v>
      </c>
      <c r="AP6" s="8" t="n">
        <v>63.6805024583464</v>
      </c>
      <c r="AQ6" s="8" t="n">
        <v>232.450706837879</v>
      </c>
      <c r="AR6" s="8" t="n">
        <v>232.450706837879</v>
      </c>
      <c r="AS6" s="8" t="n">
        <v>232.450706837879</v>
      </c>
      <c r="AT6" s="8" t="n">
        <v>0.000510484174787803</v>
      </c>
      <c r="AU6" s="8" t="n">
        <v>42.7446622081615</v>
      </c>
      <c r="AV6" s="8" t="n">
        <v>47.1455919266349</v>
      </c>
      <c r="AW6" s="8" t="n">
        <v>3.1362947419006</v>
      </c>
      <c r="AX6" s="8" t="n">
        <v>0.148418966000561</v>
      </c>
      <c r="AY6" s="8" t="n">
        <v>0.163699971967482</v>
      </c>
      <c r="AZ6" s="8" t="n">
        <v>0.010889912298266</v>
      </c>
      <c r="BA6" s="8" t="n">
        <v>21.1109732089224</v>
      </c>
      <c r="BB6" s="8" t="n">
        <v>54.4804747907573</v>
      </c>
      <c r="BC6" s="8" t="n">
        <v>0.0733019903087582</v>
      </c>
      <c r="BD6" s="8" t="n">
        <v>0.189168315245685</v>
      </c>
      <c r="BE6" s="8" t="n">
        <v>0.148418966000561</v>
      </c>
      <c r="BF6" s="8" t="n">
        <v>0.00148418966000561</v>
      </c>
      <c r="BG6" s="8" t="n">
        <v>542.025206613247</v>
      </c>
      <c r="BH6" s="8" t="n">
        <v>91606.9085043164</v>
      </c>
      <c r="BI6" s="8" t="n">
        <v>784.681431186244</v>
      </c>
      <c r="BJ6" s="8" t="n">
        <v>10.226890690816</v>
      </c>
      <c r="BK6" s="8" t="n">
        <v>27.8915200658618</v>
      </c>
      <c r="BL6" s="4" t="s">
        <v>234</v>
      </c>
    </row>
    <row r="7" customFormat="false" ht="12.75" hidden="false" customHeight="false" outlineLevel="0" collapsed="false">
      <c r="A7" s="1" t="n">
        <v>2021</v>
      </c>
      <c r="B7" s="9" t="n">
        <v>285.355034556018</v>
      </c>
      <c r="C7" s="9" t="n">
        <v>8988.68358851457</v>
      </c>
      <c r="D7" s="8" t="n">
        <v>4993.71310473032</v>
      </c>
      <c r="E7" s="8" t="n">
        <v>18133.7829996338</v>
      </c>
      <c r="F7" s="8" t="n">
        <v>2.01807223908973</v>
      </c>
      <c r="G7" s="8" t="n">
        <v>63.5692755313264</v>
      </c>
      <c r="H7" s="8" t="n">
        <v>35.3162641840702</v>
      </c>
      <c r="I7" s="8" t="n">
        <v>128.244746472325</v>
      </c>
      <c r="J7" s="8" t="n">
        <v>9.37377452750067</v>
      </c>
      <c r="K7" s="8" t="n">
        <v>155.990143158791</v>
      </c>
      <c r="L7" s="8" t="n">
        <v>457.695120043127</v>
      </c>
      <c r="M7" s="8" t="n">
        <v>0.158718129543235</v>
      </c>
      <c r="N7" s="8" t="n">
        <v>791.988289002805</v>
      </c>
      <c r="O7" s="8" t="n">
        <v>72.8265093335913</v>
      </c>
      <c r="P7" s="8" t="n">
        <v>45.5165683334945</v>
      </c>
      <c r="Q7" s="8" t="n">
        <v>1637.44102738369</v>
      </c>
      <c r="R7" s="8" t="n">
        <v>609.881920625786</v>
      </c>
      <c r="S7" s="8" t="n">
        <v>184.829056649579</v>
      </c>
      <c r="T7" s="8" t="n">
        <v>0.0301049037624528</v>
      </c>
      <c r="U7" s="8" t="n">
        <v>0.00727745671728407</v>
      </c>
      <c r="V7" s="8" t="n">
        <v>2746.60795052122</v>
      </c>
      <c r="W7" s="8" t="n">
        <v>1023.00266333648</v>
      </c>
      <c r="X7" s="8" t="n">
        <v>310.028237958713</v>
      </c>
      <c r="Y7" s="8" t="n">
        <v>310.028237958713</v>
      </c>
      <c r="Z7" s="8" t="n">
        <v>149.890336848999</v>
      </c>
      <c r="AA7" s="8" t="n">
        <v>149.890336848999</v>
      </c>
      <c r="AB7" s="8" t="n">
        <v>149.890336848999</v>
      </c>
      <c r="AC7" s="8" t="n">
        <v>149.890336848999</v>
      </c>
      <c r="AD7" s="8" t="n">
        <v>149.890336848999</v>
      </c>
      <c r="AE7" s="8" t="n">
        <v>10.5178666230745</v>
      </c>
      <c r="AF7" s="8" t="n">
        <v>3.91748868489993</v>
      </c>
      <c r="AG7" s="8" t="n">
        <v>1.18722282720319</v>
      </c>
      <c r="AH7" s="8" t="n">
        <v>1.18722282720319</v>
      </c>
      <c r="AI7" s="8" t="n">
        <v>0.573990390862412</v>
      </c>
      <c r="AJ7" s="8" t="n">
        <v>0.573990390862412</v>
      </c>
      <c r="AK7" s="8" t="n">
        <v>0.573990390862412</v>
      </c>
      <c r="AL7" s="8" t="n">
        <v>0.573990390862412</v>
      </c>
      <c r="AM7" s="8" t="n">
        <v>0.573990390862412</v>
      </c>
      <c r="AN7" s="8" t="n">
        <v>1.79888425023578</v>
      </c>
      <c r="AO7" s="8" t="n">
        <v>29.2841622131405</v>
      </c>
      <c r="AP7" s="8" t="n">
        <v>32.379916504244</v>
      </c>
      <c r="AQ7" s="8" t="n">
        <v>118.195274663329</v>
      </c>
      <c r="AR7" s="8" t="n">
        <v>118.195274663329</v>
      </c>
      <c r="AS7" s="8" t="n">
        <v>118.195274663329</v>
      </c>
      <c r="AT7" s="8" t="n">
        <v>0.000346742855705753</v>
      </c>
      <c r="AU7" s="8" t="n">
        <v>100.897284049497</v>
      </c>
      <c r="AV7" s="8" t="n">
        <v>111.28552512915</v>
      </c>
      <c r="AW7" s="8" t="n">
        <v>7.40311433262585</v>
      </c>
      <c r="AX7" s="8" t="n">
        <v>0.350337791838533</v>
      </c>
      <c r="AY7" s="8" t="n">
        <v>0.386408073365104</v>
      </c>
      <c r="AZ7" s="8" t="n">
        <v>0.0257052580993953</v>
      </c>
      <c r="BA7" s="8" t="n">
        <v>49.8317158303632</v>
      </c>
      <c r="BB7" s="8" t="n">
        <v>128.599260261904</v>
      </c>
      <c r="BC7" s="8" t="n">
        <v>0.17302679107765</v>
      </c>
      <c r="BD7" s="8" t="n">
        <v>0.446525209242722</v>
      </c>
      <c r="BE7" s="8" t="n">
        <v>0.350337791838533</v>
      </c>
      <c r="BF7" s="8" t="n">
        <v>0.00350337791838533</v>
      </c>
      <c r="BG7" s="8" t="n">
        <v>425.990587502447</v>
      </c>
      <c r="BH7" s="8" t="n">
        <v>71996.0627234839</v>
      </c>
      <c r="BI7" s="8" t="n">
        <v>616.699924274555</v>
      </c>
      <c r="BJ7" s="8" t="n">
        <v>8.03755825476316</v>
      </c>
      <c r="BK7" s="8" t="n">
        <v>21.9206134220813</v>
      </c>
      <c r="BL7" s="4" t="s">
        <v>234</v>
      </c>
    </row>
    <row r="8" customFormat="false" ht="12.75" hidden="false" customHeight="false" outlineLevel="0" collapsed="false">
      <c r="A8" s="1" t="n">
        <v>2020</v>
      </c>
      <c r="B8" s="9" t="n">
        <v>726.930883834121</v>
      </c>
      <c r="C8" s="9" t="n">
        <v>22898.3228407748</v>
      </c>
      <c r="D8" s="8" t="n">
        <v>12721.2904670971</v>
      </c>
      <c r="E8" s="8" t="n">
        <v>29570.9953120171</v>
      </c>
      <c r="F8" s="8" t="n">
        <v>5.14096076379059</v>
      </c>
      <c r="G8" s="8" t="n">
        <v>161.940264059404</v>
      </c>
      <c r="H8" s="8" t="n">
        <v>89.9668133663353</v>
      </c>
      <c r="I8" s="8" t="n">
        <v>209.130372675163</v>
      </c>
      <c r="J8" s="8" t="n">
        <v>23.8793270731663</v>
      </c>
      <c r="K8" s="8" t="n">
        <v>397.378840055373</v>
      </c>
      <c r="L8" s="8" t="n">
        <v>1165.96056788407</v>
      </c>
      <c r="M8" s="8" t="n">
        <v>0.333435499620267</v>
      </c>
      <c r="N8" s="8" t="n">
        <v>1663.8112583422</v>
      </c>
      <c r="O8" s="8" t="n">
        <v>152.994138698133</v>
      </c>
      <c r="P8" s="8" t="n">
        <v>95.6213366863333</v>
      </c>
      <c r="Q8" s="8" t="n">
        <v>1848.29100592224</v>
      </c>
      <c r="R8" s="8" t="n">
        <v>689.8368090531</v>
      </c>
      <c r="S8" s="8" t="n">
        <v>209.584976695038</v>
      </c>
      <c r="T8" s="8" t="n">
        <v>0.0341371409227198</v>
      </c>
      <c r="U8" s="8" t="n">
        <v>0.00851211190637393</v>
      </c>
      <c r="V8" s="8" t="n">
        <v>3100.28311667149</v>
      </c>
      <c r="W8" s="8" t="n">
        <v>1157.11725345908</v>
      </c>
      <c r="X8" s="8" t="n">
        <v>351.55327958294</v>
      </c>
      <c r="Y8" s="8" t="n">
        <v>351.55327958294</v>
      </c>
      <c r="Z8" s="8" t="n">
        <v>175.319946309337</v>
      </c>
      <c r="AA8" s="8" t="n">
        <v>175.319946309337</v>
      </c>
      <c r="AB8" s="8" t="n">
        <v>175.319946309337</v>
      </c>
      <c r="AC8" s="8" t="n">
        <v>175.319946309337</v>
      </c>
      <c r="AD8" s="8" t="n">
        <v>175.319946309337</v>
      </c>
      <c r="AE8" s="8" t="n">
        <v>11.8722310946243</v>
      </c>
      <c r="AF8" s="8" t="n">
        <v>4.43106739599707</v>
      </c>
      <c r="AG8" s="8" t="n">
        <v>1.34623891438751</v>
      </c>
      <c r="AH8" s="8" t="n">
        <v>1.34623891438751</v>
      </c>
      <c r="AI8" s="8" t="n">
        <v>0.671370594152782</v>
      </c>
      <c r="AJ8" s="8" t="n">
        <v>0.671370594152782</v>
      </c>
      <c r="AK8" s="8" t="n">
        <v>0.671370594152782</v>
      </c>
      <c r="AL8" s="8" t="n">
        <v>0.671370594152782</v>
      </c>
      <c r="AM8" s="8" t="n">
        <v>0.671370594152782</v>
      </c>
      <c r="AN8" s="8" t="n">
        <v>4.36443583569108</v>
      </c>
      <c r="AO8" s="8" t="n">
        <v>71.0489554647386</v>
      </c>
      <c r="AP8" s="8" t="n">
        <v>78.5598450424395</v>
      </c>
      <c r="AQ8" s="8" t="n">
        <v>286.764249718885</v>
      </c>
      <c r="AR8" s="8" t="n">
        <v>286.764249718885</v>
      </c>
      <c r="AS8" s="8" t="n">
        <v>286.764249718885</v>
      </c>
      <c r="AT8" s="8" t="n">
        <v>0.000391392233888714</v>
      </c>
      <c r="AU8" s="8" t="n">
        <v>343.696906010973</v>
      </c>
      <c r="AV8" s="8" t="n">
        <v>379.083451363582</v>
      </c>
      <c r="AW8" s="8" t="n">
        <v>25.2179978374915</v>
      </c>
      <c r="AX8" s="8" t="n">
        <v>1.19339203476032</v>
      </c>
      <c r="AY8" s="8" t="n">
        <v>1.31626198390133</v>
      </c>
      <c r="AZ8" s="8" t="n">
        <v>0.0875624924912899</v>
      </c>
      <c r="BA8" s="8" t="n">
        <v>169.746953185695</v>
      </c>
      <c r="BB8" s="8" t="n">
        <v>438.061026951264</v>
      </c>
      <c r="BC8" s="8" t="n">
        <v>0.589399143005887</v>
      </c>
      <c r="BD8" s="8" t="n">
        <v>1.52104523246966</v>
      </c>
      <c r="BE8" s="8" t="n">
        <v>1.19339203476032</v>
      </c>
      <c r="BF8" s="8" t="n">
        <v>0.0119339203476032</v>
      </c>
      <c r="BG8" s="8" t="n">
        <v>386.892789319817</v>
      </c>
      <c r="BH8" s="8" t="n">
        <v>65388.1995150261</v>
      </c>
      <c r="BI8" s="8" t="n">
        <v>560.098652119941</v>
      </c>
      <c r="BJ8" s="8" t="n">
        <v>7.29986394943051</v>
      </c>
      <c r="BK8" s="8" t="n">
        <v>19.9087198620832</v>
      </c>
      <c r="BL8" s="4" t="s">
        <v>234</v>
      </c>
    </row>
    <row r="9" customFormat="false" ht="12.75" hidden="false" customHeight="false" outlineLevel="0" collapsed="false">
      <c r="A9" s="1" t="n">
        <v>2019</v>
      </c>
      <c r="B9" s="9" t="n">
        <v>1197.77741628509</v>
      </c>
      <c r="C9" s="9" t="n">
        <v>37729.9886129804</v>
      </c>
      <c r="D9" s="8" t="n">
        <v>20961.1047849891</v>
      </c>
      <c r="E9" s="8" t="n">
        <v>41756.0628540336</v>
      </c>
      <c r="F9" s="8" t="n">
        <v>8.47085581011202</v>
      </c>
      <c r="G9" s="8" t="n">
        <v>266.831958018529</v>
      </c>
      <c r="H9" s="8" t="n">
        <v>148.23997667696</v>
      </c>
      <c r="I9" s="8" t="n">
        <v>295.304939653583</v>
      </c>
      <c r="J9" s="8" t="n">
        <v>39.3464073688339</v>
      </c>
      <c r="K9" s="8" t="n">
        <v>654.768439356201</v>
      </c>
      <c r="L9" s="8" t="n">
        <v>1921.17471901107</v>
      </c>
      <c r="M9" s="8" t="n">
        <v>0.611086036671368</v>
      </c>
      <c r="N9" s="8" t="n">
        <v>3049.26088790018</v>
      </c>
      <c r="O9" s="8" t="n">
        <v>280.391805783925</v>
      </c>
      <c r="P9" s="8" t="n">
        <v>175.244878614953</v>
      </c>
      <c r="Q9" s="8" t="n">
        <v>1851.95991981623</v>
      </c>
      <c r="R9" s="8" t="n">
        <v>707.035603762453</v>
      </c>
      <c r="S9" s="8" t="n">
        <v>221.501449879099</v>
      </c>
      <c r="T9" s="8" t="n">
        <v>0.0360780926588645</v>
      </c>
      <c r="U9" s="8" t="n">
        <v>0.0101335622400619</v>
      </c>
      <c r="V9" s="8" t="n">
        <v>3106.43727300597</v>
      </c>
      <c r="W9" s="8" t="n">
        <v>1185.96613747878</v>
      </c>
      <c r="X9" s="8" t="n">
        <v>371.541712413287</v>
      </c>
      <c r="Y9" s="8" t="n">
        <v>371.541712413287</v>
      </c>
      <c r="Z9" s="8" t="n">
        <v>208.716192572566</v>
      </c>
      <c r="AA9" s="8" t="n">
        <v>208.716192572566</v>
      </c>
      <c r="AB9" s="8" t="n">
        <v>208.716192572566</v>
      </c>
      <c r="AC9" s="8" t="n">
        <v>208.716192572566</v>
      </c>
      <c r="AD9" s="8" t="n">
        <v>208.716192572566</v>
      </c>
      <c r="AE9" s="8" t="n">
        <v>11.8957978346432</v>
      </c>
      <c r="AF9" s="8" t="n">
        <v>4.5415413769255</v>
      </c>
      <c r="AG9" s="8" t="n">
        <v>1.42278266373258</v>
      </c>
      <c r="AH9" s="8" t="n">
        <v>1.42278266373258</v>
      </c>
      <c r="AI9" s="8" t="n">
        <v>0.799258254217751</v>
      </c>
      <c r="AJ9" s="8" t="n">
        <v>0.799258254217751</v>
      </c>
      <c r="AK9" s="8" t="n">
        <v>0.799258254217751</v>
      </c>
      <c r="AL9" s="8" t="n">
        <v>0.799258254217751</v>
      </c>
      <c r="AM9" s="8" t="n">
        <v>0.799258254217751</v>
      </c>
      <c r="AN9" s="8" t="n">
        <v>3.72626023263125</v>
      </c>
      <c r="AO9" s="8" t="n">
        <v>60.6600502986482</v>
      </c>
      <c r="AP9" s="8" t="n">
        <v>67.0726841873625</v>
      </c>
      <c r="AQ9" s="8" t="n">
        <v>244.833068945466</v>
      </c>
      <c r="AR9" s="8" t="n">
        <v>244.833068945466</v>
      </c>
      <c r="AS9" s="8" t="n">
        <v>244.833068945466</v>
      </c>
      <c r="AT9" s="8" t="n">
        <v>0.000392169159383842</v>
      </c>
      <c r="AU9" s="8" t="n">
        <v>469.197222377958</v>
      </c>
      <c r="AV9" s="8" t="n">
        <v>517.505102078411</v>
      </c>
      <c r="AW9" s="8" t="n">
        <v>34.4263050738857</v>
      </c>
      <c r="AX9" s="8" t="n">
        <v>1.62915702214569</v>
      </c>
      <c r="AY9" s="8" t="n">
        <v>1.79689271555004</v>
      </c>
      <c r="AZ9" s="8" t="n">
        <v>0.119535781506548</v>
      </c>
      <c r="BA9" s="8" t="n">
        <v>231.729752432822</v>
      </c>
      <c r="BB9" s="8" t="n">
        <v>598.018234912498</v>
      </c>
      <c r="BC9" s="8" t="n">
        <v>0.804617195947299</v>
      </c>
      <c r="BD9" s="8" t="n">
        <v>2.07645220455729</v>
      </c>
      <c r="BE9" s="8" t="n">
        <v>1.62915702214569</v>
      </c>
      <c r="BF9" s="8" t="n">
        <v>0.0162915702214569</v>
      </c>
      <c r="BG9" s="8" t="n">
        <v>321.54136454414</v>
      </c>
      <c r="BH9" s="8" t="n">
        <v>54343.2482525955</v>
      </c>
      <c r="BI9" s="8" t="n">
        <v>465.490414537314</v>
      </c>
      <c r="BJ9" s="8" t="n">
        <v>6.06681819894603</v>
      </c>
      <c r="BK9" s="8" t="n">
        <v>16.5458678153074</v>
      </c>
      <c r="BL9" s="4" t="s">
        <v>234</v>
      </c>
    </row>
    <row r="10" customFormat="false" ht="12.75" hidden="false" customHeight="false" outlineLevel="0" collapsed="false">
      <c r="A10" s="1" t="n">
        <v>2018</v>
      </c>
      <c r="B10" s="9" t="n">
        <v>777.067410441346</v>
      </c>
      <c r="C10" s="9" t="n">
        <v>24477.6234289024</v>
      </c>
      <c r="D10" s="8" t="n">
        <v>13598.6796827235</v>
      </c>
      <c r="E10" s="8" t="n">
        <v>27488.3111262327</v>
      </c>
      <c r="F10" s="8" t="n">
        <v>5.49553355998411</v>
      </c>
      <c r="G10" s="8" t="n">
        <v>173.109307139499</v>
      </c>
      <c r="H10" s="8" t="n">
        <v>96.1718372997218</v>
      </c>
      <c r="I10" s="8" t="n">
        <v>194.401327699096</v>
      </c>
      <c r="J10" s="8" t="n">
        <v>25.5262876629431</v>
      </c>
      <c r="K10" s="8" t="n">
        <v>424.786115259449</v>
      </c>
      <c r="L10" s="8" t="n">
        <v>1246.37703433872</v>
      </c>
      <c r="M10" s="8" t="n">
        <v>0.251315503960074</v>
      </c>
      <c r="N10" s="8" t="n">
        <v>1254.04033272077</v>
      </c>
      <c r="O10" s="8" t="n">
        <v>115.314053583519</v>
      </c>
      <c r="P10" s="8" t="n">
        <v>72.0712834896992</v>
      </c>
      <c r="Q10" s="8" t="n">
        <v>1366.34229866138</v>
      </c>
      <c r="R10" s="8" t="n">
        <v>518.41613774543</v>
      </c>
      <c r="S10" s="8" t="n">
        <v>161.109648573363</v>
      </c>
      <c r="T10" s="8" t="n">
        <v>0.026241493374601</v>
      </c>
      <c r="U10" s="8" t="n">
        <v>0.00708866186284941</v>
      </c>
      <c r="V10" s="8" t="n">
        <v>2291.87284175542</v>
      </c>
      <c r="W10" s="8" t="n">
        <v>869.579949322016</v>
      </c>
      <c r="X10" s="8" t="n">
        <v>270.241818958399</v>
      </c>
      <c r="Y10" s="8" t="n">
        <v>270.241818958399</v>
      </c>
      <c r="Z10" s="8" t="n">
        <v>146.001818452269</v>
      </c>
      <c r="AA10" s="8" t="n">
        <v>146.001818452269</v>
      </c>
      <c r="AB10" s="8" t="n">
        <v>146.001818452269</v>
      </c>
      <c r="AC10" s="8" t="n">
        <v>146.001818452269</v>
      </c>
      <c r="AD10" s="8" t="n">
        <v>146.001818452269</v>
      </c>
      <c r="AE10" s="8" t="n">
        <v>8.77650298145237</v>
      </c>
      <c r="AF10" s="8" t="n">
        <v>3.32997140102693</v>
      </c>
      <c r="AG10" s="8" t="n">
        <v>1.03486462537986</v>
      </c>
      <c r="AH10" s="8" t="n">
        <v>1.03486462537986</v>
      </c>
      <c r="AI10" s="8" t="n">
        <v>0.559099689825003</v>
      </c>
      <c r="AJ10" s="8" t="n">
        <v>0.559099689825003</v>
      </c>
      <c r="AK10" s="8" t="n">
        <v>0.559099689825003</v>
      </c>
      <c r="AL10" s="8" t="n">
        <v>0.559099689825003</v>
      </c>
      <c r="AM10" s="8" t="n">
        <v>0.559099689825003</v>
      </c>
      <c r="AN10" s="8" t="n">
        <v>1.58473136330294</v>
      </c>
      <c r="AO10" s="8" t="n">
        <v>25.7979524258619</v>
      </c>
      <c r="AP10" s="8" t="n">
        <v>28.525164539453</v>
      </c>
      <c r="AQ10" s="8" t="n">
        <v>104.12440863198</v>
      </c>
      <c r="AR10" s="8" t="n">
        <v>104.12440863198</v>
      </c>
      <c r="AS10" s="8" t="n">
        <v>104.12440863198</v>
      </c>
      <c r="AT10" s="8" t="n">
        <v>0.000289335263124804</v>
      </c>
      <c r="AU10" s="8" t="n">
        <v>456.274417524328</v>
      </c>
      <c r="AV10" s="8" t="n">
        <v>503.251783588963</v>
      </c>
      <c r="AW10" s="8" t="n">
        <v>33.4781229426134</v>
      </c>
      <c r="AX10" s="8" t="n">
        <v>1.58428617195947</v>
      </c>
      <c r="AY10" s="8" t="n">
        <v>1.74740202635057</v>
      </c>
      <c r="AZ10" s="8" t="n">
        <v>0.11624348243963</v>
      </c>
      <c r="BA10" s="8" t="n">
        <v>225.347365183613</v>
      </c>
      <c r="BB10" s="8" t="n">
        <v>581.547393696688</v>
      </c>
      <c r="BC10" s="8" t="n">
        <v>0.782456129109767</v>
      </c>
      <c r="BD10" s="8" t="n">
        <v>2.01926178366906</v>
      </c>
      <c r="BE10" s="8" t="n">
        <v>1.58428617195947</v>
      </c>
      <c r="BF10" s="8" t="n">
        <v>0.0158428617195947</v>
      </c>
      <c r="BG10" s="8" t="n">
        <v>307.292725915949</v>
      </c>
      <c r="BH10" s="8" t="n">
        <v>51935.1061234139</v>
      </c>
      <c r="BI10" s="8" t="n">
        <v>444.862882801134</v>
      </c>
      <c r="BJ10" s="8" t="n">
        <v>5.79797596067829</v>
      </c>
      <c r="BK10" s="8" t="n">
        <v>15.8126617109408</v>
      </c>
      <c r="BL10" s="4" t="s">
        <v>234</v>
      </c>
    </row>
    <row r="11" customFormat="false" ht="12.75" hidden="false" customHeight="false" outlineLevel="0" collapsed="false">
      <c r="A11" s="1" t="n">
        <v>2017</v>
      </c>
      <c r="B11" s="9" t="n">
        <v>479.524383225073</v>
      </c>
      <c r="C11" s="9" t="n">
        <v>15105.0180715898</v>
      </c>
      <c r="D11" s="8" t="n">
        <v>8391.67670643877</v>
      </c>
      <c r="E11" s="8" t="n">
        <v>16290.9585094032</v>
      </c>
      <c r="F11" s="8" t="n">
        <v>3.39126606705504</v>
      </c>
      <c r="G11" s="8" t="n">
        <v>106.824881112234</v>
      </c>
      <c r="H11" s="8" t="n">
        <v>59.3471561734632</v>
      </c>
      <c r="I11" s="8" t="n">
        <v>115.212024091817</v>
      </c>
      <c r="J11" s="8" t="n">
        <v>15.7521434860412</v>
      </c>
      <c r="K11" s="8" t="n">
        <v>262.133371166178</v>
      </c>
      <c r="L11" s="8" t="n">
        <v>769.132987211132</v>
      </c>
      <c r="M11" s="8" t="n">
        <v>0.170469784094608</v>
      </c>
      <c r="N11" s="8" t="n">
        <v>850.627921462424</v>
      </c>
      <c r="O11" s="8" t="n">
        <v>78.2186594448206</v>
      </c>
      <c r="P11" s="8" t="n">
        <v>48.8866621530129</v>
      </c>
      <c r="Q11" s="8" t="n">
        <v>486.530499900377</v>
      </c>
      <c r="R11" s="8" t="n">
        <v>185.309931695522</v>
      </c>
      <c r="S11" s="8" t="n">
        <v>57.9265595753941</v>
      </c>
      <c r="T11" s="8" t="n">
        <v>0.0094350614179321</v>
      </c>
      <c r="U11" s="8" t="n">
        <v>0.00251320485540188</v>
      </c>
      <c r="V11" s="8" t="n">
        <v>816.095674195117</v>
      </c>
      <c r="W11" s="8" t="n">
        <v>310.834847297496</v>
      </c>
      <c r="X11" s="8" t="n">
        <v>97.1647506172063</v>
      </c>
      <c r="Y11" s="8" t="n">
        <v>97.1647506172063</v>
      </c>
      <c r="Z11" s="8" t="n">
        <v>51.7632927245101</v>
      </c>
      <c r="AA11" s="8" t="n">
        <v>51.7632927245101</v>
      </c>
      <c r="AB11" s="8" t="n">
        <v>51.7632927245101</v>
      </c>
      <c r="AC11" s="8" t="n">
        <v>51.7632927245101</v>
      </c>
      <c r="AD11" s="8" t="n">
        <v>51.7632927245101</v>
      </c>
      <c r="AE11" s="8" t="n">
        <v>3.12515859834434</v>
      </c>
      <c r="AF11" s="8" t="n">
        <v>1.1903116588075</v>
      </c>
      <c r="AG11" s="8" t="n">
        <v>0.372082913130043</v>
      </c>
      <c r="AH11" s="8" t="n">
        <v>0.372082913130043</v>
      </c>
      <c r="AI11" s="8" t="n">
        <v>0.198222468825317</v>
      </c>
      <c r="AJ11" s="8" t="n">
        <v>0.198222468825317</v>
      </c>
      <c r="AK11" s="8" t="n">
        <v>0.198222468825317</v>
      </c>
      <c r="AL11" s="8" t="n">
        <v>0.198222468825317</v>
      </c>
      <c r="AM11" s="8" t="n">
        <v>0.198222468825317</v>
      </c>
      <c r="AN11" s="8" t="n">
        <v>0.0813780970344755</v>
      </c>
      <c r="AO11" s="8" t="n">
        <v>1.32475971916588</v>
      </c>
      <c r="AP11" s="8" t="n">
        <v>1.46480574662056</v>
      </c>
      <c r="AQ11" s="8" t="n">
        <v>5.34692909191248</v>
      </c>
      <c r="AR11" s="8" t="n">
        <v>5.34692909191248</v>
      </c>
      <c r="AS11" s="8" t="n">
        <v>5.34692909191248</v>
      </c>
      <c r="AT11" s="8" t="n">
        <v>0.000103027206538824</v>
      </c>
      <c r="AU11" s="8" t="n">
        <v>306.916615273718</v>
      </c>
      <c r="AV11" s="8" t="n">
        <v>338.516314124384</v>
      </c>
      <c r="AW11" s="8" t="n">
        <v>22.5193256177166</v>
      </c>
      <c r="AX11" s="8" t="n">
        <v>1.06568269192263</v>
      </c>
      <c r="AY11" s="8" t="n">
        <v>1.17540386848745</v>
      </c>
      <c r="AZ11" s="8" t="n">
        <v>0.0781921028392936</v>
      </c>
      <c r="BA11" s="8" t="n">
        <v>151.581697168716</v>
      </c>
      <c r="BB11" s="8" t="n">
        <v>391.182478875496</v>
      </c>
      <c r="BC11" s="8" t="n">
        <v>0.526325337391374</v>
      </c>
      <c r="BD11" s="8" t="n">
        <v>1.35827249609547</v>
      </c>
      <c r="BE11" s="8" t="n">
        <v>1.06568269192263</v>
      </c>
      <c r="BF11" s="8" t="n">
        <v>0.0106568269192263</v>
      </c>
      <c r="BG11" s="8" t="n">
        <v>165.033618532406</v>
      </c>
      <c r="BH11" s="8" t="n">
        <v>27892.0969146398</v>
      </c>
      <c r="BI11" s="8" t="n">
        <v>238.916593552917</v>
      </c>
      <c r="BJ11" s="8" t="n">
        <v>3.113841859102</v>
      </c>
      <c r="BK11" s="8" t="n">
        <v>8.49229597936908</v>
      </c>
      <c r="BL11" s="4" t="s">
        <v>234</v>
      </c>
    </row>
    <row r="12" customFormat="false" ht="12.75" hidden="false" customHeight="false" outlineLevel="0" collapsed="false">
      <c r="A12" s="1" t="n">
        <v>2016</v>
      </c>
      <c r="B12" s="9" t="n">
        <v>381.259911201033</v>
      </c>
      <c r="C12" s="9" t="n">
        <v>12009.6872028325</v>
      </c>
      <c r="D12" s="8" t="n">
        <v>6672.04844601807</v>
      </c>
      <c r="E12" s="8" t="n">
        <v>13641.7764247702</v>
      </c>
      <c r="F12" s="8" t="n">
        <v>2.69632545250073</v>
      </c>
      <c r="G12" s="8" t="n">
        <v>84.9342517537731</v>
      </c>
      <c r="H12" s="8" t="n">
        <v>47.1856954187628</v>
      </c>
      <c r="I12" s="8" t="n">
        <v>96.4766237172977</v>
      </c>
      <c r="J12" s="8" t="n">
        <v>12.5242032247089</v>
      </c>
      <c r="K12" s="8" t="n">
        <v>208.416817392027</v>
      </c>
      <c r="L12" s="8" t="n">
        <v>611.521717485353</v>
      </c>
      <c r="M12" s="8" t="n">
        <v>0.340514809590973</v>
      </c>
      <c r="N12" s="8" t="n">
        <v>1699.13633813715</v>
      </c>
      <c r="O12" s="8" t="n">
        <v>156.242421897669</v>
      </c>
      <c r="P12" s="8" t="n">
        <v>97.6515136860431</v>
      </c>
      <c r="Q12" s="8" t="n">
        <v>1453.84934809363</v>
      </c>
      <c r="R12" s="8" t="n">
        <v>551.344795821646</v>
      </c>
      <c r="S12" s="8" t="n">
        <v>171.243416181449</v>
      </c>
      <c r="T12" s="8" t="n">
        <v>0.0278920785375762</v>
      </c>
      <c r="U12" s="8" t="n">
        <v>0.00748704420156688</v>
      </c>
      <c r="V12" s="8" t="n">
        <v>2438.65526242146</v>
      </c>
      <c r="W12" s="8" t="n">
        <v>924.813763889762</v>
      </c>
      <c r="X12" s="8" t="n">
        <v>287.239980245206</v>
      </c>
      <c r="Y12" s="8" t="n">
        <v>287.239980245206</v>
      </c>
      <c r="Z12" s="8" t="n">
        <v>154.207111216599</v>
      </c>
      <c r="AA12" s="8" t="n">
        <v>154.207111216599</v>
      </c>
      <c r="AB12" s="8" t="n">
        <v>154.207111216599</v>
      </c>
      <c r="AC12" s="8" t="n">
        <v>154.207111216599</v>
      </c>
      <c r="AD12" s="8" t="n">
        <v>154.207111216599</v>
      </c>
      <c r="AE12" s="8" t="n">
        <v>9.33859191113906</v>
      </c>
      <c r="AF12" s="8" t="n">
        <v>3.54148389395368</v>
      </c>
      <c r="AG12" s="8" t="n">
        <v>1.09995742219428</v>
      </c>
      <c r="AH12" s="8" t="n">
        <v>1.09995742219428</v>
      </c>
      <c r="AI12" s="8" t="n">
        <v>0.590521056271613</v>
      </c>
      <c r="AJ12" s="8" t="n">
        <v>0.590521056271613</v>
      </c>
      <c r="AK12" s="8" t="n">
        <v>0.590521056271613</v>
      </c>
      <c r="AL12" s="8" t="n">
        <v>0.590521056271613</v>
      </c>
      <c r="AM12" s="8" t="n">
        <v>0.590521056271613</v>
      </c>
      <c r="AN12" s="8" t="n">
        <v>1.3919937650634</v>
      </c>
      <c r="AO12" s="8" t="n">
        <v>22.6603636173111</v>
      </c>
      <c r="AP12" s="8" t="n">
        <v>25.0558877711412</v>
      </c>
      <c r="AQ12" s="8" t="n">
        <v>91.4606292037661</v>
      </c>
      <c r="AR12" s="8" t="n">
        <v>91.4606292037661</v>
      </c>
      <c r="AS12" s="8" t="n">
        <v>91.4606292037661</v>
      </c>
      <c r="AT12" s="8" t="n">
        <v>0.000307865667400189</v>
      </c>
      <c r="AU12" s="8" t="n">
        <v>414.026786272076</v>
      </c>
      <c r="AV12" s="8" t="n">
        <v>456.654396219615</v>
      </c>
      <c r="AW12" s="8" t="n">
        <v>30.3782967442233</v>
      </c>
      <c r="AX12" s="8" t="n">
        <v>1.43759300788915</v>
      </c>
      <c r="AY12" s="8" t="n">
        <v>1.58560554242922</v>
      </c>
      <c r="AZ12" s="8" t="n">
        <v>0.105480197028553</v>
      </c>
      <c r="BA12" s="8" t="n">
        <v>204.481868407353</v>
      </c>
      <c r="BB12" s="8" t="n">
        <v>527.700412798847</v>
      </c>
      <c r="BC12" s="8" t="n">
        <v>0.71000648752553</v>
      </c>
      <c r="BD12" s="8" t="n">
        <v>1.832293099996</v>
      </c>
      <c r="BE12" s="8" t="n">
        <v>1.43759300788915</v>
      </c>
      <c r="BF12" s="8" t="n">
        <v>0.0143759300788915</v>
      </c>
      <c r="BG12" s="8" t="n">
        <v>106.057658239036</v>
      </c>
      <c r="BH12" s="8" t="n">
        <v>17924.6538278022</v>
      </c>
      <c r="BI12" s="8" t="n">
        <v>153.538016387215</v>
      </c>
      <c r="BJ12" s="8" t="n">
        <v>2.00108789130256</v>
      </c>
      <c r="BK12" s="8" t="n">
        <v>5.45751243082517</v>
      </c>
      <c r="BL12" s="4" t="s">
        <v>234</v>
      </c>
    </row>
    <row r="13" customFormat="false" ht="12.75" hidden="false" customHeight="false" outlineLevel="0" collapsed="false">
      <c r="A13" s="1" t="n">
        <v>2015</v>
      </c>
      <c r="B13" s="9" t="n">
        <v>707.3910940012</v>
      </c>
      <c r="C13" s="9" t="n">
        <v>22282.8194610378</v>
      </c>
      <c r="D13" s="8" t="n">
        <v>12379.344145021</v>
      </c>
      <c r="E13" s="8" t="n">
        <v>25691.3134884047</v>
      </c>
      <c r="F13" s="8" t="n">
        <v>5.00277253283536</v>
      </c>
      <c r="G13" s="8" t="n">
        <v>157.587334784314</v>
      </c>
      <c r="H13" s="8" t="n">
        <v>87.5485193246188</v>
      </c>
      <c r="I13" s="8" t="n">
        <v>181.692699473024</v>
      </c>
      <c r="J13" s="8" t="n">
        <v>23.2374544512463</v>
      </c>
      <c r="K13" s="8" t="n">
        <v>386.697358237215</v>
      </c>
      <c r="L13" s="8" t="n">
        <v>1134.61972798226</v>
      </c>
      <c r="M13" s="8" t="n">
        <v>0.542841488553759</v>
      </c>
      <c r="N13" s="8" t="n">
        <v>2708.72711867685</v>
      </c>
      <c r="O13" s="8" t="n">
        <v>249.0783557404</v>
      </c>
      <c r="P13" s="8" t="n">
        <v>155.67397233775</v>
      </c>
      <c r="Q13" s="8" t="n">
        <v>3006.80760134636</v>
      </c>
      <c r="R13" s="8" t="n">
        <v>1163.48827808299</v>
      </c>
      <c r="S13" s="8" t="n">
        <v>370.831738195183</v>
      </c>
      <c r="T13" s="8" t="n">
        <v>0.0604009672115292</v>
      </c>
      <c r="U13" s="8" t="n">
        <v>0.0182239723377503</v>
      </c>
      <c r="V13" s="8" t="n">
        <v>5043.55364586231</v>
      </c>
      <c r="W13" s="8" t="n">
        <v>1951.60992150477</v>
      </c>
      <c r="X13" s="8" t="n">
        <v>622.025088781306</v>
      </c>
      <c r="Y13" s="8" t="n">
        <v>622.025088781306</v>
      </c>
      <c r="Z13" s="8" t="n">
        <v>375.35054601488</v>
      </c>
      <c r="AA13" s="8" t="n">
        <v>375.35054601488</v>
      </c>
      <c r="AB13" s="8" t="n">
        <v>375.35054601488</v>
      </c>
      <c r="AC13" s="8" t="n">
        <v>375.35054601488</v>
      </c>
      <c r="AD13" s="8" t="n">
        <v>375.35054601488</v>
      </c>
      <c r="AE13" s="8" t="n">
        <v>19.3137956013832</v>
      </c>
      <c r="AF13" s="8" t="n">
        <v>7.47349939432044</v>
      </c>
      <c r="AG13" s="8" t="n">
        <v>2.38198426490621</v>
      </c>
      <c r="AH13" s="8" t="n">
        <v>2.38198426490621</v>
      </c>
      <c r="AI13" s="8" t="n">
        <v>1.43736821963743</v>
      </c>
      <c r="AJ13" s="8" t="n">
        <v>1.43736821963743</v>
      </c>
      <c r="AK13" s="8" t="n">
        <v>1.43736821963743</v>
      </c>
      <c r="AL13" s="8" t="n">
        <v>1.43736821963743</v>
      </c>
      <c r="AM13" s="8" t="n">
        <v>1.43736821963743</v>
      </c>
      <c r="AN13" s="8" t="n">
        <v>5.8635060442209</v>
      </c>
      <c r="AO13" s="8" t="n">
        <v>95.452423975689</v>
      </c>
      <c r="AP13" s="8" t="n">
        <v>105.543108795976</v>
      </c>
      <c r="AQ13" s="8" t="n">
        <v>385.260311938326</v>
      </c>
      <c r="AR13" s="8" t="n">
        <v>385.260311938326</v>
      </c>
      <c r="AS13" s="8" t="n">
        <v>385.260311938326</v>
      </c>
      <c r="AT13" s="8" t="n">
        <v>0.000636718536309337</v>
      </c>
      <c r="AU13" s="8" t="n">
        <v>377.743526490729</v>
      </c>
      <c r="AV13" s="8" t="n">
        <v>416.635463537704</v>
      </c>
      <c r="AW13" s="8" t="n">
        <v>27.7160930679588</v>
      </c>
      <c r="AX13" s="8" t="n">
        <v>1.3116094669817</v>
      </c>
      <c r="AY13" s="8" t="n">
        <v>1.44665091506147</v>
      </c>
      <c r="AZ13" s="8" t="n">
        <v>0.0962364342637459</v>
      </c>
      <c r="BA13" s="8" t="n">
        <v>186.562088823035</v>
      </c>
      <c r="BB13" s="8" t="n">
        <v>481.455358615995</v>
      </c>
      <c r="BC13" s="8" t="n">
        <v>0.647785030635537</v>
      </c>
      <c r="BD13" s="8" t="n">
        <v>1.67171999519443</v>
      </c>
      <c r="BE13" s="8" t="n">
        <v>1.3116094669817</v>
      </c>
      <c r="BF13" s="8" t="n">
        <v>0.013116094669817</v>
      </c>
      <c r="BG13" s="8" t="n">
        <v>234.924793611298</v>
      </c>
      <c r="BH13" s="8" t="n">
        <v>39704.3049127074</v>
      </c>
      <c r="BI13" s="8" t="n">
        <v>340.096956788912</v>
      </c>
      <c r="BJ13" s="8" t="n">
        <v>4.43254327568487</v>
      </c>
      <c r="BK13" s="8" t="n">
        <v>12.0887543882315</v>
      </c>
      <c r="BL13" s="4" t="s">
        <v>234</v>
      </c>
    </row>
    <row r="14" customFormat="false" ht="12.75" hidden="false" customHeight="false" outlineLevel="0" collapsed="false">
      <c r="A14" s="1" t="n">
        <v>2014</v>
      </c>
      <c r="B14" s="9" t="n">
        <v>658.229606806796</v>
      </c>
      <c r="C14" s="9" t="n">
        <v>20734.2326144141</v>
      </c>
      <c r="D14" s="8" t="n">
        <v>11519.0181191189</v>
      </c>
      <c r="E14" s="8" t="n">
        <v>21812.6067042052</v>
      </c>
      <c r="F14" s="8" t="n">
        <v>4.65509535694899</v>
      </c>
      <c r="G14" s="8" t="n">
        <v>146.635503743893</v>
      </c>
      <c r="H14" s="8" t="n">
        <v>81.4641687466074</v>
      </c>
      <c r="I14" s="8" t="n">
        <v>154.261921891192</v>
      </c>
      <c r="J14" s="8" t="n">
        <v>21.6225234334216</v>
      </c>
      <c r="K14" s="8" t="n">
        <v>359.823091107896</v>
      </c>
      <c r="L14" s="8" t="n">
        <v>1055.76717569437</v>
      </c>
      <c r="M14" s="8" t="n">
        <v>0.392476944775957</v>
      </c>
      <c r="N14" s="8" t="n">
        <v>1958.42242383209</v>
      </c>
      <c r="O14" s="8" t="n">
        <v>180.084820582261</v>
      </c>
      <c r="P14" s="8" t="n">
        <v>112.553012863913</v>
      </c>
      <c r="Q14" s="8" t="n">
        <v>2156.83164671148</v>
      </c>
      <c r="R14" s="8" t="n">
        <v>861.661633924945</v>
      </c>
      <c r="S14" s="8" t="n">
        <v>285.376893389109</v>
      </c>
      <c r="T14" s="8" t="n">
        <v>0.0464821065867105</v>
      </c>
      <c r="U14" s="8" t="n">
        <v>0.0164057984331173</v>
      </c>
      <c r="V14" s="8" t="n">
        <v>3617.8224740459</v>
      </c>
      <c r="W14" s="8" t="n">
        <v>1445.33247599078</v>
      </c>
      <c r="X14" s="8" t="n">
        <v>478.684991501624</v>
      </c>
      <c r="Y14" s="8" t="n">
        <v>478.684991501624</v>
      </c>
      <c r="Z14" s="8" t="n">
        <v>337.902477327884</v>
      </c>
      <c r="AA14" s="8" t="n">
        <v>337.902477327884</v>
      </c>
      <c r="AB14" s="8" t="n">
        <v>337.902477327884</v>
      </c>
      <c r="AC14" s="8" t="n">
        <v>337.902477327884</v>
      </c>
      <c r="AD14" s="8" t="n">
        <v>337.902477327884</v>
      </c>
      <c r="AE14" s="8" t="n">
        <v>13.8540974662056</v>
      </c>
      <c r="AF14" s="8" t="n">
        <v>5.53475941318244</v>
      </c>
      <c r="AG14" s="8" t="n">
        <v>1.83307737608718</v>
      </c>
      <c r="AH14" s="8" t="n">
        <v>1.83307737608718</v>
      </c>
      <c r="AI14" s="8" t="n">
        <v>1.29396450172902</v>
      </c>
      <c r="AJ14" s="8" t="n">
        <v>1.29396450172902</v>
      </c>
      <c r="AK14" s="8" t="n">
        <v>1.29396450172902</v>
      </c>
      <c r="AL14" s="8" t="n">
        <v>1.29396450172902</v>
      </c>
      <c r="AM14" s="8" t="n">
        <v>1.29396450172902</v>
      </c>
      <c r="AN14" s="8" t="n">
        <v>4.97691309231898</v>
      </c>
      <c r="AO14" s="8" t="n">
        <v>81.0195154563555</v>
      </c>
      <c r="AP14" s="8" t="n">
        <v>89.5844356617416</v>
      </c>
      <c r="AQ14" s="8" t="n">
        <v>327.006926568542</v>
      </c>
      <c r="AR14" s="8" t="n">
        <v>327.006926568542</v>
      </c>
      <c r="AS14" s="8" t="n">
        <v>327.006926568542</v>
      </c>
      <c r="AT14" s="8" t="n">
        <v>0.000456728487896888</v>
      </c>
      <c r="AU14" s="8" t="n">
        <v>421.482250610708</v>
      </c>
      <c r="AV14" s="8" t="n">
        <v>464.877464578912</v>
      </c>
      <c r="AW14" s="8" t="n">
        <v>30.9253248968804</v>
      </c>
      <c r="AX14" s="8" t="n">
        <v>1.46348003684274</v>
      </c>
      <c r="AY14" s="8" t="n">
        <v>1.61415786312122</v>
      </c>
      <c r="AZ14" s="8" t="n">
        <v>0.10737960033639</v>
      </c>
      <c r="BA14" s="8" t="n">
        <v>208.164014897281</v>
      </c>
      <c r="BB14" s="8" t="n">
        <v>537.202821192583</v>
      </c>
      <c r="BC14" s="8" t="n">
        <v>0.722791718393336</v>
      </c>
      <c r="BD14" s="8" t="n">
        <v>1.86528757358536</v>
      </c>
      <c r="BE14" s="8" t="n">
        <v>1.46348003684274</v>
      </c>
      <c r="BF14" s="8" t="n">
        <v>0.0146348003684274</v>
      </c>
      <c r="BG14" s="8" t="n">
        <v>203.921620808854</v>
      </c>
      <c r="BH14" s="8" t="n">
        <v>34464.5028156742</v>
      </c>
      <c r="BI14" s="8" t="n">
        <v>295.214147448839</v>
      </c>
      <c r="BJ14" s="8" t="n">
        <v>3.84757775111046</v>
      </c>
      <c r="BK14" s="8" t="n">
        <v>10.4933938666649</v>
      </c>
      <c r="BL14" s="4" t="s">
        <v>234</v>
      </c>
    </row>
    <row r="15" customFormat="false" ht="12.75" hidden="false" customHeight="false" outlineLevel="0" collapsed="false">
      <c r="A15" s="1" t="n">
        <v>2013</v>
      </c>
      <c r="B15" s="9" t="n">
        <v>827.379444142878</v>
      </c>
      <c r="C15" s="9" t="n">
        <v>26062.4524905007</v>
      </c>
      <c r="D15" s="8" t="n">
        <v>14479.1402725004</v>
      </c>
      <c r="E15" s="8" t="n">
        <v>23847.5139587613</v>
      </c>
      <c r="F15" s="8" t="n">
        <v>5.85134756783291</v>
      </c>
      <c r="G15" s="8" t="n">
        <v>184.317448386737</v>
      </c>
      <c r="H15" s="8" t="n">
        <v>102.398582437076</v>
      </c>
      <c r="I15" s="8" t="n">
        <v>168.653081472208</v>
      </c>
      <c r="J15" s="8" t="n">
        <v>27.1790135756713</v>
      </c>
      <c r="K15" s="8" t="n">
        <v>452.289331916982</v>
      </c>
      <c r="L15" s="8" t="n">
        <v>1327.07500534339</v>
      </c>
      <c r="M15" s="8" t="n">
        <v>0.579653900401432</v>
      </c>
      <c r="N15" s="8" t="n">
        <v>2892.4175336106</v>
      </c>
      <c r="O15" s="8" t="n">
        <v>265.969428377986</v>
      </c>
      <c r="P15" s="8" t="n">
        <v>166.230892736241</v>
      </c>
      <c r="Q15" s="8" t="n">
        <v>2527.68982175162</v>
      </c>
      <c r="R15" s="8" t="n">
        <v>1023.36314241223</v>
      </c>
      <c r="S15" s="8" t="n">
        <v>344.126546198859</v>
      </c>
      <c r="T15" s="8" t="n">
        <v>0.0560512331946997</v>
      </c>
      <c r="U15" s="8" t="n">
        <v>0.0209154729664378</v>
      </c>
      <c r="V15" s="8" t="n">
        <v>4239.8919074157</v>
      </c>
      <c r="W15" s="8" t="n">
        <v>1716.5670678906</v>
      </c>
      <c r="X15" s="8" t="n">
        <v>577.230380800587</v>
      </c>
      <c r="Y15" s="8" t="n">
        <v>577.230380800587</v>
      </c>
      <c r="Z15" s="8" t="n">
        <v>430.786112523316</v>
      </c>
      <c r="AA15" s="8" t="n">
        <v>430.786112523316</v>
      </c>
      <c r="AB15" s="8" t="n">
        <v>430.786112523316</v>
      </c>
      <c r="AC15" s="8" t="n">
        <v>430.786112523316</v>
      </c>
      <c r="AD15" s="8" t="n">
        <v>430.786112523316</v>
      </c>
      <c r="AE15" s="8" t="n">
        <v>16.2362515443781</v>
      </c>
      <c r="AF15" s="8" t="n">
        <v>6.57342576548255</v>
      </c>
      <c r="AG15" s="8" t="n">
        <v>2.21044731007021</v>
      </c>
      <c r="AH15" s="8" t="n">
        <v>2.21044731007021</v>
      </c>
      <c r="AI15" s="8" t="n">
        <v>1.64965330189668</v>
      </c>
      <c r="AJ15" s="8" t="n">
        <v>1.64965330189668</v>
      </c>
      <c r="AK15" s="8" t="n">
        <v>1.64965330189668</v>
      </c>
      <c r="AL15" s="8" t="n">
        <v>1.64965330189668</v>
      </c>
      <c r="AM15" s="8" t="n">
        <v>1.64965330189668</v>
      </c>
      <c r="AN15" s="8" t="n">
        <v>4.90838416850047</v>
      </c>
      <c r="AO15" s="8" t="n">
        <v>79.9039283244263</v>
      </c>
      <c r="AP15" s="8" t="n">
        <v>88.3509150330085</v>
      </c>
      <c r="AQ15" s="8" t="n">
        <v>322.504249438511</v>
      </c>
      <c r="AR15" s="8" t="n">
        <v>322.504249438511</v>
      </c>
      <c r="AS15" s="8" t="n">
        <v>322.504249438511</v>
      </c>
      <c r="AT15" s="8" t="n">
        <v>0.000535261039924552</v>
      </c>
      <c r="AU15" s="8" t="n">
        <v>333.010740458932</v>
      </c>
      <c r="AV15" s="8" t="n">
        <v>367.297053381923</v>
      </c>
      <c r="AW15" s="8" t="n">
        <v>24.4339241520163</v>
      </c>
      <c r="AX15" s="8" t="n">
        <v>1.15628729326018</v>
      </c>
      <c r="AY15" s="8" t="n">
        <v>1.27533699090946</v>
      </c>
      <c r="AZ15" s="8" t="n">
        <v>0.0848400144167234</v>
      </c>
      <c r="BA15" s="8" t="n">
        <v>164.469209883465</v>
      </c>
      <c r="BB15" s="8" t="n">
        <v>424.440908253574</v>
      </c>
      <c r="BC15" s="8" t="n">
        <v>0.571073645428697</v>
      </c>
      <c r="BD15" s="8" t="n">
        <v>1.47375315365824</v>
      </c>
      <c r="BE15" s="8" t="n">
        <v>1.15628729326018</v>
      </c>
      <c r="BF15" s="8" t="n">
        <v>0.0115628729326018</v>
      </c>
      <c r="BG15" s="8" t="n">
        <v>154.642893512339</v>
      </c>
      <c r="BH15" s="8" t="n">
        <v>26135.9752719687</v>
      </c>
      <c r="BI15" s="8" t="n">
        <v>223.874103129355</v>
      </c>
      <c r="BJ15" s="8" t="n">
        <v>2.91779044362903</v>
      </c>
      <c r="BK15" s="8" t="n">
        <v>7.95761030080646</v>
      </c>
      <c r="BL15" s="4" t="s">
        <v>234</v>
      </c>
    </row>
    <row r="16" customFormat="false" ht="12.75" hidden="false" customHeight="false" outlineLevel="0" collapsed="false">
      <c r="A16" s="1" t="n">
        <v>2012</v>
      </c>
      <c r="B16" s="10" t="n">
        <v>867.336559280258</v>
      </c>
      <c r="C16" s="9" t="n">
        <v>27321.1016173281</v>
      </c>
      <c r="D16" s="8" t="n">
        <v>15178.3897874045</v>
      </c>
      <c r="E16" s="8" t="n">
        <v>22518.5352390871</v>
      </c>
      <c r="F16" s="8" t="n">
        <v>6.1339300880198</v>
      </c>
      <c r="G16" s="8" t="n">
        <v>193.218797772624</v>
      </c>
      <c r="H16" s="8" t="n">
        <v>107.343776540347</v>
      </c>
      <c r="I16" s="8" t="n">
        <v>159.254350993567</v>
      </c>
      <c r="J16" s="8" t="n">
        <v>28.4915854342682</v>
      </c>
      <c r="K16" s="8" t="n">
        <v>474.132002820581</v>
      </c>
      <c r="L16" s="8" t="n">
        <v>1391.16420789709</v>
      </c>
      <c r="M16" s="8" t="n">
        <v>0.651721275903222</v>
      </c>
      <c r="N16" s="8" t="n">
        <v>3252.0268459232</v>
      </c>
      <c r="O16" s="8" t="n">
        <v>299.03695134926</v>
      </c>
      <c r="P16" s="8" t="n">
        <v>186.898094593288</v>
      </c>
      <c r="Q16" s="8" t="n">
        <v>2216.79803571429</v>
      </c>
      <c r="R16" s="8" t="n">
        <v>885.307824054551</v>
      </c>
      <c r="S16" s="8" t="n">
        <v>293.157116718251</v>
      </c>
      <c r="T16" s="8" t="n">
        <v>0.0477493471322178</v>
      </c>
      <c r="U16" s="8" t="n">
        <v>0.0166878542412226</v>
      </c>
      <c r="V16" s="8" t="n">
        <v>3718.40879016033</v>
      </c>
      <c r="W16" s="8" t="n">
        <v>1484.99608080059</v>
      </c>
      <c r="X16" s="8" t="n">
        <v>491.735368825317</v>
      </c>
      <c r="Y16" s="8" t="n">
        <v>491.735368825317</v>
      </c>
      <c r="Z16" s="8" t="n">
        <v>343.711847514409</v>
      </c>
      <c r="AA16" s="8" t="n">
        <v>343.711847514409</v>
      </c>
      <c r="AB16" s="8" t="n">
        <v>343.711847514409</v>
      </c>
      <c r="AC16" s="8" t="n">
        <v>343.711847514409</v>
      </c>
      <c r="AD16" s="8" t="n">
        <v>343.711847514409</v>
      </c>
      <c r="AE16" s="8" t="n">
        <v>14.2392829298963</v>
      </c>
      <c r="AF16" s="8" t="n">
        <v>5.68664731007021</v>
      </c>
      <c r="AG16" s="8" t="n">
        <v>1.88305252017185</v>
      </c>
      <c r="AH16" s="8" t="n">
        <v>1.88305252017185</v>
      </c>
      <c r="AI16" s="8" t="n">
        <v>1.31621091690244</v>
      </c>
      <c r="AJ16" s="8" t="n">
        <v>1.31621091690244</v>
      </c>
      <c r="AK16" s="8" t="n">
        <v>1.31621091690244</v>
      </c>
      <c r="AL16" s="8" t="n">
        <v>1.31621091690244</v>
      </c>
      <c r="AM16" s="8" t="n">
        <v>1.31621091690244</v>
      </c>
      <c r="AN16" s="8" t="n">
        <v>4.15884906423557</v>
      </c>
      <c r="AO16" s="8" t="n">
        <v>67.7021940689511</v>
      </c>
      <c r="AP16" s="8" t="n">
        <v>74.8592831562402</v>
      </c>
      <c r="AQ16" s="8" t="n">
        <v>273.25621832879</v>
      </c>
      <c r="AR16" s="8" t="n">
        <v>273.25621832879</v>
      </c>
      <c r="AS16" s="8" t="n">
        <v>273.25621832879</v>
      </c>
      <c r="AT16" s="8" t="n">
        <v>0.0004694269097768</v>
      </c>
      <c r="AU16" s="8" t="n">
        <v>329.283008289616</v>
      </c>
      <c r="AV16" s="8" t="n">
        <v>363.185519202275</v>
      </c>
      <c r="AW16" s="8" t="n">
        <v>24.1604100756878</v>
      </c>
      <c r="AX16" s="8" t="n">
        <v>1.14334377878339</v>
      </c>
      <c r="AY16" s="8" t="n">
        <v>1.26106083056345</v>
      </c>
      <c r="AZ16" s="8" t="n">
        <v>0.0838903127628048</v>
      </c>
      <c r="BA16" s="8" t="n">
        <v>162.628136638501</v>
      </c>
      <c r="BB16" s="8" t="n">
        <v>419.689704056706</v>
      </c>
      <c r="BC16" s="8" t="n">
        <v>0.564681029994794</v>
      </c>
      <c r="BD16" s="8" t="n">
        <v>1.45725591686356</v>
      </c>
      <c r="BE16" s="8" t="n">
        <v>1.14334377878339</v>
      </c>
      <c r="BF16" s="8" t="n">
        <v>0.0114334377878339</v>
      </c>
      <c r="BG16" s="8" t="n">
        <v>165.820353180588</v>
      </c>
      <c r="BH16" s="8" t="n">
        <v>28025.0618174781</v>
      </c>
      <c r="BI16" s="8" t="n">
        <v>240.055537023013</v>
      </c>
      <c r="BJ16" s="8" t="n">
        <v>3.1286859090677</v>
      </c>
      <c r="BK16" s="8" t="n">
        <v>8.53277975200282</v>
      </c>
      <c r="BL16" s="4" t="s">
        <v>234</v>
      </c>
    </row>
    <row r="17" customFormat="false" ht="12.75" hidden="false" customHeight="false" outlineLevel="0" collapsed="false">
      <c r="A17" s="1" t="n">
        <v>2011</v>
      </c>
      <c r="B17" s="10" t="n">
        <v>993.799171123064</v>
      </c>
      <c r="C17" s="9" t="n">
        <v>31304.6738903765</v>
      </c>
      <c r="D17" s="8" t="n">
        <v>17391.4854946536</v>
      </c>
      <c r="E17" s="8" t="n">
        <v>26252.9361901893</v>
      </c>
      <c r="F17" s="8" t="n">
        <v>7.02829204185681</v>
      </c>
      <c r="G17" s="8" t="n">
        <v>221.391199318489</v>
      </c>
      <c r="H17" s="8" t="n">
        <v>122.995110732494</v>
      </c>
      <c r="I17" s="8" t="n">
        <v>185.664576769941</v>
      </c>
      <c r="J17" s="8" t="n">
        <v>32.6458209164552</v>
      </c>
      <c r="K17" s="8" t="n">
        <v>543.263150116745</v>
      </c>
      <c r="L17" s="8" t="n">
        <v>1594.00387532549</v>
      </c>
      <c r="M17" s="8" t="n">
        <v>0.489038732776392</v>
      </c>
      <c r="N17" s="8" t="n">
        <v>2440.25651223523</v>
      </c>
      <c r="O17" s="8" t="n">
        <v>224.391403423929</v>
      </c>
      <c r="P17" s="8" t="n">
        <v>140.244627139956</v>
      </c>
      <c r="Q17" s="8" t="n">
        <v>2212.93078610117</v>
      </c>
      <c r="R17" s="8" t="n">
        <v>859.400666108908</v>
      </c>
      <c r="S17" s="8" t="n">
        <v>275.219313618338</v>
      </c>
      <c r="T17" s="8" t="n">
        <v>0.0448276429055034</v>
      </c>
      <c r="U17" s="8" t="n">
        <v>0.0136437373053487</v>
      </c>
      <c r="V17" s="8" t="n">
        <v>3711.92194980614</v>
      </c>
      <c r="W17" s="8" t="n">
        <v>1441.53997777219</v>
      </c>
      <c r="X17" s="8" t="n">
        <v>461.646888211254</v>
      </c>
      <c r="Y17" s="8" t="n">
        <v>461.646888211254</v>
      </c>
      <c r="Z17" s="8" t="n">
        <v>281.013609565126</v>
      </c>
      <c r="AA17" s="8" t="n">
        <v>281.013609565126</v>
      </c>
      <c r="AB17" s="8" t="n">
        <v>281.013609565126</v>
      </c>
      <c r="AC17" s="8" t="n">
        <v>281.013609565126</v>
      </c>
      <c r="AD17" s="8" t="n">
        <v>281.013609565126</v>
      </c>
      <c r="AE17" s="8" t="n">
        <v>14.214442208949</v>
      </c>
      <c r="AF17" s="8" t="n">
        <v>5.52023641202976</v>
      </c>
      <c r="AG17" s="8" t="n">
        <v>1.76783162527507</v>
      </c>
      <c r="AH17" s="8" t="n">
        <v>1.76783162527507</v>
      </c>
      <c r="AI17" s="8" t="n">
        <v>1.07611414439904</v>
      </c>
      <c r="AJ17" s="8" t="n">
        <v>1.07611414439904</v>
      </c>
      <c r="AK17" s="8" t="n">
        <v>1.07611414439904</v>
      </c>
      <c r="AL17" s="8" t="n">
        <v>1.07611414439904</v>
      </c>
      <c r="AM17" s="8" t="n">
        <v>1.07611414439904</v>
      </c>
      <c r="AN17" s="8" t="n">
        <v>3.28510528554962</v>
      </c>
      <c r="AO17" s="8" t="n">
        <v>53.4784581368542</v>
      </c>
      <c r="AP17" s="8" t="n">
        <v>59.1318951398931</v>
      </c>
      <c r="AQ17" s="8" t="n">
        <v>215.847084920888</v>
      </c>
      <c r="AR17" s="8" t="n">
        <v>215.847084920888</v>
      </c>
      <c r="AS17" s="8" t="n">
        <v>215.847084920888</v>
      </c>
      <c r="AT17" s="8" t="n">
        <v>0.000468607984910406</v>
      </c>
      <c r="AU17" s="8" t="n">
        <v>387.187114652998</v>
      </c>
      <c r="AV17" s="8" t="n">
        <v>427.051350126146</v>
      </c>
      <c r="AW17" s="8" t="n">
        <v>28.4089953946578</v>
      </c>
      <c r="AX17" s="8" t="n">
        <v>1.34439970365624</v>
      </c>
      <c r="AY17" s="8" t="n">
        <v>1.48281718793801</v>
      </c>
      <c r="AZ17" s="8" t="n">
        <v>0.0986423451203396</v>
      </c>
      <c r="BA17" s="8" t="n">
        <v>191.226141043611</v>
      </c>
      <c r="BB17" s="8" t="n">
        <v>493.491742581394</v>
      </c>
      <c r="BC17" s="8" t="n">
        <v>0.663979656401426</v>
      </c>
      <c r="BD17" s="8" t="n">
        <v>1.71351299507429</v>
      </c>
      <c r="BE17" s="8" t="n">
        <v>1.34439970365624</v>
      </c>
      <c r="BF17" s="8" t="n">
        <v>0.0134439970365624</v>
      </c>
      <c r="BG17" s="8" t="n">
        <v>103.400243427398</v>
      </c>
      <c r="BH17" s="8" t="n">
        <v>17475.5279337708</v>
      </c>
      <c r="BI17" s="8" t="n">
        <v>149.69091844378</v>
      </c>
      <c r="BJ17" s="8" t="n">
        <v>1.95094798919618</v>
      </c>
      <c r="BK17" s="8" t="n">
        <v>5.32076724326232</v>
      </c>
      <c r="BL17" s="4" t="s">
        <v>234</v>
      </c>
    </row>
    <row r="18" customFormat="false" ht="12.75" hidden="false" customHeight="false" outlineLevel="0" collapsed="false">
      <c r="A18" s="1" t="n">
        <v>2010</v>
      </c>
      <c r="B18" s="10" t="n">
        <v>580.635970334548</v>
      </c>
      <c r="C18" s="10" t="n">
        <v>18290.0330655383</v>
      </c>
      <c r="D18" s="8" t="n">
        <v>10161.1294808546</v>
      </c>
      <c r="E18" s="8" t="n">
        <v>20898.9947743924</v>
      </c>
      <c r="F18" s="8" t="n">
        <v>4.10634189290621</v>
      </c>
      <c r="G18" s="8" t="n">
        <v>129.349769626546</v>
      </c>
      <c r="H18" s="8" t="n">
        <v>71.8609831258587</v>
      </c>
      <c r="I18" s="8" t="n">
        <v>147.800725663395</v>
      </c>
      <c r="J18" s="8" t="n">
        <v>19.0736100974737</v>
      </c>
      <c r="K18" s="8" t="n">
        <v>317.406308518623</v>
      </c>
      <c r="L18" s="8" t="n">
        <v>931.310886303841</v>
      </c>
      <c r="M18" s="8" t="n">
        <v>0.207706954540523</v>
      </c>
      <c r="N18" s="8" t="n">
        <v>1036.43784118387</v>
      </c>
      <c r="O18" s="8" t="n">
        <v>95.3046290743786</v>
      </c>
      <c r="P18" s="8" t="n">
        <v>59.5653931714866</v>
      </c>
      <c r="Q18" s="8" t="n">
        <v>1266.91964302157</v>
      </c>
      <c r="R18" s="8" t="n">
        <v>516.34394515427</v>
      </c>
      <c r="S18" s="8" t="n">
        <v>174.983766563497</v>
      </c>
      <c r="T18" s="8" t="n">
        <v>0.0285013057355644</v>
      </c>
      <c r="U18" s="8" t="n">
        <v>0.0107917714479157</v>
      </c>
      <c r="V18" s="8" t="n">
        <v>2125.10344250655</v>
      </c>
      <c r="W18" s="8" t="n">
        <v>866.104098558105</v>
      </c>
      <c r="X18" s="8" t="n">
        <v>293.51396259038</v>
      </c>
      <c r="Y18" s="8" t="n">
        <v>293.51396259038</v>
      </c>
      <c r="Z18" s="8" t="n">
        <v>222.273016572357</v>
      </c>
      <c r="AA18" s="8" t="n">
        <v>222.273016572357</v>
      </c>
      <c r="AB18" s="8" t="n">
        <v>222.273016572357</v>
      </c>
      <c r="AC18" s="8" t="n">
        <v>222.273016572357</v>
      </c>
      <c r="AD18" s="8" t="n">
        <v>222.273016572357</v>
      </c>
      <c r="AE18" s="8" t="n">
        <v>8.13787587131929</v>
      </c>
      <c r="AF18" s="8" t="n">
        <v>3.31666097034476</v>
      </c>
      <c r="AG18" s="8" t="n">
        <v>1.12398302420622</v>
      </c>
      <c r="AH18" s="8" t="n">
        <v>1.12398302420622</v>
      </c>
      <c r="AI18" s="8" t="n">
        <v>0.851172786335534</v>
      </c>
      <c r="AJ18" s="8" t="n">
        <v>0.851172786335534</v>
      </c>
      <c r="AK18" s="8" t="n">
        <v>0.851172786335534</v>
      </c>
      <c r="AL18" s="8" t="n">
        <v>0.851172786335534</v>
      </c>
      <c r="AM18" s="8" t="n">
        <v>0.851172786335534</v>
      </c>
      <c r="AN18" s="8" t="n">
        <v>2.46704125746621</v>
      </c>
      <c r="AO18" s="8" t="n">
        <v>40.1611367494499</v>
      </c>
      <c r="AP18" s="8" t="n">
        <v>44.4067426343917</v>
      </c>
      <c r="AQ18" s="8" t="n">
        <v>162.096376681136</v>
      </c>
      <c r="AR18" s="8" t="n">
        <v>162.096376681136</v>
      </c>
      <c r="AS18" s="8" t="n">
        <v>162.096376681136</v>
      </c>
      <c r="AT18" s="8" t="n">
        <v>0.000268281622131405</v>
      </c>
      <c r="AU18" s="8" t="n">
        <v>198.315351407633</v>
      </c>
      <c r="AV18" s="8" t="n">
        <v>218.733618357295</v>
      </c>
      <c r="AW18" s="8" t="n">
        <v>14.5509488606784</v>
      </c>
      <c r="AX18" s="8" t="n">
        <v>0.688594970165392</v>
      </c>
      <c r="AY18" s="8" t="n">
        <v>0.759491730407273</v>
      </c>
      <c r="AZ18" s="8" t="n">
        <v>0.0505241279884666</v>
      </c>
      <c r="BA18" s="8" t="n">
        <v>97.9450966320932</v>
      </c>
      <c r="BB18" s="8" t="n">
        <v>252.764063273397</v>
      </c>
      <c r="BC18" s="8" t="n">
        <v>0.340087141083657</v>
      </c>
      <c r="BD18" s="8" t="n">
        <v>0.877652997477073</v>
      </c>
      <c r="BE18" s="8" t="n">
        <v>0.688594970165392</v>
      </c>
      <c r="BF18" s="8" t="n">
        <v>0</v>
      </c>
      <c r="BG18" s="8" t="n">
        <v>85.2762081989016</v>
      </c>
      <c r="BH18" s="8" t="n">
        <v>14412.41054246</v>
      </c>
      <c r="BI18" s="8" t="n">
        <v>123.453035540091</v>
      </c>
      <c r="BJ18" s="8" t="n">
        <v>1.60898506035664</v>
      </c>
      <c r="BK18" s="8" t="n">
        <v>4.38814107369991</v>
      </c>
      <c r="BL18" s="4" t="s">
        <v>234</v>
      </c>
    </row>
    <row r="19" customFormat="false" ht="12.75" hidden="false" customHeight="false" outlineLevel="0" collapsed="false">
      <c r="A19" s="1" t="n">
        <v>2009</v>
      </c>
      <c r="B19" s="10" t="n">
        <v>505.238902651502</v>
      </c>
      <c r="C19" s="10" t="n">
        <v>15915.0254335223</v>
      </c>
      <c r="D19" s="8" t="n">
        <v>8841.68079640129</v>
      </c>
      <c r="E19" s="8" t="n">
        <v>11209.8331213136</v>
      </c>
      <c r="F19" s="8" t="n">
        <v>3.57312288229137</v>
      </c>
      <c r="G19" s="8" t="n">
        <v>112.553370792178</v>
      </c>
      <c r="H19" s="8" t="n">
        <v>62.529650440099</v>
      </c>
      <c r="I19" s="8" t="n">
        <v>79.277567547211</v>
      </c>
      <c r="J19" s="8" t="n">
        <v>16.5968529812195</v>
      </c>
      <c r="K19" s="8" t="n">
        <v>276.190286520166</v>
      </c>
      <c r="L19" s="8" t="n">
        <v>810.377782748183</v>
      </c>
      <c r="M19" s="8" t="n">
        <v>0.194369534555712</v>
      </c>
      <c r="N19" s="8" t="n">
        <v>969.885390850179</v>
      </c>
      <c r="O19" s="8" t="n">
        <v>89.1848635264532</v>
      </c>
      <c r="P19" s="8" t="n">
        <v>55.7405397040333</v>
      </c>
      <c r="Q19" s="8" t="n">
        <v>1566.28919740362</v>
      </c>
      <c r="R19" s="8" t="n">
        <v>625.241824931618</v>
      </c>
      <c r="S19" s="8" t="n">
        <v>206.940425222942</v>
      </c>
      <c r="T19" s="8" t="n">
        <v>0.0337063971370539</v>
      </c>
      <c r="U19" s="8" t="n">
        <v>0.011743214430796</v>
      </c>
      <c r="V19" s="8" t="n">
        <v>2627.2594190937</v>
      </c>
      <c r="W19" s="8" t="n">
        <v>1048.76703260543</v>
      </c>
      <c r="X19" s="8" t="n">
        <v>347.117366486011</v>
      </c>
      <c r="Y19" s="8" t="n">
        <v>347.117366486011</v>
      </c>
      <c r="Z19" s="8" t="n">
        <v>241.869438060903</v>
      </c>
      <c r="AA19" s="8" t="n">
        <v>241.869438060903</v>
      </c>
      <c r="AB19" s="8" t="n">
        <v>241.869438060903</v>
      </c>
      <c r="AC19" s="8" t="n">
        <v>241.869438060903</v>
      </c>
      <c r="AD19" s="8" t="n">
        <v>241.869438060903</v>
      </c>
      <c r="AE19" s="8" t="n">
        <v>10.0608330901394</v>
      </c>
      <c r="AF19" s="8" t="n">
        <v>4.01615081814943</v>
      </c>
      <c r="AG19" s="8" t="n">
        <v>1.32925201886199</v>
      </c>
      <c r="AH19" s="8" t="n">
        <v>1.32925201886199</v>
      </c>
      <c r="AI19" s="8" t="n">
        <v>0.926215366572357</v>
      </c>
      <c r="AJ19" s="8" t="n">
        <v>0.926215366572357</v>
      </c>
      <c r="AK19" s="8" t="n">
        <v>0.926215366572357</v>
      </c>
      <c r="AL19" s="8" t="n">
        <v>0.926215366572357</v>
      </c>
      <c r="AM19" s="8" t="n">
        <v>0.926215366572357</v>
      </c>
      <c r="AN19" s="8" t="n">
        <v>1.68923797212617</v>
      </c>
      <c r="AO19" s="8" t="n">
        <v>27.4992228020539</v>
      </c>
      <c r="AP19" s="8" t="n">
        <v>30.406283498271</v>
      </c>
      <c r="AQ19" s="8" t="n">
        <v>110.990991255278</v>
      </c>
      <c r="AR19" s="8" t="n">
        <v>110.990991255278</v>
      </c>
      <c r="AS19" s="8" t="n">
        <v>110.990991255278</v>
      </c>
      <c r="AT19" s="8" t="n">
        <v>0.000331675816158441</v>
      </c>
      <c r="AU19" s="8" t="n">
        <v>185.114209218694</v>
      </c>
      <c r="AV19" s="8" t="n">
        <v>204.173305315766</v>
      </c>
      <c r="AW19" s="8" t="n">
        <v>13.5823443450402</v>
      </c>
      <c r="AX19" s="8" t="n">
        <v>0.642757670898242</v>
      </c>
      <c r="AY19" s="8" t="n">
        <v>0.708935087901966</v>
      </c>
      <c r="AZ19" s="8" t="n">
        <v>0.0471609178647231</v>
      </c>
      <c r="BA19" s="8" t="n">
        <v>91.4252425805935</v>
      </c>
      <c r="BB19" s="8" t="n">
        <v>235.938465477554</v>
      </c>
      <c r="BC19" s="8" t="n">
        <v>0.317448758960394</v>
      </c>
      <c r="BD19" s="8" t="n">
        <v>0.819230782908173</v>
      </c>
      <c r="BE19" s="8" t="n">
        <v>0.642757670898242</v>
      </c>
      <c r="BF19" s="8" t="n">
        <v>0</v>
      </c>
      <c r="BG19" s="8" t="n">
        <v>22.5908231776723</v>
      </c>
      <c r="BH19" s="8" t="n">
        <v>3818.04286336604</v>
      </c>
      <c r="BI19" s="8" t="n">
        <v>32.7043820959784</v>
      </c>
      <c r="BJ19" s="8" t="n">
        <v>0.426241946748533</v>
      </c>
      <c r="BK19" s="8" t="n">
        <v>0</v>
      </c>
      <c r="BL19" s="4" t="s">
        <v>234</v>
      </c>
    </row>
    <row r="20" customFormat="false" ht="12.75" hidden="false" customHeight="false" outlineLevel="0" collapsed="false">
      <c r="A20" s="1" t="n">
        <v>2008</v>
      </c>
      <c r="B20" s="11" t="n">
        <v>479.976957518927</v>
      </c>
      <c r="C20" s="11" t="n">
        <v>15119.2741618462</v>
      </c>
      <c r="D20" s="8" t="n">
        <v>8399.59675658123</v>
      </c>
      <c r="E20" s="8" t="n">
        <v>10649.3414652479</v>
      </c>
      <c r="F20" s="8" t="n">
        <v>3.3944667381768</v>
      </c>
      <c r="G20" s="8" t="n">
        <v>106.925702252569</v>
      </c>
      <c r="H20" s="8" t="n">
        <v>59.4031679180941</v>
      </c>
      <c r="I20" s="8" t="n">
        <v>75.3136891698504</v>
      </c>
      <c r="J20" s="8" t="n">
        <v>15.7670103321585</v>
      </c>
      <c r="K20" s="8" t="n">
        <v>262.380772194158</v>
      </c>
      <c r="L20" s="8" t="n">
        <v>769.858893610774</v>
      </c>
      <c r="M20" s="8" t="n">
        <v>0.184651057827927</v>
      </c>
      <c r="N20" s="8" t="n">
        <v>921.39112130767</v>
      </c>
      <c r="O20" s="8" t="n">
        <v>84.7256203501306</v>
      </c>
      <c r="P20" s="8" t="n">
        <v>52.9535127188316</v>
      </c>
      <c r="Q20" s="8" t="n">
        <v>1487.97473753344</v>
      </c>
      <c r="R20" s="8" t="n">
        <v>593.979733685037</v>
      </c>
      <c r="S20" s="8" t="n">
        <v>196.593403961795</v>
      </c>
      <c r="T20" s="8" t="n">
        <v>0.0320210772802012</v>
      </c>
      <c r="U20" s="8" t="n">
        <v>0.0111560537092562</v>
      </c>
      <c r="V20" s="8" t="n">
        <v>2495.89644813902</v>
      </c>
      <c r="W20" s="8" t="n">
        <v>996.328680975157</v>
      </c>
      <c r="X20" s="8" t="n">
        <v>329.76149816171</v>
      </c>
      <c r="Y20" s="8" t="n">
        <v>329.76149816171</v>
      </c>
      <c r="Z20" s="8" t="n">
        <v>229.775966157858</v>
      </c>
      <c r="AA20" s="8" t="n">
        <v>229.775966157858</v>
      </c>
      <c r="AB20" s="8" t="n">
        <v>229.775966157858</v>
      </c>
      <c r="AC20" s="8" t="n">
        <v>229.775966157858</v>
      </c>
      <c r="AD20" s="8" t="n">
        <v>229.775966157858</v>
      </c>
      <c r="AE20" s="8" t="n">
        <v>9.5577914356324</v>
      </c>
      <c r="AF20" s="8" t="n">
        <v>3.81534327724196</v>
      </c>
      <c r="AG20" s="8" t="n">
        <v>1.26278941791889</v>
      </c>
      <c r="AH20" s="8" t="n">
        <v>1.26278941791889</v>
      </c>
      <c r="AI20" s="8" t="n">
        <v>0.879904598243739</v>
      </c>
      <c r="AJ20" s="8" t="n">
        <v>0.879904598243739</v>
      </c>
      <c r="AK20" s="8" t="n">
        <v>0.879904598243739</v>
      </c>
      <c r="AL20" s="8" t="n">
        <v>0.879904598243739</v>
      </c>
      <c r="AM20" s="8" t="n">
        <v>0.879904598243739</v>
      </c>
      <c r="AN20" s="8" t="n">
        <v>1.60477607351986</v>
      </c>
      <c r="AO20" s="8" t="n">
        <v>26.1242616619512</v>
      </c>
      <c r="AP20" s="8" t="n">
        <v>28.8859693233574</v>
      </c>
      <c r="AQ20" s="8" t="n">
        <v>105.441441692514</v>
      </c>
      <c r="AR20" s="8" t="n">
        <v>105.441441692514</v>
      </c>
      <c r="AS20" s="8" t="n">
        <v>105.441441692514</v>
      </c>
      <c r="AT20" s="8" t="n">
        <v>0.000315092025350519</v>
      </c>
      <c r="AU20" s="8" t="n">
        <v>175.858498757759</v>
      </c>
      <c r="AV20" s="8" t="n">
        <v>193.964640049978</v>
      </c>
      <c r="AW20" s="8" t="n">
        <v>12.9032271277882</v>
      </c>
      <c r="AX20" s="8" t="n">
        <v>0.61061978735333</v>
      </c>
      <c r="AY20" s="8" t="n">
        <v>0.673488333506868</v>
      </c>
      <c r="AZ20" s="8" t="n">
        <v>0.0448028719714869</v>
      </c>
      <c r="BA20" s="8" t="n">
        <v>86.8539804515638</v>
      </c>
      <c r="BB20" s="8" t="n">
        <v>224.141542203676</v>
      </c>
      <c r="BC20" s="8" t="n">
        <v>0.301576321012374</v>
      </c>
      <c r="BD20" s="8" t="n">
        <v>0.778269243762765</v>
      </c>
      <c r="BE20" s="8" t="n">
        <v>0.61061978735333</v>
      </c>
      <c r="BF20" s="8" t="n">
        <v>0</v>
      </c>
      <c r="BG20" s="8" t="n">
        <v>21.4612820187887</v>
      </c>
      <c r="BH20" s="8" t="n">
        <v>3627.14072019774</v>
      </c>
      <c r="BI20" s="8" t="n">
        <v>31.0691629911794</v>
      </c>
      <c r="BJ20" s="8" t="n">
        <v>0.404929849411107</v>
      </c>
      <c r="BK20" s="8" t="n">
        <v>0</v>
      </c>
      <c r="BL20" s="4" t="s">
        <v>234</v>
      </c>
    </row>
    <row r="21" customFormat="false" ht="12.75" hidden="false" customHeight="false" outlineLevel="0" collapsed="false">
      <c r="A21" s="1" t="n">
        <v>2007</v>
      </c>
      <c r="B21" s="11" t="n">
        <v>455.978109642981</v>
      </c>
      <c r="C21" s="11" t="n">
        <v>14363.3104537539</v>
      </c>
      <c r="D21" s="8" t="n">
        <v>7979.61691875217</v>
      </c>
      <c r="E21" s="8" t="n">
        <v>10116.8743919855</v>
      </c>
      <c r="F21" s="8" t="n">
        <v>3.22474340126796</v>
      </c>
      <c r="G21" s="8" t="n">
        <v>101.579417139941</v>
      </c>
      <c r="H21" s="8" t="n">
        <v>56.4330095221894</v>
      </c>
      <c r="I21" s="8" t="n">
        <v>71.5480047113579</v>
      </c>
      <c r="J21" s="8" t="n">
        <v>14.9786598155506</v>
      </c>
      <c r="K21" s="8" t="n">
        <v>249.26173358445</v>
      </c>
      <c r="L21" s="8" t="n">
        <v>731.365948930235</v>
      </c>
      <c r="M21" s="8" t="n">
        <v>0.17541850493653</v>
      </c>
      <c r="N21" s="8" t="n">
        <v>875.321565242286</v>
      </c>
      <c r="O21" s="8" t="n">
        <v>80.489339332624</v>
      </c>
      <c r="P21" s="8" t="n">
        <v>50.30583708289</v>
      </c>
      <c r="Q21" s="8" t="n">
        <v>1413.57600065676</v>
      </c>
      <c r="R21" s="8" t="n">
        <v>564.280747000785</v>
      </c>
      <c r="S21" s="8" t="n">
        <v>186.763733763705</v>
      </c>
      <c r="T21" s="8" t="n">
        <v>0.0304200234161911</v>
      </c>
      <c r="U21" s="8" t="n">
        <v>0.0105982510237934</v>
      </c>
      <c r="V21" s="8" t="n">
        <v>2371.10162573207</v>
      </c>
      <c r="W21" s="8" t="n">
        <v>946.512246926399</v>
      </c>
      <c r="X21" s="8" t="n">
        <v>313.273423253625</v>
      </c>
      <c r="Y21" s="8" t="n">
        <v>313.273423253625</v>
      </c>
      <c r="Z21" s="8" t="n">
        <v>218.287167849965</v>
      </c>
      <c r="AA21" s="8" t="n">
        <v>218.287167849965</v>
      </c>
      <c r="AB21" s="8" t="n">
        <v>218.287167849965</v>
      </c>
      <c r="AC21" s="8" t="n">
        <v>218.287167849965</v>
      </c>
      <c r="AD21" s="8" t="n">
        <v>218.287167849965</v>
      </c>
      <c r="AE21" s="8" t="n">
        <v>9.07990186385078</v>
      </c>
      <c r="AF21" s="8" t="n">
        <v>3.62457611337986</v>
      </c>
      <c r="AG21" s="8" t="n">
        <v>1.19964994702295</v>
      </c>
      <c r="AH21" s="8" t="n">
        <v>1.19964994702295</v>
      </c>
      <c r="AI21" s="8" t="n">
        <v>0.835909368331552</v>
      </c>
      <c r="AJ21" s="8" t="n">
        <v>0.835909368331552</v>
      </c>
      <c r="AK21" s="8" t="n">
        <v>0.835909368331552</v>
      </c>
      <c r="AL21" s="8" t="n">
        <v>0.835909368331552</v>
      </c>
      <c r="AM21" s="8" t="n">
        <v>0.835909368331552</v>
      </c>
      <c r="AN21" s="8" t="n">
        <v>1.52453726984386</v>
      </c>
      <c r="AO21" s="8" t="n">
        <v>24.8180485788536</v>
      </c>
      <c r="AP21" s="8" t="n">
        <v>27.4416708571896</v>
      </c>
      <c r="AQ21" s="8" t="n">
        <v>100.169369607888</v>
      </c>
      <c r="AR21" s="8" t="n">
        <v>100.169369607888</v>
      </c>
      <c r="AS21" s="8" t="n">
        <v>100.169369607888</v>
      </c>
      <c r="AT21" s="8" t="n">
        <v>0.000299337424082993</v>
      </c>
      <c r="AU21" s="8" t="n">
        <v>167.065573819871</v>
      </c>
      <c r="AV21" s="8" t="n">
        <v>184.266408047479</v>
      </c>
      <c r="AW21" s="8" t="n">
        <v>12.2580657713988</v>
      </c>
      <c r="AX21" s="8" t="n">
        <v>0.580088797985663</v>
      </c>
      <c r="AY21" s="8" t="n">
        <v>0.639813916831525</v>
      </c>
      <c r="AZ21" s="8" t="n">
        <v>0.0425627283729126</v>
      </c>
      <c r="BA21" s="8" t="n">
        <v>82.5112814289856</v>
      </c>
      <c r="BB21" s="8" t="n">
        <v>212.934465093492</v>
      </c>
      <c r="BC21" s="8" t="n">
        <v>0.286497504961756</v>
      </c>
      <c r="BD21" s="8" t="n">
        <v>0.739355781574626</v>
      </c>
      <c r="BE21" s="8" t="n">
        <v>0.580088797985663</v>
      </c>
      <c r="BF21" s="8" t="n">
        <v>0</v>
      </c>
      <c r="BG21" s="8" t="n">
        <v>20.3882179178492</v>
      </c>
      <c r="BH21" s="8" t="n">
        <v>3445.78368418785</v>
      </c>
      <c r="BI21" s="8" t="n">
        <v>29.5157048416205</v>
      </c>
      <c r="BJ21" s="8" t="n">
        <v>0.384683356940551</v>
      </c>
      <c r="BK21" s="8" t="n">
        <v>0</v>
      </c>
      <c r="BL21" s="4" t="s">
        <v>234</v>
      </c>
    </row>
    <row r="22" customFormat="false" ht="12.75" hidden="false" customHeight="false" outlineLevel="0" collapsed="false">
      <c r="A22" s="1" t="n">
        <v>2006</v>
      </c>
      <c r="B22" s="12" t="n">
        <v>433.179204160832</v>
      </c>
      <c r="C22" s="12" t="n">
        <v>13645.1449310662</v>
      </c>
      <c r="D22" s="8" t="n">
        <v>7580.63607281456</v>
      </c>
      <c r="E22" s="8" t="n">
        <v>9611.03067238622</v>
      </c>
      <c r="F22" s="8" t="n">
        <v>3.06350623120456</v>
      </c>
      <c r="G22" s="8" t="n">
        <v>96.5004462829438</v>
      </c>
      <c r="H22" s="8" t="n">
        <v>53.6113590460799</v>
      </c>
      <c r="I22" s="8" t="n">
        <v>67.97060447579</v>
      </c>
      <c r="J22" s="8" t="n">
        <v>14.2297268247731</v>
      </c>
      <c r="K22" s="8" t="n">
        <v>236.798646905227</v>
      </c>
      <c r="L22" s="8" t="n">
        <v>694.797651483723</v>
      </c>
      <c r="M22" s="8" t="n">
        <v>0.166647579689704</v>
      </c>
      <c r="N22" s="8" t="n">
        <v>831.555486980172</v>
      </c>
      <c r="O22" s="8" t="n">
        <v>76.4648723659929</v>
      </c>
      <c r="P22" s="8" t="n">
        <v>47.7905452287455</v>
      </c>
      <c r="Q22" s="8" t="n">
        <v>1342.89720062393</v>
      </c>
      <c r="R22" s="8" t="n">
        <v>536.066709650746</v>
      </c>
      <c r="S22" s="8" t="n">
        <v>177.42554707552</v>
      </c>
      <c r="T22" s="8" t="n">
        <v>0.0288990222453816</v>
      </c>
      <c r="U22" s="8" t="n">
        <v>0.0100683384726037</v>
      </c>
      <c r="V22" s="8" t="n">
        <v>2252.54654444546</v>
      </c>
      <c r="W22" s="8" t="n">
        <v>899.186634580079</v>
      </c>
      <c r="X22" s="8" t="n">
        <v>297.609752090943</v>
      </c>
      <c r="Y22" s="8" t="n">
        <v>297.609752090943</v>
      </c>
      <c r="Z22" s="8" t="n">
        <v>207.372809457467</v>
      </c>
      <c r="AA22" s="8" t="n">
        <v>207.372809457467</v>
      </c>
      <c r="AB22" s="8" t="n">
        <v>207.372809457467</v>
      </c>
      <c r="AC22" s="8" t="n">
        <v>207.372809457467</v>
      </c>
      <c r="AD22" s="8" t="n">
        <v>207.372809457467</v>
      </c>
      <c r="AE22" s="8" t="n">
        <v>8.62590677065824</v>
      </c>
      <c r="AF22" s="8" t="n">
        <v>3.44334730771087</v>
      </c>
      <c r="AG22" s="8" t="n">
        <v>1.1396674496718</v>
      </c>
      <c r="AH22" s="8" t="n">
        <v>1.1396674496718</v>
      </c>
      <c r="AI22" s="8" t="n">
        <v>0.794113899914974</v>
      </c>
      <c r="AJ22" s="8" t="n">
        <v>0.794113899914974</v>
      </c>
      <c r="AK22" s="8" t="n">
        <v>0.794113899914974</v>
      </c>
      <c r="AL22" s="8" t="n">
        <v>0.794113899914974</v>
      </c>
      <c r="AM22" s="8" t="n">
        <v>0.794113899914974</v>
      </c>
      <c r="AN22" s="8" t="n">
        <v>1.44831040635167</v>
      </c>
      <c r="AO22" s="8" t="n">
        <v>23.5771461499109</v>
      </c>
      <c r="AP22" s="8" t="n">
        <v>26.0695873143301</v>
      </c>
      <c r="AQ22" s="8" t="n">
        <v>95.160901127494</v>
      </c>
      <c r="AR22" s="8" t="n">
        <v>95.160901127494</v>
      </c>
      <c r="AS22" s="8" t="n">
        <v>95.160901127494</v>
      </c>
      <c r="AT22" s="8" t="n">
        <v>0.000284370552878843</v>
      </c>
      <c r="AU22" s="8" t="n">
        <v>158.712295128877</v>
      </c>
      <c r="AV22" s="8" t="n">
        <v>175.053087645105</v>
      </c>
      <c r="AW22" s="8" t="n">
        <v>11.6451624828289</v>
      </c>
      <c r="AX22" s="8" t="n">
        <v>0.55108435808638</v>
      </c>
      <c r="AY22" s="8" t="n">
        <v>0.607823220989948</v>
      </c>
      <c r="AZ22" s="8" t="n">
        <v>0.040434591954267</v>
      </c>
      <c r="BA22" s="8" t="n">
        <v>78.3857173575364</v>
      </c>
      <c r="BB22" s="8" t="n">
        <v>202.287741838818</v>
      </c>
      <c r="BC22" s="8" t="n">
        <v>0.272172629713668</v>
      </c>
      <c r="BD22" s="8" t="n">
        <v>0.702387992495895</v>
      </c>
      <c r="BE22" s="8" t="n">
        <v>0.55108435808638</v>
      </c>
      <c r="BF22" s="8" t="n">
        <v>0</v>
      </c>
      <c r="BG22" s="8" t="n">
        <v>19.3688070219568</v>
      </c>
      <c r="BH22" s="8" t="n">
        <v>3273.49449997846</v>
      </c>
      <c r="BI22" s="8" t="n">
        <v>28.0399195995395</v>
      </c>
      <c r="BJ22" s="8" t="n">
        <v>0.365449189093524</v>
      </c>
      <c r="BK22" s="8" t="n">
        <v>0</v>
      </c>
      <c r="BL22" s="4" t="s">
        <v>234</v>
      </c>
    </row>
    <row r="23" customFormat="false" ht="12.75" hidden="false" customHeight="false" outlineLevel="0" collapsed="false">
      <c r="A23" s="1" t="n">
        <v>2005</v>
      </c>
      <c r="B23" s="12" t="n">
        <v>411.52024395279</v>
      </c>
      <c r="C23" s="12" t="n">
        <v>12962.8876845129</v>
      </c>
      <c r="D23" s="8" t="n">
        <v>7201.60426917383</v>
      </c>
      <c r="E23" s="8" t="n">
        <v>9130.47913876691</v>
      </c>
      <c r="F23" s="8" t="n">
        <v>2.91033091964434</v>
      </c>
      <c r="G23" s="8" t="n">
        <v>91.6754239687966</v>
      </c>
      <c r="H23" s="8" t="n">
        <v>50.9307910937759</v>
      </c>
      <c r="I23" s="8" t="n">
        <v>64.5720742520005</v>
      </c>
      <c r="J23" s="8" t="n">
        <v>13.5182404835344</v>
      </c>
      <c r="K23" s="8" t="n">
        <v>224.958714559966</v>
      </c>
      <c r="L23" s="8" t="n">
        <v>660.057768909537</v>
      </c>
      <c r="M23" s="8" t="n">
        <v>0.158315200705219</v>
      </c>
      <c r="N23" s="8" t="n">
        <v>789.977712631164</v>
      </c>
      <c r="O23" s="8" t="n">
        <v>72.6416287476932</v>
      </c>
      <c r="P23" s="8" t="n">
        <v>45.4010179673082</v>
      </c>
      <c r="Q23" s="8" t="n">
        <v>1275.75234059273</v>
      </c>
      <c r="R23" s="8" t="n">
        <v>509.263374168209</v>
      </c>
      <c r="S23" s="8" t="n">
        <v>168.554269721744</v>
      </c>
      <c r="T23" s="8" t="n">
        <v>0.0274540711331125</v>
      </c>
      <c r="U23" s="8" t="n">
        <v>0.00956492154897355</v>
      </c>
      <c r="V23" s="8" t="n">
        <v>2139.91921722319</v>
      </c>
      <c r="W23" s="8" t="n">
        <v>854.227302851075</v>
      </c>
      <c r="X23" s="8" t="n">
        <v>282.729264486396</v>
      </c>
      <c r="Y23" s="8" t="n">
        <v>282.729264486396</v>
      </c>
      <c r="Z23" s="8" t="n">
        <v>197.004168984594</v>
      </c>
      <c r="AA23" s="8" t="n">
        <v>197.004168984594</v>
      </c>
      <c r="AB23" s="8" t="n">
        <v>197.004168984594</v>
      </c>
      <c r="AC23" s="8" t="n">
        <v>197.004168984594</v>
      </c>
      <c r="AD23" s="8" t="n">
        <v>197.004168984594</v>
      </c>
      <c r="AE23" s="8" t="n">
        <v>8.19461143212533</v>
      </c>
      <c r="AF23" s="8" t="n">
        <v>3.27117994232532</v>
      </c>
      <c r="AG23" s="8" t="n">
        <v>1.08268407718821</v>
      </c>
      <c r="AH23" s="8" t="n">
        <v>1.08268407718821</v>
      </c>
      <c r="AI23" s="8" t="n">
        <v>0.754408204919226</v>
      </c>
      <c r="AJ23" s="8" t="n">
        <v>0.754408204919226</v>
      </c>
      <c r="AK23" s="8" t="n">
        <v>0.754408204919226</v>
      </c>
      <c r="AL23" s="8" t="n">
        <v>0.754408204919226</v>
      </c>
      <c r="AM23" s="8" t="n">
        <v>0.754408204919226</v>
      </c>
      <c r="AN23" s="8" t="n">
        <v>1.37589488603409</v>
      </c>
      <c r="AO23" s="8" t="n">
        <v>22.3982888424154</v>
      </c>
      <c r="AP23" s="8" t="n">
        <v>24.7661079486136</v>
      </c>
      <c r="AQ23" s="8" t="n">
        <v>90.4028560711193</v>
      </c>
      <c r="AR23" s="8" t="n">
        <v>90.4028560711193</v>
      </c>
      <c r="AS23" s="8" t="n">
        <v>90.4028560711193</v>
      </c>
      <c r="AT23" s="8" t="n">
        <v>0.000270152025234901</v>
      </c>
      <c r="AU23" s="8" t="n">
        <v>150.776680372434</v>
      </c>
      <c r="AV23" s="8" t="n">
        <v>166.30043326285</v>
      </c>
      <c r="AW23" s="8" t="n">
        <v>11.0629043586874</v>
      </c>
      <c r="AX23" s="8" t="n">
        <v>0.523530140182061</v>
      </c>
      <c r="AY23" s="8" t="n">
        <v>0.577432059940451</v>
      </c>
      <c r="AZ23" s="8" t="n">
        <v>0.0384128623565536</v>
      </c>
      <c r="BA23" s="8" t="n">
        <v>74.4664314896595</v>
      </c>
      <c r="BB23" s="8" t="n">
        <v>192.173354746877</v>
      </c>
      <c r="BC23" s="8" t="n">
        <v>0.258563998227985</v>
      </c>
      <c r="BD23" s="8" t="n">
        <v>0.667268592871101</v>
      </c>
      <c r="BE23" s="8" t="n">
        <v>0.523530140182061</v>
      </c>
      <c r="BF23" s="8" t="n">
        <v>0</v>
      </c>
      <c r="BG23" s="8" t="n">
        <v>18.4003666708589</v>
      </c>
      <c r="BH23" s="8" t="n">
        <v>3109.81977497954</v>
      </c>
      <c r="BI23" s="8" t="n">
        <v>26.6379236195625</v>
      </c>
      <c r="BJ23" s="8" t="n">
        <v>0.347176729638848</v>
      </c>
      <c r="BK23" s="8" t="n">
        <v>0</v>
      </c>
      <c r="BL23" s="4" t="s">
        <v>234</v>
      </c>
    </row>
    <row r="24" customFormat="false" ht="12.75" hidden="false" customHeight="false" outlineLevel="0" collapsed="false">
      <c r="A24" s="1" t="n">
        <v>2004</v>
      </c>
      <c r="B24" s="12" t="n">
        <v>390.944231755151</v>
      </c>
      <c r="C24" s="12" t="n">
        <v>12314.7433002873</v>
      </c>
      <c r="D24" s="8" t="n">
        <v>6841.52405571514</v>
      </c>
      <c r="E24" s="8" t="n">
        <v>8673.95518182857</v>
      </c>
      <c r="F24" s="8" t="n">
        <v>2.76481437366212</v>
      </c>
      <c r="G24" s="8" t="n">
        <v>87.0916527703568</v>
      </c>
      <c r="H24" s="8" t="n">
        <v>48.3842515390871</v>
      </c>
      <c r="I24" s="8" t="n">
        <v>61.3434705394005</v>
      </c>
      <c r="J24" s="8" t="n">
        <v>12.8423284593577</v>
      </c>
      <c r="K24" s="8" t="n">
        <v>213.710778831968</v>
      </c>
      <c r="L24" s="8" t="n">
        <v>627.05488046406</v>
      </c>
      <c r="M24" s="8" t="n">
        <v>0.150399440669958</v>
      </c>
      <c r="N24" s="8" t="n">
        <v>750.478826999605</v>
      </c>
      <c r="O24" s="8" t="n">
        <v>69.0095473103085</v>
      </c>
      <c r="P24" s="8" t="n">
        <v>43.1309670689428</v>
      </c>
      <c r="Q24" s="8" t="n">
        <v>1211.96472356309</v>
      </c>
      <c r="R24" s="8" t="n">
        <v>483.800205459798</v>
      </c>
      <c r="S24" s="8" t="n">
        <v>160.126556235657</v>
      </c>
      <c r="T24" s="8" t="n">
        <v>0.0260813675764568</v>
      </c>
      <c r="U24" s="8" t="n">
        <v>0.00908667547152486</v>
      </c>
      <c r="V24" s="8" t="n">
        <v>2032.92325636203</v>
      </c>
      <c r="W24" s="8" t="n">
        <v>811.515937708521</v>
      </c>
      <c r="X24" s="8" t="n">
        <v>268.592801262076</v>
      </c>
      <c r="Y24" s="8" t="n">
        <v>268.592801262076</v>
      </c>
      <c r="Z24" s="8" t="n">
        <v>187.153960535364</v>
      </c>
      <c r="AA24" s="8" t="n">
        <v>187.153960535364</v>
      </c>
      <c r="AB24" s="8" t="n">
        <v>187.153960535364</v>
      </c>
      <c r="AC24" s="8" t="n">
        <v>187.153960535364</v>
      </c>
      <c r="AD24" s="8" t="n">
        <v>187.153960535364</v>
      </c>
      <c r="AE24" s="8" t="n">
        <v>7.78488086051905</v>
      </c>
      <c r="AF24" s="8" t="n">
        <v>3.10762094520906</v>
      </c>
      <c r="AG24" s="8" t="n">
        <v>1.0285498733288</v>
      </c>
      <c r="AH24" s="8" t="n">
        <v>1.0285498733288</v>
      </c>
      <c r="AI24" s="8" t="n">
        <v>0.716687794673263</v>
      </c>
      <c r="AJ24" s="8" t="n">
        <v>0.716687794673263</v>
      </c>
      <c r="AK24" s="8" t="n">
        <v>0.716687794673263</v>
      </c>
      <c r="AL24" s="8" t="n">
        <v>0.716687794673263</v>
      </c>
      <c r="AM24" s="8" t="n">
        <v>0.716687794673263</v>
      </c>
      <c r="AN24" s="8" t="n">
        <v>1.30710014173238</v>
      </c>
      <c r="AO24" s="8" t="n">
        <v>21.2783744002946</v>
      </c>
      <c r="AP24" s="8" t="n">
        <v>23.5278025511829</v>
      </c>
      <c r="AQ24" s="8" t="n">
        <v>85.8827132675633</v>
      </c>
      <c r="AR24" s="8" t="n">
        <v>85.8827132675633</v>
      </c>
      <c r="AS24" s="8" t="n">
        <v>85.8827132675633</v>
      </c>
      <c r="AT24" s="8" t="n">
        <v>0.000256644423973156</v>
      </c>
      <c r="AU24" s="8" t="n">
        <v>143.237846353812</v>
      </c>
      <c r="AV24" s="8" t="n">
        <v>157.985411599707</v>
      </c>
      <c r="AW24" s="8" t="n">
        <v>10.5097591407531</v>
      </c>
      <c r="AX24" s="8" t="n">
        <v>0.49735363317296</v>
      </c>
      <c r="AY24" s="8" t="n">
        <v>0.548560456943428</v>
      </c>
      <c r="AZ24" s="8" t="n">
        <v>0.0364922192387259</v>
      </c>
      <c r="BA24" s="8" t="n">
        <v>70.7431099151766</v>
      </c>
      <c r="BB24" s="8" t="n">
        <v>182.564687009534</v>
      </c>
      <c r="BC24" s="8" t="n">
        <v>0.245635798316585</v>
      </c>
      <c r="BD24" s="8" t="n">
        <v>0.633905163227547</v>
      </c>
      <c r="BE24" s="8" t="n">
        <v>0.49735363317296</v>
      </c>
      <c r="BF24" s="8" t="n">
        <v>0</v>
      </c>
      <c r="BG24" s="8" t="n">
        <v>17.480348337316</v>
      </c>
      <c r="BH24" s="8" t="n">
        <v>2954.32878623056</v>
      </c>
      <c r="BI24" s="8" t="n">
        <v>25.3060274385844</v>
      </c>
      <c r="BJ24" s="8" t="n">
        <v>0.329817893156905</v>
      </c>
      <c r="BK24" s="8" t="n">
        <v>0</v>
      </c>
      <c r="BL24" s="4" t="s">
        <v>234</v>
      </c>
    </row>
    <row r="25" customFormat="false" ht="12.75" hidden="false" customHeight="false" outlineLevel="0" collapsed="false">
      <c r="A25" s="1" t="n">
        <v>2003</v>
      </c>
      <c r="B25" s="12" t="n">
        <v>371.397020167393</v>
      </c>
      <c r="C25" s="12" t="n">
        <v>11699.0061352729</v>
      </c>
      <c r="D25" s="8" t="n">
        <v>6499.44785292938</v>
      </c>
      <c r="E25" s="8" t="n">
        <v>8240.25742273714</v>
      </c>
      <c r="F25" s="8" t="n">
        <v>2.62657365497901</v>
      </c>
      <c r="G25" s="8" t="n">
        <v>82.7370701318391</v>
      </c>
      <c r="H25" s="8" t="n">
        <v>45.9650389621327</v>
      </c>
      <c r="I25" s="8" t="n">
        <v>58.2762970124305</v>
      </c>
      <c r="J25" s="8" t="n">
        <v>12.2002120363898</v>
      </c>
      <c r="K25" s="8" t="n">
        <v>203.02523989037</v>
      </c>
      <c r="L25" s="8" t="n">
        <v>595.702136440857</v>
      </c>
      <c r="M25" s="8" t="n">
        <v>0.14287946863646</v>
      </c>
      <c r="N25" s="8" t="n">
        <v>712.954885649625</v>
      </c>
      <c r="O25" s="8" t="n">
        <v>65.5590699447931</v>
      </c>
      <c r="P25" s="8" t="n">
        <v>40.9744187154957</v>
      </c>
      <c r="Q25" s="8" t="n">
        <v>1151.36648738494</v>
      </c>
      <c r="R25" s="8" t="n">
        <v>459.610195186809</v>
      </c>
      <c r="S25" s="8" t="n">
        <v>152.120228423874</v>
      </c>
      <c r="T25" s="8" t="n">
        <v>0.024777299197634</v>
      </c>
      <c r="U25" s="8" t="n">
        <v>0.00863234169794864</v>
      </c>
      <c r="V25" s="8" t="n">
        <v>1931.27709354393</v>
      </c>
      <c r="W25" s="8" t="n">
        <v>770.940140823095</v>
      </c>
      <c r="X25" s="8" t="n">
        <v>255.163161198973</v>
      </c>
      <c r="Y25" s="8" t="n">
        <v>255.163161198973</v>
      </c>
      <c r="Z25" s="8" t="n">
        <v>177.796262508596</v>
      </c>
      <c r="AA25" s="8" t="n">
        <v>177.796262508596</v>
      </c>
      <c r="AB25" s="8" t="n">
        <v>177.796262508596</v>
      </c>
      <c r="AC25" s="8" t="n">
        <v>177.796262508596</v>
      </c>
      <c r="AD25" s="8" t="n">
        <v>177.796262508596</v>
      </c>
      <c r="AE25" s="8" t="n">
        <v>7.39563681749312</v>
      </c>
      <c r="AF25" s="8" t="n">
        <v>2.9522398979486</v>
      </c>
      <c r="AG25" s="8" t="n">
        <v>0.97712237966236</v>
      </c>
      <c r="AH25" s="8" t="n">
        <v>0.97712237966236</v>
      </c>
      <c r="AI25" s="8" t="n">
        <v>0.680853404939602</v>
      </c>
      <c r="AJ25" s="8" t="n">
        <v>0.680853404939602</v>
      </c>
      <c r="AK25" s="8" t="n">
        <v>0.680853404939602</v>
      </c>
      <c r="AL25" s="8" t="n">
        <v>0.680853404939602</v>
      </c>
      <c r="AM25" s="8" t="n">
        <v>0.680853404939602</v>
      </c>
      <c r="AN25" s="8" t="n">
        <v>1.24174513464576</v>
      </c>
      <c r="AO25" s="8" t="n">
        <v>20.2144556802799</v>
      </c>
      <c r="AP25" s="8" t="n">
        <v>22.3514124236238</v>
      </c>
      <c r="AQ25" s="8" t="n">
        <v>81.5885776041852</v>
      </c>
      <c r="AR25" s="8" t="n">
        <v>81.5885776041852</v>
      </c>
      <c r="AS25" s="8" t="n">
        <v>81.5885776041852</v>
      </c>
      <c r="AT25" s="8" t="n">
        <v>0.000243812202774499</v>
      </c>
      <c r="AU25" s="8" t="n">
        <v>136.075954036121</v>
      </c>
      <c r="AV25" s="8" t="n">
        <v>150.086141019722</v>
      </c>
      <c r="AW25" s="8" t="n">
        <v>9.98427118371546</v>
      </c>
      <c r="AX25" s="8" t="n">
        <v>0.47248595151431</v>
      </c>
      <c r="AY25" s="8" t="n">
        <v>0.521132434096255</v>
      </c>
      <c r="AZ25" s="8" t="n">
        <v>0.0346676082767898</v>
      </c>
      <c r="BA25" s="8" t="n">
        <v>67.2059544194177</v>
      </c>
      <c r="BB25" s="8" t="n">
        <v>173.436452659056</v>
      </c>
      <c r="BC25" s="8" t="n">
        <v>0.233354008400756</v>
      </c>
      <c r="BD25" s="8" t="n">
        <v>0.602209905066168</v>
      </c>
      <c r="BE25" s="8" t="n">
        <v>0.47248595151431</v>
      </c>
      <c r="BF25" s="8" t="n">
        <v>0</v>
      </c>
      <c r="BG25" s="8" t="n">
        <v>16.6063309204502</v>
      </c>
      <c r="BH25" s="8" t="n">
        <v>2806.61234691903</v>
      </c>
      <c r="BI25" s="8" t="n">
        <v>24.0407260666551</v>
      </c>
      <c r="BJ25" s="8" t="n">
        <v>0.31332699849906</v>
      </c>
      <c r="BK25" s="8" t="n">
        <v>0</v>
      </c>
      <c r="BL25" s="4" t="s">
        <v>234</v>
      </c>
    </row>
    <row r="26" customFormat="false" ht="12.75" hidden="false" customHeight="false" outlineLevel="0" collapsed="false">
      <c r="A26" s="1" t="n">
        <v>2002</v>
      </c>
      <c r="B26" s="12" t="n">
        <v>352.827169159023</v>
      </c>
      <c r="C26" s="12" t="n">
        <v>11114.0558285092</v>
      </c>
      <c r="D26" s="8" t="n">
        <v>6174.47546028291</v>
      </c>
      <c r="E26" s="8" t="n">
        <v>7828.24455160028</v>
      </c>
      <c r="F26" s="8" t="n">
        <v>2.49524497223006</v>
      </c>
      <c r="G26" s="8" t="n">
        <v>78.6002166252469</v>
      </c>
      <c r="H26" s="8" t="n">
        <v>43.6667870140261</v>
      </c>
      <c r="I26" s="8" t="n">
        <v>55.3624821618089</v>
      </c>
      <c r="J26" s="8" t="n">
        <v>11.5902014345703</v>
      </c>
      <c r="K26" s="8" t="n">
        <v>192.873977895851</v>
      </c>
      <c r="L26" s="8" t="n">
        <v>565.917029618815</v>
      </c>
      <c r="M26" s="8" t="n">
        <v>0.135735495204637</v>
      </c>
      <c r="N26" s="8" t="n">
        <v>677.307141367144</v>
      </c>
      <c r="O26" s="8" t="n">
        <v>62.2811164475535</v>
      </c>
      <c r="P26" s="8" t="n">
        <v>38.9256977797209</v>
      </c>
      <c r="Q26" s="8" t="n">
        <v>1093.79816301569</v>
      </c>
      <c r="R26" s="8" t="n">
        <v>436.629685427468</v>
      </c>
      <c r="S26" s="8" t="n">
        <v>144.51421700268</v>
      </c>
      <c r="T26" s="8" t="n">
        <v>0.0235384342377523</v>
      </c>
      <c r="U26" s="8" t="n">
        <v>0.00820072461305121</v>
      </c>
      <c r="V26" s="8" t="n">
        <v>1834.71323886674</v>
      </c>
      <c r="W26" s="8" t="n">
        <v>732.39313378194</v>
      </c>
      <c r="X26" s="8" t="n">
        <v>242.405003139024</v>
      </c>
      <c r="Y26" s="8" t="n">
        <v>242.405003139024</v>
      </c>
      <c r="Z26" s="8" t="n">
        <v>168.906449383166</v>
      </c>
      <c r="AA26" s="8" t="n">
        <v>168.906449383166</v>
      </c>
      <c r="AB26" s="8" t="n">
        <v>168.906449383166</v>
      </c>
      <c r="AC26" s="8" t="n">
        <v>168.906449383166</v>
      </c>
      <c r="AD26" s="8" t="n">
        <v>168.906449383166</v>
      </c>
      <c r="AE26" s="8" t="n">
        <v>7.02585497661847</v>
      </c>
      <c r="AF26" s="8" t="n">
        <v>2.80462790305117</v>
      </c>
      <c r="AG26" s="8" t="n">
        <v>0.928266260679242</v>
      </c>
      <c r="AH26" s="8" t="n">
        <v>0.928266260679242</v>
      </c>
      <c r="AI26" s="8" t="n">
        <v>0.646810734692623</v>
      </c>
      <c r="AJ26" s="8" t="n">
        <v>0.646810734692623</v>
      </c>
      <c r="AK26" s="8" t="n">
        <v>0.646810734692623</v>
      </c>
      <c r="AL26" s="8" t="n">
        <v>0.646810734692623</v>
      </c>
      <c r="AM26" s="8" t="n">
        <v>0.646810734692623</v>
      </c>
      <c r="AN26" s="8" t="n">
        <v>1.17965787791347</v>
      </c>
      <c r="AO26" s="8" t="n">
        <v>19.2037328962658</v>
      </c>
      <c r="AP26" s="8" t="n">
        <v>21.2338418024425</v>
      </c>
      <c r="AQ26" s="8" t="n">
        <v>77.5091487239758</v>
      </c>
      <c r="AR26" s="8" t="n">
        <v>77.5091487239758</v>
      </c>
      <c r="AS26" s="8" t="n">
        <v>77.5091487239758</v>
      </c>
      <c r="AT26" s="8" t="n">
        <v>0.000231621592635774</v>
      </c>
      <c r="AU26" s="8" t="n">
        <v>129.272156334315</v>
      </c>
      <c r="AV26" s="8" t="n">
        <v>142.581833968736</v>
      </c>
      <c r="AW26" s="8" t="n">
        <v>9.48505762452964</v>
      </c>
      <c r="AX26" s="8" t="n">
        <v>0.448861653938594</v>
      </c>
      <c r="AY26" s="8" t="n">
        <v>0.495075812391445</v>
      </c>
      <c r="AZ26" s="8" t="n">
        <v>0.0329342278629501</v>
      </c>
      <c r="BA26" s="8" t="n">
        <v>63.8456566984468</v>
      </c>
      <c r="BB26" s="8" t="n">
        <v>164.764630026103</v>
      </c>
      <c r="BC26" s="8" t="n">
        <v>0.221686307980718</v>
      </c>
      <c r="BD26" s="8" t="n">
        <v>0.572099409812859</v>
      </c>
      <c r="BE26" s="8" t="n">
        <v>0.448861653938594</v>
      </c>
      <c r="BF26" s="8" t="n">
        <v>0</v>
      </c>
      <c r="BG26" s="8" t="n">
        <v>15.7760143744277</v>
      </c>
      <c r="BH26" s="8" t="n">
        <v>2666.28172957308</v>
      </c>
      <c r="BI26" s="8" t="n">
        <v>22.8386897633224</v>
      </c>
      <c r="BJ26" s="8" t="n">
        <v>0.297660648574107</v>
      </c>
      <c r="BK26" s="8" t="n">
        <v>0</v>
      </c>
      <c r="BL26" s="4" t="s">
        <v>234</v>
      </c>
    </row>
    <row r="27" customFormat="false" ht="12.75" hidden="false" customHeight="false" outlineLevel="0" collapsed="false">
      <c r="A27" s="1" t="n">
        <v>2001</v>
      </c>
      <c r="B27" s="12" t="n">
        <v>335.185810701072</v>
      </c>
      <c r="C27" s="12" t="n">
        <v>10558.3530370838</v>
      </c>
      <c r="D27" s="8" t="n">
        <v>5865.75168726877</v>
      </c>
      <c r="E27" s="8" t="n">
        <v>7436.83232402026</v>
      </c>
      <c r="F27" s="8" t="n">
        <v>2.37048272361856</v>
      </c>
      <c r="G27" s="8" t="n">
        <v>74.6702057939845</v>
      </c>
      <c r="H27" s="8" t="n">
        <v>41.4834476633248</v>
      </c>
      <c r="I27" s="8" t="n">
        <v>52.5943580537185</v>
      </c>
      <c r="J27" s="8" t="n">
        <v>11.0106913628418</v>
      </c>
      <c r="K27" s="8" t="n">
        <v>183.230279001058</v>
      </c>
      <c r="L27" s="8" t="n">
        <v>537.621178137873</v>
      </c>
      <c r="M27" s="8" t="n">
        <v>0.128948720444405</v>
      </c>
      <c r="N27" s="8" t="n">
        <v>643.441784298788</v>
      </c>
      <c r="O27" s="8" t="n">
        <v>59.1670606251758</v>
      </c>
      <c r="P27" s="8" t="n">
        <v>36.9794128907349</v>
      </c>
      <c r="Q27" s="8" t="n">
        <v>1039.10825486491</v>
      </c>
      <c r="R27" s="8" t="n">
        <v>414.798201156095</v>
      </c>
      <c r="S27" s="8" t="n">
        <v>137.288506152546</v>
      </c>
      <c r="T27" s="8" t="n">
        <v>0.0223615125258647</v>
      </c>
      <c r="U27" s="8" t="n">
        <v>0.00779068838239864</v>
      </c>
      <c r="V27" s="8" t="n">
        <v>1742.9775769234</v>
      </c>
      <c r="W27" s="8" t="n">
        <v>695.773477092843</v>
      </c>
      <c r="X27" s="8" t="n">
        <v>230.284752982073</v>
      </c>
      <c r="Y27" s="8" t="n">
        <v>230.284752982073</v>
      </c>
      <c r="Z27" s="8" t="n">
        <v>160.461126914008</v>
      </c>
      <c r="AA27" s="8" t="n">
        <v>160.461126914008</v>
      </c>
      <c r="AB27" s="8" t="n">
        <v>160.461126914008</v>
      </c>
      <c r="AC27" s="8" t="n">
        <v>160.461126914008</v>
      </c>
      <c r="AD27" s="8" t="n">
        <v>160.461126914008</v>
      </c>
      <c r="AE27" s="8" t="n">
        <v>6.67456222778754</v>
      </c>
      <c r="AF27" s="8" t="n">
        <v>2.66439650789861</v>
      </c>
      <c r="AG27" s="8" t="n">
        <v>0.88185294764528</v>
      </c>
      <c r="AH27" s="8" t="n">
        <v>0.88185294764528</v>
      </c>
      <c r="AI27" s="8" t="n">
        <v>0.61447019795799</v>
      </c>
      <c r="AJ27" s="8" t="n">
        <v>0.61447019795799</v>
      </c>
      <c r="AK27" s="8" t="n">
        <v>0.61447019795799</v>
      </c>
      <c r="AL27" s="8" t="n">
        <v>0.61447019795799</v>
      </c>
      <c r="AM27" s="8" t="n">
        <v>0.61447019795799</v>
      </c>
      <c r="AN27" s="8" t="n">
        <v>1.12067498401781</v>
      </c>
      <c r="AO27" s="8" t="n">
        <v>18.2435462514526</v>
      </c>
      <c r="AP27" s="8" t="n">
        <v>20.1721497123204</v>
      </c>
      <c r="AQ27" s="8" t="n">
        <v>73.633691287777</v>
      </c>
      <c r="AR27" s="8" t="n">
        <v>73.633691287777</v>
      </c>
      <c r="AS27" s="8" t="n">
        <v>73.633691287777</v>
      </c>
      <c r="AT27" s="8" t="n">
        <v>0.000220040513003985</v>
      </c>
      <c r="AU27" s="8" t="n">
        <v>122.808548517599</v>
      </c>
      <c r="AV27" s="8" t="n">
        <v>135.452742270299</v>
      </c>
      <c r="AW27" s="8" t="n">
        <v>9.01080474330316</v>
      </c>
      <c r="AX27" s="8" t="n">
        <v>0.426418571241664</v>
      </c>
      <c r="AY27" s="8" t="n">
        <v>0.470322021771873</v>
      </c>
      <c r="AZ27" s="8" t="n">
        <v>0.0312875164698026</v>
      </c>
      <c r="BA27" s="8" t="n">
        <v>60.6533738635245</v>
      </c>
      <c r="BB27" s="8" t="n">
        <v>156.526398524799</v>
      </c>
      <c r="BC27" s="8" t="n">
        <v>0.210601992581682</v>
      </c>
      <c r="BD27" s="8" t="n">
        <v>0.543494439322218</v>
      </c>
      <c r="BE27" s="8" t="n">
        <v>0.426418571241664</v>
      </c>
      <c r="BF27" s="8" t="n">
        <v>0</v>
      </c>
      <c r="BG27" s="8" t="n">
        <v>14.9872136557063</v>
      </c>
      <c r="BH27" s="8" t="n">
        <v>2532.96764309442</v>
      </c>
      <c r="BI27" s="8" t="n">
        <v>21.6967552751562</v>
      </c>
      <c r="BJ27" s="8" t="n">
        <v>0.282777616145401</v>
      </c>
      <c r="BK27" s="8" t="n">
        <v>0</v>
      </c>
      <c r="BL27" s="4" t="s">
        <v>234</v>
      </c>
    </row>
    <row r="28" customFormat="false" ht="12.75" hidden="false" customHeight="false" outlineLevel="0" collapsed="false">
      <c r="A28" s="1" t="n">
        <v>2000</v>
      </c>
      <c r="B28" s="12" t="n">
        <v>318.426520166019</v>
      </c>
      <c r="C28" s="12" t="n">
        <v>10030.4353852296</v>
      </c>
      <c r="D28" s="8" t="n">
        <v>5572.46410290533</v>
      </c>
      <c r="E28" s="8" t="n">
        <v>7064.99070781925</v>
      </c>
      <c r="F28" s="8" t="n">
        <v>2.25195858743763</v>
      </c>
      <c r="G28" s="8" t="n">
        <v>70.9366955042857</v>
      </c>
      <c r="H28" s="8" t="n">
        <v>39.4092752801585</v>
      </c>
      <c r="I28" s="8" t="n">
        <v>49.9646401510326</v>
      </c>
      <c r="J28" s="8" t="n">
        <v>10.4601567946998</v>
      </c>
      <c r="K28" s="8" t="n">
        <v>174.068765051006</v>
      </c>
      <c r="L28" s="8" t="n">
        <v>510.74011923098</v>
      </c>
      <c r="M28" s="8" t="n">
        <v>0.122501284422185</v>
      </c>
      <c r="N28" s="8" t="n">
        <v>611.269695083847</v>
      </c>
      <c r="O28" s="8" t="n">
        <v>56.208707593917</v>
      </c>
      <c r="P28" s="8" t="n">
        <v>35.1304422461981</v>
      </c>
      <c r="Q28" s="8" t="n">
        <v>987.152842121663</v>
      </c>
      <c r="R28" s="8" t="n">
        <v>394.05829109829</v>
      </c>
      <c r="S28" s="8" t="n">
        <v>130.424080844919</v>
      </c>
      <c r="T28" s="8" t="n">
        <v>0.0212434368995714</v>
      </c>
      <c r="U28" s="8" t="n">
        <v>0.0074011539632787</v>
      </c>
      <c r="V28" s="8" t="n">
        <v>1655.82869807723</v>
      </c>
      <c r="W28" s="8" t="n">
        <v>660.984803238201</v>
      </c>
      <c r="X28" s="8" t="n">
        <v>218.770515332969</v>
      </c>
      <c r="Y28" s="8" t="n">
        <v>218.770515332969</v>
      </c>
      <c r="Z28" s="8" t="n">
        <v>152.438070568307</v>
      </c>
      <c r="AA28" s="8" t="n">
        <v>152.438070568307</v>
      </c>
      <c r="AB28" s="8" t="n">
        <v>152.438070568307</v>
      </c>
      <c r="AC28" s="8" t="n">
        <v>152.438070568307</v>
      </c>
      <c r="AD28" s="8" t="n">
        <v>152.438070568307</v>
      </c>
      <c r="AE28" s="8" t="n">
        <v>6.34083411639816</v>
      </c>
      <c r="AF28" s="8" t="n">
        <v>2.53117668250368</v>
      </c>
      <c r="AG28" s="8" t="n">
        <v>0.837760300263015</v>
      </c>
      <c r="AH28" s="8" t="n">
        <v>0.837760300263015</v>
      </c>
      <c r="AI28" s="8" t="n">
        <v>0.58374668806009</v>
      </c>
      <c r="AJ28" s="8" t="n">
        <v>0.58374668806009</v>
      </c>
      <c r="AK28" s="8" t="n">
        <v>0.58374668806009</v>
      </c>
      <c r="AL28" s="8" t="n">
        <v>0.58374668806009</v>
      </c>
      <c r="AM28" s="8" t="n">
        <v>0.58374668806009</v>
      </c>
      <c r="AN28" s="8" t="n">
        <v>1.06464123481691</v>
      </c>
      <c r="AO28" s="8" t="n">
        <v>17.3313689388799</v>
      </c>
      <c r="AP28" s="8" t="n">
        <v>19.1635422267044</v>
      </c>
      <c r="AQ28" s="8" t="n">
        <v>69.9520067233882</v>
      </c>
      <c r="AR28" s="8" t="n">
        <v>69.9520067233882</v>
      </c>
      <c r="AS28" s="8" t="n">
        <v>69.9520067233882</v>
      </c>
      <c r="AT28" s="8" t="n">
        <v>0.000209038487353786</v>
      </c>
      <c r="AU28" s="8" t="n">
        <v>116.66812109172</v>
      </c>
      <c r="AV28" s="8" t="n">
        <v>128.680105156784</v>
      </c>
      <c r="AW28" s="8" t="n">
        <v>8.560264506138</v>
      </c>
      <c r="AX28" s="8" t="n">
        <v>0.405097642679583</v>
      </c>
      <c r="AY28" s="8" t="n">
        <v>0.446805920683277</v>
      </c>
      <c r="AZ28" s="8" t="n">
        <v>0.0297231406463125</v>
      </c>
      <c r="BA28" s="8" t="n">
        <v>57.6207051703483</v>
      </c>
      <c r="BB28" s="8" t="n">
        <v>148.700078598559</v>
      </c>
      <c r="BC28" s="8" t="n">
        <v>0.200071892952598</v>
      </c>
      <c r="BD28" s="8" t="n">
        <v>0.516319717356106</v>
      </c>
      <c r="BE28" s="8" t="n">
        <v>0.405097642679583</v>
      </c>
      <c r="BF28" s="8" t="n">
        <v>0</v>
      </c>
      <c r="BG28" s="8" t="n">
        <v>14.2378529729209</v>
      </c>
      <c r="BH28" s="8" t="n">
        <v>2406.3192609397</v>
      </c>
      <c r="BI28" s="8" t="n">
        <v>20.6119175113984</v>
      </c>
      <c r="BJ28" s="8" t="n">
        <v>0.268638735338131</v>
      </c>
      <c r="BK28" s="8" t="n">
        <v>0</v>
      </c>
      <c r="BL28" s="4" t="s">
        <v>234</v>
      </c>
    </row>
    <row r="29" customFormat="false" ht="12.75" hidden="false" customHeight="false" outlineLevel="0" collapsed="false">
      <c r="A29" s="1" t="n">
        <v>1999</v>
      </c>
      <c r="B29" s="12" t="n">
        <v>302.505194157718</v>
      </c>
      <c r="C29" s="12" t="n">
        <v>9528.9136159681</v>
      </c>
      <c r="D29" s="8" t="n">
        <v>5293.84089776006</v>
      </c>
      <c r="E29" s="8" t="n">
        <v>6711.74117242829</v>
      </c>
      <c r="F29" s="8" t="n">
        <v>2.13936065806575</v>
      </c>
      <c r="G29" s="8" t="n">
        <v>67.3898607290711</v>
      </c>
      <c r="H29" s="8" t="n">
        <v>37.4388115161506</v>
      </c>
      <c r="I29" s="8" t="n">
        <v>47.4664081434809</v>
      </c>
      <c r="J29" s="8" t="n">
        <v>9.93714895496472</v>
      </c>
      <c r="K29" s="8" t="n">
        <v>165.365326798455</v>
      </c>
      <c r="L29" s="8" t="n">
        <v>485.20311326943</v>
      </c>
      <c r="M29" s="8" t="n">
        <v>0.116376220201076</v>
      </c>
      <c r="N29" s="8" t="n">
        <v>580.706210329656</v>
      </c>
      <c r="O29" s="8" t="n">
        <v>53.398272214221</v>
      </c>
      <c r="P29" s="8" t="n">
        <v>33.3739201338882</v>
      </c>
      <c r="Q29" s="8" t="n">
        <v>937.79520001558</v>
      </c>
      <c r="R29" s="8" t="n">
        <v>374.355376543375</v>
      </c>
      <c r="S29" s="8" t="n">
        <v>123.902876802673</v>
      </c>
      <c r="T29" s="8" t="n">
        <v>0.0201812650545929</v>
      </c>
      <c r="U29" s="8" t="n">
        <v>0.00703109626511476</v>
      </c>
      <c r="V29" s="8" t="n">
        <v>1573.03726317337</v>
      </c>
      <c r="W29" s="8" t="n">
        <v>627.935563076291</v>
      </c>
      <c r="X29" s="8" t="n">
        <v>207.831989566321</v>
      </c>
      <c r="Y29" s="8" t="n">
        <v>207.831989566321</v>
      </c>
      <c r="Z29" s="8" t="n">
        <v>144.816167039892</v>
      </c>
      <c r="AA29" s="8" t="n">
        <v>144.816167039892</v>
      </c>
      <c r="AB29" s="8" t="n">
        <v>144.816167039892</v>
      </c>
      <c r="AC29" s="8" t="n">
        <v>144.816167039892</v>
      </c>
      <c r="AD29" s="8" t="n">
        <v>144.816167039892</v>
      </c>
      <c r="AE29" s="8" t="n">
        <v>6.02379241057825</v>
      </c>
      <c r="AF29" s="8" t="n">
        <v>2.4046178483785</v>
      </c>
      <c r="AG29" s="8" t="n">
        <v>0.795872285249866</v>
      </c>
      <c r="AH29" s="8" t="n">
        <v>0.795872285249866</v>
      </c>
      <c r="AI29" s="8" t="n">
        <v>0.554559353657085</v>
      </c>
      <c r="AJ29" s="8" t="n">
        <v>0.554559353657085</v>
      </c>
      <c r="AK29" s="8" t="n">
        <v>0.554559353657085</v>
      </c>
      <c r="AL29" s="8" t="n">
        <v>0.554559353657085</v>
      </c>
      <c r="AM29" s="8" t="n">
        <v>0.554559353657085</v>
      </c>
      <c r="AN29" s="8" t="n">
        <v>1.01140917307606</v>
      </c>
      <c r="AO29" s="8" t="n">
        <v>16.464800491936</v>
      </c>
      <c r="AP29" s="8" t="n">
        <v>18.2053651153692</v>
      </c>
      <c r="AQ29" s="8" t="n">
        <v>66.4544063872189</v>
      </c>
      <c r="AR29" s="8" t="n">
        <v>66.4544063872189</v>
      </c>
      <c r="AS29" s="8" t="n">
        <v>66.4544063872189</v>
      </c>
      <c r="AT29" s="8" t="n">
        <v>0.000198586562986096</v>
      </c>
      <c r="AU29" s="8" t="n">
        <v>110.834715037133</v>
      </c>
      <c r="AV29" s="8" t="n">
        <v>122.246099898944</v>
      </c>
      <c r="AW29" s="8" t="n">
        <v>8.1322512808311</v>
      </c>
      <c r="AX29" s="8" t="n">
        <v>0.384842760545601</v>
      </c>
      <c r="AY29" s="8" t="n">
        <v>0.424465624649113</v>
      </c>
      <c r="AZ29" s="8" t="n">
        <v>0.0282369836139969</v>
      </c>
      <c r="BA29" s="8" t="n">
        <v>54.7396699118308</v>
      </c>
      <c r="BB29" s="8" t="n">
        <v>141.26507466863</v>
      </c>
      <c r="BC29" s="8" t="n">
        <v>0.190068298304968</v>
      </c>
      <c r="BD29" s="8" t="n">
        <v>0.490503731488299</v>
      </c>
      <c r="BE29" s="8" t="n">
        <v>0.384842760545601</v>
      </c>
      <c r="BF29" s="8" t="n">
        <v>0</v>
      </c>
      <c r="BG29" s="8" t="n">
        <v>13.5259603242749</v>
      </c>
      <c r="BH29" s="8" t="n">
        <v>2286.00329789272</v>
      </c>
      <c r="BI29" s="8" t="n">
        <v>19.5813216358285</v>
      </c>
      <c r="BJ29" s="8" t="n">
        <v>0.255206798571225</v>
      </c>
      <c r="BK29" s="8" t="n">
        <v>0</v>
      </c>
      <c r="BL29" s="4" t="s">
        <v>234</v>
      </c>
    </row>
    <row r="30" customFormat="false" ht="12.75" hidden="false" customHeight="false" outlineLevel="0" collapsed="false">
      <c r="A30" s="1" t="n">
        <v>1998</v>
      </c>
      <c r="B30" s="12" t="n">
        <v>287.379934449831</v>
      </c>
      <c r="C30" s="12" t="n">
        <v>9052.4679351697</v>
      </c>
      <c r="D30" s="8" t="n">
        <v>5029.14885287206</v>
      </c>
      <c r="E30" s="8" t="n">
        <v>6376.15411380687</v>
      </c>
      <c r="F30" s="8" t="n">
        <v>2.03239262516246</v>
      </c>
      <c r="G30" s="8" t="n">
        <v>64.0203676926175</v>
      </c>
      <c r="H30" s="8" t="n">
        <v>35.5668709403431</v>
      </c>
      <c r="I30" s="8" t="n">
        <v>45.0930877363069</v>
      </c>
      <c r="J30" s="8" t="n">
        <v>9.44029150721648</v>
      </c>
      <c r="K30" s="8" t="n">
        <v>157.097060458532</v>
      </c>
      <c r="L30" s="8" t="n">
        <v>460.942957605959</v>
      </c>
      <c r="M30" s="8" t="n">
        <v>0.110557409191022</v>
      </c>
      <c r="N30" s="8" t="n">
        <v>551.670899813174</v>
      </c>
      <c r="O30" s="8" t="n">
        <v>50.7283586035101</v>
      </c>
      <c r="P30" s="8" t="n">
        <v>31.7052241271938</v>
      </c>
      <c r="Q30" s="8" t="n">
        <v>890.905440014799</v>
      </c>
      <c r="R30" s="8" t="n">
        <v>355.637607716206</v>
      </c>
      <c r="S30" s="8" t="n">
        <v>117.707732962539</v>
      </c>
      <c r="T30" s="8" t="n">
        <v>0.0191722018018632</v>
      </c>
      <c r="U30" s="8" t="n">
        <v>0.00667954145185903</v>
      </c>
      <c r="V30" s="8" t="n">
        <v>1494.38540001469</v>
      </c>
      <c r="W30" s="8" t="n">
        <v>596.538784922476</v>
      </c>
      <c r="X30" s="8" t="n">
        <v>197.440390088005</v>
      </c>
      <c r="Y30" s="8" t="n">
        <v>197.440390088005</v>
      </c>
      <c r="Z30" s="8" t="n">
        <v>137.575358687897</v>
      </c>
      <c r="AA30" s="8" t="n">
        <v>137.575358687897</v>
      </c>
      <c r="AB30" s="8" t="n">
        <v>137.575358687897</v>
      </c>
      <c r="AC30" s="8" t="n">
        <v>137.575358687897</v>
      </c>
      <c r="AD30" s="8" t="n">
        <v>137.575358687897</v>
      </c>
      <c r="AE30" s="8" t="n">
        <v>5.72260279004933</v>
      </c>
      <c r="AF30" s="8" t="n">
        <v>2.28438695595957</v>
      </c>
      <c r="AG30" s="8" t="n">
        <v>0.756078670987372</v>
      </c>
      <c r="AH30" s="8" t="n">
        <v>0.756078670987372</v>
      </c>
      <c r="AI30" s="8" t="n">
        <v>0.526831385974232</v>
      </c>
      <c r="AJ30" s="8" t="n">
        <v>0.526831385974232</v>
      </c>
      <c r="AK30" s="8" t="n">
        <v>0.526831385974232</v>
      </c>
      <c r="AL30" s="8" t="n">
        <v>0.526831385974232</v>
      </c>
      <c r="AM30" s="8" t="n">
        <v>0.526831385974232</v>
      </c>
      <c r="AN30" s="8" t="n">
        <v>0.960838714422262</v>
      </c>
      <c r="AO30" s="8" t="n">
        <v>15.6415604673392</v>
      </c>
      <c r="AP30" s="8" t="n">
        <v>17.2950968596007</v>
      </c>
      <c r="AQ30" s="8" t="n">
        <v>63.1316860678578</v>
      </c>
      <c r="AR30" s="8" t="n">
        <v>63.1316860678578</v>
      </c>
      <c r="AS30" s="8" t="n">
        <v>63.1316860678578</v>
      </c>
      <c r="AT30" s="8" t="n">
        <v>0.000188657234836791</v>
      </c>
      <c r="AU30" s="8" t="n">
        <v>105.292979285276</v>
      </c>
      <c r="AV30" s="8" t="n">
        <v>116.133794903998</v>
      </c>
      <c r="AW30" s="8" t="n">
        <v>7.72563871678954</v>
      </c>
      <c r="AX30" s="8" t="n">
        <v>0.365600622518321</v>
      </c>
      <c r="AY30" s="8" t="n">
        <v>0.403242343416658</v>
      </c>
      <c r="AZ30" s="8" t="n">
        <v>0.026825134433297</v>
      </c>
      <c r="BA30" s="8" t="n">
        <v>52.0026864162393</v>
      </c>
      <c r="BB30" s="8" t="n">
        <v>134.201820935199</v>
      </c>
      <c r="BC30" s="8" t="n">
        <v>0.18056488338972</v>
      </c>
      <c r="BD30" s="8" t="n">
        <v>0.465978544913886</v>
      </c>
      <c r="BE30" s="8" t="n">
        <v>0.365600622518321</v>
      </c>
      <c r="BF30" s="8" t="n">
        <v>0</v>
      </c>
      <c r="BG30" s="8" t="n">
        <v>12.8496623080612</v>
      </c>
      <c r="BH30" s="8" t="n">
        <v>2171.70313299808</v>
      </c>
      <c r="BI30" s="8" t="n">
        <v>18.6022555540371</v>
      </c>
      <c r="BJ30" s="8" t="n">
        <v>0.242446458642664</v>
      </c>
      <c r="BK30" s="8" t="n">
        <v>0</v>
      </c>
      <c r="BL30" s="4" t="s">
        <v>234</v>
      </c>
    </row>
    <row r="31" customFormat="false" ht="12.75" hidden="false" customHeight="false" outlineLevel="0" collapsed="false">
      <c r="A31" s="1" t="n">
        <v>1997</v>
      </c>
      <c r="B31" s="12" t="n">
        <v>273.01093772734</v>
      </c>
      <c r="C31" s="12" t="n">
        <v>8599.84453841122</v>
      </c>
      <c r="D31" s="8" t="n">
        <v>4777.69141022845</v>
      </c>
      <c r="E31" s="8" t="n">
        <v>6057.34640811653</v>
      </c>
      <c r="F31" s="8" t="n">
        <v>1.93077299390434</v>
      </c>
      <c r="G31" s="8" t="n">
        <v>60.8193493079867</v>
      </c>
      <c r="H31" s="8" t="n">
        <v>33.7885273933259</v>
      </c>
      <c r="I31" s="8" t="n">
        <v>42.8384333494915</v>
      </c>
      <c r="J31" s="8" t="n">
        <v>8.96827693185566</v>
      </c>
      <c r="K31" s="8" t="n">
        <v>149.242207435606</v>
      </c>
      <c r="L31" s="8" t="n">
        <v>437.895809725661</v>
      </c>
      <c r="M31" s="8" t="n">
        <v>0.105029538731471</v>
      </c>
      <c r="N31" s="8" t="n">
        <v>524.087354822515</v>
      </c>
      <c r="O31" s="8" t="n">
        <v>48.1919406733346</v>
      </c>
      <c r="P31" s="8" t="n">
        <v>30.1199629208341</v>
      </c>
      <c r="Q31" s="8" t="n">
        <v>846.360168014058</v>
      </c>
      <c r="R31" s="8" t="n">
        <v>337.855727330396</v>
      </c>
      <c r="S31" s="8" t="n">
        <v>111.822346314412</v>
      </c>
      <c r="T31" s="8" t="n">
        <v>0.0182135917117701</v>
      </c>
      <c r="U31" s="8" t="n">
        <v>0.00634556437926608</v>
      </c>
      <c r="V31" s="8" t="n">
        <v>1419.66613001396</v>
      </c>
      <c r="W31" s="8" t="n">
        <v>566.711845676352</v>
      </c>
      <c r="X31" s="8" t="n">
        <v>187.568370583604</v>
      </c>
      <c r="Y31" s="8" t="n">
        <v>187.568370583604</v>
      </c>
      <c r="Z31" s="8" t="n">
        <v>130.696590753502</v>
      </c>
      <c r="AA31" s="8" t="n">
        <v>130.696590753502</v>
      </c>
      <c r="AB31" s="8" t="n">
        <v>130.696590753502</v>
      </c>
      <c r="AC31" s="8" t="n">
        <v>130.696590753502</v>
      </c>
      <c r="AD31" s="8" t="n">
        <v>130.696590753502</v>
      </c>
      <c r="AE31" s="8" t="n">
        <v>5.43647265054686</v>
      </c>
      <c r="AF31" s="8" t="n">
        <v>2.17016760816159</v>
      </c>
      <c r="AG31" s="8" t="n">
        <v>0.718274737438004</v>
      </c>
      <c r="AH31" s="8" t="n">
        <v>0.718274737438004</v>
      </c>
      <c r="AI31" s="8" t="n">
        <v>0.50048981667552</v>
      </c>
      <c r="AJ31" s="8" t="n">
        <v>0.50048981667552</v>
      </c>
      <c r="AK31" s="8" t="n">
        <v>0.50048981667552</v>
      </c>
      <c r="AL31" s="8" t="n">
        <v>0.50048981667552</v>
      </c>
      <c r="AM31" s="8" t="n">
        <v>0.50048981667552</v>
      </c>
      <c r="AN31" s="8" t="n">
        <v>0.91279677870115</v>
      </c>
      <c r="AO31" s="8" t="n">
        <v>14.8594824439722</v>
      </c>
      <c r="AP31" s="8" t="n">
        <v>16.4303420166207</v>
      </c>
      <c r="AQ31" s="8" t="n">
        <v>59.975101764465</v>
      </c>
      <c r="AR31" s="8" t="n">
        <v>59.975101764465</v>
      </c>
      <c r="AS31" s="8" t="n">
        <v>59.975101764465</v>
      </c>
      <c r="AT31" s="8" t="n">
        <v>0.000179224373094951</v>
      </c>
      <c r="AU31" s="8" t="n">
        <v>100.028330321013</v>
      </c>
      <c r="AV31" s="8" t="n">
        <v>110.327105158797</v>
      </c>
      <c r="AW31" s="8" t="n">
        <v>7.33935678095007</v>
      </c>
      <c r="AX31" s="8" t="n">
        <v>0.347320591392407</v>
      </c>
      <c r="AY31" s="8" t="n">
        <v>0.383080226245825</v>
      </c>
      <c r="AZ31" s="8" t="n">
        <v>0.0254838777116322</v>
      </c>
      <c r="BA31" s="8" t="n">
        <v>49.4025520954273</v>
      </c>
      <c r="BB31" s="8" t="n">
        <v>127.491729888439</v>
      </c>
      <c r="BC31" s="8" t="n">
        <v>0.171536639220234</v>
      </c>
      <c r="BD31" s="8" t="n">
        <v>0.442679617668192</v>
      </c>
      <c r="BE31" s="8" t="n">
        <v>0.347320591392407</v>
      </c>
      <c r="BF31" s="8" t="n">
        <v>0</v>
      </c>
      <c r="BG31" s="8" t="n">
        <v>12.2071791926581</v>
      </c>
      <c r="BH31" s="8" t="n">
        <v>2063.11797634818</v>
      </c>
      <c r="BI31" s="8" t="n">
        <v>17.6721427763353</v>
      </c>
      <c r="BJ31" s="8" t="n">
        <v>0.230324135710531</v>
      </c>
      <c r="BK31" s="8" t="n">
        <v>0</v>
      </c>
      <c r="BL31" s="4" t="s">
        <v>234</v>
      </c>
    </row>
    <row r="32" customFormat="false" ht="12.75" hidden="false" customHeight="false" outlineLevel="0" collapsed="false">
      <c r="A32" s="1" t="n">
        <v>1996</v>
      </c>
      <c r="B32" s="12" t="n">
        <v>259.360390840973</v>
      </c>
      <c r="C32" s="12" t="n">
        <v>8169.85231149066</v>
      </c>
      <c r="D32" s="8" t="n">
        <v>4538.80683971703</v>
      </c>
      <c r="E32" s="8" t="n">
        <v>5754.4790877107</v>
      </c>
      <c r="F32" s="8" t="n">
        <v>1.83423434420912</v>
      </c>
      <c r="G32" s="8" t="n">
        <v>57.7783818425874</v>
      </c>
      <c r="H32" s="8" t="n">
        <v>32.0991010236596</v>
      </c>
      <c r="I32" s="8" t="n">
        <v>40.6965116820169</v>
      </c>
      <c r="J32" s="8" t="n">
        <v>8.51986308526288</v>
      </c>
      <c r="K32" s="8" t="n">
        <v>141.780097063825</v>
      </c>
      <c r="L32" s="8" t="n">
        <v>416.001019239378</v>
      </c>
      <c r="M32" s="8" t="n">
        <v>0.0997780617948969</v>
      </c>
      <c r="N32" s="8" t="n">
        <v>497.882987081387</v>
      </c>
      <c r="O32" s="8" t="n">
        <v>45.782343639668</v>
      </c>
      <c r="P32" s="8" t="n">
        <v>28.6139647747924</v>
      </c>
      <c r="Q32" s="8" t="n">
        <v>804.042159613355</v>
      </c>
      <c r="R32" s="8" t="n">
        <v>320.962940963876</v>
      </c>
      <c r="S32" s="8" t="n">
        <v>106.231228998692</v>
      </c>
      <c r="T32" s="8" t="n">
        <v>0.0173029121261815</v>
      </c>
      <c r="U32" s="8" t="n">
        <v>0.00602828616030279</v>
      </c>
      <c r="V32" s="8" t="n">
        <v>1348.68282351326</v>
      </c>
      <c r="W32" s="8" t="n">
        <v>538.376253392534</v>
      </c>
      <c r="X32" s="8" t="n">
        <v>178.189952054424</v>
      </c>
      <c r="Y32" s="8" t="n">
        <v>178.189952054424</v>
      </c>
      <c r="Z32" s="8" t="n">
        <v>124.161761215828</v>
      </c>
      <c r="AA32" s="8" t="n">
        <v>124.161761215828</v>
      </c>
      <c r="AB32" s="8" t="n">
        <v>124.161761215828</v>
      </c>
      <c r="AC32" s="8" t="n">
        <v>124.161761215828</v>
      </c>
      <c r="AD32" s="8" t="n">
        <v>124.161761215828</v>
      </c>
      <c r="AE32" s="8" t="n">
        <v>5.16464901801951</v>
      </c>
      <c r="AF32" s="8" t="n">
        <v>2.06165922775351</v>
      </c>
      <c r="AG32" s="8" t="n">
        <v>0.682361000566102</v>
      </c>
      <c r="AH32" s="8" t="n">
        <v>0.682361000566102</v>
      </c>
      <c r="AI32" s="8" t="n">
        <v>0.475465325841745</v>
      </c>
      <c r="AJ32" s="8" t="n">
        <v>0.475465325841745</v>
      </c>
      <c r="AK32" s="8" t="n">
        <v>0.475465325841745</v>
      </c>
      <c r="AL32" s="8" t="n">
        <v>0.475465325841745</v>
      </c>
      <c r="AM32" s="8" t="n">
        <v>0.475465325841745</v>
      </c>
      <c r="AN32" s="8" t="n">
        <v>0.867156939766092</v>
      </c>
      <c r="AO32" s="8" t="n">
        <v>14.1165083217736</v>
      </c>
      <c r="AP32" s="8" t="n">
        <v>15.6088249157897</v>
      </c>
      <c r="AQ32" s="8" t="n">
        <v>56.9763466762417</v>
      </c>
      <c r="AR32" s="8" t="n">
        <v>56.9763466762417</v>
      </c>
      <c r="AS32" s="8" t="n">
        <v>56.9763466762417</v>
      </c>
      <c r="AT32" s="8" t="n">
        <v>0.000170263154440204</v>
      </c>
      <c r="AU32" s="8" t="n">
        <v>95.0269138049623</v>
      </c>
      <c r="AV32" s="8" t="n">
        <v>104.810749900858</v>
      </c>
      <c r="AW32" s="8" t="n">
        <v>6.97238894190256</v>
      </c>
      <c r="AX32" s="8" t="n">
        <v>0.329954561822786</v>
      </c>
      <c r="AY32" s="8" t="n">
        <v>0.363926214933534</v>
      </c>
      <c r="AZ32" s="8" t="n">
        <v>0.0242096838260506</v>
      </c>
      <c r="BA32" s="8" t="n">
        <v>46.9324244906559</v>
      </c>
      <c r="BB32" s="8" t="n">
        <v>121.117143394017</v>
      </c>
      <c r="BC32" s="8" t="n">
        <v>0.162959807259222</v>
      </c>
      <c r="BD32" s="8" t="n">
        <v>0.420545636784781</v>
      </c>
      <c r="BE32" s="8" t="n">
        <v>0.329954561822786</v>
      </c>
      <c r="BF32" s="8" t="n">
        <v>0</v>
      </c>
      <c r="BG32" s="8" t="n">
        <v>11.5968202330252</v>
      </c>
      <c r="BH32" s="8" t="n">
        <v>1959.96207753077</v>
      </c>
      <c r="BI32" s="8" t="n">
        <v>16.7885356375184</v>
      </c>
      <c r="BJ32" s="8" t="n">
        <v>0.218807928925003</v>
      </c>
      <c r="BK32" s="8" t="n">
        <v>0</v>
      </c>
      <c r="BL32" s="4" t="s">
        <v>234</v>
      </c>
    </row>
    <row r="33" customFormat="false" ht="12.75" hidden="false" customHeight="false" outlineLevel="0" collapsed="false">
      <c r="A33" s="1" t="n">
        <v>1995</v>
      </c>
      <c r="B33" s="12" t="n">
        <v>246.392371298924</v>
      </c>
      <c r="C33" s="12" t="n">
        <v>7761.35969591612</v>
      </c>
      <c r="D33" s="8" t="n">
        <v>4311.86649773118</v>
      </c>
      <c r="E33" s="8" t="n">
        <v>5466.75513332517</v>
      </c>
      <c r="F33" s="8" t="n">
        <v>1.74252262699866</v>
      </c>
      <c r="G33" s="8" t="n">
        <v>54.889462750458</v>
      </c>
      <c r="H33" s="8" t="n">
        <v>30.4941459724766</v>
      </c>
      <c r="I33" s="8" t="n">
        <v>38.6616860979161</v>
      </c>
      <c r="J33" s="8" t="n">
        <v>8.09386993099974</v>
      </c>
      <c r="K33" s="8" t="n">
        <v>134.691092210634</v>
      </c>
      <c r="L33" s="8" t="n">
        <v>395.200968277409</v>
      </c>
      <c r="M33" s="8" t="n">
        <v>0.0947891587051522</v>
      </c>
      <c r="N33" s="8" t="n">
        <v>472.988837727318</v>
      </c>
      <c r="O33" s="8" t="n">
        <v>43.4932264576845</v>
      </c>
      <c r="P33" s="8" t="n">
        <v>27.1832665360528</v>
      </c>
      <c r="Q33" s="8" t="n">
        <v>763.840051632691</v>
      </c>
      <c r="R33" s="8" t="n">
        <v>304.914793915682</v>
      </c>
      <c r="S33" s="8" t="n">
        <v>100.919667548757</v>
      </c>
      <c r="T33" s="8" t="n">
        <v>0.0164377665198725</v>
      </c>
      <c r="U33" s="8" t="n">
        <v>0.00572687185228765</v>
      </c>
      <c r="V33" s="8" t="n">
        <v>1281.2486823376</v>
      </c>
      <c r="W33" s="8" t="n">
        <v>511.457440722907</v>
      </c>
      <c r="X33" s="8" t="n">
        <v>169.280454451703</v>
      </c>
      <c r="Y33" s="8" t="n">
        <v>169.280454451703</v>
      </c>
      <c r="Z33" s="8" t="n">
        <v>117.953673155036</v>
      </c>
      <c r="AA33" s="8" t="n">
        <v>117.953673155036</v>
      </c>
      <c r="AB33" s="8" t="n">
        <v>117.953673155036</v>
      </c>
      <c r="AC33" s="8" t="n">
        <v>117.953673155036</v>
      </c>
      <c r="AD33" s="8" t="n">
        <v>117.953673155036</v>
      </c>
      <c r="AE33" s="8" t="n">
        <v>4.90641656711856</v>
      </c>
      <c r="AF33" s="8" t="n">
        <v>1.95857626636584</v>
      </c>
      <c r="AG33" s="8" t="n">
        <v>0.648242950537799</v>
      </c>
      <c r="AH33" s="8" t="n">
        <v>0.648242950537799</v>
      </c>
      <c r="AI33" s="8" t="n">
        <v>0.451692059549658</v>
      </c>
      <c r="AJ33" s="8" t="n">
        <v>0.451692059549658</v>
      </c>
      <c r="AK33" s="8" t="n">
        <v>0.451692059549658</v>
      </c>
      <c r="AL33" s="8" t="n">
        <v>0.451692059549658</v>
      </c>
      <c r="AM33" s="8" t="n">
        <v>0.451692059549658</v>
      </c>
      <c r="AN33" s="8" t="n">
        <v>0.823799092777788</v>
      </c>
      <c r="AO33" s="8" t="n">
        <v>13.4106829056849</v>
      </c>
      <c r="AP33" s="8" t="n">
        <v>14.8283836700002</v>
      </c>
      <c r="AQ33" s="8" t="n">
        <v>54.1275293424296</v>
      </c>
      <c r="AR33" s="8" t="n">
        <v>54.1275293424296</v>
      </c>
      <c r="AS33" s="8" t="n">
        <v>54.1275293424296</v>
      </c>
      <c r="AT33" s="8" t="n">
        <v>0.000161749996718194</v>
      </c>
      <c r="AU33" s="8" t="n">
        <v>90.2755681147142</v>
      </c>
      <c r="AV33" s="8" t="n">
        <v>99.5702124058152</v>
      </c>
      <c r="AW33" s="8" t="n">
        <v>6.62376949480744</v>
      </c>
      <c r="AX33" s="8" t="n">
        <v>0.313456833731646</v>
      </c>
      <c r="AY33" s="8" t="n">
        <v>0.345729904186858</v>
      </c>
      <c r="AZ33" s="8" t="n">
        <v>0.022999199634748</v>
      </c>
      <c r="BA33" s="8" t="n">
        <v>44.5858032661232</v>
      </c>
      <c r="BB33" s="8" t="n">
        <v>115.061286224316</v>
      </c>
      <c r="BC33" s="8" t="n">
        <v>0.154811816896261</v>
      </c>
      <c r="BD33" s="8" t="n">
        <v>0.399518354945541</v>
      </c>
      <c r="BE33" s="8" t="n">
        <v>0.313456833731646</v>
      </c>
      <c r="BF33" s="8" t="n">
        <v>0</v>
      </c>
      <c r="BG33" s="8" t="n">
        <v>11.016979221374</v>
      </c>
      <c r="BH33" s="8" t="n">
        <v>1861.96397365423</v>
      </c>
      <c r="BI33" s="8" t="n">
        <v>15.9491088556426</v>
      </c>
      <c r="BJ33" s="8" t="n">
        <v>0.207867532478754</v>
      </c>
      <c r="BK33" s="8" t="n">
        <v>0</v>
      </c>
      <c r="BL33" s="4" t="s">
        <v>234</v>
      </c>
    </row>
    <row r="34" customFormat="false" ht="12.75" hidden="false" customHeight="false" outlineLevel="0" collapsed="false">
      <c r="A34" s="1" t="n">
        <v>1994</v>
      </c>
      <c r="B34" s="12" t="n">
        <v>234.072752733979</v>
      </c>
      <c r="C34" s="12" t="n">
        <v>7373.29171112031</v>
      </c>
      <c r="D34" s="8" t="n">
        <v>4096.27317284462</v>
      </c>
      <c r="E34" s="8" t="n">
        <v>5193.41737665891</v>
      </c>
      <c r="F34" s="8" t="n">
        <v>1.65539649564873</v>
      </c>
      <c r="G34" s="8" t="n">
        <v>52.144989612935</v>
      </c>
      <c r="H34" s="8" t="n">
        <v>28.9694386738528</v>
      </c>
      <c r="I34" s="8" t="n">
        <v>36.7286017930203</v>
      </c>
      <c r="J34" s="8" t="n">
        <v>7.68917643444974</v>
      </c>
      <c r="K34" s="8" t="n">
        <v>127.956537600102</v>
      </c>
      <c r="L34" s="8" t="n">
        <v>375.440919863539</v>
      </c>
      <c r="M34" s="8" t="n">
        <v>0.0900497007698948</v>
      </c>
      <c r="N34" s="8" t="n">
        <v>449.339395840953</v>
      </c>
      <c r="O34" s="8" t="n">
        <v>41.3185651348</v>
      </c>
      <c r="P34" s="8" t="n">
        <v>25.8241032092501</v>
      </c>
      <c r="Q34" s="8" t="n">
        <v>725.648049051052</v>
      </c>
      <c r="R34" s="8" t="n">
        <v>289.669054219898</v>
      </c>
      <c r="S34" s="8" t="n">
        <v>95.8736841713195</v>
      </c>
      <c r="T34" s="8" t="n">
        <v>0.0156158781938789</v>
      </c>
      <c r="U34" s="8" t="n">
        <v>0.00544052825967323</v>
      </c>
      <c r="V34" s="8" t="n">
        <v>1217.18624822072</v>
      </c>
      <c r="W34" s="8" t="n">
        <v>485.884568686763</v>
      </c>
      <c r="X34" s="8" t="n">
        <v>160.816431729118</v>
      </c>
      <c r="Y34" s="8" t="n">
        <v>160.816431729118</v>
      </c>
      <c r="Z34" s="8" t="n">
        <v>112.055989497284</v>
      </c>
      <c r="AA34" s="8" t="n">
        <v>112.055989497284</v>
      </c>
      <c r="AB34" s="8" t="n">
        <v>112.055989497284</v>
      </c>
      <c r="AC34" s="8" t="n">
        <v>112.055989497284</v>
      </c>
      <c r="AD34" s="8" t="n">
        <v>112.055989497284</v>
      </c>
      <c r="AE34" s="8" t="n">
        <v>4.6610957387626</v>
      </c>
      <c r="AF34" s="8" t="n">
        <v>1.86064745304755</v>
      </c>
      <c r="AG34" s="8" t="n">
        <v>0.615830803010909</v>
      </c>
      <c r="AH34" s="8" t="n">
        <v>0.615830803010909</v>
      </c>
      <c r="AI34" s="8" t="n">
        <v>0.429107456572172</v>
      </c>
      <c r="AJ34" s="8" t="n">
        <v>0.429107456572172</v>
      </c>
      <c r="AK34" s="8" t="n">
        <v>0.429107456572172</v>
      </c>
      <c r="AL34" s="8" t="n">
        <v>0.429107456572172</v>
      </c>
      <c r="AM34" s="8" t="n">
        <v>0.429107456572172</v>
      </c>
      <c r="AN34" s="8" t="n">
        <v>0.782609138138897</v>
      </c>
      <c r="AO34" s="8" t="n">
        <v>12.7401487604007</v>
      </c>
      <c r="AP34" s="8" t="n">
        <v>14.0869644865002</v>
      </c>
      <c r="AQ34" s="8" t="n">
        <v>51.4211528753082</v>
      </c>
      <c r="AR34" s="8" t="n">
        <v>51.4211528753082</v>
      </c>
      <c r="AS34" s="8" t="n">
        <v>51.4211528753082</v>
      </c>
      <c r="AT34" s="8" t="n">
        <v>0.000153662496882284</v>
      </c>
      <c r="AU34" s="8" t="n">
        <v>85.7617897089785</v>
      </c>
      <c r="AV34" s="8" t="n">
        <v>94.5917017855243</v>
      </c>
      <c r="AW34" s="8" t="n">
        <v>6.29258102006706</v>
      </c>
      <c r="AX34" s="8" t="n">
        <v>0.297783992045064</v>
      </c>
      <c r="AY34" s="8" t="n">
        <v>0.328443408977515</v>
      </c>
      <c r="AZ34" s="8" t="n">
        <v>0.0218492396530106</v>
      </c>
      <c r="BA34" s="8" t="n">
        <v>42.356513102817</v>
      </c>
      <c r="BB34" s="8" t="n">
        <v>109.3082219131</v>
      </c>
      <c r="BC34" s="8" t="n">
        <v>0.147071226051448</v>
      </c>
      <c r="BD34" s="8" t="n">
        <v>0.379542437198264</v>
      </c>
      <c r="BE34" s="8" t="n">
        <v>0.297783992045064</v>
      </c>
      <c r="BF34" s="8" t="n">
        <v>0</v>
      </c>
      <c r="BG34" s="8" t="n">
        <v>10.4661302603052</v>
      </c>
      <c r="BH34" s="8" t="n">
        <v>1768.86577497152</v>
      </c>
      <c r="BI34" s="8" t="n">
        <v>15.1516534128604</v>
      </c>
      <c r="BJ34" s="8" t="n">
        <v>0.197474155854816</v>
      </c>
      <c r="BK34" s="8" t="n">
        <v>0</v>
      </c>
      <c r="BL34" s="4" t="s">
        <v>234</v>
      </c>
    </row>
    <row r="35" customFormat="false" ht="12.75" hidden="false" customHeight="false" outlineLevel="0" collapsed="false">
      <c r="A35" s="1" t="n">
        <v>1993</v>
      </c>
      <c r="B35" s="12" t="n">
        <v>222.369115097279</v>
      </c>
      <c r="C35" s="12" t="n">
        <v>7004.6271255643</v>
      </c>
      <c r="D35" s="8" t="n">
        <v>3891.45951420239</v>
      </c>
      <c r="E35" s="8" t="n">
        <v>4933.74650782597</v>
      </c>
      <c r="F35" s="8" t="n">
        <v>1.57262667086629</v>
      </c>
      <c r="G35" s="8" t="n">
        <v>49.5377401322883</v>
      </c>
      <c r="H35" s="8" t="n">
        <v>27.5209667401602</v>
      </c>
      <c r="I35" s="8" t="n">
        <v>34.8921717033693</v>
      </c>
      <c r="J35" s="8" t="n">
        <v>7.30471761272726</v>
      </c>
      <c r="K35" s="8" t="n">
        <v>121.558710720097</v>
      </c>
      <c r="L35" s="8" t="n">
        <v>356.668873870362</v>
      </c>
      <c r="M35" s="8" t="n">
        <v>0.0855472157313999</v>
      </c>
      <c r="N35" s="8" t="n">
        <v>426.872426048905</v>
      </c>
      <c r="O35" s="8" t="n">
        <v>39.2526368780602</v>
      </c>
      <c r="P35" s="8" t="n">
        <v>24.5328980487876</v>
      </c>
      <c r="Q35" s="8" t="n">
        <v>689.365646598504</v>
      </c>
      <c r="R35" s="8" t="n">
        <v>275.185601508903</v>
      </c>
      <c r="S35" s="8" t="n">
        <v>91.0799999627534</v>
      </c>
      <c r="T35" s="8" t="n">
        <v>0.0148350842841849</v>
      </c>
      <c r="U35" s="8" t="n">
        <v>0.00516850184668957</v>
      </c>
      <c r="V35" s="8" t="n">
        <v>1156.32693580969</v>
      </c>
      <c r="W35" s="8" t="n">
        <v>461.590340252424</v>
      </c>
      <c r="X35" s="8" t="n">
        <v>152.775610142662</v>
      </c>
      <c r="Y35" s="8" t="n">
        <v>152.775610142662</v>
      </c>
      <c r="Z35" s="8" t="n">
        <v>106.45319002242</v>
      </c>
      <c r="AA35" s="8" t="n">
        <v>106.45319002242</v>
      </c>
      <c r="AB35" s="8" t="n">
        <v>106.45319002242</v>
      </c>
      <c r="AC35" s="8" t="n">
        <v>106.45319002242</v>
      </c>
      <c r="AD35" s="8" t="n">
        <v>106.45319002242</v>
      </c>
      <c r="AE35" s="8" t="n">
        <v>4.4280409518245</v>
      </c>
      <c r="AF35" s="8" t="n">
        <v>1.76761508039517</v>
      </c>
      <c r="AG35" s="8" t="n">
        <v>0.585039262860363</v>
      </c>
      <c r="AH35" s="8" t="n">
        <v>0.585039262860363</v>
      </c>
      <c r="AI35" s="8" t="n">
        <v>0.407652083743564</v>
      </c>
      <c r="AJ35" s="8" t="n">
        <v>0.407652083743564</v>
      </c>
      <c r="AK35" s="8" t="n">
        <v>0.407652083743564</v>
      </c>
      <c r="AL35" s="8" t="n">
        <v>0.407652083743564</v>
      </c>
      <c r="AM35" s="8" t="n">
        <v>0.407652083743564</v>
      </c>
      <c r="AN35" s="8" t="n">
        <v>0.743478681231953</v>
      </c>
      <c r="AO35" s="8" t="n">
        <v>12.1031413223806</v>
      </c>
      <c r="AP35" s="8" t="n">
        <v>13.3826162621751</v>
      </c>
      <c r="AQ35" s="8" t="n">
        <v>48.8500952315427</v>
      </c>
      <c r="AR35" s="8" t="n">
        <v>48.8500952315427</v>
      </c>
      <c r="AS35" s="8" t="n">
        <v>48.8500952315427</v>
      </c>
      <c r="AT35" s="8" t="n">
        <v>0.00014597937203817</v>
      </c>
      <c r="AU35" s="8" t="n">
        <v>81.4737002235296</v>
      </c>
      <c r="AV35" s="8" t="n">
        <v>89.8621166962481</v>
      </c>
      <c r="AW35" s="8" t="n">
        <v>5.97795196906371</v>
      </c>
      <c r="AX35" s="8" t="n">
        <v>0.282894792442811</v>
      </c>
      <c r="AY35" s="8" t="n">
        <v>0.312021238528639</v>
      </c>
      <c r="AZ35" s="8" t="n">
        <v>0.0207567776703601</v>
      </c>
      <c r="BA35" s="8" t="n">
        <v>40.2386874476762</v>
      </c>
      <c r="BB35" s="8" t="n">
        <v>103.842810817445</v>
      </c>
      <c r="BC35" s="8" t="n">
        <v>0.139717664748876</v>
      </c>
      <c r="BD35" s="8" t="n">
        <v>0.360565315338352</v>
      </c>
      <c r="BE35" s="8" t="n">
        <v>0.282894792442811</v>
      </c>
      <c r="BF35" s="8" t="n">
        <v>0</v>
      </c>
      <c r="BG35" s="8" t="n">
        <v>9.94282374729001</v>
      </c>
      <c r="BH35" s="8" t="n">
        <v>1680.42248622295</v>
      </c>
      <c r="BI35" s="8" t="n">
        <v>14.3940707422174</v>
      </c>
      <c r="BJ35" s="8" t="n">
        <v>0.187600448062076</v>
      </c>
      <c r="BK35" s="8" t="n">
        <v>0</v>
      </c>
      <c r="BL35" s="4" t="s">
        <v>234</v>
      </c>
    </row>
    <row r="36" customFormat="false" ht="12.75" hidden="false" customHeight="false" outlineLevel="0" collapsed="false">
      <c r="A36" s="1" t="n">
        <v>1992</v>
      </c>
      <c r="B36" s="12" t="n">
        <v>211.250659342416</v>
      </c>
      <c r="C36" s="12" t="n">
        <v>6654.39576928609</v>
      </c>
      <c r="D36" s="8" t="n">
        <v>3696.88653849227</v>
      </c>
      <c r="E36" s="8" t="n">
        <v>4687.05918243467</v>
      </c>
      <c r="F36" s="8" t="n">
        <v>1.49399533732298</v>
      </c>
      <c r="G36" s="8" t="n">
        <v>47.0608531256739</v>
      </c>
      <c r="H36" s="8" t="n">
        <v>26.1449184031521</v>
      </c>
      <c r="I36" s="8" t="n">
        <v>33.1475631182008</v>
      </c>
      <c r="J36" s="8" t="n">
        <v>6.9394817320909</v>
      </c>
      <c r="K36" s="8" t="n">
        <v>115.480775184092</v>
      </c>
      <c r="L36" s="8" t="n">
        <v>338.835430176844</v>
      </c>
      <c r="M36" s="8" t="n">
        <v>0.0812698549448298</v>
      </c>
      <c r="N36" s="8" t="n">
        <v>405.528804746459</v>
      </c>
      <c r="O36" s="8" t="n">
        <v>37.2900050341572</v>
      </c>
      <c r="P36" s="8" t="n">
        <v>23.3062531463482</v>
      </c>
      <c r="Q36" s="8" t="n">
        <v>654.897364268577</v>
      </c>
      <c r="R36" s="8" t="n">
        <v>261.426321433458</v>
      </c>
      <c r="S36" s="8" t="n">
        <v>86.5259999646154</v>
      </c>
      <c r="T36" s="8" t="n">
        <v>0.0140933300699756</v>
      </c>
      <c r="U36" s="8" t="n">
        <v>0.00491007675435511</v>
      </c>
      <c r="V36" s="8" t="n">
        <v>1098.5105890192</v>
      </c>
      <c r="W36" s="8" t="n">
        <v>438.510823239804</v>
      </c>
      <c r="X36" s="8" t="n">
        <v>145.136829635528</v>
      </c>
      <c r="Y36" s="8" t="n">
        <v>145.136829635528</v>
      </c>
      <c r="Z36" s="8" t="n">
        <v>101.130530521299</v>
      </c>
      <c r="AA36" s="8" t="n">
        <v>101.130530521299</v>
      </c>
      <c r="AB36" s="8" t="n">
        <v>101.130530521299</v>
      </c>
      <c r="AC36" s="8" t="n">
        <v>101.130530521299</v>
      </c>
      <c r="AD36" s="8" t="n">
        <v>101.130530521299</v>
      </c>
      <c r="AE36" s="8" t="n">
        <v>4.20663890423327</v>
      </c>
      <c r="AF36" s="8" t="n">
        <v>1.67923432637541</v>
      </c>
      <c r="AG36" s="8" t="n">
        <v>0.555787299717343</v>
      </c>
      <c r="AH36" s="8" t="n">
        <v>0.555787299717343</v>
      </c>
      <c r="AI36" s="8" t="n">
        <v>0.387269479556387</v>
      </c>
      <c r="AJ36" s="8" t="n">
        <v>0.387269479556387</v>
      </c>
      <c r="AK36" s="8" t="n">
        <v>0.387269479556387</v>
      </c>
      <c r="AL36" s="8" t="n">
        <v>0.387269479556387</v>
      </c>
      <c r="AM36" s="8" t="n">
        <v>0.387269479556387</v>
      </c>
      <c r="AN36" s="8" t="n">
        <v>0.706304747170356</v>
      </c>
      <c r="AO36" s="8" t="n">
        <v>11.4979842562616</v>
      </c>
      <c r="AP36" s="8" t="n">
        <v>12.7134854490664</v>
      </c>
      <c r="AQ36" s="8" t="n">
        <v>46.4075904699656</v>
      </c>
      <c r="AR36" s="8" t="n">
        <v>46.4075904699656</v>
      </c>
      <c r="AS36" s="8" t="n">
        <v>46.4075904699656</v>
      </c>
      <c r="AT36" s="8" t="n">
        <v>0.000138680403436262</v>
      </c>
      <c r="AU36" s="8" t="n">
        <v>77.4000152123531</v>
      </c>
      <c r="AV36" s="8" t="n">
        <v>85.3690108614356</v>
      </c>
      <c r="AW36" s="8" t="n">
        <v>5.67905437061053</v>
      </c>
      <c r="AX36" s="8" t="n">
        <v>0.268750052820671</v>
      </c>
      <c r="AY36" s="8" t="n">
        <v>0.296420176602207</v>
      </c>
      <c r="AZ36" s="8" t="n">
        <v>0.0197189387868421</v>
      </c>
      <c r="BA36" s="8" t="n">
        <v>38.2267530752923</v>
      </c>
      <c r="BB36" s="8" t="n">
        <v>98.6506702765727</v>
      </c>
      <c r="BC36" s="8" t="n">
        <v>0.132731781511432</v>
      </c>
      <c r="BD36" s="8" t="n">
        <v>0.342537049571433</v>
      </c>
      <c r="BE36" s="8" t="n">
        <v>0.268750052820671</v>
      </c>
      <c r="BF36" s="8" t="n">
        <v>0</v>
      </c>
      <c r="BG36" s="8" t="n">
        <v>9.44568255992551</v>
      </c>
      <c r="BH36" s="8" t="n">
        <v>1596.4013619118</v>
      </c>
      <c r="BI36" s="8" t="n">
        <v>13.6743672051066</v>
      </c>
      <c r="BJ36" s="8" t="n">
        <v>0.178220425658972</v>
      </c>
      <c r="BK36" s="8" t="n">
        <v>0</v>
      </c>
      <c r="BL36" s="4" t="s">
        <v>234</v>
      </c>
    </row>
    <row r="37" customFormat="false" ht="12.75" hidden="false" customHeight="false" outlineLevel="0" collapsed="false">
      <c r="A37" s="1" t="n">
        <v>1991</v>
      </c>
      <c r="B37" s="12" t="n">
        <v>200.688126375295</v>
      </c>
      <c r="C37" s="12" t="n">
        <v>6321.67598082178</v>
      </c>
      <c r="D37" s="8" t="n">
        <v>3512.04221156766</v>
      </c>
      <c r="E37" s="8" t="n">
        <v>4452.70622331294</v>
      </c>
      <c r="F37" s="8" t="n">
        <v>1.41929557045683</v>
      </c>
      <c r="G37" s="8" t="n">
        <v>44.7078104693902</v>
      </c>
      <c r="H37" s="8" t="n">
        <v>24.8376724829946</v>
      </c>
      <c r="I37" s="8" t="n">
        <v>31.4901849622908</v>
      </c>
      <c r="J37" s="8" t="n">
        <v>6.59250764548635</v>
      </c>
      <c r="K37" s="8" t="n">
        <v>109.706736424888</v>
      </c>
      <c r="L37" s="8" t="n">
        <v>321.893658668002</v>
      </c>
      <c r="M37" s="8" t="n">
        <v>0.0772063621975884</v>
      </c>
      <c r="N37" s="8" t="n">
        <v>385.252364509136</v>
      </c>
      <c r="O37" s="8" t="n">
        <v>35.4255047824493</v>
      </c>
      <c r="P37" s="8" t="n">
        <v>22.1409404890308</v>
      </c>
      <c r="Q37" s="8" t="n">
        <v>622.152496055144</v>
      </c>
      <c r="R37" s="8" t="n">
        <v>248.355005361785</v>
      </c>
      <c r="S37" s="8" t="n">
        <v>82.1996999663851</v>
      </c>
      <c r="T37" s="8" t="n">
        <v>0.0133886635664769</v>
      </c>
      <c r="U37" s="8" t="n">
        <v>0.00466457291663735</v>
      </c>
      <c r="V37" s="8" t="n">
        <v>1043.58505956823</v>
      </c>
      <c r="W37" s="8" t="n">
        <v>416.585282077813</v>
      </c>
      <c r="X37" s="8" t="n">
        <v>137.879988153753</v>
      </c>
      <c r="Y37" s="8" t="n">
        <v>137.879988153753</v>
      </c>
      <c r="Z37" s="8" t="n">
        <v>96.0740039952339</v>
      </c>
      <c r="AA37" s="8" t="n">
        <v>96.0740039952339</v>
      </c>
      <c r="AB37" s="8" t="n">
        <v>96.0740039952339</v>
      </c>
      <c r="AC37" s="8" t="n">
        <v>96.0740039952339</v>
      </c>
      <c r="AD37" s="8" t="n">
        <v>96.0740039952339</v>
      </c>
      <c r="AE37" s="8" t="n">
        <v>3.99630695902158</v>
      </c>
      <c r="AF37" s="8" t="n">
        <v>1.59527261005664</v>
      </c>
      <c r="AG37" s="8" t="n">
        <v>0.527997934731479</v>
      </c>
      <c r="AH37" s="8" t="n">
        <v>0.527997934731479</v>
      </c>
      <c r="AI37" s="8" t="n">
        <v>0.367906005578567</v>
      </c>
      <c r="AJ37" s="8" t="n">
        <v>0.367906005578567</v>
      </c>
      <c r="AK37" s="8" t="n">
        <v>0.367906005578567</v>
      </c>
      <c r="AL37" s="8" t="n">
        <v>0.367906005578567</v>
      </c>
      <c r="AM37" s="8" t="n">
        <v>0.367906005578567</v>
      </c>
      <c r="AN37" s="8" t="n">
        <v>0.670989509811837</v>
      </c>
      <c r="AO37" s="8" t="n">
        <v>10.9230850434485</v>
      </c>
      <c r="AP37" s="8" t="n">
        <v>12.0778111766131</v>
      </c>
      <c r="AQ37" s="8" t="n">
        <v>44.0872109464673</v>
      </c>
      <c r="AR37" s="8" t="n">
        <v>44.0872109464673</v>
      </c>
      <c r="AS37" s="8" t="n">
        <v>44.0872109464673</v>
      </c>
      <c r="AT37" s="8" t="n">
        <v>0.000131746383264448</v>
      </c>
      <c r="AU37" s="8" t="n">
        <v>73.5300144517355</v>
      </c>
      <c r="AV37" s="8" t="n">
        <v>81.1005603183639</v>
      </c>
      <c r="AW37" s="8" t="n">
        <v>5.39510165208</v>
      </c>
      <c r="AX37" s="8" t="n">
        <v>0.255312550179637</v>
      </c>
      <c r="AY37" s="8" t="n">
        <v>0.281599167772097</v>
      </c>
      <c r="AZ37" s="8" t="n">
        <v>0.0187329918475</v>
      </c>
      <c r="BA37" s="8" t="n">
        <v>36.3154154215277</v>
      </c>
      <c r="BB37" s="8" t="n">
        <v>93.7181367627444</v>
      </c>
      <c r="BC37" s="8" t="n">
        <v>0.12609519243586</v>
      </c>
      <c r="BD37" s="8" t="n">
        <v>0.325410197092863</v>
      </c>
      <c r="BE37" s="8" t="n">
        <v>0.255312550179637</v>
      </c>
      <c r="BF37" s="8" t="n">
        <v>0</v>
      </c>
      <c r="BG37" s="8" t="n">
        <v>8.97339843192919</v>
      </c>
      <c r="BH37" s="8" t="n">
        <v>1516.5812938162</v>
      </c>
      <c r="BI37" s="8" t="n">
        <v>12.9906488448512</v>
      </c>
      <c r="BJ37" s="8" t="n">
        <v>0.169309404376022</v>
      </c>
      <c r="BK37" s="8" t="n">
        <v>0</v>
      </c>
      <c r="BL37" s="4" t="s">
        <v>234</v>
      </c>
    </row>
    <row r="38" customFormat="false" ht="12.75" hidden="false" customHeight="false" outlineLevel="0" collapsed="false">
      <c r="A38" s="1" t="n">
        <v>1990</v>
      </c>
      <c r="B38" s="12" t="n">
        <v>190.65372005653</v>
      </c>
      <c r="C38" s="12" t="n">
        <v>6005.59218178069</v>
      </c>
      <c r="D38" s="8" t="n">
        <v>3336.44010098928</v>
      </c>
      <c r="E38" s="8" t="n">
        <v>4230.07091214728</v>
      </c>
      <c r="F38" s="8" t="n">
        <v>1.34833079193399</v>
      </c>
      <c r="G38" s="8" t="n">
        <v>42.4724199459207</v>
      </c>
      <c r="H38" s="8" t="n">
        <v>23.5957888588448</v>
      </c>
      <c r="I38" s="8" t="n">
        <v>29.9156757141762</v>
      </c>
      <c r="J38" s="8" t="n">
        <v>6.26288226321203</v>
      </c>
      <c r="K38" s="8" t="n">
        <v>104.221399603643</v>
      </c>
      <c r="L38" s="8" t="n">
        <v>305.798975734601</v>
      </c>
      <c r="M38" s="8" t="n">
        <v>0.073346044087709</v>
      </c>
      <c r="N38" s="8" t="n">
        <v>365.98974628368</v>
      </c>
      <c r="O38" s="8" t="n">
        <v>33.6542295433269</v>
      </c>
      <c r="P38" s="8" t="n">
        <v>21.0338934645793</v>
      </c>
      <c r="Q38" s="8" t="n">
        <v>591.04487125239</v>
      </c>
      <c r="R38" s="8" t="n">
        <v>235.937255093696</v>
      </c>
      <c r="S38" s="8" t="n">
        <v>78.0897149680654</v>
      </c>
      <c r="T38" s="8" t="n">
        <v>0.012719230388153</v>
      </c>
      <c r="U38" s="8" t="n">
        <v>0.00443134427080548</v>
      </c>
      <c r="V38" s="8" t="n">
        <v>991.405806589827</v>
      </c>
      <c r="W38" s="8" t="n">
        <v>395.756017973922</v>
      </c>
      <c r="X38" s="8" t="n">
        <v>130.985988746064</v>
      </c>
      <c r="Y38" s="8" t="n">
        <v>130.985988746064</v>
      </c>
      <c r="Z38" s="8" t="n">
        <v>91.2703037954722</v>
      </c>
      <c r="AA38" s="8" t="n">
        <v>91.2703037954722</v>
      </c>
      <c r="AB38" s="8" t="n">
        <v>91.2703037954722</v>
      </c>
      <c r="AC38" s="8" t="n">
        <v>91.2703037954722</v>
      </c>
      <c r="AD38" s="8" t="n">
        <v>91.2703037954722</v>
      </c>
      <c r="AE38" s="8" t="n">
        <v>3.79649161107052</v>
      </c>
      <c r="AF38" s="8" t="n">
        <v>1.51550897955381</v>
      </c>
      <c r="AG38" s="8" t="n">
        <v>0.501598037994902</v>
      </c>
      <c r="AH38" s="8" t="n">
        <v>0.501598037994902</v>
      </c>
      <c r="AI38" s="8" t="n">
        <v>0.349510705299639</v>
      </c>
      <c r="AJ38" s="8" t="n">
        <v>0.349510705299639</v>
      </c>
      <c r="AK38" s="8" t="n">
        <v>0.349510705299639</v>
      </c>
      <c r="AL38" s="8" t="n">
        <v>0.349510705299639</v>
      </c>
      <c r="AM38" s="8" t="n">
        <v>0.349510705299639</v>
      </c>
      <c r="AN38" s="8" t="n">
        <v>0.637440034321245</v>
      </c>
      <c r="AO38" s="8" t="n">
        <v>10.3769307912761</v>
      </c>
      <c r="AP38" s="8" t="n">
        <v>11.4739206177824</v>
      </c>
      <c r="AQ38" s="8" t="n">
        <v>41.882850399144</v>
      </c>
      <c r="AR38" s="8" t="n">
        <v>41.882850399144</v>
      </c>
      <c r="AS38" s="8" t="n">
        <v>41.882850399144</v>
      </c>
      <c r="AT38" s="8" t="n">
        <v>0.000125159064101226</v>
      </c>
      <c r="AU38" s="8" t="n">
        <v>69.8535137291487</v>
      </c>
      <c r="AV38" s="8" t="n">
        <v>77.0455323024456</v>
      </c>
      <c r="AW38" s="8" t="n">
        <v>5.125346569476</v>
      </c>
      <c r="AX38" s="8" t="n">
        <v>0.242546922670655</v>
      </c>
      <c r="AY38" s="8" t="n">
        <v>0.267519209383492</v>
      </c>
      <c r="AZ38" s="8" t="n">
        <v>0.017796342255125</v>
      </c>
      <c r="BA38" s="8" t="n">
        <v>34.4996446504514</v>
      </c>
      <c r="BB38" s="8" t="n">
        <v>89.0322299246073</v>
      </c>
      <c r="BC38" s="8" t="n">
        <v>0.119790432814067</v>
      </c>
      <c r="BD38" s="8" t="n">
        <v>0.30913968723822</v>
      </c>
      <c r="BE38" s="8" t="n">
        <v>0.242546922670655</v>
      </c>
      <c r="BF38" s="8" t="n">
        <v>0</v>
      </c>
      <c r="BG38" s="8" t="n">
        <v>8.52472851033276</v>
      </c>
      <c r="BH38" s="8" t="n">
        <v>1440.7522291254</v>
      </c>
      <c r="BI38" s="8" t="n">
        <v>12.3411164026087</v>
      </c>
      <c r="BJ38" s="8" t="n">
        <v>0.160843934157222</v>
      </c>
      <c r="BK38" s="8" t="n">
        <v>0</v>
      </c>
      <c r="BL38" s="4" t="s">
        <v>234</v>
      </c>
    </row>
    <row r="39" customFormat="false" ht="12.75" hidden="false" customHeight="false" outlineLevel="0" collapsed="false">
      <c r="A39" s="1" t="n">
        <v>1989</v>
      </c>
      <c r="B39" s="12" t="n">
        <v>171.588348050877</v>
      </c>
      <c r="C39" s="12" t="n">
        <v>5405.03296360262</v>
      </c>
      <c r="D39" s="8" t="n">
        <v>3002.79609089034</v>
      </c>
      <c r="E39" s="8" t="n">
        <v>3807.06382093256</v>
      </c>
      <c r="F39" s="8" t="n">
        <v>1.21349771274059</v>
      </c>
      <c r="G39" s="8" t="n">
        <v>38.2251779513286</v>
      </c>
      <c r="H39" s="8" t="n">
        <v>21.2362099729603</v>
      </c>
      <c r="I39" s="8" t="n">
        <v>26.9241081427586</v>
      </c>
      <c r="J39" s="8" t="n">
        <v>5.63659403689083</v>
      </c>
      <c r="K39" s="8" t="n">
        <v>93.7992596432791</v>
      </c>
      <c r="L39" s="8" t="n">
        <v>275.219078161141</v>
      </c>
      <c r="M39" s="8" t="n">
        <v>0.0660114396789381</v>
      </c>
      <c r="N39" s="8" t="n">
        <v>329.390771655312</v>
      </c>
      <c r="O39" s="8" t="n">
        <v>30.2888065889942</v>
      </c>
      <c r="P39" s="8" t="n">
        <v>18.9305041181214</v>
      </c>
      <c r="Q39" s="8" t="n">
        <v>531.940384127151</v>
      </c>
      <c r="R39" s="8" t="n">
        <v>212.343529584326</v>
      </c>
      <c r="S39" s="8" t="n">
        <v>70.2807434712591</v>
      </c>
      <c r="T39" s="8" t="n">
        <v>0.0114473073493378</v>
      </c>
      <c r="U39" s="8" t="n">
        <v>0.00398820984372494</v>
      </c>
      <c r="V39" s="8" t="n">
        <v>892.265225930844</v>
      </c>
      <c r="W39" s="8" t="n">
        <v>356.18041617653</v>
      </c>
      <c r="X39" s="8" t="n">
        <v>117.887389871458</v>
      </c>
      <c r="Y39" s="8" t="n">
        <v>117.887389871458</v>
      </c>
      <c r="Z39" s="8" t="n">
        <v>82.143273415925</v>
      </c>
      <c r="AA39" s="8" t="n">
        <v>82.143273415925</v>
      </c>
      <c r="AB39" s="8" t="n">
        <v>82.143273415925</v>
      </c>
      <c r="AC39" s="8" t="n">
        <v>82.143273415925</v>
      </c>
      <c r="AD39" s="8" t="n">
        <v>82.143273415925</v>
      </c>
      <c r="AE39" s="8" t="n">
        <v>3.41684244996347</v>
      </c>
      <c r="AF39" s="8" t="n">
        <v>1.36395808159843</v>
      </c>
      <c r="AG39" s="8" t="n">
        <v>0.451438234195413</v>
      </c>
      <c r="AH39" s="8" t="n">
        <v>0.451438234195413</v>
      </c>
      <c r="AI39" s="8" t="n">
        <v>0.314559634769675</v>
      </c>
      <c r="AJ39" s="8" t="n">
        <v>0.314559634769675</v>
      </c>
      <c r="AK39" s="8" t="n">
        <v>0.314559634769675</v>
      </c>
      <c r="AL39" s="8" t="n">
        <v>0.314559634769675</v>
      </c>
      <c r="AM39" s="8" t="n">
        <v>0.314559634769675</v>
      </c>
      <c r="AN39" s="8" t="n">
        <v>0.573696030889121</v>
      </c>
      <c r="AO39" s="8" t="n">
        <v>9.33923771214848</v>
      </c>
      <c r="AP39" s="8" t="n">
        <v>10.3265285560042</v>
      </c>
      <c r="AQ39" s="8" t="n">
        <v>37.6945653592295</v>
      </c>
      <c r="AR39" s="8" t="n">
        <v>37.6945653592295</v>
      </c>
      <c r="AS39" s="8" t="n">
        <v>37.6945653592295</v>
      </c>
      <c r="AT39" s="8" t="n">
        <v>0.000112643157691103</v>
      </c>
      <c r="AU39" s="8" t="n">
        <v>62.8681623562338</v>
      </c>
      <c r="AV39" s="8" t="n">
        <v>69.3409790722011</v>
      </c>
      <c r="AW39" s="8" t="n">
        <v>4.6128119125284</v>
      </c>
      <c r="AX39" s="8" t="n">
        <v>0.21829223040359</v>
      </c>
      <c r="AY39" s="8" t="n">
        <v>0.240767288445143</v>
      </c>
      <c r="AZ39" s="8" t="n">
        <v>0.0160167080296125</v>
      </c>
      <c r="BA39" s="8" t="n">
        <v>31.0496801854062</v>
      </c>
      <c r="BB39" s="8" t="n">
        <v>80.1290069321465</v>
      </c>
      <c r="BC39" s="8" t="n">
        <v>0.10781138953266</v>
      </c>
      <c r="BD39" s="8" t="n">
        <v>0.278225718514398</v>
      </c>
      <c r="BE39" s="8" t="n">
        <v>0.21829223040359</v>
      </c>
      <c r="BF39" s="8" t="n">
        <v>0</v>
      </c>
      <c r="BG39" s="8" t="n">
        <v>7.67225565929947</v>
      </c>
      <c r="BH39" s="8" t="n">
        <v>1296.67700621286</v>
      </c>
      <c r="BI39" s="8" t="n">
        <v>11.1070047623478</v>
      </c>
      <c r="BJ39" s="8" t="n">
        <v>0.144759540741499</v>
      </c>
      <c r="BK39" s="8" t="n">
        <v>0</v>
      </c>
      <c r="BL39" s="4" t="s">
        <v>234</v>
      </c>
    </row>
    <row r="40" customFormat="false" ht="12.75" hidden="false" customHeight="false" outlineLevel="0" collapsed="false">
      <c r="A40" s="1" t="n">
        <v>1988</v>
      </c>
      <c r="B40" s="12" t="n">
        <v>154.429513245789</v>
      </c>
      <c r="C40" s="12" t="n">
        <v>4864.52966724236</v>
      </c>
      <c r="D40" s="8" t="n">
        <v>2702.51648180131</v>
      </c>
      <c r="E40" s="8" t="n">
        <v>3426.3574388393</v>
      </c>
      <c r="F40" s="8" t="n">
        <v>1.09214794146653</v>
      </c>
      <c r="G40" s="8" t="n">
        <v>34.4026601561957</v>
      </c>
      <c r="H40" s="8" t="n">
        <v>19.1125889756643</v>
      </c>
      <c r="I40" s="8" t="n">
        <v>24.2316973284828</v>
      </c>
      <c r="J40" s="8" t="n">
        <v>5.07293463320174</v>
      </c>
      <c r="K40" s="8" t="n">
        <v>84.4193336789511</v>
      </c>
      <c r="L40" s="8" t="n">
        <v>247.697170345027</v>
      </c>
      <c r="M40" s="8" t="n">
        <v>0.0594102957110442</v>
      </c>
      <c r="N40" s="8" t="n">
        <v>296.45169448978</v>
      </c>
      <c r="O40" s="8" t="n">
        <v>27.2599259300948</v>
      </c>
      <c r="P40" s="8" t="n">
        <v>17.0374537063092</v>
      </c>
      <c r="Q40" s="8" t="n">
        <v>478.746345714436</v>
      </c>
      <c r="R40" s="8" t="n">
        <v>191.109176625894</v>
      </c>
      <c r="S40" s="8" t="n">
        <v>63.2526691241334</v>
      </c>
      <c r="T40" s="8" t="n">
        <v>0.010302576614404</v>
      </c>
      <c r="U40" s="8" t="n">
        <v>0.00358938885935244</v>
      </c>
      <c r="V40" s="8" t="n">
        <v>803.03870333776</v>
      </c>
      <c r="W40" s="8" t="n">
        <v>320.562374558877</v>
      </c>
      <c r="X40" s="8" t="n">
        <v>106.098650884313</v>
      </c>
      <c r="Y40" s="8" t="n">
        <v>106.098650884313</v>
      </c>
      <c r="Z40" s="8" t="n">
        <v>73.9289460743325</v>
      </c>
      <c r="AA40" s="8" t="n">
        <v>73.9289460743325</v>
      </c>
      <c r="AB40" s="8" t="n">
        <v>73.9289460743325</v>
      </c>
      <c r="AC40" s="8" t="n">
        <v>73.9289460743325</v>
      </c>
      <c r="AD40" s="8" t="n">
        <v>73.9289460743325</v>
      </c>
      <c r="AE40" s="8" t="n">
        <v>3.07515820496712</v>
      </c>
      <c r="AF40" s="8" t="n">
        <v>1.22756227343858</v>
      </c>
      <c r="AG40" s="8" t="n">
        <v>0.406294410775873</v>
      </c>
      <c r="AH40" s="8" t="n">
        <v>0.406294410775873</v>
      </c>
      <c r="AI40" s="8" t="n">
        <v>0.283103671292708</v>
      </c>
      <c r="AJ40" s="8" t="n">
        <v>0.283103671292708</v>
      </c>
      <c r="AK40" s="8" t="n">
        <v>0.283103671292708</v>
      </c>
      <c r="AL40" s="8" t="n">
        <v>0.283103671292708</v>
      </c>
      <c r="AM40" s="8" t="n">
        <v>0.283103671292708</v>
      </c>
      <c r="AN40" s="8" t="n">
        <v>0.516326427800209</v>
      </c>
      <c r="AO40" s="8" t="n">
        <v>8.40531394093364</v>
      </c>
      <c r="AP40" s="8" t="n">
        <v>9.29387570040376</v>
      </c>
      <c r="AQ40" s="8" t="n">
        <v>33.9251088233066</v>
      </c>
      <c r="AR40" s="8" t="n">
        <v>33.9251088233066</v>
      </c>
      <c r="AS40" s="8" t="n">
        <v>33.9251088233066</v>
      </c>
      <c r="AT40" s="8" t="n">
        <v>0.000101378841921993</v>
      </c>
      <c r="AU40" s="8" t="n">
        <v>56.5813461206105</v>
      </c>
      <c r="AV40" s="8" t="n">
        <v>62.4068811649809</v>
      </c>
      <c r="AW40" s="8" t="n">
        <v>4.15153072127556</v>
      </c>
      <c r="AX40" s="8" t="n">
        <v>0.196463007363231</v>
      </c>
      <c r="AY40" s="8" t="n">
        <v>0.216690559600628</v>
      </c>
      <c r="AZ40" s="8" t="n">
        <v>0.0144150372266513</v>
      </c>
      <c r="BA40" s="8" t="n">
        <v>27.9447121668656</v>
      </c>
      <c r="BB40" s="8" t="n">
        <v>72.1161062389319</v>
      </c>
      <c r="BC40" s="8" t="n">
        <v>0.0970302505793945</v>
      </c>
      <c r="BD40" s="8" t="n">
        <v>0.250403146662958</v>
      </c>
      <c r="BE40" s="8" t="n">
        <v>0.196463007363231</v>
      </c>
      <c r="BF40" s="8" t="n">
        <v>0</v>
      </c>
      <c r="BG40" s="8" t="n">
        <v>6.90503009336955</v>
      </c>
      <c r="BH40" s="8" t="n">
        <v>1167.00930559158</v>
      </c>
      <c r="BI40" s="8" t="n">
        <v>9.99630428611304</v>
      </c>
      <c r="BJ40" s="8" t="n">
        <v>0.13028358666735</v>
      </c>
      <c r="BK40" s="8" t="n">
        <v>0</v>
      </c>
      <c r="BL40" s="4" t="s">
        <v>234</v>
      </c>
    </row>
    <row r="41" customFormat="false" ht="12.75" hidden="false" customHeight="false" outlineLevel="0" collapsed="false">
      <c r="A41" s="1" t="n">
        <v>1987</v>
      </c>
      <c r="B41" s="12" t="n">
        <v>138.986561921211</v>
      </c>
      <c r="C41" s="12" t="n">
        <v>4378.07670051812</v>
      </c>
      <c r="D41" s="8" t="n">
        <v>2432.26483362118</v>
      </c>
      <c r="E41" s="8" t="n">
        <v>3083.72169495538</v>
      </c>
      <c r="F41" s="8" t="n">
        <v>0.982933147319882</v>
      </c>
      <c r="G41" s="8" t="n">
        <v>30.9623941405762</v>
      </c>
      <c r="H41" s="8" t="n">
        <v>17.2013300780979</v>
      </c>
      <c r="I41" s="8" t="n">
        <v>21.8085275956345</v>
      </c>
      <c r="J41" s="8" t="n">
        <v>4.56564116988157</v>
      </c>
      <c r="K41" s="8" t="n">
        <v>75.977400311056</v>
      </c>
      <c r="L41" s="8" t="n">
        <v>222.927453310525</v>
      </c>
      <c r="M41" s="8" t="n">
        <v>0.0534692661399398</v>
      </c>
      <c r="N41" s="8" t="n">
        <v>266.806525040803</v>
      </c>
      <c r="O41" s="8" t="n">
        <v>24.5339333370853</v>
      </c>
      <c r="P41" s="8" t="n">
        <v>15.3337083356783</v>
      </c>
      <c r="Q41" s="8" t="n">
        <v>430.871711142992</v>
      </c>
      <c r="R41" s="8" t="n">
        <v>171.998258963304</v>
      </c>
      <c r="S41" s="8" t="n">
        <v>56.9274022117198</v>
      </c>
      <c r="T41" s="8" t="n">
        <v>0.00927231895296357</v>
      </c>
      <c r="U41" s="8" t="n">
        <v>0.0032304499734172</v>
      </c>
      <c r="V41" s="8" t="n">
        <v>722.734833003984</v>
      </c>
      <c r="W41" s="8" t="n">
        <v>288.506137102989</v>
      </c>
      <c r="X41" s="8" t="n">
        <v>95.4887857958811</v>
      </c>
      <c r="Y41" s="8" t="n">
        <v>95.4887857958811</v>
      </c>
      <c r="Z41" s="8" t="n">
        <v>66.5360514668992</v>
      </c>
      <c r="AA41" s="8" t="n">
        <v>66.5360514668992</v>
      </c>
      <c r="AB41" s="8" t="n">
        <v>66.5360514668992</v>
      </c>
      <c r="AC41" s="8" t="n">
        <v>66.5360514668992</v>
      </c>
      <c r="AD41" s="8" t="n">
        <v>66.5360514668992</v>
      </c>
      <c r="AE41" s="8" t="n">
        <v>2.76764238447041</v>
      </c>
      <c r="AF41" s="8" t="n">
        <v>1.10480604609473</v>
      </c>
      <c r="AG41" s="8" t="n">
        <v>0.365664969698284</v>
      </c>
      <c r="AH41" s="8" t="n">
        <v>0.365664969698284</v>
      </c>
      <c r="AI41" s="8" t="n">
        <v>0.254793304163437</v>
      </c>
      <c r="AJ41" s="8" t="n">
        <v>0.254793304163437</v>
      </c>
      <c r="AK41" s="8" t="n">
        <v>0.254793304163437</v>
      </c>
      <c r="AL41" s="8" t="n">
        <v>0.254793304163437</v>
      </c>
      <c r="AM41" s="8" t="n">
        <v>0.254793304163437</v>
      </c>
      <c r="AN41" s="8" t="n">
        <v>0.464693785020188</v>
      </c>
      <c r="AO41" s="8" t="n">
        <v>7.56478254684027</v>
      </c>
      <c r="AP41" s="8" t="n">
        <v>8.36448813036338</v>
      </c>
      <c r="AQ41" s="8" t="n">
        <v>30.532597940976</v>
      </c>
      <c r="AR41" s="8" t="n">
        <v>30.532597940976</v>
      </c>
      <c r="AS41" s="8" t="n">
        <v>30.532597940976</v>
      </c>
      <c r="AT41" s="8" t="n">
        <v>9.12409577297936E-005</v>
      </c>
      <c r="AU41" s="8" t="n">
        <v>50.9232115085493</v>
      </c>
      <c r="AV41" s="8" t="n">
        <v>56.1661930484829</v>
      </c>
      <c r="AW41" s="8" t="n">
        <v>3.736377649148</v>
      </c>
      <c r="AX41" s="8" t="n">
        <v>0.176816706626907</v>
      </c>
      <c r="AY41" s="8" t="n">
        <v>0.195021503640565</v>
      </c>
      <c r="AZ41" s="8" t="n">
        <v>0.0129735335039861</v>
      </c>
      <c r="BA41" s="8" t="n">
        <v>25.150240950179</v>
      </c>
      <c r="BB41" s="8" t="n">
        <v>64.9044956150387</v>
      </c>
      <c r="BC41" s="8" t="n">
        <v>0.0873272255214549</v>
      </c>
      <c r="BD41" s="8" t="n">
        <v>0.225362831996662</v>
      </c>
      <c r="BE41" s="8" t="n">
        <v>0.176816706626907</v>
      </c>
      <c r="BF41" s="8" t="n">
        <v>0</v>
      </c>
      <c r="BG41" s="8" t="n">
        <v>6.21452708403255</v>
      </c>
      <c r="BH41" s="8" t="n">
        <v>1050.30837503241</v>
      </c>
      <c r="BI41" s="8" t="n">
        <v>8.99667385750167</v>
      </c>
      <c r="BJ41" s="8" t="n">
        <v>0.117255228000614</v>
      </c>
      <c r="BK41" s="8" t="n">
        <v>0</v>
      </c>
      <c r="BL41" s="4" t="s">
        <v>234</v>
      </c>
    </row>
    <row r="42" customFormat="false" ht="12.75" hidden="false" customHeight="false" outlineLevel="0" collapsed="false">
      <c r="A42" s="1" t="n">
        <v>1986</v>
      </c>
      <c r="B42" s="12" t="n">
        <v>125.087905729089</v>
      </c>
      <c r="C42" s="12" t="n">
        <v>3940.26903046631</v>
      </c>
      <c r="D42" s="8" t="n">
        <v>2189.03835025907</v>
      </c>
      <c r="E42" s="8" t="n">
        <v>2775.34952545983</v>
      </c>
      <c r="F42" s="8" t="n">
        <v>0.88463983258789</v>
      </c>
      <c r="G42" s="8" t="n">
        <v>27.8661547265186</v>
      </c>
      <c r="H42" s="8" t="n">
        <v>15.4811970702881</v>
      </c>
      <c r="I42" s="8" t="n">
        <v>19.627674836071</v>
      </c>
      <c r="J42" s="8" t="n">
        <v>4.10907705289341</v>
      </c>
      <c r="K42" s="8" t="n">
        <v>68.3796602799504</v>
      </c>
      <c r="L42" s="8" t="n">
        <v>200.634707979472</v>
      </c>
      <c r="M42" s="8" t="n">
        <v>0.0481223395259458</v>
      </c>
      <c r="N42" s="8" t="n">
        <v>240.125872536722</v>
      </c>
      <c r="O42" s="8" t="n">
        <v>22.0805400033768</v>
      </c>
      <c r="P42" s="8" t="n">
        <v>13.8003375021105</v>
      </c>
      <c r="Q42" s="8" t="n">
        <v>387.784540028693</v>
      </c>
      <c r="R42" s="8" t="n">
        <v>154.798433066974</v>
      </c>
      <c r="S42" s="8" t="n">
        <v>51.2346619905479</v>
      </c>
      <c r="T42" s="8" t="n">
        <v>0.00834508705766721</v>
      </c>
      <c r="U42" s="8" t="n">
        <v>0.00290740497607548</v>
      </c>
      <c r="V42" s="8" t="n">
        <v>650.461349703586</v>
      </c>
      <c r="W42" s="8" t="n">
        <v>259.65552339269</v>
      </c>
      <c r="X42" s="8" t="n">
        <v>85.939907216293</v>
      </c>
      <c r="Y42" s="8" t="n">
        <v>85.939907216293</v>
      </c>
      <c r="Z42" s="8" t="n">
        <v>59.8824463202093</v>
      </c>
      <c r="AA42" s="8" t="n">
        <v>59.8824463202093</v>
      </c>
      <c r="AB42" s="8" t="n">
        <v>59.8824463202093</v>
      </c>
      <c r="AC42" s="8" t="n">
        <v>59.8824463202093</v>
      </c>
      <c r="AD42" s="8" t="n">
        <v>59.8824463202093</v>
      </c>
      <c r="AE42" s="8" t="n">
        <v>2.49087814602337</v>
      </c>
      <c r="AF42" s="8" t="n">
        <v>0.994325441485254</v>
      </c>
      <c r="AG42" s="8" t="n">
        <v>0.329098472728456</v>
      </c>
      <c r="AH42" s="8" t="n">
        <v>0.329098472728456</v>
      </c>
      <c r="AI42" s="8" t="n">
        <v>0.229313973747093</v>
      </c>
      <c r="AJ42" s="8" t="n">
        <v>0.229313973747093</v>
      </c>
      <c r="AK42" s="8" t="n">
        <v>0.229313973747093</v>
      </c>
      <c r="AL42" s="8" t="n">
        <v>0.229313973747093</v>
      </c>
      <c r="AM42" s="8" t="n">
        <v>0.229313973747093</v>
      </c>
      <c r="AN42" s="8" t="n">
        <v>0.418224406518169</v>
      </c>
      <c r="AO42" s="8" t="n">
        <v>6.80830429215624</v>
      </c>
      <c r="AP42" s="8" t="n">
        <v>7.52803931732705</v>
      </c>
      <c r="AQ42" s="8" t="n">
        <v>27.4793381468783</v>
      </c>
      <c r="AR42" s="8" t="n">
        <v>27.4793381468783</v>
      </c>
      <c r="AS42" s="8" t="n">
        <v>27.4793381468783</v>
      </c>
      <c r="AT42" s="8" t="n">
        <v>8.21168619568143E-005</v>
      </c>
      <c r="AU42" s="8" t="n">
        <v>45.8308903576944</v>
      </c>
      <c r="AV42" s="8" t="n">
        <v>50.5495737436346</v>
      </c>
      <c r="AW42" s="8" t="n">
        <v>3.36273988423321</v>
      </c>
      <c r="AX42" s="8" t="n">
        <v>0.159135035964217</v>
      </c>
      <c r="AY42" s="8" t="n">
        <v>0.175519353276509</v>
      </c>
      <c r="AZ42" s="8" t="n">
        <v>0.0116761801535875</v>
      </c>
      <c r="BA42" s="8" t="n">
        <v>22.6352168551611</v>
      </c>
      <c r="BB42" s="8" t="n">
        <v>58.4140460535348</v>
      </c>
      <c r="BC42" s="8" t="n">
        <v>0.0785945029693094</v>
      </c>
      <c r="BD42" s="8" t="n">
        <v>0.202826548796996</v>
      </c>
      <c r="BE42" s="8" t="n">
        <v>0.159135035964217</v>
      </c>
      <c r="BF42" s="8" t="n">
        <v>0</v>
      </c>
      <c r="BG42" s="8" t="n">
        <v>5.59307437562931</v>
      </c>
      <c r="BH42" s="8" t="n">
        <v>945.277537529173</v>
      </c>
      <c r="BI42" s="8" t="n">
        <v>8.09700647175153</v>
      </c>
      <c r="BJ42" s="8" t="n">
        <v>0.105529705200553</v>
      </c>
      <c r="BK42" s="8" t="n">
        <v>0</v>
      </c>
      <c r="BL42" s="4" t="s">
        <v>234</v>
      </c>
    </row>
    <row r="43" customFormat="false" ht="12.75" hidden="false" customHeight="false" outlineLevel="0" collapsed="false">
      <c r="A43" s="1" t="n">
        <v>1985</v>
      </c>
      <c r="B43" s="12" t="n">
        <v>112.57911515618</v>
      </c>
      <c r="C43" s="12" t="n">
        <v>3546.24212741968</v>
      </c>
      <c r="D43" s="8" t="n">
        <v>1970.13451523316</v>
      </c>
      <c r="E43" s="8" t="n">
        <v>2497.81457291385</v>
      </c>
      <c r="F43" s="8" t="n">
        <v>0.796175849329102</v>
      </c>
      <c r="G43" s="8" t="n">
        <v>25.0795392538667</v>
      </c>
      <c r="H43" s="8" t="n">
        <v>13.9330773632593</v>
      </c>
      <c r="I43" s="8" t="n">
        <v>17.6649073524639</v>
      </c>
      <c r="J43" s="8" t="n">
        <v>3.69816934760407</v>
      </c>
      <c r="K43" s="8" t="n">
        <v>61.5416942519554</v>
      </c>
      <c r="L43" s="8" t="n">
        <v>180.571237181525</v>
      </c>
      <c r="M43" s="8" t="n">
        <v>0.0433101055733512</v>
      </c>
      <c r="N43" s="8" t="n">
        <v>216.11328528305</v>
      </c>
      <c r="O43" s="8" t="n">
        <v>19.8724860030391</v>
      </c>
      <c r="P43" s="8" t="n">
        <v>12.4203037518994</v>
      </c>
      <c r="Q43" s="8" t="n">
        <v>349.006086025824</v>
      </c>
      <c r="R43" s="8" t="n">
        <v>139.318589760277</v>
      </c>
      <c r="S43" s="8" t="n">
        <v>46.1111957914931</v>
      </c>
      <c r="T43" s="8" t="n">
        <v>0.00751057835190049</v>
      </c>
      <c r="U43" s="8" t="n">
        <v>0.00261666447846793</v>
      </c>
      <c r="V43" s="8" t="n">
        <v>585.415214733227</v>
      </c>
      <c r="W43" s="8" t="n">
        <v>233.689971053422</v>
      </c>
      <c r="X43" s="8" t="n">
        <v>77.3459164946637</v>
      </c>
      <c r="Y43" s="8" t="n">
        <v>77.3459164946637</v>
      </c>
      <c r="Z43" s="8" t="n">
        <v>53.8942016881884</v>
      </c>
      <c r="AA43" s="8" t="n">
        <v>53.8942016881884</v>
      </c>
      <c r="AB43" s="8" t="n">
        <v>53.8942016881884</v>
      </c>
      <c r="AC43" s="8" t="n">
        <v>53.8942016881884</v>
      </c>
      <c r="AD43" s="8" t="n">
        <v>53.8942016881884</v>
      </c>
      <c r="AE43" s="8" t="n">
        <v>2.24179033142103</v>
      </c>
      <c r="AF43" s="8" t="n">
        <v>0.89489289733673</v>
      </c>
      <c r="AG43" s="8" t="n">
        <v>0.296188625455611</v>
      </c>
      <c r="AH43" s="8" t="n">
        <v>0.296188625455611</v>
      </c>
      <c r="AI43" s="8" t="n">
        <v>0.206382576372384</v>
      </c>
      <c r="AJ43" s="8" t="n">
        <v>0.206382576372384</v>
      </c>
      <c r="AK43" s="8" t="n">
        <v>0.206382576372384</v>
      </c>
      <c r="AL43" s="8" t="n">
        <v>0.206382576372384</v>
      </c>
      <c r="AM43" s="8" t="n">
        <v>0.206382576372384</v>
      </c>
      <c r="AN43" s="8" t="n">
        <v>0.376401965866352</v>
      </c>
      <c r="AO43" s="8" t="n">
        <v>6.12747386294062</v>
      </c>
      <c r="AP43" s="8" t="n">
        <v>6.77523538559434</v>
      </c>
      <c r="AQ43" s="8" t="n">
        <v>24.7314043321905</v>
      </c>
      <c r="AR43" s="8" t="n">
        <v>24.7314043321905</v>
      </c>
      <c r="AS43" s="8" t="n">
        <v>24.7314043321905</v>
      </c>
      <c r="AT43" s="8" t="n">
        <v>7.39051757611329E-005</v>
      </c>
      <c r="AU43" s="8" t="n">
        <v>41.247801321925</v>
      </c>
      <c r="AV43" s="8" t="n">
        <v>45.4946163692712</v>
      </c>
      <c r="AW43" s="8" t="n">
        <v>3.02646589580988</v>
      </c>
      <c r="AX43" s="8" t="n">
        <v>0.143221532367795</v>
      </c>
      <c r="AY43" s="8" t="n">
        <v>0.157967417948858</v>
      </c>
      <c r="AZ43" s="8" t="n">
        <v>0.0105085621382287</v>
      </c>
      <c r="BA43" s="8" t="n">
        <v>20.371695169645</v>
      </c>
      <c r="BB43" s="8" t="n">
        <v>52.5726414481813</v>
      </c>
      <c r="BC43" s="8" t="n">
        <v>0.0707350526723786</v>
      </c>
      <c r="BD43" s="8" t="n">
        <v>0.182543893917296</v>
      </c>
      <c r="BE43" s="8" t="n">
        <v>0.143221532367795</v>
      </c>
      <c r="BF43" s="8" t="n">
        <v>0</v>
      </c>
      <c r="BG43" s="8" t="n">
        <v>5.03376693806639</v>
      </c>
      <c r="BH43" s="8" t="n">
        <v>850.749783776256</v>
      </c>
      <c r="BI43" s="8" t="n">
        <v>7.28730582457638</v>
      </c>
      <c r="BJ43" s="8" t="n">
        <v>0.0949767346804979</v>
      </c>
      <c r="BK43" s="8" t="n">
        <v>0</v>
      </c>
      <c r="BL43" s="4" t="s">
        <v>234</v>
      </c>
    </row>
    <row r="44" customFormat="false" ht="12.75" hidden="false" customHeight="false" outlineLevel="0" collapsed="false">
      <c r="A44" s="1" t="n">
        <v>1984</v>
      </c>
      <c r="B44" s="12" t="n">
        <v>101.321203640562</v>
      </c>
      <c r="C44" s="12" t="n">
        <v>3191.61791467771</v>
      </c>
      <c r="D44" s="8" t="n">
        <v>1773.12106370984</v>
      </c>
      <c r="E44" s="8" t="n">
        <v>2248.03311562247</v>
      </c>
      <c r="F44" s="8" t="n">
        <v>0.716558264396188</v>
      </c>
      <c r="G44" s="8" t="n">
        <v>22.57158532848</v>
      </c>
      <c r="H44" s="8" t="n">
        <v>12.5397696269334</v>
      </c>
      <c r="I44" s="8" t="n">
        <v>15.8984166172175</v>
      </c>
      <c r="J44" s="8" t="n">
        <v>3.32835241284366</v>
      </c>
      <c r="K44" s="8" t="n">
        <v>55.3875248267598</v>
      </c>
      <c r="L44" s="8" t="n">
        <v>162.514113463373</v>
      </c>
      <c r="M44" s="8" t="n">
        <v>0.0389790950160161</v>
      </c>
      <c r="N44" s="8" t="n">
        <v>194.501956754745</v>
      </c>
      <c r="O44" s="8" t="n">
        <v>17.8852374027352</v>
      </c>
      <c r="P44" s="8" t="n">
        <v>11.1782733767095</v>
      </c>
      <c r="Q44" s="8" t="n">
        <v>314.105477423241</v>
      </c>
      <c r="R44" s="8" t="n">
        <v>125.386730784249</v>
      </c>
      <c r="S44" s="8" t="n">
        <v>41.5000762123438</v>
      </c>
      <c r="T44" s="8" t="n">
        <v>0.00675952051671045</v>
      </c>
      <c r="U44" s="8" t="n">
        <v>0.00235499803062114</v>
      </c>
      <c r="V44" s="8" t="n">
        <v>526.873693259904</v>
      </c>
      <c r="W44" s="8" t="n">
        <v>210.320973948079</v>
      </c>
      <c r="X44" s="8" t="n">
        <v>69.6113248451974</v>
      </c>
      <c r="Y44" s="8" t="n">
        <v>69.6113248451974</v>
      </c>
      <c r="Z44" s="8" t="n">
        <v>48.5047815193696</v>
      </c>
      <c r="AA44" s="8" t="n">
        <v>48.5047815193696</v>
      </c>
      <c r="AB44" s="8" t="n">
        <v>48.5047815193696</v>
      </c>
      <c r="AC44" s="8" t="n">
        <v>48.5047815193696</v>
      </c>
      <c r="AD44" s="8" t="n">
        <v>48.5047815193696</v>
      </c>
      <c r="AE44" s="8" t="n">
        <v>2.01761129827893</v>
      </c>
      <c r="AF44" s="8" t="n">
        <v>0.805403607603056</v>
      </c>
      <c r="AG44" s="8" t="n">
        <v>0.26656976291005</v>
      </c>
      <c r="AH44" s="8" t="n">
        <v>0.26656976291005</v>
      </c>
      <c r="AI44" s="8" t="n">
        <v>0.185744318735146</v>
      </c>
      <c r="AJ44" s="8" t="n">
        <v>0.185744318735146</v>
      </c>
      <c r="AK44" s="8" t="n">
        <v>0.185744318735146</v>
      </c>
      <c r="AL44" s="8" t="n">
        <v>0.185744318735146</v>
      </c>
      <c r="AM44" s="8" t="n">
        <v>0.185744318735146</v>
      </c>
      <c r="AN44" s="8" t="n">
        <v>0.338761769279717</v>
      </c>
      <c r="AO44" s="8" t="n">
        <v>5.51472647664656</v>
      </c>
      <c r="AP44" s="8" t="n">
        <v>6.0977118470349</v>
      </c>
      <c r="AQ44" s="8" t="n">
        <v>22.2582638989714</v>
      </c>
      <c r="AR44" s="8" t="n">
        <v>22.2582638989714</v>
      </c>
      <c r="AS44" s="8" t="n">
        <v>22.2582638989714</v>
      </c>
      <c r="AT44" s="8" t="n">
        <v>6.65146581850196E-005</v>
      </c>
      <c r="AU44" s="8" t="n">
        <v>37.1230211897325</v>
      </c>
      <c r="AV44" s="8" t="n">
        <v>40.9451547323441</v>
      </c>
      <c r="AW44" s="8" t="n">
        <v>2.72381930622889</v>
      </c>
      <c r="AX44" s="8" t="n">
        <v>0.128899379131016</v>
      </c>
      <c r="AY44" s="8" t="n">
        <v>0.142170676153972</v>
      </c>
      <c r="AZ44" s="8" t="n">
        <v>0.00945770592440587</v>
      </c>
      <c r="BA44" s="8" t="n">
        <v>18.3345256526806</v>
      </c>
      <c r="BB44" s="8" t="n">
        <v>47.3153773033632</v>
      </c>
      <c r="BC44" s="8" t="n">
        <v>0.0636615474051408</v>
      </c>
      <c r="BD44" s="8" t="n">
        <v>0.164289504525567</v>
      </c>
      <c r="BE44" s="8" t="n">
        <v>0.128899379131016</v>
      </c>
      <c r="BF44" s="8" t="n">
        <v>0</v>
      </c>
      <c r="BG44" s="8" t="n">
        <v>4.53039024425975</v>
      </c>
      <c r="BH44" s="8" t="n">
        <v>765.67480539863</v>
      </c>
      <c r="BI44" s="8" t="n">
        <v>6.55857524211874</v>
      </c>
      <c r="BJ44" s="8" t="n">
        <v>0.085479061212448</v>
      </c>
      <c r="BK44" s="8" t="n">
        <v>0</v>
      </c>
      <c r="BL44" s="4" t="s">
        <v>234</v>
      </c>
    </row>
    <row r="45" customFormat="false" ht="12.75" hidden="false" customHeight="false" outlineLevel="0" collapsed="false">
      <c r="A45" s="1" t="n">
        <v>1983</v>
      </c>
      <c r="B45" s="12" t="n">
        <v>91.189083276506</v>
      </c>
      <c r="C45" s="12" t="n">
        <v>2872.45612320994</v>
      </c>
      <c r="D45" s="8" t="n">
        <v>1595.80895733886</v>
      </c>
      <c r="E45" s="8" t="n">
        <v>2023.22980406022</v>
      </c>
      <c r="F45" s="8" t="n">
        <v>0.644902437956572</v>
      </c>
      <c r="G45" s="8" t="n">
        <v>20.314426795632</v>
      </c>
      <c r="H45" s="8" t="n">
        <v>11.28579266424</v>
      </c>
      <c r="I45" s="8" t="n">
        <v>14.3085749554958</v>
      </c>
      <c r="J45" s="8" t="n">
        <v>2.9955171715593</v>
      </c>
      <c r="K45" s="8" t="n">
        <v>49.8487723440838</v>
      </c>
      <c r="L45" s="8" t="n">
        <v>146.262702117035</v>
      </c>
      <c r="M45" s="8" t="n">
        <v>0.0350811855144145</v>
      </c>
      <c r="N45" s="8" t="n">
        <v>175.051761079271</v>
      </c>
      <c r="O45" s="8" t="n">
        <v>16.0967136624617</v>
      </c>
      <c r="P45" s="8" t="n">
        <v>10.0604460390386</v>
      </c>
      <c r="Q45" s="8" t="n">
        <v>282.694929680917</v>
      </c>
      <c r="R45" s="8" t="n">
        <v>112.848057705824</v>
      </c>
      <c r="S45" s="8" t="n">
        <v>37.3500685911094</v>
      </c>
      <c r="T45" s="8" t="n">
        <v>0.0060835684650394</v>
      </c>
      <c r="U45" s="8" t="n">
        <v>0.00211949822755902</v>
      </c>
      <c r="V45" s="8" t="n">
        <v>474.186323933913</v>
      </c>
      <c r="W45" s="8" t="n">
        <v>189.288876553271</v>
      </c>
      <c r="X45" s="8" t="n">
        <v>62.6501923606776</v>
      </c>
      <c r="Y45" s="8" t="n">
        <v>62.6501923606776</v>
      </c>
      <c r="Z45" s="8" t="n">
        <v>43.6543033674326</v>
      </c>
      <c r="AA45" s="8" t="n">
        <v>43.6543033674326</v>
      </c>
      <c r="AB45" s="8" t="n">
        <v>43.6543033674326</v>
      </c>
      <c r="AC45" s="8" t="n">
        <v>43.6543033674326</v>
      </c>
      <c r="AD45" s="8" t="n">
        <v>43.6543033674326</v>
      </c>
      <c r="AE45" s="8" t="n">
        <v>1.81585016845103</v>
      </c>
      <c r="AF45" s="8" t="n">
        <v>0.724863246842749</v>
      </c>
      <c r="AG45" s="8" t="n">
        <v>0.239912786619044</v>
      </c>
      <c r="AH45" s="8" t="n">
        <v>0.239912786619044</v>
      </c>
      <c r="AI45" s="8" t="n">
        <v>0.167169886861631</v>
      </c>
      <c r="AJ45" s="8" t="n">
        <v>0.167169886861631</v>
      </c>
      <c r="AK45" s="8" t="n">
        <v>0.167169886861631</v>
      </c>
      <c r="AL45" s="8" t="n">
        <v>0.167169886861631</v>
      </c>
      <c r="AM45" s="8" t="n">
        <v>0.167169886861631</v>
      </c>
      <c r="AN45" s="8" t="n">
        <v>0.304885592351746</v>
      </c>
      <c r="AO45" s="8" t="n">
        <v>4.9632538289819</v>
      </c>
      <c r="AP45" s="8" t="n">
        <v>5.48794066233142</v>
      </c>
      <c r="AQ45" s="8" t="n">
        <v>20.0324375090743</v>
      </c>
      <c r="AR45" s="8" t="n">
        <v>20.0324375090743</v>
      </c>
      <c r="AS45" s="8" t="n">
        <v>20.0324375090743</v>
      </c>
      <c r="AT45" s="8" t="n">
        <v>5.98631923665176E-005</v>
      </c>
      <c r="AU45" s="8" t="n">
        <v>33.4107190707592</v>
      </c>
      <c r="AV45" s="8" t="n">
        <v>36.8506392591097</v>
      </c>
      <c r="AW45" s="8" t="n">
        <v>2.451437375606</v>
      </c>
      <c r="AX45" s="8" t="n">
        <v>0.116009441217914</v>
      </c>
      <c r="AY45" s="8" t="n">
        <v>0.127953608538575</v>
      </c>
      <c r="AZ45" s="8" t="n">
        <v>0.00851193533196529</v>
      </c>
      <c r="BA45" s="8" t="n">
        <v>16.5010730874125</v>
      </c>
      <c r="BB45" s="8" t="n">
        <v>42.5838395730269</v>
      </c>
      <c r="BC45" s="8" t="n">
        <v>0.0572953926646267</v>
      </c>
      <c r="BD45" s="8" t="n">
        <v>0.14786055407301</v>
      </c>
      <c r="BE45" s="8" t="n">
        <v>0.116009441217914</v>
      </c>
      <c r="BF45" s="8" t="n">
        <v>0</v>
      </c>
      <c r="BG45" s="8" t="n">
        <v>4.07735121983377</v>
      </c>
      <c r="BH45" s="8" t="n">
        <v>689.107324858767</v>
      </c>
      <c r="BI45" s="8" t="n">
        <v>5.90271771790687</v>
      </c>
      <c r="BJ45" s="8" t="n">
        <v>0.0769311550912033</v>
      </c>
      <c r="BK45" s="8" t="n">
        <v>0</v>
      </c>
      <c r="BL45" s="4" t="s">
        <v>234</v>
      </c>
    </row>
    <row r="46" customFormat="false" ht="12.75" hidden="false" customHeight="false" outlineLevel="0" collapsed="false">
      <c r="A46" s="1" t="n">
        <v>1982</v>
      </c>
      <c r="B46" s="12" t="n">
        <v>82.0701749488554</v>
      </c>
      <c r="C46" s="12" t="n">
        <v>2585.21051088894</v>
      </c>
      <c r="D46" s="8" t="n">
        <v>1436.22806160497</v>
      </c>
      <c r="E46" s="8" t="n">
        <v>1820.9068236542</v>
      </c>
      <c r="F46" s="8" t="n">
        <v>0.580412194160915</v>
      </c>
      <c r="G46" s="8" t="n">
        <v>18.2829841160688</v>
      </c>
      <c r="H46" s="8" t="n">
        <v>10.157213397816</v>
      </c>
      <c r="I46" s="8" t="n">
        <v>12.8777174599462</v>
      </c>
      <c r="J46" s="8" t="n">
        <v>2.69596545440337</v>
      </c>
      <c r="K46" s="8" t="n">
        <v>44.8638951096754</v>
      </c>
      <c r="L46" s="8" t="n">
        <v>131.636431905332</v>
      </c>
      <c r="M46" s="8" t="n">
        <v>0.031573066962973</v>
      </c>
      <c r="N46" s="8" t="n">
        <v>157.546584971343</v>
      </c>
      <c r="O46" s="8" t="n">
        <v>14.4870422962155</v>
      </c>
      <c r="P46" s="8" t="n">
        <v>9.05440143513467</v>
      </c>
      <c r="Q46" s="8" t="n">
        <v>254.425436712825</v>
      </c>
      <c r="R46" s="8" t="n">
        <v>101.563251935241</v>
      </c>
      <c r="S46" s="8" t="n">
        <v>33.6150617319984</v>
      </c>
      <c r="T46" s="8" t="n">
        <v>0.00547521161853546</v>
      </c>
      <c r="U46" s="8" t="n">
        <v>0.00190754840480312</v>
      </c>
      <c r="V46" s="8" t="n">
        <v>426.767691540522</v>
      </c>
      <c r="W46" s="8" t="n">
        <v>170.359988897944</v>
      </c>
      <c r="X46" s="8" t="n">
        <v>56.3851731246099</v>
      </c>
      <c r="Y46" s="8" t="n">
        <v>56.3851731246099</v>
      </c>
      <c r="Z46" s="8" t="n">
        <v>39.2888730306893</v>
      </c>
      <c r="AA46" s="8" t="n">
        <v>39.2888730306893</v>
      </c>
      <c r="AB46" s="8" t="n">
        <v>39.2888730306893</v>
      </c>
      <c r="AC46" s="8" t="n">
        <v>39.2888730306893</v>
      </c>
      <c r="AD46" s="8" t="n">
        <v>39.2888730306893</v>
      </c>
      <c r="AE46" s="8" t="n">
        <v>1.63426515160593</v>
      </c>
      <c r="AF46" s="8" t="n">
        <v>0.652376922158474</v>
      </c>
      <c r="AG46" s="8" t="n">
        <v>0.21592150795714</v>
      </c>
      <c r="AH46" s="8" t="n">
        <v>0.21592150795714</v>
      </c>
      <c r="AI46" s="8" t="n">
        <v>0.150452898175468</v>
      </c>
      <c r="AJ46" s="8" t="n">
        <v>0.150452898175468</v>
      </c>
      <c r="AK46" s="8" t="n">
        <v>0.150452898175468</v>
      </c>
      <c r="AL46" s="8" t="n">
        <v>0.150452898175468</v>
      </c>
      <c r="AM46" s="8" t="n">
        <v>0.150452898175468</v>
      </c>
      <c r="AN46" s="8" t="n">
        <v>0.274397033116571</v>
      </c>
      <c r="AO46" s="8" t="n">
        <v>4.46692844608371</v>
      </c>
      <c r="AP46" s="8" t="n">
        <v>4.93914659609828</v>
      </c>
      <c r="AQ46" s="8" t="n">
        <v>18.0291937581668</v>
      </c>
      <c r="AR46" s="8" t="n">
        <v>18.0291937581668</v>
      </c>
      <c r="AS46" s="8" t="n">
        <v>18.0291937581668</v>
      </c>
      <c r="AT46" s="8" t="n">
        <v>5.38768731298658E-005</v>
      </c>
      <c r="AU46" s="8" t="n">
        <v>30.0696471636833</v>
      </c>
      <c r="AV46" s="8" t="n">
        <v>33.1655753331986</v>
      </c>
      <c r="AW46" s="8" t="n">
        <v>2.20629363804541</v>
      </c>
      <c r="AX46" s="8" t="n">
        <v>0.104408497096123</v>
      </c>
      <c r="AY46" s="8" t="n">
        <v>0.115158247684717</v>
      </c>
      <c r="AZ46" s="8" t="n">
        <v>0.00766074179876878</v>
      </c>
      <c r="BA46" s="8" t="n">
        <v>14.8509657786713</v>
      </c>
      <c r="BB46" s="8" t="n">
        <v>38.3254556157242</v>
      </c>
      <c r="BC46" s="8" t="n">
        <v>0.0515658533981641</v>
      </c>
      <c r="BD46" s="8" t="n">
        <v>0.133074498665709</v>
      </c>
      <c r="BE46" s="8" t="n">
        <v>0.104408497096123</v>
      </c>
      <c r="BF46" s="8" t="n">
        <v>0</v>
      </c>
      <c r="BG46" s="8" t="n">
        <v>3.6696160978504</v>
      </c>
      <c r="BH46" s="8" t="n">
        <v>620.196592372891</v>
      </c>
      <c r="BI46" s="8" t="n">
        <v>5.31244594611618</v>
      </c>
      <c r="BJ46" s="8" t="n">
        <v>0.0692380395820829</v>
      </c>
      <c r="BK46" s="8" t="n">
        <v>0</v>
      </c>
      <c r="BL46" s="4" t="s">
        <v>234</v>
      </c>
    </row>
    <row r="47" customFormat="false" ht="12.75" hidden="false" customHeight="false" outlineLevel="0" collapsed="false">
      <c r="A47" s="1" t="n">
        <v>1981</v>
      </c>
      <c r="B47" s="12" t="n">
        <v>73.8631574539699</v>
      </c>
      <c r="C47" s="12" t="n">
        <v>2326.68945980005</v>
      </c>
      <c r="D47" s="8" t="n">
        <v>1292.60525544448</v>
      </c>
      <c r="E47" s="8" t="n">
        <v>1638.81614128878</v>
      </c>
      <c r="F47" s="8" t="n">
        <v>0.522370974744824</v>
      </c>
      <c r="G47" s="8" t="n">
        <v>16.4546857044619</v>
      </c>
      <c r="H47" s="8" t="n">
        <v>9.14149205803444</v>
      </c>
      <c r="I47" s="8" t="n">
        <v>11.5899457139516</v>
      </c>
      <c r="J47" s="8" t="n">
        <v>2.42636890896303</v>
      </c>
      <c r="K47" s="8" t="n">
        <v>40.3775055987079</v>
      </c>
      <c r="L47" s="8" t="n">
        <v>118.472788714798</v>
      </c>
      <c r="M47" s="8" t="n">
        <v>0.0284157602666757</v>
      </c>
      <c r="N47" s="8" t="n">
        <v>141.791926474209</v>
      </c>
      <c r="O47" s="8" t="n">
        <v>13.0383380665939</v>
      </c>
      <c r="P47" s="8" t="n">
        <v>8.14896129162122</v>
      </c>
      <c r="Q47" s="8" t="n">
        <v>228.982893041543</v>
      </c>
      <c r="R47" s="8" t="n">
        <v>91.4069267417173</v>
      </c>
      <c r="S47" s="8" t="n">
        <v>30.2535555587986</v>
      </c>
      <c r="T47" s="8" t="n">
        <v>0.00492769045668191</v>
      </c>
      <c r="U47" s="8" t="n">
        <v>0.00171679356432281</v>
      </c>
      <c r="V47" s="8" t="n">
        <v>384.09092238647</v>
      </c>
      <c r="W47" s="8" t="n">
        <v>153.32399000815</v>
      </c>
      <c r="X47" s="8" t="n">
        <v>50.7466558121489</v>
      </c>
      <c r="Y47" s="8" t="n">
        <v>50.7466558121489</v>
      </c>
      <c r="Z47" s="8" t="n">
        <v>35.3599857276205</v>
      </c>
      <c r="AA47" s="8" t="n">
        <v>35.3599857276205</v>
      </c>
      <c r="AB47" s="8" t="n">
        <v>35.3599857276205</v>
      </c>
      <c r="AC47" s="8" t="n">
        <v>35.3599857276205</v>
      </c>
      <c r="AD47" s="8" t="n">
        <v>35.3599857276205</v>
      </c>
      <c r="AE47" s="8" t="n">
        <v>1.47083863644534</v>
      </c>
      <c r="AF47" s="8" t="n">
        <v>0.587139229942627</v>
      </c>
      <c r="AG47" s="8" t="n">
        <v>0.194329357161426</v>
      </c>
      <c r="AH47" s="8" t="n">
        <v>0.194329357161426</v>
      </c>
      <c r="AI47" s="8" t="n">
        <v>0.135407608357921</v>
      </c>
      <c r="AJ47" s="8" t="n">
        <v>0.135407608357921</v>
      </c>
      <c r="AK47" s="8" t="n">
        <v>0.135407608357921</v>
      </c>
      <c r="AL47" s="8" t="n">
        <v>0.135407608357921</v>
      </c>
      <c r="AM47" s="8" t="n">
        <v>0.135407608357921</v>
      </c>
      <c r="AN47" s="8" t="n">
        <v>0.246957329804913</v>
      </c>
      <c r="AO47" s="8" t="n">
        <v>4.02023560147535</v>
      </c>
      <c r="AP47" s="8" t="n">
        <v>4.44523193648845</v>
      </c>
      <c r="AQ47" s="8" t="n">
        <v>16.2262743823502</v>
      </c>
      <c r="AR47" s="8" t="n">
        <v>16.2262743823502</v>
      </c>
      <c r="AS47" s="8" t="n">
        <v>16.2262743823502</v>
      </c>
      <c r="AT47" s="8" t="n">
        <v>4.84891858168792E-005</v>
      </c>
      <c r="AU47" s="8" t="n">
        <v>27.062682447315</v>
      </c>
      <c r="AV47" s="8" t="n">
        <v>29.8490177998788</v>
      </c>
      <c r="AW47" s="8" t="n">
        <v>1.98566427424086</v>
      </c>
      <c r="AX47" s="8" t="n">
        <v>0.0939676473865103</v>
      </c>
      <c r="AY47" s="8" t="n">
        <v>0.103642422916246</v>
      </c>
      <c r="AZ47" s="8" t="n">
        <v>0.00689466761889189</v>
      </c>
      <c r="BA47" s="8" t="n">
        <v>13.3658692008041</v>
      </c>
      <c r="BB47" s="8" t="n">
        <v>34.4929100541517</v>
      </c>
      <c r="BC47" s="8" t="n">
        <v>0.0464092680583477</v>
      </c>
      <c r="BD47" s="8" t="n">
        <v>0.119767048799138</v>
      </c>
      <c r="BE47" s="8" t="n">
        <v>0.0939676473865103</v>
      </c>
      <c r="BF47" s="8" t="n">
        <v>0</v>
      </c>
      <c r="BG47" s="8" t="n">
        <v>3.30265448806536</v>
      </c>
      <c r="BH47" s="8" t="n">
        <v>558.176933135601</v>
      </c>
      <c r="BI47" s="8" t="n">
        <v>4.78120135150456</v>
      </c>
      <c r="BJ47" s="8" t="n">
        <v>0.0623142356238746</v>
      </c>
      <c r="BK47" s="8" t="n">
        <v>0</v>
      </c>
      <c r="BL47" s="4" t="s">
        <v>234</v>
      </c>
    </row>
    <row r="48" customFormat="false" ht="12.75" hidden="false" customHeight="false" outlineLevel="0" collapsed="false">
      <c r="A48" s="1" t="n">
        <v>1980</v>
      </c>
      <c r="B48" s="12" t="n">
        <v>66.4768417085729</v>
      </c>
      <c r="C48" s="12" t="n">
        <v>2094.02051382005</v>
      </c>
      <c r="D48" s="8" t="n">
        <v>1163.34472990002</v>
      </c>
      <c r="E48" s="8" t="n">
        <v>1474.9345271599</v>
      </c>
      <c r="F48" s="8" t="n">
        <v>0.470133877270341</v>
      </c>
      <c r="G48" s="8" t="n">
        <v>14.8092171340158</v>
      </c>
      <c r="H48" s="8" t="n">
        <v>8.22734285223096</v>
      </c>
      <c r="I48" s="8" t="n">
        <v>10.4309511425564</v>
      </c>
      <c r="J48" s="8" t="n">
        <v>2.18373201806673</v>
      </c>
      <c r="K48" s="8" t="n">
        <v>36.3397550388372</v>
      </c>
      <c r="L48" s="8" t="n">
        <v>106.625509843318</v>
      </c>
      <c r="M48" s="8" t="n">
        <v>0.0255741842400082</v>
      </c>
      <c r="N48" s="8" t="n">
        <v>127.612733826788</v>
      </c>
      <c r="O48" s="8" t="n">
        <v>11.7345042599346</v>
      </c>
      <c r="P48" s="8" t="n">
        <v>7.3340651624591</v>
      </c>
      <c r="Q48" s="8" t="n">
        <v>206.084603737389</v>
      </c>
      <c r="R48" s="8" t="n">
        <v>82.2662340675457</v>
      </c>
      <c r="S48" s="8" t="n">
        <v>27.2282000029188</v>
      </c>
      <c r="T48" s="8" t="n">
        <v>0.00443492141101372</v>
      </c>
      <c r="U48" s="8" t="n">
        <v>0.00154511420789053</v>
      </c>
      <c r="V48" s="8" t="n">
        <v>345.681830147823</v>
      </c>
      <c r="W48" s="8" t="n">
        <v>137.991591007335</v>
      </c>
      <c r="X48" s="8" t="n">
        <v>45.671990230934</v>
      </c>
      <c r="Y48" s="8" t="n">
        <v>45.671990230934</v>
      </c>
      <c r="Z48" s="8" t="n">
        <v>31.8239871548583</v>
      </c>
      <c r="AA48" s="8" t="n">
        <v>31.8239871548583</v>
      </c>
      <c r="AB48" s="8" t="n">
        <v>31.8239871548583</v>
      </c>
      <c r="AC48" s="8" t="n">
        <v>31.8239871548583</v>
      </c>
      <c r="AD48" s="8" t="n">
        <v>31.8239871548583</v>
      </c>
      <c r="AE48" s="8" t="n">
        <v>1.3237547728008</v>
      </c>
      <c r="AF48" s="8" t="n">
        <v>0.528425306948365</v>
      </c>
      <c r="AG48" s="8" t="n">
        <v>0.174896421445284</v>
      </c>
      <c r="AH48" s="8" t="n">
        <v>0.174896421445284</v>
      </c>
      <c r="AI48" s="8" t="n">
        <v>0.121866847522129</v>
      </c>
      <c r="AJ48" s="8" t="n">
        <v>0.121866847522129</v>
      </c>
      <c r="AK48" s="8" t="n">
        <v>0.121866847522129</v>
      </c>
      <c r="AL48" s="8" t="n">
        <v>0.121866847522129</v>
      </c>
      <c r="AM48" s="8" t="n">
        <v>0.121866847522129</v>
      </c>
      <c r="AN48" s="8" t="n">
        <v>0.222261596824422</v>
      </c>
      <c r="AO48" s="8" t="n">
        <v>3.6182120413278</v>
      </c>
      <c r="AP48" s="8" t="n">
        <v>4.0007087428396</v>
      </c>
      <c r="AQ48" s="8" t="n">
        <v>14.6036469441152</v>
      </c>
      <c r="AR48" s="8" t="n">
        <v>14.6036469441152</v>
      </c>
      <c r="AS48" s="8" t="n">
        <v>14.6036469441152</v>
      </c>
      <c r="AT48" s="8" t="n">
        <v>4.36402672351913E-005</v>
      </c>
      <c r="AU48" s="8" t="n">
        <v>24.3564142025835</v>
      </c>
      <c r="AV48" s="8" t="n">
        <v>26.8641160198909</v>
      </c>
      <c r="AW48" s="8" t="n">
        <v>1.78709784681678</v>
      </c>
      <c r="AX48" s="8" t="n">
        <v>0.0845708826478595</v>
      </c>
      <c r="AY48" s="8" t="n">
        <v>0.0932781806246211</v>
      </c>
      <c r="AZ48" s="8" t="n">
        <v>0.00620520085700271</v>
      </c>
      <c r="BA48" s="8" t="n">
        <v>12.0292822807237</v>
      </c>
      <c r="BB48" s="8" t="n">
        <v>31.0436190487366</v>
      </c>
      <c r="BC48" s="8" t="n">
        <v>0.0417683412525128</v>
      </c>
      <c r="BD48" s="8" t="n">
        <v>0.107790343919224</v>
      </c>
      <c r="BE48" s="8" t="n">
        <v>0.0845708826478595</v>
      </c>
      <c r="BF48" s="8" t="n">
        <v>0</v>
      </c>
      <c r="BG48" s="8" t="n">
        <v>2.97238903925882</v>
      </c>
      <c r="BH48" s="8" t="n">
        <v>502.359239822041</v>
      </c>
      <c r="BI48" s="8" t="n">
        <v>4.30308121635411</v>
      </c>
      <c r="BJ48" s="8" t="n">
        <v>0.0560828120614872</v>
      </c>
      <c r="BK48" s="8" t="n">
        <v>0</v>
      </c>
      <c r="BL48" s="4" t="s">
        <v>234</v>
      </c>
    </row>
    <row r="49" customFormat="false" ht="12.75" hidden="false" customHeight="false" outlineLevel="0" collapsed="false">
      <c r="A49" s="1" t="n">
        <v>1979</v>
      </c>
      <c r="B49" s="12" t="n">
        <v>53.1814733668583</v>
      </c>
      <c r="C49" s="12" t="n">
        <v>1675.21641105604</v>
      </c>
      <c r="D49" s="8" t="n">
        <v>930.67578392002</v>
      </c>
      <c r="E49" s="8" t="n">
        <v>1179.94762172792</v>
      </c>
      <c r="F49" s="8" t="n">
        <v>0.376107101816273</v>
      </c>
      <c r="G49" s="8" t="n">
        <v>11.8473737072126</v>
      </c>
      <c r="H49" s="8" t="n">
        <v>6.58187428178478</v>
      </c>
      <c r="I49" s="8" t="n">
        <v>8.34476091404516</v>
      </c>
      <c r="J49" s="8" t="n">
        <v>1.74698561445339</v>
      </c>
      <c r="K49" s="8" t="n">
        <v>29.0718040310698</v>
      </c>
      <c r="L49" s="8" t="n">
        <v>85.3004078746549</v>
      </c>
      <c r="M49" s="8" t="n">
        <v>0.0204593473920066</v>
      </c>
      <c r="N49" s="8" t="n">
        <v>102.090187061431</v>
      </c>
      <c r="O49" s="8" t="n">
        <v>9.38760340794765</v>
      </c>
      <c r="P49" s="8" t="n">
        <v>5.86725212996726</v>
      </c>
      <c r="Q49" s="8" t="n">
        <v>164.867682989911</v>
      </c>
      <c r="R49" s="8" t="n">
        <v>65.8129872540363</v>
      </c>
      <c r="S49" s="8" t="n">
        <v>21.782560002335</v>
      </c>
      <c r="T49" s="8" t="n">
        <v>0.00354793712881098</v>
      </c>
      <c r="U49" s="8" t="n">
        <v>0.00123609136631242</v>
      </c>
      <c r="V49" s="8" t="n">
        <v>276.545464118258</v>
      </c>
      <c r="W49" s="8" t="n">
        <v>110.393272805867</v>
      </c>
      <c r="X49" s="8" t="n">
        <v>36.5375921847472</v>
      </c>
      <c r="Y49" s="8" t="n">
        <v>36.5375921847472</v>
      </c>
      <c r="Z49" s="8" t="n">
        <v>25.4591897238867</v>
      </c>
      <c r="AA49" s="8" t="n">
        <v>25.4591897238867</v>
      </c>
      <c r="AB49" s="8" t="n">
        <v>25.4591897238867</v>
      </c>
      <c r="AC49" s="8" t="n">
        <v>25.4591897238867</v>
      </c>
      <c r="AD49" s="8" t="n">
        <v>25.4591897238867</v>
      </c>
      <c r="AE49" s="8" t="n">
        <v>1.05900381824064</v>
      </c>
      <c r="AF49" s="8" t="n">
        <v>0.42274024555869</v>
      </c>
      <c r="AG49" s="8" t="n">
        <v>0.139917137156227</v>
      </c>
      <c r="AH49" s="8" t="n">
        <v>0.139917137156227</v>
      </c>
      <c r="AI49" s="8" t="n">
        <v>0.0974934780177033</v>
      </c>
      <c r="AJ49" s="8" t="n">
        <v>0.0974934780177033</v>
      </c>
      <c r="AK49" s="8" t="n">
        <v>0.0974934780177033</v>
      </c>
      <c r="AL49" s="8" t="n">
        <v>0.0974934780177033</v>
      </c>
      <c r="AM49" s="8" t="n">
        <v>0.0974934780177033</v>
      </c>
      <c r="AN49" s="8" t="n">
        <v>0.177809277459538</v>
      </c>
      <c r="AO49" s="8" t="n">
        <v>2.89456963306225</v>
      </c>
      <c r="AP49" s="8" t="n">
        <v>3.20056699427169</v>
      </c>
      <c r="AQ49" s="8" t="n">
        <v>11.6829175552921</v>
      </c>
      <c r="AR49" s="8" t="n">
        <v>11.6829175552921</v>
      </c>
      <c r="AS49" s="8" t="n">
        <v>11.6829175552921</v>
      </c>
      <c r="AT49" s="8" t="n">
        <v>3.4912213788153E-005</v>
      </c>
      <c r="AU49" s="8" t="n">
        <v>19.4851313620668</v>
      </c>
      <c r="AV49" s="8" t="n">
        <v>21.4912928159127</v>
      </c>
      <c r="AW49" s="8" t="n">
        <v>1.42967827745343</v>
      </c>
      <c r="AX49" s="8" t="n">
        <v>0.0676567061182876</v>
      </c>
      <c r="AY49" s="8" t="n">
        <v>0.074622544499697</v>
      </c>
      <c r="AZ49" s="8" t="n">
        <v>0.00496416068560217</v>
      </c>
      <c r="BA49" s="8" t="n">
        <v>9.62342582457895</v>
      </c>
      <c r="BB49" s="8" t="n">
        <v>24.8348952389893</v>
      </c>
      <c r="BC49" s="8" t="n">
        <v>0.0334146730020102</v>
      </c>
      <c r="BD49" s="8" t="n">
        <v>0.0862322751353794</v>
      </c>
      <c r="BE49" s="8" t="n">
        <v>0.0676567061182876</v>
      </c>
      <c r="BF49" s="8" t="n">
        <v>0</v>
      </c>
      <c r="BG49" s="8" t="n">
        <v>2.37791123140706</v>
      </c>
      <c r="BH49" s="8" t="n">
        <v>401.887391857633</v>
      </c>
      <c r="BI49" s="8" t="n">
        <v>3.44246497308329</v>
      </c>
      <c r="BJ49" s="8" t="n">
        <v>0.0448662496491898</v>
      </c>
      <c r="BK49" s="8" t="n">
        <v>0</v>
      </c>
      <c r="BL49" s="4" t="s">
        <v>234</v>
      </c>
    </row>
    <row r="50" customFormat="false" ht="12.75" hidden="false" customHeight="false" outlineLevel="0" collapsed="false">
      <c r="A50" s="1" t="n">
        <v>1978</v>
      </c>
      <c r="B50" s="12" t="n">
        <v>42.5451786934866</v>
      </c>
      <c r="C50" s="12" t="n">
        <v>1340.17312884483</v>
      </c>
      <c r="D50" s="8" t="n">
        <v>744.540627136016</v>
      </c>
      <c r="E50" s="8" t="n">
        <v>943.958097382337</v>
      </c>
      <c r="F50" s="8" t="n">
        <v>0.300885681453018</v>
      </c>
      <c r="G50" s="8" t="n">
        <v>9.47789896577011</v>
      </c>
      <c r="H50" s="8" t="n">
        <v>5.26549942542782</v>
      </c>
      <c r="I50" s="8" t="n">
        <v>6.67580873123612</v>
      </c>
      <c r="J50" s="8" t="n">
        <v>1.39758849156271</v>
      </c>
      <c r="K50" s="8" t="n">
        <v>23.2574432248558</v>
      </c>
      <c r="L50" s="8" t="n">
        <v>68.2403262997239</v>
      </c>
      <c r="M50" s="8" t="n">
        <v>0.0163674779136052</v>
      </c>
      <c r="N50" s="8" t="n">
        <v>81.6721496491445</v>
      </c>
      <c r="O50" s="8" t="n">
        <v>7.51008272635812</v>
      </c>
      <c r="P50" s="8" t="n">
        <v>4.69380170397383</v>
      </c>
      <c r="Q50" s="8" t="n">
        <v>131.894146391929</v>
      </c>
      <c r="R50" s="8" t="n">
        <v>52.6503898032293</v>
      </c>
      <c r="S50" s="8" t="n">
        <v>17.426048001868</v>
      </c>
      <c r="T50" s="8" t="n">
        <v>0.00283834970304879</v>
      </c>
      <c r="U50" s="8" t="n">
        <v>0.000988873093049937</v>
      </c>
      <c r="V50" s="8" t="n">
        <v>221.236371294607</v>
      </c>
      <c r="W50" s="8" t="n">
        <v>88.3146182446943</v>
      </c>
      <c r="X50" s="8" t="n">
        <v>29.2300737477978</v>
      </c>
      <c r="Y50" s="8" t="n">
        <v>29.2300737477978</v>
      </c>
      <c r="Z50" s="8" t="n">
        <v>20.3673517791093</v>
      </c>
      <c r="AA50" s="8" t="n">
        <v>20.3673517791093</v>
      </c>
      <c r="AB50" s="8" t="n">
        <v>20.3673517791093</v>
      </c>
      <c r="AC50" s="8" t="n">
        <v>20.3673517791093</v>
      </c>
      <c r="AD50" s="8" t="n">
        <v>20.3673517791093</v>
      </c>
      <c r="AE50" s="8" t="n">
        <v>0.847203054592515</v>
      </c>
      <c r="AF50" s="8" t="n">
        <v>0.338192196446954</v>
      </c>
      <c r="AG50" s="8" t="n">
        <v>0.111933709724982</v>
      </c>
      <c r="AH50" s="8" t="n">
        <v>0.111933709724982</v>
      </c>
      <c r="AI50" s="8" t="n">
        <v>0.0779947824141625</v>
      </c>
      <c r="AJ50" s="8" t="n">
        <v>0.0779947824141625</v>
      </c>
      <c r="AK50" s="8" t="n">
        <v>0.0779947824141625</v>
      </c>
      <c r="AL50" s="8" t="n">
        <v>0.0779947824141625</v>
      </c>
      <c r="AM50" s="8" t="n">
        <v>0.0779947824141625</v>
      </c>
      <c r="AN50" s="8" t="n">
        <v>0.142247421967631</v>
      </c>
      <c r="AO50" s="8" t="n">
        <v>2.3156557064498</v>
      </c>
      <c r="AP50" s="8" t="n">
        <v>2.56045359541735</v>
      </c>
      <c r="AQ50" s="8" t="n">
        <v>9.34633404423371</v>
      </c>
      <c r="AR50" s="8" t="n">
        <v>9.34633404423371</v>
      </c>
      <c r="AS50" s="8" t="n">
        <v>9.34633404423371</v>
      </c>
      <c r="AT50" s="8" t="n">
        <v>2.79297710305225E-005</v>
      </c>
      <c r="AU50" s="8" t="n">
        <v>15.5881050896535</v>
      </c>
      <c r="AV50" s="8" t="n">
        <v>17.1930342527302</v>
      </c>
      <c r="AW50" s="8" t="n">
        <v>1.14374262196274</v>
      </c>
      <c r="AX50" s="8" t="n">
        <v>0.0541253648946301</v>
      </c>
      <c r="AY50" s="8" t="n">
        <v>0.0596980355997576</v>
      </c>
      <c r="AZ50" s="8" t="n">
        <v>0.00397132854848172</v>
      </c>
      <c r="BA50" s="8" t="n">
        <v>7.69874065966316</v>
      </c>
      <c r="BB50" s="8" t="n">
        <v>19.8679161911914</v>
      </c>
      <c r="BC50" s="8" t="n">
        <v>0.0267317384016082</v>
      </c>
      <c r="BD50" s="8" t="n">
        <v>0.0689858201083034</v>
      </c>
      <c r="BE50" s="8" t="n">
        <v>0.0541253648946301</v>
      </c>
      <c r="BF50" s="8" t="n">
        <v>0</v>
      </c>
      <c r="BG50" s="8" t="n">
        <v>1.90232898512564</v>
      </c>
      <c r="BH50" s="8" t="n">
        <v>321.509913486106</v>
      </c>
      <c r="BI50" s="8" t="n">
        <v>2.75397197846663</v>
      </c>
      <c r="BJ50" s="8" t="n">
        <v>0.0358929997193518</v>
      </c>
      <c r="BK50" s="8" t="n">
        <v>0</v>
      </c>
      <c r="BL50" s="4" t="s">
        <v>234</v>
      </c>
    </row>
    <row r="51" customFormat="false" ht="12.75" hidden="false" customHeight="false" outlineLevel="0" collapsed="false">
      <c r="A51" s="1" t="n">
        <v>1977</v>
      </c>
      <c r="B51" s="12" t="n">
        <v>34.0361429547893</v>
      </c>
      <c r="C51" s="12" t="n">
        <v>1072.13850307587</v>
      </c>
      <c r="D51" s="8" t="n">
        <v>595.632501708813</v>
      </c>
      <c r="E51" s="8" t="n">
        <v>755.16647790587</v>
      </c>
      <c r="F51" s="8" t="n">
        <v>0.240708545162415</v>
      </c>
      <c r="G51" s="8" t="n">
        <v>7.58231917261609</v>
      </c>
      <c r="H51" s="8" t="n">
        <v>4.21239954034226</v>
      </c>
      <c r="I51" s="8" t="n">
        <v>5.3406469849889</v>
      </c>
      <c r="J51" s="8" t="n">
        <v>1.11807079325017</v>
      </c>
      <c r="K51" s="8" t="n">
        <v>18.6059545798847</v>
      </c>
      <c r="L51" s="8" t="n">
        <v>54.5922610397792</v>
      </c>
      <c r="M51" s="8" t="n">
        <v>0.0130939823308842</v>
      </c>
      <c r="N51" s="8" t="n">
        <v>65.3377197193157</v>
      </c>
      <c r="O51" s="8" t="n">
        <v>6.00806618108648</v>
      </c>
      <c r="P51" s="8" t="n">
        <v>3.75504136317906</v>
      </c>
      <c r="Q51" s="8" t="n">
        <v>105.515317113543</v>
      </c>
      <c r="R51" s="8" t="n">
        <v>42.1203118425834</v>
      </c>
      <c r="S51" s="8" t="n">
        <v>13.9408384014944</v>
      </c>
      <c r="T51" s="8" t="n">
        <v>0.00227067976243903</v>
      </c>
      <c r="U51" s="8" t="n">
        <v>0.000791098474439951</v>
      </c>
      <c r="V51" s="8" t="n">
        <v>176.989097035686</v>
      </c>
      <c r="W51" s="8" t="n">
        <v>70.6516945957555</v>
      </c>
      <c r="X51" s="8" t="n">
        <v>23.3840589982382</v>
      </c>
      <c r="Y51" s="8" t="n">
        <v>23.3840589982382</v>
      </c>
      <c r="Z51" s="8" t="n">
        <v>16.2938814232875</v>
      </c>
      <c r="AA51" s="8" t="n">
        <v>16.2938814232875</v>
      </c>
      <c r="AB51" s="8" t="n">
        <v>16.2938814232875</v>
      </c>
      <c r="AC51" s="8" t="n">
        <v>16.2938814232875</v>
      </c>
      <c r="AD51" s="8" t="n">
        <v>16.2938814232875</v>
      </c>
      <c r="AE51" s="8" t="n">
        <v>0.677762443674012</v>
      </c>
      <c r="AF51" s="8" t="n">
        <v>0.270553757157563</v>
      </c>
      <c r="AG51" s="8" t="n">
        <v>0.0895469677799852</v>
      </c>
      <c r="AH51" s="8" t="n">
        <v>0.0895469677799852</v>
      </c>
      <c r="AI51" s="8" t="n">
        <v>0.06239582593133</v>
      </c>
      <c r="AJ51" s="8" t="n">
        <v>0.06239582593133</v>
      </c>
      <c r="AK51" s="8" t="n">
        <v>0.06239582593133</v>
      </c>
      <c r="AL51" s="8" t="n">
        <v>0.06239582593133</v>
      </c>
      <c r="AM51" s="8" t="n">
        <v>0.06239582593133</v>
      </c>
      <c r="AN51" s="8" t="n">
        <v>0.113797937574104</v>
      </c>
      <c r="AO51" s="8" t="n">
        <v>1.85252456515983</v>
      </c>
      <c r="AP51" s="8" t="n">
        <v>2.04836287633388</v>
      </c>
      <c r="AQ51" s="8" t="n">
        <v>7.47706723538698</v>
      </c>
      <c r="AR51" s="8" t="n">
        <v>7.47706723538698</v>
      </c>
      <c r="AS51" s="8" t="n">
        <v>7.47706723538698</v>
      </c>
      <c r="AT51" s="8" t="n">
        <v>2.2343816824418E-005</v>
      </c>
      <c r="AU51" s="8" t="n">
        <v>12.4704840717227</v>
      </c>
      <c r="AV51" s="8" t="n">
        <v>13.7544274021842</v>
      </c>
      <c r="AW51" s="8" t="n">
        <v>0.91499409757019</v>
      </c>
      <c r="AX51" s="8" t="n">
        <v>0.0433002919157039</v>
      </c>
      <c r="AY51" s="8" t="n">
        <v>0.0477584284798061</v>
      </c>
      <c r="AZ51" s="8" t="n">
        <v>0.00317706283878538</v>
      </c>
      <c r="BA51" s="8" t="n">
        <v>6.15899252773053</v>
      </c>
      <c r="BB51" s="8" t="n">
        <v>15.8943329529532</v>
      </c>
      <c r="BC51" s="8" t="n">
        <v>0.0213853907212866</v>
      </c>
      <c r="BD51" s="8" t="n">
        <v>0.055188656086643</v>
      </c>
      <c r="BE51" s="8" t="n">
        <v>0.0433002919157039</v>
      </c>
      <c r="BF51" s="8" t="n">
        <v>0</v>
      </c>
      <c r="BG51" s="8" t="n">
        <v>1.52186318810052</v>
      </c>
      <c r="BH51" s="8" t="n">
        <v>257.207930788885</v>
      </c>
      <c r="BI51" s="8" t="n">
        <v>2.20317758277331</v>
      </c>
      <c r="BJ51" s="8" t="n">
        <v>0.0287143997754815</v>
      </c>
      <c r="BK51" s="8" t="n">
        <v>0</v>
      </c>
      <c r="BL51" s="4" t="s">
        <v>234</v>
      </c>
    </row>
    <row r="52" customFormat="false" ht="12.75" hidden="false" customHeight="false" outlineLevel="0" collapsed="false">
      <c r="A52" s="1" t="n">
        <v>1976</v>
      </c>
      <c r="B52" s="12" t="n">
        <v>27.2289143638315</v>
      </c>
      <c r="C52" s="12" t="n">
        <v>857.710802460692</v>
      </c>
      <c r="D52" s="8" t="n">
        <v>476.506001367051</v>
      </c>
      <c r="E52" s="8" t="n">
        <v>604.133182324695</v>
      </c>
      <c r="F52" s="8" t="n">
        <v>0.192566836129932</v>
      </c>
      <c r="G52" s="8" t="n">
        <v>6.06585533809286</v>
      </c>
      <c r="H52" s="8" t="n">
        <v>3.36991963227381</v>
      </c>
      <c r="I52" s="8" t="n">
        <v>4.27251758799111</v>
      </c>
      <c r="J52" s="8" t="n">
        <v>0.894456634600133</v>
      </c>
      <c r="K52" s="8" t="n">
        <v>14.8847636639077</v>
      </c>
      <c r="L52" s="8" t="n">
        <v>43.6738088318233</v>
      </c>
      <c r="M52" s="8" t="n">
        <v>0.0104751858647073</v>
      </c>
      <c r="N52" s="8" t="n">
        <v>52.2701757754524</v>
      </c>
      <c r="O52" s="8" t="n">
        <v>4.80645294486919</v>
      </c>
      <c r="P52" s="8" t="n">
        <v>3.00403309054324</v>
      </c>
      <c r="Q52" s="8" t="n">
        <v>84.4122536908343</v>
      </c>
      <c r="R52" s="8" t="n">
        <v>33.6962494740668</v>
      </c>
      <c r="S52" s="8" t="n">
        <v>11.1526707211955</v>
      </c>
      <c r="T52" s="8" t="n">
        <v>0.00181654380995122</v>
      </c>
      <c r="U52" s="8" t="n">
        <v>0.000632878779551959</v>
      </c>
      <c r="V52" s="8" t="n">
        <v>141.591277628548</v>
      </c>
      <c r="W52" s="8" t="n">
        <v>56.5213556766044</v>
      </c>
      <c r="X52" s="8" t="n">
        <v>18.7072471985906</v>
      </c>
      <c r="Y52" s="8" t="n">
        <v>18.7072471985906</v>
      </c>
      <c r="Z52" s="8" t="n">
        <v>13.03510513863</v>
      </c>
      <c r="AA52" s="8" t="n">
        <v>13.03510513863</v>
      </c>
      <c r="AB52" s="8" t="n">
        <v>13.03510513863</v>
      </c>
      <c r="AC52" s="8" t="n">
        <v>13.03510513863</v>
      </c>
      <c r="AD52" s="8" t="n">
        <v>13.03510513863</v>
      </c>
      <c r="AE52" s="8" t="n">
        <v>0.542209954939209</v>
      </c>
      <c r="AF52" s="8" t="n">
        <v>0.21644300572605</v>
      </c>
      <c r="AG52" s="8" t="n">
        <v>0.0716375742239882</v>
      </c>
      <c r="AH52" s="8" t="n">
        <v>0.0716375742239882</v>
      </c>
      <c r="AI52" s="8" t="n">
        <v>0.0499166607450639</v>
      </c>
      <c r="AJ52" s="8" t="n">
        <v>0.0499166607450639</v>
      </c>
      <c r="AK52" s="8" t="n">
        <v>0.0499166607450639</v>
      </c>
      <c r="AL52" s="8" t="n">
        <v>0.0499166607450639</v>
      </c>
      <c r="AM52" s="8" t="n">
        <v>0.0499166607450639</v>
      </c>
      <c r="AN52" s="8" t="n">
        <v>0.0910383500592834</v>
      </c>
      <c r="AO52" s="8" t="n">
        <v>1.48201965212787</v>
      </c>
      <c r="AP52" s="8" t="n">
        <v>1.63869030106711</v>
      </c>
      <c r="AQ52" s="8" t="n">
        <v>5.98165378830957</v>
      </c>
      <c r="AR52" s="8" t="n">
        <v>5.98165378830957</v>
      </c>
      <c r="AS52" s="8" t="n">
        <v>5.98165378830957</v>
      </c>
      <c r="AT52" s="8" t="n">
        <v>1.78750534595344E-005</v>
      </c>
      <c r="AU52" s="8" t="n">
        <v>9.97638725737825</v>
      </c>
      <c r="AV52" s="8" t="n">
        <v>11.0035419217474</v>
      </c>
      <c r="AW52" s="8" t="n">
        <v>0.731995278056152</v>
      </c>
      <c r="AX52" s="8" t="n">
        <v>0.0346402335325634</v>
      </c>
      <c r="AY52" s="8" t="n">
        <v>0.038206742783845</v>
      </c>
      <c r="AZ52" s="8" t="n">
        <v>0.0025416502710283</v>
      </c>
      <c r="BA52" s="8" t="n">
        <v>4.92719402218442</v>
      </c>
      <c r="BB52" s="8" t="n">
        <v>12.7154663623625</v>
      </c>
      <c r="BC52" s="8" t="n">
        <v>0.0171083125770293</v>
      </c>
      <c r="BD52" s="8" t="n">
        <v>0.0441509248693143</v>
      </c>
      <c r="BE52" s="8" t="n">
        <v>0.0346402335325634</v>
      </c>
      <c r="BF52" s="8" t="n">
        <v>0</v>
      </c>
      <c r="BG52" s="8" t="n">
        <v>1.21749055048041</v>
      </c>
      <c r="BH52" s="8" t="n">
        <v>205.766344631108</v>
      </c>
      <c r="BI52" s="8" t="n">
        <v>1.76254206621864</v>
      </c>
      <c r="BJ52" s="8" t="n">
        <v>0.0229715198203852</v>
      </c>
      <c r="BK52" s="8" t="n">
        <v>0</v>
      </c>
      <c r="BL52" s="4" t="s">
        <v>234</v>
      </c>
    </row>
    <row r="53" customFormat="false" ht="12.75" hidden="false" customHeight="false" outlineLevel="0" collapsed="false">
      <c r="A53" s="1" t="n">
        <v>1975</v>
      </c>
      <c r="B53" s="12" t="n">
        <v>21.7831314910652</v>
      </c>
      <c r="C53" s="12" t="n">
        <v>686.168641968553</v>
      </c>
      <c r="D53" s="8" t="n">
        <v>381.204801093641</v>
      </c>
      <c r="E53" s="8" t="n">
        <v>483.306545859756</v>
      </c>
      <c r="F53" s="8" t="n">
        <v>0.154053468903945</v>
      </c>
      <c r="G53" s="8" t="n">
        <v>4.85268427047428</v>
      </c>
      <c r="H53" s="8" t="n">
        <v>2.69593570581905</v>
      </c>
      <c r="I53" s="8" t="n">
        <v>3.41801407039289</v>
      </c>
      <c r="J53" s="8" t="n">
        <v>0.715565307680106</v>
      </c>
      <c r="K53" s="8" t="n">
        <v>11.9078109311262</v>
      </c>
      <c r="L53" s="8" t="n">
        <v>34.9390470654587</v>
      </c>
      <c r="M53" s="8" t="n">
        <v>0.00838014869176587</v>
      </c>
      <c r="N53" s="8" t="n">
        <v>41.8161406203619</v>
      </c>
      <c r="O53" s="8" t="n">
        <v>3.84516235589535</v>
      </c>
      <c r="P53" s="8" t="n">
        <v>2.4032264724346</v>
      </c>
      <c r="Q53" s="8" t="n">
        <v>67.5298029526677</v>
      </c>
      <c r="R53" s="8" t="n">
        <v>26.9569995792534</v>
      </c>
      <c r="S53" s="8" t="n">
        <v>8.92213657695639</v>
      </c>
      <c r="T53" s="8" t="n">
        <v>0.00145323504796097</v>
      </c>
      <c r="U53" s="8" t="n">
        <v>0.000506303023641571</v>
      </c>
      <c r="V53" s="8" t="n">
        <v>113.273022102839</v>
      </c>
      <c r="W53" s="8" t="n">
        <v>45.2170845412835</v>
      </c>
      <c r="X53" s="8" t="n">
        <v>14.9657977588724</v>
      </c>
      <c r="Y53" s="8" t="n">
        <v>14.9657977588724</v>
      </c>
      <c r="Z53" s="8" t="n">
        <v>10.428084110904</v>
      </c>
      <c r="AA53" s="8" t="n">
        <v>10.428084110904</v>
      </c>
      <c r="AB53" s="8" t="n">
        <v>10.428084110904</v>
      </c>
      <c r="AC53" s="8" t="n">
        <v>10.428084110904</v>
      </c>
      <c r="AD53" s="8" t="n">
        <v>10.428084110904</v>
      </c>
      <c r="AE53" s="8" t="n">
        <v>0.433767963951369</v>
      </c>
      <c r="AF53" s="8" t="n">
        <v>0.17315440458084</v>
      </c>
      <c r="AG53" s="8" t="n">
        <v>0.0573100593791903</v>
      </c>
      <c r="AH53" s="8" t="n">
        <v>0.0573100593791903</v>
      </c>
      <c r="AI53" s="8" t="n">
        <v>0.0399333285960514</v>
      </c>
      <c r="AJ53" s="8" t="n">
        <v>0.0399333285960514</v>
      </c>
      <c r="AK53" s="8" t="n">
        <v>0.0399333285960514</v>
      </c>
      <c r="AL53" s="8" t="n">
        <v>0.0399333285960514</v>
      </c>
      <c r="AM53" s="8" t="n">
        <v>0.0399333285960514</v>
      </c>
      <c r="AN53" s="8" t="n">
        <v>0.0728306800474268</v>
      </c>
      <c r="AO53" s="8" t="n">
        <v>1.1856157217023</v>
      </c>
      <c r="AP53" s="8" t="n">
        <v>1.31095224085369</v>
      </c>
      <c r="AQ53" s="8" t="n">
        <v>4.78532303064766</v>
      </c>
      <c r="AR53" s="8" t="n">
        <v>4.78532303064766</v>
      </c>
      <c r="AS53" s="8" t="n">
        <v>4.78532303064766</v>
      </c>
      <c r="AT53" s="8" t="n">
        <v>1.43000427676275E-005</v>
      </c>
      <c r="AU53" s="8" t="n">
        <v>7.98110980590257</v>
      </c>
      <c r="AV53" s="8" t="n">
        <v>8.80283353739786</v>
      </c>
      <c r="AW53" s="8" t="n">
        <v>0.585596222444922</v>
      </c>
      <c r="AX53" s="8" t="n">
        <v>0.0277121868260506</v>
      </c>
      <c r="AY53" s="8" t="n">
        <v>0.0305653942270759</v>
      </c>
      <c r="AZ53" s="8" t="n">
        <v>0.00203332021682265</v>
      </c>
      <c r="BA53" s="8" t="n">
        <v>3.94175521774753</v>
      </c>
      <c r="BB53" s="8" t="n">
        <v>10.17237308989</v>
      </c>
      <c r="BC53" s="8" t="n">
        <v>0.0136866500616234</v>
      </c>
      <c r="BD53" s="8" t="n">
        <v>0.0353207398954514</v>
      </c>
      <c r="BE53" s="8" t="n">
        <v>0.0277121868260506</v>
      </c>
      <c r="BF53" s="8" t="n">
        <v>0</v>
      </c>
      <c r="BG53" s="8" t="n">
        <v>0.973992440384328</v>
      </c>
      <c r="BH53" s="8" t="n">
        <v>164.613075704886</v>
      </c>
      <c r="BI53" s="8" t="n">
        <v>1.41003365297491</v>
      </c>
      <c r="BJ53" s="8" t="n">
        <v>0.0183772158563081</v>
      </c>
      <c r="BK53" s="8" t="n">
        <v>0</v>
      </c>
      <c r="BL53" s="4" t="s">
        <v>234</v>
      </c>
    </row>
    <row r="54" customFormat="false" ht="12.75" hidden="false" customHeight="false" outlineLevel="0" collapsed="false">
      <c r="A54" s="1" t="n">
        <v>1974</v>
      </c>
      <c r="B54" s="12" t="n">
        <v>17.4265051928522</v>
      </c>
      <c r="C54" s="12" t="n">
        <v>548.934913574843</v>
      </c>
      <c r="D54" s="8" t="n">
        <v>304.963840874913</v>
      </c>
      <c r="E54" s="8" t="n">
        <v>386.645236687805</v>
      </c>
      <c r="F54" s="8" t="n">
        <v>0.123242775123157</v>
      </c>
      <c r="G54" s="8" t="n">
        <v>3.88214741637943</v>
      </c>
      <c r="H54" s="8" t="n">
        <v>2.15674856465524</v>
      </c>
      <c r="I54" s="8" t="n">
        <v>2.73441125631431</v>
      </c>
      <c r="J54" s="8" t="n">
        <v>0.572452246144085</v>
      </c>
      <c r="K54" s="8" t="n">
        <v>9.52624874490093</v>
      </c>
      <c r="L54" s="8" t="n">
        <v>27.9512376523669</v>
      </c>
      <c r="M54" s="8" t="n">
        <v>0.00670411895341271</v>
      </c>
      <c r="N54" s="8" t="n">
        <v>33.4529124962896</v>
      </c>
      <c r="O54" s="8" t="n">
        <v>3.07612988471628</v>
      </c>
      <c r="P54" s="8" t="n">
        <v>1.92258117794768</v>
      </c>
      <c r="Q54" s="8" t="n">
        <v>54.0238423621341</v>
      </c>
      <c r="R54" s="8" t="n">
        <v>21.5655996634027</v>
      </c>
      <c r="S54" s="8" t="n">
        <v>7.13770926156511</v>
      </c>
      <c r="T54" s="8" t="n">
        <v>0.00116258803836878</v>
      </c>
      <c r="U54" s="8" t="n">
        <v>0.000405042418913255</v>
      </c>
      <c r="V54" s="8" t="n">
        <v>90.618417682271</v>
      </c>
      <c r="W54" s="8" t="n">
        <v>36.1736676330268</v>
      </c>
      <c r="X54" s="8" t="n">
        <v>11.9726382070979</v>
      </c>
      <c r="Y54" s="8" t="n">
        <v>11.9726382070979</v>
      </c>
      <c r="Z54" s="8" t="n">
        <v>8.34246728872319</v>
      </c>
      <c r="AA54" s="8" t="n">
        <v>8.34246728872319</v>
      </c>
      <c r="AB54" s="8" t="n">
        <v>8.34246728872319</v>
      </c>
      <c r="AC54" s="8" t="n">
        <v>8.34246728872319</v>
      </c>
      <c r="AD54" s="8" t="n">
        <v>8.34246728872319</v>
      </c>
      <c r="AE54" s="8" t="n">
        <v>0.347014371161094</v>
      </c>
      <c r="AF54" s="8" t="n">
        <v>0.138523523664672</v>
      </c>
      <c r="AG54" s="8" t="n">
        <v>0.0458480475033523</v>
      </c>
      <c r="AH54" s="8" t="n">
        <v>0.0458480475033523</v>
      </c>
      <c r="AI54" s="8" t="n">
        <v>0.031946662876841</v>
      </c>
      <c r="AJ54" s="8" t="n">
        <v>0.031946662876841</v>
      </c>
      <c r="AK54" s="8" t="n">
        <v>0.031946662876841</v>
      </c>
      <c r="AL54" s="8" t="n">
        <v>0.031946662876841</v>
      </c>
      <c r="AM54" s="8" t="n">
        <v>0.031946662876841</v>
      </c>
      <c r="AN54" s="8" t="n">
        <v>0.0582645440379414</v>
      </c>
      <c r="AO54" s="8" t="n">
        <v>0.948492577361837</v>
      </c>
      <c r="AP54" s="8" t="n">
        <v>1.04876179268295</v>
      </c>
      <c r="AQ54" s="8" t="n">
        <v>3.82825842451813</v>
      </c>
      <c r="AR54" s="8" t="n">
        <v>3.82825842451813</v>
      </c>
      <c r="AS54" s="8" t="n">
        <v>3.82825842451813</v>
      </c>
      <c r="AT54" s="8" t="n">
        <v>1.1440034214102E-005</v>
      </c>
      <c r="AU54" s="8" t="n">
        <v>6.38488784472205</v>
      </c>
      <c r="AV54" s="8" t="n">
        <v>7.04226682991828</v>
      </c>
      <c r="AW54" s="8" t="n">
        <v>0.468476977955938</v>
      </c>
      <c r="AX54" s="8" t="n">
        <v>0.0221697494608405</v>
      </c>
      <c r="AY54" s="8" t="n">
        <v>0.0244523153816607</v>
      </c>
      <c r="AZ54" s="8" t="n">
        <v>0.00162665617345812</v>
      </c>
      <c r="BA54" s="8" t="n">
        <v>3.15340417419803</v>
      </c>
      <c r="BB54" s="8" t="n">
        <v>8.13789847191201</v>
      </c>
      <c r="BC54" s="8" t="n">
        <v>0.0109493200492987</v>
      </c>
      <c r="BD54" s="8" t="n">
        <v>0.0282565919163612</v>
      </c>
      <c r="BE54" s="8" t="n">
        <v>0.0221697494608405</v>
      </c>
      <c r="BF54" s="8" t="n">
        <v>0</v>
      </c>
      <c r="BG54" s="8" t="n">
        <v>0.779193952307462</v>
      </c>
      <c r="BH54" s="8" t="n">
        <v>131.690460563909</v>
      </c>
      <c r="BI54" s="8" t="n">
        <v>1.12802692237993</v>
      </c>
      <c r="BJ54" s="8" t="n">
        <v>0.0147017726850465</v>
      </c>
      <c r="BK54" s="8" t="n">
        <v>0</v>
      </c>
      <c r="BL54" s="4" t="s">
        <v>234</v>
      </c>
    </row>
    <row r="55" customFormat="false" ht="12.75" hidden="false" customHeight="false" outlineLevel="0" collapsed="false">
      <c r="A55" s="1" t="n">
        <v>1973</v>
      </c>
      <c r="B55" s="12" t="n">
        <v>13.9412041542817</v>
      </c>
      <c r="C55" s="12" t="n">
        <v>439.147930859874</v>
      </c>
      <c r="D55" s="8" t="n">
        <v>243.97107269993</v>
      </c>
      <c r="E55" s="8" t="n">
        <v>309.316189350244</v>
      </c>
      <c r="F55" s="8" t="n">
        <v>0.0985942200985252</v>
      </c>
      <c r="G55" s="8" t="n">
        <v>3.10571793310354</v>
      </c>
      <c r="H55" s="8" t="n">
        <v>1.72539885172419</v>
      </c>
      <c r="I55" s="8" t="n">
        <v>2.18752900505145</v>
      </c>
      <c r="J55" s="8" t="n">
        <v>0.457961796915268</v>
      </c>
      <c r="K55" s="8" t="n">
        <v>7.62099899592074</v>
      </c>
      <c r="L55" s="8" t="n">
        <v>22.3609901218935</v>
      </c>
      <c r="M55" s="8" t="n">
        <v>0.00536329516273017</v>
      </c>
      <c r="N55" s="8" t="n">
        <v>26.7623299970317</v>
      </c>
      <c r="O55" s="8" t="n">
        <v>2.46090390777303</v>
      </c>
      <c r="P55" s="8" t="n">
        <v>1.53806494235814</v>
      </c>
      <c r="Q55" s="8" t="n">
        <v>43.2190738897073</v>
      </c>
      <c r="R55" s="8" t="n">
        <v>17.2524797307222</v>
      </c>
      <c r="S55" s="8" t="n">
        <v>5.7101674092521</v>
      </c>
      <c r="T55" s="8" t="n">
        <v>0.000930070430695025</v>
      </c>
      <c r="U55" s="8" t="n">
        <v>0.000324033935130604</v>
      </c>
      <c r="V55" s="8" t="n">
        <v>72.4947341458169</v>
      </c>
      <c r="W55" s="8" t="n">
        <v>28.9389341064215</v>
      </c>
      <c r="X55" s="8" t="n">
        <v>9.57811056567837</v>
      </c>
      <c r="Y55" s="8" t="n">
        <v>9.57811056567837</v>
      </c>
      <c r="Z55" s="8" t="n">
        <v>6.67397383097856</v>
      </c>
      <c r="AA55" s="8" t="n">
        <v>6.67397383097856</v>
      </c>
      <c r="AB55" s="8" t="n">
        <v>6.67397383097856</v>
      </c>
      <c r="AC55" s="8" t="n">
        <v>6.67397383097856</v>
      </c>
      <c r="AD55" s="8" t="n">
        <v>6.67397383097856</v>
      </c>
      <c r="AE55" s="8" t="n">
        <v>0.277611496928876</v>
      </c>
      <c r="AF55" s="8" t="n">
        <v>0.110818818931738</v>
      </c>
      <c r="AG55" s="8" t="n">
        <v>0.0366784380026819</v>
      </c>
      <c r="AH55" s="8" t="n">
        <v>0.0366784380026819</v>
      </c>
      <c r="AI55" s="8" t="n">
        <v>0.0255573303014728</v>
      </c>
      <c r="AJ55" s="8" t="n">
        <v>0.0255573303014728</v>
      </c>
      <c r="AK55" s="8" t="n">
        <v>0.0255573303014728</v>
      </c>
      <c r="AL55" s="8" t="n">
        <v>0.0255573303014728</v>
      </c>
      <c r="AM55" s="8" t="n">
        <v>0.0255573303014728</v>
      </c>
      <c r="AN55" s="8" t="n">
        <v>0.0466116352303532</v>
      </c>
      <c r="AO55" s="8" t="n">
        <v>0.75879406188947</v>
      </c>
      <c r="AP55" s="8" t="n">
        <v>0.839009434146356</v>
      </c>
      <c r="AQ55" s="8" t="n">
        <v>3.0626067396145</v>
      </c>
      <c r="AR55" s="8" t="n">
        <v>3.0626067396145</v>
      </c>
      <c r="AS55" s="8" t="n">
        <v>3.0626067396145</v>
      </c>
      <c r="AT55" s="8" t="n">
        <v>9.15202737128161E-006</v>
      </c>
      <c r="AU55" s="8" t="n">
        <v>5.10791027577764</v>
      </c>
      <c r="AV55" s="8" t="n">
        <v>5.63381346393463</v>
      </c>
      <c r="AW55" s="8" t="n">
        <v>0.37478158236475</v>
      </c>
      <c r="AX55" s="8" t="n">
        <v>0.0177357995686724</v>
      </c>
      <c r="AY55" s="8" t="n">
        <v>0.0195618523053286</v>
      </c>
      <c r="AZ55" s="8" t="n">
        <v>0.00130132493876649</v>
      </c>
      <c r="BA55" s="8" t="n">
        <v>2.52272333935842</v>
      </c>
      <c r="BB55" s="8" t="n">
        <v>6.51031877752961</v>
      </c>
      <c r="BC55" s="8" t="n">
        <v>0.00875945603943896</v>
      </c>
      <c r="BD55" s="8" t="n">
        <v>0.0226052735330889</v>
      </c>
      <c r="BE55" s="8" t="n">
        <v>0.0177357995686724</v>
      </c>
      <c r="BF55" s="8" t="n">
        <v>0</v>
      </c>
      <c r="BG55" s="8" t="n">
        <v>0.623355161845971</v>
      </c>
      <c r="BH55" s="8" t="n">
        <v>105.352368451127</v>
      </c>
      <c r="BI55" s="8" t="n">
        <v>0.902421537903944</v>
      </c>
      <c r="BJ55" s="8" t="n">
        <v>0.0117614181480372</v>
      </c>
      <c r="BK55" s="8" t="n">
        <v>0</v>
      </c>
      <c r="BL55" s="4" t="s">
        <v>234</v>
      </c>
    </row>
    <row r="56" customFormat="false" ht="12.75" hidden="false" customHeight="false" outlineLevel="0" collapsed="false">
      <c r="A56" s="1" t="n">
        <v>1972</v>
      </c>
      <c r="B56" s="12" t="n">
        <v>11.1529633234254</v>
      </c>
      <c r="C56" s="12" t="n">
        <v>351.318344687899</v>
      </c>
      <c r="D56" s="8" t="n">
        <v>195.176858159944</v>
      </c>
      <c r="E56" s="8" t="n">
        <v>247.452951480195</v>
      </c>
      <c r="F56" s="8" t="n">
        <v>0.0788753760788204</v>
      </c>
      <c r="G56" s="8" t="n">
        <v>2.48457434648283</v>
      </c>
      <c r="H56" s="8" t="n">
        <v>1.38031908137935</v>
      </c>
      <c r="I56" s="8" t="n">
        <v>1.75002320404116</v>
      </c>
      <c r="J56" s="8" t="n">
        <v>0.366369437532214</v>
      </c>
      <c r="K56" s="8" t="n">
        <v>6.09679919673659</v>
      </c>
      <c r="L56" s="8" t="n">
        <v>17.8887920975149</v>
      </c>
      <c r="M56" s="8" t="n">
        <v>0.00429063613018413</v>
      </c>
      <c r="N56" s="8" t="n">
        <v>21.4098639976253</v>
      </c>
      <c r="O56" s="8" t="n">
        <v>1.96872312621842</v>
      </c>
      <c r="P56" s="8" t="n">
        <v>1.23045195388651</v>
      </c>
      <c r="Q56" s="8" t="n">
        <v>34.5752591117658</v>
      </c>
      <c r="R56" s="8" t="n">
        <v>13.8019837845777</v>
      </c>
      <c r="S56" s="8" t="n">
        <v>4.56813392740169</v>
      </c>
      <c r="T56" s="8" t="n">
        <v>0.00074405634455602</v>
      </c>
      <c r="U56" s="8" t="n">
        <v>0.000259227148104483</v>
      </c>
      <c r="V56" s="8" t="n">
        <v>57.9957873166535</v>
      </c>
      <c r="W56" s="8" t="n">
        <v>23.1511472851371</v>
      </c>
      <c r="X56" s="8" t="n">
        <v>7.66248845254269</v>
      </c>
      <c r="Y56" s="8" t="n">
        <v>7.66248845254269</v>
      </c>
      <c r="Z56" s="8" t="n">
        <v>5.33917906478284</v>
      </c>
      <c r="AA56" s="8" t="n">
        <v>5.33917906478284</v>
      </c>
      <c r="AB56" s="8" t="n">
        <v>5.33917906478284</v>
      </c>
      <c r="AC56" s="8" t="n">
        <v>5.33917906478284</v>
      </c>
      <c r="AD56" s="8" t="n">
        <v>5.33917906478284</v>
      </c>
      <c r="AE56" s="8" t="n">
        <v>0.2220891975431</v>
      </c>
      <c r="AF56" s="8" t="n">
        <v>0.0886550551453902</v>
      </c>
      <c r="AG56" s="8" t="n">
        <v>0.0293427504021455</v>
      </c>
      <c r="AH56" s="8" t="n">
        <v>0.0293427504021455</v>
      </c>
      <c r="AI56" s="8" t="n">
        <v>0.0204458642411782</v>
      </c>
      <c r="AJ56" s="8" t="n">
        <v>0.0204458642411782</v>
      </c>
      <c r="AK56" s="8" t="n">
        <v>0.0204458642411782</v>
      </c>
      <c r="AL56" s="8" t="n">
        <v>0.0204458642411782</v>
      </c>
      <c r="AM56" s="8" t="n">
        <v>0.0204458642411782</v>
      </c>
      <c r="AN56" s="8" t="n">
        <v>0.0372893081842825</v>
      </c>
      <c r="AO56" s="8" t="n">
        <v>0.607035249511575</v>
      </c>
      <c r="AP56" s="8" t="n">
        <v>0.671207547317085</v>
      </c>
      <c r="AQ56" s="8" t="n">
        <v>2.4500853916916</v>
      </c>
      <c r="AR56" s="8" t="n">
        <v>2.4500853916916</v>
      </c>
      <c r="AS56" s="8" t="n">
        <v>2.4500853916916</v>
      </c>
      <c r="AT56" s="8" t="n">
        <v>7.32162189702529E-006</v>
      </c>
      <c r="AU56" s="8" t="n">
        <v>4.08632822062211</v>
      </c>
      <c r="AV56" s="8" t="n">
        <v>4.5070507711477</v>
      </c>
      <c r="AW56" s="8" t="n">
        <v>0.2998252658918</v>
      </c>
      <c r="AX56" s="8" t="n">
        <v>0.0141886396549379</v>
      </c>
      <c r="AY56" s="8" t="n">
        <v>0.0156494818442629</v>
      </c>
      <c r="AZ56" s="8" t="n">
        <v>0.00104105995101319</v>
      </c>
      <c r="BA56" s="8" t="n">
        <v>2.01817867148674</v>
      </c>
      <c r="BB56" s="8" t="n">
        <v>5.20825502202369</v>
      </c>
      <c r="BC56" s="8" t="n">
        <v>0.00700756483155119</v>
      </c>
      <c r="BD56" s="8" t="n">
        <v>0.0180842188264711</v>
      </c>
      <c r="BE56" s="8" t="n">
        <v>0.0141886396549379</v>
      </c>
      <c r="BF56" s="8" t="n">
        <v>0</v>
      </c>
      <c r="BG56" s="8" t="n">
        <v>0.498684129476777</v>
      </c>
      <c r="BH56" s="8" t="n">
        <v>84.2818947609019</v>
      </c>
      <c r="BI56" s="8" t="n">
        <v>0.721937230323156</v>
      </c>
      <c r="BJ56" s="8" t="n">
        <v>0.00940913451842975</v>
      </c>
      <c r="BK56" s="8" t="n">
        <v>0</v>
      </c>
      <c r="BL56" s="4" t="s">
        <v>234</v>
      </c>
    </row>
    <row r="57" customFormat="false" ht="12.75" hidden="false" customHeight="false" outlineLevel="0" collapsed="false">
      <c r="A57" s="1" t="n">
        <v>1971</v>
      </c>
      <c r="B57" s="12" t="n">
        <v>8.9223706587403</v>
      </c>
      <c r="C57" s="12" t="n">
        <v>281.054675750319</v>
      </c>
      <c r="D57" s="8" t="n">
        <v>156.141486527955</v>
      </c>
      <c r="E57" s="8" t="n">
        <v>197.962361184157</v>
      </c>
      <c r="F57" s="8" t="n">
        <v>0.063100300863056</v>
      </c>
      <c r="G57" s="8" t="n">
        <v>1.98765947718626</v>
      </c>
      <c r="H57" s="8" t="n">
        <v>1.10425526510348</v>
      </c>
      <c r="I57" s="8" t="n">
        <v>1.40001856323293</v>
      </c>
      <c r="J57" s="8" t="n">
        <v>0.293095550025771</v>
      </c>
      <c r="K57" s="8" t="n">
        <v>4.87743935738927</v>
      </c>
      <c r="L57" s="8" t="n">
        <v>14.3110336780119</v>
      </c>
      <c r="M57" s="8" t="n">
        <v>0.00343250890414731</v>
      </c>
      <c r="N57" s="8" t="n">
        <v>17.1278911981003</v>
      </c>
      <c r="O57" s="8" t="n">
        <v>1.57497850097474</v>
      </c>
      <c r="P57" s="8" t="n">
        <v>0.98436156310921</v>
      </c>
      <c r="Q57" s="8" t="n">
        <v>27.6602072894126</v>
      </c>
      <c r="R57" s="8" t="n">
        <v>11.0415870276622</v>
      </c>
      <c r="S57" s="8" t="n">
        <v>3.65450714192135</v>
      </c>
      <c r="T57" s="8" t="n">
        <v>0.000595245075644816</v>
      </c>
      <c r="U57" s="8" t="n">
        <v>0.000207381718483586</v>
      </c>
      <c r="V57" s="8" t="n">
        <v>46.3966298533227</v>
      </c>
      <c r="W57" s="8" t="n">
        <v>18.5209178281098</v>
      </c>
      <c r="X57" s="8" t="n">
        <v>6.12999076203415</v>
      </c>
      <c r="Y57" s="8" t="n">
        <v>6.12999076203415</v>
      </c>
      <c r="Z57" s="8" t="n">
        <v>4.27134325182628</v>
      </c>
      <c r="AA57" s="8" t="n">
        <v>4.27134325182628</v>
      </c>
      <c r="AB57" s="8" t="n">
        <v>4.27134325182628</v>
      </c>
      <c r="AC57" s="8" t="n">
        <v>4.27134325182628</v>
      </c>
      <c r="AD57" s="8" t="n">
        <v>4.27134325182628</v>
      </c>
      <c r="AE57" s="8" t="n">
        <v>0.17767135803448</v>
      </c>
      <c r="AF57" s="8" t="n">
        <v>0.0709240441163123</v>
      </c>
      <c r="AG57" s="8" t="n">
        <v>0.0234742003217164</v>
      </c>
      <c r="AH57" s="8" t="n">
        <v>0.0234742003217164</v>
      </c>
      <c r="AI57" s="8" t="n">
        <v>0.0163566913929426</v>
      </c>
      <c r="AJ57" s="8" t="n">
        <v>0.0163566913929426</v>
      </c>
      <c r="AK57" s="8" t="n">
        <v>0.0163566913929426</v>
      </c>
      <c r="AL57" s="8" t="n">
        <v>0.0163566913929426</v>
      </c>
      <c r="AM57" s="8" t="n">
        <v>0.0163566913929426</v>
      </c>
      <c r="AN57" s="8" t="n">
        <v>0.029831446547426</v>
      </c>
      <c r="AO57" s="8" t="n">
        <v>0.485628199609261</v>
      </c>
      <c r="AP57" s="8" t="n">
        <v>0.536966037853668</v>
      </c>
      <c r="AQ57" s="8" t="n">
        <v>1.96006831335328</v>
      </c>
      <c r="AR57" s="8" t="n">
        <v>1.96006831335328</v>
      </c>
      <c r="AS57" s="8" t="n">
        <v>1.96006831335328</v>
      </c>
      <c r="AT57" s="8" t="n">
        <v>5.85729751762023E-006</v>
      </c>
      <c r="AU57" s="8" t="n">
        <v>3.2690625764977</v>
      </c>
      <c r="AV57" s="8" t="n">
        <v>3.60564061691816</v>
      </c>
      <c r="AW57" s="8" t="n">
        <v>0.23986021271344</v>
      </c>
      <c r="AX57" s="8" t="n">
        <v>0.0113509117239503</v>
      </c>
      <c r="AY57" s="8" t="n">
        <v>0.0125195854754103</v>
      </c>
      <c r="AZ57" s="8" t="n">
        <v>0.000832847960810556</v>
      </c>
      <c r="BA57" s="8" t="n">
        <v>1.61454293718939</v>
      </c>
      <c r="BB57" s="8" t="n">
        <v>4.16660401761895</v>
      </c>
      <c r="BC57" s="8" t="n">
        <v>0.00560605186524095</v>
      </c>
      <c r="BD57" s="8" t="n">
        <v>0.0144673750611769</v>
      </c>
      <c r="BE57" s="8" t="n">
        <v>0.0113509117239503</v>
      </c>
      <c r="BF57" s="8" t="n">
        <v>0</v>
      </c>
      <c r="BG57" s="8" t="n">
        <v>0.398947303581422</v>
      </c>
      <c r="BH57" s="8" t="n">
        <v>67.4255158087215</v>
      </c>
      <c r="BI57" s="8" t="n">
        <v>0.577549784258525</v>
      </c>
      <c r="BJ57" s="8" t="n">
        <v>0.0075273076147438</v>
      </c>
      <c r="BK57" s="8" t="n">
        <v>0</v>
      </c>
      <c r="BL57" s="4" t="s">
        <v>234</v>
      </c>
    </row>
    <row r="58" customFormat="false" ht="12.75" hidden="false" customHeight="false" outlineLevel="0" collapsed="false">
      <c r="A58" s="1" t="n">
        <v>1970</v>
      </c>
      <c r="B58" s="12" t="n">
        <v>7.13789652699224</v>
      </c>
      <c r="C58" s="12" t="n">
        <v>224.843740600256</v>
      </c>
      <c r="D58" s="8" t="n">
        <v>124.913189222364</v>
      </c>
      <c r="E58" s="8" t="n">
        <v>158.369888947325</v>
      </c>
      <c r="F58" s="8" t="n">
        <v>0.0504802406904449</v>
      </c>
      <c r="G58" s="8" t="n">
        <v>1.59012758174901</v>
      </c>
      <c r="H58" s="8" t="n">
        <v>0.883404212082786</v>
      </c>
      <c r="I58" s="8" t="n">
        <v>1.12001485058634</v>
      </c>
      <c r="J58" s="8" t="n">
        <v>0.234476440020617</v>
      </c>
      <c r="K58" s="8" t="n">
        <v>3.90195148591142</v>
      </c>
      <c r="L58" s="8" t="n">
        <v>11.4488269424095</v>
      </c>
      <c r="M58" s="8" t="n">
        <v>0.00274600712331785</v>
      </c>
      <c r="N58" s="8" t="n">
        <v>13.7023129584802</v>
      </c>
      <c r="O58" s="8" t="n">
        <v>1.25998280077979</v>
      </c>
      <c r="P58" s="8" t="n">
        <v>0.787489250487369</v>
      </c>
      <c r="Q58" s="8" t="n">
        <v>22.1281658315301</v>
      </c>
      <c r="R58" s="8" t="n">
        <v>8.83326962212978</v>
      </c>
      <c r="S58" s="8" t="n">
        <v>2.92360571353708</v>
      </c>
      <c r="T58" s="8" t="n">
        <v>0.000476196060515853</v>
      </c>
      <c r="U58" s="8" t="n">
        <v>0.000165905374786869</v>
      </c>
      <c r="V58" s="8" t="n">
        <v>37.1173038826582</v>
      </c>
      <c r="W58" s="8" t="n">
        <v>14.8167342624878</v>
      </c>
      <c r="X58" s="8" t="n">
        <v>4.90399260962732</v>
      </c>
      <c r="Y58" s="8" t="n">
        <v>4.90399260962732</v>
      </c>
      <c r="Z58" s="8" t="n">
        <v>3.41707460146102</v>
      </c>
      <c r="AA58" s="8" t="n">
        <v>3.41707460146102</v>
      </c>
      <c r="AB58" s="8" t="n">
        <v>3.41707460146102</v>
      </c>
      <c r="AC58" s="8" t="n">
        <v>3.41707460146102</v>
      </c>
      <c r="AD58" s="8" t="n">
        <v>3.41707460146102</v>
      </c>
      <c r="AE58" s="8" t="n">
        <v>0.142137086427584</v>
      </c>
      <c r="AF58" s="8" t="n">
        <v>0.0567392352930499</v>
      </c>
      <c r="AG58" s="8" t="n">
        <v>0.0187793602573731</v>
      </c>
      <c r="AH58" s="8" t="n">
        <v>0.0187793602573731</v>
      </c>
      <c r="AI58" s="8" t="n">
        <v>0.0130853531143541</v>
      </c>
      <c r="AJ58" s="8" t="n">
        <v>0.0130853531143541</v>
      </c>
      <c r="AK58" s="8" t="n">
        <v>0.0130853531143541</v>
      </c>
      <c r="AL58" s="8" t="n">
        <v>0.0130853531143541</v>
      </c>
      <c r="AM58" s="8" t="n">
        <v>0.0130853531143541</v>
      </c>
      <c r="AN58" s="8" t="n">
        <v>0.0238651572379408</v>
      </c>
      <c r="AO58" s="8" t="n">
        <v>0.388502559687408</v>
      </c>
      <c r="AP58" s="8" t="n">
        <v>0.429572830282934</v>
      </c>
      <c r="AQ58" s="8" t="n">
        <v>1.56805465068263</v>
      </c>
      <c r="AR58" s="8" t="n">
        <v>1.56805465068263</v>
      </c>
      <c r="AS58" s="8" t="n">
        <v>1.56805465068263</v>
      </c>
      <c r="AT58" s="8" t="n">
        <v>4.68583801409618E-006</v>
      </c>
      <c r="AU58" s="8" t="n">
        <v>2.61525006119816</v>
      </c>
      <c r="AV58" s="8" t="n">
        <v>2.88451249353453</v>
      </c>
      <c r="AW58" s="8" t="n">
        <v>0.191888170170752</v>
      </c>
      <c r="AX58" s="8" t="n">
        <v>0.00908072937916027</v>
      </c>
      <c r="AY58" s="8" t="n">
        <v>0.0100156683803282</v>
      </c>
      <c r="AZ58" s="8" t="n">
        <v>0.000666278368648444</v>
      </c>
      <c r="BA58" s="8" t="n">
        <v>1.29163434975151</v>
      </c>
      <c r="BB58" s="8" t="n">
        <v>3.33328321409516</v>
      </c>
      <c r="BC58" s="8" t="n">
        <v>0.00448484149219275</v>
      </c>
      <c r="BD58" s="8" t="n">
        <v>0.0115739000489415</v>
      </c>
      <c r="BE58" s="8" t="n">
        <v>0.00908072937916027</v>
      </c>
      <c r="BF58" s="8" t="n">
        <v>0</v>
      </c>
      <c r="BG58" s="8" t="n">
        <v>0.319157842865137</v>
      </c>
      <c r="BH58" s="8" t="n">
        <v>53.9404126469772</v>
      </c>
      <c r="BI58" s="8" t="n">
        <v>0.46203982740682</v>
      </c>
      <c r="BJ58" s="8" t="n">
        <v>0.00602184609179504</v>
      </c>
      <c r="BK58" s="8" t="n">
        <v>0</v>
      </c>
      <c r="BL58" s="4" t="s">
        <v>234</v>
      </c>
    </row>
    <row r="59" customFormat="false" ht="12.75" hidden="false" customHeight="false" outlineLevel="0" collapsed="false">
      <c r="A59" s="1" t="n">
        <v>1969</v>
      </c>
      <c r="B59" s="12" t="n">
        <v>5.71031722159379</v>
      </c>
      <c r="C59" s="12" t="n">
        <v>179.874992480205</v>
      </c>
      <c r="D59" s="8" t="n">
        <v>99.9305513778912</v>
      </c>
      <c r="E59" s="8" t="n">
        <v>126.69591115786</v>
      </c>
      <c r="F59" s="8" t="n">
        <v>0.0403841925523559</v>
      </c>
      <c r="G59" s="8" t="n">
        <v>1.27210206539921</v>
      </c>
      <c r="H59" s="8" t="n">
        <v>0.706723369666227</v>
      </c>
      <c r="I59" s="8" t="n">
        <v>0.896011880469071</v>
      </c>
      <c r="J59" s="8" t="n">
        <v>0.187581152016494</v>
      </c>
      <c r="K59" s="8" t="n">
        <v>3.12156118872914</v>
      </c>
      <c r="L59" s="8" t="n">
        <v>9.15906155392759</v>
      </c>
      <c r="M59" s="8" t="n">
        <v>0.00219680569865427</v>
      </c>
      <c r="N59" s="8" t="n">
        <v>10.9618503667842</v>
      </c>
      <c r="O59" s="8" t="n">
        <v>1.00798624062383</v>
      </c>
      <c r="P59" s="8" t="n">
        <v>0.629991400389896</v>
      </c>
      <c r="Q59" s="8" t="n">
        <v>17.7025326652241</v>
      </c>
      <c r="R59" s="8" t="n">
        <v>7.0666156977038</v>
      </c>
      <c r="S59" s="8" t="n">
        <v>2.33888457082966</v>
      </c>
      <c r="T59" s="8" t="n">
        <v>0.000380956848412682</v>
      </c>
      <c r="U59" s="8" t="n">
        <v>0.000132724299829496</v>
      </c>
      <c r="V59" s="8" t="n">
        <v>29.6938431061266</v>
      </c>
      <c r="W59" s="8" t="n">
        <v>11.8533874099902</v>
      </c>
      <c r="X59" s="8" t="n">
        <v>3.92319408770186</v>
      </c>
      <c r="Y59" s="8" t="n">
        <v>3.92319408770186</v>
      </c>
      <c r="Z59" s="8" t="n">
        <v>2.73365968116882</v>
      </c>
      <c r="AA59" s="8" t="n">
        <v>2.73365968116882</v>
      </c>
      <c r="AB59" s="8" t="n">
        <v>2.73365968116882</v>
      </c>
      <c r="AC59" s="8" t="n">
        <v>2.73365968116882</v>
      </c>
      <c r="AD59" s="8" t="n">
        <v>2.73365968116882</v>
      </c>
      <c r="AE59" s="8" t="n">
        <v>0.113709669142067</v>
      </c>
      <c r="AF59" s="8" t="n">
        <v>0.0453913882344398</v>
      </c>
      <c r="AG59" s="8" t="n">
        <v>0.0150234882058985</v>
      </c>
      <c r="AH59" s="8" t="n">
        <v>0.0150234882058985</v>
      </c>
      <c r="AI59" s="8" t="n">
        <v>0.0104682824914833</v>
      </c>
      <c r="AJ59" s="8" t="n">
        <v>0.0104682824914833</v>
      </c>
      <c r="AK59" s="8" t="n">
        <v>0.0104682824914833</v>
      </c>
      <c r="AL59" s="8" t="n">
        <v>0.0104682824914833</v>
      </c>
      <c r="AM59" s="8" t="n">
        <v>0.0104682824914833</v>
      </c>
      <c r="AN59" s="8" t="n">
        <v>0.0190921257903526</v>
      </c>
      <c r="AO59" s="8" t="n">
        <v>0.310802047749926</v>
      </c>
      <c r="AP59" s="8" t="n">
        <v>0.343658264226348</v>
      </c>
      <c r="AQ59" s="8" t="n">
        <v>1.2544437205461</v>
      </c>
      <c r="AR59" s="8" t="n">
        <v>1.2544437205461</v>
      </c>
      <c r="AS59" s="8" t="n">
        <v>1.2544437205461</v>
      </c>
      <c r="AT59" s="8" t="n">
        <v>3.74867041127694E-006</v>
      </c>
      <c r="AU59" s="8" t="n">
        <v>2.09220004895853</v>
      </c>
      <c r="AV59" s="8" t="n">
        <v>2.30760999482762</v>
      </c>
      <c r="AW59" s="8" t="n">
        <v>0.153510536136602</v>
      </c>
      <c r="AX59" s="8" t="n">
        <v>0.00726458350332821</v>
      </c>
      <c r="AY59" s="8" t="n">
        <v>0.00801253470426258</v>
      </c>
      <c r="AZ59" s="8" t="n">
        <v>0.000533022694918757</v>
      </c>
      <c r="BA59" s="8" t="n">
        <v>1.03330747980121</v>
      </c>
      <c r="BB59" s="8" t="n">
        <v>2.66662657127613</v>
      </c>
      <c r="BC59" s="8" t="n">
        <v>0.0035878731937542</v>
      </c>
      <c r="BD59" s="8" t="n">
        <v>0.00925912003915323</v>
      </c>
      <c r="BE59" s="8" t="n">
        <v>0.00726458350332821</v>
      </c>
      <c r="BF59" s="8" t="n">
        <v>0</v>
      </c>
      <c r="BG59" s="8" t="n">
        <v>0.25532627429211</v>
      </c>
      <c r="BH59" s="8" t="n">
        <v>43.1523301175818</v>
      </c>
      <c r="BI59" s="8" t="n">
        <v>0.369631861925456</v>
      </c>
      <c r="BJ59" s="8" t="n">
        <v>0.00481747687343604</v>
      </c>
      <c r="BK59" s="8" t="n">
        <v>0</v>
      </c>
      <c r="BL59" s="4" t="s">
        <v>234</v>
      </c>
    </row>
    <row r="60" customFormat="false" ht="12.75" hidden="false" customHeight="false" outlineLevel="0" collapsed="false">
      <c r="A60" s="1" t="n">
        <v>1968</v>
      </c>
      <c r="B60" s="12" t="n">
        <v>4.56825377727504</v>
      </c>
      <c r="C60" s="12" t="n">
        <v>143.899993984163</v>
      </c>
      <c r="D60" s="8" t="n">
        <v>79.9444411023131</v>
      </c>
      <c r="E60" s="8" t="n">
        <v>101.356728926288</v>
      </c>
      <c r="F60" s="8" t="n">
        <v>0.0323073540418847</v>
      </c>
      <c r="G60" s="8" t="n">
        <v>1.01768165231937</v>
      </c>
      <c r="H60" s="8" t="n">
        <v>0.565378695732983</v>
      </c>
      <c r="I60" s="8" t="n">
        <v>0.71680950437526</v>
      </c>
      <c r="J60" s="8" t="n">
        <v>0.150064921613195</v>
      </c>
      <c r="K60" s="8" t="n">
        <v>2.4972489509833</v>
      </c>
      <c r="L60" s="8" t="n">
        <v>7.32724924314207</v>
      </c>
      <c r="M60" s="8" t="n">
        <v>0.00175744455892342</v>
      </c>
      <c r="N60" s="8" t="n">
        <v>8.76948029342734</v>
      </c>
      <c r="O60" s="8" t="n">
        <v>0.806388992499067</v>
      </c>
      <c r="P60" s="8" t="n">
        <v>0.503993120311918</v>
      </c>
      <c r="Q60" s="8" t="n">
        <v>14.1620261321793</v>
      </c>
      <c r="R60" s="8" t="n">
        <v>5.65329255816304</v>
      </c>
      <c r="S60" s="8" t="n">
        <v>1.87110765666373</v>
      </c>
      <c r="T60" s="8" t="n">
        <v>0.000304765478730146</v>
      </c>
      <c r="U60" s="8" t="n">
        <v>0.000106179439863596</v>
      </c>
      <c r="V60" s="8" t="n">
        <v>23.7550744849012</v>
      </c>
      <c r="W60" s="8" t="n">
        <v>9.48270992799217</v>
      </c>
      <c r="X60" s="8" t="n">
        <v>3.13855527016149</v>
      </c>
      <c r="Y60" s="8" t="n">
        <v>3.13855527016149</v>
      </c>
      <c r="Z60" s="8" t="n">
        <v>2.18692774493505</v>
      </c>
      <c r="AA60" s="8" t="n">
        <v>2.18692774493505</v>
      </c>
      <c r="AB60" s="8" t="n">
        <v>2.18692774493505</v>
      </c>
      <c r="AC60" s="8" t="n">
        <v>2.18692774493505</v>
      </c>
      <c r="AD60" s="8" t="n">
        <v>2.18692774493505</v>
      </c>
      <c r="AE60" s="8" t="n">
        <v>0.0909677353136538</v>
      </c>
      <c r="AF60" s="8" t="n">
        <v>0.0363131105875518</v>
      </c>
      <c r="AG60" s="8" t="n">
        <v>0.0120187905647188</v>
      </c>
      <c r="AH60" s="8" t="n">
        <v>0.0120187905647188</v>
      </c>
      <c r="AI60" s="8" t="n">
        <v>0.00837462599318659</v>
      </c>
      <c r="AJ60" s="8" t="n">
        <v>0.00837462599318659</v>
      </c>
      <c r="AK60" s="8" t="n">
        <v>0.00837462599318659</v>
      </c>
      <c r="AL60" s="8" t="n">
        <v>0.00837462599318659</v>
      </c>
      <c r="AM60" s="8" t="n">
        <v>0.00837462599318659</v>
      </c>
      <c r="AN60" s="8" t="n">
        <v>0.0152737006322822</v>
      </c>
      <c r="AO60" s="8" t="n">
        <v>0.248641638199942</v>
      </c>
      <c r="AP60" s="8" t="n">
        <v>0.274926611381078</v>
      </c>
      <c r="AQ60" s="8" t="n">
        <v>1.00355497643688</v>
      </c>
      <c r="AR60" s="8" t="n">
        <v>1.00355497643688</v>
      </c>
      <c r="AS60" s="8" t="n">
        <v>1.00355497643688</v>
      </c>
      <c r="AT60" s="8" t="n">
        <v>2.99893632902155E-006</v>
      </c>
      <c r="AU60" s="8" t="n">
        <v>1.67376003916682</v>
      </c>
      <c r="AV60" s="8" t="n">
        <v>1.8460879958621</v>
      </c>
      <c r="AW60" s="8" t="n">
        <v>0.122808428909281</v>
      </c>
      <c r="AX60" s="8" t="n">
        <v>0.00581166680266256</v>
      </c>
      <c r="AY60" s="8" t="n">
        <v>0.00641002776341007</v>
      </c>
      <c r="AZ60" s="8" t="n">
        <v>0.000426418155935003</v>
      </c>
      <c r="BA60" s="8" t="n">
        <v>0.826645983840969</v>
      </c>
      <c r="BB60" s="8" t="n">
        <v>2.1333012570209</v>
      </c>
      <c r="BC60" s="8" t="n">
        <v>0.00287029855500336</v>
      </c>
      <c r="BD60" s="8" t="n">
        <v>0.00740729603132258</v>
      </c>
      <c r="BE60" s="8" t="n">
        <v>0.00581166680266256</v>
      </c>
      <c r="BF60" s="8" t="n">
        <v>0</v>
      </c>
      <c r="BG60" s="8" t="n">
        <v>0.204261019433688</v>
      </c>
      <c r="BH60" s="8" t="n">
        <v>34.5218640940654</v>
      </c>
      <c r="BI60" s="8" t="n">
        <v>0.295705489540364</v>
      </c>
      <c r="BJ60" s="8" t="n">
        <v>0.00385398149874882</v>
      </c>
      <c r="BK60" s="8" t="n">
        <v>0</v>
      </c>
      <c r="BL60" s="4" t="s">
        <v>234</v>
      </c>
    </row>
    <row r="61" customFormat="false" ht="12.75" hidden="false" customHeight="false" outlineLevel="0" collapsed="false">
      <c r="A61" s="1" t="n">
        <v>1967</v>
      </c>
      <c r="B61" s="12" t="n">
        <v>3.65460302182003</v>
      </c>
      <c r="C61" s="12" t="n">
        <v>115.11999518733</v>
      </c>
      <c r="D61" s="8" t="n">
        <v>63.9555528818505</v>
      </c>
      <c r="E61" s="8" t="n">
        <v>81.0853831410304</v>
      </c>
      <c r="F61" s="8" t="n">
        <v>0.0258458832335078</v>
      </c>
      <c r="G61" s="8" t="n">
        <v>0.814145321855492</v>
      </c>
      <c r="H61" s="8" t="n">
        <v>0.452302956586386</v>
      </c>
      <c r="I61" s="8" t="n">
        <v>0.573447603500208</v>
      </c>
      <c r="J61" s="8" t="n">
        <v>0.120051937290556</v>
      </c>
      <c r="K61" s="8" t="n">
        <v>1.99779916078664</v>
      </c>
      <c r="L61" s="8" t="n">
        <v>5.86179939451366</v>
      </c>
      <c r="M61" s="8" t="n">
        <v>0.00140595564713874</v>
      </c>
      <c r="N61" s="8" t="n">
        <v>7.01558423474186</v>
      </c>
      <c r="O61" s="8" t="n">
        <v>0.645111193999251</v>
      </c>
      <c r="P61" s="8" t="n">
        <v>0.403194496249533</v>
      </c>
      <c r="Q61" s="8" t="n">
        <v>11.3296209057434</v>
      </c>
      <c r="R61" s="8" t="n">
        <v>4.52263404653043</v>
      </c>
      <c r="S61" s="8" t="n">
        <v>1.49688612533098</v>
      </c>
      <c r="T61" s="8" t="n">
        <v>0.000243812382984116</v>
      </c>
      <c r="U61" s="8" t="n">
        <v>8.49435518908773E-005</v>
      </c>
      <c r="V61" s="8" t="n">
        <v>19.004059587921</v>
      </c>
      <c r="W61" s="8" t="n">
        <v>7.58616794239374</v>
      </c>
      <c r="X61" s="8" t="n">
        <v>2.51084421612919</v>
      </c>
      <c r="Y61" s="8" t="n">
        <v>2.51084421612919</v>
      </c>
      <c r="Z61" s="8" t="n">
        <v>1.74954219594805</v>
      </c>
      <c r="AA61" s="8" t="n">
        <v>1.74954219594805</v>
      </c>
      <c r="AB61" s="8" t="n">
        <v>1.74954219594805</v>
      </c>
      <c r="AC61" s="8" t="n">
        <v>1.74954219594805</v>
      </c>
      <c r="AD61" s="8" t="n">
        <v>1.74954219594805</v>
      </c>
      <c r="AE61" s="8" t="n">
        <v>0.072774188250923</v>
      </c>
      <c r="AF61" s="8" t="n">
        <v>0.0290504884700415</v>
      </c>
      <c r="AG61" s="8" t="n">
        <v>0.00961503245177504</v>
      </c>
      <c r="AH61" s="8" t="n">
        <v>0.00961503245177504</v>
      </c>
      <c r="AI61" s="8" t="n">
        <v>0.0066997007945493</v>
      </c>
      <c r="AJ61" s="8" t="n">
        <v>0.0066997007945493</v>
      </c>
      <c r="AK61" s="8" t="n">
        <v>0.0066997007945493</v>
      </c>
      <c r="AL61" s="8" t="n">
        <v>0.0066997007945493</v>
      </c>
      <c r="AM61" s="8" t="n">
        <v>0.0066997007945493</v>
      </c>
      <c r="AN61" s="8" t="n">
        <v>0.0122189605058257</v>
      </c>
      <c r="AO61" s="8" t="n">
        <v>0.198913310559953</v>
      </c>
      <c r="AP61" s="8" t="n">
        <v>0.219941289104863</v>
      </c>
      <c r="AQ61" s="8" t="n">
        <v>0.802843981149505</v>
      </c>
      <c r="AR61" s="8" t="n">
        <v>0.802843981149505</v>
      </c>
      <c r="AS61" s="8" t="n">
        <v>0.802843981149505</v>
      </c>
      <c r="AT61" s="8" t="n">
        <v>2.39914906321724E-006</v>
      </c>
      <c r="AU61" s="8" t="n">
        <v>1.33900803133346</v>
      </c>
      <c r="AV61" s="8" t="n">
        <v>1.47687039668968</v>
      </c>
      <c r="AW61" s="8" t="n">
        <v>0.0982467431274255</v>
      </c>
      <c r="AX61" s="8" t="n">
        <v>0.00464933344213006</v>
      </c>
      <c r="AY61" s="8" t="n">
        <v>0.00512802221072806</v>
      </c>
      <c r="AZ61" s="8" t="n">
        <v>0.000341134524748005</v>
      </c>
      <c r="BA61" s="8" t="n">
        <v>0.661316787072775</v>
      </c>
      <c r="BB61" s="8" t="n">
        <v>1.70664100561672</v>
      </c>
      <c r="BC61" s="8" t="n">
        <v>0.00229623884400269</v>
      </c>
      <c r="BD61" s="8" t="n">
        <v>0.00592583682505806</v>
      </c>
      <c r="BE61" s="8" t="n">
        <v>0.00464933344213006</v>
      </c>
      <c r="BF61" s="8" t="n">
        <v>0</v>
      </c>
      <c r="BG61" s="8" t="n">
        <v>0.163408815546951</v>
      </c>
      <c r="BH61" s="8" t="n">
        <v>27.6174912752524</v>
      </c>
      <c r="BI61" s="8" t="n">
        <v>0.236564391632292</v>
      </c>
      <c r="BJ61" s="8" t="n">
        <v>0.00308318519899907</v>
      </c>
      <c r="BK61" s="8" t="n">
        <v>0</v>
      </c>
      <c r="BL61" s="4" t="s">
        <v>234</v>
      </c>
    </row>
    <row r="62" customFormat="false" ht="12.75" hidden="false" customHeight="false" outlineLevel="0" collapsed="false">
      <c r="A62" s="1" t="n">
        <v>1966</v>
      </c>
      <c r="B62" s="12" t="n">
        <v>2.92368241745602</v>
      </c>
      <c r="C62" s="12" t="n">
        <v>92.0959961498647</v>
      </c>
      <c r="D62" s="8" t="n">
        <v>51.1644423054804</v>
      </c>
      <c r="E62" s="8" t="n">
        <v>64.8683065128243</v>
      </c>
      <c r="F62" s="8" t="n">
        <v>0.0206767065868062</v>
      </c>
      <c r="G62" s="8" t="n">
        <v>0.651316257484396</v>
      </c>
      <c r="H62" s="8" t="n">
        <v>0.361842365269109</v>
      </c>
      <c r="I62" s="8" t="n">
        <v>0.458758082800166</v>
      </c>
      <c r="J62" s="8" t="n">
        <v>0.0960415498324448</v>
      </c>
      <c r="K62" s="8" t="n">
        <v>1.59823932862932</v>
      </c>
      <c r="L62" s="8" t="n">
        <v>4.68943951561093</v>
      </c>
      <c r="M62" s="8" t="n">
        <v>0.00112476451771099</v>
      </c>
      <c r="N62" s="8" t="n">
        <v>5.61246738779351</v>
      </c>
      <c r="O62" s="8" t="n">
        <v>0.516088955199402</v>
      </c>
      <c r="P62" s="8" t="n">
        <v>0.322555596999626</v>
      </c>
      <c r="Q62" s="8" t="n">
        <v>9.06369672459472</v>
      </c>
      <c r="R62" s="8" t="n">
        <v>3.61810723722435</v>
      </c>
      <c r="S62" s="8" t="n">
        <v>1.19750890026479</v>
      </c>
      <c r="T62" s="8" t="n">
        <v>0.000195049906387294</v>
      </c>
      <c r="U62" s="8" t="n">
        <v>6.79548415127014E-005</v>
      </c>
      <c r="V62" s="8" t="n">
        <v>15.2032476703368</v>
      </c>
      <c r="W62" s="8" t="n">
        <v>6.068934353915</v>
      </c>
      <c r="X62" s="8" t="n">
        <v>2.00867537290336</v>
      </c>
      <c r="Y62" s="8" t="n">
        <v>2.00867537290336</v>
      </c>
      <c r="Z62" s="8" t="n">
        <v>1.39963375675843</v>
      </c>
      <c r="AA62" s="8" t="n">
        <v>1.39963375675843</v>
      </c>
      <c r="AB62" s="8" t="n">
        <v>1.39963375675843</v>
      </c>
      <c r="AC62" s="8" t="n">
        <v>1.39963375675843</v>
      </c>
      <c r="AD62" s="8" t="n">
        <v>1.39963375675843</v>
      </c>
      <c r="AE62" s="8" t="n">
        <v>0.0582193506007384</v>
      </c>
      <c r="AF62" s="8" t="n">
        <v>0.0232403907760332</v>
      </c>
      <c r="AG62" s="8" t="n">
        <v>0.00769202596142005</v>
      </c>
      <c r="AH62" s="8" t="n">
        <v>0.00769202596142005</v>
      </c>
      <c r="AI62" s="8" t="n">
        <v>0.00535976063563941</v>
      </c>
      <c r="AJ62" s="8" t="n">
        <v>0.00535976063563941</v>
      </c>
      <c r="AK62" s="8" t="n">
        <v>0.00535976063563941</v>
      </c>
      <c r="AL62" s="8" t="n">
        <v>0.00535976063563941</v>
      </c>
      <c r="AM62" s="8" t="n">
        <v>0.00535976063563941</v>
      </c>
      <c r="AN62" s="8" t="n">
        <v>0.00977516840466056</v>
      </c>
      <c r="AO62" s="8" t="n">
        <v>0.159130648447963</v>
      </c>
      <c r="AP62" s="8" t="n">
        <v>0.17595303128389</v>
      </c>
      <c r="AQ62" s="8" t="n">
        <v>0.642275184919604</v>
      </c>
      <c r="AR62" s="8" t="n">
        <v>0.642275184919604</v>
      </c>
      <c r="AS62" s="8" t="n">
        <v>0.642275184919604</v>
      </c>
      <c r="AT62" s="8" t="n">
        <v>1.91931925057379E-006</v>
      </c>
      <c r="AU62" s="8" t="n">
        <v>1.07120642506676</v>
      </c>
      <c r="AV62" s="8" t="n">
        <v>1.18149631735174</v>
      </c>
      <c r="AW62" s="8" t="n">
        <v>0.07859739450194</v>
      </c>
      <c r="AX62" s="8" t="n">
        <v>0.00371946675370403</v>
      </c>
      <c r="AY62" s="8" t="n">
        <v>0.00410241776858243</v>
      </c>
      <c r="AZ62" s="8" t="n">
        <v>0.000272907619798403</v>
      </c>
      <c r="BA62" s="8" t="n">
        <v>0.52905342965822</v>
      </c>
      <c r="BB62" s="8" t="n">
        <v>1.36531280449338</v>
      </c>
      <c r="BC62" s="8" t="n">
        <v>0.00183699107520215</v>
      </c>
      <c r="BD62" s="8" t="n">
        <v>0.00474066946004645</v>
      </c>
      <c r="BE62" s="8" t="n">
        <v>0.00371946675370403</v>
      </c>
      <c r="BF62" s="8" t="n">
        <v>0</v>
      </c>
      <c r="BG62" s="8" t="n">
        <v>0.13072705243756</v>
      </c>
      <c r="BH62" s="8" t="n">
        <v>22.0939930202019</v>
      </c>
      <c r="BI62" s="8" t="n">
        <v>0.189251513305833</v>
      </c>
      <c r="BJ62" s="8" t="n">
        <v>0.00246654815919925</v>
      </c>
      <c r="BK62" s="8" t="n">
        <v>0</v>
      </c>
      <c r="BL62" s="4" t="s">
        <v>234</v>
      </c>
    </row>
    <row r="63" customFormat="false" ht="12.8" hidden="false" customHeight="false" outlineLevel="0" collapsed="false">
      <c r="A63" s="1" t="n">
        <v>1965</v>
      </c>
      <c r="B63" s="1" t="n">
        <v>2.33894593396482</v>
      </c>
      <c r="C63" s="1" t="n">
        <v>73.6767969198917</v>
      </c>
      <c r="D63" s="8" t="n">
        <v>40.9315538443843</v>
      </c>
      <c r="E63" s="8" t="n">
        <v>51.8946452102594</v>
      </c>
      <c r="F63" s="8" t="n">
        <v>0.016541365269445</v>
      </c>
      <c r="G63" s="8" t="n">
        <v>0.521053005987517</v>
      </c>
      <c r="H63" s="8" t="n">
        <v>0.289473892215287</v>
      </c>
      <c r="I63" s="8" t="n">
        <v>0.367006466240133</v>
      </c>
      <c r="J63" s="8" t="n">
        <v>0.0768332398659559</v>
      </c>
      <c r="K63" s="8" t="n">
        <v>1.27859146290345</v>
      </c>
      <c r="L63" s="8" t="n">
        <v>3.75155161248874</v>
      </c>
      <c r="M63" s="8" t="n">
        <v>0.000899811614168791</v>
      </c>
      <c r="N63" s="8" t="n">
        <v>4.4899739102348</v>
      </c>
      <c r="O63" s="8" t="n">
        <v>0.412871164159523</v>
      </c>
      <c r="P63" s="8" t="n">
        <v>0.258044477599701</v>
      </c>
      <c r="Q63" s="8" t="n">
        <v>7.25095737967579</v>
      </c>
      <c r="R63" s="8" t="n">
        <v>2.89448578977948</v>
      </c>
      <c r="S63" s="8" t="n">
        <v>0.95800712021183</v>
      </c>
      <c r="T63" s="8" t="n">
        <v>0.000156039925109835</v>
      </c>
      <c r="U63" s="8" t="n">
        <v>5.43638732101615E-005</v>
      </c>
      <c r="V63" s="8" t="n">
        <v>12.1625981362695</v>
      </c>
      <c r="W63" s="8" t="n">
        <v>4.855147483132</v>
      </c>
      <c r="X63" s="8" t="n">
        <v>1.60694029832268</v>
      </c>
      <c r="Y63" s="8" t="n">
        <v>1.60694029832268</v>
      </c>
      <c r="Z63" s="8" t="n">
        <v>1.11970700540675</v>
      </c>
      <c r="AA63" s="8" t="n">
        <v>1.11970700540675</v>
      </c>
      <c r="AB63" s="8" t="n">
        <v>1.11970700540675</v>
      </c>
      <c r="AC63" s="8" t="n">
        <v>1.11970700540675</v>
      </c>
      <c r="AD63" s="8" t="n">
        <v>1.11970700540675</v>
      </c>
      <c r="AE63" s="8" t="n">
        <v>0.0465754804805908</v>
      </c>
      <c r="AF63" s="8" t="n">
        <v>0.0185923126208266</v>
      </c>
      <c r="AG63" s="8" t="n">
        <v>0.00615362076913603</v>
      </c>
      <c r="AH63" s="8" t="n">
        <v>0.00615362076913603</v>
      </c>
      <c r="AI63" s="8" t="n">
        <v>0.00428780850851156</v>
      </c>
      <c r="AJ63" s="8" t="n">
        <v>0.00428780850851156</v>
      </c>
      <c r="AK63" s="8" t="n">
        <v>0.00428780850851156</v>
      </c>
      <c r="AL63" s="8" t="n">
        <v>0.00428780850851156</v>
      </c>
      <c r="AM63" s="8" t="n">
        <v>0.00428780850851156</v>
      </c>
      <c r="AN63" s="8" t="n">
        <v>0.00782013472372845</v>
      </c>
      <c r="AO63" s="8" t="n">
        <v>0.12730451875837</v>
      </c>
      <c r="AP63" s="8" t="n">
        <v>0.140762425027112</v>
      </c>
      <c r="AQ63" s="8" t="n">
        <v>0.513820147935683</v>
      </c>
      <c r="AR63" s="8" t="n">
        <v>0.513820147935683</v>
      </c>
      <c r="AS63" s="8" t="n">
        <v>0.513820147935683</v>
      </c>
      <c r="AT63" s="8" t="n">
        <v>1.53545540045904E-006</v>
      </c>
      <c r="AU63" s="8" t="n">
        <v>0.856965140053411</v>
      </c>
      <c r="AV63" s="8" t="n">
        <v>0.945197053881395</v>
      </c>
      <c r="AW63" s="8" t="n">
        <v>0.0628779156015521</v>
      </c>
      <c r="AX63" s="8" t="n">
        <v>0.00297557340296323</v>
      </c>
      <c r="AY63" s="8" t="n">
        <v>0.00328193421486595</v>
      </c>
      <c r="AZ63" s="8" t="n">
        <v>0.000218326095838722</v>
      </c>
      <c r="BA63" s="8" t="n">
        <v>0.423242743726576</v>
      </c>
      <c r="BB63" s="8" t="n">
        <v>1.09225024359471</v>
      </c>
      <c r="BC63" s="8" t="n">
        <v>0.00146959286016172</v>
      </c>
      <c r="BD63" s="8" t="n">
        <v>0.00379253556803718</v>
      </c>
      <c r="BE63" s="8" t="n">
        <v>0.00297557340296323</v>
      </c>
      <c r="BF63" s="8" t="n">
        <v>0</v>
      </c>
      <c r="BG63" s="8" t="n">
        <v>0.104581641950048</v>
      </c>
      <c r="BH63" s="8" t="n">
        <v>17.6751944161615</v>
      </c>
      <c r="BI63" s="8" t="n">
        <v>0.151401210644667</v>
      </c>
      <c r="BJ63" s="8" t="n">
        <v>0.0019732385273594</v>
      </c>
      <c r="BK63" s="8" t="n">
        <v>0</v>
      </c>
      <c r="BL63" s="4" t="s">
        <v>234</v>
      </c>
    </row>
    <row r="64" customFormat="false" ht="12.8" hidden="false" customHeight="false" outlineLevel="0" collapsed="false">
      <c r="A64" s="1" t="n">
        <v>1964</v>
      </c>
      <c r="B64" s="1" t="n">
        <v>1.87115674717185</v>
      </c>
      <c r="C64" s="1" t="n">
        <v>58.9414375359134</v>
      </c>
      <c r="D64" s="8" t="n">
        <v>32.7452430755074</v>
      </c>
      <c r="E64" s="8" t="n">
        <v>41.5157161682076</v>
      </c>
      <c r="F64" s="8" t="n">
        <v>0.013233092215556</v>
      </c>
      <c r="G64" s="8" t="n">
        <v>0.416842404790013</v>
      </c>
      <c r="H64" s="8" t="n">
        <v>0.23157911377223</v>
      </c>
      <c r="I64" s="8" t="n">
        <v>0.293605172992107</v>
      </c>
      <c r="J64" s="8" t="n">
        <v>0.0614665918927647</v>
      </c>
      <c r="K64" s="8" t="n">
        <v>1.02287317032276</v>
      </c>
      <c r="L64" s="8" t="n">
        <v>3.00124128999099</v>
      </c>
      <c r="M64" s="8" t="n">
        <v>0.000719849291335034</v>
      </c>
      <c r="N64" s="8" t="n">
        <v>3.59197912818784</v>
      </c>
      <c r="O64" s="8" t="n">
        <v>0.330296931327618</v>
      </c>
      <c r="P64" s="8" t="n">
        <v>0.206435582079761</v>
      </c>
      <c r="Q64" s="8" t="n">
        <v>5.80076590374063</v>
      </c>
      <c r="R64" s="8" t="n">
        <v>2.31558863182358</v>
      </c>
      <c r="S64" s="8" t="n">
        <v>0.766405696169461</v>
      </c>
      <c r="T64" s="8" t="n">
        <v>0.000124831940087867</v>
      </c>
      <c r="U64" s="8" t="n">
        <v>4.3491098568129E-005</v>
      </c>
      <c r="V64" s="8" t="n">
        <v>9.73007850901555</v>
      </c>
      <c r="W64" s="8" t="n">
        <v>3.8841179865056</v>
      </c>
      <c r="X64" s="8" t="n">
        <v>1.28555223865814</v>
      </c>
      <c r="Y64" s="8" t="n">
        <v>1.28555223865814</v>
      </c>
      <c r="Z64" s="8" t="n">
        <v>0.895765604325398</v>
      </c>
      <c r="AA64" s="8" t="n">
        <v>0.895765604325398</v>
      </c>
      <c r="AB64" s="8" t="n">
        <v>0.895765604325398</v>
      </c>
      <c r="AC64" s="8" t="n">
        <v>0.895765604325398</v>
      </c>
      <c r="AD64" s="8" t="n">
        <v>0.895765604325398</v>
      </c>
      <c r="AE64" s="8" t="n">
        <v>0.0372603843844726</v>
      </c>
      <c r="AF64" s="8" t="n">
        <v>0.0148738500966612</v>
      </c>
      <c r="AG64" s="8" t="n">
        <v>0.00492289661530881</v>
      </c>
      <c r="AH64" s="8" t="n">
        <v>0.00492289661530881</v>
      </c>
      <c r="AI64" s="8" t="n">
        <v>0.00343024680680923</v>
      </c>
      <c r="AJ64" s="8" t="n">
        <v>0.00343024680680923</v>
      </c>
      <c r="AK64" s="8" t="n">
        <v>0.00343024680680923</v>
      </c>
      <c r="AL64" s="8" t="n">
        <v>0.00343024680680923</v>
      </c>
      <c r="AM64" s="8" t="n">
        <v>0.00343024680680923</v>
      </c>
      <c r="AN64" s="8" t="n">
        <v>0.00625610777898275</v>
      </c>
      <c r="AO64" s="8" t="n">
        <v>0.101843615006696</v>
      </c>
      <c r="AP64" s="8" t="n">
        <v>0.112609940021689</v>
      </c>
      <c r="AQ64" s="8" t="n">
        <v>0.411056118348546</v>
      </c>
      <c r="AR64" s="8" t="n">
        <v>0.411056118348546</v>
      </c>
      <c r="AS64" s="8" t="n">
        <v>0.411056118348546</v>
      </c>
      <c r="AT64" s="8" t="n">
        <v>1.22836432036723E-006</v>
      </c>
      <c r="AU64" s="8" t="n">
        <v>0.685572112042729</v>
      </c>
      <c r="AV64" s="8" t="n">
        <v>0.756157643105116</v>
      </c>
      <c r="AW64" s="8" t="n">
        <v>0.0503023324812416</v>
      </c>
      <c r="AX64" s="8" t="n">
        <v>0.00238045872237059</v>
      </c>
      <c r="AY64" s="8" t="n">
        <v>0.00262554737189276</v>
      </c>
      <c r="AZ64" s="8" t="n">
        <v>0.000174660876670978</v>
      </c>
      <c r="BA64" s="8" t="n">
        <v>0.338594194981261</v>
      </c>
      <c r="BB64" s="8" t="n">
        <v>0.873800194875762</v>
      </c>
      <c r="BC64" s="8" t="n">
        <v>0.00117567428812938</v>
      </c>
      <c r="BD64" s="8" t="n">
        <v>0.00303402845442973</v>
      </c>
      <c r="BE64" s="8" t="n">
        <v>0.00238045872237059</v>
      </c>
      <c r="BF64" s="8" t="n">
        <v>0</v>
      </c>
      <c r="BG64" s="8" t="n">
        <v>0.0836653135600383</v>
      </c>
      <c r="BH64" s="8" t="n">
        <v>14.1401555329292</v>
      </c>
      <c r="BI64" s="8" t="n">
        <v>0.121120968515733</v>
      </c>
      <c r="BJ64" s="8" t="n">
        <v>0.00157859082188752</v>
      </c>
      <c r="BK64" s="8" t="n">
        <v>0</v>
      </c>
      <c r="BL64" s="4" t="s">
        <v>234</v>
      </c>
    </row>
    <row r="65" customFormat="false" ht="12.8" hidden="false" customHeight="false" outlineLevel="0" collapsed="false">
      <c r="A65" s="1" t="n">
        <v>1963</v>
      </c>
      <c r="B65" s="1" t="n">
        <v>1.49692539773748</v>
      </c>
      <c r="C65" s="1" t="n">
        <v>47.1531500287307</v>
      </c>
      <c r="D65" s="8" t="n">
        <v>26.1961944604059</v>
      </c>
      <c r="E65" s="8" t="n">
        <v>33.2125729345661</v>
      </c>
      <c r="F65" s="8" t="n">
        <v>0.0105864737724448</v>
      </c>
      <c r="G65" s="8" t="n">
        <v>0.333473923832011</v>
      </c>
      <c r="H65" s="8" t="n">
        <v>0.185263291017784</v>
      </c>
      <c r="I65" s="8" t="n">
        <v>0.234884138393685</v>
      </c>
      <c r="J65" s="8" t="n">
        <v>0.0491732735142118</v>
      </c>
      <c r="K65" s="8" t="n">
        <v>0.818298536258211</v>
      </c>
      <c r="L65" s="8" t="n">
        <v>2.40099303199279</v>
      </c>
      <c r="M65" s="8" t="n">
        <v>0.000575879433068027</v>
      </c>
      <c r="N65" s="8" t="n">
        <v>2.87358330255027</v>
      </c>
      <c r="O65" s="8" t="n">
        <v>0.264237545062094</v>
      </c>
      <c r="P65" s="8" t="n">
        <v>0.165148465663809</v>
      </c>
      <c r="Q65" s="8" t="n">
        <v>4.64061272299251</v>
      </c>
      <c r="R65" s="8" t="n">
        <v>1.85247090545886</v>
      </c>
      <c r="S65" s="8" t="n">
        <v>0.61312455693557</v>
      </c>
      <c r="T65" s="8" t="n">
        <v>9.9865552070294E-005</v>
      </c>
      <c r="U65" s="8" t="n">
        <v>3.47928788545032E-005</v>
      </c>
      <c r="V65" s="8" t="n">
        <v>7.78406280721245</v>
      </c>
      <c r="W65" s="8" t="n">
        <v>3.10729438920447</v>
      </c>
      <c r="X65" s="8" t="n">
        <v>1.02844179092651</v>
      </c>
      <c r="Y65" s="8" t="n">
        <v>1.02844179092651</v>
      </c>
      <c r="Z65" s="8" t="n">
        <v>0.716612483460319</v>
      </c>
      <c r="AA65" s="8" t="n">
        <v>0.716612483460319</v>
      </c>
      <c r="AB65" s="8" t="n">
        <v>0.716612483460319</v>
      </c>
      <c r="AC65" s="8" t="n">
        <v>0.716612483460319</v>
      </c>
      <c r="AD65" s="8" t="n">
        <v>0.716612483460319</v>
      </c>
      <c r="AE65" s="8" t="n">
        <v>0.0298083075075781</v>
      </c>
      <c r="AF65" s="8" t="n">
        <v>0.011899080077329</v>
      </c>
      <c r="AG65" s="8" t="n">
        <v>0.00393831729224705</v>
      </c>
      <c r="AH65" s="8" t="n">
        <v>0.00393831729224705</v>
      </c>
      <c r="AI65" s="8" t="n">
        <v>0.00274419744544739</v>
      </c>
      <c r="AJ65" s="8" t="n">
        <v>0.00274419744544739</v>
      </c>
      <c r="AK65" s="8" t="n">
        <v>0.00274419744544739</v>
      </c>
      <c r="AL65" s="8" t="n">
        <v>0.00274419744544739</v>
      </c>
      <c r="AM65" s="8" t="n">
        <v>0.00274419744544739</v>
      </c>
      <c r="AN65" s="8" t="n">
        <v>0.0050048862231862</v>
      </c>
      <c r="AO65" s="8" t="n">
        <v>0.0814748920053569</v>
      </c>
      <c r="AP65" s="8" t="n">
        <v>0.0900879520173517</v>
      </c>
      <c r="AQ65" s="8" t="n">
        <v>0.328844894678837</v>
      </c>
      <c r="AR65" s="8" t="n">
        <v>0.328844894678837</v>
      </c>
      <c r="AS65" s="8" t="n">
        <v>0.328844894678837</v>
      </c>
      <c r="AT65" s="8" t="n">
        <v>9.82691456293784E-007</v>
      </c>
      <c r="AU65" s="8" t="n">
        <v>0.548457689634183</v>
      </c>
      <c r="AV65" s="8" t="n">
        <v>0.604926114484093</v>
      </c>
      <c r="AW65" s="8" t="n">
        <v>0.0402418659849933</v>
      </c>
      <c r="AX65" s="8" t="n">
        <v>0.00190436697789647</v>
      </c>
      <c r="AY65" s="8" t="n">
        <v>0.00210043789751421</v>
      </c>
      <c r="AZ65" s="8" t="n">
        <v>0.000139728701336782</v>
      </c>
      <c r="BA65" s="8" t="n">
        <v>0.270875355985009</v>
      </c>
      <c r="BB65" s="8" t="n">
        <v>0.69904015590061</v>
      </c>
      <c r="BC65" s="8" t="n">
        <v>0.000940539430503503</v>
      </c>
      <c r="BD65" s="8" t="n">
        <v>0.00242722276354379</v>
      </c>
      <c r="BE65" s="8" t="n">
        <v>0.00190436697789647</v>
      </c>
      <c r="BF65" s="8" t="n">
        <v>0</v>
      </c>
      <c r="BG65" s="8" t="n">
        <v>0.0669322508480311</v>
      </c>
      <c r="BH65" s="8" t="n">
        <v>11.3121244263434</v>
      </c>
      <c r="BI65" s="8" t="n">
        <v>0.0968967748125871</v>
      </c>
      <c r="BJ65" s="8" t="n">
        <v>0.00126287265751002</v>
      </c>
      <c r="BK65" s="8" t="n">
        <v>0</v>
      </c>
      <c r="BL65" s="4" t="s">
        <v>234</v>
      </c>
    </row>
    <row r="66" customFormat="false" ht="12.8" hidden="false" customHeight="false" outlineLevel="0" collapsed="false">
      <c r="A66" s="1" t="n">
        <v>1962</v>
      </c>
      <c r="B66" s="1" t="n">
        <v>1.19754031818999</v>
      </c>
      <c r="C66" s="1" t="n">
        <v>37.7225200229846</v>
      </c>
      <c r="D66" s="8" t="n">
        <v>20.9569555683247</v>
      </c>
      <c r="E66" s="8" t="n">
        <v>26.5700583476529</v>
      </c>
      <c r="F66" s="8" t="n">
        <v>0.00846917901795586</v>
      </c>
      <c r="G66" s="8" t="n">
        <v>0.266779139065609</v>
      </c>
      <c r="H66" s="8" t="n">
        <v>0.148210632814227</v>
      </c>
      <c r="I66" s="8" t="n">
        <v>0.187907310714948</v>
      </c>
      <c r="J66" s="8" t="n">
        <v>0.0393386188113694</v>
      </c>
      <c r="K66" s="8" t="n">
        <v>0.654638829006569</v>
      </c>
      <c r="L66" s="8" t="n">
        <v>1.92079442559424</v>
      </c>
      <c r="M66" s="8" t="n">
        <v>0.000460703546454422</v>
      </c>
      <c r="N66" s="8" t="n">
        <v>2.29886664204022</v>
      </c>
      <c r="O66" s="8" t="n">
        <v>0.211390036049675</v>
      </c>
      <c r="P66" s="8" t="n">
        <v>0.132118772531047</v>
      </c>
      <c r="Q66" s="8" t="n">
        <v>3.712490178394</v>
      </c>
      <c r="R66" s="8" t="n">
        <v>1.48197672436709</v>
      </c>
      <c r="S66" s="8" t="n">
        <v>0.490499645548457</v>
      </c>
      <c r="T66" s="8" t="n">
        <v>7.98924416562354E-005</v>
      </c>
      <c r="U66" s="8" t="n">
        <v>2.78343030836026E-005</v>
      </c>
      <c r="V66" s="8" t="n">
        <v>6.22725024576995</v>
      </c>
      <c r="W66" s="8" t="n">
        <v>2.48583551136358</v>
      </c>
      <c r="X66" s="8" t="n">
        <v>0.822753432741214</v>
      </c>
      <c r="Y66" s="8" t="n">
        <v>0.822753432741214</v>
      </c>
      <c r="Z66" s="8" t="n">
        <v>0.573289986768254</v>
      </c>
      <c r="AA66" s="8" t="n">
        <v>0.573289986768254</v>
      </c>
      <c r="AB66" s="8" t="n">
        <v>0.573289986768254</v>
      </c>
      <c r="AC66" s="8" t="n">
        <v>0.573289986768254</v>
      </c>
      <c r="AD66" s="8" t="n">
        <v>0.573289986768254</v>
      </c>
      <c r="AE66" s="8" t="n">
        <v>0.0238466460060625</v>
      </c>
      <c r="AF66" s="8" t="n">
        <v>0.00951926406186317</v>
      </c>
      <c r="AG66" s="8" t="n">
        <v>0.00315065383379765</v>
      </c>
      <c r="AH66" s="8" t="n">
        <v>0.00315065383379765</v>
      </c>
      <c r="AI66" s="8" t="n">
        <v>0.00219535795635791</v>
      </c>
      <c r="AJ66" s="8" t="n">
        <v>0.00219535795635791</v>
      </c>
      <c r="AK66" s="8" t="n">
        <v>0.00219535795635791</v>
      </c>
      <c r="AL66" s="8" t="n">
        <v>0.00219535795635791</v>
      </c>
      <c r="AM66" s="8" t="n">
        <v>0.00219535795635791</v>
      </c>
      <c r="AN66" s="8" t="n">
        <v>0.00400390897854896</v>
      </c>
      <c r="AO66" s="8" t="n">
        <v>0.0651799136042855</v>
      </c>
      <c r="AP66" s="8" t="n">
        <v>0.0720703616138813</v>
      </c>
      <c r="AQ66" s="8" t="n">
        <v>0.263075915743069</v>
      </c>
      <c r="AR66" s="8" t="n">
        <v>0.263075915743069</v>
      </c>
      <c r="AS66" s="8" t="n">
        <v>0.263075915743069</v>
      </c>
      <c r="AT66" s="8" t="n">
        <v>7.86153165035027E-007</v>
      </c>
      <c r="AU66" s="8" t="n">
        <v>0.438766151707347</v>
      </c>
      <c r="AV66" s="8" t="n">
        <v>0.483940891587275</v>
      </c>
      <c r="AW66" s="8" t="n">
        <v>0.0321934927879946</v>
      </c>
      <c r="AX66" s="8" t="n">
        <v>0.00152349358231718</v>
      </c>
      <c r="AY66" s="8" t="n">
        <v>0.00168035031801137</v>
      </c>
      <c r="AZ66" s="8" t="n">
        <v>0.000111782961069426</v>
      </c>
      <c r="BA66" s="8" t="n">
        <v>0.216700284788007</v>
      </c>
      <c r="BB66" s="8" t="n">
        <v>0.559232124720487</v>
      </c>
      <c r="BC66" s="8" t="n">
        <v>0.000752431544402801</v>
      </c>
      <c r="BD66" s="8" t="n">
        <v>0.00194177821083503</v>
      </c>
      <c r="BE66" s="8" t="n">
        <v>0.00152349358231718</v>
      </c>
      <c r="BF66" s="8" t="n">
        <v>0</v>
      </c>
      <c r="BG66" s="8" t="n">
        <v>0.0535458006784247</v>
      </c>
      <c r="BH66" s="8" t="n">
        <v>9.04969954107469</v>
      </c>
      <c r="BI66" s="8" t="n">
        <v>0.0775174198500694</v>
      </c>
      <c r="BJ66" s="8" t="n">
        <v>0.00101029812600801</v>
      </c>
      <c r="BK66" s="8" t="n">
        <v>0</v>
      </c>
      <c r="BL66" s="4" t="s">
        <v>234</v>
      </c>
    </row>
    <row r="67" customFormat="false" ht="12.8" hidden="false" customHeight="false" outlineLevel="0" collapsed="false">
      <c r="A67" s="1" t="n">
        <v>1961</v>
      </c>
      <c r="B67" s="1" t="n">
        <v>0.95803225455199</v>
      </c>
      <c r="C67" s="1" t="n">
        <v>30.1780160183877</v>
      </c>
      <c r="D67" s="8" t="n">
        <v>16.7655644546599</v>
      </c>
      <c r="E67" s="8" t="n">
        <v>21.2560466781223</v>
      </c>
      <c r="F67" s="8" t="n">
        <v>0.00677534321436467</v>
      </c>
      <c r="G67" s="8" t="n">
        <v>0.213423311252487</v>
      </c>
      <c r="H67" s="8" t="n">
        <v>0.118568506251382</v>
      </c>
      <c r="I67" s="8" t="n">
        <v>0.150325848571959</v>
      </c>
      <c r="J67" s="8" t="n">
        <v>0.0314708950490955</v>
      </c>
      <c r="K67" s="8" t="n">
        <v>0.523711063205255</v>
      </c>
      <c r="L67" s="8" t="n">
        <v>1.53663554047538</v>
      </c>
      <c r="M67" s="8" t="n">
        <v>0.000368562837163538</v>
      </c>
      <c r="N67" s="8" t="n">
        <v>1.83909331363218</v>
      </c>
      <c r="O67" s="8" t="n">
        <v>0.16911202883974</v>
      </c>
      <c r="P67" s="8" t="n">
        <v>0.105695018024838</v>
      </c>
      <c r="Q67" s="8" t="n">
        <v>2.9699921427152</v>
      </c>
      <c r="R67" s="8" t="n">
        <v>1.18558137949368</v>
      </c>
      <c r="S67" s="8" t="n">
        <v>0.392399716438766</v>
      </c>
      <c r="T67" s="8" t="n">
        <v>6.39139533249883E-005</v>
      </c>
      <c r="U67" s="8" t="n">
        <v>2.22674424668821E-005</v>
      </c>
      <c r="V67" s="8" t="n">
        <v>4.98180019661596</v>
      </c>
      <c r="W67" s="8" t="n">
        <v>1.98866840909087</v>
      </c>
      <c r="X67" s="8" t="n">
        <v>0.658202746192971</v>
      </c>
      <c r="Y67" s="8" t="n">
        <v>0.658202746192971</v>
      </c>
      <c r="Z67" s="8" t="n">
        <v>0.458631989414604</v>
      </c>
      <c r="AA67" s="8" t="n">
        <v>0.458631989414604</v>
      </c>
      <c r="AB67" s="8" t="n">
        <v>0.458631989414604</v>
      </c>
      <c r="AC67" s="8" t="n">
        <v>0.458631989414604</v>
      </c>
      <c r="AD67" s="8" t="n">
        <v>0.458631989414604</v>
      </c>
      <c r="AE67" s="8" t="n">
        <v>0.01907731680485</v>
      </c>
      <c r="AF67" s="8" t="n">
        <v>0.00761541124949057</v>
      </c>
      <c r="AG67" s="8" t="n">
        <v>0.00252052306703812</v>
      </c>
      <c r="AH67" s="8" t="n">
        <v>0.00252052306703812</v>
      </c>
      <c r="AI67" s="8" t="n">
        <v>0.00175628636508633</v>
      </c>
      <c r="AJ67" s="8" t="n">
        <v>0.00175628636508633</v>
      </c>
      <c r="AK67" s="8" t="n">
        <v>0.00175628636508633</v>
      </c>
      <c r="AL67" s="8" t="n">
        <v>0.00175628636508633</v>
      </c>
      <c r="AM67" s="8" t="n">
        <v>0.00175628636508633</v>
      </c>
      <c r="AN67" s="8" t="n">
        <v>0.00320312718283917</v>
      </c>
      <c r="AO67" s="8" t="n">
        <v>0.0521439308834284</v>
      </c>
      <c r="AP67" s="8" t="n">
        <v>0.0576562892911051</v>
      </c>
      <c r="AQ67" s="8" t="n">
        <v>0.210460732594456</v>
      </c>
      <c r="AR67" s="8" t="n">
        <v>0.210460732594456</v>
      </c>
      <c r="AS67" s="8" t="n">
        <v>0.210460732594456</v>
      </c>
      <c r="AT67" s="8" t="n">
        <v>6.28922532028022E-007</v>
      </c>
      <c r="AU67" s="8" t="n">
        <v>0.351012921365878</v>
      </c>
      <c r="AV67" s="8" t="n">
        <v>0.38715271326982</v>
      </c>
      <c r="AW67" s="8" t="n">
        <v>0.0257547942303957</v>
      </c>
      <c r="AX67" s="8" t="n">
        <v>0.00121879486585374</v>
      </c>
      <c r="AY67" s="8" t="n">
        <v>0.0013442802544091</v>
      </c>
      <c r="AZ67" s="8" t="n">
        <v>8.94263688555406E-005</v>
      </c>
      <c r="BA67" s="8" t="n">
        <v>0.173360227830405</v>
      </c>
      <c r="BB67" s="8" t="n">
        <v>0.44738569977639</v>
      </c>
      <c r="BC67" s="8" t="n">
        <v>0.000601945235522241</v>
      </c>
      <c r="BD67" s="8" t="n">
        <v>0.00155342256866802</v>
      </c>
      <c r="BE67" s="8" t="n">
        <v>0.00121879486585374</v>
      </c>
      <c r="BF67" s="8" t="n">
        <v>0</v>
      </c>
      <c r="BG67" s="8" t="n">
        <v>0.0428366405427398</v>
      </c>
      <c r="BH67" s="8" t="n">
        <v>7.23975963285975</v>
      </c>
      <c r="BI67" s="8" t="n">
        <v>0.0620139358800555</v>
      </c>
      <c r="BJ67" s="8" t="n">
        <v>0.000808238500806411</v>
      </c>
      <c r="BK67" s="8" t="n">
        <v>0</v>
      </c>
      <c r="BL67" s="4" t="s">
        <v>234</v>
      </c>
    </row>
    <row r="68" customFormat="false" ht="12.8" hidden="false" customHeight="false" outlineLevel="0" collapsed="false">
      <c r="A68" s="1" t="n">
        <v>1960</v>
      </c>
      <c r="B68" s="1" t="n">
        <v>0.766425803641592</v>
      </c>
      <c r="C68" s="1" t="n">
        <v>24.1424128147101</v>
      </c>
      <c r="D68" s="8" t="n">
        <v>13.4124515637278</v>
      </c>
      <c r="E68" s="8" t="n">
        <v>17.0048373424979</v>
      </c>
      <c r="F68" s="8" t="n">
        <v>0.00542027457149173</v>
      </c>
      <c r="G68" s="8" t="n">
        <v>0.170738649001989</v>
      </c>
      <c r="H68" s="8" t="n">
        <v>0.0948548050011051</v>
      </c>
      <c r="I68" s="8" t="n">
        <v>0.120260678857567</v>
      </c>
      <c r="J68" s="8" t="n">
        <v>0.0251767160392764</v>
      </c>
      <c r="K68" s="8" t="n">
        <v>0.418968850564204</v>
      </c>
      <c r="L68" s="8" t="n">
        <v>1.22930843238032</v>
      </c>
      <c r="M68" s="8" t="n">
        <v>0.00029485026973083</v>
      </c>
      <c r="N68" s="8" t="n">
        <v>1.47127465090574</v>
      </c>
      <c r="O68" s="8" t="n">
        <v>0.135289623071792</v>
      </c>
      <c r="P68" s="8" t="n">
        <v>0.0845560144198701</v>
      </c>
      <c r="Q68" s="8" t="n">
        <v>2.37599371417216</v>
      </c>
      <c r="R68" s="8" t="n">
        <v>0.948465103594939</v>
      </c>
      <c r="S68" s="8" t="n">
        <v>0.313919773151013</v>
      </c>
      <c r="T68" s="8" t="n">
        <v>5.11311626599907E-005</v>
      </c>
      <c r="U68" s="8" t="n">
        <v>1.78139539735057E-005</v>
      </c>
      <c r="V68" s="8" t="n">
        <v>3.98544015729277</v>
      </c>
      <c r="W68" s="8" t="n">
        <v>1.59093472727269</v>
      </c>
      <c r="X68" s="8" t="n">
        <v>0.526562196954377</v>
      </c>
      <c r="Y68" s="8" t="n">
        <v>0.526562196954377</v>
      </c>
      <c r="Z68" s="8" t="n">
        <v>0.366905591531683</v>
      </c>
      <c r="AA68" s="8" t="n">
        <v>0.366905591531683</v>
      </c>
      <c r="AB68" s="8" t="n">
        <v>0.366905591531683</v>
      </c>
      <c r="AC68" s="8" t="n">
        <v>0.366905591531683</v>
      </c>
      <c r="AD68" s="8" t="n">
        <v>0.366905591531683</v>
      </c>
      <c r="AE68" s="8" t="n">
        <v>0.01526185344388</v>
      </c>
      <c r="AF68" s="8" t="n">
        <v>0.00609232899959244</v>
      </c>
      <c r="AG68" s="8" t="n">
        <v>0.0020164184536305</v>
      </c>
      <c r="AH68" s="8" t="n">
        <v>0.0020164184536305</v>
      </c>
      <c r="AI68" s="8" t="n">
        <v>0.00140502909206906</v>
      </c>
      <c r="AJ68" s="8" t="n">
        <v>0.00140502909206906</v>
      </c>
      <c r="AK68" s="8" t="n">
        <v>0.00140502909206906</v>
      </c>
      <c r="AL68" s="8" t="n">
        <v>0.00140502909206906</v>
      </c>
      <c r="AM68" s="8" t="n">
        <v>0.00140502909206906</v>
      </c>
      <c r="AN68" s="8" t="n">
        <v>0.00256250174627134</v>
      </c>
      <c r="AO68" s="8" t="n">
        <v>0.0417151447067427</v>
      </c>
      <c r="AP68" s="8" t="n">
        <v>0.0461250314328841</v>
      </c>
      <c r="AQ68" s="8" t="n">
        <v>0.168368586075565</v>
      </c>
      <c r="AR68" s="8" t="n">
        <v>0.168368586075565</v>
      </c>
      <c r="AS68" s="8" t="n">
        <v>0.168368586075565</v>
      </c>
      <c r="AT68" s="8" t="n">
        <v>5.03138025622418E-007</v>
      </c>
      <c r="AU68" s="8" t="n">
        <v>0.280810337092702</v>
      </c>
      <c r="AV68" s="8" t="n">
        <v>0.309722170615855</v>
      </c>
      <c r="AW68" s="8" t="n">
        <v>0.0206038353843166</v>
      </c>
      <c r="AX68" s="8" t="n">
        <v>0.000975035892682993</v>
      </c>
      <c r="AY68" s="8" t="n">
        <v>0.00107542420352728</v>
      </c>
      <c r="AZ68" s="8" t="n">
        <v>7.15410950844327E-005</v>
      </c>
      <c r="BA68" s="8" t="n">
        <v>0.138688182264325</v>
      </c>
      <c r="BB68" s="8" t="n">
        <v>0.357908559821113</v>
      </c>
      <c r="BC68" s="8" t="n">
        <v>0.000481556188417795</v>
      </c>
      <c r="BD68" s="8" t="n">
        <v>0.00124273805493442</v>
      </c>
      <c r="BE68" s="8" t="n">
        <v>0.000975035892682993</v>
      </c>
      <c r="BF68" s="8" t="n">
        <v>0</v>
      </c>
      <c r="BG68" s="8" t="n">
        <v>0.0342693124341918</v>
      </c>
      <c r="BH68" s="8" t="n">
        <v>5.7918077062878</v>
      </c>
      <c r="BI68" s="8" t="n">
        <v>0.0496111487040444</v>
      </c>
      <c r="BJ68" s="8" t="n">
        <v>0.000646590800645129</v>
      </c>
      <c r="BK68" s="8" t="n">
        <v>0</v>
      </c>
      <c r="BL68" s="4" t="s">
        <v>234</v>
      </c>
    </row>
  </sheetData>
  <autoFilter ref="A1:AN6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1" topLeftCell="BB12" activePane="bottomRight" state="frozen"/>
      <selection pane="topLeft" activeCell="A1" activeCellId="0" sqref="A1"/>
      <selection pane="topRight" activeCell="BB1" activeCellId="0" sqref="BB1"/>
      <selection pane="bottomLeft" activeCell="A12" activeCellId="0" sqref="A12"/>
      <selection pane="bottomRight" activeCell="BB12" activeCellId="0" sqref="BB12"/>
    </sheetView>
  </sheetViews>
  <sheetFormatPr defaultColWidth="11.71484375" defaultRowHeight="12.75" zeroHeight="false" outlineLevelRow="0" outlineLevelCol="0"/>
  <cols>
    <col collapsed="false" customWidth="true" hidden="false" outlineLevel="0" max="1" min="1" style="1" width="7.86"/>
    <col collapsed="false" customWidth="true" hidden="true" outlineLevel="0" max="2" min="2" style="1" width="13.86"/>
    <col collapsed="false" customWidth="true" hidden="true" outlineLevel="0" max="3" min="3" style="1" width="15.85"/>
    <col collapsed="false" customWidth="true" hidden="false" outlineLevel="0" max="4" min="4" style="1" width="17.15"/>
    <col collapsed="false" customWidth="true" hidden="false" outlineLevel="0" max="5" min="5" style="1" width="13.71"/>
    <col collapsed="false" customWidth="true" hidden="false" outlineLevel="0" max="6" min="6" style="1" width="13.86"/>
    <col collapsed="false" customWidth="true" hidden="false" outlineLevel="0" max="7" min="7" style="1" width="15.71"/>
    <col collapsed="false" customWidth="true" hidden="false" outlineLevel="0" max="8" min="8" style="1" width="17.15"/>
    <col collapsed="false" customWidth="true" hidden="false" outlineLevel="0" max="9" min="9" style="1" width="13.57"/>
    <col collapsed="false" customWidth="true" hidden="false" outlineLevel="0" max="10" min="10" style="1" width="12.29"/>
    <col collapsed="false" customWidth="true" hidden="false" outlineLevel="0" max="11" min="11" style="1" width="16.84"/>
    <col collapsed="false" customWidth="true" hidden="false" outlineLevel="0" max="12" min="12" style="1" width="17.15"/>
    <col collapsed="false" customWidth="true" hidden="false" outlineLevel="0" max="13" min="13" style="1" width="19.29"/>
    <col collapsed="false" customWidth="true" hidden="false" outlineLevel="0" max="14" min="14" style="1" width="12.71"/>
    <col collapsed="false" customWidth="true" hidden="false" outlineLevel="0" max="15" min="15" style="1" width="13.29"/>
    <col collapsed="false" customWidth="true" hidden="false" outlineLevel="0" max="16" min="16" style="1" width="13.86"/>
    <col collapsed="false" customWidth="true" hidden="false" outlineLevel="0" max="17" min="17" style="1" width="12.71"/>
    <col collapsed="false" customWidth="true" hidden="false" outlineLevel="0" max="18" min="18" style="1" width="13.29"/>
    <col collapsed="false" customWidth="true" hidden="false" outlineLevel="0" max="19" min="19" style="1" width="13.86"/>
    <col collapsed="false" customWidth="true" hidden="false" outlineLevel="0" max="20" min="20" style="1" width="13.29"/>
    <col collapsed="false" customWidth="true" hidden="false" outlineLevel="0" max="21" min="21" style="1" width="11.14"/>
    <col collapsed="false" customWidth="true" hidden="false" outlineLevel="0" max="22" min="22" style="1" width="19"/>
    <col collapsed="false" customWidth="true" hidden="false" outlineLevel="0" max="23" min="23" style="1" width="21.84"/>
    <col collapsed="false" customWidth="true" hidden="false" outlineLevel="0" max="29" min="24" style="1" width="22.71"/>
    <col collapsed="false" customWidth="true" hidden="false" outlineLevel="0" max="30" min="30" style="1" width="19.86"/>
    <col collapsed="false" customWidth="true" hidden="false" outlineLevel="0" max="31" min="31" style="1" width="19.14"/>
    <col collapsed="false" customWidth="true" hidden="false" outlineLevel="0" max="32" min="32" style="1" width="22"/>
    <col collapsed="false" customWidth="true" hidden="false" outlineLevel="0" max="38" min="33" style="1" width="22.86"/>
    <col collapsed="false" customWidth="true" hidden="false" outlineLevel="0" max="39" min="39" style="1" width="20"/>
    <col collapsed="false" customWidth="true" hidden="false" outlineLevel="0" max="40" min="40" style="1" width="22.71"/>
    <col collapsed="false" customWidth="true" hidden="false" outlineLevel="0" max="45" min="41" style="1" width="19.86"/>
    <col collapsed="false" customWidth="true" hidden="false" outlineLevel="0" max="46" min="46" style="1" width="14.14"/>
    <col collapsed="false" customWidth="true" hidden="false" outlineLevel="0" max="47" min="47" style="1" width="16.43"/>
    <col collapsed="false" customWidth="true" hidden="false" outlineLevel="0" max="48" min="48" style="1" width="16.57"/>
    <col collapsed="false" customWidth="true" hidden="false" outlineLevel="0" max="49" min="49" style="1" width="13.71"/>
    <col collapsed="false" customWidth="true" hidden="false" outlineLevel="0" max="50" min="50" style="1" width="13.86"/>
    <col collapsed="false" customWidth="true" hidden="false" outlineLevel="0" max="51" min="51" style="1" width="16.57"/>
    <col collapsed="false" customWidth="true" hidden="false" outlineLevel="0" max="52" min="52" style="1" width="13.86"/>
    <col collapsed="false" customWidth="true" hidden="false" outlineLevel="0" max="54" min="53" style="1" width="17.57"/>
    <col collapsed="false" customWidth="true" hidden="false" outlineLevel="0" max="56" min="55" style="1" width="17.71"/>
    <col collapsed="false" customWidth="true" hidden="false" outlineLevel="0" max="57" min="57" style="1" width="14.86"/>
    <col collapsed="false" customWidth="true" hidden="false" outlineLevel="0" max="58" min="58" style="1" width="10.71"/>
    <col collapsed="false" customWidth="true" hidden="false" outlineLevel="0" max="59" min="59" style="1" width="12.57"/>
    <col collapsed="false" customWidth="true" hidden="false" outlineLevel="0" max="60" min="60" style="1" width="13.57"/>
    <col collapsed="false" customWidth="true" hidden="false" outlineLevel="0" max="61" min="61" style="1" width="17.29"/>
    <col collapsed="false" customWidth="true" hidden="false" outlineLevel="0" max="62" min="62" style="1" width="13.57"/>
    <col collapsed="false" customWidth="true" hidden="false" outlineLevel="0" max="63" min="63" style="1" width="9.86"/>
  </cols>
  <sheetData>
    <row r="1" customFormat="false" ht="12.75" hidden="false" customHeight="false" outlineLevel="0" collapsed="false">
      <c r="A1" s="6" t="s">
        <v>232</v>
      </c>
      <c r="B1" s="6" t="str">
        <f aca="false">metadata!B2</f>
        <v>PC_MINI_G</v>
      </c>
      <c r="C1" s="6" t="str">
        <f aca="false">metadata!B3</f>
        <v>PC_SMALL_G</v>
      </c>
      <c r="D1" s="6" t="str">
        <f aca="false">metadata!B4</f>
        <v>PC_MEDIUM_G</v>
      </c>
      <c r="E1" s="6" t="str">
        <f aca="false">metadata!B5</f>
        <v>PC_SUV_G</v>
      </c>
      <c r="F1" s="6" t="str">
        <f aca="false">metadata!B6</f>
        <v>PC_MINI_D</v>
      </c>
      <c r="G1" s="6" t="str">
        <f aca="false">metadata!B7</f>
        <v>PC_SMALL_D</v>
      </c>
      <c r="H1" s="6" t="str">
        <f aca="false">metadata!B8</f>
        <v>PC_MEDIUM_D</v>
      </c>
      <c r="I1" s="6" t="str">
        <f aca="false">metadata!B9</f>
        <v>PC_SUV_D</v>
      </c>
      <c r="J1" s="6" t="str">
        <f aca="false">metadata!B10</f>
        <v>PC_ELEC</v>
      </c>
      <c r="K1" s="6" t="str">
        <f aca="false">metadata!B11</f>
        <v>PC_SMALL_HY</v>
      </c>
      <c r="L1" s="6" t="str">
        <f aca="false">metadata!B12</f>
        <v>TAXI_SMALL_G</v>
      </c>
      <c r="M1" s="6" t="str">
        <f aca="false">metadata!B13</f>
        <v>TAXI_SMALL_GLP</v>
      </c>
      <c r="N1" s="6" t="str">
        <f aca="false">metadata!B14</f>
        <v>LCV_NI_G</v>
      </c>
      <c r="O1" s="6" t="str">
        <f aca="false">metadata!B15</f>
        <v>LCV_NII_G</v>
      </c>
      <c r="P1" s="6" t="str">
        <f aca="false">metadata!B16</f>
        <v>LCV_NIII_G</v>
      </c>
      <c r="Q1" s="6" t="str">
        <f aca="false">metadata!B17</f>
        <v>LCV_NI_D</v>
      </c>
      <c r="R1" s="6" t="str">
        <f aca="false">metadata!B18</f>
        <v>LCV_NII_D</v>
      </c>
      <c r="S1" s="6" t="str">
        <f aca="false">metadata!B19</f>
        <v>LCV_NIII_D</v>
      </c>
      <c r="T1" s="6" t="str">
        <f aca="false">metadata!B20</f>
        <v>LCV_ELEC</v>
      </c>
      <c r="U1" s="6" t="str">
        <f aca="false">metadata!B21</f>
        <v>LCV_HY</v>
      </c>
      <c r="V1" s="6" t="str">
        <f aca="false">metadata!B22</f>
        <v>TRUCKS_RT_7_D</v>
      </c>
      <c r="W1" s="6" t="str">
        <f aca="false">metadata!B23</f>
        <v>TRUCKS_RT_7_12_D</v>
      </c>
      <c r="X1" s="6" t="str">
        <f aca="false">metadata!B24</f>
        <v>TRUCKS_RT_12_14_D</v>
      </c>
      <c r="Y1" s="6" t="str">
        <f aca="false">metadata!B25</f>
        <v>TRUCKS_RT_14_16_D</v>
      </c>
      <c r="Z1" s="6" t="str">
        <f aca="false">metadata!B26</f>
        <v>TRUCKS_RT_16_20_D</v>
      </c>
      <c r="AA1" s="6" t="str">
        <f aca="false">metadata!B27</f>
        <v>TRUCKS_RT_20_26_D</v>
      </c>
      <c r="AB1" s="6" t="str">
        <f aca="false">metadata!B28</f>
        <v>TRUCKS_RT_26_28_D</v>
      </c>
      <c r="AC1" s="6" t="str">
        <f aca="false">metadata!B29</f>
        <v>TRUCKS_RT_28_32_D</v>
      </c>
      <c r="AD1" s="4" t="str">
        <f aca="false">metadata!B30</f>
        <v>TRUCKS_RT_32_D</v>
      </c>
      <c r="AE1" s="4" t="str">
        <f aca="false">metadata!B31</f>
        <v>TRUCKS_RT_7_G</v>
      </c>
      <c r="AF1" s="4" t="str">
        <f aca="false">metadata!B32</f>
        <v>TRUCKS_RT_7_12_G</v>
      </c>
      <c r="AG1" s="4" t="str">
        <f aca="false">metadata!B33</f>
        <v>TRUCKS_RT_12_14_G</v>
      </c>
      <c r="AH1" s="4" t="str">
        <f aca="false">metadata!B34</f>
        <v>TRUCKS_RT_14_16_G</v>
      </c>
      <c r="AI1" s="4" t="str">
        <f aca="false">metadata!B35</f>
        <v>TRUCKS_RT_16_20_G</v>
      </c>
      <c r="AJ1" s="4" t="str">
        <f aca="false">metadata!B36</f>
        <v>TRUCKS_RT_20_26_G</v>
      </c>
      <c r="AK1" s="4" t="str">
        <f aca="false">metadata!B37</f>
        <v>TRUCKS_RT_26_28_G</v>
      </c>
      <c r="AL1" s="4" t="str">
        <f aca="false">metadata!B38</f>
        <v>TRUCKS_RT_28_32_G</v>
      </c>
      <c r="AM1" s="4" t="str">
        <f aca="false">metadata!B39</f>
        <v>TRUCKS_RT_32_G</v>
      </c>
      <c r="AN1" s="4" t="str">
        <f aca="false">metadata!B40</f>
        <v>TRUCKS_AT_16_20_D</v>
      </c>
      <c r="AO1" s="6" t="str">
        <f aca="false">metadata!B41</f>
        <v>TRUCKS_AT_20_28_D</v>
      </c>
      <c r="AP1" s="6" t="str">
        <f aca="false">metadata!B42</f>
        <v>TRUCKS_AT_28_34_D</v>
      </c>
      <c r="AQ1" s="1" t="str">
        <f aca="false">metadata!B43</f>
        <v>TRUCKS_AT_34_40_D</v>
      </c>
      <c r="AR1" s="1" t="str">
        <f aca="false">metadata!B44</f>
        <v>TRUCKS_AT_40_50_D</v>
      </c>
      <c r="AS1" s="1" t="str">
        <f aca="false">metadata!B45</f>
        <v>TRUCKS_AT_50_60_D</v>
      </c>
      <c r="AT1" s="1" t="str">
        <f aca="false">metadata!B46</f>
        <v>TRUCKS_ELEC</v>
      </c>
      <c r="AU1" s="1" t="str">
        <f aca="false">metadata!B47</f>
        <v>BUS_UB_15_D</v>
      </c>
      <c r="AV1" s="1" t="str">
        <f aca="false">metadata!B48</f>
        <v>BUS_UB_15_18_D</v>
      </c>
      <c r="AW1" s="1" t="str">
        <f aca="false">metadata!B49</f>
        <v>BUS_UB_18_D</v>
      </c>
      <c r="AX1" s="1" t="str">
        <f aca="false">metadata!B50</f>
        <v>BUS_UB_15_G</v>
      </c>
      <c r="AY1" s="1" t="str">
        <f aca="false">metadata!B51</f>
        <v>BUS_UB_15_18_G</v>
      </c>
      <c r="AZ1" s="1" t="str">
        <f aca="false">metadata!B52</f>
        <v>BUS_UB_18_G</v>
      </c>
      <c r="BA1" s="1" t="str">
        <f aca="false">metadata!B53</f>
        <v>BUS_COACH_17_D</v>
      </c>
      <c r="BB1" s="1" t="str">
        <f aca="false">metadata!B54</f>
        <v>BUS_COACH_18_D</v>
      </c>
      <c r="BC1" s="1" t="str">
        <f aca="false">metadata!B55</f>
        <v>BUS_COACH_17_G</v>
      </c>
      <c r="BD1" s="1" t="str">
        <f aca="false">metadata!B56</f>
        <v>BUS_COACH_18_G</v>
      </c>
      <c r="BE1" s="1" t="str">
        <f aca="false">metadata!B57</f>
        <v>BUS_UB_15_HY</v>
      </c>
      <c r="BF1" s="1" t="str">
        <f aca="false">metadata!B58</f>
        <v>BUS_ELEC</v>
      </c>
      <c r="BG1" s="1" t="str">
        <f aca="false">metadata!B59</f>
        <v>MC_2S_50_G</v>
      </c>
      <c r="BH1" s="1" t="str">
        <f aca="false">metadata!B60</f>
        <v>MC_4S_50_250_G</v>
      </c>
      <c r="BI1" s="1" t="str">
        <f aca="false">metadata!B61</f>
        <v>MC_4S_250_750_G</v>
      </c>
      <c r="BJ1" s="1" t="str">
        <f aca="false">metadata!B62</f>
        <v>MC_4S_750_G</v>
      </c>
      <c r="BK1" s="1" t="str">
        <f aca="false">metadata!B63</f>
        <v>MC_ELEC</v>
      </c>
    </row>
    <row r="2" customFormat="false" ht="12.75" hidden="false" customHeight="false" outlineLevel="0" collapsed="false">
      <c r="A2" s="1" t="n">
        <v>2019</v>
      </c>
      <c r="B2" s="7" t="n">
        <f aca="false">base_fleet!H2</f>
        <v>18575</v>
      </c>
      <c r="C2" s="7" t="n">
        <f aca="false">base_fleet!M2*0.95</f>
        <v>37789.1</v>
      </c>
      <c r="D2" s="7" t="n">
        <f aca="false">base_fleet!D2</f>
        <v>1572</v>
      </c>
      <c r="E2" s="7" t="n">
        <f aca="false">base_fleet!R2</f>
        <v>14447</v>
      </c>
      <c r="F2" s="7" t="n">
        <f aca="false">base_fleet!F2</f>
        <v>116</v>
      </c>
      <c r="G2" s="7" t="n">
        <f aca="false">base_fleet!K2</f>
        <v>505</v>
      </c>
      <c r="H2" s="7" t="n">
        <f aca="false">base_fleet!B2</f>
        <v>1</v>
      </c>
      <c r="I2" s="7" t="n">
        <f aca="false">base_fleet!P2</f>
        <v>319</v>
      </c>
      <c r="J2" s="7" t="n">
        <f aca="false">base_fleet!C2+base_fleet!G2+base_fleet!L2+base_fleet!Q2</f>
        <v>4</v>
      </c>
      <c r="K2" s="7" t="n">
        <f aca="false">base_fleet!E2+base_fleet!J2+base_fleet!O2+base_fleet!T2</f>
        <v>1618</v>
      </c>
      <c r="L2" s="7" t="n">
        <f aca="false">base_fleet!M2*0.05</f>
        <v>1988.9</v>
      </c>
      <c r="M2" s="7" t="n">
        <f aca="false">base_fleet!I2+base_fleet!N2+base_fleet!S2</f>
        <v>1</v>
      </c>
      <c r="N2" s="7" t="n">
        <f aca="false">base_fleet!AF2</f>
        <v>2027</v>
      </c>
      <c r="O2" s="7" t="n">
        <f aca="false">base_fleet!AA2</f>
        <v>85</v>
      </c>
      <c r="P2" s="13" t="n">
        <f aca="false">base_fleet!V2</f>
        <v>221</v>
      </c>
      <c r="Q2" s="13" t="n">
        <f aca="false">base_fleet!AD2</f>
        <v>2749</v>
      </c>
      <c r="R2" s="13" t="n">
        <f aca="false">base_fleet!Y2</f>
        <v>148</v>
      </c>
      <c r="S2" s="13" t="n">
        <f aca="false">base_fleet!U2</f>
        <v>299</v>
      </c>
      <c r="T2" s="7" t="n">
        <v>0</v>
      </c>
      <c r="U2" s="13" t="n">
        <f aca="false">base_fleet!X2+base_fleet!AC2+base_fleet!AH2</f>
        <v>0</v>
      </c>
      <c r="V2" s="13" t="n">
        <f aca="false">base_fleet!AI2</f>
        <v>2524</v>
      </c>
      <c r="W2" s="13" t="n">
        <f aca="false">base_fleet!AM2</f>
        <v>297</v>
      </c>
      <c r="X2" s="13" t="n">
        <f aca="false">base_fleet!AP2</f>
        <v>80</v>
      </c>
      <c r="Y2" s="13" t="n">
        <f aca="false">base_fleet!AS2</f>
        <v>24</v>
      </c>
      <c r="Z2" s="13" t="n">
        <f aca="false">base_fleet!AU2</f>
        <v>99</v>
      </c>
      <c r="AA2" s="13" t="n">
        <f aca="false">base_fleet!AW2</f>
        <v>4</v>
      </c>
      <c r="AB2" s="13" t="n">
        <f aca="false">base_fleet!AY2/2</f>
        <v>8.5</v>
      </c>
      <c r="AC2" s="13" t="n">
        <f aca="false">base_fleet!AY2/2</f>
        <v>8.5</v>
      </c>
      <c r="AD2" s="7" t="n">
        <f aca="false">base_fleet!BB2</f>
        <v>18</v>
      </c>
      <c r="AE2" s="7" t="n">
        <f aca="false">base_fleet!AK2</f>
        <v>0</v>
      </c>
      <c r="AF2" s="7" t="n">
        <f aca="false">base_fleet!AO2</f>
        <v>0</v>
      </c>
      <c r="AG2" s="7" t="n">
        <f aca="false">base_fleet!AR2</f>
        <v>0</v>
      </c>
      <c r="AH2" s="7" t="n">
        <f aca="false">base_fleet!AT2</f>
        <v>0</v>
      </c>
      <c r="AI2" s="7" t="n">
        <f aca="false">base_fleet!AV2</f>
        <v>0</v>
      </c>
      <c r="AJ2" s="7" t="n">
        <f aca="false">base_fleet!AX2</f>
        <v>0</v>
      </c>
      <c r="AK2" s="7" t="n">
        <f aca="false">base_fleet!AZ2</f>
        <v>0</v>
      </c>
      <c r="AL2" s="7" t="n">
        <f aca="false">base_fleet!BC2</f>
        <v>0</v>
      </c>
      <c r="AM2" s="7" t="n">
        <v>0</v>
      </c>
      <c r="AN2" s="7" t="n">
        <f aca="false">base_fleet!BD2</f>
        <v>174</v>
      </c>
      <c r="AO2" s="7" t="n">
        <f aca="false">base_fleet!BE2</f>
        <v>109</v>
      </c>
      <c r="AP2" s="7" t="n">
        <f aca="false">base_fleet!BF2</f>
        <v>1</v>
      </c>
      <c r="AQ2" s="7" t="n">
        <f aca="false">base_fleet!BG2</f>
        <v>20</v>
      </c>
      <c r="AR2" s="7" t="n">
        <f aca="false">base_fleet!BH2</f>
        <v>98</v>
      </c>
      <c r="AS2" s="7" t="n">
        <f aca="false">base_fleet!BI2</f>
        <v>5</v>
      </c>
      <c r="AT2" s="7" t="n">
        <f aca="false">base_fleet!AQ2+base_fleet!AN2+base_fleet!AJ2</f>
        <v>0</v>
      </c>
      <c r="AU2" s="7" t="n">
        <f aca="false">base_fleet!BL2</f>
        <v>417.350000000001</v>
      </c>
      <c r="AV2" s="7" t="n">
        <f aca="false">base_fleet!BJ2</f>
        <v>30.6</v>
      </c>
      <c r="AW2" s="7" t="n">
        <f aca="false">base_fleet!BN2</f>
        <v>17</v>
      </c>
      <c r="AX2" s="7" t="n">
        <f aca="false">base_fleet!BM2</f>
        <v>0</v>
      </c>
      <c r="AY2" s="7" t="n">
        <f aca="false">base_fleet!BK2</f>
        <v>0.85</v>
      </c>
      <c r="AZ2" s="7" t="n">
        <f aca="false">base_fleet!BO2</f>
        <v>0</v>
      </c>
      <c r="BA2" s="7" t="n">
        <f aca="false">base_fleet!BP2</f>
        <v>184.35</v>
      </c>
      <c r="BB2" s="7" t="n">
        <f aca="false">base_fleet!BR2</f>
        <v>5.25</v>
      </c>
      <c r="BC2" s="7" t="n">
        <f aca="false">base_fleet!BQ2</f>
        <v>1.95</v>
      </c>
      <c r="BD2" s="7" t="n">
        <f aca="false">base_fleet!BS2</f>
        <v>0.15</v>
      </c>
      <c r="BE2" s="7" t="n">
        <v>0</v>
      </c>
      <c r="BF2" s="7" t="n">
        <v>0</v>
      </c>
      <c r="BG2" s="7" t="n">
        <f aca="false">base_fleet!CE2</f>
        <v>0</v>
      </c>
      <c r="BH2" s="7" t="n">
        <f aca="false">base_fleet!CA2</f>
        <v>31369</v>
      </c>
      <c r="BI2" s="7" t="n">
        <f aca="false">base_fleet!BV2</f>
        <v>66</v>
      </c>
      <c r="BJ2" s="7" t="n">
        <f aca="false">base_fleet!CH2</f>
        <v>0</v>
      </c>
      <c r="BK2" s="7" t="n">
        <f aca="false">base_fleet!BU2+base_fleet!BZ2+base_fleet!CD2</f>
        <v>0</v>
      </c>
    </row>
    <row r="3" customFormat="false" ht="12.75" hidden="false" customHeight="false" outlineLevel="0" collapsed="false">
      <c r="A3" s="1" t="n">
        <f aca="false">A2-1</f>
        <v>2018</v>
      </c>
      <c r="B3" s="7" t="n">
        <f aca="false">base_fleet!H3</f>
        <v>8602</v>
      </c>
      <c r="C3" s="7" t="n">
        <f aca="false">base_fleet!M3*0.95</f>
        <v>24402.65</v>
      </c>
      <c r="D3" s="7" t="n">
        <f aca="false">base_fleet!D3</f>
        <v>891</v>
      </c>
      <c r="E3" s="7" t="n">
        <f aca="false">base_fleet!R3</f>
        <v>39723</v>
      </c>
      <c r="F3" s="7" t="n">
        <f aca="false">base_fleet!F3</f>
        <v>25</v>
      </c>
      <c r="G3" s="7" t="n">
        <f aca="false">base_fleet!K3</f>
        <v>281</v>
      </c>
      <c r="H3" s="7" t="n">
        <f aca="false">base_fleet!B3</f>
        <v>15</v>
      </c>
      <c r="I3" s="7" t="n">
        <f aca="false">base_fleet!P3</f>
        <v>648</v>
      </c>
      <c r="J3" s="7" t="n">
        <f aca="false">base_fleet!C3+base_fleet!G3+base_fleet!L3+base_fleet!Q3</f>
        <v>6</v>
      </c>
      <c r="K3" s="7" t="n">
        <f aca="false">base_fleet!E3+base_fleet!J3+base_fleet!O3+base_fleet!T3</f>
        <v>1557</v>
      </c>
      <c r="L3" s="7" t="n">
        <f aca="false">base_fleet!M3*0.05</f>
        <v>1284.35</v>
      </c>
      <c r="M3" s="7" t="n">
        <f aca="false">base_fleet!I3+base_fleet!N3+base_fleet!S3</f>
        <v>1</v>
      </c>
      <c r="N3" s="7" t="n">
        <f aca="false">base_fleet!AF3</f>
        <v>9033</v>
      </c>
      <c r="O3" s="7" t="n">
        <f aca="false">base_fleet!AA3</f>
        <v>605</v>
      </c>
      <c r="P3" s="13" t="n">
        <f aca="false">base_fleet!V3</f>
        <v>946</v>
      </c>
      <c r="Q3" s="13" t="n">
        <f aca="false">base_fleet!AD3</f>
        <v>12345</v>
      </c>
      <c r="R3" s="13" t="n">
        <f aca="false">base_fleet!Y3</f>
        <v>728</v>
      </c>
      <c r="S3" s="13" t="n">
        <f aca="false">base_fleet!U3</f>
        <v>974</v>
      </c>
      <c r="T3" s="7" t="n">
        <f aca="false">base_fleet!Z3+base_fleet!AE3</f>
        <v>7</v>
      </c>
      <c r="U3" s="13" t="n">
        <f aca="false">base_fleet!X3+base_fleet!AC3+base_fleet!AH3</f>
        <v>0</v>
      </c>
      <c r="V3" s="13" t="n">
        <f aca="false">base_fleet!AI3</f>
        <v>3968</v>
      </c>
      <c r="W3" s="13" t="n">
        <f aca="false">base_fleet!AM3</f>
        <v>455</v>
      </c>
      <c r="X3" s="13" t="n">
        <f aca="false">base_fleet!AP3</f>
        <v>246</v>
      </c>
      <c r="Y3" s="13" t="n">
        <f aca="false">base_fleet!AS3</f>
        <v>111</v>
      </c>
      <c r="Z3" s="13" t="n">
        <f aca="false">base_fleet!AU3</f>
        <v>256</v>
      </c>
      <c r="AA3" s="13" t="n">
        <f aca="false">base_fleet!AW3</f>
        <v>19</v>
      </c>
      <c r="AB3" s="13" t="n">
        <f aca="false">base_fleet!AY3/2</f>
        <v>34</v>
      </c>
      <c r="AC3" s="13" t="n">
        <f aca="false">base_fleet!AY3/2</f>
        <v>34</v>
      </c>
      <c r="AD3" s="7" t="n">
        <f aca="false">base_fleet!BB3</f>
        <v>29</v>
      </c>
      <c r="AE3" s="7" t="n">
        <f aca="false">base_fleet!AK3</f>
        <v>90</v>
      </c>
      <c r="AF3" s="7" t="n">
        <f aca="false">base_fleet!AO3</f>
        <v>1</v>
      </c>
      <c r="AG3" s="7" t="n">
        <f aca="false">base_fleet!AR3</f>
        <v>0</v>
      </c>
      <c r="AH3" s="7" t="n">
        <f aca="false">base_fleet!AT3</f>
        <v>0</v>
      </c>
      <c r="AI3" s="7" t="n">
        <f aca="false">base_fleet!AV3</f>
        <v>0</v>
      </c>
      <c r="AJ3" s="7" t="n">
        <f aca="false">base_fleet!AX3</f>
        <v>0</v>
      </c>
      <c r="AK3" s="7" t="n">
        <f aca="false">base_fleet!AZ3</f>
        <v>0</v>
      </c>
      <c r="AL3" s="7" t="n">
        <f aca="false">base_fleet!BC3</f>
        <v>0</v>
      </c>
      <c r="AM3" s="7" t="n">
        <v>0</v>
      </c>
      <c r="AN3" s="7" t="n">
        <f aca="false">base_fleet!BD3</f>
        <v>304</v>
      </c>
      <c r="AO3" s="7" t="n">
        <f aca="false">base_fleet!BE3</f>
        <v>236</v>
      </c>
      <c r="AP3" s="7" t="n">
        <f aca="false">base_fleet!BF3</f>
        <v>4</v>
      </c>
      <c r="AQ3" s="7" t="n">
        <f aca="false">base_fleet!BG3</f>
        <v>14</v>
      </c>
      <c r="AR3" s="7" t="n">
        <f aca="false">base_fleet!BH3</f>
        <v>261</v>
      </c>
      <c r="AS3" s="7" t="n">
        <f aca="false">base_fleet!BI3</f>
        <v>22</v>
      </c>
      <c r="AT3" s="7" t="n">
        <f aca="false">base_fleet!AQ3+base_fleet!AN3+base_fleet!AJ3</f>
        <v>0</v>
      </c>
      <c r="AU3" s="7" t="n">
        <f aca="false">base_fleet!BL3</f>
        <v>1114.35</v>
      </c>
      <c r="AV3" s="7" t="n">
        <f aca="false">base_fleet!BJ3</f>
        <v>232.9</v>
      </c>
      <c r="AW3" s="7" t="n">
        <f aca="false">base_fleet!BN3</f>
        <v>123.25</v>
      </c>
      <c r="AX3" s="7" t="n">
        <f aca="false">base_fleet!BM3</f>
        <v>1.7</v>
      </c>
      <c r="AY3" s="7" t="n">
        <f aca="false">base_fleet!BK3</f>
        <v>1.7</v>
      </c>
      <c r="AZ3" s="7" t="n">
        <f aca="false">base_fleet!BO3</f>
        <v>0.85</v>
      </c>
      <c r="BA3" s="7" t="n">
        <f aca="false">base_fleet!BP3</f>
        <v>217.65</v>
      </c>
      <c r="BB3" s="7" t="n">
        <f aca="false">base_fleet!BR3</f>
        <v>4.5</v>
      </c>
      <c r="BC3" s="7" t="n">
        <f aca="false">base_fleet!BQ3</f>
        <v>1.8</v>
      </c>
      <c r="BD3" s="7" t="n">
        <f aca="false">base_fleet!BS3</f>
        <v>0</v>
      </c>
      <c r="BE3" s="7" t="n">
        <v>0</v>
      </c>
      <c r="BF3" s="7" t="n">
        <v>0</v>
      </c>
      <c r="BG3" s="7" t="n">
        <f aca="false">base_fleet!CE3</f>
        <v>19</v>
      </c>
      <c r="BH3" s="7" t="n">
        <f aca="false">base_fleet!CA3</f>
        <v>102301</v>
      </c>
      <c r="BI3" s="7" t="n">
        <f aca="false">base_fleet!BV3</f>
        <v>767</v>
      </c>
      <c r="BJ3" s="7" t="n">
        <f aca="false">base_fleet!CH3</f>
        <v>4</v>
      </c>
      <c r="BK3" s="7" t="n">
        <f aca="false">base_fleet!BU3+base_fleet!BZ3+base_fleet!CD3</f>
        <v>69</v>
      </c>
    </row>
    <row r="4" customFormat="false" ht="12.75" hidden="false" customHeight="false" outlineLevel="0" collapsed="false">
      <c r="A4" s="1" t="n">
        <f aca="false">A3-1</f>
        <v>2017</v>
      </c>
      <c r="B4" s="7" t="n">
        <f aca="false">base_fleet!H4</f>
        <v>5522</v>
      </c>
      <c r="C4" s="7" t="n">
        <f aca="false">base_fleet!M4*0.95</f>
        <v>15650.3</v>
      </c>
      <c r="D4" s="7" t="n">
        <f aca="false">base_fleet!D4</f>
        <v>106</v>
      </c>
      <c r="E4" s="7" t="n">
        <f aca="false">base_fleet!R4</f>
        <v>24392</v>
      </c>
      <c r="F4" s="7" t="n">
        <f aca="false">base_fleet!F4</f>
        <v>1</v>
      </c>
      <c r="G4" s="7" t="n">
        <f aca="false">base_fleet!K4</f>
        <v>10</v>
      </c>
      <c r="H4" s="7" t="n">
        <f aca="false">base_fleet!B4</f>
        <v>0</v>
      </c>
      <c r="I4" s="7" t="n">
        <f aca="false">base_fleet!P4</f>
        <v>525</v>
      </c>
      <c r="J4" s="7" t="n">
        <f aca="false">base_fleet!C4+base_fleet!G4+base_fleet!L4+base_fleet!Q4</f>
        <v>87</v>
      </c>
      <c r="K4" s="7" t="n">
        <f aca="false">base_fleet!E4+base_fleet!J4+base_fleet!O4+base_fleet!T4</f>
        <v>1571</v>
      </c>
      <c r="L4" s="7" t="n">
        <f aca="false">base_fleet!M4*0.05</f>
        <v>823.7</v>
      </c>
      <c r="M4" s="7" t="n">
        <f aca="false">base_fleet!I4+base_fleet!N4+base_fleet!S4</f>
        <v>0</v>
      </c>
      <c r="N4" s="7" t="n">
        <f aca="false">base_fleet!AF4</f>
        <v>4790</v>
      </c>
      <c r="O4" s="7" t="n">
        <f aca="false">base_fleet!AA4</f>
        <v>488</v>
      </c>
      <c r="P4" s="13" t="n">
        <f aca="false">base_fleet!V4</f>
        <v>435</v>
      </c>
      <c r="Q4" s="13" t="n">
        <f aca="false">base_fleet!AD4</f>
        <v>8926</v>
      </c>
      <c r="R4" s="13" t="n">
        <f aca="false">base_fleet!Y4</f>
        <v>552</v>
      </c>
      <c r="S4" s="13" t="n">
        <f aca="false">base_fleet!U4</f>
        <v>493</v>
      </c>
      <c r="T4" s="7" t="n">
        <f aca="false">base_fleet!Z4+base_fleet!AE4</f>
        <v>0</v>
      </c>
      <c r="U4" s="13" t="n">
        <f aca="false">base_fleet!X4+base_fleet!AC4+base_fleet!AH4</f>
        <v>2</v>
      </c>
      <c r="V4" s="13" t="n">
        <f aca="false">base_fleet!AI4</f>
        <v>2936</v>
      </c>
      <c r="W4" s="13" t="n">
        <f aca="false">base_fleet!AM4</f>
        <v>342</v>
      </c>
      <c r="X4" s="13" t="n">
        <f aca="false">base_fleet!AP4</f>
        <v>222</v>
      </c>
      <c r="Y4" s="13" t="n">
        <f aca="false">base_fleet!AS4</f>
        <v>73</v>
      </c>
      <c r="Z4" s="13" t="n">
        <f aca="false">base_fleet!AU4</f>
        <v>203</v>
      </c>
      <c r="AA4" s="13" t="n">
        <f aca="false">base_fleet!AW4</f>
        <v>15</v>
      </c>
      <c r="AB4" s="13" t="n">
        <f aca="false">base_fleet!AY4/2</f>
        <v>16</v>
      </c>
      <c r="AC4" s="13" t="n">
        <f aca="false">base_fleet!AY4/2</f>
        <v>16</v>
      </c>
      <c r="AD4" s="7" t="n">
        <f aca="false">base_fleet!BB4</f>
        <v>4</v>
      </c>
      <c r="AE4" s="7" t="n">
        <f aca="false">base_fleet!AK4</f>
        <v>9</v>
      </c>
      <c r="AF4" s="7" t="n">
        <f aca="false">base_fleet!AO4</f>
        <v>0</v>
      </c>
      <c r="AG4" s="7" t="n">
        <f aca="false">base_fleet!AR4</f>
        <v>0</v>
      </c>
      <c r="AH4" s="7" t="n">
        <f aca="false">base_fleet!AT4</f>
        <v>0</v>
      </c>
      <c r="AI4" s="7" t="n">
        <f aca="false">base_fleet!AV4</f>
        <v>0</v>
      </c>
      <c r="AJ4" s="7" t="n">
        <f aca="false">base_fleet!AX4</f>
        <v>0</v>
      </c>
      <c r="AK4" s="7" t="n">
        <f aca="false">base_fleet!AZ4</f>
        <v>0</v>
      </c>
      <c r="AL4" s="7" t="n">
        <f aca="false">base_fleet!BC4</f>
        <v>0</v>
      </c>
      <c r="AM4" s="7" t="n">
        <v>0</v>
      </c>
      <c r="AN4" s="7" t="n">
        <f aca="false">base_fleet!BD4</f>
        <v>164</v>
      </c>
      <c r="AO4" s="7" t="n">
        <f aca="false">base_fleet!BE4</f>
        <v>90</v>
      </c>
      <c r="AP4" s="7" t="n">
        <f aca="false">base_fleet!BF4</f>
        <v>1</v>
      </c>
      <c r="AQ4" s="7" t="n">
        <f aca="false">base_fleet!BG4</f>
        <v>22</v>
      </c>
      <c r="AR4" s="7" t="n">
        <f aca="false">base_fleet!BH4</f>
        <v>71</v>
      </c>
      <c r="AS4" s="7" t="n">
        <f aca="false">base_fleet!BI4</f>
        <v>7</v>
      </c>
      <c r="AT4" s="7" t="n">
        <f aca="false">base_fleet!AQ4+base_fleet!AN4+base_fleet!AJ4</f>
        <v>0</v>
      </c>
      <c r="AU4" s="7" t="n">
        <f aca="false">base_fleet!BL4</f>
        <v>1210.4</v>
      </c>
      <c r="AV4" s="7" t="n">
        <f aca="false">base_fleet!BJ4</f>
        <v>302.6</v>
      </c>
      <c r="AW4" s="7" t="n">
        <f aca="false">base_fleet!BN4</f>
        <v>66.3</v>
      </c>
      <c r="AX4" s="7" t="n">
        <f aca="false">base_fleet!BM4</f>
        <v>3.4</v>
      </c>
      <c r="AY4" s="7" t="n">
        <f aca="false">base_fleet!BK4</f>
        <v>0</v>
      </c>
      <c r="AZ4" s="7" t="n">
        <f aca="false">base_fleet!BO4</f>
        <v>0</v>
      </c>
      <c r="BA4" s="7" t="n">
        <f aca="false">base_fleet!BP4</f>
        <v>224.1</v>
      </c>
      <c r="BB4" s="7" t="n">
        <f aca="false">base_fleet!BR4</f>
        <v>0.15</v>
      </c>
      <c r="BC4" s="7" t="n">
        <f aca="false">base_fleet!BQ4</f>
        <v>1.8</v>
      </c>
      <c r="BD4" s="7" t="n">
        <f aca="false">base_fleet!BS4</f>
        <v>0</v>
      </c>
      <c r="BE4" s="7" t="n">
        <v>0</v>
      </c>
      <c r="BF4" s="7" t="n">
        <v>0</v>
      </c>
      <c r="BG4" s="7" t="n">
        <f aca="false">base_fleet!CE4</f>
        <v>3</v>
      </c>
      <c r="BH4" s="7" t="n">
        <f aca="false">base_fleet!CA4</f>
        <v>73869</v>
      </c>
      <c r="BI4" s="7" t="n">
        <f aca="false">base_fleet!BV4</f>
        <v>1485</v>
      </c>
      <c r="BJ4" s="7" t="n">
        <f aca="false">base_fleet!CH4</f>
        <v>2</v>
      </c>
      <c r="BK4" s="7" t="n">
        <f aca="false">base_fleet!BU4+base_fleet!BZ4+base_fleet!CD4</f>
        <v>76</v>
      </c>
    </row>
    <row r="5" customFormat="false" ht="12.75" hidden="false" customHeight="false" outlineLevel="0" collapsed="false">
      <c r="A5" s="1" t="n">
        <f aca="false">A4-1</f>
        <v>2016</v>
      </c>
      <c r="B5" s="9" t="n">
        <f aca="false">base_fleet!H5</f>
        <v>4030</v>
      </c>
      <c r="C5" s="9" t="n">
        <f aca="false">base_fleet!M5*0.95</f>
        <v>13349.4</v>
      </c>
      <c r="D5" s="9" t="n">
        <f aca="false">base_fleet!D5</f>
        <v>201</v>
      </c>
      <c r="E5" s="9" t="n">
        <f aca="false">base_fleet!R5</f>
        <v>14707</v>
      </c>
      <c r="F5" s="9" t="n">
        <f aca="false">base_fleet!F5</f>
        <v>1</v>
      </c>
      <c r="G5" s="9" t="n">
        <f aca="false">base_fleet!K5</f>
        <v>193</v>
      </c>
      <c r="H5" s="9" t="n">
        <f aca="false">base_fleet!B5</f>
        <v>1</v>
      </c>
      <c r="I5" s="9" t="n">
        <f aca="false">base_fleet!P5</f>
        <v>460</v>
      </c>
      <c r="J5" s="9" t="n">
        <f aca="false">base_fleet!C5+base_fleet!G5+base_fleet!L5+base_fleet!Q5</f>
        <v>43</v>
      </c>
      <c r="K5" s="9" t="n">
        <f aca="false">base_fleet!E5+base_fleet!J5+base_fleet!O5+base_fleet!T5</f>
        <v>553</v>
      </c>
      <c r="L5" s="9" t="n">
        <f aca="false">base_fleet!M5*0.05</f>
        <v>702.6</v>
      </c>
      <c r="M5" s="9" t="n">
        <f aca="false">base_fleet!I5+base_fleet!N5+base_fleet!S5</f>
        <v>1</v>
      </c>
      <c r="N5" s="9" t="n">
        <f aca="false">base_fleet!AF5</f>
        <v>2649</v>
      </c>
      <c r="O5" s="9" t="n">
        <f aca="false">base_fleet!AA5</f>
        <v>390</v>
      </c>
      <c r="P5" s="14" t="n">
        <f aca="false">base_fleet!V5</f>
        <v>365</v>
      </c>
      <c r="Q5" s="14" t="n">
        <f aca="false">base_fleet!AD5</f>
        <v>5916</v>
      </c>
      <c r="R5" s="14" t="n">
        <f aca="false">base_fleet!Y5</f>
        <v>353</v>
      </c>
      <c r="S5" s="14" t="n">
        <f aca="false">base_fleet!U5</f>
        <v>801</v>
      </c>
      <c r="T5" s="9" t="n">
        <f aca="false">base_fleet!Z5+base_fleet!AE5</f>
        <v>0</v>
      </c>
      <c r="U5" s="14" t="n">
        <f aca="false">base_fleet!X5+base_fleet!AC5+base_fleet!AH5</f>
        <v>0</v>
      </c>
      <c r="V5" s="14" t="n">
        <f aca="false">base_fleet!AI5</f>
        <v>1045</v>
      </c>
      <c r="W5" s="14" t="n">
        <f aca="false">base_fleet!AM5</f>
        <v>159</v>
      </c>
      <c r="X5" s="14" t="n">
        <f aca="false">base_fleet!AP5</f>
        <v>18</v>
      </c>
      <c r="Y5" s="14" t="n">
        <f aca="false">base_fleet!AS5</f>
        <v>45</v>
      </c>
      <c r="Z5" s="14" t="n">
        <f aca="false">base_fleet!AU5</f>
        <v>43</v>
      </c>
      <c r="AA5" s="14" t="n">
        <f aca="false">base_fleet!AW5</f>
        <v>10</v>
      </c>
      <c r="AB5" s="14" t="n">
        <f aca="false">base_fleet!AY5/2</f>
        <v>4</v>
      </c>
      <c r="AC5" s="14" t="n">
        <f aca="false">base_fleet!AY5/2</f>
        <v>4</v>
      </c>
      <c r="AD5" s="9" t="n">
        <f aca="false">base_fleet!BB5</f>
        <v>1</v>
      </c>
      <c r="AE5" s="9" t="n">
        <f aca="false">base_fleet!AK5</f>
        <v>13</v>
      </c>
      <c r="AF5" s="9" t="n">
        <f aca="false">base_fleet!AO5</f>
        <v>1</v>
      </c>
      <c r="AG5" s="9" t="n">
        <f aca="false">base_fleet!AR5</f>
        <v>0</v>
      </c>
      <c r="AH5" s="9" t="n">
        <f aca="false">base_fleet!AT5</f>
        <v>0</v>
      </c>
      <c r="AI5" s="9" t="n">
        <f aca="false">base_fleet!AV5</f>
        <v>0</v>
      </c>
      <c r="AJ5" s="9" t="n">
        <f aca="false">base_fleet!AX5</f>
        <v>0</v>
      </c>
      <c r="AK5" s="9" t="n">
        <f aca="false">base_fleet!AZ5</f>
        <v>0</v>
      </c>
      <c r="AL5" s="9" t="n">
        <f aca="false">base_fleet!BC5</f>
        <v>0</v>
      </c>
      <c r="AM5" s="9" t="n">
        <v>0</v>
      </c>
      <c r="AN5" s="9" t="n">
        <f aca="false">base_fleet!BD5</f>
        <v>21</v>
      </c>
      <c r="AO5" s="9" t="n">
        <f aca="false">base_fleet!BE5</f>
        <v>1</v>
      </c>
      <c r="AP5" s="9" t="n">
        <f aca="false">base_fleet!BF5</f>
        <v>0</v>
      </c>
      <c r="AQ5" s="9" t="n">
        <f aca="false">base_fleet!BG5</f>
        <v>0</v>
      </c>
      <c r="AR5" s="9" t="n">
        <f aca="false">base_fleet!BH5</f>
        <v>1</v>
      </c>
      <c r="AS5" s="9" t="n">
        <f aca="false">base_fleet!BI5</f>
        <v>0</v>
      </c>
      <c r="AT5" s="9" t="n">
        <f aca="false">base_fleet!AQ5+base_fleet!AN5+base_fleet!AJ5</f>
        <v>0</v>
      </c>
      <c r="AU5" s="9" t="n">
        <f aca="false">base_fleet!BL5</f>
        <v>939.250000000001</v>
      </c>
      <c r="AV5" s="9" t="n">
        <f aca="false">base_fleet!BJ5</f>
        <v>75.65</v>
      </c>
      <c r="AW5" s="9" t="n">
        <f aca="false">base_fleet!BN5</f>
        <v>17</v>
      </c>
      <c r="AX5" s="9" t="n">
        <f aca="false">base_fleet!BM5</f>
        <v>1.7</v>
      </c>
      <c r="AY5" s="9" t="n">
        <f aca="false">base_fleet!BK5</f>
        <v>0</v>
      </c>
      <c r="AZ5" s="9" t="n">
        <f aca="false">base_fleet!BO5</f>
        <v>0</v>
      </c>
      <c r="BA5" s="9" t="n">
        <f aca="false">base_fleet!BP5</f>
        <v>162.15</v>
      </c>
      <c r="BB5" s="9" t="n">
        <f aca="false">base_fleet!BR5</f>
        <v>1.35</v>
      </c>
      <c r="BC5" s="9" t="n">
        <f aca="false">base_fleet!BQ5</f>
        <v>1.35</v>
      </c>
      <c r="BD5" s="9" t="n">
        <f aca="false">base_fleet!BS5</f>
        <v>0</v>
      </c>
      <c r="BE5" s="9" t="n">
        <v>0</v>
      </c>
      <c r="BF5" s="9" t="n">
        <v>0</v>
      </c>
      <c r="BG5" s="9" t="n">
        <f aca="false">base_fleet!CE5</f>
        <v>0</v>
      </c>
      <c r="BH5" s="9" t="n">
        <f aca="false">base_fleet!CA5</f>
        <v>37270</v>
      </c>
      <c r="BI5" s="9" t="n">
        <f aca="false">base_fleet!BV5</f>
        <v>465</v>
      </c>
      <c r="BJ5" s="9" t="n">
        <f aca="false">base_fleet!CH5</f>
        <v>0</v>
      </c>
      <c r="BK5" s="9" t="n">
        <f aca="false">base_fleet!BU5+base_fleet!BZ5+base_fleet!CD5</f>
        <v>6</v>
      </c>
    </row>
    <row r="6" customFormat="false" ht="12.75" hidden="false" customHeight="false" outlineLevel="0" collapsed="false">
      <c r="A6" s="1" t="n">
        <f aca="false">A5-1</f>
        <v>2015</v>
      </c>
      <c r="B6" s="9" t="n">
        <f aca="false">base_fleet!H6</f>
        <v>9792</v>
      </c>
      <c r="C6" s="9" t="n">
        <f aca="false">base_fleet!M6*0.95</f>
        <v>23799.4</v>
      </c>
      <c r="D6" s="9" t="n">
        <f aca="false">base_fleet!D6</f>
        <v>36</v>
      </c>
      <c r="E6" s="9" t="n">
        <f aca="false">base_fleet!R6</f>
        <v>12476</v>
      </c>
      <c r="F6" s="9" t="n">
        <f aca="false">base_fleet!F6</f>
        <v>1</v>
      </c>
      <c r="G6" s="9" t="n">
        <f aca="false">base_fleet!K6</f>
        <v>15</v>
      </c>
      <c r="H6" s="9" t="n">
        <f aca="false">base_fleet!B6</f>
        <v>2</v>
      </c>
      <c r="I6" s="9" t="n">
        <f aca="false">base_fleet!P6</f>
        <v>123</v>
      </c>
      <c r="J6" s="9" t="n">
        <f aca="false">base_fleet!C6+base_fleet!G6+base_fleet!L6+base_fleet!Q6</f>
        <v>68</v>
      </c>
      <c r="K6" s="9" t="n">
        <f aca="false">base_fleet!E6+base_fleet!J6+base_fleet!O6+base_fleet!T6</f>
        <v>717</v>
      </c>
      <c r="L6" s="9" t="n">
        <f aca="false">base_fleet!M6*0.05</f>
        <v>1252.6</v>
      </c>
      <c r="M6" s="9" t="n">
        <f aca="false">base_fleet!I6+base_fleet!N6+base_fleet!S6</f>
        <v>1</v>
      </c>
      <c r="N6" s="9" t="n">
        <f aca="false">base_fleet!AF6</f>
        <v>3757</v>
      </c>
      <c r="O6" s="9" t="n">
        <f aca="false">base_fleet!AA6</f>
        <v>293</v>
      </c>
      <c r="P6" s="14" t="n">
        <f aca="false">base_fleet!V6</f>
        <v>1085</v>
      </c>
      <c r="Q6" s="14" t="n">
        <f aca="false">base_fleet!AD6</f>
        <v>4351</v>
      </c>
      <c r="R6" s="14" t="n">
        <f aca="false">base_fleet!Y6</f>
        <v>192</v>
      </c>
      <c r="S6" s="14" t="n">
        <f aca="false">base_fleet!U6</f>
        <v>961</v>
      </c>
      <c r="T6" s="9" t="n">
        <f aca="false">base_fleet!Z6+base_fleet!AE6</f>
        <v>3</v>
      </c>
      <c r="U6" s="14" t="n">
        <f aca="false">base_fleet!X6+base_fleet!AC6+base_fleet!AH6</f>
        <v>1</v>
      </c>
      <c r="V6" s="14" t="n">
        <f aca="false">base_fleet!AI6</f>
        <v>3185</v>
      </c>
      <c r="W6" s="14" t="n">
        <f aca="false">base_fleet!AM6</f>
        <v>328</v>
      </c>
      <c r="X6" s="14" t="n">
        <f aca="false">base_fleet!AP6</f>
        <v>81</v>
      </c>
      <c r="Y6" s="14" t="n">
        <f aca="false">base_fleet!AS6</f>
        <v>200</v>
      </c>
      <c r="Z6" s="14" t="n">
        <f aca="false">base_fleet!AU6</f>
        <v>165</v>
      </c>
      <c r="AA6" s="14" t="n">
        <f aca="false">base_fleet!AW6</f>
        <v>18</v>
      </c>
      <c r="AB6" s="14" t="n">
        <f aca="false">base_fleet!AY6/2</f>
        <v>9.5</v>
      </c>
      <c r="AC6" s="14" t="n">
        <f aca="false">base_fleet!AY6/2</f>
        <v>9.5</v>
      </c>
      <c r="AD6" s="9" t="n">
        <f aca="false">base_fleet!BB6</f>
        <v>2</v>
      </c>
      <c r="AE6" s="9" t="n">
        <f aca="false">base_fleet!AK6</f>
        <v>45</v>
      </c>
      <c r="AF6" s="9" t="n">
        <f aca="false">base_fleet!AO6</f>
        <v>3</v>
      </c>
      <c r="AG6" s="9" t="n">
        <f aca="false">base_fleet!AR6</f>
        <v>0</v>
      </c>
      <c r="AH6" s="9" t="n">
        <f aca="false">base_fleet!AT6</f>
        <v>0</v>
      </c>
      <c r="AI6" s="9" t="n">
        <f aca="false">base_fleet!AV6</f>
        <v>2</v>
      </c>
      <c r="AJ6" s="9" t="n">
        <f aca="false">base_fleet!AX6</f>
        <v>0</v>
      </c>
      <c r="AK6" s="9" t="n">
        <f aca="false">base_fleet!AZ6</f>
        <v>1</v>
      </c>
      <c r="AL6" s="9" t="n">
        <f aca="false">base_fleet!BC6</f>
        <v>0</v>
      </c>
      <c r="AM6" s="9" t="n">
        <v>0</v>
      </c>
      <c r="AN6" s="9" t="n">
        <f aca="false">base_fleet!BD6</f>
        <v>118</v>
      </c>
      <c r="AO6" s="9" t="n">
        <f aca="false">base_fleet!BE6</f>
        <v>112</v>
      </c>
      <c r="AP6" s="9" t="n">
        <f aca="false">base_fleet!BF6</f>
        <v>3</v>
      </c>
      <c r="AQ6" s="9" t="n">
        <f aca="false">base_fleet!BG6</f>
        <v>14</v>
      </c>
      <c r="AR6" s="9" t="n">
        <f aca="false">base_fleet!BH6</f>
        <v>46</v>
      </c>
      <c r="AS6" s="9" t="n">
        <f aca="false">base_fleet!BI6</f>
        <v>11</v>
      </c>
      <c r="AT6" s="9" t="n">
        <f aca="false">base_fleet!AQ6+base_fleet!AN6+base_fleet!AJ6</f>
        <v>1</v>
      </c>
      <c r="AU6" s="9" t="n">
        <f aca="false">base_fleet!BL6</f>
        <v>1212.95</v>
      </c>
      <c r="AV6" s="9" t="n">
        <f aca="false">base_fleet!BJ6</f>
        <v>135.15</v>
      </c>
      <c r="AW6" s="9" t="n">
        <f aca="false">base_fleet!BN6</f>
        <v>61.2</v>
      </c>
      <c r="AX6" s="9" t="n">
        <f aca="false">base_fleet!BM6</f>
        <v>9.35</v>
      </c>
      <c r="AY6" s="9" t="n">
        <f aca="false">base_fleet!BK6</f>
        <v>0.85</v>
      </c>
      <c r="AZ6" s="9" t="n">
        <f aca="false">base_fleet!BO6</f>
        <v>0</v>
      </c>
      <c r="BA6" s="9" t="n">
        <f aca="false">base_fleet!BP6</f>
        <v>169.65</v>
      </c>
      <c r="BB6" s="9" t="n">
        <f aca="false">base_fleet!BR6</f>
        <v>0.3</v>
      </c>
      <c r="BC6" s="9" t="n">
        <f aca="false">base_fleet!BQ6</f>
        <v>1.35</v>
      </c>
      <c r="BD6" s="9" t="n">
        <f aca="false">base_fleet!BS6</f>
        <v>0</v>
      </c>
      <c r="BE6" s="9" t="n">
        <v>0</v>
      </c>
      <c r="BF6" s="9" t="n">
        <v>0</v>
      </c>
      <c r="BG6" s="9" t="n">
        <f aca="false">base_fleet!CE6</f>
        <v>6</v>
      </c>
      <c r="BH6" s="9" t="n">
        <f aca="false">base_fleet!CA6</f>
        <v>24810</v>
      </c>
      <c r="BI6" s="9" t="n">
        <f aca="false">base_fleet!BV6</f>
        <v>86</v>
      </c>
      <c r="BJ6" s="9" t="n">
        <f aca="false">base_fleet!CH6</f>
        <v>2</v>
      </c>
      <c r="BK6" s="9" t="n">
        <f aca="false">base_fleet!BU6+base_fleet!BZ6+base_fleet!CD6</f>
        <v>1</v>
      </c>
    </row>
    <row r="7" customFormat="false" ht="12.75" hidden="false" customHeight="false" outlineLevel="0" collapsed="false">
      <c r="A7" s="1" t="n">
        <f aca="false">A6-1</f>
        <v>2014</v>
      </c>
      <c r="B7" s="9" t="n">
        <f aca="false">base_fleet!H7</f>
        <v>15449</v>
      </c>
      <c r="C7" s="9" t="n">
        <f aca="false">base_fleet!M7*0.95</f>
        <v>17061.05</v>
      </c>
      <c r="D7" s="9" t="n">
        <f aca="false">base_fleet!D7</f>
        <v>78</v>
      </c>
      <c r="E7" s="9" t="n">
        <f aca="false">base_fleet!R7</f>
        <v>24529</v>
      </c>
      <c r="F7" s="9" t="n">
        <f aca="false">base_fleet!F7</f>
        <v>1</v>
      </c>
      <c r="G7" s="9" t="n">
        <f aca="false">base_fleet!K7</f>
        <v>25</v>
      </c>
      <c r="H7" s="9" t="n">
        <f aca="false">base_fleet!B7</f>
        <v>2</v>
      </c>
      <c r="I7" s="9" t="n">
        <f aca="false">base_fleet!P7</f>
        <v>93</v>
      </c>
      <c r="J7" s="9" t="n">
        <f aca="false">base_fleet!C7+base_fleet!G7+base_fleet!L7+base_fleet!Q7</f>
        <v>2</v>
      </c>
      <c r="K7" s="9" t="n">
        <f aca="false">base_fleet!E7+base_fleet!J7+base_fleet!O7+base_fleet!T7</f>
        <v>85</v>
      </c>
      <c r="L7" s="9" t="n">
        <f aca="false">base_fleet!M7*0.05</f>
        <v>897.95</v>
      </c>
      <c r="M7" s="9" t="n">
        <f aca="false">base_fleet!I7+base_fleet!N7+base_fleet!S7</f>
        <v>3</v>
      </c>
      <c r="N7" s="9" t="n">
        <f aca="false">base_fleet!AF7</f>
        <v>7747</v>
      </c>
      <c r="O7" s="9" t="n">
        <f aca="false">base_fleet!AA7</f>
        <v>886</v>
      </c>
      <c r="P7" s="14" t="n">
        <f aca="false">base_fleet!V7</f>
        <v>1496</v>
      </c>
      <c r="Q7" s="14" t="n">
        <f aca="false">base_fleet!AD7</f>
        <v>8830</v>
      </c>
      <c r="R7" s="14" t="n">
        <f aca="false">base_fleet!Y7</f>
        <v>648</v>
      </c>
      <c r="S7" s="14" t="n">
        <f aca="false">base_fleet!U7</f>
        <v>1991</v>
      </c>
      <c r="T7" s="9" t="n">
        <f aca="false">base_fleet!Z7+base_fleet!AE7</f>
        <v>0</v>
      </c>
      <c r="U7" s="14" t="n">
        <f aca="false">base_fleet!X7+base_fleet!AC7+base_fleet!AH7</f>
        <v>1</v>
      </c>
      <c r="V7" s="14" t="n">
        <f aca="false">base_fleet!AI7</f>
        <v>6124</v>
      </c>
      <c r="W7" s="14" t="n">
        <f aca="false">base_fleet!AM7</f>
        <v>1072</v>
      </c>
      <c r="X7" s="14" t="n">
        <f aca="false">base_fleet!AP7</f>
        <v>197</v>
      </c>
      <c r="Y7" s="14" t="n">
        <f aca="false">base_fleet!AS7</f>
        <v>591</v>
      </c>
      <c r="Z7" s="14" t="n">
        <f aca="false">base_fleet!AU7</f>
        <v>495</v>
      </c>
      <c r="AA7" s="14" t="n">
        <f aca="false">base_fleet!AW7</f>
        <v>162</v>
      </c>
      <c r="AB7" s="14" t="n">
        <f aca="false">base_fleet!AY7/2</f>
        <v>103.5</v>
      </c>
      <c r="AC7" s="14" t="n">
        <f aca="false">base_fleet!AY7/2</f>
        <v>103.5</v>
      </c>
      <c r="AD7" s="9" t="n">
        <f aca="false">base_fleet!BB7</f>
        <v>8</v>
      </c>
      <c r="AE7" s="9" t="n">
        <f aca="false">base_fleet!AK7</f>
        <v>60</v>
      </c>
      <c r="AF7" s="9" t="n">
        <f aca="false">base_fleet!AO7</f>
        <v>5</v>
      </c>
      <c r="AG7" s="9" t="n">
        <f aca="false">base_fleet!AR7</f>
        <v>2</v>
      </c>
      <c r="AH7" s="9" t="n">
        <f aca="false">base_fleet!AT7</f>
        <v>2</v>
      </c>
      <c r="AI7" s="9" t="n">
        <f aca="false">base_fleet!AV7</f>
        <v>5</v>
      </c>
      <c r="AJ7" s="9" t="n">
        <f aca="false">base_fleet!AX7</f>
        <v>0</v>
      </c>
      <c r="AK7" s="9" t="n">
        <f aca="false">base_fleet!AZ7</f>
        <v>4</v>
      </c>
      <c r="AL7" s="9" t="n">
        <f aca="false">base_fleet!BC7</f>
        <v>0</v>
      </c>
      <c r="AM7" s="9" t="n">
        <v>0</v>
      </c>
      <c r="AN7" s="9" t="n">
        <f aca="false">base_fleet!BD7</f>
        <v>224</v>
      </c>
      <c r="AO7" s="9" t="n">
        <f aca="false">base_fleet!BE7</f>
        <v>661</v>
      </c>
      <c r="AP7" s="9" t="n">
        <f aca="false">base_fleet!BF7</f>
        <v>7</v>
      </c>
      <c r="AQ7" s="9" t="n">
        <f aca="false">base_fleet!BG7</f>
        <v>174</v>
      </c>
      <c r="AR7" s="9" t="n">
        <f aca="false">base_fleet!BH7</f>
        <v>307</v>
      </c>
      <c r="AS7" s="9" t="n">
        <f aca="false">base_fleet!BI7</f>
        <v>5</v>
      </c>
      <c r="AT7" s="9" t="n">
        <f aca="false">base_fleet!AQ7+base_fleet!AN7+base_fleet!AJ7</f>
        <v>0</v>
      </c>
      <c r="AU7" s="9" t="n">
        <f aca="false">base_fleet!BL7</f>
        <v>1134.75</v>
      </c>
      <c r="AV7" s="9" t="n">
        <f aca="false">base_fleet!BJ7</f>
        <v>112.2</v>
      </c>
      <c r="AW7" s="9" t="n">
        <f aca="false">base_fleet!BN7</f>
        <v>68</v>
      </c>
      <c r="AX7" s="9" t="n">
        <f aca="false">base_fleet!BM7</f>
        <v>10.2</v>
      </c>
      <c r="AY7" s="9" t="n">
        <f aca="false">base_fleet!BK7</f>
        <v>0</v>
      </c>
      <c r="AZ7" s="9" t="n">
        <f aca="false">base_fleet!BO7</f>
        <v>0</v>
      </c>
      <c r="BA7" s="9" t="n">
        <f aca="false">base_fleet!BP7</f>
        <v>198.6</v>
      </c>
      <c r="BB7" s="9" t="n">
        <f aca="false">base_fleet!BR7</f>
        <v>2.85</v>
      </c>
      <c r="BC7" s="9" t="n">
        <f aca="false">base_fleet!BQ7</f>
        <v>1.65</v>
      </c>
      <c r="BD7" s="9" t="n">
        <f aca="false">base_fleet!BS7</f>
        <v>0</v>
      </c>
      <c r="BE7" s="9" t="n">
        <v>0</v>
      </c>
      <c r="BF7" s="9" t="n">
        <v>0</v>
      </c>
      <c r="BG7" s="9" t="n">
        <f aca="false">base_fleet!CE7</f>
        <v>67</v>
      </c>
      <c r="BH7" s="9" t="n">
        <f aca="false">base_fleet!CA7</f>
        <v>53787</v>
      </c>
      <c r="BI7" s="9" t="n">
        <f aca="false">base_fleet!BV7</f>
        <v>127</v>
      </c>
      <c r="BJ7" s="9" t="n">
        <f aca="false">base_fleet!CH7</f>
        <v>4</v>
      </c>
      <c r="BK7" s="9" t="n">
        <f aca="false">base_fleet!BU7+base_fleet!BZ7+base_fleet!CD7</f>
        <v>0</v>
      </c>
    </row>
    <row r="8" customFormat="false" ht="12.75" hidden="false" customHeight="false" outlineLevel="0" collapsed="false">
      <c r="A8" s="1" t="n">
        <f aca="false">A7-1</f>
        <v>2013</v>
      </c>
      <c r="B8" s="9" t="n">
        <f aca="false">base_fleet!H8</f>
        <v>20796</v>
      </c>
      <c r="C8" s="9" t="n">
        <f aca="false">base_fleet!M8*0.95</f>
        <v>19845.5</v>
      </c>
      <c r="D8" s="9" t="n">
        <f aca="false">base_fleet!D8</f>
        <v>64</v>
      </c>
      <c r="E8" s="9" t="n">
        <f aca="false">base_fleet!R8</f>
        <v>21361</v>
      </c>
      <c r="F8" s="9" t="n">
        <f aca="false">base_fleet!F8</f>
        <v>3</v>
      </c>
      <c r="G8" s="9" t="n">
        <f aca="false">base_fleet!K8</f>
        <v>30</v>
      </c>
      <c r="H8" s="9" t="n">
        <f aca="false">base_fleet!B8</f>
        <v>2</v>
      </c>
      <c r="I8" s="9" t="n">
        <f aca="false">base_fleet!P8</f>
        <v>74</v>
      </c>
      <c r="J8" s="9" t="n">
        <f aca="false">base_fleet!C8+base_fleet!G8+base_fleet!L8+base_fleet!Q8</f>
        <v>1</v>
      </c>
      <c r="K8" s="9" t="n">
        <f aca="false">base_fleet!E8+base_fleet!J8+base_fleet!O8+base_fleet!T8</f>
        <v>342</v>
      </c>
      <c r="L8" s="9" t="n">
        <f aca="false">base_fleet!M8*0.05</f>
        <v>1044.5</v>
      </c>
      <c r="M8" s="9" t="n">
        <f aca="false">base_fleet!I8+base_fleet!N8+base_fleet!S8</f>
        <v>2</v>
      </c>
      <c r="N8" s="9" t="n">
        <f aca="false">base_fleet!AF8</f>
        <v>7038</v>
      </c>
      <c r="O8" s="9" t="n">
        <f aca="false">base_fleet!AA8</f>
        <v>731</v>
      </c>
      <c r="P8" s="14" t="n">
        <f aca="false">base_fleet!V8</f>
        <v>1226</v>
      </c>
      <c r="Q8" s="14" t="n">
        <f aca="false">base_fleet!AD8</f>
        <v>7922</v>
      </c>
      <c r="R8" s="14" t="n">
        <f aca="false">base_fleet!Y8</f>
        <v>745</v>
      </c>
      <c r="S8" s="14" t="n">
        <f aca="false">base_fleet!U8</f>
        <v>1266</v>
      </c>
      <c r="T8" s="9" t="n">
        <f aca="false">base_fleet!Z8+base_fleet!AE8</f>
        <v>0</v>
      </c>
      <c r="U8" s="14" t="n">
        <f aca="false">base_fleet!X8+base_fleet!AC8+base_fleet!AH8</f>
        <v>1</v>
      </c>
      <c r="V8" s="14" t="n">
        <f aca="false">base_fleet!AI8</f>
        <v>4776</v>
      </c>
      <c r="W8" s="14" t="n">
        <f aca="false">base_fleet!AM8</f>
        <v>588</v>
      </c>
      <c r="X8" s="14" t="n">
        <f aca="false">base_fleet!AP8</f>
        <v>259</v>
      </c>
      <c r="Y8" s="14" t="n">
        <f aca="false">base_fleet!AS8</f>
        <v>128</v>
      </c>
      <c r="Z8" s="14" t="n">
        <f aca="false">base_fleet!AU8</f>
        <v>501</v>
      </c>
      <c r="AA8" s="14" t="n">
        <f aca="false">base_fleet!AW8</f>
        <v>131</v>
      </c>
      <c r="AB8" s="14" t="n">
        <f aca="false">base_fleet!AY8/2</f>
        <v>68</v>
      </c>
      <c r="AC8" s="14" t="n">
        <f aca="false">base_fleet!AY8/2</f>
        <v>68</v>
      </c>
      <c r="AD8" s="9" t="n">
        <f aca="false">base_fleet!BB8</f>
        <v>17</v>
      </c>
      <c r="AE8" s="9" t="n">
        <f aca="false">base_fleet!AK8</f>
        <v>17</v>
      </c>
      <c r="AF8" s="9" t="n">
        <f aca="false">base_fleet!AO8</f>
        <v>3</v>
      </c>
      <c r="AG8" s="9" t="n">
        <f aca="false">base_fleet!AR8</f>
        <v>0</v>
      </c>
      <c r="AH8" s="9" t="n">
        <f aca="false">base_fleet!AT8</f>
        <v>0</v>
      </c>
      <c r="AI8" s="9" t="n">
        <f aca="false">base_fleet!AV8</f>
        <v>2</v>
      </c>
      <c r="AJ8" s="9" t="n">
        <f aca="false">base_fleet!AX8</f>
        <v>2</v>
      </c>
      <c r="AK8" s="9" t="n">
        <f aca="false">base_fleet!AZ8</f>
        <v>0</v>
      </c>
      <c r="AL8" s="9" t="n">
        <f aca="false">base_fleet!BC8</f>
        <v>1</v>
      </c>
      <c r="AM8" s="9" t="n">
        <v>0</v>
      </c>
      <c r="AN8" s="9" t="n">
        <f aca="false">base_fleet!BD8</f>
        <v>217</v>
      </c>
      <c r="AO8" s="9" t="n">
        <f aca="false">base_fleet!BE8</f>
        <v>552</v>
      </c>
      <c r="AP8" s="9" t="n">
        <f aca="false">base_fleet!BF8</f>
        <v>16</v>
      </c>
      <c r="AQ8" s="9" t="n">
        <f aca="false">base_fleet!BG8</f>
        <v>174</v>
      </c>
      <c r="AR8" s="9" t="n">
        <f aca="false">base_fleet!BH8</f>
        <v>183</v>
      </c>
      <c r="AS8" s="9" t="n">
        <f aca="false">base_fleet!BI8</f>
        <v>8</v>
      </c>
      <c r="AT8" s="9" t="n">
        <f aca="false">base_fleet!AQ8+base_fleet!AN8+base_fleet!AJ8</f>
        <v>0</v>
      </c>
      <c r="AU8" s="9" t="n">
        <f aca="false">base_fleet!BL8</f>
        <v>1153.45</v>
      </c>
      <c r="AV8" s="9" t="n">
        <f aca="false">base_fleet!BJ8</f>
        <v>281.35</v>
      </c>
      <c r="AW8" s="9" t="n">
        <f aca="false">base_fleet!BN8</f>
        <v>24.65</v>
      </c>
      <c r="AX8" s="9" t="n">
        <f aca="false">base_fleet!BM8</f>
        <v>1.7</v>
      </c>
      <c r="AY8" s="9" t="n">
        <f aca="false">base_fleet!BK8</f>
        <v>0</v>
      </c>
      <c r="AZ8" s="9" t="n">
        <f aca="false">base_fleet!BO8</f>
        <v>0</v>
      </c>
      <c r="BA8" s="9" t="n">
        <f aca="false">base_fleet!BP8</f>
        <v>114.15</v>
      </c>
      <c r="BB8" s="9" t="n">
        <f aca="false">base_fleet!BR8</f>
        <v>0.45</v>
      </c>
      <c r="BC8" s="9" t="n">
        <f aca="false">base_fleet!BQ8</f>
        <v>1.05</v>
      </c>
      <c r="BD8" s="9" t="n">
        <f aca="false">base_fleet!BS8</f>
        <v>0</v>
      </c>
      <c r="BE8" s="9" t="n">
        <v>0</v>
      </c>
      <c r="BF8" s="9" t="n">
        <v>0</v>
      </c>
      <c r="BG8" s="9" t="n">
        <f aca="false">base_fleet!CE8</f>
        <v>35</v>
      </c>
      <c r="BH8" s="9" t="n">
        <f aca="false">base_fleet!CA8</f>
        <v>46591</v>
      </c>
      <c r="BI8" s="9" t="n">
        <f aca="false">base_fleet!BV8</f>
        <v>365</v>
      </c>
      <c r="BJ8" s="9" t="n">
        <f aca="false">base_fleet!CH8</f>
        <v>10</v>
      </c>
      <c r="BK8" s="9" t="n">
        <f aca="false">base_fleet!BU8+base_fleet!BZ8+base_fleet!CD8</f>
        <v>5</v>
      </c>
    </row>
    <row r="9" customFormat="false" ht="12.75" hidden="false" customHeight="false" outlineLevel="0" collapsed="false">
      <c r="A9" s="1" t="n">
        <f aca="false">A8-1</f>
        <v>2012</v>
      </c>
      <c r="B9" s="9" t="n">
        <f aca="false">base_fleet!H9</f>
        <v>17643</v>
      </c>
      <c r="C9" s="9" t="n">
        <f aca="false">base_fleet!M9*0.95</f>
        <v>25065.75</v>
      </c>
      <c r="D9" s="9" t="n">
        <f aca="false">base_fleet!D9</f>
        <v>64</v>
      </c>
      <c r="E9" s="9" t="n">
        <f aca="false">base_fleet!R9</f>
        <v>23514</v>
      </c>
      <c r="F9" s="9" t="n">
        <f aca="false">base_fleet!F9</f>
        <v>6</v>
      </c>
      <c r="G9" s="9" t="n">
        <f aca="false">base_fleet!K9</f>
        <v>35</v>
      </c>
      <c r="H9" s="9" t="n">
        <f aca="false">base_fleet!B9</f>
        <v>1</v>
      </c>
      <c r="I9" s="9" t="n">
        <f aca="false">base_fleet!P9</f>
        <v>124</v>
      </c>
      <c r="J9" s="9" t="n">
        <f aca="false">base_fleet!C9+base_fleet!G9+base_fleet!L9+base_fleet!Q9</f>
        <v>1</v>
      </c>
      <c r="K9" s="9" t="n">
        <f aca="false">base_fleet!E9+base_fleet!J9+base_fleet!O9+base_fleet!T9</f>
        <v>272</v>
      </c>
      <c r="L9" s="9" t="n">
        <f aca="false">base_fleet!M9*0.05</f>
        <v>1319.25</v>
      </c>
      <c r="M9" s="9" t="n">
        <f aca="false">base_fleet!I9+base_fleet!N9+base_fleet!S9</f>
        <v>2</v>
      </c>
      <c r="N9" s="9" t="n">
        <f aca="false">base_fleet!AF9</f>
        <v>12369</v>
      </c>
      <c r="O9" s="9" t="n">
        <f aca="false">base_fleet!AA9</f>
        <v>1400</v>
      </c>
      <c r="P9" s="14" t="n">
        <f aca="false">base_fleet!V9</f>
        <v>569</v>
      </c>
      <c r="Q9" s="14" t="n">
        <f aca="false">base_fleet!AD9</f>
        <v>9792</v>
      </c>
      <c r="R9" s="14" t="n">
        <f aca="false">base_fleet!Y9</f>
        <v>908</v>
      </c>
      <c r="S9" s="14" t="n">
        <f aca="false">base_fleet!U9</f>
        <v>456</v>
      </c>
      <c r="T9" s="9" t="n">
        <f aca="false">base_fleet!Z9+base_fleet!AE9</f>
        <v>3</v>
      </c>
      <c r="U9" s="14" t="n">
        <f aca="false">base_fleet!X9+base_fleet!AC9+base_fleet!AH9</f>
        <v>0</v>
      </c>
      <c r="V9" s="14" t="n">
        <f aca="false">base_fleet!AI9</f>
        <v>5860</v>
      </c>
      <c r="W9" s="14" t="n">
        <f aca="false">base_fleet!AM9</f>
        <v>532</v>
      </c>
      <c r="X9" s="14" t="n">
        <f aca="false">base_fleet!AP9</f>
        <v>335</v>
      </c>
      <c r="Y9" s="14" t="n">
        <f aca="false">base_fleet!AS9</f>
        <v>126</v>
      </c>
      <c r="Z9" s="14" t="n">
        <f aca="false">base_fleet!AU9</f>
        <v>412</v>
      </c>
      <c r="AA9" s="14" t="n">
        <f aca="false">base_fleet!AW9</f>
        <v>343</v>
      </c>
      <c r="AB9" s="14" t="n">
        <f aca="false">base_fleet!AY9/2</f>
        <v>56</v>
      </c>
      <c r="AC9" s="14" t="n">
        <f aca="false">base_fleet!AY9/2</f>
        <v>56</v>
      </c>
      <c r="AD9" s="9" t="n">
        <f aca="false">base_fleet!BB9</f>
        <v>69</v>
      </c>
      <c r="AE9" s="9" t="n">
        <f aca="false">base_fleet!AK9</f>
        <v>50</v>
      </c>
      <c r="AF9" s="9" t="n">
        <f aca="false">base_fleet!AO9</f>
        <v>6</v>
      </c>
      <c r="AG9" s="9" t="n">
        <f aca="false">base_fleet!AR9</f>
        <v>1</v>
      </c>
      <c r="AH9" s="9" t="n">
        <f aca="false">base_fleet!AT9</f>
        <v>1</v>
      </c>
      <c r="AI9" s="9" t="n">
        <f aca="false">base_fleet!AV9</f>
        <v>1</v>
      </c>
      <c r="AJ9" s="9" t="n">
        <f aca="false">base_fleet!AX9</f>
        <v>6</v>
      </c>
      <c r="AK9" s="9" t="n">
        <f aca="false">base_fleet!AZ9</f>
        <v>0</v>
      </c>
      <c r="AL9" s="9" t="n">
        <f aca="false">base_fleet!BC9</f>
        <v>0</v>
      </c>
      <c r="AM9" s="9" t="n">
        <v>0</v>
      </c>
      <c r="AN9" s="9" t="n">
        <f aca="false">base_fleet!BD9</f>
        <v>219</v>
      </c>
      <c r="AO9" s="9" t="n">
        <f aca="false">base_fleet!BE9</f>
        <v>523</v>
      </c>
      <c r="AP9" s="9" t="n">
        <f aca="false">base_fleet!BF9</f>
        <v>15</v>
      </c>
      <c r="AQ9" s="9" t="n">
        <f aca="false">base_fleet!BG9</f>
        <v>163</v>
      </c>
      <c r="AR9" s="9" t="n">
        <f aca="false">base_fleet!BH9</f>
        <v>213</v>
      </c>
      <c r="AS9" s="9" t="n">
        <f aca="false">base_fleet!BI9</f>
        <v>0</v>
      </c>
      <c r="AT9" s="9" t="n">
        <f aca="false">base_fleet!AQ9+base_fleet!AN9+base_fleet!AJ9</f>
        <v>1</v>
      </c>
      <c r="AU9" s="9" t="n">
        <f aca="false">base_fleet!BL9</f>
        <v>848.300000000001</v>
      </c>
      <c r="AV9" s="9" t="n">
        <f aca="false">base_fleet!BJ9</f>
        <v>272</v>
      </c>
      <c r="AW9" s="9" t="n">
        <f aca="false">base_fleet!BN9</f>
        <v>10.2</v>
      </c>
      <c r="AX9" s="9" t="n">
        <f aca="false">base_fleet!BM9</f>
        <v>2.55</v>
      </c>
      <c r="AY9" s="9" t="n">
        <f aca="false">base_fleet!BK9</f>
        <v>0</v>
      </c>
      <c r="AZ9" s="9" t="n">
        <f aca="false">base_fleet!BO9</f>
        <v>0</v>
      </c>
      <c r="BA9" s="9" t="n">
        <f aca="false">base_fleet!BP9</f>
        <v>230.7</v>
      </c>
      <c r="BB9" s="9" t="n">
        <f aca="false">base_fleet!BR9</f>
        <v>2.7</v>
      </c>
      <c r="BC9" s="9" t="n">
        <f aca="false">base_fleet!BQ9</f>
        <v>2.1</v>
      </c>
      <c r="BD9" s="9" t="n">
        <f aca="false">base_fleet!BS9</f>
        <v>0</v>
      </c>
      <c r="BE9" s="9" t="n">
        <v>0</v>
      </c>
      <c r="BF9" s="9" t="n">
        <v>0</v>
      </c>
      <c r="BG9" s="9" t="n">
        <f aca="false">base_fleet!CE9</f>
        <v>11</v>
      </c>
      <c r="BH9" s="9" t="n">
        <f aca="false">base_fleet!CA9</f>
        <v>34545</v>
      </c>
      <c r="BI9" s="9" t="n">
        <f aca="false">base_fleet!BV9</f>
        <v>398</v>
      </c>
      <c r="BJ9" s="9" t="n">
        <f aca="false">base_fleet!CH9</f>
        <v>31</v>
      </c>
      <c r="BK9" s="9" t="n">
        <f aca="false">base_fleet!BU9+base_fleet!BZ9+base_fleet!CD9</f>
        <v>4</v>
      </c>
    </row>
    <row r="10" customFormat="false" ht="12.75" hidden="false" customHeight="false" outlineLevel="0" collapsed="false">
      <c r="A10" s="1" t="n">
        <f aca="false">A9-1</f>
        <v>2011</v>
      </c>
      <c r="B10" s="9" t="n">
        <f aca="false">base_fleet!H10</f>
        <v>16182</v>
      </c>
      <c r="C10" s="9" t="n">
        <f aca="false">base_fleet!M10*0.95</f>
        <v>32241.1</v>
      </c>
      <c r="D10" s="9" t="n">
        <f aca="false">base_fleet!D10</f>
        <v>172</v>
      </c>
      <c r="E10" s="9" t="n">
        <f aca="false">base_fleet!R10</f>
        <v>22476</v>
      </c>
      <c r="F10" s="9" t="n">
        <f aca="false">base_fleet!F10</f>
        <v>18</v>
      </c>
      <c r="G10" s="9" t="n">
        <f aca="false">base_fleet!K10</f>
        <v>100</v>
      </c>
      <c r="H10" s="9" t="n">
        <f aca="false">base_fleet!B10</f>
        <v>1</v>
      </c>
      <c r="I10" s="9" t="n">
        <f aca="false">base_fleet!P10</f>
        <v>81</v>
      </c>
      <c r="J10" s="9" t="n">
        <f aca="false">base_fleet!C10+base_fleet!G10+base_fleet!L10+base_fleet!Q10</f>
        <v>2</v>
      </c>
      <c r="K10" s="9" t="n">
        <f aca="false">base_fleet!E10+base_fleet!J10+base_fleet!O10+base_fleet!T10</f>
        <v>241</v>
      </c>
      <c r="L10" s="9" t="n">
        <f aca="false">base_fleet!M10*0.05</f>
        <v>1696.9</v>
      </c>
      <c r="M10" s="9" t="n">
        <f aca="false">base_fleet!I10+base_fleet!N10+base_fleet!S10</f>
        <v>7</v>
      </c>
      <c r="N10" s="9" t="n">
        <f aca="false">base_fleet!AF10</f>
        <v>11933</v>
      </c>
      <c r="O10" s="9" t="n">
        <f aca="false">base_fleet!AA10</f>
        <v>2066</v>
      </c>
      <c r="P10" s="14" t="n">
        <f aca="false">base_fleet!V10</f>
        <v>246</v>
      </c>
      <c r="Q10" s="14" t="n">
        <f aca="false">base_fleet!AD10</f>
        <v>7033</v>
      </c>
      <c r="R10" s="14" t="n">
        <f aca="false">base_fleet!Y10</f>
        <v>696</v>
      </c>
      <c r="S10" s="14" t="n">
        <f aca="false">base_fleet!U10</f>
        <v>586</v>
      </c>
      <c r="T10" s="9" t="n">
        <f aca="false">base_fleet!Z10+base_fleet!AE10</f>
        <v>0</v>
      </c>
      <c r="U10" s="14" t="n">
        <f aca="false">base_fleet!X10+base_fleet!AC10+base_fleet!AH10</f>
        <v>1</v>
      </c>
      <c r="V10" s="14" t="n">
        <f aca="false">base_fleet!AI10</f>
        <v>4794</v>
      </c>
      <c r="W10" s="14" t="n">
        <f aca="false">base_fleet!AM10</f>
        <v>688</v>
      </c>
      <c r="X10" s="14" t="n">
        <f aca="false">base_fleet!AP10</f>
        <v>607</v>
      </c>
      <c r="Y10" s="14" t="n">
        <f aca="false">base_fleet!AS10</f>
        <v>81</v>
      </c>
      <c r="Z10" s="14" t="n">
        <f aca="false">base_fleet!AU10</f>
        <v>304</v>
      </c>
      <c r="AA10" s="14" t="n">
        <f aca="false">base_fleet!AW10</f>
        <v>311</v>
      </c>
      <c r="AB10" s="14" t="n">
        <f aca="false">base_fleet!AY10/2</f>
        <v>4.5</v>
      </c>
      <c r="AC10" s="14" t="n">
        <f aca="false">base_fleet!AY10/2</f>
        <v>4.5</v>
      </c>
      <c r="AD10" s="9" t="n">
        <f aca="false">base_fleet!BB10</f>
        <v>36</v>
      </c>
      <c r="AE10" s="9" t="n">
        <f aca="false">base_fleet!AK10</f>
        <v>50</v>
      </c>
      <c r="AF10" s="9" t="n">
        <f aca="false">base_fleet!AO10</f>
        <v>4</v>
      </c>
      <c r="AG10" s="9" t="n">
        <f aca="false">base_fleet!AR10</f>
        <v>4</v>
      </c>
      <c r="AH10" s="9" t="n">
        <f aca="false">base_fleet!AT10</f>
        <v>0</v>
      </c>
      <c r="AI10" s="9" t="n">
        <f aca="false">base_fleet!AV10</f>
        <v>1</v>
      </c>
      <c r="AJ10" s="9" t="n">
        <f aca="false">base_fleet!AX10</f>
        <v>4</v>
      </c>
      <c r="AK10" s="9" t="n">
        <f aca="false">base_fleet!AZ10</f>
        <v>0</v>
      </c>
      <c r="AL10" s="9" t="n">
        <f aca="false">base_fleet!BC10</f>
        <v>0</v>
      </c>
      <c r="AM10" s="9" t="n">
        <v>0</v>
      </c>
      <c r="AN10" s="9" t="n">
        <f aca="false">base_fleet!BD10</f>
        <v>243</v>
      </c>
      <c r="AO10" s="9" t="n">
        <f aca="false">base_fleet!BE10</f>
        <v>338</v>
      </c>
      <c r="AP10" s="9" t="n">
        <f aca="false">base_fleet!BF10</f>
        <v>28</v>
      </c>
      <c r="AQ10" s="9" t="n">
        <f aca="false">base_fleet!BG10</f>
        <v>159</v>
      </c>
      <c r="AR10" s="9" t="n">
        <f aca="false">base_fleet!BH10</f>
        <v>180</v>
      </c>
      <c r="AS10" s="9" t="n">
        <f aca="false">base_fleet!BI10</f>
        <v>2</v>
      </c>
      <c r="AT10" s="9" t="n">
        <f aca="false">base_fleet!AQ10+base_fleet!AN10+base_fleet!AJ10</f>
        <v>0</v>
      </c>
      <c r="AU10" s="9" t="n">
        <f aca="false">base_fleet!BL10</f>
        <v>935.000000000001</v>
      </c>
      <c r="AV10" s="9" t="n">
        <f aca="false">base_fleet!BJ10</f>
        <v>165.75</v>
      </c>
      <c r="AW10" s="9" t="n">
        <f aca="false">base_fleet!BN10</f>
        <v>4.25</v>
      </c>
      <c r="AX10" s="9" t="n">
        <f aca="false">base_fleet!BM10</f>
        <v>4.25</v>
      </c>
      <c r="AY10" s="9" t="n">
        <f aca="false">base_fleet!BK10</f>
        <v>2.55</v>
      </c>
      <c r="AZ10" s="9" t="n">
        <f aca="false">base_fleet!BO10</f>
        <v>0</v>
      </c>
      <c r="BA10" s="9" t="n">
        <f aca="false">base_fleet!BP10</f>
        <v>194.25</v>
      </c>
      <c r="BB10" s="9" t="n">
        <f aca="false">base_fleet!BR10</f>
        <v>0.75</v>
      </c>
      <c r="BC10" s="9" t="n">
        <f aca="false">base_fleet!BQ10</f>
        <v>1.2</v>
      </c>
      <c r="BD10" s="9" t="n">
        <f aca="false">base_fleet!BS10</f>
        <v>0</v>
      </c>
      <c r="BE10" s="9" t="n">
        <v>0</v>
      </c>
      <c r="BF10" s="9" t="n">
        <v>0</v>
      </c>
      <c r="BG10" s="9" t="n">
        <f aca="false">base_fleet!CE10</f>
        <v>4</v>
      </c>
      <c r="BH10" s="9" t="n">
        <f aca="false">base_fleet!CA10</f>
        <v>36287</v>
      </c>
      <c r="BI10" s="9" t="n">
        <f aca="false">base_fleet!BV10</f>
        <v>318</v>
      </c>
      <c r="BJ10" s="9" t="n">
        <f aca="false">base_fleet!CH10</f>
        <v>1</v>
      </c>
      <c r="BK10" s="9" t="n">
        <f aca="false">base_fleet!BU10+base_fleet!BZ10+base_fleet!CD10</f>
        <v>1</v>
      </c>
    </row>
    <row r="11" customFormat="false" ht="12.75" hidden="false" customHeight="false" outlineLevel="0" collapsed="false">
      <c r="A11" s="1" t="n">
        <f aca="false">A10-1</f>
        <v>2010</v>
      </c>
      <c r="B11" s="9" t="n">
        <f aca="false">base_fleet!H11</f>
        <v>11486</v>
      </c>
      <c r="C11" s="9" t="n">
        <f aca="false">base_fleet!M11*0.95</f>
        <v>16687.7</v>
      </c>
      <c r="D11" s="9" t="n">
        <f aca="false">base_fleet!D11</f>
        <v>11</v>
      </c>
      <c r="E11" s="9" t="n">
        <f aca="false">base_fleet!R11</f>
        <v>25762</v>
      </c>
      <c r="F11" s="9" t="n">
        <f aca="false">base_fleet!F11</f>
        <v>15</v>
      </c>
      <c r="G11" s="9" t="n">
        <f aca="false">base_fleet!K11</f>
        <v>116</v>
      </c>
      <c r="H11" s="9" t="n">
        <f aca="false">base_fleet!B11</f>
        <v>3</v>
      </c>
      <c r="I11" s="9" t="n">
        <f aca="false">base_fleet!P11</f>
        <v>135</v>
      </c>
      <c r="J11" s="9" t="n">
        <f aca="false">base_fleet!C11+base_fleet!G11+base_fleet!L11+base_fleet!Q11</f>
        <v>2</v>
      </c>
      <c r="K11" s="9" t="n">
        <f aca="false">base_fleet!E11+base_fleet!J11+base_fleet!O11+base_fleet!T11</f>
        <v>1154</v>
      </c>
      <c r="L11" s="9" t="n">
        <f aca="false">base_fleet!M11*0.05</f>
        <v>878.3</v>
      </c>
      <c r="M11" s="9" t="n">
        <f aca="false">base_fleet!I11+base_fleet!N11+base_fleet!S11</f>
        <v>4</v>
      </c>
      <c r="N11" s="9" t="n">
        <f aca="false">base_fleet!AF11</f>
        <v>13738</v>
      </c>
      <c r="O11" s="9" t="n">
        <f aca="false">base_fleet!AA11</f>
        <v>1114</v>
      </c>
      <c r="P11" s="14" t="n">
        <f aca="false">base_fleet!V11</f>
        <v>184</v>
      </c>
      <c r="Q11" s="14" t="n">
        <f aca="false">base_fleet!AD11</f>
        <v>9413</v>
      </c>
      <c r="R11" s="14" t="n">
        <f aca="false">base_fleet!Y11</f>
        <v>914</v>
      </c>
      <c r="S11" s="14" t="n">
        <f aca="false">base_fleet!U11</f>
        <v>758</v>
      </c>
      <c r="T11" s="9" t="n">
        <f aca="false">base_fleet!Z11+base_fleet!AE11</f>
        <v>0</v>
      </c>
      <c r="U11" s="14" t="n">
        <f aca="false">base_fleet!X11+base_fleet!AC11+base_fleet!AH11</f>
        <v>73</v>
      </c>
      <c r="V11" s="14" t="n">
        <f aca="false">base_fleet!AI11</f>
        <v>4665</v>
      </c>
      <c r="W11" s="14" t="n">
        <f aca="false">base_fleet!AM11</f>
        <v>962</v>
      </c>
      <c r="X11" s="14" t="n">
        <f aca="false">base_fleet!AP11</f>
        <v>450</v>
      </c>
      <c r="Y11" s="14" t="n">
        <f aca="false">base_fleet!AS11</f>
        <v>125</v>
      </c>
      <c r="Z11" s="14" t="n">
        <f aca="false">base_fleet!AU11</f>
        <v>243</v>
      </c>
      <c r="AA11" s="14" t="n">
        <f aca="false">base_fleet!AW11</f>
        <v>80</v>
      </c>
      <c r="AB11" s="14" t="n">
        <f aca="false">base_fleet!AY11/2</f>
        <v>17</v>
      </c>
      <c r="AC11" s="14" t="n">
        <f aca="false">base_fleet!AY11/2</f>
        <v>17</v>
      </c>
      <c r="AD11" s="9" t="n">
        <f aca="false">base_fleet!BB11</f>
        <v>12</v>
      </c>
      <c r="AE11" s="9" t="n">
        <f aca="false">base_fleet!AK11</f>
        <v>72</v>
      </c>
      <c r="AF11" s="9" t="n">
        <f aca="false">base_fleet!AO11</f>
        <v>5</v>
      </c>
      <c r="AG11" s="9" t="n">
        <f aca="false">base_fleet!AR11</f>
        <v>2</v>
      </c>
      <c r="AH11" s="9" t="n">
        <f aca="false">base_fleet!AT11</f>
        <v>3</v>
      </c>
      <c r="AI11" s="9" t="n">
        <f aca="false">base_fleet!AV11</f>
        <v>1</v>
      </c>
      <c r="AJ11" s="9" t="n">
        <f aca="false">base_fleet!AX11</f>
        <v>1</v>
      </c>
      <c r="AK11" s="9" t="n">
        <f aca="false">base_fleet!AZ11</f>
        <v>0</v>
      </c>
      <c r="AL11" s="9" t="n">
        <f aca="false">base_fleet!BC11</f>
        <v>0</v>
      </c>
      <c r="AM11" s="9" t="n">
        <v>0</v>
      </c>
      <c r="AN11" s="9" t="n">
        <f aca="false">base_fleet!BD11</f>
        <v>217</v>
      </c>
      <c r="AO11" s="9" t="n">
        <f aca="false">base_fleet!BE11</f>
        <v>343</v>
      </c>
      <c r="AP11" s="9" t="n">
        <f aca="false">base_fleet!BF11</f>
        <v>34</v>
      </c>
      <c r="AQ11" s="9" t="n">
        <f aca="false">base_fleet!BG11</f>
        <v>96</v>
      </c>
      <c r="AR11" s="9" t="n">
        <f aca="false">base_fleet!BH11</f>
        <v>75</v>
      </c>
      <c r="AS11" s="9" t="n">
        <f aca="false">base_fleet!BI11</f>
        <v>0</v>
      </c>
      <c r="AT11" s="9" t="n">
        <f aca="false">base_fleet!AQ11+base_fleet!AN11+base_fleet!AJ11</f>
        <v>0</v>
      </c>
      <c r="AU11" s="9" t="n">
        <f aca="false">base_fleet!BL11</f>
        <v>1021.7</v>
      </c>
      <c r="AV11" s="9" t="n">
        <f aca="false">base_fleet!BJ11</f>
        <v>285.6</v>
      </c>
      <c r="AW11" s="9" t="n">
        <f aca="false">base_fleet!BN11</f>
        <v>15.3</v>
      </c>
      <c r="AX11" s="9" t="n">
        <f aca="false">base_fleet!BM11</f>
        <v>10.2</v>
      </c>
      <c r="AY11" s="9" t="n">
        <f aca="false">base_fleet!BK11</f>
        <v>1.7</v>
      </c>
      <c r="AZ11" s="9" t="n">
        <f aca="false">base_fleet!BO11</f>
        <v>0</v>
      </c>
      <c r="BA11" s="9" t="n">
        <f aca="false">base_fleet!BP11</f>
        <v>197.7</v>
      </c>
      <c r="BB11" s="9" t="n">
        <f aca="false">base_fleet!BR11</f>
        <v>1.8</v>
      </c>
      <c r="BC11" s="9" t="n">
        <f aca="false">base_fleet!BQ11</f>
        <v>0.45</v>
      </c>
      <c r="BD11" s="9" t="n">
        <f aca="false">base_fleet!BS11</f>
        <v>0</v>
      </c>
      <c r="BE11" s="9" t="n">
        <v>0</v>
      </c>
      <c r="BF11" s="9" t="n">
        <v>0</v>
      </c>
      <c r="BG11" s="9" t="n">
        <f aca="false">base_fleet!CE11</f>
        <v>5</v>
      </c>
      <c r="BH11" s="9" t="n">
        <f aca="false">base_fleet!CA11</f>
        <v>22764</v>
      </c>
      <c r="BI11" s="9" t="n">
        <f aca="false">base_fleet!BV11</f>
        <v>50</v>
      </c>
      <c r="BJ11" s="9" t="n">
        <f aca="false">base_fleet!CH11</f>
        <v>3</v>
      </c>
      <c r="BK11" s="9" t="n">
        <f aca="false">base_fleet!BU11+base_fleet!BZ11+base_fleet!CD11</f>
        <v>1</v>
      </c>
    </row>
    <row r="12" customFormat="false" ht="12.75" hidden="false" customHeight="false" outlineLevel="0" collapsed="false">
      <c r="A12" s="1" t="n">
        <f aca="false">A11-1</f>
        <v>2009</v>
      </c>
      <c r="B12" s="9" t="n">
        <f aca="false">base_fleet!H12</f>
        <v>16179</v>
      </c>
      <c r="C12" s="9" t="n">
        <f aca="false">base_fleet!M12*0.95</f>
        <v>16883.4</v>
      </c>
      <c r="D12" s="9" t="n">
        <f aca="false">base_fleet!D12</f>
        <v>9</v>
      </c>
      <c r="E12" s="9" t="n">
        <f aca="false">base_fleet!R12</f>
        <v>18996</v>
      </c>
      <c r="F12" s="9" t="n">
        <f aca="false">base_fleet!F12</f>
        <v>46</v>
      </c>
      <c r="G12" s="9" t="n">
        <f aca="false">base_fleet!K12</f>
        <v>125</v>
      </c>
      <c r="H12" s="9" t="n">
        <f aca="false">base_fleet!B12</f>
        <v>2</v>
      </c>
      <c r="I12" s="9" t="n">
        <f aca="false">base_fleet!P12</f>
        <v>604</v>
      </c>
      <c r="J12" s="9" t="n">
        <f aca="false">base_fleet!C12+base_fleet!G12+base_fleet!L12+base_fleet!Q12</f>
        <v>4</v>
      </c>
      <c r="K12" s="9" t="n">
        <f aca="false">base_fleet!E12+base_fleet!J12+base_fleet!O12+base_fleet!T12</f>
        <v>1619</v>
      </c>
      <c r="L12" s="9" t="n">
        <f aca="false">base_fleet!M12*0.05</f>
        <v>888.6</v>
      </c>
      <c r="M12" s="9" t="n">
        <f aca="false">base_fleet!I12+base_fleet!N12+base_fleet!S12</f>
        <v>8</v>
      </c>
      <c r="N12" s="9" t="n">
        <f aca="false">base_fleet!AF12</f>
        <v>11742</v>
      </c>
      <c r="O12" s="9" t="n">
        <f aca="false">base_fleet!AA12</f>
        <v>710</v>
      </c>
      <c r="P12" s="14" t="n">
        <f aca="false">base_fleet!V12</f>
        <v>144</v>
      </c>
      <c r="Q12" s="14" t="n">
        <f aca="false">base_fleet!AD12</f>
        <v>5850</v>
      </c>
      <c r="R12" s="14" t="n">
        <f aca="false">base_fleet!Y12</f>
        <v>539</v>
      </c>
      <c r="S12" s="14" t="n">
        <f aca="false">base_fleet!U12</f>
        <v>344</v>
      </c>
      <c r="T12" s="9" t="n">
        <f aca="false">base_fleet!Z12+base_fleet!AE12</f>
        <v>0</v>
      </c>
      <c r="U12" s="14" t="n">
        <f aca="false">base_fleet!X12+base_fleet!AC12+base_fleet!AH12</f>
        <v>32</v>
      </c>
      <c r="V12" s="14" t="n">
        <f aca="false">base_fleet!AI12</f>
        <v>2385</v>
      </c>
      <c r="W12" s="14" t="n">
        <f aca="false">base_fleet!AM12</f>
        <v>567</v>
      </c>
      <c r="X12" s="14" t="n">
        <f aca="false">base_fleet!AP12</f>
        <v>404</v>
      </c>
      <c r="Y12" s="14" t="n">
        <f aca="false">base_fleet!AS12</f>
        <v>226</v>
      </c>
      <c r="Z12" s="14" t="n">
        <f aca="false">base_fleet!AU12</f>
        <v>256</v>
      </c>
      <c r="AA12" s="14" t="n">
        <f aca="false">base_fleet!AW12</f>
        <v>119</v>
      </c>
      <c r="AB12" s="14" t="n">
        <f aca="false">base_fleet!AY12/2</f>
        <v>4.5</v>
      </c>
      <c r="AC12" s="14" t="n">
        <f aca="false">base_fleet!AY12/2</f>
        <v>4.5</v>
      </c>
      <c r="AD12" s="9" t="n">
        <f aca="false">base_fleet!BB12</f>
        <v>15</v>
      </c>
      <c r="AE12" s="9" t="n">
        <f aca="false">base_fleet!AK12</f>
        <v>39</v>
      </c>
      <c r="AF12" s="9" t="n">
        <f aca="false">base_fleet!AO12</f>
        <v>5</v>
      </c>
      <c r="AG12" s="9" t="n">
        <f aca="false">base_fleet!AR12</f>
        <v>1</v>
      </c>
      <c r="AH12" s="9" t="n">
        <f aca="false">base_fleet!AT12</f>
        <v>3</v>
      </c>
      <c r="AI12" s="9" t="n">
        <f aca="false">base_fleet!AV12</f>
        <v>0</v>
      </c>
      <c r="AJ12" s="9" t="n">
        <f aca="false">base_fleet!AX12</f>
        <v>1</v>
      </c>
      <c r="AK12" s="9" t="n">
        <f aca="false">base_fleet!AZ12</f>
        <v>0</v>
      </c>
      <c r="AL12" s="9" t="n">
        <f aca="false">base_fleet!BC12</f>
        <v>0</v>
      </c>
      <c r="AM12" s="9" t="n">
        <v>0</v>
      </c>
      <c r="AN12" s="9" t="n">
        <f aca="false">base_fleet!BD12</f>
        <v>176</v>
      </c>
      <c r="AO12" s="9" t="n">
        <f aca="false">base_fleet!BE12</f>
        <v>206</v>
      </c>
      <c r="AP12" s="9" t="n">
        <f aca="false">base_fleet!BF12</f>
        <v>31</v>
      </c>
      <c r="AQ12" s="9" t="n">
        <f aca="false">base_fleet!BG12</f>
        <v>92</v>
      </c>
      <c r="AR12" s="9" t="n">
        <f aca="false">base_fleet!BH12</f>
        <v>58</v>
      </c>
      <c r="AS12" s="9" t="n">
        <f aca="false">base_fleet!BI12</f>
        <v>0</v>
      </c>
      <c r="AT12" s="9" t="n">
        <f aca="false">base_fleet!AQ12+base_fleet!AN12+base_fleet!AJ12</f>
        <v>0</v>
      </c>
      <c r="AU12" s="9" t="n">
        <f aca="false">base_fleet!BL12</f>
        <v>609.45</v>
      </c>
      <c r="AV12" s="9" t="n">
        <f aca="false">base_fleet!BJ12</f>
        <v>37.4</v>
      </c>
      <c r="AW12" s="9" t="n">
        <f aca="false">base_fleet!BN12</f>
        <v>2.55</v>
      </c>
      <c r="AX12" s="9" t="n">
        <f aca="false">base_fleet!BM12</f>
        <v>5.95</v>
      </c>
      <c r="AY12" s="9" t="n">
        <f aca="false">base_fleet!BK12</f>
        <v>0</v>
      </c>
      <c r="AZ12" s="9" t="n">
        <f aca="false">base_fleet!BO12</f>
        <v>0</v>
      </c>
      <c r="BA12" s="9" t="n">
        <f aca="false">base_fleet!BP12</f>
        <v>253.2</v>
      </c>
      <c r="BB12" s="9" t="n">
        <f aca="false">base_fleet!BR12</f>
        <v>4.35</v>
      </c>
      <c r="BC12" s="9" t="n">
        <f aca="false">base_fleet!BQ12</f>
        <v>0.3</v>
      </c>
      <c r="BD12" s="9" t="n">
        <f aca="false">base_fleet!BS12</f>
        <v>0</v>
      </c>
      <c r="BE12" s="9" t="n">
        <v>0</v>
      </c>
      <c r="BF12" s="9" t="n">
        <v>0</v>
      </c>
      <c r="BG12" s="9" t="n">
        <f aca="false">base_fleet!CE12</f>
        <v>1</v>
      </c>
      <c r="BH12" s="9" t="n">
        <f aca="false">base_fleet!CA12</f>
        <v>18274</v>
      </c>
      <c r="BI12" s="9" t="n">
        <f aca="false">base_fleet!BV12</f>
        <v>65</v>
      </c>
      <c r="BJ12" s="9" t="n">
        <f aca="false">base_fleet!CH12</f>
        <v>0</v>
      </c>
      <c r="BK12" s="9" t="n">
        <f aca="false">base_fleet!BU12+base_fleet!BZ12+base_fleet!CD12</f>
        <v>0</v>
      </c>
    </row>
    <row r="13" customFormat="false" ht="12.75" hidden="false" customHeight="false" outlineLevel="0" collapsed="false">
      <c r="A13" s="1" t="n">
        <f aca="false">A12-1</f>
        <v>2008</v>
      </c>
      <c r="B13" s="9" t="n">
        <f aca="false">base_fleet!H13</f>
        <v>13810</v>
      </c>
      <c r="C13" s="9" t="n">
        <f aca="false">base_fleet!M13*0.95</f>
        <v>12139.1</v>
      </c>
      <c r="D13" s="9" t="n">
        <f aca="false">base_fleet!D13</f>
        <v>5</v>
      </c>
      <c r="E13" s="9" t="n">
        <f aca="false">base_fleet!R13</f>
        <v>19637</v>
      </c>
      <c r="F13" s="9" t="n">
        <f aca="false">base_fleet!F13</f>
        <v>91</v>
      </c>
      <c r="G13" s="9" t="n">
        <f aca="false">base_fleet!K13</f>
        <v>216</v>
      </c>
      <c r="H13" s="9" t="n">
        <f aca="false">base_fleet!B13</f>
        <v>1</v>
      </c>
      <c r="I13" s="9" t="n">
        <f aca="false">base_fleet!P13</f>
        <v>929</v>
      </c>
      <c r="J13" s="9" t="n">
        <f aca="false">base_fleet!C13+base_fleet!G13+base_fleet!L13+base_fleet!Q13</f>
        <v>8</v>
      </c>
      <c r="K13" s="9" t="n">
        <f aca="false">base_fleet!E13+base_fleet!J13+base_fleet!O13+base_fleet!T13</f>
        <v>151</v>
      </c>
      <c r="L13" s="9" t="n">
        <f aca="false">base_fleet!M13*0.05</f>
        <v>638.9</v>
      </c>
      <c r="M13" s="9" t="n">
        <f aca="false">base_fleet!I13+base_fleet!N13+base_fleet!S13</f>
        <v>3</v>
      </c>
      <c r="N13" s="9" t="n">
        <f aca="false">base_fleet!AF13</f>
        <v>13093</v>
      </c>
      <c r="O13" s="9" t="n">
        <f aca="false">base_fleet!AA13</f>
        <v>1279</v>
      </c>
      <c r="P13" s="14" t="n">
        <f aca="false">base_fleet!V13</f>
        <v>234</v>
      </c>
      <c r="Q13" s="14" t="n">
        <f aca="false">base_fleet!AD13</f>
        <v>8180</v>
      </c>
      <c r="R13" s="14" t="n">
        <f aca="false">base_fleet!Y13</f>
        <v>1075</v>
      </c>
      <c r="S13" s="14" t="n">
        <f aca="false">base_fleet!U13</f>
        <v>477</v>
      </c>
      <c r="T13" s="9" t="n">
        <f aca="false">base_fleet!Z13+base_fleet!AE13</f>
        <v>2</v>
      </c>
      <c r="U13" s="14" t="n">
        <f aca="false">base_fleet!X13+base_fleet!AC13+base_fleet!AH13</f>
        <v>22</v>
      </c>
      <c r="V13" s="14" t="n">
        <f aca="false">base_fleet!AI13</f>
        <v>4624</v>
      </c>
      <c r="W13" s="14" t="n">
        <f aca="false">base_fleet!AM13</f>
        <v>767</v>
      </c>
      <c r="X13" s="14" t="n">
        <f aca="false">base_fleet!AP13</f>
        <v>590</v>
      </c>
      <c r="Y13" s="14" t="n">
        <f aca="false">base_fleet!AS13</f>
        <v>237</v>
      </c>
      <c r="Z13" s="14" t="n">
        <f aca="false">base_fleet!AU13</f>
        <v>421</v>
      </c>
      <c r="AA13" s="14" t="n">
        <f aca="false">base_fleet!AW13</f>
        <v>216</v>
      </c>
      <c r="AB13" s="14" t="n">
        <f aca="false">base_fleet!AY13/2</f>
        <v>13.5</v>
      </c>
      <c r="AC13" s="14" t="n">
        <f aca="false">base_fleet!AY13/2</f>
        <v>13.5</v>
      </c>
      <c r="AD13" s="9" t="n">
        <f aca="false">base_fleet!BB13</f>
        <v>31</v>
      </c>
      <c r="AE13" s="9" t="n">
        <f aca="false">base_fleet!AK13</f>
        <v>58</v>
      </c>
      <c r="AF13" s="9" t="n">
        <f aca="false">base_fleet!AO13</f>
        <v>10</v>
      </c>
      <c r="AG13" s="9" t="n">
        <f aca="false">base_fleet!AR13</f>
        <v>3</v>
      </c>
      <c r="AH13" s="9" t="n">
        <f aca="false">base_fleet!AT13</f>
        <v>3</v>
      </c>
      <c r="AI13" s="9" t="n">
        <f aca="false">base_fleet!AV13</f>
        <v>3</v>
      </c>
      <c r="AJ13" s="9" t="n">
        <f aca="false">base_fleet!AX13</f>
        <v>2</v>
      </c>
      <c r="AK13" s="9" t="n">
        <f aca="false">base_fleet!AZ13</f>
        <v>0</v>
      </c>
      <c r="AL13" s="9" t="n">
        <f aca="false">base_fleet!BC13</f>
        <v>0</v>
      </c>
      <c r="AM13" s="9" t="n">
        <v>0</v>
      </c>
      <c r="AN13" s="9" t="n">
        <f aca="false">base_fleet!BD13</f>
        <v>207</v>
      </c>
      <c r="AO13" s="9" t="n">
        <f aca="false">base_fleet!BE13</f>
        <v>162</v>
      </c>
      <c r="AP13" s="9" t="n">
        <f aca="false">base_fleet!BF13</f>
        <v>115</v>
      </c>
      <c r="AQ13" s="9" t="n">
        <f aca="false">base_fleet!BG13</f>
        <v>134</v>
      </c>
      <c r="AR13" s="9" t="n">
        <f aca="false">base_fleet!BH13</f>
        <v>71</v>
      </c>
      <c r="AS13" s="9" t="n">
        <f aca="false">base_fleet!BI13</f>
        <v>1</v>
      </c>
      <c r="AT13" s="9" t="n">
        <f aca="false">base_fleet!AQ13+base_fleet!AN13+base_fleet!AJ13</f>
        <v>0</v>
      </c>
      <c r="AU13" s="9" t="n">
        <f aca="false">base_fleet!BL13</f>
        <v>1017.45</v>
      </c>
      <c r="AV13" s="9" t="n">
        <f aca="false">base_fleet!BJ13</f>
        <v>107.95</v>
      </c>
      <c r="AW13" s="9" t="n">
        <f aca="false">base_fleet!BN13</f>
        <v>16.15</v>
      </c>
      <c r="AX13" s="9" t="n">
        <f aca="false">base_fleet!BM13</f>
        <v>9.35</v>
      </c>
      <c r="AY13" s="9" t="n">
        <f aca="false">base_fleet!BK13</f>
        <v>0</v>
      </c>
      <c r="AZ13" s="9" t="n">
        <f aca="false">base_fleet!BO13</f>
        <v>0</v>
      </c>
      <c r="BA13" s="9" t="n">
        <f aca="false">base_fleet!BP13</f>
        <v>220.05</v>
      </c>
      <c r="BB13" s="9" t="n">
        <f aca="false">base_fleet!BR13</f>
        <v>12</v>
      </c>
      <c r="BC13" s="9" t="n">
        <f aca="false">base_fleet!BQ13</f>
        <v>1.8</v>
      </c>
      <c r="BD13" s="9" t="n">
        <f aca="false">base_fleet!BS13</f>
        <v>0</v>
      </c>
      <c r="BE13" s="9" t="n">
        <v>0</v>
      </c>
      <c r="BF13" s="9" t="n">
        <v>0</v>
      </c>
      <c r="BG13" s="9" t="n">
        <f aca="false">base_fleet!CE13</f>
        <v>0</v>
      </c>
      <c r="BH13" s="9" t="n">
        <f aca="false">base_fleet!CA13</f>
        <v>14436</v>
      </c>
      <c r="BI13" s="9" t="n">
        <f aca="false">base_fleet!BV13</f>
        <v>100</v>
      </c>
      <c r="BJ13" s="9" t="n">
        <f aca="false">base_fleet!CH13</f>
        <v>0</v>
      </c>
      <c r="BK13" s="9" t="n">
        <f aca="false">base_fleet!BU13+base_fleet!BZ13+base_fleet!CD13</f>
        <v>0</v>
      </c>
    </row>
    <row r="14" customFormat="false" ht="12.75" hidden="false" customHeight="false" outlineLevel="0" collapsed="false">
      <c r="A14" s="1" t="n">
        <f aca="false">A13-1</f>
        <v>2007</v>
      </c>
      <c r="B14" s="9" t="n">
        <f aca="false">base_fleet!H14</f>
        <v>16222</v>
      </c>
      <c r="C14" s="9" t="n">
        <f aca="false">base_fleet!M14*0.95</f>
        <v>13208.8</v>
      </c>
      <c r="D14" s="9" t="n">
        <f aca="false">base_fleet!D14</f>
        <v>13</v>
      </c>
      <c r="E14" s="9" t="n">
        <f aca="false">base_fleet!R14</f>
        <v>11998</v>
      </c>
      <c r="F14" s="9" t="n">
        <f aca="false">base_fleet!F14</f>
        <v>125</v>
      </c>
      <c r="G14" s="9" t="n">
        <f aca="false">base_fleet!K14</f>
        <v>196</v>
      </c>
      <c r="H14" s="9" t="n">
        <f aca="false">base_fleet!B14</f>
        <v>2</v>
      </c>
      <c r="I14" s="9" t="n">
        <f aca="false">base_fleet!P14</f>
        <v>955</v>
      </c>
      <c r="J14" s="9" t="n">
        <f aca="false">base_fleet!C14+base_fleet!G14+base_fleet!L14+base_fleet!Q14</f>
        <v>1</v>
      </c>
      <c r="K14" s="9" t="n">
        <f aca="false">base_fleet!E14+base_fleet!J14+base_fleet!O14+base_fleet!T14</f>
        <v>1</v>
      </c>
      <c r="L14" s="9" t="n">
        <f aca="false">base_fleet!M14*0.05</f>
        <v>695.2</v>
      </c>
      <c r="M14" s="9" t="n">
        <f aca="false">base_fleet!I14+base_fleet!N14+base_fleet!S14</f>
        <v>10</v>
      </c>
      <c r="N14" s="9" t="n">
        <f aca="false">base_fleet!AF14</f>
        <v>11246</v>
      </c>
      <c r="O14" s="9" t="n">
        <f aca="false">base_fleet!AA14</f>
        <v>1780</v>
      </c>
      <c r="P14" s="14" t="n">
        <f aca="false">base_fleet!V14</f>
        <v>207</v>
      </c>
      <c r="Q14" s="14" t="n">
        <f aca="false">base_fleet!AD14</f>
        <v>3603</v>
      </c>
      <c r="R14" s="14" t="n">
        <f aca="false">base_fleet!Y14</f>
        <v>815</v>
      </c>
      <c r="S14" s="14" t="n">
        <f aca="false">base_fleet!U14</f>
        <v>295</v>
      </c>
      <c r="T14" s="9" t="n">
        <f aca="false">base_fleet!Z14+base_fleet!AE14</f>
        <v>0</v>
      </c>
      <c r="U14" s="14" t="n">
        <f aca="false">base_fleet!X14+base_fleet!AC14+base_fleet!AH14</f>
        <v>0</v>
      </c>
      <c r="V14" s="14" t="n">
        <f aca="false">base_fleet!AI14</f>
        <v>4223</v>
      </c>
      <c r="W14" s="14" t="n">
        <f aca="false">base_fleet!AM14</f>
        <v>616</v>
      </c>
      <c r="X14" s="14" t="n">
        <f aca="false">base_fleet!AP14</f>
        <v>550</v>
      </c>
      <c r="Y14" s="14" t="n">
        <f aca="false">base_fleet!AS14</f>
        <v>152</v>
      </c>
      <c r="Z14" s="14" t="n">
        <f aca="false">base_fleet!AU14</f>
        <v>252</v>
      </c>
      <c r="AA14" s="14" t="n">
        <f aca="false">base_fleet!AW14</f>
        <v>112</v>
      </c>
      <c r="AB14" s="14" t="n">
        <f aca="false">base_fleet!AY14/2</f>
        <v>3.5</v>
      </c>
      <c r="AC14" s="14" t="n">
        <f aca="false">base_fleet!AY14/2</f>
        <v>3.5</v>
      </c>
      <c r="AD14" s="9" t="n">
        <f aca="false">base_fleet!BB14</f>
        <v>23</v>
      </c>
      <c r="AE14" s="9" t="n">
        <f aca="false">base_fleet!AK14</f>
        <v>60</v>
      </c>
      <c r="AF14" s="9" t="n">
        <f aca="false">base_fleet!AO14</f>
        <v>4</v>
      </c>
      <c r="AG14" s="9" t="n">
        <f aca="false">base_fleet!AR14</f>
        <v>2</v>
      </c>
      <c r="AH14" s="9" t="n">
        <f aca="false">base_fleet!AT14</f>
        <v>3</v>
      </c>
      <c r="AI14" s="9" t="n">
        <f aca="false">base_fleet!AV14</f>
        <v>3</v>
      </c>
      <c r="AJ14" s="9" t="n">
        <f aca="false">base_fleet!AX14</f>
        <v>2</v>
      </c>
      <c r="AK14" s="9" t="n">
        <f aca="false">base_fleet!AZ14</f>
        <v>0</v>
      </c>
      <c r="AL14" s="9" t="n">
        <f aca="false">base_fleet!BC14</f>
        <v>0</v>
      </c>
      <c r="AM14" s="9" t="n">
        <v>0</v>
      </c>
      <c r="AN14" s="9" t="n">
        <f aca="false">base_fleet!BD14</f>
        <v>143</v>
      </c>
      <c r="AO14" s="9" t="n">
        <f aca="false">base_fleet!BE14</f>
        <v>119</v>
      </c>
      <c r="AP14" s="9" t="n">
        <f aca="false">base_fleet!BF14</f>
        <v>80</v>
      </c>
      <c r="AQ14" s="9" t="n">
        <f aca="false">base_fleet!BG14</f>
        <v>54</v>
      </c>
      <c r="AR14" s="9" t="n">
        <f aca="false">base_fleet!BH14</f>
        <v>49</v>
      </c>
      <c r="AS14" s="9" t="n">
        <f aca="false">base_fleet!BI14</f>
        <v>0</v>
      </c>
      <c r="AT14" s="9" t="n">
        <f aca="false">base_fleet!AQ14+base_fleet!AN14+base_fleet!AJ14</f>
        <v>1</v>
      </c>
      <c r="AU14" s="9" t="n">
        <f aca="false">base_fleet!BL14</f>
        <v>918.000000000001</v>
      </c>
      <c r="AV14" s="9" t="n">
        <f aca="false">base_fleet!BJ14</f>
        <v>43.35</v>
      </c>
      <c r="AW14" s="9" t="n">
        <f aca="false">base_fleet!BN14</f>
        <v>1.7</v>
      </c>
      <c r="AX14" s="9" t="n">
        <f aca="false">base_fleet!BM14</f>
        <v>6.8</v>
      </c>
      <c r="AY14" s="9" t="n">
        <f aca="false">base_fleet!BK14</f>
        <v>0.85</v>
      </c>
      <c r="AZ14" s="9" t="n">
        <f aca="false">base_fleet!BO14</f>
        <v>0</v>
      </c>
      <c r="BA14" s="9" t="n">
        <f aca="false">base_fleet!BP14</f>
        <v>237.9</v>
      </c>
      <c r="BB14" s="9" t="n">
        <f aca="false">base_fleet!BR14</f>
        <v>10.8</v>
      </c>
      <c r="BC14" s="9" t="n">
        <f aca="false">base_fleet!BQ14</f>
        <v>1.8</v>
      </c>
      <c r="BD14" s="9" t="n">
        <f aca="false">base_fleet!BS14</f>
        <v>0</v>
      </c>
      <c r="BE14" s="9" t="n">
        <v>0</v>
      </c>
      <c r="BF14" s="9" t="n">
        <v>0</v>
      </c>
      <c r="BG14" s="9" t="n">
        <f aca="false">base_fleet!CE14</f>
        <v>146</v>
      </c>
      <c r="BH14" s="9" t="n">
        <f aca="false">base_fleet!CA14</f>
        <v>12951</v>
      </c>
      <c r="BI14" s="9" t="n">
        <f aca="false">base_fleet!BV14</f>
        <v>92</v>
      </c>
      <c r="BJ14" s="9" t="n">
        <f aca="false">base_fleet!CH14</f>
        <v>1</v>
      </c>
      <c r="BK14" s="9" t="n">
        <f aca="false">base_fleet!BU14+base_fleet!BZ14+base_fleet!CD14</f>
        <v>0</v>
      </c>
    </row>
    <row r="15" customFormat="false" ht="12.75" hidden="false" customHeight="false" outlineLevel="0" collapsed="false">
      <c r="A15" s="1" t="n">
        <f aca="false">A14-1</f>
        <v>2006</v>
      </c>
      <c r="B15" s="9" t="n">
        <f aca="false">base_fleet!H15</f>
        <v>13552</v>
      </c>
      <c r="C15" s="9" t="n">
        <f aca="false">base_fleet!M15*0.95</f>
        <v>16204.15</v>
      </c>
      <c r="D15" s="9" t="n">
        <f aca="false">base_fleet!D15</f>
        <v>51</v>
      </c>
      <c r="E15" s="9" t="n">
        <f aca="false">base_fleet!R15</f>
        <v>12471</v>
      </c>
      <c r="F15" s="10" t="n">
        <f aca="false">$B$15/$B$14*F14</f>
        <v>104.426088028603</v>
      </c>
      <c r="G15" s="10" t="n">
        <f aca="false">$B$15/$B$14*G14</f>
        <v>163.74010602885</v>
      </c>
      <c r="H15" s="10" t="n">
        <f aca="false">$B$15/$B$14*H14</f>
        <v>1.67081740845765</v>
      </c>
      <c r="I15" s="9" t="n">
        <f aca="false">base_fleet!P15</f>
        <v>1365</v>
      </c>
      <c r="J15" s="9" t="n">
        <f aca="false">base_fleet!C15+base_fleet!G15+base_fleet!L15+base_fleet!Q15</f>
        <v>1</v>
      </c>
      <c r="K15" s="9" t="n">
        <f aca="false">base_fleet!E15+base_fleet!J15+base_fleet!O15+base_fleet!T15</f>
        <v>2</v>
      </c>
      <c r="L15" s="9" t="n">
        <f aca="false">base_fleet!M15*0.05</f>
        <v>852.85</v>
      </c>
      <c r="M15" s="9" t="n">
        <f aca="false">base_fleet!I15+base_fleet!N15+base_fleet!S15</f>
        <v>25</v>
      </c>
      <c r="N15" s="9" t="n">
        <f aca="false">base_fleet!AF15</f>
        <v>12755</v>
      </c>
      <c r="O15" s="9" t="n">
        <f aca="false">base_fleet!AA15</f>
        <v>1521</v>
      </c>
      <c r="P15" s="14" t="n">
        <f aca="false">base_fleet!V15</f>
        <v>197</v>
      </c>
      <c r="Q15" s="14" t="n">
        <f aca="false">base_fleet!AD15</f>
        <v>2611</v>
      </c>
      <c r="R15" s="14" t="n">
        <f aca="false">base_fleet!Y15</f>
        <v>342</v>
      </c>
      <c r="S15" s="14" t="n">
        <f aca="false">base_fleet!U15</f>
        <v>206</v>
      </c>
      <c r="T15" s="9" t="n">
        <f aca="false">base_fleet!Z15+base_fleet!AE15</f>
        <v>0</v>
      </c>
      <c r="U15" s="14" t="n">
        <f aca="false">base_fleet!X15+base_fleet!AC15+base_fleet!AH15</f>
        <v>0</v>
      </c>
      <c r="V15" s="14" t="n">
        <f aca="false">base_fleet!AI15</f>
        <v>4542</v>
      </c>
      <c r="W15" s="14" t="n">
        <f aca="false">base_fleet!AM15</f>
        <v>633</v>
      </c>
      <c r="X15" s="14" t="n">
        <f aca="false">base_fleet!AP15</f>
        <v>313</v>
      </c>
      <c r="Y15" s="14" t="n">
        <f aca="false">base_fleet!AS15</f>
        <v>117</v>
      </c>
      <c r="Z15" s="14" t="n">
        <f aca="false">base_fleet!AU15</f>
        <v>195</v>
      </c>
      <c r="AA15" s="14" t="n">
        <f aca="false">base_fleet!AW15</f>
        <v>36</v>
      </c>
      <c r="AB15" s="14" t="n">
        <f aca="false">base_fleet!AY15/2</f>
        <v>0.5</v>
      </c>
      <c r="AC15" s="14" t="n">
        <f aca="false">base_fleet!AY15/2</f>
        <v>0.5</v>
      </c>
      <c r="AD15" s="9" t="n">
        <f aca="false">base_fleet!BB15</f>
        <v>14</v>
      </c>
      <c r="AE15" s="9" t="n">
        <f aca="false">base_fleet!AK15</f>
        <v>71</v>
      </c>
      <c r="AF15" s="9" t="n">
        <f aca="false">base_fleet!AO15</f>
        <v>7</v>
      </c>
      <c r="AG15" s="9" t="n">
        <f aca="false">base_fleet!AR15</f>
        <v>3</v>
      </c>
      <c r="AH15" s="9" t="n">
        <f aca="false">base_fleet!AT15</f>
        <v>2</v>
      </c>
      <c r="AI15" s="9" t="n">
        <f aca="false">base_fleet!AV15</f>
        <v>5</v>
      </c>
      <c r="AJ15" s="9" t="n">
        <f aca="false">base_fleet!AX15</f>
        <v>0</v>
      </c>
      <c r="AK15" s="9" t="n">
        <f aca="false">base_fleet!AZ15</f>
        <v>0</v>
      </c>
      <c r="AL15" s="9" t="n">
        <f aca="false">base_fleet!BC15</f>
        <v>0</v>
      </c>
      <c r="AM15" s="9" t="n">
        <v>0</v>
      </c>
      <c r="AN15" s="9" t="n">
        <f aca="false">base_fleet!BD15</f>
        <v>100</v>
      </c>
      <c r="AO15" s="9" t="n">
        <f aca="false">base_fleet!BE15</f>
        <v>57</v>
      </c>
      <c r="AP15" s="9" t="n">
        <f aca="false">base_fleet!BF15</f>
        <v>41</v>
      </c>
      <c r="AQ15" s="9" t="n">
        <f aca="false">base_fleet!BG15</f>
        <v>44</v>
      </c>
      <c r="AR15" s="9" t="n">
        <f aca="false">base_fleet!BH15</f>
        <v>58</v>
      </c>
      <c r="AS15" s="9" t="n">
        <f aca="false">base_fleet!BI15</f>
        <v>0</v>
      </c>
      <c r="AT15" s="9" t="n">
        <f aca="false">base_fleet!AQ15+base_fleet!AN15+base_fleet!AJ15</f>
        <v>0</v>
      </c>
      <c r="AU15" s="9" t="n">
        <f aca="false">base_fleet!BL15</f>
        <v>729.3</v>
      </c>
      <c r="AV15" s="9" t="n">
        <f aca="false">base_fleet!BJ15</f>
        <v>189.55</v>
      </c>
      <c r="AW15" s="9" t="n">
        <f aca="false">base_fleet!BN15</f>
        <v>7.65</v>
      </c>
      <c r="AX15" s="9" t="n">
        <f aca="false">base_fleet!BM15</f>
        <v>7.65</v>
      </c>
      <c r="AY15" s="9" t="n">
        <f aca="false">base_fleet!BK15</f>
        <v>0</v>
      </c>
      <c r="AZ15" s="9" t="n">
        <f aca="false">base_fleet!BO15</f>
        <v>0</v>
      </c>
      <c r="BA15" s="9" t="n">
        <f aca="false">base_fleet!BP15</f>
        <v>179.1</v>
      </c>
      <c r="BB15" s="9" t="n">
        <f aca="false">base_fleet!BR15</f>
        <v>3</v>
      </c>
      <c r="BC15" s="9" t="n">
        <f aca="false">base_fleet!BQ15</f>
        <v>0.3</v>
      </c>
      <c r="BD15" s="9" t="n">
        <f aca="false">base_fleet!BS15</f>
        <v>0</v>
      </c>
      <c r="BE15" s="9" t="n">
        <v>0</v>
      </c>
      <c r="BF15" s="9" t="n">
        <v>0</v>
      </c>
      <c r="BG15" s="9" t="n">
        <f aca="false">base_fleet!CE15</f>
        <v>834</v>
      </c>
      <c r="BH15" s="9" t="n">
        <f aca="false">base_fleet!CA15</f>
        <v>8597</v>
      </c>
      <c r="BI15" s="9" t="n">
        <f aca="false">base_fleet!BV15</f>
        <v>78</v>
      </c>
      <c r="BJ15" s="9" t="n">
        <f aca="false">base_fleet!CH15</f>
        <v>0</v>
      </c>
      <c r="BK15" s="9" t="n">
        <f aca="false">base_fleet!BU15+base_fleet!BZ15+base_fleet!CD15</f>
        <v>0</v>
      </c>
    </row>
    <row r="16" customFormat="false" ht="12.75" hidden="false" customHeight="false" outlineLevel="0" collapsed="false">
      <c r="A16" s="1" t="n">
        <f aca="false">A15-1</f>
        <v>2005</v>
      </c>
      <c r="B16" s="10" t="n">
        <f aca="false">$B$15/$B$14*B15</f>
        <v>11321.458759709</v>
      </c>
      <c r="C16" s="9" t="n">
        <f aca="false">base_fleet!M16*0.95</f>
        <v>24537.55</v>
      </c>
      <c r="D16" s="9" t="n">
        <f aca="false">base_fleet!D16</f>
        <v>10</v>
      </c>
      <c r="E16" s="9" t="n">
        <f aca="false">base_fleet!R16</f>
        <v>8744</v>
      </c>
      <c r="F16" s="10" t="n">
        <f aca="false">$B$15/$B$14*F15</f>
        <v>87.2384628876606</v>
      </c>
      <c r="G16" s="10" t="n">
        <f aca="false">$B$15/$B$14*G15</f>
        <v>136.789909807852</v>
      </c>
      <c r="H16" s="10" t="n">
        <f aca="false">$B$15/$B$14*H15</f>
        <v>1.39581540620257</v>
      </c>
      <c r="I16" s="9" t="n">
        <f aca="false">base_fleet!P16</f>
        <v>1080</v>
      </c>
      <c r="J16" s="9" t="n">
        <f aca="false">base_fleet!C16+base_fleet!G16+base_fleet!L16+base_fleet!Q16</f>
        <v>0</v>
      </c>
      <c r="K16" s="9" t="n">
        <f aca="false">base_fleet!E16+base_fleet!J16+base_fleet!O16+base_fleet!T16</f>
        <v>0</v>
      </c>
      <c r="L16" s="9" t="n">
        <f aca="false">base_fleet!M16*0.05</f>
        <v>1291.45</v>
      </c>
      <c r="M16" s="9" t="n">
        <f aca="false">base_fleet!I16+base_fleet!N16+base_fleet!S16</f>
        <v>6</v>
      </c>
      <c r="N16" s="9" t="n">
        <f aca="false">base_fleet!AF16</f>
        <v>11361</v>
      </c>
      <c r="O16" s="9" t="n">
        <f aca="false">base_fleet!AA16</f>
        <v>906</v>
      </c>
      <c r="P16" s="14" t="n">
        <f aca="false">base_fleet!V16</f>
        <v>429</v>
      </c>
      <c r="Q16" s="14" t="n">
        <f aca="false">base_fleet!AD16</f>
        <v>2421</v>
      </c>
      <c r="R16" s="14" t="n">
        <f aca="false">base_fleet!Y16</f>
        <v>232</v>
      </c>
      <c r="S16" s="14" t="n">
        <f aca="false">base_fleet!U16</f>
        <v>101</v>
      </c>
      <c r="T16" s="9" t="n">
        <f aca="false">base_fleet!Z16+base_fleet!AE16</f>
        <v>0</v>
      </c>
      <c r="U16" s="14" t="n">
        <f aca="false">base_fleet!X16+base_fleet!AC16+base_fleet!AH16</f>
        <v>1</v>
      </c>
      <c r="V16" s="14" t="n">
        <f aca="false">base_fleet!AI16</f>
        <v>3215</v>
      </c>
      <c r="W16" s="14" t="n">
        <f aca="false">base_fleet!AM16</f>
        <v>673</v>
      </c>
      <c r="X16" s="14" t="n">
        <f aca="false">base_fleet!AP16</f>
        <v>151</v>
      </c>
      <c r="Y16" s="14" t="n">
        <f aca="false">base_fleet!AS16</f>
        <v>114</v>
      </c>
      <c r="Z16" s="14" t="n">
        <f aca="false">base_fleet!AU16</f>
        <v>228</v>
      </c>
      <c r="AA16" s="14" t="n">
        <f aca="false">base_fleet!AW16</f>
        <v>45</v>
      </c>
      <c r="AB16" s="14" t="n">
        <f aca="false">base_fleet!AY16/2</f>
        <v>1.5</v>
      </c>
      <c r="AC16" s="14" t="n">
        <f aca="false">base_fleet!AY16/2</f>
        <v>1.5</v>
      </c>
      <c r="AD16" s="9" t="n">
        <f aca="false">base_fleet!BB16</f>
        <v>13</v>
      </c>
      <c r="AE16" s="9" t="n">
        <f aca="false">base_fleet!AK16</f>
        <v>65</v>
      </c>
      <c r="AF16" s="9" t="n">
        <f aca="false">base_fleet!AO16</f>
        <v>8</v>
      </c>
      <c r="AG16" s="9" t="n">
        <f aca="false">base_fleet!AR16</f>
        <v>0</v>
      </c>
      <c r="AH16" s="9" t="n">
        <f aca="false">base_fleet!AT16</f>
        <v>2</v>
      </c>
      <c r="AI16" s="9" t="n">
        <f aca="false">base_fleet!AV16</f>
        <v>2</v>
      </c>
      <c r="AJ16" s="9" t="n">
        <f aca="false">base_fleet!AX16</f>
        <v>0</v>
      </c>
      <c r="AK16" s="9" t="n">
        <f aca="false">base_fleet!AZ16</f>
        <v>0</v>
      </c>
      <c r="AL16" s="9" t="n">
        <f aca="false">base_fleet!BC16</f>
        <v>0</v>
      </c>
      <c r="AM16" s="9" t="n">
        <v>0</v>
      </c>
      <c r="AN16" s="9" t="n">
        <f aca="false">base_fleet!BD16</f>
        <v>107</v>
      </c>
      <c r="AO16" s="9" t="n">
        <f aca="false">base_fleet!BE16</f>
        <v>89</v>
      </c>
      <c r="AP16" s="9" t="n">
        <f aca="false">base_fleet!BF16</f>
        <v>17</v>
      </c>
      <c r="AQ16" s="9" t="n">
        <f aca="false">base_fleet!BG16</f>
        <v>49</v>
      </c>
      <c r="AR16" s="9" t="n">
        <f aca="false">base_fleet!BH16</f>
        <v>30</v>
      </c>
      <c r="AS16" s="9" t="n">
        <f aca="false">base_fleet!BI16</f>
        <v>1</v>
      </c>
      <c r="AT16" s="9" t="n">
        <f aca="false">base_fleet!AQ16+base_fleet!AN16+base_fleet!AJ16</f>
        <v>1</v>
      </c>
      <c r="AU16" s="9" t="n">
        <f aca="false">base_fleet!BL16</f>
        <v>901.000000000001</v>
      </c>
      <c r="AV16" s="9" t="n">
        <f aca="false">base_fleet!BJ16</f>
        <v>368.9</v>
      </c>
      <c r="AW16" s="9" t="n">
        <f aca="false">base_fleet!BN16</f>
        <v>0.85</v>
      </c>
      <c r="AX16" s="9" t="n">
        <f aca="false">base_fleet!BM16</f>
        <v>9.35</v>
      </c>
      <c r="AY16" s="9" t="n">
        <f aca="false">base_fleet!BK16</f>
        <v>0.85</v>
      </c>
      <c r="AZ16" s="9" t="n">
        <f aca="false">base_fleet!BO16</f>
        <v>0</v>
      </c>
      <c r="BA16" s="9" t="n">
        <f aca="false">base_fleet!BP16</f>
        <v>267</v>
      </c>
      <c r="BB16" s="9" t="n">
        <f aca="false">base_fleet!BR16</f>
        <v>11.7</v>
      </c>
      <c r="BC16" s="9" t="n">
        <f aca="false">base_fleet!BQ16</f>
        <v>0.6</v>
      </c>
      <c r="BD16" s="9" t="n">
        <f aca="false">base_fleet!BS16</f>
        <v>0</v>
      </c>
      <c r="BE16" s="9" t="n">
        <v>0</v>
      </c>
      <c r="BF16" s="9" t="n">
        <v>0</v>
      </c>
      <c r="BG16" s="9" t="n">
        <f aca="false">base_fleet!CE16</f>
        <v>1079</v>
      </c>
      <c r="BH16" s="9" t="n">
        <f aca="false">base_fleet!CA16</f>
        <v>8126</v>
      </c>
      <c r="BI16" s="9" t="n">
        <f aca="false">base_fleet!BV16</f>
        <v>55</v>
      </c>
      <c r="BJ16" s="9" t="n">
        <f aca="false">base_fleet!CH16</f>
        <v>1</v>
      </c>
      <c r="BK16" s="9" t="n">
        <f aca="false">base_fleet!BU16+base_fleet!BZ16+base_fleet!CD16</f>
        <v>0</v>
      </c>
    </row>
    <row r="17" customFormat="false" ht="12.75" hidden="false" customHeight="false" outlineLevel="0" collapsed="false">
      <c r="A17" s="1" t="n">
        <f aca="false">A16-1</f>
        <v>2004</v>
      </c>
      <c r="B17" s="10" t="n">
        <f aca="false">$B$15/$B$14*B16</f>
        <v>9458.04519242861</v>
      </c>
      <c r="C17" s="9" t="n">
        <f aca="false">base_fleet!M17*0.95</f>
        <v>16937.55</v>
      </c>
      <c r="D17" s="9" t="n">
        <f aca="false">base_fleet!D17</f>
        <v>10</v>
      </c>
      <c r="E17" s="9" t="n">
        <f aca="false">base_fleet!R17</f>
        <v>7739</v>
      </c>
      <c r="F17" s="10" t="n">
        <f aca="false">$B$15/$B$14*F16</f>
        <v>72.879771239895</v>
      </c>
      <c r="G17" s="10" t="n">
        <f aca="false">$B$15/$B$14*G16</f>
        <v>114.275481304155</v>
      </c>
      <c r="H17" s="10" t="n">
        <f aca="false">$B$15/$B$14*H16</f>
        <v>1.16607633983832</v>
      </c>
      <c r="I17" s="10" t="n">
        <f aca="false">$B$15/$B$14*I16</f>
        <v>902.241400567131</v>
      </c>
      <c r="J17" s="9" t="n">
        <f aca="false">base_fleet!C17+base_fleet!G17+base_fleet!L17+base_fleet!Q17</f>
        <v>0</v>
      </c>
      <c r="K17" s="9" t="n">
        <f aca="false">base_fleet!E17+base_fleet!J17+base_fleet!O17+base_fleet!T17</f>
        <v>0</v>
      </c>
      <c r="L17" s="10" t="n">
        <f aca="false">$B$15/$B$14*L16</f>
        <v>1078.88857107632</v>
      </c>
      <c r="M17" s="9" t="n">
        <f aca="false">base_fleet!I17+base_fleet!N17</f>
        <v>0</v>
      </c>
      <c r="N17" s="9" t="n">
        <f aca="false">base_fleet!AF17</f>
        <v>10904</v>
      </c>
      <c r="O17" s="9" t="n">
        <f aca="false">base_fleet!AA17</f>
        <v>171</v>
      </c>
      <c r="P17" s="14" t="n">
        <f aca="false">base_fleet!V17</f>
        <v>763</v>
      </c>
      <c r="Q17" s="14" t="n">
        <f aca="false">base_fleet!AD17</f>
        <v>2084</v>
      </c>
      <c r="R17" s="14" t="n">
        <f aca="false">base_fleet!Y17</f>
        <v>296</v>
      </c>
      <c r="S17" s="14" t="n">
        <f aca="false">base_fleet!U17</f>
        <v>112</v>
      </c>
      <c r="T17" s="9" t="n">
        <f aca="false">base_fleet!Z17+base_fleet!AE17</f>
        <v>0</v>
      </c>
      <c r="U17" s="14" t="n">
        <f aca="false">base_fleet!X17+base_fleet!AC17+base_fleet!AH17</f>
        <v>0</v>
      </c>
      <c r="V17" s="10" t="n">
        <f aca="false">$B$15/$B$14*V16</f>
        <v>2685.83898409567</v>
      </c>
      <c r="W17" s="10" t="n">
        <f aca="false">$B$15/$B$14*W16</f>
        <v>562.230057945999</v>
      </c>
      <c r="X17" s="10" t="n">
        <f aca="false">$B$15/$B$14*X16</f>
        <v>126.146714338553</v>
      </c>
      <c r="Y17" s="10" t="n">
        <f aca="false">$B$15/$B$14*Y16</f>
        <v>95.2365922820861</v>
      </c>
      <c r="Z17" s="10" t="n">
        <f aca="false">$B$15/$B$14*Z16</f>
        <v>190.473184564172</v>
      </c>
      <c r="AA17" s="10" t="n">
        <f aca="false">$B$15/$B$14*AA16</f>
        <v>37.5933916902971</v>
      </c>
      <c r="AB17" s="10" t="n">
        <f aca="false">$B$15/$B$14*AB16</f>
        <v>1.25311305634324</v>
      </c>
      <c r="AC17" s="10" t="n">
        <f aca="false">$B$15/$B$14*AC16</f>
        <v>1.25311305634324</v>
      </c>
      <c r="AD17" s="10" t="n">
        <f aca="false">$B$15/$B$14*AD16</f>
        <v>10.8603131549747</v>
      </c>
      <c r="AE17" s="10" t="n">
        <f aca="false">$B$15/$B$14*AE16</f>
        <v>54.3015657748736</v>
      </c>
      <c r="AF17" s="10" t="n">
        <f aca="false">$B$15/$B$14*AF16</f>
        <v>6.6832696338306</v>
      </c>
      <c r="AG17" s="10" t="n">
        <f aca="false">$B$15/$B$14*AG16</f>
        <v>0</v>
      </c>
      <c r="AH17" s="10" t="n">
        <f aca="false">$B$15/$B$14*AH16</f>
        <v>1.67081740845765</v>
      </c>
      <c r="AI17" s="10" t="n">
        <f aca="false">$B$15/$B$14*AI16</f>
        <v>1.67081740845765</v>
      </c>
      <c r="AJ17" s="10" t="n">
        <f aca="false">$B$15/$B$14*AJ16</f>
        <v>0</v>
      </c>
      <c r="AK17" s="10" t="n">
        <f aca="false">$B$15/$B$14*AK16</f>
        <v>0</v>
      </c>
      <c r="AL17" s="10" t="n">
        <f aca="false">$B$15/$B$14*AL16</f>
        <v>0</v>
      </c>
      <c r="AM17" s="10" t="n">
        <f aca="false">$B$15/$B$14*AM16</f>
        <v>0</v>
      </c>
      <c r="AN17" s="10" t="n">
        <f aca="false">$B$15/$B$14*AN16</f>
        <v>89.3887313524843</v>
      </c>
      <c r="AO17" s="10" t="n">
        <f aca="false">$B$15/$B$14*AO16</f>
        <v>74.3513746763654</v>
      </c>
      <c r="AP17" s="10" t="n">
        <f aca="false">$B$15/$B$14*AP16</f>
        <v>14.20194797189</v>
      </c>
      <c r="AQ17" s="10" t="n">
        <f aca="false">$B$15/$B$14*AQ16</f>
        <v>40.9350265072124</v>
      </c>
      <c r="AR17" s="10" t="n">
        <f aca="false">$B$15/$B$14*AR16</f>
        <v>25.0622611268648</v>
      </c>
      <c r="AS17" s="10" t="n">
        <f aca="false">$B$15/$B$14*AS16</f>
        <v>0.835408704228825</v>
      </c>
      <c r="AT17" s="9" t="n">
        <f aca="false">base_fleet!AQ17+base_fleet!AN17+base_fleet!AJ17</f>
        <v>0</v>
      </c>
      <c r="AU17" s="9" t="n">
        <f aca="false">base_fleet!BL17</f>
        <v>994.5</v>
      </c>
      <c r="AV17" s="9" t="n">
        <f aca="false">base_fleet!BJ17</f>
        <v>238.85</v>
      </c>
      <c r="AW17" s="9" t="n">
        <f aca="false">base_fleet!BN17</f>
        <v>25.5</v>
      </c>
      <c r="AX17" s="9" t="n">
        <f aca="false">base_fleet!BM17</f>
        <v>10.2</v>
      </c>
      <c r="AY17" s="9" t="n">
        <f aca="false">base_fleet!BK17</f>
        <v>0</v>
      </c>
      <c r="AZ17" s="9" t="n">
        <f aca="false">base_fleet!BO17</f>
        <v>0</v>
      </c>
      <c r="BA17" s="9" t="n">
        <f aca="false">base_fleet!BP17</f>
        <v>237.75</v>
      </c>
      <c r="BB17" s="9" t="n">
        <f aca="false">base_fleet!BR17</f>
        <v>21.75</v>
      </c>
      <c r="BC17" s="9" t="n">
        <f aca="false">base_fleet!BQ17</f>
        <v>0.6</v>
      </c>
      <c r="BD17" s="9" t="n">
        <f aca="false">base_fleet!BS17</f>
        <v>0.15</v>
      </c>
      <c r="BE17" s="9" t="n">
        <v>0</v>
      </c>
      <c r="BF17" s="9" t="n">
        <v>0</v>
      </c>
      <c r="BG17" s="9" t="n">
        <f aca="false">base_fleet!CE17</f>
        <v>494</v>
      </c>
      <c r="BH17" s="9" t="n">
        <f aca="false">base_fleet!CA17</f>
        <v>3843</v>
      </c>
      <c r="BI17" s="9" t="n">
        <f aca="false">base_fleet!BV17</f>
        <v>30</v>
      </c>
      <c r="BJ17" s="9" t="n">
        <f aca="false">base_fleet!CH17</f>
        <v>0</v>
      </c>
      <c r="BK17" s="9" t="n">
        <f aca="false">base_fleet!BU17+base_fleet!BZ17+base_fleet!CD17</f>
        <v>0</v>
      </c>
    </row>
    <row r="18" customFormat="false" ht="12.75" hidden="false" customHeight="false" outlineLevel="0" collapsed="false">
      <c r="A18" s="1" t="n">
        <f aca="false">A17-1</f>
        <v>2003</v>
      </c>
      <c r="B18" s="10" t="n">
        <f aca="false">$B$15/$B$14*B17</f>
        <v>7901.33327874445</v>
      </c>
      <c r="C18" s="10" t="n">
        <f aca="false">$B$15/$B$14*C17</f>
        <v>14149.7766983109</v>
      </c>
      <c r="D18" s="10" t="n">
        <f aca="false">$B$15/$B$14*D17</f>
        <v>8.35408704228825</v>
      </c>
      <c r="E18" s="9" t="n">
        <f aca="false">base_fleet!R18</f>
        <v>5891</v>
      </c>
      <c r="F18" s="10" t="n">
        <f aca="false">$B$15/$B$14*F17</f>
        <v>60.8843952560138</v>
      </c>
      <c r="G18" s="10" t="n">
        <f aca="false">$B$15/$B$14*G17</f>
        <v>95.4667317614297</v>
      </c>
      <c r="H18" s="10" t="n">
        <f aca="false">$B$15/$B$14*H17</f>
        <v>0.974150324096222</v>
      </c>
      <c r="I18" s="10" t="n">
        <f aca="false">$B$15/$B$14*I17</f>
        <v>753.740319349387</v>
      </c>
      <c r="J18" s="9" t="n">
        <f aca="false">base_fleet!C18+base_fleet!G18+base_fleet!L18+base_fleet!Q18</f>
        <v>0</v>
      </c>
      <c r="K18" s="9" t="n">
        <f aca="false">base_fleet!E18+base_fleet!J18+base_fleet!O18+base_fleet!T18</f>
        <v>0</v>
      </c>
      <c r="L18" s="10" t="n">
        <f aca="false">$B$15/$B$14*L17</f>
        <v>901.312903170154</v>
      </c>
      <c r="M18" s="9" t="n">
        <f aca="false">base_fleet!I18+base_fleet!N18</f>
        <v>0</v>
      </c>
      <c r="N18" s="10" t="n">
        <f aca="false">$B$15/$B$14*N17</f>
        <v>9109.29651091111</v>
      </c>
      <c r="O18" s="10" t="n">
        <f aca="false">$B$15/$B$14*O17</f>
        <v>142.854888423129</v>
      </c>
      <c r="P18" s="10" t="n">
        <f aca="false">$B$15/$B$14*P17</f>
        <v>637.416841326594</v>
      </c>
      <c r="Q18" s="10" t="n">
        <f aca="false">$B$15/$B$14*Q17</f>
        <v>1740.99173961287</v>
      </c>
      <c r="R18" s="10" t="n">
        <f aca="false">$B$15/$B$14*R17</f>
        <v>247.280976451732</v>
      </c>
      <c r="S18" s="10" t="n">
        <f aca="false">$B$15/$B$14*S17</f>
        <v>93.5657748736284</v>
      </c>
      <c r="T18" s="9" t="n">
        <f aca="false">base_fleet!Z18+base_fleet!AE18</f>
        <v>1</v>
      </c>
      <c r="U18" s="14" t="n">
        <f aca="false">base_fleet!X18+base_fleet!AC18+base_fleet!AH18</f>
        <v>0</v>
      </c>
      <c r="V18" s="10" t="n">
        <f aca="false">$B$15/$B$14*V17</f>
        <v>2243.77326547063</v>
      </c>
      <c r="W18" s="10" t="n">
        <f aca="false">$B$15/$B$14*W17</f>
        <v>469.691884187165</v>
      </c>
      <c r="X18" s="10" t="n">
        <f aca="false">$B$15/$B$14*X17</f>
        <v>105.384063168294</v>
      </c>
      <c r="Y18" s="10" t="n">
        <f aca="false">$B$15/$B$14*Y17</f>
        <v>79.5614781535465</v>
      </c>
      <c r="Z18" s="10" t="n">
        <f aca="false">$B$15/$B$14*Z17</f>
        <v>159.122956307093</v>
      </c>
      <c r="AA18" s="10" t="n">
        <f aca="false">$B$15/$B$14*AA17</f>
        <v>31.4058466395578</v>
      </c>
      <c r="AB18" s="10" t="n">
        <f aca="false">$B$15/$B$14*AB17</f>
        <v>1.04686155465193</v>
      </c>
      <c r="AC18" s="10" t="n">
        <f aca="false">$B$15/$B$14*AC17</f>
        <v>1.04686155465193</v>
      </c>
      <c r="AD18" s="10" t="n">
        <f aca="false">$B$15/$B$14*AD17</f>
        <v>9.0728001403167</v>
      </c>
      <c r="AE18" s="10" t="n">
        <f aca="false">$B$15/$B$14*AE17</f>
        <v>45.3640007015835</v>
      </c>
      <c r="AF18" s="10" t="n">
        <f aca="false">$B$15/$B$14*AF17</f>
        <v>5.58326162481028</v>
      </c>
      <c r="AG18" s="10" t="n">
        <f aca="false">$B$15/$B$14*AG17</f>
        <v>0</v>
      </c>
      <c r="AH18" s="10" t="n">
        <f aca="false">$B$15/$B$14*AH17</f>
        <v>1.39581540620257</v>
      </c>
      <c r="AI18" s="10" t="n">
        <f aca="false">$B$15/$B$14*AI17</f>
        <v>1.39581540620257</v>
      </c>
      <c r="AJ18" s="10" t="n">
        <f aca="false">$B$15/$B$14*AJ17</f>
        <v>0</v>
      </c>
      <c r="AK18" s="10" t="n">
        <f aca="false">$B$15/$B$14*AK17</f>
        <v>0</v>
      </c>
      <c r="AL18" s="10" t="n">
        <f aca="false">$B$15/$B$14*AL17</f>
        <v>0</v>
      </c>
      <c r="AM18" s="10" t="n">
        <f aca="false">$B$15/$B$14*AM17</f>
        <v>0</v>
      </c>
      <c r="AN18" s="10" t="n">
        <f aca="false">$B$15/$B$14*AN17</f>
        <v>74.6761242318375</v>
      </c>
      <c r="AO18" s="10" t="n">
        <f aca="false">$B$15/$B$14*AO17</f>
        <v>62.1137855760143</v>
      </c>
      <c r="AP18" s="10" t="n">
        <f aca="false">$B$15/$B$14*AP17</f>
        <v>11.8644309527218</v>
      </c>
      <c r="AQ18" s="10" t="n">
        <f aca="false">$B$15/$B$14*AQ17</f>
        <v>34.1974774519629</v>
      </c>
      <c r="AR18" s="10" t="n">
        <f aca="false">$B$15/$B$14*AR17</f>
        <v>20.9372310930385</v>
      </c>
      <c r="AS18" s="10" t="n">
        <f aca="false">$B$15/$B$14*AS17</f>
        <v>0.697907703101285</v>
      </c>
      <c r="AT18" s="9" t="n">
        <f aca="false">base_fleet!AQ18+base_fleet!AN18+base_fleet!AJ18</f>
        <v>0</v>
      </c>
      <c r="AU18" s="9" t="n">
        <f aca="false">base_fleet!BL18</f>
        <v>957.1</v>
      </c>
      <c r="AV18" s="9" t="n">
        <f aca="false">base_fleet!BJ18</f>
        <v>87.55</v>
      </c>
      <c r="AW18" s="9" t="n">
        <f aca="false">base_fleet!BN18</f>
        <v>29.75</v>
      </c>
      <c r="AX18" s="9" t="n">
        <f aca="false">base_fleet!BM18</f>
        <v>11.05</v>
      </c>
      <c r="AY18" s="9" t="n">
        <f aca="false">base_fleet!BK18</f>
        <v>0</v>
      </c>
      <c r="AZ18" s="9" t="n">
        <f aca="false">base_fleet!BO18</f>
        <v>0.85</v>
      </c>
      <c r="BA18" s="10" t="n">
        <f aca="false">$B$15/$B$14*BA17</f>
        <v>198.618419430403</v>
      </c>
      <c r="BB18" s="10" t="n">
        <f aca="false">$B$15/$B$14*BB17</f>
        <v>18.1701393169769</v>
      </c>
      <c r="BC18" s="10" t="n">
        <f aca="false">$B$15/$B$14*BC17</f>
        <v>0.501245222537295</v>
      </c>
      <c r="BD18" s="10" t="n">
        <f aca="false">$B$15/$B$14*BD17</f>
        <v>0.125311305634324</v>
      </c>
      <c r="BE18" s="9" t="n">
        <v>0</v>
      </c>
      <c r="BF18" s="9" t="n">
        <v>0</v>
      </c>
      <c r="BG18" s="9" t="n">
        <f aca="false">base_fleet!CE18</f>
        <v>449</v>
      </c>
      <c r="BH18" s="9" t="n">
        <f aca="false">base_fleet!CA18</f>
        <v>3085</v>
      </c>
      <c r="BI18" s="9" t="n">
        <f aca="false">base_fleet!BV18</f>
        <v>19</v>
      </c>
      <c r="BJ18" s="9" t="n">
        <f aca="false">base_fleet!CH18</f>
        <v>0</v>
      </c>
      <c r="BK18" s="9" t="n">
        <f aca="false">base_fleet!BU18+base_fleet!BZ18+base_fleet!CD18</f>
        <v>0</v>
      </c>
    </row>
    <row r="19" customFormat="false" ht="12.75" hidden="false" customHeight="false" outlineLevel="0" collapsed="false">
      <c r="A19" s="1" t="n">
        <f aca="false">A18-1</f>
        <v>2002</v>
      </c>
      <c r="B19" s="10" t="n">
        <f aca="false">$B$15/$B$14*B18</f>
        <v>6600.842596076</v>
      </c>
      <c r="C19" s="10" t="n">
        <f aca="false">$B$15/$B$14*C18</f>
        <v>11820.8466166632</v>
      </c>
      <c r="D19" s="10" t="n">
        <f aca="false">$B$15/$B$14*D18</f>
        <v>6.97907703101285</v>
      </c>
      <c r="E19" s="10" t="n">
        <f aca="false">$B$15/$B$14*E18</f>
        <v>4921.39267661201</v>
      </c>
      <c r="F19" s="10" t="n">
        <f aca="false">$B$15/$B$14*F18</f>
        <v>50.8633537485821</v>
      </c>
      <c r="G19" s="10" t="n">
        <f aca="false">$B$15/$B$14*G18</f>
        <v>79.7537386777768</v>
      </c>
      <c r="H19" s="10" t="n">
        <f aca="false">$B$15/$B$14*H18</f>
        <v>0.813813659977314</v>
      </c>
      <c r="I19" s="10" t="n">
        <f aca="false">$B$15/$B$14*I18</f>
        <v>629.681223512692</v>
      </c>
      <c r="J19" s="9" t="n">
        <f aca="false">base_fleet!C19+base_fleet!G19+base_fleet!L19+base_fleet!Q19</f>
        <v>0</v>
      </c>
      <c r="K19" s="9" t="n">
        <f aca="false">base_fleet!E19+base_fleet!J19+base_fleet!O19+base_fleet!T19</f>
        <v>0</v>
      </c>
      <c r="L19" s="10" t="n">
        <f aca="false">$B$15/$B$14*L18</f>
        <v>752.964644542099</v>
      </c>
      <c r="M19" s="9" t="e">
        <f aca="false">base_fleet!I19+base_fleet!N19</f>
        <v>#VALUE!</v>
      </c>
      <c r="N19" s="10" t="n">
        <f aca="false">$B$15/$B$14*N18</f>
        <v>7609.98559461641</v>
      </c>
      <c r="O19" s="10" t="n">
        <f aca="false">$B$15/$B$14*O18</f>
        <v>119.34221723032</v>
      </c>
      <c r="P19" s="10" t="n">
        <f aca="false">$B$15/$B$14*P18</f>
        <v>532.50357746628</v>
      </c>
      <c r="Q19" s="10" t="n">
        <f aca="false">$B$15/$B$14*Q18</f>
        <v>1454.43965326308</v>
      </c>
      <c r="R19" s="10" t="n">
        <f aca="false">$B$15/$B$14*R18</f>
        <v>206.58068011798</v>
      </c>
      <c r="S19" s="10" t="n">
        <f aca="false">$B$15/$B$14*S18</f>
        <v>78.1656627473439</v>
      </c>
      <c r="T19" s="9" t="n">
        <f aca="false">base_fleet!Z19+base_fleet!AE19</f>
        <v>0</v>
      </c>
      <c r="U19" s="14" t="n">
        <f aca="false">base_fleet!X19+base_fleet!AC19+base_fleet!AH19</f>
        <v>0</v>
      </c>
      <c r="V19" s="10" t="n">
        <f aca="false">$B$15/$B$14*V18</f>
        <v>1874.4677162901</v>
      </c>
      <c r="W19" s="10" t="n">
        <f aca="false">$B$15/$B$14*W18</f>
        <v>392.384688355595</v>
      </c>
      <c r="X19" s="10" t="n">
        <f aca="false">$B$15/$B$14*X18</f>
        <v>88.0387636577931</v>
      </c>
      <c r="Y19" s="10" t="n">
        <f aca="false">$B$15/$B$14*Y18</f>
        <v>66.4663513707842</v>
      </c>
      <c r="Z19" s="10" t="n">
        <f aca="false">$B$15/$B$14*Z18</f>
        <v>132.932702741568</v>
      </c>
      <c r="AA19" s="10" t="n">
        <f aca="false">$B$15/$B$14*AA18</f>
        <v>26.2367176463622</v>
      </c>
      <c r="AB19" s="10" t="n">
        <f aca="false">$B$15/$B$14*AB18</f>
        <v>0.874557254878739</v>
      </c>
      <c r="AC19" s="10" t="n">
        <f aca="false">$B$15/$B$14*AC18</f>
        <v>0.874557254878739</v>
      </c>
      <c r="AD19" s="10" t="n">
        <f aca="false">$B$15/$B$14*AD18</f>
        <v>7.57949620894908</v>
      </c>
      <c r="AE19" s="10" t="n">
        <f aca="false">$B$15/$B$14*AE18</f>
        <v>37.8974810447454</v>
      </c>
      <c r="AF19" s="10" t="n">
        <f aca="false">$B$15/$B$14*AF18</f>
        <v>4.66430535935328</v>
      </c>
      <c r="AG19" s="10" t="n">
        <f aca="false">$B$15/$B$14*AG18</f>
        <v>0</v>
      </c>
      <c r="AH19" s="10" t="n">
        <f aca="false">$B$15/$B$14*AH18</f>
        <v>1.16607633983832</v>
      </c>
      <c r="AI19" s="10" t="n">
        <f aca="false">$B$15/$B$14*AI18</f>
        <v>1.16607633983832</v>
      </c>
      <c r="AJ19" s="10" t="n">
        <f aca="false">$B$15/$B$14*AJ18</f>
        <v>0</v>
      </c>
      <c r="AK19" s="10" t="n">
        <f aca="false">$B$15/$B$14*AK18</f>
        <v>0</v>
      </c>
      <c r="AL19" s="10" t="n">
        <f aca="false">$B$15/$B$14*AL18</f>
        <v>0</v>
      </c>
      <c r="AM19" s="10" t="n">
        <f aca="false">$B$15/$B$14*AM18</f>
        <v>0</v>
      </c>
      <c r="AN19" s="10" t="n">
        <f aca="false">$B$15/$B$14*AN18</f>
        <v>62.3850841813501</v>
      </c>
      <c r="AO19" s="10" t="n">
        <f aca="false">$B$15/$B$14*AO18</f>
        <v>51.8903971228052</v>
      </c>
      <c r="AP19" s="10" t="n">
        <f aca="false">$B$15/$B$14*AP18</f>
        <v>9.91164888862572</v>
      </c>
      <c r="AQ19" s="10" t="n">
        <f aca="false">$B$15/$B$14*AQ18</f>
        <v>28.5688703260388</v>
      </c>
      <c r="AR19" s="10" t="n">
        <f aca="false">$B$15/$B$14*AR18</f>
        <v>17.4911450975748</v>
      </c>
      <c r="AS19" s="10" t="n">
        <f aca="false">$B$15/$B$14*AS18</f>
        <v>0.58303816991916</v>
      </c>
      <c r="AT19" s="9" t="n">
        <f aca="false">base_fleet!AQ19+base_fleet!AN19+base_fleet!AJ19</f>
        <v>0</v>
      </c>
      <c r="AU19" s="10" t="n">
        <f aca="false">$B$15/$B$14*AU18</f>
        <v>799.569670817409</v>
      </c>
      <c r="AV19" s="10" t="n">
        <f aca="false">$B$15/$B$14*AV18</f>
        <v>73.1400320552336</v>
      </c>
      <c r="AW19" s="10" t="n">
        <f aca="false">$B$15/$B$14*AW18</f>
        <v>24.8534089508075</v>
      </c>
      <c r="AX19" s="10" t="n">
        <f aca="false">$B$15/$B$14*AX18</f>
        <v>9.23126618172852</v>
      </c>
      <c r="AY19" s="10" t="n">
        <f aca="false">$B$15/$B$14*AY18</f>
        <v>0</v>
      </c>
      <c r="AZ19" s="10" t="n">
        <f aca="false">$B$15/$B$14*AZ18</f>
        <v>0.710097398594501</v>
      </c>
      <c r="BA19" s="10" t="n">
        <f aca="false">$B$15/$B$14*BA18</f>
        <v>165.92755641233</v>
      </c>
      <c r="BB19" s="10" t="n">
        <f aca="false">$B$15/$B$14*BB18</f>
        <v>15.1794925424529</v>
      </c>
      <c r="BC19" s="10" t="n">
        <f aca="false">$B$15/$B$14*BC18</f>
        <v>0.418744621860771</v>
      </c>
      <c r="BD19" s="10" t="n">
        <f aca="false">$B$15/$B$14*BD18</f>
        <v>0.104686155465193</v>
      </c>
      <c r="BE19" s="9" t="n">
        <v>0</v>
      </c>
      <c r="BF19" s="9" t="n">
        <v>0</v>
      </c>
      <c r="BG19" s="9" t="n">
        <f aca="false">base_fleet!CE19</f>
        <v>0</v>
      </c>
      <c r="BH19" s="9" t="n">
        <f aca="false">base_fleet!CA19</f>
        <v>0</v>
      </c>
      <c r="BI19" s="9" t="n">
        <f aca="false">base_fleet!BV19</f>
        <v>0</v>
      </c>
      <c r="BJ19" s="9" t="n">
        <f aca="false">base_fleet!CH19</f>
        <v>0</v>
      </c>
      <c r="BK19" s="9" t="n">
        <f aca="false">base_fleet!BU19+base_fleet!BZ19+base_fleet!CD19</f>
        <v>0</v>
      </c>
    </row>
    <row r="20" customFormat="false" ht="12.75" hidden="false" customHeight="false" outlineLevel="0" collapsed="false">
      <c r="A20" s="1" t="n">
        <f aca="false">A19-1</f>
        <v>2001</v>
      </c>
      <c r="B20" s="11" t="n">
        <f aca="false">$B$15/$B$14*B19</f>
        <v>5514.40136000628</v>
      </c>
      <c r="C20" s="11" t="n">
        <f aca="false">$B$15/$B$14*C19</f>
        <v>9875.23815491426</v>
      </c>
      <c r="D20" s="11" t="n">
        <f aca="false">$B$15/$B$14*D19</f>
        <v>5.8303816991916</v>
      </c>
      <c r="E20" s="11" t="n">
        <f aca="false">$B$15/$B$14*E19</f>
        <v>4111.37427896967</v>
      </c>
      <c r="F20" s="11" t="n">
        <f aca="false">$B$15/$B$14*F19</f>
        <v>42.4916884478354</v>
      </c>
      <c r="G20" s="11" t="n">
        <f aca="false">$B$15/$B$14*G19</f>
        <v>66.6269674862059</v>
      </c>
      <c r="H20" s="11" t="n">
        <f aca="false">$B$15/$B$14*H19</f>
        <v>0.679867015165366</v>
      </c>
      <c r="I20" s="11" t="n">
        <f aca="false">$B$15/$B$14*I19</f>
        <v>526.04117501196</v>
      </c>
      <c r="J20" s="15" t="n">
        <f aca="false">base_fleet!C20+base_fleet!G20+base_fleet!L20+base_fleet!Q20</f>
        <v>0</v>
      </c>
      <c r="K20" s="15" t="n">
        <f aca="false">base_fleet!E20+base_fleet!J20+base_fleet!O20+base_fleet!T20</f>
        <v>0</v>
      </c>
      <c r="L20" s="11" t="n">
        <f aca="false">$B$15/$B$14*L19</f>
        <v>629.033218027033</v>
      </c>
      <c r="M20" s="15" t="n">
        <f aca="false">base_fleet!I20+base_fleet!N20</f>
        <v>536025</v>
      </c>
      <c r="N20" s="11" t="n">
        <f aca="false">$B$15/$B$14*N19</f>
        <v>6357.44820479852</v>
      </c>
      <c r="O20" s="11" t="n">
        <f aca="false">$B$15/$B$14*O19</f>
        <v>99.6995270561763</v>
      </c>
      <c r="P20" s="11" t="n">
        <f aca="false">$B$15/$B$14*P19</f>
        <v>444.858123648319</v>
      </c>
      <c r="Q20" s="11" t="n">
        <f aca="false">$B$15/$B$14*Q19</f>
        <v>1215.05154611153</v>
      </c>
      <c r="R20" s="11" t="n">
        <f aca="false">$B$15/$B$14*R19</f>
        <v>172.579298296071</v>
      </c>
      <c r="S20" s="11" t="n">
        <f aca="false">$B$15/$B$14*S19</f>
        <v>65.3002750309459</v>
      </c>
      <c r="T20" s="15" t="n">
        <f aca="false">base_fleet!Z20+base_fleet!AE20</f>
        <v>0</v>
      </c>
      <c r="U20" s="16" t="n">
        <f aca="false">base_fleet!X20+base_fleet!AC20+base_fleet!AH20</f>
        <v>0</v>
      </c>
      <c r="V20" s="11" t="n">
        <f aca="false">$B$15/$B$14*V19</f>
        <v>1565.94664598468</v>
      </c>
      <c r="W20" s="11" t="n">
        <f aca="false">$B$15/$B$14*W19</f>
        <v>327.801584058379</v>
      </c>
      <c r="X20" s="11" t="n">
        <f aca="false">$B$15/$B$14*X19</f>
        <v>73.5483494692647</v>
      </c>
      <c r="Y20" s="11" t="n">
        <f aca="false">$B$15/$B$14*Y19</f>
        <v>55.5265684734846</v>
      </c>
      <c r="Z20" s="11" t="n">
        <f aca="false">$B$15/$B$14*Z19</f>
        <v>111.053136946969</v>
      </c>
      <c r="AA20" s="11" t="n">
        <f aca="false">$B$15/$B$14*AA19</f>
        <v>21.918382292165</v>
      </c>
      <c r="AB20" s="11" t="n">
        <f aca="false">$B$15/$B$14*AB19</f>
        <v>0.730612743072166</v>
      </c>
      <c r="AC20" s="11" t="n">
        <f aca="false">$B$15/$B$14*AC19</f>
        <v>0.730612743072166</v>
      </c>
      <c r="AD20" s="11" t="n">
        <f aca="false">$B$15/$B$14*AD19</f>
        <v>6.33197710662544</v>
      </c>
      <c r="AE20" s="11" t="n">
        <f aca="false">$B$15/$B$14*AE19</f>
        <v>31.6598855331272</v>
      </c>
      <c r="AF20" s="11" t="n">
        <f aca="false">$B$15/$B$14*AF19</f>
        <v>3.89660129638489</v>
      </c>
      <c r="AG20" s="11" t="n">
        <f aca="false">$B$15/$B$14*AG19</f>
        <v>0</v>
      </c>
      <c r="AH20" s="11" t="n">
        <f aca="false">$B$15/$B$14*AH19</f>
        <v>0.974150324096222</v>
      </c>
      <c r="AI20" s="11" t="n">
        <f aca="false">$B$15/$B$14*AI19</f>
        <v>0.974150324096222</v>
      </c>
      <c r="AJ20" s="11" t="n">
        <f aca="false">$B$15/$B$14*AJ19</f>
        <v>0</v>
      </c>
      <c r="AK20" s="11" t="n">
        <f aca="false">$B$15/$B$14*AK19</f>
        <v>0</v>
      </c>
      <c r="AL20" s="11" t="n">
        <f aca="false">$B$15/$B$14*AL19</f>
        <v>0</v>
      </c>
      <c r="AM20" s="11" t="n">
        <f aca="false">$B$15/$B$14*AM19</f>
        <v>0</v>
      </c>
      <c r="AN20" s="11" t="n">
        <f aca="false">$B$15/$B$14*AN19</f>
        <v>52.1170423391479</v>
      </c>
      <c r="AO20" s="11" t="n">
        <f aca="false">$B$15/$B$14*AO19</f>
        <v>43.3496894222819</v>
      </c>
      <c r="AP20" s="11" t="n">
        <f aca="false">$B$15/$B$14*AP19</f>
        <v>8.28027775481788</v>
      </c>
      <c r="AQ20" s="11" t="n">
        <f aca="false">$B$15/$B$14*AQ19</f>
        <v>23.8666829403574</v>
      </c>
      <c r="AR20" s="11" t="n">
        <f aca="false">$B$15/$B$14*AR19</f>
        <v>14.6122548614433</v>
      </c>
      <c r="AS20" s="11" t="n">
        <f aca="false">$B$15/$B$14*AS19</f>
        <v>0.487075162048111</v>
      </c>
      <c r="AT20" s="15" t="n">
        <f aca="false">base_fleet!AQ20+base_fleet!AN20+base_fleet!AJ20</f>
        <v>0</v>
      </c>
      <c r="AU20" s="11" t="n">
        <f aca="false">$B$15/$B$14*AU19</f>
        <v>667.96746263824</v>
      </c>
      <c r="AV20" s="11" t="n">
        <f aca="false">$B$15/$B$14*AV19</f>
        <v>61.1018194065175</v>
      </c>
      <c r="AW20" s="11" t="n">
        <f aca="false">$B$15/$B$14*AW19</f>
        <v>20.7627541672632</v>
      </c>
      <c r="AX20" s="11" t="n">
        <f aca="false">$B$15/$B$14*AX19</f>
        <v>7.7118801192692</v>
      </c>
      <c r="AY20" s="11" t="n">
        <f aca="false">$B$15/$B$14*AY19</f>
        <v>0</v>
      </c>
      <c r="AZ20" s="11" t="n">
        <f aca="false">$B$15/$B$14*AZ19</f>
        <v>0.593221547636092</v>
      </c>
      <c r="BA20" s="11" t="n">
        <f aca="false">$B$15/$B$14*BA19</f>
        <v>138.61732489828</v>
      </c>
      <c r="BB20" s="11" t="n">
        <f aca="false">$B$15/$B$14*BB19</f>
        <v>12.6810801957417</v>
      </c>
      <c r="BC20" s="11" t="n">
        <f aca="false">$B$15/$B$14*BC19</f>
        <v>0.349822901951496</v>
      </c>
      <c r="BD20" s="11" t="n">
        <f aca="false">$B$15/$B$14*BD19</f>
        <v>0.0874557254878739</v>
      </c>
      <c r="BE20" s="15" t="n">
        <v>0</v>
      </c>
      <c r="BF20" s="15" t="n">
        <v>0</v>
      </c>
      <c r="BG20" s="15" t="n">
        <f aca="false">base_fleet!CE20</f>
        <v>0</v>
      </c>
      <c r="BH20" s="15" t="n">
        <f aca="false">base_fleet!CA20</f>
        <v>0</v>
      </c>
      <c r="BI20" s="15" t="n">
        <f aca="false">base_fleet!BV20</f>
        <v>0</v>
      </c>
      <c r="BJ20" s="15" t="n">
        <f aca="false">base_fleet!CH20</f>
        <v>0</v>
      </c>
      <c r="BK20" s="15" t="n">
        <f aca="false">base_fleet!BU20+base_fleet!BZ20+base_fleet!CD20</f>
        <v>0</v>
      </c>
    </row>
    <row r="21" customFormat="false" ht="12.75" hidden="false" customHeight="false" outlineLevel="0" collapsed="false">
      <c r="A21" s="1" t="n">
        <f aca="false">A20-1</f>
        <v>2000</v>
      </c>
      <c r="B21" s="11" t="n">
        <f aca="false">$B$15/$B$14*B20</f>
        <v>4606.77889476052</v>
      </c>
      <c r="C21" s="11" t="n">
        <f aca="false">$B$15/$B$14*C20</f>
        <v>8249.85991094798</v>
      </c>
      <c r="D21" s="11" t="n">
        <f aca="false">$B$15/$B$14*D20</f>
        <v>4.87075162048111</v>
      </c>
      <c r="E21" s="11" t="n">
        <f aca="false">$B$15/$B$14*E20</f>
        <v>3434.67785899377</v>
      </c>
      <c r="F21" s="11" t="n">
        <f aca="false">$B$15/$B$14*F20</f>
        <v>35.4979263867011</v>
      </c>
      <c r="G21" s="11" t="n">
        <f aca="false">$B$15/$B$14*G20</f>
        <v>55.6607485743473</v>
      </c>
      <c r="H21" s="11" t="n">
        <f aca="false">$B$15/$B$14*H20</f>
        <v>0.567966822187217</v>
      </c>
      <c r="I21" s="11" t="n">
        <f aca="false">$B$15/$B$14*I20</f>
        <v>439.45937638775</v>
      </c>
      <c r="J21" s="15" t="n">
        <f aca="false">base_fleet!C21+base_fleet!G21+base_fleet!L21+base_fleet!Q21</f>
        <v>0</v>
      </c>
      <c r="K21" s="15" t="n">
        <f aca="false">base_fleet!E21+base_fleet!J21+base_fleet!O21+base_fleet!T21</f>
        <v>0</v>
      </c>
      <c r="L21" s="11" t="n">
        <f aca="false">$B$15/$B$14*L20</f>
        <v>525.499825588851</v>
      </c>
      <c r="M21" s="15" t="n">
        <f aca="false">base_fleet!I21+base_fleet!N21</f>
        <v>0</v>
      </c>
      <c r="N21" s="11" t="n">
        <f aca="false">$B$15/$B$14*N20</f>
        <v>5311.0675669726</v>
      </c>
      <c r="O21" s="11" t="n">
        <f aca="false">$B$15/$B$14*O20</f>
        <v>83.2898527102269</v>
      </c>
      <c r="P21" s="11" t="n">
        <f aca="false">$B$15/$B$14*P20</f>
        <v>371.638348642708</v>
      </c>
      <c r="Q21" s="11" t="n">
        <f aca="false">$B$15/$B$14*Q20</f>
        <v>1015.06463770826</v>
      </c>
      <c r="R21" s="11" t="n">
        <f aca="false">$B$15/$B$14*R20</f>
        <v>144.174247966241</v>
      </c>
      <c r="S21" s="11" t="n">
        <f aca="false">$B$15/$B$14*S20</f>
        <v>54.5524181493884</v>
      </c>
      <c r="T21" s="15" t="n">
        <f aca="false">base_fleet!Z21+base_fleet!AE21</f>
        <v>0</v>
      </c>
      <c r="U21" s="16" t="n">
        <f aca="false">base_fleet!X21+base_fleet!AC21+base_fleet!AH21</f>
        <v>0</v>
      </c>
      <c r="V21" s="11" t="n">
        <f aca="false">$B$15/$B$14*V20</f>
        <v>1308.20545841353</v>
      </c>
      <c r="W21" s="11" t="n">
        <f aca="false">$B$15/$B$14*W20</f>
        <v>273.848296582366</v>
      </c>
      <c r="X21" s="11" t="n">
        <f aca="false">$B$15/$B$14*X20</f>
        <v>61.4429313282872</v>
      </c>
      <c r="Y21" s="11" t="n">
        <f aca="false">$B$15/$B$14*Y20</f>
        <v>46.3873786187069</v>
      </c>
      <c r="Z21" s="11" t="n">
        <f aca="false">$B$15/$B$14*Z20</f>
        <v>92.7747572374139</v>
      </c>
      <c r="AA21" s="11" t="n">
        <f aca="false">$B$15/$B$14*AA20</f>
        <v>18.3108073494896</v>
      </c>
      <c r="AB21" s="11" t="n">
        <f aca="false">$B$15/$B$14*AB20</f>
        <v>0.610360244982986</v>
      </c>
      <c r="AC21" s="11" t="n">
        <f aca="false">$B$15/$B$14*AC20</f>
        <v>0.610360244982986</v>
      </c>
      <c r="AD21" s="11" t="n">
        <f aca="false">$B$15/$B$14*AD20</f>
        <v>5.28978878985254</v>
      </c>
      <c r="AE21" s="11" t="n">
        <f aca="false">$B$15/$B$14*AE20</f>
        <v>26.4489439492627</v>
      </c>
      <c r="AF21" s="11" t="n">
        <f aca="false">$B$15/$B$14*AF20</f>
        <v>3.25525463990926</v>
      </c>
      <c r="AG21" s="11" t="n">
        <f aca="false">$B$15/$B$14*AG20</f>
        <v>0</v>
      </c>
      <c r="AH21" s="11" t="n">
        <f aca="false">$B$15/$B$14*AH20</f>
        <v>0.813813659977314</v>
      </c>
      <c r="AI21" s="11" t="n">
        <f aca="false">$B$15/$B$14*AI20</f>
        <v>0.813813659977314</v>
      </c>
      <c r="AJ21" s="11" t="n">
        <f aca="false">$B$15/$B$14*AJ20</f>
        <v>0</v>
      </c>
      <c r="AK21" s="11" t="n">
        <f aca="false">$B$15/$B$14*AK20</f>
        <v>0</v>
      </c>
      <c r="AL21" s="11" t="n">
        <f aca="false">$B$15/$B$14*AL20</f>
        <v>0</v>
      </c>
      <c r="AM21" s="11" t="n">
        <f aca="false">$B$15/$B$14*AM20</f>
        <v>0</v>
      </c>
      <c r="AN21" s="11" t="n">
        <f aca="false">$B$15/$B$14*AN20</f>
        <v>43.5390308087863</v>
      </c>
      <c r="AO21" s="11" t="n">
        <f aca="false">$B$15/$B$14*AO20</f>
        <v>36.2147078689905</v>
      </c>
      <c r="AP21" s="11" t="n">
        <f aca="false">$B$15/$B$14*AP20</f>
        <v>6.91741610980717</v>
      </c>
      <c r="AQ21" s="11" t="n">
        <f aca="false">$B$15/$B$14*AQ20</f>
        <v>19.9384346694442</v>
      </c>
      <c r="AR21" s="11" t="n">
        <f aca="false">$B$15/$B$14*AR20</f>
        <v>12.2072048996597</v>
      </c>
      <c r="AS21" s="11" t="n">
        <f aca="false">$B$15/$B$14*AS20</f>
        <v>0.406906829988657</v>
      </c>
      <c r="AT21" s="15" t="n">
        <f aca="false">base_fleet!AQ21+base_fleet!AN21+base_fleet!AJ21</f>
        <v>0</v>
      </c>
      <c r="AU21" s="11" t="n">
        <f aca="false">$B$15/$B$14*AU20</f>
        <v>558.025832429628</v>
      </c>
      <c r="AV21" s="11" t="n">
        <f aca="false">$B$15/$B$14*AV20</f>
        <v>51.0449917764224</v>
      </c>
      <c r="AW21" s="11" t="n">
        <f aca="false">$B$15/$B$14*AW20</f>
        <v>17.345385555095</v>
      </c>
      <c r="AX21" s="11" t="n">
        <f aca="false">$B$15/$B$14*AX20</f>
        <v>6.44257177760672</v>
      </c>
      <c r="AY21" s="11" t="n">
        <f aca="false">$B$15/$B$14*AY20</f>
        <v>0</v>
      </c>
      <c r="AZ21" s="11" t="n">
        <f aca="false">$B$15/$B$14*AZ20</f>
        <v>0.495582444431286</v>
      </c>
      <c r="BA21" s="11" t="n">
        <f aca="false">$B$15/$B$14*BA20</f>
        <v>115.802119776938</v>
      </c>
      <c r="BB21" s="11" t="n">
        <f aca="false">$B$15/$B$14*BB20</f>
        <v>10.5938847745464</v>
      </c>
      <c r="BC21" s="11" t="n">
        <f aca="false">$B$15/$B$14*BC20</f>
        <v>0.292245097228866</v>
      </c>
      <c r="BD21" s="11" t="n">
        <f aca="false">$B$15/$B$14*BD20</f>
        <v>0.0730612743072166</v>
      </c>
      <c r="BE21" s="15" t="n">
        <v>0</v>
      </c>
      <c r="BF21" s="15" t="n">
        <v>0</v>
      </c>
      <c r="BG21" s="15" t="n">
        <f aca="false">base_fleet!CE21</f>
        <v>0</v>
      </c>
      <c r="BH21" s="15" t="n">
        <f aca="false">base_fleet!CA21</f>
        <v>0</v>
      </c>
      <c r="BI21" s="15" t="n">
        <f aca="false">base_fleet!BV21</f>
        <v>0</v>
      </c>
      <c r="BJ21" s="15" t="n">
        <f aca="false">base_fleet!CH21</f>
        <v>0</v>
      </c>
      <c r="BK21" s="15" t="n">
        <f aca="false">base_fleet!BU21+base_fleet!BZ21+base_fleet!CD21</f>
        <v>0</v>
      </c>
    </row>
    <row r="22" customFormat="false" ht="12.75" hidden="false" customHeight="false" outlineLevel="0" collapsed="false">
      <c r="A22" s="1" t="n">
        <f aca="false">A21-1</f>
        <v>1999</v>
      </c>
      <c r="B22" s="12" t="n">
        <f aca="false">$B$15/$B$14*B21</f>
        <v>3848.54318714058</v>
      </c>
      <c r="C22" s="12" t="n">
        <f aca="false">$B$15/$B$14*C21</f>
        <v>6892.00477827438</v>
      </c>
      <c r="D22" s="12" t="n">
        <f aca="false">$B$15/$B$14*D21</f>
        <v>4.06906829988657</v>
      </c>
      <c r="E22" s="12" t="n">
        <f aca="false">$B$15/$B$14*E21</f>
        <v>2869.35977962542</v>
      </c>
      <c r="F22" s="12" t="n">
        <f aca="false">$B$15/$B$14*F21</f>
        <v>29.6552766855242</v>
      </c>
      <c r="G22" s="12" t="n">
        <f aca="false">$B$15/$B$14*G21</f>
        <v>46.4994738429019</v>
      </c>
      <c r="H22" s="12" t="n">
        <f aca="false">$B$15/$B$14*H21</f>
        <v>0.474484426968387</v>
      </c>
      <c r="I22" s="12" t="n">
        <f aca="false">$B$15/$B$14*I21</f>
        <v>367.128188189298</v>
      </c>
      <c r="J22" s="17" t="n">
        <f aca="false">base_fleet!C22+base_fleet!G22+base_fleet!L22+base_fleet!Q22</f>
        <v>0</v>
      </c>
      <c r="K22" s="17" t="n">
        <f aca="false">base_fleet!E22+base_fleet!J22+base_fleet!O22+base_fleet!T22</f>
        <v>0</v>
      </c>
      <c r="L22" s="12" t="n">
        <f aca="false">$B$15/$B$14*L21</f>
        <v>439.007128367656</v>
      </c>
      <c r="M22" s="17" t="n">
        <f aca="false">base_fleet!I22+base_fleet!N22</f>
        <v>0</v>
      </c>
      <c r="N22" s="12" t="n">
        <f aca="false">$B$15/$B$14*N21</f>
        <v>4436.91207419632</v>
      </c>
      <c r="O22" s="12" t="n">
        <f aca="false">$B$15/$B$14*O21</f>
        <v>69.5810679280604</v>
      </c>
      <c r="P22" s="12" t="n">
        <f aca="false">$B$15/$B$14*P21</f>
        <v>310.469911281345</v>
      </c>
      <c r="Q22" s="12" t="n">
        <f aca="false">$B$15/$B$14*Q21</f>
        <v>847.993833696362</v>
      </c>
      <c r="R22" s="12" t="n">
        <f aca="false">$B$15/$B$14*R21</f>
        <v>120.444421676643</v>
      </c>
      <c r="S22" s="12" t="n">
        <f aca="false">$B$15/$B$14*S21</f>
        <v>45.5735649587296</v>
      </c>
      <c r="T22" s="17" t="n">
        <f aca="false">base_fleet!Z22+base_fleet!AE22</f>
        <v>0</v>
      </c>
      <c r="U22" s="18" t="n">
        <f aca="false">base_fleet!X22+base_fleet!AC22+base_fleet!AH22</f>
        <v>0</v>
      </c>
      <c r="V22" s="12" t="n">
        <f aca="false">$B$15/$B$14*V21</f>
        <v>1092.88622687833</v>
      </c>
      <c r="W22" s="12" t="n">
        <f aca="false">$B$15/$B$14*W21</f>
        <v>228.775250603146</v>
      </c>
      <c r="X22" s="12" t="n">
        <f aca="false">$B$15/$B$14*X21</f>
        <v>51.3299596449851</v>
      </c>
      <c r="Y22" s="12" t="n">
        <f aca="false">$B$15/$B$14*Y21</f>
        <v>38.7524198644259</v>
      </c>
      <c r="Z22" s="12" t="n">
        <f aca="false">$B$15/$B$14*Z21</f>
        <v>77.5048397288517</v>
      </c>
      <c r="AA22" s="12" t="n">
        <f aca="false">$B$15/$B$14*AA21</f>
        <v>15.2970078412207</v>
      </c>
      <c r="AB22" s="12" t="n">
        <f aca="false">$B$15/$B$14*AB21</f>
        <v>0.509900261374024</v>
      </c>
      <c r="AC22" s="12" t="n">
        <f aca="false">$B$15/$B$14*AC21</f>
        <v>0.509900261374024</v>
      </c>
      <c r="AD22" s="12" t="n">
        <f aca="false">$B$15/$B$14*AD21</f>
        <v>4.41913559857488</v>
      </c>
      <c r="AE22" s="12" t="n">
        <f aca="false">$B$15/$B$14*AE21</f>
        <v>22.0956779928744</v>
      </c>
      <c r="AF22" s="12" t="n">
        <f aca="false">$B$15/$B$14*AF21</f>
        <v>2.71946806066146</v>
      </c>
      <c r="AG22" s="12" t="n">
        <f aca="false">$B$15/$B$14*AG21</f>
        <v>0</v>
      </c>
      <c r="AH22" s="12" t="n">
        <f aca="false">$B$15/$B$14*AH21</f>
        <v>0.679867015165366</v>
      </c>
      <c r="AI22" s="12" t="n">
        <f aca="false">$B$15/$B$14*AI21</f>
        <v>0.679867015165366</v>
      </c>
      <c r="AJ22" s="12" t="n">
        <f aca="false">$B$15/$B$14*AJ21</f>
        <v>0</v>
      </c>
      <c r="AK22" s="12" t="n">
        <f aca="false">$B$15/$B$14*AK21</f>
        <v>0</v>
      </c>
      <c r="AL22" s="12" t="n">
        <f aca="false">$B$15/$B$14*AL21</f>
        <v>0</v>
      </c>
      <c r="AM22" s="12" t="n">
        <f aca="false">$B$15/$B$14*AM21</f>
        <v>0</v>
      </c>
      <c r="AN22" s="12" t="n">
        <f aca="false">$B$15/$B$14*AN21</f>
        <v>36.3728853113471</v>
      </c>
      <c r="AO22" s="12" t="n">
        <f aca="false">$B$15/$B$14*AO21</f>
        <v>30.2540821748588</v>
      </c>
      <c r="AP22" s="12" t="n">
        <f aca="false">$B$15/$B$14*AP21</f>
        <v>5.77886962890561</v>
      </c>
      <c r="AQ22" s="12" t="n">
        <f aca="false">$B$15/$B$14*AQ21</f>
        <v>16.6567418715515</v>
      </c>
      <c r="AR22" s="12" t="n">
        <f aca="false">$B$15/$B$14*AR21</f>
        <v>10.1980052274805</v>
      </c>
      <c r="AS22" s="12" t="n">
        <f aca="false">$B$15/$B$14*AS21</f>
        <v>0.339933507582683</v>
      </c>
      <c r="AT22" s="17" t="n">
        <f aca="false">base_fleet!AQ22+base_fleet!AN22+base_fleet!AJ22</f>
        <v>0</v>
      </c>
      <c r="AU22" s="12" t="n">
        <f aca="false">$B$15/$B$14*AU21</f>
        <v>466.179637596247</v>
      </c>
      <c r="AV22" s="12" t="n">
        <f aca="false">$B$15/$B$14*AV21</f>
        <v>42.6434304373121</v>
      </c>
      <c r="AW22" s="12" t="n">
        <f aca="false">$B$15/$B$14*AW21</f>
        <v>14.4904860709313</v>
      </c>
      <c r="AX22" s="12" t="n">
        <f aca="false">$B$15/$B$14*AX21</f>
        <v>5.38218054063162</v>
      </c>
      <c r="AY22" s="12" t="n">
        <f aca="false">$B$15/$B$14*AY21</f>
        <v>0</v>
      </c>
      <c r="AZ22" s="12" t="n">
        <f aca="false">$B$15/$B$14*AZ21</f>
        <v>0.414013887740894</v>
      </c>
      <c r="BA22" s="12" t="n">
        <f aca="false">$B$15/$B$14*BA21</f>
        <v>96.7420988298032</v>
      </c>
      <c r="BB22" s="12" t="n">
        <f aca="false">$B$15/$B$14*BB21</f>
        <v>8.85022355225329</v>
      </c>
      <c r="BC22" s="12" t="n">
        <f aca="false">$B$15/$B$14*BC21</f>
        <v>0.244144097993194</v>
      </c>
      <c r="BD22" s="12" t="n">
        <f aca="false">$B$15/$B$14*BD21</f>
        <v>0.0610360244982986</v>
      </c>
      <c r="BE22" s="17" t="n">
        <v>0</v>
      </c>
      <c r="BF22" s="17" t="n">
        <v>0</v>
      </c>
      <c r="BG22" s="17" t="n">
        <f aca="false">base_fleet!CE22</f>
        <v>0</v>
      </c>
      <c r="BH22" s="17" t="n">
        <f aca="false">base_fleet!CA22</f>
        <v>0</v>
      </c>
      <c r="BI22" s="17" t="n">
        <f aca="false">base_fleet!BV22</f>
        <v>0</v>
      </c>
      <c r="BJ22" s="17" t="n">
        <f aca="false">base_fleet!CH22</f>
        <v>0</v>
      </c>
      <c r="BK22" s="17" t="n">
        <f aca="false">base_fleet!BU22+base_fleet!BZ22+base_fleet!CD22</f>
        <v>0</v>
      </c>
    </row>
    <row r="23" customFormat="false" ht="12.75" hidden="false" customHeight="false" outlineLevel="0" collapsed="false">
      <c r="A23" s="1" t="n">
        <f aca="false">A22-1</f>
        <v>1998</v>
      </c>
      <c r="B23" s="12" t="n">
        <f aca="false">$B$15/$B$14*B22</f>
        <v>3215.10647713779</v>
      </c>
      <c r="C23" s="12" t="n">
        <f aca="false">$B$15/$B$14*C22</f>
        <v>5757.64078135707</v>
      </c>
      <c r="D23" s="12" t="n">
        <f aca="false">$B$15/$B$14*D22</f>
        <v>3.39933507582683</v>
      </c>
      <c r="E23" s="12" t="n">
        <f aca="false">$B$15/$B$14*E22</f>
        <v>2397.08813546318</v>
      </c>
      <c r="F23" s="12" t="n">
        <f aca="false">$B$15/$B$14*F22</f>
        <v>24.774276269401</v>
      </c>
      <c r="G23" s="12" t="n">
        <f aca="false">$B$15/$B$14*G22</f>
        <v>38.8460651904208</v>
      </c>
      <c r="H23" s="12" t="n">
        <f aca="false">$B$15/$B$14*H22</f>
        <v>0.396388420310417</v>
      </c>
      <c r="I23" s="12" t="n">
        <f aca="false">$B$15/$B$14*I22</f>
        <v>306.702083981097</v>
      </c>
      <c r="J23" s="17" t="n">
        <f aca="false">base_fleet!C23+base_fleet!G23+base_fleet!L23+base_fleet!Q23</f>
        <v>0</v>
      </c>
      <c r="K23" s="17" t="n">
        <f aca="false">base_fleet!E23+base_fleet!J23+base_fleet!O23+base_fleet!T23</f>
        <v>0</v>
      </c>
      <c r="L23" s="12" t="n">
        <f aca="false">$B$15/$B$14*L22</f>
        <v>366.750376256841</v>
      </c>
      <c r="M23" s="17" t="n">
        <f aca="false">base_fleet!I23+base_fleet!N23</f>
        <v>0</v>
      </c>
      <c r="N23" s="12" t="n">
        <f aca="false">$B$15/$B$14*N22</f>
        <v>3706.63496668157</v>
      </c>
      <c r="O23" s="12" t="n">
        <f aca="false">$B$15/$B$14*O22</f>
        <v>58.1286297966388</v>
      </c>
      <c r="P23" s="12" t="n">
        <f aca="false">$B$15/$B$14*P22</f>
        <v>259.369266285587</v>
      </c>
      <c r="Q23" s="12" t="n">
        <f aca="false">$B$15/$B$14*Q22</f>
        <v>708.421429802311</v>
      </c>
      <c r="R23" s="12" t="n">
        <f aca="false">$B$15/$B$14*R22</f>
        <v>100.620318244474</v>
      </c>
      <c r="S23" s="12" t="n">
        <f aca="false">$B$15/$B$14*S22</f>
        <v>38.0725528492605</v>
      </c>
      <c r="T23" s="17" t="n">
        <f aca="false">base_fleet!Z23+base_fleet!AE23</f>
        <v>0</v>
      </c>
      <c r="U23" s="18" t="n">
        <f aca="false">base_fleet!X23+base_fleet!AC23+base_fleet!AH23</f>
        <v>0</v>
      </c>
      <c r="V23" s="12" t="n">
        <f aca="false">$B$15/$B$14*V22</f>
        <v>913.006666665952</v>
      </c>
      <c r="W23" s="12" t="n">
        <f aca="false">$B$15/$B$14*W22</f>
        <v>191.120835665999</v>
      </c>
      <c r="X23" s="12" t="n">
        <f aca="false">$B$15/$B$14*X22</f>
        <v>42.8814950751349</v>
      </c>
      <c r="Y23" s="12" t="n">
        <f aca="false">$B$15/$B$14*Y22</f>
        <v>32.3741088646714</v>
      </c>
      <c r="Z23" s="12" t="n">
        <f aca="false">$B$15/$B$14*Z22</f>
        <v>64.7482177293428</v>
      </c>
      <c r="AA23" s="12" t="n">
        <f aca="false">$B$15/$B$14*AA22</f>
        <v>12.7792534992124</v>
      </c>
      <c r="AB23" s="12" t="n">
        <f aca="false">$B$15/$B$14*AB22</f>
        <v>0.425975116640413</v>
      </c>
      <c r="AC23" s="12" t="n">
        <f aca="false">$B$15/$B$14*AC22</f>
        <v>0.425975116640413</v>
      </c>
      <c r="AD23" s="12" t="n">
        <f aca="false">$B$15/$B$14*AD22</f>
        <v>3.69178434421691</v>
      </c>
      <c r="AE23" s="12" t="n">
        <f aca="false">$B$15/$B$14*AE22</f>
        <v>18.4589217210846</v>
      </c>
      <c r="AF23" s="12" t="n">
        <f aca="false">$B$15/$B$14*AF22</f>
        <v>2.27186728874887</v>
      </c>
      <c r="AG23" s="12" t="n">
        <f aca="false">$B$15/$B$14*AG22</f>
        <v>0</v>
      </c>
      <c r="AH23" s="12" t="n">
        <f aca="false">$B$15/$B$14*AH22</f>
        <v>0.567966822187217</v>
      </c>
      <c r="AI23" s="12" t="n">
        <f aca="false">$B$15/$B$14*AI22</f>
        <v>0.567966822187217</v>
      </c>
      <c r="AJ23" s="12" t="n">
        <f aca="false">$B$15/$B$14*AJ22</f>
        <v>0</v>
      </c>
      <c r="AK23" s="12" t="n">
        <f aca="false">$B$15/$B$14*AK22</f>
        <v>0</v>
      </c>
      <c r="AL23" s="12" t="n">
        <f aca="false">$B$15/$B$14*AL22</f>
        <v>0</v>
      </c>
      <c r="AM23" s="12" t="n">
        <f aca="false">$B$15/$B$14*AM22</f>
        <v>0</v>
      </c>
      <c r="AN23" s="12" t="n">
        <f aca="false">$B$15/$B$14*AN22</f>
        <v>30.3862249870161</v>
      </c>
      <c r="AO23" s="12" t="n">
        <f aca="false">$B$15/$B$14*AO22</f>
        <v>25.2745235873312</v>
      </c>
      <c r="AP23" s="12" t="n">
        <f aca="false">$B$15/$B$14*AP22</f>
        <v>4.82771798859135</v>
      </c>
      <c r="AQ23" s="12" t="n">
        <f aca="false">$B$15/$B$14*AQ22</f>
        <v>13.9151871435868</v>
      </c>
      <c r="AR23" s="12" t="n">
        <f aca="false">$B$15/$B$14*AR22</f>
        <v>8.51950233280826</v>
      </c>
      <c r="AS23" s="12" t="n">
        <f aca="false">$B$15/$B$14*AS22</f>
        <v>0.283983411093609</v>
      </c>
      <c r="AT23" s="17" t="n">
        <f aca="false">base_fleet!AQ23+base_fleet!AN23+base_fleet!AJ23</f>
        <v>0</v>
      </c>
      <c r="AU23" s="12" t="n">
        <f aca="false">$B$15/$B$14*AU22</f>
        <v>389.450526982144</v>
      </c>
      <c r="AV23" s="12" t="n">
        <f aca="false">$B$15/$B$14*AV22</f>
        <v>35.6246929655069</v>
      </c>
      <c r="AW23" s="12" t="n">
        <f aca="false">$B$15/$B$14*AW22</f>
        <v>12.1054781921626</v>
      </c>
      <c r="AX23" s="12" t="n">
        <f aca="false">$B$15/$B$14*AX22</f>
        <v>4.49632047137466</v>
      </c>
      <c r="AY23" s="12" t="n">
        <f aca="false">$B$15/$B$14*AY22</f>
        <v>0</v>
      </c>
      <c r="AZ23" s="12" t="n">
        <f aca="false">$B$15/$B$14*AZ22</f>
        <v>0.345870805490359</v>
      </c>
      <c r="BA23" s="12" t="n">
        <f aca="false">$B$15/$B$14*BA22</f>
        <v>80.8191914277829</v>
      </c>
      <c r="BB23" s="12" t="n">
        <f aca="false">$B$15/$B$14*BB22</f>
        <v>7.39355378992335</v>
      </c>
      <c r="BC23" s="12" t="n">
        <f aca="false">$B$15/$B$14*BC22</f>
        <v>0.20396010454961</v>
      </c>
      <c r="BD23" s="12" t="n">
        <f aca="false">$B$15/$B$14*BD22</f>
        <v>0.0509900261374024</v>
      </c>
      <c r="BE23" s="17" t="n">
        <v>0</v>
      </c>
      <c r="BF23" s="17" t="n">
        <v>0</v>
      </c>
      <c r="BG23" s="17" t="n">
        <f aca="false">base_fleet!CE23</f>
        <v>0</v>
      </c>
      <c r="BH23" s="17" t="n">
        <f aca="false">base_fleet!CA23</f>
        <v>0</v>
      </c>
      <c r="BI23" s="17" t="n">
        <f aca="false">base_fleet!BV23</f>
        <v>0</v>
      </c>
      <c r="BJ23" s="17" t="n">
        <f aca="false">base_fleet!CH23</f>
        <v>0</v>
      </c>
      <c r="BK23" s="17" t="n">
        <f aca="false">base_fleet!BU23+base_fleet!BZ23+base_fleet!CD23</f>
        <v>0</v>
      </c>
    </row>
    <row r="24" customFormat="false" ht="12.75" hidden="false" customHeight="false" outlineLevel="0" collapsed="false">
      <c r="A24" s="1" t="n">
        <f aca="false">A23-1</f>
        <v>1997</v>
      </c>
      <c r="B24" s="12" t="n">
        <f aca="false">$B$15/$B$14*B23</f>
        <v>2685.92793602338</v>
      </c>
      <c r="C24" s="12" t="n">
        <f aca="false">$B$15/$B$14*C23</f>
        <v>4809.98322456855</v>
      </c>
      <c r="D24" s="12" t="n">
        <f aca="false">$B$15/$B$14*D23</f>
        <v>2.83983411093609</v>
      </c>
      <c r="E24" s="12" t="n">
        <f aca="false">$B$15/$B$14*E23</f>
        <v>2002.54829316959</v>
      </c>
      <c r="F24" s="12" t="n">
        <f aca="false">$B$15/$B$14*F23</f>
        <v>20.6966460364272</v>
      </c>
      <c r="G24" s="12" t="n">
        <f aca="false">$B$15/$B$14*G23</f>
        <v>32.4523409851179</v>
      </c>
      <c r="H24" s="12" t="n">
        <f aca="false">$B$15/$B$14*H23</f>
        <v>0.331146336582836</v>
      </c>
      <c r="I24" s="12" t="n">
        <f aca="false">$B$15/$B$14*I23</f>
        <v>256.221590562929</v>
      </c>
      <c r="J24" s="17" t="n">
        <f aca="false">base_fleet!C24+base_fleet!G24+base_fleet!L24+base_fleet!Q24</f>
        <v>0</v>
      </c>
      <c r="K24" s="17" t="n">
        <f aca="false">base_fleet!E24+base_fleet!J24+base_fleet!O24+base_fleet!T24</f>
        <v>0</v>
      </c>
      <c r="L24" s="12" t="n">
        <f aca="false">$B$15/$B$14*L23</f>
        <v>306.386456604161</v>
      </c>
      <c r="M24" s="17" t="n">
        <f aca="false">base_fleet!I24+base_fleet!N24</f>
        <v>0</v>
      </c>
      <c r="N24" s="12" t="n">
        <f aca="false">$B$15/$B$14*N23</f>
        <v>3096.55511456471</v>
      </c>
      <c r="O24" s="12" t="n">
        <f aca="false">$B$15/$B$14*O23</f>
        <v>48.5611632970071</v>
      </c>
      <c r="P24" s="12" t="n">
        <f aca="false">$B$15/$B$14*P23</f>
        <v>216.679342664423</v>
      </c>
      <c r="Q24" s="12" t="n">
        <f aca="false">$B$15/$B$14*Q23</f>
        <v>591.82142871908</v>
      </c>
      <c r="R24" s="12" t="n">
        <f aca="false">$B$15/$B$14*R23</f>
        <v>84.0590896837082</v>
      </c>
      <c r="S24" s="12" t="n">
        <f aca="false">$B$15/$B$14*S23</f>
        <v>31.8061420424842</v>
      </c>
      <c r="T24" s="17" t="n">
        <f aca="false">base_fleet!Z24+base_fleet!AE24</f>
        <v>0</v>
      </c>
      <c r="U24" s="18" t="n">
        <f aca="false">base_fleet!X24+base_fleet!AC24+base_fleet!AH24</f>
        <v>0</v>
      </c>
      <c r="V24" s="12" t="n">
        <f aca="false">$B$15/$B$14*V23</f>
        <v>762.733716351681</v>
      </c>
      <c r="W24" s="12" t="n">
        <f aca="false">$B$15/$B$14*W23</f>
        <v>159.664009674862</v>
      </c>
      <c r="X24" s="12" t="n">
        <f aca="false">$B$15/$B$14*X23</f>
        <v>35.8235742361132</v>
      </c>
      <c r="Y24" s="12" t="n">
        <f aca="false">$B$15/$B$14*Y23</f>
        <v>27.045612337198</v>
      </c>
      <c r="Z24" s="12" t="n">
        <f aca="false">$B$15/$B$14*Z23</f>
        <v>54.0912246743961</v>
      </c>
      <c r="AA24" s="12" t="n">
        <f aca="false">$B$15/$B$14*AA23</f>
        <v>10.6758996067887</v>
      </c>
      <c r="AB24" s="12" t="n">
        <f aca="false">$B$15/$B$14*AB23</f>
        <v>0.35586332022629</v>
      </c>
      <c r="AC24" s="12" t="n">
        <f aca="false">$B$15/$B$14*AC23</f>
        <v>0.35586332022629</v>
      </c>
      <c r="AD24" s="12" t="n">
        <f aca="false">$B$15/$B$14*AD23</f>
        <v>3.08414877529451</v>
      </c>
      <c r="AE24" s="12" t="n">
        <f aca="false">$B$15/$B$14*AE23</f>
        <v>15.4207438764726</v>
      </c>
      <c r="AF24" s="12" t="n">
        <f aca="false">$B$15/$B$14*AF23</f>
        <v>1.89793770787355</v>
      </c>
      <c r="AG24" s="12" t="n">
        <f aca="false">$B$15/$B$14*AG23</f>
        <v>0</v>
      </c>
      <c r="AH24" s="12" t="n">
        <f aca="false">$B$15/$B$14*AH23</f>
        <v>0.474484426968387</v>
      </c>
      <c r="AI24" s="12" t="n">
        <f aca="false">$B$15/$B$14*AI23</f>
        <v>0.474484426968387</v>
      </c>
      <c r="AJ24" s="12" t="n">
        <f aca="false">$B$15/$B$14*AJ23</f>
        <v>0</v>
      </c>
      <c r="AK24" s="12" t="n">
        <f aca="false">$B$15/$B$14*AK23</f>
        <v>0</v>
      </c>
      <c r="AL24" s="12" t="n">
        <f aca="false">$B$15/$B$14*AL23</f>
        <v>0</v>
      </c>
      <c r="AM24" s="12" t="n">
        <f aca="false">$B$15/$B$14*AM23</f>
        <v>0</v>
      </c>
      <c r="AN24" s="12" t="n">
        <f aca="false">$B$15/$B$14*AN23</f>
        <v>25.3849168428087</v>
      </c>
      <c r="AO24" s="12" t="n">
        <f aca="false">$B$15/$B$14*AO23</f>
        <v>21.1145570000932</v>
      </c>
      <c r="AP24" s="12" t="n">
        <f aca="false">$B$15/$B$14*AP23</f>
        <v>4.03311762923129</v>
      </c>
      <c r="AQ24" s="12" t="n">
        <f aca="false">$B$15/$B$14*AQ23</f>
        <v>11.6248684607255</v>
      </c>
      <c r="AR24" s="12" t="n">
        <f aca="false">$B$15/$B$14*AR23</f>
        <v>7.1172664045258</v>
      </c>
      <c r="AS24" s="12" t="n">
        <f aca="false">$B$15/$B$14*AS23</f>
        <v>0.237242213484193</v>
      </c>
      <c r="AT24" s="17" t="n">
        <f aca="false">base_fleet!AQ24+base_fleet!AN24+base_fleet!AJ24</f>
        <v>0</v>
      </c>
      <c r="AU24" s="12" t="n">
        <f aca="false">$B$15/$B$14*AU23</f>
        <v>325.350360107386</v>
      </c>
      <c r="AV24" s="12" t="n">
        <f aca="false">$B$15/$B$14*AV23</f>
        <v>29.7611785888639</v>
      </c>
      <c r="AW24" s="12" t="n">
        <f aca="false">$B$15/$B$14*AW23</f>
        <v>10.1130218505848</v>
      </c>
      <c r="AX24" s="12" t="n">
        <f aca="false">$B$15/$B$14*AX23</f>
        <v>3.75626525878865</v>
      </c>
      <c r="AY24" s="12" t="n">
        <f aca="false">$B$15/$B$14*AY23</f>
        <v>0</v>
      </c>
      <c r="AZ24" s="12" t="n">
        <f aca="false">$B$15/$B$14*AZ23</f>
        <v>0.288943481445281</v>
      </c>
      <c r="BA24" s="12" t="n">
        <f aca="false">$B$15/$B$14*BA23</f>
        <v>67.5170559875054</v>
      </c>
      <c r="BB24" s="12" t="n">
        <f aca="false">$B$15/$B$14*BB23</f>
        <v>6.17663919128599</v>
      </c>
      <c r="BC24" s="12" t="n">
        <f aca="false">$B$15/$B$14*BC23</f>
        <v>0.170390046656165</v>
      </c>
      <c r="BD24" s="12" t="n">
        <f aca="false">$B$15/$B$14*BD23</f>
        <v>0.0425975116640413</v>
      </c>
      <c r="BE24" s="17" t="n">
        <v>0</v>
      </c>
      <c r="BF24" s="17" t="n">
        <v>0</v>
      </c>
      <c r="BG24" s="17" t="n">
        <f aca="false">base_fleet!CE24</f>
        <v>0</v>
      </c>
      <c r="BH24" s="17" t="n">
        <f aca="false">base_fleet!CA24</f>
        <v>0</v>
      </c>
      <c r="BI24" s="17" t="n">
        <f aca="false">base_fleet!BV24</f>
        <v>0</v>
      </c>
      <c r="BJ24" s="17" t="n">
        <f aca="false">base_fleet!CH24</f>
        <v>0</v>
      </c>
      <c r="BK24" s="17" t="n">
        <f aca="false">base_fleet!BU24+base_fleet!BZ24+base_fleet!CD24</f>
        <v>0</v>
      </c>
    </row>
    <row r="25" customFormat="false" ht="12.75" hidden="false" customHeight="false" outlineLevel="0" collapsed="false">
      <c r="A25" s="1" t="n">
        <f aca="false">A24-1</f>
        <v>1996</v>
      </c>
      <c r="B25" s="12" t="n">
        <f aca="false">$B$15/$B$14*B24</f>
        <v>2243.8475766853</v>
      </c>
      <c r="C25" s="12" t="n">
        <f aca="false">$B$15/$B$14*C24</f>
        <v>4018.3018529992</v>
      </c>
      <c r="D25" s="12" t="n">
        <f aca="false">$B$15/$B$14*D24</f>
        <v>2.37242213484193</v>
      </c>
      <c r="E25" s="12" t="n">
        <f aca="false">$B$15/$B$14*E24</f>
        <v>1672.94627475245</v>
      </c>
      <c r="F25" s="12" t="n">
        <f aca="false">$B$15/$B$14*F24</f>
        <v>17.2901582471743</v>
      </c>
      <c r="G25" s="12" t="n">
        <f aca="false">$B$15/$B$14*G24</f>
        <v>27.1109681315694</v>
      </c>
      <c r="H25" s="12" t="n">
        <f aca="false">$B$15/$B$14*H24</f>
        <v>0.276642531954789</v>
      </c>
      <c r="I25" s="12" t="n">
        <f aca="false">$B$15/$B$14*I24</f>
        <v>214.049746967625</v>
      </c>
      <c r="J25" s="17" t="n">
        <f aca="false">base_fleet!C25+base_fleet!G25+base_fleet!L25+base_fleet!Q25</f>
        <v>0</v>
      </c>
      <c r="K25" s="17" t="n">
        <f aca="false">base_fleet!E25+base_fleet!J25+base_fleet!O25+base_fleet!T25</f>
        <v>0</v>
      </c>
      <c r="L25" s="12" t="n">
        <f aca="false">$B$15/$B$14*L24</f>
        <v>255.957912704944</v>
      </c>
      <c r="M25" s="17" t="n">
        <f aca="false">base_fleet!I25+base_fleet!N25</f>
        <v>0</v>
      </c>
      <c r="N25" s="12" t="n">
        <f aca="false">$B$15/$B$14*N24</f>
        <v>2586.88909583164</v>
      </c>
      <c r="O25" s="12" t="n">
        <f aca="false">$B$15/$B$14*O24</f>
        <v>40.5684185057971</v>
      </c>
      <c r="P25" s="12" t="n">
        <f aca="false">$B$15/$B$14*P24</f>
        <v>181.015808888439</v>
      </c>
      <c r="Q25" s="12" t="n">
        <f aca="false">$B$15/$B$14*Q24</f>
        <v>494.412772901059</v>
      </c>
      <c r="R25" s="12" t="n">
        <f aca="false">$B$15/$B$14*R24</f>
        <v>70.2236951913212</v>
      </c>
      <c r="S25" s="12" t="n">
        <f aca="false">$B$15/$B$14*S24</f>
        <v>26.5711279102297</v>
      </c>
      <c r="T25" s="17" t="n">
        <f aca="false">base_fleet!Z25+base_fleet!AE25</f>
        <v>0</v>
      </c>
      <c r="U25" s="18" t="n">
        <f aca="false">base_fleet!X25+base_fleet!AC25+base_fleet!AH25</f>
        <v>0</v>
      </c>
      <c r="V25" s="12" t="n">
        <f aca="false">$B$15/$B$14*V24</f>
        <v>637.194385648994</v>
      </c>
      <c r="W25" s="12" t="n">
        <f aca="false">$B$15/$B$14*W24</f>
        <v>133.384703434455</v>
      </c>
      <c r="X25" s="12" t="n">
        <f aca="false">$B$15/$B$14*X24</f>
        <v>29.9273257334364</v>
      </c>
      <c r="Y25" s="12" t="n">
        <f aca="false">$B$15/$B$14*Y24</f>
        <v>22.5941399576937</v>
      </c>
      <c r="Z25" s="12" t="n">
        <f aca="false">$B$15/$B$14*Z24</f>
        <v>45.1882799153875</v>
      </c>
      <c r="AA25" s="12" t="n">
        <f aca="false">$B$15/$B$14*AA24</f>
        <v>8.91873945698437</v>
      </c>
      <c r="AB25" s="12" t="n">
        <f aca="false">$B$15/$B$14*AB24</f>
        <v>0.297291315232812</v>
      </c>
      <c r="AC25" s="12" t="n">
        <f aca="false">$B$15/$B$14*AC24</f>
        <v>0.297291315232812</v>
      </c>
      <c r="AD25" s="12" t="n">
        <f aca="false">$B$15/$B$14*AD24</f>
        <v>2.57652473201771</v>
      </c>
      <c r="AE25" s="12" t="n">
        <f aca="false">$B$15/$B$14*AE24</f>
        <v>12.8826236600885</v>
      </c>
      <c r="AF25" s="12" t="n">
        <f aca="false">$B$15/$B$14*AF24</f>
        <v>1.58555368124167</v>
      </c>
      <c r="AG25" s="12" t="n">
        <f aca="false">$B$15/$B$14*AG24</f>
        <v>0</v>
      </c>
      <c r="AH25" s="12" t="n">
        <f aca="false">$B$15/$B$14*AH24</f>
        <v>0.396388420310417</v>
      </c>
      <c r="AI25" s="12" t="n">
        <f aca="false">$B$15/$B$14*AI24</f>
        <v>0.396388420310417</v>
      </c>
      <c r="AJ25" s="12" t="n">
        <f aca="false">$B$15/$B$14*AJ24</f>
        <v>0</v>
      </c>
      <c r="AK25" s="12" t="n">
        <f aca="false">$B$15/$B$14*AK24</f>
        <v>0</v>
      </c>
      <c r="AL25" s="12" t="n">
        <f aca="false">$B$15/$B$14*AL24</f>
        <v>0</v>
      </c>
      <c r="AM25" s="12" t="n">
        <f aca="false">$B$15/$B$14*AM24</f>
        <v>0</v>
      </c>
      <c r="AN25" s="12" t="n">
        <f aca="false">$B$15/$B$14*AN24</f>
        <v>21.2067804866073</v>
      </c>
      <c r="AO25" s="12" t="n">
        <f aca="false">$B$15/$B$14*AO24</f>
        <v>17.6392847038135</v>
      </c>
      <c r="AP25" s="12" t="n">
        <f aca="false">$B$15/$B$14*AP24</f>
        <v>3.36930157263854</v>
      </c>
      <c r="AQ25" s="12" t="n">
        <f aca="false">$B$15/$B$14*AQ24</f>
        <v>9.71151629760521</v>
      </c>
      <c r="AR25" s="12" t="n">
        <f aca="false">$B$15/$B$14*AR24</f>
        <v>5.94582630465625</v>
      </c>
      <c r="AS25" s="12" t="n">
        <f aca="false">$B$15/$B$14*AS24</f>
        <v>0.198194210155208</v>
      </c>
      <c r="AT25" s="17" t="n">
        <f aca="false">base_fleet!AQ25+base_fleet!AN25+base_fleet!AJ25</f>
        <v>0</v>
      </c>
      <c r="AU25" s="12" t="n">
        <f aca="false">$B$15/$B$14*AU24</f>
        <v>271.800522757693</v>
      </c>
      <c r="AV25" s="12" t="n">
        <f aca="false">$B$15/$B$14*AV24</f>
        <v>24.8627476412454</v>
      </c>
      <c r="AW25" s="12" t="n">
        <f aca="false">$B$15/$B$14*AW24</f>
        <v>8.44850648003486</v>
      </c>
      <c r="AX25" s="12" t="n">
        <f aca="false">$B$15/$B$14*AX24</f>
        <v>3.13801669258438</v>
      </c>
      <c r="AY25" s="12" t="n">
        <f aca="false">$B$15/$B$14*AY24</f>
        <v>0</v>
      </c>
      <c r="AZ25" s="12" t="n">
        <f aca="false">$B$15/$B$14*AZ24</f>
        <v>0.241385899429567</v>
      </c>
      <c r="BA25" s="12" t="n">
        <f aca="false">$B$15/$B$14*BA24</f>
        <v>56.404336255867</v>
      </c>
      <c r="BB25" s="12" t="n">
        <f aca="false">$B$15/$B$14*BB24</f>
        <v>5.16001814328121</v>
      </c>
      <c r="BC25" s="12" t="n">
        <f aca="false">$B$15/$B$14*BC24</f>
        <v>0.142345328090516</v>
      </c>
      <c r="BD25" s="12" t="n">
        <f aca="false">$B$15/$B$14*BD24</f>
        <v>0.035586332022629</v>
      </c>
      <c r="BE25" s="17" t="n">
        <v>0</v>
      </c>
      <c r="BF25" s="17" t="n">
        <v>0</v>
      </c>
      <c r="BG25" s="17" t="n">
        <f aca="false">base_fleet!CE25</f>
        <v>0</v>
      </c>
      <c r="BH25" s="17" t="n">
        <f aca="false">base_fleet!CA25</f>
        <v>0</v>
      </c>
      <c r="BI25" s="17" t="n">
        <f aca="false">base_fleet!BV25</f>
        <v>0</v>
      </c>
      <c r="BJ25" s="17" t="n">
        <f aca="false">base_fleet!CH25</f>
        <v>0</v>
      </c>
      <c r="BK25" s="17" t="n">
        <f aca="false">base_fleet!BU25+base_fleet!BZ25+base_fleet!CD25</f>
        <v>0</v>
      </c>
    </row>
    <row r="26" customFormat="false" ht="12.75" hidden="false" customHeight="false" outlineLevel="0" collapsed="false">
      <c r="A26" s="1" t="n">
        <f aca="false">A25-1</f>
        <v>1995</v>
      </c>
      <c r="B26" s="12" t="n">
        <f aca="false">$B$15/$B$14*B25</f>
        <v>1874.52979652565</v>
      </c>
      <c r="C26" s="12" t="n">
        <f aca="false">$B$15/$B$14*C25</f>
        <v>3356.92434421435</v>
      </c>
      <c r="D26" s="12" t="n">
        <f aca="false">$B$15/$B$14*D25</f>
        <v>1.98194210155208</v>
      </c>
      <c r="E26" s="12" t="n">
        <f aca="false">$B$15/$B$14*E25</f>
        <v>1397.59387963538</v>
      </c>
      <c r="F26" s="12" t="n">
        <f aca="false">$B$15/$B$14*F25</f>
        <v>14.4443486971832</v>
      </c>
      <c r="G26" s="12" t="n">
        <f aca="false">$B$15/$B$14*G25</f>
        <v>22.6487387571833</v>
      </c>
      <c r="H26" s="12" t="n">
        <f aca="false">$B$15/$B$14*H25</f>
        <v>0.231109579154932</v>
      </c>
      <c r="I26" s="12" t="n">
        <f aca="false">$B$15/$B$14*I25</f>
        <v>178.819021754731</v>
      </c>
      <c r="J26" s="17" t="n">
        <f aca="false">base_fleet!C26+base_fleet!G26+base_fleet!L26+base_fleet!Q26</f>
        <v>0</v>
      </c>
      <c r="K26" s="17" t="n">
        <f aca="false">base_fleet!E26+base_fleet!J26+base_fleet!O26+base_fleet!T26</f>
        <v>0</v>
      </c>
      <c r="L26" s="12" t="n">
        <f aca="false">$B$15/$B$14*L25</f>
        <v>213.829468189952</v>
      </c>
      <c r="M26" s="17" t="n">
        <f aca="false">base_fleet!I26+base_fleet!N26</f>
        <v>0</v>
      </c>
      <c r="N26" s="12" t="n">
        <f aca="false">$B$15/$B$14*N25</f>
        <v>2161.10966753239</v>
      </c>
      <c r="O26" s="12" t="n">
        <f aca="false">$B$15/$B$14*O25</f>
        <v>33.8912099365406</v>
      </c>
      <c r="P26" s="12" t="n">
        <f aca="false">$B$15/$B$14*P25</f>
        <v>151.222182348424</v>
      </c>
      <c r="Q26" s="12" t="n">
        <f aca="false">$B$15/$B$14*Q25</f>
        <v>413.036733963454</v>
      </c>
      <c r="R26" s="12" t="n">
        <f aca="false">$B$15/$B$14*R25</f>
        <v>58.6654862059416</v>
      </c>
      <c r="S26" s="12" t="n">
        <f aca="false">$B$15/$B$14*S25</f>
        <v>22.1977515373833</v>
      </c>
      <c r="T26" s="17" t="n">
        <f aca="false">base_fleet!Z26+base_fleet!AE26</f>
        <v>0</v>
      </c>
      <c r="U26" s="18" t="n">
        <f aca="false">base_fleet!X26+base_fleet!AC26+base_fleet!AH26</f>
        <v>0</v>
      </c>
      <c r="V26" s="12" t="n">
        <f aca="false">$B$15/$B$14*V25</f>
        <v>532.317736056909</v>
      </c>
      <c r="W26" s="12" t="n">
        <f aca="false">$B$15/$B$14*W25</f>
        <v>111.430742260124</v>
      </c>
      <c r="X26" s="12" t="n">
        <f aca="false">$B$15/$B$14*X25</f>
        <v>25.0015484120041</v>
      </c>
      <c r="Y26" s="12" t="n">
        <f aca="false">$B$15/$B$14*Y25</f>
        <v>18.8753411852217</v>
      </c>
      <c r="Z26" s="12" t="n">
        <f aca="false">$B$15/$B$14*Z25</f>
        <v>37.7506823704433</v>
      </c>
      <c r="AA26" s="12" t="n">
        <f aca="false">$B$15/$B$14*AA25</f>
        <v>7.45079257311381</v>
      </c>
      <c r="AB26" s="12" t="n">
        <f aca="false">$B$15/$B$14*AB25</f>
        <v>0.248359752437127</v>
      </c>
      <c r="AC26" s="12" t="n">
        <f aca="false">$B$15/$B$14*AC25</f>
        <v>0.248359752437127</v>
      </c>
      <c r="AD26" s="12" t="n">
        <f aca="false">$B$15/$B$14*AD25</f>
        <v>2.15245118778843</v>
      </c>
      <c r="AE26" s="12" t="n">
        <f aca="false">$B$15/$B$14*AE25</f>
        <v>10.7622559389422</v>
      </c>
      <c r="AF26" s="12" t="n">
        <f aca="false">$B$15/$B$14*AF25</f>
        <v>1.32458534633134</v>
      </c>
      <c r="AG26" s="12" t="n">
        <f aca="false">$B$15/$B$14*AG25</f>
        <v>0</v>
      </c>
      <c r="AH26" s="12" t="n">
        <f aca="false">$B$15/$B$14*AH25</f>
        <v>0.331146336582836</v>
      </c>
      <c r="AI26" s="12" t="n">
        <f aca="false">$B$15/$B$14*AI25</f>
        <v>0.331146336582836</v>
      </c>
      <c r="AJ26" s="12" t="n">
        <f aca="false">$B$15/$B$14*AJ25</f>
        <v>0</v>
      </c>
      <c r="AK26" s="12" t="n">
        <f aca="false">$B$15/$B$14*AK25</f>
        <v>0</v>
      </c>
      <c r="AL26" s="12" t="n">
        <f aca="false">$B$15/$B$14*AL25</f>
        <v>0</v>
      </c>
      <c r="AM26" s="12" t="n">
        <f aca="false">$B$15/$B$14*AM25</f>
        <v>0</v>
      </c>
      <c r="AN26" s="12" t="n">
        <f aca="false">$B$15/$B$14*AN25</f>
        <v>17.7163290071817</v>
      </c>
      <c r="AO26" s="12" t="n">
        <f aca="false">$B$15/$B$14*AO25</f>
        <v>14.7360119779362</v>
      </c>
      <c r="AP26" s="12" t="n">
        <f aca="false">$B$15/$B$14*AP25</f>
        <v>2.81474386095411</v>
      </c>
      <c r="AQ26" s="12" t="n">
        <f aca="false">$B$15/$B$14*AQ25</f>
        <v>8.11308524627948</v>
      </c>
      <c r="AR26" s="12" t="n">
        <f aca="false">$B$15/$B$14*AR25</f>
        <v>4.96719504874254</v>
      </c>
      <c r="AS26" s="12" t="n">
        <f aca="false">$B$15/$B$14*AS25</f>
        <v>0.165573168291418</v>
      </c>
      <c r="AT26" s="17" t="n">
        <f aca="false">base_fleet!AQ26+base_fleet!AN26+base_fleet!AJ26</f>
        <v>0</v>
      </c>
      <c r="AU26" s="12" t="n">
        <f aca="false">$B$15/$B$14*AU25</f>
        <v>227.064522525721</v>
      </c>
      <c r="AV26" s="12" t="n">
        <f aca="false">$B$15/$B$14*AV25</f>
        <v>20.7705557905411</v>
      </c>
      <c r="AW26" s="12" t="n">
        <f aca="false">$B$15/$B$14*AW25</f>
        <v>7.05795585115475</v>
      </c>
      <c r="AX26" s="12" t="n">
        <f aca="false">$B$15/$B$14*AX25</f>
        <v>2.62152645900034</v>
      </c>
      <c r="AY26" s="12" t="n">
        <f aca="false">$B$15/$B$14*AY25</f>
        <v>0</v>
      </c>
      <c r="AZ26" s="12" t="n">
        <f aca="false">$B$15/$B$14*AZ25</f>
        <v>0.201655881461564</v>
      </c>
      <c r="BA26" s="12" t="n">
        <f aca="false">$B$15/$B$14*BA25</f>
        <v>47.1206734644008</v>
      </c>
      <c r="BB26" s="12" t="n">
        <f aca="false">$B$15/$B$14*BB25</f>
        <v>4.31072407087578</v>
      </c>
      <c r="BC26" s="12" t="n">
        <f aca="false">$B$15/$B$14*BC25</f>
        <v>0.118916526093125</v>
      </c>
      <c r="BD26" s="12" t="n">
        <f aca="false">$B$15/$B$14*BD25</f>
        <v>0.0297291315232812</v>
      </c>
      <c r="BE26" s="17" t="n">
        <v>0</v>
      </c>
      <c r="BF26" s="17" t="n">
        <v>0</v>
      </c>
      <c r="BG26" s="17" t="n">
        <f aca="false">base_fleet!CE26</f>
        <v>0</v>
      </c>
      <c r="BH26" s="17" t="n">
        <f aca="false">base_fleet!CA26</f>
        <v>0</v>
      </c>
      <c r="BI26" s="17" t="n">
        <f aca="false">base_fleet!BV26</f>
        <v>0</v>
      </c>
      <c r="BJ26" s="17" t="n">
        <f aca="false">base_fleet!CH26</f>
        <v>0</v>
      </c>
      <c r="BK26" s="17" t="n">
        <f aca="false">base_fleet!BU26+base_fleet!BZ26+base_fleet!CD26</f>
        <v>0</v>
      </c>
    </row>
    <row r="27" customFormat="false" ht="12.75" hidden="false" customHeight="false" outlineLevel="0" collapsed="false">
      <c r="A27" s="1" t="n">
        <f aca="false">A26-1</f>
        <v>1994</v>
      </c>
      <c r="B27" s="12" t="n">
        <f aca="false">$B$15/$B$14*B26</f>
        <v>1565.99850835382</v>
      </c>
      <c r="C27" s="12" t="n">
        <f aca="false">$B$15/$B$14*C26</f>
        <v>2804.40381659431</v>
      </c>
      <c r="D27" s="12" t="n">
        <f aca="false">$B$15/$B$14*D26</f>
        <v>1.65573168291418</v>
      </c>
      <c r="E27" s="12" t="n">
        <f aca="false">$B$15/$B$14*E26</f>
        <v>1167.56209202433</v>
      </c>
      <c r="F27" s="12" t="n">
        <f aca="false">$B$15/$B$14*F26</f>
        <v>12.0669346285432</v>
      </c>
      <c r="G27" s="12" t="n">
        <f aca="false">$B$15/$B$14*G26</f>
        <v>18.9209534975557</v>
      </c>
      <c r="H27" s="12" t="n">
        <f aca="false">$B$15/$B$14*H26</f>
        <v>0.193070954056691</v>
      </c>
      <c r="I27" s="12" t="n">
        <f aca="false">$B$15/$B$14*I26</f>
        <v>149.386967255586</v>
      </c>
      <c r="J27" s="17" t="n">
        <f aca="false">base_fleet!C27+base_fleet!G27+base_fleet!L27+base_fleet!Q27</f>
        <v>0</v>
      </c>
      <c r="K27" s="17" t="n">
        <f aca="false">base_fleet!E27+base_fleet!J27+base_fleet!O27+base_fleet!T27</f>
        <v>0</v>
      </c>
      <c r="L27" s="12" t="n">
        <f aca="false">$B$15/$B$14*L26</f>
        <v>178.634998946506</v>
      </c>
      <c r="M27" s="17" t="n">
        <f aca="false">base_fleet!I27+base_fleet!N27</f>
        <v>0</v>
      </c>
      <c r="N27" s="12" t="n">
        <f aca="false">$B$15/$B$14*N26</f>
        <v>1805.40982704962</v>
      </c>
      <c r="O27" s="12" t="n">
        <f aca="false">$B$15/$B$14*O26</f>
        <v>28.3130117778325</v>
      </c>
      <c r="P27" s="12" t="n">
        <f aca="false">$B$15/$B$14*P26</f>
        <v>126.332327406352</v>
      </c>
      <c r="Q27" s="12" t="n">
        <f aca="false">$B$15/$B$14*Q26</f>
        <v>345.054482719315</v>
      </c>
      <c r="R27" s="12" t="n">
        <f aca="false">$B$15/$B$14*R26</f>
        <v>49.0096578142597</v>
      </c>
      <c r="S27" s="12" t="n">
        <f aca="false">$B$15/$B$14*S26</f>
        <v>18.5441948486388</v>
      </c>
      <c r="T27" s="17" t="n">
        <f aca="false">base_fleet!Z27+base_fleet!AE27</f>
        <v>0</v>
      </c>
      <c r="U27" s="18" t="n">
        <f aca="false">base_fleet!X27+base_fleet!AC27+base_fleet!AH27</f>
        <v>0</v>
      </c>
      <c r="V27" s="12" t="n">
        <f aca="false">$B$15/$B$14*V26</f>
        <v>444.702870117324</v>
      </c>
      <c r="W27" s="12" t="n">
        <f aca="false">$B$15/$B$14*W26</f>
        <v>93.0902120027866</v>
      </c>
      <c r="X27" s="12" t="n">
        <f aca="false">$B$15/$B$14*X26</f>
        <v>20.8865111625866</v>
      </c>
      <c r="Y27" s="12" t="n">
        <f aca="false">$B$15/$B$14*Y26</f>
        <v>15.768624321423</v>
      </c>
      <c r="Z27" s="12" t="n">
        <f aca="false">$B$15/$B$14*Z26</f>
        <v>31.537248642846</v>
      </c>
      <c r="AA27" s="12" t="n">
        <f aca="false">$B$15/$B$14*AA26</f>
        <v>6.22445696898276</v>
      </c>
      <c r="AB27" s="12" t="n">
        <f aca="false">$B$15/$B$14*AB26</f>
        <v>0.207481898966092</v>
      </c>
      <c r="AC27" s="12" t="n">
        <f aca="false">$B$15/$B$14*AC26</f>
        <v>0.207481898966092</v>
      </c>
      <c r="AD27" s="12" t="n">
        <f aca="false">$B$15/$B$14*AD26</f>
        <v>1.79817645770613</v>
      </c>
      <c r="AE27" s="12" t="n">
        <f aca="false">$B$15/$B$14*AE26</f>
        <v>8.99088228853066</v>
      </c>
      <c r="AF27" s="12" t="n">
        <f aca="false">$B$15/$B$14*AF26</f>
        <v>1.10657012781916</v>
      </c>
      <c r="AG27" s="12" t="n">
        <f aca="false">$B$15/$B$14*AG26</f>
        <v>0</v>
      </c>
      <c r="AH27" s="12" t="n">
        <f aca="false">$B$15/$B$14*AH26</f>
        <v>0.276642531954789</v>
      </c>
      <c r="AI27" s="12" t="n">
        <f aca="false">$B$15/$B$14*AI26</f>
        <v>0.276642531954789</v>
      </c>
      <c r="AJ27" s="12" t="n">
        <f aca="false">$B$15/$B$14*AJ26</f>
        <v>0</v>
      </c>
      <c r="AK27" s="12" t="n">
        <f aca="false">$B$15/$B$14*AK26</f>
        <v>0</v>
      </c>
      <c r="AL27" s="12" t="n">
        <f aca="false">$B$15/$B$14*AL26</f>
        <v>0</v>
      </c>
      <c r="AM27" s="12" t="n">
        <f aca="false">$B$15/$B$14*AM26</f>
        <v>0</v>
      </c>
      <c r="AN27" s="12" t="n">
        <f aca="false">$B$15/$B$14*AN26</f>
        <v>14.8003754595812</v>
      </c>
      <c r="AO27" s="12" t="n">
        <f aca="false">$B$15/$B$14*AO26</f>
        <v>12.3105926719881</v>
      </c>
      <c r="AP27" s="12" t="n">
        <f aca="false">$B$15/$B$14*AP26</f>
        <v>2.35146152161571</v>
      </c>
      <c r="AQ27" s="12" t="n">
        <f aca="false">$B$15/$B$14*AQ26</f>
        <v>6.77774203289234</v>
      </c>
      <c r="AR27" s="12" t="n">
        <f aca="false">$B$15/$B$14*AR26</f>
        <v>4.14963797932184</v>
      </c>
      <c r="AS27" s="12" t="n">
        <f aca="false">$B$15/$B$14*AS26</f>
        <v>0.138321265977395</v>
      </c>
      <c r="AT27" s="17" t="n">
        <f aca="false">base_fleet!AQ27+base_fleet!AN27+base_fleet!AJ27</f>
        <v>0</v>
      </c>
      <c r="AU27" s="12" t="n">
        <f aca="false">$B$15/$B$14*AU26</f>
        <v>189.69167853955</v>
      </c>
      <c r="AV27" s="12" t="n">
        <f aca="false">$B$15/$B$14*AV26</f>
        <v>17.3519030990885</v>
      </c>
      <c r="AW27" s="12" t="n">
        <f aca="false">$B$15/$B$14*AW26</f>
        <v>5.89627775211745</v>
      </c>
      <c r="AX27" s="12" t="n">
        <f aca="false">$B$15/$B$14*AX26</f>
        <v>2.19004602221505</v>
      </c>
      <c r="AY27" s="12" t="n">
        <f aca="false">$B$15/$B$14*AY26</f>
        <v>0</v>
      </c>
      <c r="AZ27" s="12" t="n">
        <f aca="false">$B$15/$B$14*AZ26</f>
        <v>0.168465078631927</v>
      </c>
      <c r="BA27" s="12" t="n">
        <f aca="false">$B$15/$B$14*BA26</f>
        <v>39.3650207612846</v>
      </c>
      <c r="BB27" s="12" t="n">
        <f aca="false">$B$15/$B$14*BB26</f>
        <v>3.60121641033834</v>
      </c>
      <c r="BC27" s="12" t="n">
        <f aca="false">$B$15/$B$14*BC26</f>
        <v>0.0993439009748507</v>
      </c>
      <c r="BD27" s="12" t="n">
        <f aca="false">$B$15/$B$14*BD26</f>
        <v>0.0248359752437127</v>
      </c>
      <c r="BE27" s="17" t="n">
        <v>0</v>
      </c>
      <c r="BF27" s="17" t="n">
        <v>0</v>
      </c>
      <c r="BG27" s="17" t="n">
        <f aca="false">base_fleet!CE27</f>
        <v>0</v>
      </c>
      <c r="BH27" s="17" t="n">
        <f aca="false">base_fleet!CA27</f>
        <v>0</v>
      </c>
      <c r="BI27" s="17" t="n">
        <f aca="false">base_fleet!BV27</f>
        <v>0</v>
      </c>
      <c r="BJ27" s="17" t="n">
        <f aca="false">base_fleet!CH27</f>
        <v>0</v>
      </c>
      <c r="BK27" s="17" t="n">
        <f aca="false">base_fleet!BU27+base_fleet!BZ27+base_fleet!CD27</f>
        <v>0</v>
      </c>
    </row>
    <row r="28" customFormat="false" ht="12.75" hidden="false" customHeight="false" outlineLevel="0" collapsed="false">
      <c r="A28" s="1" t="n">
        <f aca="false">A27-1</f>
        <v>1993</v>
      </c>
      <c r="B28" s="12" t="n">
        <f aca="false">$B$15/$B$14*B27</f>
        <v>1308.24878468814</v>
      </c>
      <c r="C28" s="12" t="n">
        <f aca="false">$B$15/$B$14*C27</f>
        <v>2342.82335855542</v>
      </c>
      <c r="D28" s="12" t="n">
        <f aca="false">$B$15/$B$14*D27</f>
        <v>1.38321265977395</v>
      </c>
      <c r="E28" s="12" t="n">
        <f aca="false">$B$15/$B$14*E27</f>
        <v>975.391534404743</v>
      </c>
      <c r="F28" s="12" t="n">
        <f aca="false">$B$15/$B$14*F27</f>
        <v>10.0808222220452</v>
      </c>
      <c r="G28" s="12" t="n">
        <f aca="false">$B$15/$B$14*G27</f>
        <v>15.8067292441669</v>
      </c>
      <c r="H28" s="12" t="n">
        <f aca="false">$B$15/$B$14*H27</f>
        <v>0.161293155552723</v>
      </c>
      <c r="I28" s="12" t="n">
        <f aca="false">$B$15/$B$14*I27</f>
        <v>124.799172743663</v>
      </c>
      <c r="J28" s="17" t="n">
        <f aca="false">base_fleet!C28+base_fleet!G28+base_fleet!L28+base_fleet!Q28</f>
        <v>0</v>
      </c>
      <c r="K28" s="17" t="n">
        <f aca="false">base_fleet!E28+base_fleet!J28+base_fleet!O28+base_fleet!T28</f>
        <v>0</v>
      </c>
      <c r="L28" s="12" t="n">
        <f aca="false">$B$15/$B$14*L27</f>
        <v>149.233232999818</v>
      </c>
      <c r="M28" s="17" t="n">
        <f aca="false">base_fleet!I28+base_fleet!N28</f>
        <v>0</v>
      </c>
      <c r="N28" s="12" t="n">
        <f aca="false">$B$15/$B$14*N27</f>
        <v>1508.25508421751</v>
      </c>
      <c r="O28" s="12" t="n">
        <f aca="false">$B$15/$B$14*O27</f>
        <v>23.6529364821345</v>
      </c>
      <c r="P28" s="12" t="n">
        <f aca="false">$B$15/$B$14*P27</f>
        <v>105.539125940752</v>
      </c>
      <c r="Q28" s="12" t="n">
        <f aca="false">$B$15/$B$14*Q27</f>
        <v>288.261518296891</v>
      </c>
      <c r="R28" s="12" t="n">
        <f aca="false">$B$15/$B$14*R27</f>
        <v>40.9430947293088</v>
      </c>
      <c r="S28" s="12" t="n">
        <f aca="false">$B$15/$B$14*S27</f>
        <v>15.4919817894682</v>
      </c>
      <c r="T28" s="17" t="n">
        <f aca="false">base_fleet!Z28+base_fleet!AE28</f>
        <v>0</v>
      </c>
      <c r="U28" s="18" t="n">
        <f aca="false">base_fleet!X28+base_fleet!AC28+base_fleet!AH28</f>
        <v>0</v>
      </c>
      <c r="V28" s="12" t="n">
        <f aca="false">$B$15/$B$14*V27</f>
        <v>371.508648491553</v>
      </c>
      <c r="W28" s="12" t="n">
        <f aca="false">$B$15/$B$14*W27</f>
        <v>77.7683733856346</v>
      </c>
      <c r="X28" s="12" t="n">
        <f aca="false">$B$15/$B$14*X27</f>
        <v>17.4487732261974</v>
      </c>
      <c r="Y28" s="12" t="n">
        <f aca="false">$B$15/$B$14*Y27</f>
        <v>13.1732460118311</v>
      </c>
      <c r="Z28" s="12" t="n">
        <f aca="false">$B$15/$B$14*Z27</f>
        <v>26.3464920236622</v>
      </c>
      <c r="AA28" s="12" t="n">
        <f aca="false">$B$15/$B$14*AA27</f>
        <v>5.19996553098597</v>
      </c>
      <c r="AB28" s="12" t="n">
        <f aca="false">$B$15/$B$14*AB27</f>
        <v>0.173332184366199</v>
      </c>
      <c r="AC28" s="12" t="n">
        <f aca="false">$B$15/$B$14*AC27</f>
        <v>0.173332184366199</v>
      </c>
      <c r="AD28" s="12" t="n">
        <f aca="false">$B$15/$B$14*AD27</f>
        <v>1.50221226450706</v>
      </c>
      <c r="AE28" s="12" t="n">
        <f aca="false">$B$15/$B$14*AE27</f>
        <v>7.51106132253529</v>
      </c>
      <c r="AF28" s="12" t="n">
        <f aca="false">$B$15/$B$14*AF27</f>
        <v>0.924438316619728</v>
      </c>
      <c r="AG28" s="12" t="n">
        <f aca="false">$B$15/$B$14*AG27</f>
        <v>0</v>
      </c>
      <c r="AH28" s="12" t="n">
        <f aca="false">$B$15/$B$14*AH27</f>
        <v>0.231109579154932</v>
      </c>
      <c r="AI28" s="12" t="n">
        <f aca="false">$B$15/$B$14*AI27</f>
        <v>0.231109579154932</v>
      </c>
      <c r="AJ28" s="12" t="n">
        <f aca="false">$B$15/$B$14*AJ27</f>
        <v>0</v>
      </c>
      <c r="AK28" s="12" t="n">
        <f aca="false">$B$15/$B$14*AK27</f>
        <v>0</v>
      </c>
      <c r="AL28" s="12" t="n">
        <f aca="false">$B$15/$B$14*AL27</f>
        <v>0</v>
      </c>
      <c r="AM28" s="12" t="n">
        <f aca="false">$B$15/$B$14*AM27</f>
        <v>0</v>
      </c>
      <c r="AN28" s="12" t="n">
        <f aca="false">$B$15/$B$14*AN27</f>
        <v>12.3643624847889</v>
      </c>
      <c r="AO28" s="12" t="n">
        <f aca="false">$B$15/$B$14*AO27</f>
        <v>10.2843762723945</v>
      </c>
      <c r="AP28" s="12" t="n">
        <f aca="false">$B$15/$B$14*AP27</f>
        <v>1.96443142281692</v>
      </c>
      <c r="AQ28" s="12" t="n">
        <f aca="false">$B$15/$B$14*AQ27</f>
        <v>5.66218468929583</v>
      </c>
      <c r="AR28" s="12" t="n">
        <f aca="false">$B$15/$B$14*AR27</f>
        <v>3.46664368732398</v>
      </c>
      <c r="AS28" s="12" t="n">
        <f aca="false">$B$15/$B$14*AS27</f>
        <v>0.115554789577466</v>
      </c>
      <c r="AT28" s="17" t="n">
        <f aca="false">base_fleet!AQ28+base_fleet!AN28+base_fleet!AJ28</f>
        <v>0</v>
      </c>
      <c r="AU28" s="12" t="n">
        <f aca="false">$B$15/$B$14*AU27</f>
        <v>158.470079371716</v>
      </c>
      <c r="AV28" s="12" t="n">
        <f aca="false">$B$15/$B$14*AV27</f>
        <v>14.4959308839136</v>
      </c>
      <c r="AW28" s="12" t="n">
        <f aca="false">$B$15/$B$14*AW27</f>
        <v>4.92580175666968</v>
      </c>
      <c r="AX28" s="12" t="n">
        <f aca="false">$B$15/$B$14*AX27</f>
        <v>1.82958350962017</v>
      </c>
      <c r="AY28" s="12" t="n">
        <f aca="false">$B$15/$B$14*AY27</f>
        <v>0</v>
      </c>
      <c r="AZ28" s="12" t="n">
        <f aca="false">$B$15/$B$14*AZ27</f>
        <v>0.140737193047705</v>
      </c>
      <c r="BA28" s="12" t="n">
        <f aca="false">$B$15/$B$14*BA27</f>
        <v>32.8858809861256</v>
      </c>
      <c r="BB28" s="12" t="n">
        <f aca="false">$B$15/$B$14*BB27</f>
        <v>3.00848753500833</v>
      </c>
      <c r="BC28" s="12" t="n">
        <f aca="false">$B$15/$B$14*BC27</f>
        <v>0.0829927595864368</v>
      </c>
      <c r="BD28" s="12" t="n">
        <f aca="false">$B$15/$B$14*BD27</f>
        <v>0.0207481898966092</v>
      </c>
      <c r="BE28" s="17" t="n">
        <v>0</v>
      </c>
      <c r="BF28" s="17" t="n">
        <v>0</v>
      </c>
      <c r="BG28" s="17" t="n">
        <f aca="false">base_fleet!CE28</f>
        <v>0</v>
      </c>
      <c r="BH28" s="17" t="n">
        <f aca="false">base_fleet!CA28</f>
        <v>0</v>
      </c>
      <c r="BI28" s="17" t="n">
        <f aca="false">base_fleet!BV28</f>
        <v>0</v>
      </c>
      <c r="BJ28" s="17" t="n">
        <f aca="false">base_fleet!CH28</f>
        <v>0</v>
      </c>
      <c r="BK28" s="17" t="n">
        <f aca="false">base_fleet!BU28+base_fleet!BZ28+base_fleet!CD28</f>
        <v>0</v>
      </c>
    </row>
    <row r="29" customFormat="false" ht="12.75" hidden="false" customHeight="false" outlineLevel="0" collapsed="false">
      <c r="A29" s="1" t="n">
        <f aca="false">A28-1</f>
        <v>1992</v>
      </c>
      <c r="B29" s="12" t="n">
        <f aca="false">$B$15/$B$14*B28</f>
        <v>1092.92242202525</v>
      </c>
      <c r="C29" s="12" t="n">
        <f aca="false">$B$15/$B$14*C28</f>
        <v>1957.21502620781</v>
      </c>
      <c r="D29" s="12" t="n">
        <f aca="false">$B$15/$B$14*D28</f>
        <v>1.15554789577466</v>
      </c>
      <c r="E29" s="12" t="n">
        <f aca="false">$B$15/$B$14*E28</f>
        <v>814.850577872832</v>
      </c>
      <c r="F29" s="12" t="n">
        <f aca="false">$B$15/$B$14*F28</f>
        <v>8.42160663007991</v>
      </c>
      <c r="G29" s="12" t="n">
        <f aca="false">$B$15/$B$14*G28</f>
        <v>13.2050791959653</v>
      </c>
      <c r="H29" s="12" t="n">
        <f aca="false">$B$15/$B$14*H28</f>
        <v>0.134745706081279</v>
      </c>
      <c r="I29" s="12" t="n">
        <f aca="false">$B$15/$B$14*I28</f>
        <v>104.258315190613</v>
      </c>
      <c r="J29" s="17" t="n">
        <f aca="false">base_fleet!C29+base_fleet!G29+base_fleet!L29+base_fleet!Q29</f>
        <v>0</v>
      </c>
      <c r="K29" s="17" t="n">
        <f aca="false">base_fleet!E29+base_fleet!J29+base_fleet!O29+base_fleet!T29</f>
        <v>0</v>
      </c>
      <c r="L29" s="12" t="n">
        <f aca="false">$B$15/$B$14*L28</f>
        <v>124.670741808257</v>
      </c>
      <c r="M29" s="17" t="n">
        <f aca="false">base_fleet!I29+base_fleet!N29</f>
        <v>0</v>
      </c>
      <c r="N29" s="12" t="n">
        <f aca="false">$B$15/$B$14*N28</f>
        <v>1260.00942555269</v>
      </c>
      <c r="O29" s="12" t="n">
        <f aca="false">$B$15/$B$14*O28</f>
        <v>19.7598690177467</v>
      </c>
      <c r="P29" s="12" t="n">
        <f aca="false">$B$15/$B$14*P28</f>
        <v>88.1683044476065</v>
      </c>
      <c r="Q29" s="12" t="n">
        <f aca="false">$B$15/$B$14*Q28</f>
        <v>240.816181479439</v>
      </c>
      <c r="R29" s="12" t="n">
        <f aca="false">$B$15/$B$14*R28</f>
        <v>34.2042177149299</v>
      </c>
      <c r="S29" s="12" t="n">
        <f aca="false">$B$15/$B$14*S28</f>
        <v>12.9421364326762</v>
      </c>
      <c r="T29" s="17" t="n">
        <f aca="false">base_fleet!Z29+base_fleet!AE29</f>
        <v>0</v>
      </c>
      <c r="U29" s="18" t="n">
        <f aca="false">base_fleet!X29+base_fleet!AC29+base_fleet!AH29</f>
        <v>0</v>
      </c>
      <c r="V29" s="12" t="n">
        <f aca="false">$B$15/$B$14*V28</f>
        <v>310.36155864613</v>
      </c>
      <c r="W29" s="12" t="n">
        <f aca="false">$B$15/$B$14*W28</f>
        <v>64.9683760400764</v>
      </c>
      <c r="X29" s="12" t="n">
        <f aca="false">$B$15/$B$14*X28</f>
        <v>14.5768570312802</v>
      </c>
      <c r="Y29" s="12" t="n">
        <f aca="false">$B$15/$B$14*Y28</f>
        <v>11.0050443812314</v>
      </c>
      <c r="Z29" s="12" t="n">
        <f aca="false">$B$15/$B$14*Z28</f>
        <v>22.0100887624628</v>
      </c>
      <c r="AA29" s="12" t="n">
        <f aca="false">$B$15/$B$14*AA28</f>
        <v>4.34409646627554</v>
      </c>
      <c r="AB29" s="12" t="n">
        <f aca="false">$B$15/$B$14*AB28</f>
        <v>0.144803215542518</v>
      </c>
      <c r="AC29" s="12" t="n">
        <f aca="false">$B$15/$B$14*AC28</f>
        <v>0.144803215542518</v>
      </c>
      <c r="AD29" s="12" t="n">
        <f aca="false">$B$15/$B$14*AD28</f>
        <v>1.25496120136849</v>
      </c>
      <c r="AE29" s="12" t="n">
        <f aca="false">$B$15/$B$14*AE28</f>
        <v>6.27480600684245</v>
      </c>
      <c r="AF29" s="12" t="n">
        <f aca="false">$B$15/$B$14*AF28</f>
        <v>0.772283816226763</v>
      </c>
      <c r="AG29" s="12" t="n">
        <f aca="false">$B$15/$B$14*AG28</f>
        <v>0</v>
      </c>
      <c r="AH29" s="12" t="n">
        <f aca="false">$B$15/$B$14*AH28</f>
        <v>0.193070954056691</v>
      </c>
      <c r="AI29" s="12" t="n">
        <f aca="false">$B$15/$B$14*AI28</f>
        <v>0.193070954056691</v>
      </c>
      <c r="AJ29" s="12" t="n">
        <f aca="false">$B$15/$B$14*AJ28</f>
        <v>0</v>
      </c>
      <c r="AK29" s="12" t="n">
        <f aca="false">$B$15/$B$14*AK28</f>
        <v>0</v>
      </c>
      <c r="AL29" s="12" t="n">
        <f aca="false">$B$15/$B$14*AL28</f>
        <v>0</v>
      </c>
      <c r="AM29" s="12" t="n">
        <f aca="false">$B$15/$B$14*AM28</f>
        <v>0</v>
      </c>
      <c r="AN29" s="12" t="n">
        <f aca="false">$B$15/$B$14*AN28</f>
        <v>10.329296042033</v>
      </c>
      <c r="AO29" s="12" t="n">
        <f aca="false">$B$15/$B$14*AO28</f>
        <v>8.59165745552274</v>
      </c>
      <c r="AP29" s="12" t="n">
        <f aca="false">$B$15/$B$14*AP28</f>
        <v>1.64110310948187</v>
      </c>
      <c r="AQ29" s="12" t="n">
        <f aca="false">$B$15/$B$14*AQ28</f>
        <v>4.73023837438892</v>
      </c>
      <c r="AR29" s="12" t="n">
        <f aca="false">$B$15/$B$14*AR28</f>
        <v>2.89606431085036</v>
      </c>
      <c r="AS29" s="12" t="n">
        <f aca="false">$B$15/$B$14*AS28</f>
        <v>0.0965354770283454</v>
      </c>
      <c r="AT29" s="17" t="n">
        <f aca="false">base_fleet!AQ29+base_fleet!AN29+base_fleet!AJ29</f>
        <v>0</v>
      </c>
      <c r="AU29" s="12" t="n">
        <f aca="false">$B$15/$B$14*AU28</f>
        <v>132.387283666964</v>
      </c>
      <c r="AV29" s="12" t="n">
        <f aca="false">$B$15/$B$14*AV28</f>
        <v>12.1100268363209</v>
      </c>
      <c r="AW29" s="12" t="n">
        <f aca="false">$B$15/$B$14*AW28</f>
        <v>4.11505766282749</v>
      </c>
      <c r="AX29" s="12" t="n">
        <f aca="false">$B$15/$B$14*AX28</f>
        <v>1.52844998905021</v>
      </c>
      <c r="AY29" s="12" t="n">
        <f aca="false">$B$15/$B$14*AY28</f>
        <v>0</v>
      </c>
      <c r="AZ29" s="12" t="n">
        <f aca="false">$B$15/$B$14*AZ28</f>
        <v>0.117573076080785</v>
      </c>
      <c r="BA29" s="12" t="n">
        <f aca="false">$B$15/$B$14*BA28</f>
        <v>27.4731512220425</v>
      </c>
      <c r="BB29" s="12" t="n">
        <f aca="false">$B$15/$B$14*BB28</f>
        <v>2.51331667330988</v>
      </c>
      <c r="BC29" s="12" t="n">
        <f aca="false">$B$15/$B$14*BC28</f>
        <v>0.0693328737464796</v>
      </c>
      <c r="BD29" s="12" t="n">
        <f aca="false">$B$15/$B$14*BD28</f>
        <v>0.0173332184366199</v>
      </c>
      <c r="BE29" s="17" t="n">
        <v>0</v>
      </c>
      <c r="BF29" s="17" t="n">
        <v>0</v>
      </c>
      <c r="BG29" s="17" t="n">
        <f aca="false">base_fleet!CE29</f>
        <v>0</v>
      </c>
      <c r="BH29" s="17" t="n">
        <f aca="false">base_fleet!CA29</f>
        <v>0</v>
      </c>
      <c r="BI29" s="17" t="n">
        <f aca="false">base_fleet!BV29</f>
        <v>0</v>
      </c>
      <c r="BJ29" s="17" t="n">
        <f aca="false">base_fleet!CH29</f>
        <v>0</v>
      </c>
      <c r="BK29" s="17" t="n">
        <f aca="false">base_fleet!BU29+base_fleet!BZ29+base_fleet!CD29</f>
        <v>0</v>
      </c>
    </row>
    <row r="30" customFormat="false" ht="12.75" hidden="false" customHeight="false" outlineLevel="0" collapsed="false">
      <c r="A30" s="1" t="n">
        <f aca="false">A29-1</f>
        <v>1991</v>
      </c>
      <c r="B30" s="12" t="n">
        <f aca="false">$B$15/$B$14*B29</f>
        <v>913.036904406744</v>
      </c>
      <c r="C30" s="12" t="n">
        <f aca="false">$B$15/$B$14*C29</f>
        <v>1635.07446894145</v>
      </c>
      <c r="D30" s="12" t="n">
        <f aca="false">$B$15/$B$14*D29</f>
        <v>0.965354770283454</v>
      </c>
      <c r="E30" s="12" t="n">
        <f aca="false">$B$15/$B$14*E29</f>
        <v>680.733265400852</v>
      </c>
      <c r="F30" s="12" t="n">
        <f aca="false">$B$15/$B$14*F29</f>
        <v>7.03548348235994</v>
      </c>
      <c r="G30" s="12" t="n">
        <f aca="false">$B$15/$B$14*G29</f>
        <v>11.0316381003404</v>
      </c>
      <c r="H30" s="12" t="n">
        <f aca="false">$B$15/$B$14*H29</f>
        <v>0.112567735717759</v>
      </c>
      <c r="I30" s="12" t="n">
        <f aca="false">$B$15/$B$14*I29</f>
        <v>87.0983039984704</v>
      </c>
      <c r="J30" s="17" t="n">
        <f aca="false">base_fleet!C30+base_fleet!G30+base_fleet!L30+base_fleet!Q30</f>
        <v>0</v>
      </c>
      <c r="K30" s="17" t="n">
        <f aca="false">base_fleet!E30+base_fleet!J30+base_fleet!O30+base_fleet!T30</f>
        <v>0</v>
      </c>
      <c r="L30" s="12" t="n">
        <f aca="false">$B$15/$B$14*L29</f>
        <v>104.151022869282</v>
      </c>
      <c r="M30" s="17" t="n">
        <f aca="false">base_fleet!I30+base_fleet!N30</f>
        <v>0</v>
      </c>
      <c r="N30" s="12" t="n">
        <f aca="false">$B$15/$B$14*N29</f>
        <v>1052.62284151708</v>
      </c>
      <c r="O30" s="12" t="n">
        <f aca="false">$B$15/$B$14*O29</f>
        <v>16.5075665718471</v>
      </c>
      <c r="P30" s="12" t="n">
        <f aca="false">$B$15/$B$14*P29</f>
        <v>73.6565689726275</v>
      </c>
      <c r="Q30" s="12" t="n">
        <f aca="false">$B$15/$B$14*Q29</f>
        <v>201.179934127072</v>
      </c>
      <c r="R30" s="12" t="n">
        <f aca="false">$B$15/$B$14*R29</f>
        <v>28.5745012003902</v>
      </c>
      <c r="S30" s="12" t="n">
        <f aca="false">$B$15/$B$14*S29</f>
        <v>10.8119734271747</v>
      </c>
      <c r="T30" s="17" t="n">
        <f aca="false">base_fleet!Z30+base_fleet!AE30</f>
        <v>0</v>
      </c>
      <c r="U30" s="18" t="n">
        <f aca="false">base_fleet!X30+base_fleet!AC30+base_fleet!AH30</f>
        <v>0</v>
      </c>
      <c r="V30" s="12" t="n">
        <f aca="false">$B$15/$B$14*V29</f>
        <v>259.278747551002</v>
      </c>
      <c r="W30" s="12" t="n">
        <f aca="false">$B$15/$B$14*W29</f>
        <v>54.2751468434913</v>
      </c>
      <c r="X30" s="12" t="n">
        <f aca="false">$B$15/$B$14*X29</f>
        <v>12.1776332442306</v>
      </c>
      <c r="Y30" s="12" t="n">
        <f aca="false">$B$15/$B$14*Y29</f>
        <v>9.19370986650521</v>
      </c>
      <c r="Z30" s="12" t="n">
        <f aca="false">$B$15/$B$14*Z29</f>
        <v>18.3874197330104</v>
      </c>
      <c r="AA30" s="12" t="n">
        <f aca="false">$B$15/$B$14*AA29</f>
        <v>3.62909599993627</v>
      </c>
      <c r="AB30" s="12" t="n">
        <f aca="false">$B$15/$B$14*AB29</f>
        <v>0.120969866664542</v>
      </c>
      <c r="AC30" s="12" t="n">
        <f aca="false">$B$15/$B$14*AC29</f>
        <v>0.120969866664542</v>
      </c>
      <c r="AD30" s="12" t="n">
        <f aca="false">$B$15/$B$14*AD29</f>
        <v>1.0484055110927</v>
      </c>
      <c r="AE30" s="12" t="n">
        <f aca="false">$B$15/$B$14*AE29</f>
        <v>5.2420275554635</v>
      </c>
      <c r="AF30" s="12" t="n">
        <f aca="false">$B$15/$B$14*AF29</f>
        <v>0.645172622210892</v>
      </c>
      <c r="AG30" s="12" t="n">
        <f aca="false">$B$15/$B$14*AG29</f>
        <v>0</v>
      </c>
      <c r="AH30" s="12" t="n">
        <f aca="false">$B$15/$B$14*AH29</f>
        <v>0.161293155552723</v>
      </c>
      <c r="AI30" s="12" t="n">
        <f aca="false">$B$15/$B$14*AI29</f>
        <v>0.161293155552723</v>
      </c>
      <c r="AJ30" s="12" t="n">
        <f aca="false">$B$15/$B$14*AJ29</f>
        <v>0</v>
      </c>
      <c r="AK30" s="12" t="n">
        <f aca="false">$B$15/$B$14*AK29</f>
        <v>0</v>
      </c>
      <c r="AL30" s="12" t="n">
        <f aca="false">$B$15/$B$14*AL29</f>
        <v>0</v>
      </c>
      <c r="AM30" s="12" t="n">
        <f aca="false">$B$15/$B$14*AM29</f>
        <v>0</v>
      </c>
      <c r="AN30" s="12" t="n">
        <f aca="false">$B$15/$B$14*AN29</f>
        <v>8.62918382207068</v>
      </c>
      <c r="AO30" s="12" t="n">
        <f aca="false">$B$15/$B$14*AO29</f>
        <v>7.17754542209618</v>
      </c>
      <c r="AP30" s="12" t="n">
        <f aca="false">$B$15/$B$14*AP29</f>
        <v>1.37099182219815</v>
      </c>
      <c r="AQ30" s="12" t="n">
        <f aca="false">$B$15/$B$14*AQ29</f>
        <v>3.95168231104172</v>
      </c>
      <c r="AR30" s="12" t="n">
        <f aca="false">$B$15/$B$14*AR29</f>
        <v>2.41939733329085</v>
      </c>
      <c r="AS30" s="12" t="n">
        <f aca="false">$B$15/$B$14*AS29</f>
        <v>0.0806465777763615</v>
      </c>
      <c r="AT30" s="17" t="n">
        <f aca="false">base_fleet!AQ30+base_fleet!AN30+base_fleet!AJ30</f>
        <v>0</v>
      </c>
      <c r="AU30" s="12" t="n">
        <f aca="false">$B$15/$B$14*AU29</f>
        <v>110.597489104593</v>
      </c>
      <c r="AV30" s="12" t="n">
        <f aca="false">$B$15/$B$14*AV29</f>
        <v>10.1168218275071</v>
      </c>
      <c r="AW30" s="12" t="n">
        <f aca="false">$B$15/$B$14*AW29</f>
        <v>3.43775498992961</v>
      </c>
      <c r="AX30" s="12" t="n">
        <f aca="false">$B$15/$B$14*AX29</f>
        <v>1.276880424831</v>
      </c>
      <c r="AY30" s="12" t="n">
        <f aca="false">$B$15/$B$14*AY29</f>
        <v>0</v>
      </c>
      <c r="AZ30" s="12" t="n">
        <f aca="false">$B$15/$B$14*AZ29</f>
        <v>0.0982215711408461</v>
      </c>
      <c r="BA30" s="12" t="n">
        <f aca="false">$B$15/$B$14*BA29</f>
        <v>22.9513096634891</v>
      </c>
      <c r="BB30" s="12" t="n">
        <f aca="false">$B$15/$B$14*BB29</f>
        <v>2.09964662536651</v>
      </c>
      <c r="BC30" s="12" t="n">
        <f aca="false">$B$15/$B$14*BC29</f>
        <v>0.0579212862170072</v>
      </c>
      <c r="BD30" s="12" t="n">
        <f aca="false">$B$15/$B$14*BD29</f>
        <v>0.0144803215542518</v>
      </c>
      <c r="BE30" s="17" t="n">
        <v>0</v>
      </c>
      <c r="BF30" s="17" t="n">
        <v>0</v>
      </c>
      <c r="BG30" s="17" t="n">
        <f aca="false">base_fleet!CE30</f>
        <v>0</v>
      </c>
      <c r="BH30" s="17" t="n">
        <f aca="false">base_fleet!CA30</f>
        <v>0</v>
      </c>
      <c r="BI30" s="17" t="n">
        <f aca="false">base_fleet!BV30</f>
        <v>0</v>
      </c>
      <c r="BJ30" s="17" t="n">
        <f aca="false">base_fleet!CH30</f>
        <v>0</v>
      </c>
      <c r="BK30" s="17" t="n">
        <f aca="false">base_fleet!BU30+base_fleet!BZ30+base_fleet!CD30</f>
        <v>0</v>
      </c>
    </row>
    <row r="31" customFormat="false" ht="12.75" hidden="false" customHeight="false" outlineLevel="0" collapsed="false">
      <c r="A31" s="1" t="n">
        <f aca="false">A30-1</f>
        <v>1990</v>
      </c>
      <c r="B31" s="12" t="n">
        <f aca="false">$B$15/$B$14*B30</f>
        <v>762.758977223536</v>
      </c>
      <c r="C31" s="12" t="n">
        <f aca="false">$B$15/$B$14*C30</f>
        <v>1365.95544341601</v>
      </c>
      <c r="D31" s="12" t="n">
        <f aca="false">$B$15/$B$14*D30</f>
        <v>0.806465777763615</v>
      </c>
      <c r="E31" s="12" t="n">
        <f aca="false">$B$15/$B$14*E30</f>
        <v>568.690495173983</v>
      </c>
      <c r="F31" s="12" t="n">
        <f aca="false">$B$15/$B$14*F30</f>
        <v>5.87750413962162</v>
      </c>
      <c r="G31" s="12" t="n">
        <f aca="false">$B$15/$B$14*G30</f>
        <v>9.21592649092671</v>
      </c>
      <c r="H31" s="12" t="n">
        <f aca="false">$B$15/$B$14*H30</f>
        <v>0.094040066233946</v>
      </c>
      <c r="I31" s="12" t="n">
        <f aca="false">$B$15/$B$14*I30</f>
        <v>72.7626812838905</v>
      </c>
      <c r="J31" s="17" t="n">
        <f aca="false">base_fleet!C31+base_fleet!G31+base_fleet!L31+base_fleet!Q31</f>
        <v>0</v>
      </c>
      <c r="K31" s="17" t="n">
        <f aca="false">base_fleet!E31+base_fleet!J31+base_fleet!O31+base_fleet!T31</f>
        <v>0</v>
      </c>
      <c r="L31" s="12" t="n">
        <f aca="false">$B$15/$B$14*L30</f>
        <v>87.0086710593336</v>
      </c>
      <c r="M31" s="17" t="n">
        <f aca="false">base_fleet!I31+base_fleet!N31</f>
        <v>0</v>
      </c>
      <c r="N31" s="12" t="n">
        <f aca="false">$B$15/$B$14*N30</f>
        <v>879.370284073446</v>
      </c>
      <c r="O31" s="12" t="n">
        <f aca="false">$B$15/$B$14*O30</f>
        <v>13.7905647997578</v>
      </c>
      <c r="P31" s="12" t="n">
        <f aca="false">$B$15/$B$14*P30</f>
        <v>61.5333388433638</v>
      </c>
      <c r="Q31" s="12" t="n">
        <f aca="false">$B$15/$B$14*Q30</f>
        <v>168.067468085937</v>
      </c>
      <c r="R31" s="12" t="n">
        <f aca="false">$B$15/$B$14*R30</f>
        <v>23.871387021803</v>
      </c>
      <c r="S31" s="12" t="n">
        <f aca="false">$B$15/$B$14*S30</f>
        <v>9.03241671095249</v>
      </c>
      <c r="T31" s="17" t="n">
        <f aca="false">base_fleet!Z31+base_fleet!AE31</f>
        <v>0</v>
      </c>
      <c r="U31" s="18" t="n">
        <f aca="false">base_fleet!X31+base_fleet!AC31+base_fleet!AH31</f>
        <v>0</v>
      </c>
      <c r="V31" s="12" t="n">
        <f aca="false">$B$15/$B$14*V30</f>
        <v>216.603722525655</v>
      </c>
      <c r="W31" s="12" t="n">
        <f aca="false">$B$15/$B$14*W30</f>
        <v>45.3419300963503</v>
      </c>
      <c r="X31" s="12" t="n">
        <f aca="false">$B$15/$B$14*X30</f>
        <v>10.1733008091365</v>
      </c>
      <c r="Y31" s="12" t="n">
        <f aca="false">$B$15/$B$14*Y30</f>
        <v>7.68050524663289</v>
      </c>
      <c r="Z31" s="12" t="n">
        <f aca="false">$B$15/$B$14*Z30</f>
        <v>15.3610104932658</v>
      </c>
      <c r="AA31" s="12" t="n">
        <f aca="false">$B$15/$B$14*AA30</f>
        <v>3.03177838682877</v>
      </c>
      <c r="AB31" s="12" t="n">
        <f aca="false">$B$15/$B$14*AB30</f>
        <v>0.101059279560959</v>
      </c>
      <c r="AC31" s="12" t="n">
        <f aca="false">$B$15/$B$14*AC30</f>
        <v>0.101059279560959</v>
      </c>
      <c r="AD31" s="12" t="n">
        <f aca="false">$B$15/$B$14*AD30</f>
        <v>0.875847089528311</v>
      </c>
      <c r="AE31" s="12" t="n">
        <f aca="false">$B$15/$B$14*AE30</f>
        <v>4.37923544764156</v>
      </c>
      <c r="AF31" s="12" t="n">
        <f aca="false">$B$15/$B$14*AF30</f>
        <v>0.538982824325115</v>
      </c>
      <c r="AG31" s="12" t="n">
        <f aca="false">$B$15/$B$14*AG30</f>
        <v>0</v>
      </c>
      <c r="AH31" s="12" t="n">
        <f aca="false">$B$15/$B$14*AH30</f>
        <v>0.134745706081279</v>
      </c>
      <c r="AI31" s="12" t="n">
        <f aca="false">$B$15/$B$14*AI30</f>
        <v>0.134745706081279</v>
      </c>
      <c r="AJ31" s="12" t="n">
        <f aca="false">$B$15/$B$14*AJ30</f>
        <v>0</v>
      </c>
      <c r="AK31" s="12" t="n">
        <f aca="false">$B$15/$B$14*AK30</f>
        <v>0</v>
      </c>
      <c r="AL31" s="12" t="n">
        <f aca="false">$B$15/$B$14*AL30</f>
        <v>0</v>
      </c>
      <c r="AM31" s="12" t="n">
        <f aca="false">$B$15/$B$14*AM30</f>
        <v>0</v>
      </c>
      <c r="AN31" s="12" t="n">
        <f aca="false">$B$15/$B$14*AN30</f>
        <v>7.20889527534841</v>
      </c>
      <c r="AO31" s="12" t="n">
        <f aca="false">$B$15/$B$14*AO30</f>
        <v>5.9961839206169</v>
      </c>
      <c r="AP31" s="12" t="n">
        <f aca="false">$B$15/$B$14*AP30</f>
        <v>1.14533850169087</v>
      </c>
      <c r="AQ31" s="12" t="n">
        <f aca="false">$B$15/$B$14*AQ30</f>
        <v>3.30126979899133</v>
      </c>
      <c r="AR31" s="12" t="n">
        <f aca="false">$B$15/$B$14*AR30</f>
        <v>2.02118559121918</v>
      </c>
      <c r="AS31" s="12" t="n">
        <f aca="false">$B$15/$B$14*AS30</f>
        <v>0.0673728530406393</v>
      </c>
      <c r="AT31" s="17" t="n">
        <f aca="false">base_fleet!AQ31+base_fleet!AN31+base_fleet!AJ31</f>
        <v>0</v>
      </c>
      <c r="AU31" s="12" t="n">
        <f aca="false">$B$15/$B$14*AU30</f>
        <v>92.3941050638293</v>
      </c>
      <c r="AV31" s="12" t="n">
        <f aca="false">$B$15/$B$14*AV30</f>
        <v>8.45168101383164</v>
      </c>
      <c r="AW31" s="12" t="n">
        <f aca="false">$B$15/$B$14*AW30</f>
        <v>2.87193044159327</v>
      </c>
      <c r="AX31" s="12" t="n">
        <f aca="false">$B$15/$B$14*AX30</f>
        <v>1.06671702116322</v>
      </c>
      <c r="AY31" s="12" t="n">
        <f aca="false">$B$15/$B$14*AY30</f>
        <v>0</v>
      </c>
      <c r="AZ31" s="12" t="n">
        <f aca="false">$B$15/$B$14*AZ30</f>
        <v>0.0820551554740936</v>
      </c>
      <c r="BA31" s="12" t="n">
        <f aca="false">$B$15/$B$14*BA30</f>
        <v>19.1737238663299</v>
      </c>
      <c r="BB31" s="12" t="n">
        <f aca="false">$B$15/$B$14*BB30</f>
        <v>1.75406306663586</v>
      </c>
      <c r="BC31" s="12" t="n">
        <f aca="false">$B$15/$B$14*BC30</f>
        <v>0.0483879466658169</v>
      </c>
      <c r="BD31" s="12" t="n">
        <f aca="false">$B$15/$B$14*BD30</f>
        <v>0.0120969866664542</v>
      </c>
      <c r="BE31" s="17" t="n">
        <v>0</v>
      </c>
      <c r="BF31" s="17" t="n">
        <v>0</v>
      </c>
      <c r="BG31" s="17" t="n">
        <f aca="false">base_fleet!CE31</f>
        <v>0</v>
      </c>
      <c r="BH31" s="17" t="n">
        <f aca="false">base_fleet!CA31</f>
        <v>0</v>
      </c>
      <c r="BI31" s="17" t="n">
        <f aca="false">base_fleet!BV31</f>
        <v>0</v>
      </c>
      <c r="BJ31" s="17" t="n">
        <f aca="false">base_fleet!CH31</f>
        <v>0</v>
      </c>
      <c r="BK31" s="17" t="n">
        <f aca="false">base_fleet!BU31+base_fleet!BZ31+base_fleet!CD31</f>
        <v>0</v>
      </c>
    </row>
    <row r="32" customFormat="false" ht="12.75" hidden="false" customHeight="false" outlineLevel="0" collapsed="false">
      <c r="A32" s="1" t="n">
        <f aca="false">A31-1</f>
        <v>1989</v>
      </c>
      <c r="B32" s="12" t="n">
        <f aca="false">$B$15/$B$14*B31</f>
        <v>637.215488801218</v>
      </c>
      <c r="C32" s="12" t="n">
        <f aca="false">$B$15/$B$14*C31</f>
        <v>1141.13106701848</v>
      </c>
      <c r="D32" s="12" t="n">
        <f aca="false">$B$15/$B$14*D31</f>
        <v>0.673728530406393</v>
      </c>
      <c r="E32" s="12" t="n">
        <f aca="false">$B$15/$B$14*E31</f>
        <v>475.088989680546</v>
      </c>
      <c r="F32" s="12" t="n">
        <f aca="false">$B$15/$B$14*F31</f>
        <v>4.91011811738085</v>
      </c>
      <c r="G32" s="12" t="n">
        <f aca="false">$B$15/$B$14*G31</f>
        <v>7.69906520805318</v>
      </c>
      <c r="H32" s="12" t="n">
        <f aca="false">$B$15/$B$14*H31</f>
        <v>0.0785618898780937</v>
      </c>
      <c r="I32" s="12" t="n">
        <f aca="false">$B$15/$B$14*I31</f>
        <v>60.7865772875899</v>
      </c>
      <c r="J32" s="17" t="n">
        <f aca="false">base_fleet!C32+base_fleet!G32+base_fleet!L32+base_fleet!Q32</f>
        <v>0</v>
      </c>
      <c r="K32" s="17" t="n">
        <f aca="false">base_fleet!E32+base_fleet!J32+base_fleet!O32+base_fleet!T32</f>
        <v>0</v>
      </c>
      <c r="L32" s="12" t="n">
        <f aca="false">$B$15/$B$14*L31</f>
        <v>72.68780114635</v>
      </c>
      <c r="M32" s="17" t="n">
        <f aca="false">base_fleet!I32+base_fleet!N32</f>
        <v>0</v>
      </c>
      <c r="N32" s="12" t="n">
        <f aca="false">$B$15/$B$14*N31</f>
        <v>734.633589555131</v>
      </c>
      <c r="O32" s="12" t="n">
        <f aca="false">$B$15/$B$14*O31</f>
        <v>11.5207578699493</v>
      </c>
      <c r="P32" s="12" t="n">
        <f aca="false">$B$15/$B$14*P31</f>
        <v>51.4054868700078</v>
      </c>
      <c r="Q32" s="12" t="n">
        <f aca="false">$B$15/$B$14*Q31</f>
        <v>140.405025736692</v>
      </c>
      <c r="R32" s="12" t="n">
        <f aca="false">$B$15/$B$14*R31</f>
        <v>19.9423645000292</v>
      </c>
      <c r="S32" s="12" t="n">
        <f aca="false">$B$15/$B$14*S31</f>
        <v>7.54575954055161</v>
      </c>
      <c r="T32" s="17" t="n">
        <f aca="false">base_fleet!Z32+base_fleet!AE32</f>
        <v>0</v>
      </c>
      <c r="U32" s="18" t="n">
        <f aca="false">base_fleet!X32+base_fleet!AC32+base_fleet!AH32</f>
        <v>0</v>
      </c>
      <c r="V32" s="12" t="n">
        <f aca="false">$B$15/$B$14*V31</f>
        <v>180.952635166298</v>
      </c>
      <c r="W32" s="12" t="n">
        <f aca="false">$B$15/$B$14*W31</f>
        <v>37.8790430690259</v>
      </c>
      <c r="X32" s="12" t="n">
        <f aca="false">$B$15/$B$14*X31</f>
        <v>8.49886404669081</v>
      </c>
      <c r="Y32" s="12" t="n">
        <f aca="false">$B$15/$B$14*Y31</f>
        <v>6.41636093591227</v>
      </c>
      <c r="Z32" s="12" t="n">
        <f aca="false">$B$15/$B$14*Z31</f>
        <v>12.8327218718245</v>
      </c>
      <c r="AA32" s="12" t="n">
        <f aca="false">$B$15/$B$14*AA31</f>
        <v>2.53277405364958</v>
      </c>
      <c r="AB32" s="12" t="n">
        <f aca="false">$B$15/$B$14*AB31</f>
        <v>0.0844258017883193</v>
      </c>
      <c r="AC32" s="12" t="n">
        <f aca="false">$B$15/$B$14*AC31</f>
        <v>0.0844258017883193</v>
      </c>
      <c r="AD32" s="12" t="n">
        <f aca="false">$B$15/$B$14*AD31</f>
        <v>0.731690282165434</v>
      </c>
      <c r="AE32" s="12" t="n">
        <f aca="false">$B$15/$B$14*AE31</f>
        <v>3.65845141082717</v>
      </c>
      <c r="AF32" s="12" t="n">
        <f aca="false">$B$15/$B$14*AF31</f>
        <v>0.450270942871037</v>
      </c>
      <c r="AG32" s="12" t="n">
        <f aca="false">$B$15/$B$14*AG31</f>
        <v>0</v>
      </c>
      <c r="AH32" s="12" t="n">
        <f aca="false">$B$15/$B$14*AH31</f>
        <v>0.112567735717759</v>
      </c>
      <c r="AI32" s="12" t="n">
        <f aca="false">$B$15/$B$14*AI31</f>
        <v>0.112567735717759</v>
      </c>
      <c r="AJ32" s="12" t="n">
        <f aca="false">$B$15/$B$14*AJ31</f>
        <v>0</v>
      </c>
      <c r="AK32" s="12" t="n">
        <f aca="false">$B$15/$B$14*AK31</f>
        <v>0</v>
      </c>
      <c r="AL32" s="12" t="n">
        <f aca="false">$B$15/$B$14*AL31</f>
        <v>0</v>
      </c>
      <c r="AM32" s="12" t="n">
        <f aca="false">$B$15/$B$14*AM31</f>
        <v>0</v>
      </c>
      <c r="AN32" s="12" t="n">
        <f aca="false">$B$15/$B$14*AN31</f>
        <v>6.02237386090011</v>
      </c>
      <c r="AO32" s="12" t="n">
        <f aca="false">$B$15/$B$14*AO31</f>
        <v>5.00926423944028</v>
      </c>
      <c r="AP32" s="12" t="n">
        <f aca="false">$B$15/$B$14*AP31</f>
        <v>0.956825753600952</v>
      </c>
      <c r="AQ32" s="12" t="n">
        <f aca="false">$B$15/$B$14*AQ31</f>
        <v>2.7579095250851</v>
      </c>
      <c r="AR32" s="12" t="n">
        <f aca="false">$B$15/$B$14*AR31</f>
        <v>1.68851603576639</v>
      </c>
      <c r="AS32" s="12" t="n">
        <f aca="false">$B$15/$B$14*AS31</f>
        <v>0.0562838678588796</v>
      </c>
      <c r="AT32" s="17" t="n">
        <f aca="false">base_fleet!AQ32+base_fleet!AN32+base_fleet!AJ32</f>
        <v>0</v>
      </c>
      <c r="AU32" s="12" t="n">
        <f aca="false">$B$15/$B$14*AU31</f>
        <v>77.1868395897556</v>
      </c>
      <c r="AV32" s="12" t="n">
        <f aca="false">$B$15/$B$14*AV31</f>
        <v>7.06060788432045</v>
      </c>
      <c r="AW32" s="12" t="n">
        <f aca="false">$B$15/$B$14*AW31</f>
        <v>2.39923568884675</v>
      </c>
      <c r="AX32" s="12" t="n">
        <f aca="false">$B$15/$B$14*AX31</f>
        <v>0.891144684428795</v>
      </c>
      <c r="AY32" s="12" t="n">
        <f aca="false">$B$15/$B$14*AY31</f>
        <v>0</v>
      </c>
      <c r="AZ32" s="12" t="n">
        <f aca="false">$B$15/$B$14*AZ31</f>
        <v>0.0685495911099073</v>
      </c>
      <c r="BA32" s="12" t="n">
        <f aca="false">$B$15/$B$14*BA31</f>
        <v>16.017895810412</v>
      </c>
      <c r="BB32" s="12" t="n">
        <f aca="false">$B$15/$B$14*BB31</f>
        <v>1.46535955363391</v>
      </c>
      <c r="BC32" s="12" t="n">
        <f aca="false">$B$15/$B$14*BC31</f>
        <v>0.0404237118243836</v>
      </c>
      <c r="BD32" s="12" t="n">
        <f aca="false">$B$15/$B$14*BD31</f>
        <v>0.0101059279560959</v>
      </c>
      <c r="BE32" s="17" t="n">
        <v>0</v>
      </c>
      <c r="BF32" s="17" t="n">
        <v>0</v>
      </c>
      <c r="BG32" s="17" t="n">
        <f aca="false">base_fleet!CE32</f>
        <v>0</v>
      </c>
      <c r="BH32" s="17" t="n">
        <f aca="false">base_fleet!CA32</f>
        <v>0</v>
      </c>
      <c r="BI32" s="17" t="n">
        <f aca="false">base_fleet!BV32</f>
        <v>0</v>
      </c>
      <c r="BJ32" s="17" t="n">
        <f aca="false">base_fleet!CH32</f>
        <v>0</v>
      </c>
      <c r="BK32" s="17" t="n">
        <f aca="false">base_fleet!BU32+base_fleet!BZ32+base_fleet!CD32</f>
        <v>0</v>
      </c>
    </row>
    <row r="33" customFormat="false" ht="12.75" hidden="false" customHeight="false" outlineLevel="0" collapsed="false">
      <c r="A33" s="1" t="n">
        <f aca="false">A32-1</f>
        <v>1988</v>
      </c>
      <c r="B33" s="12" t="n">
        <f aca="false">$B$15/$B$14*B32</f>
        <v>532.335365813963</v>
      </c>
      <c r="C33" s="12" t="n">
        <f aca="false">$B$15/$B$14*C32</f>
        <v>953.310826053165</v>
      </c>
      <c r="D33" s="12" t="n">
        <f aca="false">$B$15/$B$14*D32</f>
        <v>0.562838678588796</v>
      </c>
      <c r="E33" s="12" t="n">
        <f aca="false">$B$15/$B$14*E32</f>
        <v>396.893477262406</v>
      </c>
      <c r="F33" s="12" t="n">
        <f aca="false">$B$15/$B$14*F32</f>
        <v>4.10195541405162</v>
      </c>
      <c r="G33" s="12" t="n">
        <f aca="false">$B$15/$B$14*G32</f>
        <v>6.43186608923294</v>
      </c>
      <c r="H33" s="12" t="n">
        <f aca="false">$B$15/$B$14*H32</f>
        <v>0.0656312866248259</v>
      </c>
      <c r="I33" s="12" t="n">
        <f aca="false">$B$15/$B$14*I32</f>
        <v>50.7816357663308</v>
      </c>
      <c r="J33" s="17" t="n">
        <f aca="false">base_fleet!C33+base_fleet!G33+base_fleet!L33+base_fleet!Q33</f>
        <v>0</v>
      </c>
      <c r="K33" s="17" t="n">
        <f aca="false">base_fleet!E33+base_fleet!J33+base_fleet!O33+base_fleet!T33</f>
        <v>0</v>
      </c>
      <c r="L33" s="12" t="n">
        <f aca="false">$B$15/$B$14*L32</f>
        <v>60.7240217689147</v>
      </c>
      <c r="M33" s="17" t="n">
        <f aca="false">base_fleet!I33+base_fleet!N33</f>
        <v>0</v>
      </c>
      <c r="N33" s="12" t="n">
        <f aca="false">$B$15/$B$14*N32</f>
        <v>613.719295133223</v>
      </c>
      <c r="O33" s="12" t="n">
        <f aca="false">$B$15/$B$14*O32</f>
        <v>9.6245414038684</v>
      </c>
      <c r="P33" s="12" t="n">
        <f aca="false">$B$15/$B$14*P32</f>
        <v>42.9445911763251</v>
      </c>
      <c r="Q33" s="12" t="n">
        <f aca="false">$B$15/$B$14*Q32</f>
        <v>117.295580617905</v>
      </c>
      <c r="R33" s="12" t="n">
        <f aca="false">$B$15/$B$14*R32</f>
        <v>16.6600248862284</v>
      </c>
      <c r="S33" s="12" t="n">
        <f aca="false">$B$15/$B$14*S32</f>
        <v>6.30379320019451</v>
      </c>
      <c r="T33" s="17" t="n">
        <f aca="false">base_fleet!Z33+base_fleet!AE33</f>
        <v>0</v>
      </c>
      <c r="U33" s="18" t="n">
        <f aca="false">base_fleet!X33+base_fleet!AC33+base_fleet!AH33</f>
        <v>0</v>
      </c>
      <c r="V33" s="12" t="n">
        <f aca="false">$B$15/$B$14*V32</f>
        <v>151.169406471068</v>
      </c>
      <c r="W33" s="12" t="n">
        <f aca="false">$B$15/$B$14*W32</f>
        <v>31.6444822877228</v>
      </c>
      <c r="X33" s="12" t="n">
        <f aca="false">$B$15/$B$14*X32</f>
        <v>7.10002500066292</v>
      </c>
      <c r="Y33" s="12" t="n">
        <f aca="false">$B$15/$B$14*Y32</f>
        <v>5.36028377533492</v>
      </c>
      <c r="Z33" s="12" t="n">
        <f aca="false">$B$15/$B$14*Z32</f>
        <v>10.7205675506698</v>
      </c>
      <c r="AA33" s="12" t="n">
        <f aca="false">$B$15/$B$14*AA32</f>
        <v>2.11590149026378</v>
      </c>
      <c r="AB33" s="12" t="n">
        <f aca="false">$B$15/$B$14*AB32</f>
        <v>0.0705300496754595</v>
      </c>
      <c r="AC33" s="12" t="n">
        <f aca="false">$B$15/$B$14*AC32</f>
        <v>0.0705300496754595</v>
      </c>
      <c r="AD33" s="12" t="n">
        <f aca="false">$B$15/$B$14*AD32</f>
        <v>0.611260430520649</v>
      </c>
      <c r="AE33" s="12" t="n">
        <f aca="false">$B$15/$B$14*AE32</f>
        <v>3.05630215260325</v>
      </c>
      <c r="AF33" s="12" t="n">
        <f aca="false">$B$15/$B$14*AF32</f>
        <v>0.376160264935784</v>
      </c>
      <c r="AG33" s="12" t="n">
        <f aca="false">$B$15/$B$14*AG32</f>
        <v>0</v>
      </c>
      <c r="AH33" s="12" t="n">
        <f aca="false">$B$15/$B$14*AH32</f>
        <v>0.094040066233946</v>
      </c>
      <c r="AI33" s="12" t="n">
        <f aca="false">$B$15/$B$14*AI32</f>
        <v>0.094040066233946</v>
      </c>
      <c r="AJ33" s="12" t="n">
        <f aca="false">$B$15/$B$14*AJ32</f>
        <v>0</v>
      </c>
      <c r="AK33" s="12" t="n">
        <f aca="false">$B$15/$B$14*AK32</f>
        <v>0</v>
      </c>
      <c r="AL33" s="12" t="n">
        <f aca="false">$B$15/$B$14*AL32</f>
        <v>0</v>
      </c>
      <c r="AM33" s="12" t="n">
        <f aca="false">$B$15/$B$14*AM32</f>
        <v>0</v>
      </c>
      <c r="AN33" s="12" t="n">
        <f aca="false">$B$15/$B$14*AN32</f>
        <v>5.03114354351611</v>
      </c>
      <c r="AO33" s="12" t="n">
        <f aca="false">$B$15/$B$14*AO32</f>
        <v>4.1847829474106</v>
      </c>
      <c r="AP33" s="12" t="n">
        <f aca="false">$B$15/$B$14*AP32</f>
        <v>0.799340562988541</v>
      </c>
      <c r="AQ33" s="12" t="n">
        <f aca="false">$B$15/$B$14*AQ32</f>
        <v>2.30398162273168</v>
      </c>
      <c r="AR33" s="12" t="n">
        <f aca="false">$B$15/$B$14*AR32</f>
        <v>1.41060099350919</v>
      </c>
      <c r="AS33" s="12" t="n">
        <f aca="false">$B$15/$B$14*AS32</f>
        <v>0.047020033116973</v>
      </c>
      <c r="AT33" s="17" t="n">
        <f aca="false">base_fleet!AQ33+base_fleet!AN33+base_fleet!AJ33</f>
        <v>0</v>
      </c>
      <c r="AU33" s="12" t="n">
        <f aca="false">$B$15/$B$14*AU32</f>
        <v>64.4825576451959</v>
      </c>
      <c r="AV33" s="12" t="n">
        <f aca="false">$B$15/$B$14*AV32</f>
        <v>5.89849328370797</v>
      </c>
      <c r="AW33" s="12" t="n">
        <f aca="false">$B$15/$B$14*AW32</f>
        <v>2.00434237795902</v>
      </c>
      <c r="AX33" s="12" t="n">
        <f aca="false">$B$15/$B$14*AX32</f>
        <v>0.744470026099064</v>
      </c>
      <c r="AY33" s="12" t="n">
        <f aca="false">$B$15/$B$14*AY32</f>
        <v>0</v>
      </c>
      <c r="AZ33" s="12" t="n">
        <f aca="false">$B$15/$B$14*AZ32</f>
        <v>0.0572669250845434</v>
      </c>
      <c r="BA33" s="12" t="n">
        <f aca="false">$B$15/$B$14*BA32</f>
        <v>13.3814895834486</v>
      </c>
      <c r="BB33" s="12" t="n">
        <f aca="false">$B$15/$B$14*BB32</f>
        <v>1.22417412593063</v>
      </c>
      <c r="BC33" s="12" t="n">
        <f aca="false">$B$15/$B$14*BC32</f>
        <v>0.0337703207153277</v>
      </c>
      <c r="BD33" s="12" t="n">
        <f aca="false">$B$15/$B$14*BD32</f>
        <v>0.00844258017883193</v>
      </c>
      <c r="BE33" s="17" t="n">
        <v>0</v>
      </c>
      <c r="BF33" s="17" t="n">
        <v>0</v>
      </c>
      <c r="BG33" s="17" t="n">
        <f aca="false">base_fleet!CE33</f>
        <v>0</v>
      </c>
      <c r="BH33" s="17" t="n">
        <f aca="false">base_fleet!CA33</f>
        <v>0</v>
      </c>
      <c r="BI33" s="17" t="n">
        <f aca="false">base_fleet!BV33</f>
        <v>0</v>
      </c>
      <c r="BJ33" s="17" t="n">
        <f aca="false">base_fleet!CH33</f>
        <v>0</v>
      </c>
      <c r="BK33" s="17" t="n">
        <f aca="false">base_fleet!BU33+base_fleet!BZ33+base_fleet!CD33</f>
        <v>0</v>
      </c>
    </row>
    <row r="34" customFormat="false" ht="12.75" hidden="false" customHeight="false" outlineLevel="0" collapsed="false">
      <c r="A34" s="1" t="n">
        <f aca="false">A33-1</f>
        <v>1987</v>
      </c>
      <c r="B34" s="12" t="n">
        <f aca="false">$B$15/$B$14*B33</f>
        <v>444.71759816982</v>
      </c>
      <c r="C34" s="12" t="n">
        <f aca="false">$B$15/$B$14*C33</f>
        <v>796.404161920386</v>
      </c>
      <c r="D34" s="12" t="n">
        <f aca="false">$B$15/$B$14*D33</f>
        <v>0.47020033116973</v>
      </c>
      <c r="E34" s="12" t="n">
        <f aca="false">$B$15/$B$14*E33</f>
        <v>331.568265556659</v>
      </c>
      <c r="F34" s="12" t="n">
        <f aca="false">$B$15/$B$14*F33</f>
        <v>3.42680925725728</v>
      </c>
      <c r="G34" s="12" t="n">
        <f aca="false">$B$15/$B$14*G33</f>
        <v>5.37323691537941</v>
      </c>
      <c r="H34" s="12" t="n">
        <f aca="false">$B$15/$B$14*H33</f>
        <v>0.0548289481161164</v>
      </c>
      <c r="I34" s="12" t="n">
        <f aca="false">$B$15/$B$14*I33</f>
        <v>42.4234205341706</v>
      </c>
      <c r="J34" s="17" t="n">
        <f aca="false">base_fleet!C34+base_fleet!G34+base_fleet!L34+base_fleet!Q34</f>
        <v>0</v>
      </c>
      <c r="K34" s="17" t="n">
        <f aca="false">base_fleet!E34+base_fleet!J34+base_fleet!O34+base_fleet!T34</f>
        <v>0</v>
      </c>
      <c r="L34" s="12" t="n">
        <f aca="false">$B$15/$B$14*L33</f>
        <v>50.729376341532</v>
      </c>
      <c r="M34" s="17" t="n">
        <f aca="false">base_fleet!I34+base_fleet!N34</f>
        <v>0</v>
      </c>
      <c r="N34" s="12" t="n">
        <f aca="false">$B$15/$B$14*N33</f>
        <v>512.706441107473</v>
      </c>
      <c r="O34" s="12" t="n">
        <f aca="false">$B$15/$B$14*O33</f>
        <v>8.04042566300238</v>
      </c>
      <c r="P34" s="12" t="n">
        <f aca="false">$B$15/$B$14*P33</f>
        <v>35.8762852682504</v>
      </c>
      <c r="Q34" s="12" t="n">
        <f aca="false">$B$15/$B$14*Q33</f>
        <v>97.9897490157717</v>
      </c>
      <c r="R34" s="12" t="n">
        <f aca="false">$B$15/$B$14*R33</f>
        <v>13.917929802624</v>
      </c>
      <c r="S34" s="12" t="n">
        <f aca="false">$B$15/$B$14*S33</f>
        <v>5.26624370910098</v>
      </c>
      <c r="T34" s="17" t="n">
        <f aca="false">base_fleet!Z34+base_fleet!AE34</f>
        <v>0</v>
      </c>
      <c r="U34" s="18" t="n">
        <f aca="false">base_fleet!X34+base_fleet!AC34+base_fleet!AH34</f>
        <v>0</v>
      </c>
      <c r="V34" s="12" t="n">
        <f aca="false">$B$15/$B$14*V33</f>
        <v>126.288237979036</v>
      </c>
      <c r="W34" s="12" t="n">
        <f aca="false">$B$15/$B$14*W33</f>
        <v>26.4360759439785</v>
      </c>
      <c r="X34" s="12" t="n">
        <f aca="false">$B$15/$B$14*X33</f>
        <v>5.93142268579608</v>
      </c>
      <c r="Y34" s="12" t="n">
        <f aca="false">$B$15/$B$14*Y33</f>
        <v>4.47802772305134</v>
      </c>
      <c r="Z34" s="12" t="n">
        <f aca="false">$B$15/$B$14*Z33</f>
        <v>8.95605544610268</v>
      </c>
      <c r="AA34" s="12" t="n">
        <f aca="false">$B$15/$B$14*AA33</f>
        <v>1.76764252225711</v>
      </c>
      <c r="AB34" s="12" t="n">
        <f aca="false">$B$15/$B$14*AB33</f>
        <v>0.0589214174085702</v>
      </c>
      <c r="AC34" s="12" t="n">
        <f aca="false">$B$15/$B$14*AC33</f>
        <v>0.0589214174085702</v>
      </c>
      <c r="AD34" s="12" t="n">
        <f aca="false">$B$15/$B$14*AD33</f>
        <v>0.510652284207609</v>
      </c>
      <c r="AE34" s="12" t="n">
        <f aca="false">$B$15/$B$14*AE33</f>
        <v>2.55326142103805</v>
      </c>
      <c r="AF34" s="12" t="n">
        <f aca="false">$B$15/$B$14*AF33</f>
        <v>0.314247559512375</v>
      </c>
      <c r="AG34" s="12" t="n">
        <f aca="false">$B$15/$B$14*AG33</f>
        <v>0</v>
      </c>
      <c r="AH34" s="12" t="n">
        <f aca="false">$B$15/$B$14*AH33</f>
        <v>0.0785618898780937</v>
      </c>
      <c r="AI34" s="12" t="n">
        <f aca="false">$B$15/$B$14*AI33</f>
        <v>0.0785618898780937</v>
      </c>
      <c r="AJ34" s="12" t="n">
        <f aca="false">$B$15/$B$14*AJ33</f>
        <v>0</v>
      </c>
      <c r="AK34" s="12" t="n">
        <f aca="false">$B$15/$B$14*AK33</f>
        <v>0</v>
      </c>
      <c r="AL34" s="12" t="n">
        <f aca="false">$B$15/$B$14*AL33</f>
        <v>0</v>
      </c>
      <c r="AM34" s="12" t="n">
        <f aca="false">$B$15/$B$14*AM33</f>
        <v>0</v>
      </c>
      <c r="AN34" s="12" t="n">
        <f aca="false">$B$15/$B$14*AN33</f>
        <v>4.20306110847801</v>
      </c>
      <c r="AO34" s="12" t="n">
        <f aca="false">$B$15/$B$14*AO33</f>
        <v>3.49600409957517</v>
      </c>
      <c r="AP34" s="12" t="n">
        <f aca="false">$B$15/$B$14*AP33</f>
        <v>0.667776063963796</v>
      </c>
      <c r="AQ34" s="12" t="n">
        <f aca="false">$B$15/$B$14*AQ33</f>
        <v>1.9247663020133</v>
      </c>
      <c r="AR34" s="12" t="n">
        <f aca="false">$B$15/$B$14*AR33</f>
        <v>1.17842834817141</v>
      </c>
      <c r="AS34" s="12" t="n">
        <f aca="false">$B$15/$B$14*AS33</f>
        <v>0.0392809449390469</v>
      </c>
      <c r="AT34" s="17" t="n">
        <f aca="false">base_fleet!AQ34+base_fleet!AN34+base_fleet!AJ34</f>
        <v>0</v>
      </c>
      <c r="AU34" s="12" t="n">
        <f aca="false">$B$15/$B$14*AU33</f>
        <v>53.8692899277336</v>
      </c>
      <c r="AV34" s="12" t="n">
        <f aca="false">$B$15/$B$14*AV33</f>
        <v>4.9276526310449</v>
      </c>
      <c r="AW34" s="12" t="n">
        <f aca="false">$B$15/$B$14*AW33</f>
        <v>1.67444506880167</v>
      </c>
      <c r="AX34" s="12" t="n">
        <f aca="false">$B$15/$B$14*AX33</f>
        <v>0.621936739840619</v>
      </c>
      <c r="AY34" s="12" t="n">
        <f aca="false">$B$15/$B$14*AY33</f>
        <v>0</v>
      </c>
      <c r="AZ34" s="12" t="n">
        <f aca="false">$B$15/$B$14*AZ33</f>
        <v>0.0478412876800476</v>
      </c>
      <c r="BA34" s="12" t="n">
        <f aca="false">$B$15/$B$14*BA33</f>
        <v>11.1790128735603</v>
      </c>
      <c r="BB34" s="12" t="n">
        <f aca="false">$B$15/$B$14*BB33</f>
        <v>1.02268572029416</v>
      </c>
      <c r="BC34" s="12" t="n">
        <f aca="false">$B$15/$B$14*BC33</f>
        <v>0.0282120198701838</v>
      </c>
      <c r="BD34" s="12" t="n">
        <f aca="false">$B$15/$B$14*BD33</f>
        <v>0.00705300496754595</v>
      </c>
      <c r="BE34" s="17" t="n">
        <v>0</v>
      </c>
      <c r="BF34" s="17" t="n">
        <v>0</v>
      </c>
      <c r="BG34" s="17" t="n">
        <f aca="false">base_fleet!CE34</f>
        <v>0</v>
      </c>
      <c r="BH34" s="17" t="n">
        <f aca="false">base_fleet!CA34</f>
        <v>0</v>
      </c>
      <c r="BI34" s="17" t="n">
        <f aca="false">base_fleet!BV34</f>
        <v>0</v>
      </c>
      <c r="BJ34" s="17" t="n">
        <f aca="false">base_fleet!CH34</f>
        <v>0</v>
      </c>
      <c r="BK34" s="17" t="n">
        <f aca="false">base_fleet!BU34+base_fleet!BZ34+base_fleet!CD34</f>
        <v>0</v>
      </c>
    </row>
    <row r="35" customFormat="false" ht="12.75" hidden="false" customHeight="false" outlineLevel="0" collapsed="false">
      <c r="A35" s="1" t="n">
        <f aca="false">A34-1</f>
        <v>1986</v>
      </c>
      <c r="B35" s="12" t="n">
        <f aca="false">$B$15/$B$14*B34</f>
        <v>371.520952434805</v>
      </c>
      <c r="C35" s="12" t="n">
        <f aca="false">$B$15/$B$14*C34</f>
        <v>665.322968952353</v>
      </c>
      <c r="D35" s="12" t="n">
        <f aca="false">$B$15/$B$14*D34</f>
        <v>0.392809449390468</v>
      </c>
      <c r="E35" s="12" t="n">
        <f aca="false">$B$15/$B$14*E34</f>
        <v>276.995015092088</v>
      </c>
      <c r="F35" s="12" t="n">
        <f aca="false">$B$15/$B$14*F34</f>
        <v>2.86278628124464</v>
      </c>
      <c r="G35" s="12" t="n">
        <f aca="false">$B$15/$B$14*G34</f>
        <v>4.4888488889916</v>
      </c>
      <c r="H35" s="12" t="n">
        <f aca="false">$B$15/$B$14*H34</f>
        <v>0.0458045804999143</v>
      </c>
      <c r="I35" s="12" t="n">
        <f aca="false">$B$15/$B$14*I34</f>
        <v>35.440894777406</v>
      </c>
      <c r="J35" s="17" t="n">
        <f aca="false">base_fleet!C35+base_fleet!G35+base_fleet!L35+base_fleet!Q35</f>
        <v>0</v>
      </c>
      <c r="K35" s="17" t="n">
        <f aca="false">base_fleet!E35+base_fleet!J35+base_fleet!O35+base_fleet!T35</f>
        <v>0</v>
      </c>
      <c r="L35" s="12" t="n">
        <f aca="false">$B$15/$B$14*L34</f>
        <v>42.3797625558157</v>
      </c>
      <c r="M35" s="17" t="n">
        <f aca="false">base_fleet!I35+base_fleet!N35</f>
        <v>0</v>
      </c>
      <c r="N35" s="12" t="n">
        <f aca="false">$B$15/$B$14*N34</f>
        <v>428.319423615367</v>
      </c>
      <c r="O35" s="12" t="n">
        <f aca="false">$B$15/$B$14*O34</f>
        <v>6.71704158457701</v>
      </c>
      <c r="P35" s="12" t="n">
        <f aca="false">$B$15/$B$14*P34</f>
        <v>29.9713609884927</v>
      </c>
      <c r="Q35" s="12" t="n">
        <f aca="false">$B$15/$B$14*Q34</f>
        <v>81.8614892529736</v>
      </c>
      <c r="R35" s="12" t="n">
        <f aca="false">$B$15/$B$14*R34</f>
        <v>11.6271597019579</v>
      </c>
      <c r="S35" s="12" t="n">
        <f aca="false">$B$15/$B$14*S34</f>
        <v>4.39946583317325</v>
      </c>
      <c r="T35" s="17" t="n">
        <f aca="false">base_fleet!Z35+base_fleet!AE35</f>
        <v>0</v>
      </c>
      <c r="U35" s="18" t="n">
        <f aca="false">base_fleet!X35+base_fleet!AC35+base_fleet!AH35</f>
        <v>0</v>
      </c>
      <c r="V35" s="12" t="n">
        <f aca="false">$B$15/$B$14*V34</f>
        <v>105.502293249408</v>
      </c>
      <c r="W35" s="12" t="n">
        <f aca="false">$B$15/$B$14*W34</f>
        <v>22.0849279492539</v>
      </c>
      <c r="X35" s="12" t="n">
        <f aca="false">$B$15/$B$14*X34</f>
        <v>4.95516214017436</v>
      </c>
      <c r="Y35" s="12" t="n">
        <f aca="false">$B$15/$B$14*Y34</f>
        <v>3.74098333761508</v>
      </c>
      <c r="Z35" s="12" t="n">
        <f aca="false">$B$15/$B$14*Z34</f>
        <v>7.48196667523015</v>
      </c>
      <c r="AA35" s="12" t="n">
        <f aca="false">$B$15/$B$14*AA34</f>
        <v>1.47670394905858</v>
      </c>
      <c r="AB35" s="12" t="n">
        <f aca="false">$B$15/$B$14*AB34</f>
        <v>0.0492234649686194</v>
      </c>
      <c r="AC35" s="12" t="n">
        <f aca="false">$B$15/$B$14*AC34</f>
        <v>0.0492234649686194</v>
      </c>
      <c r="AD35" s="12" t="n">
        <f aca="false">$B$15/$B$14*AD34</f>
        <v>0.426603363061368</v>
      </c>
      <c r="AE35" s="12" t="n">
        <f aca="false">$B$15/$B$14*AE34</f>
        <v>2.13301681530684</v>
      </c>
      <c r="AF35" s="12" t="n">
        <f aca="false">$B$15/$B$14*AF34</f>
        <v>0.262525146499304</v>
      </c>
      <c r="AG35" s="12" t="n">
        <f aca="false">$B$15/$B$14*AG34</f>
        <v>0</v>
      </c>
      <c r="AH35" s="12" t="n">
        <f aca="false">$B$15/$B$14*AH34</f>
        <v>0.0656312866248259</v>
      </c>
      <c r="AI35" s="12" t="n">
        <f aca="false">$B$15/$B$14*AI34</f>
        <v>0.0656312866248259</v>
      </c>
      <c r="AJ35" s="12" t="n">
        <f aca="false">$B$15/$B$14*AJ34</f>
        <v>0</v>
      </c>
      <c r="AK35" s="12" t="n">
        <f aca="false">$B$15/$B$14*AK34</f>
        <v>0</v>
      </c>
      <c r="AL35" s="12" t="n">
        <f aca="false">$B$15/$B$14*AL34</f>
        <v>0</v>
      </c>
      <c r="AM35" s="12" t="n">
        <f aca="false">$B$15/$B$14*AM34</f>
        <v>0</v>
      </c>
      <c r="AN35" s="12" t="n">
        <f aca="false">$B$15/$B$14*AN34</f>
        <v>3.51127383442819</v>
      </c>
      <c r="AO35" s="12" t="n">
        <f aca="false">$B$15/$B$14*AO34</f>
        <v>2.92059225480475</v>
      </c>
      <c r="AP35" s="12" t="n">
        <f aca="false">$B$15/$B$14*AP34</f>
        <v>0.55786593631102</v>
      </c>
      <c r="AQ35" s="12" t="n">
        <f aca="false">$B$15/$B$14*AQ34</f>
        <v>1.60796652230824</v>
      </c>
      <c r="AR35" s="12" t="n">
        <f aca="false">$B$15/$B$14*AR34</f>
        <v>0.984469299372388</v>
      </c>
      <c r="AS35" s="12" t="n">
        <f aca="false">$B$15/$B$14*AS34</f>
        <v>0.032815643312413</v>
      </c>
      <c r="AT35" s="17" t="n">
        <f aca="false">base_fleet!AQ35+base_fleet!AN35+base_fleet!AJ35</f>
        <v>0</v>
      </c>
      <c r="AU35" s="12" t="n">
        <f aca="false">$B$15/$B$14*AU34</f>
        <v>45.0028736962548</v>
      </c>
      <c r="AV35" s="12" t="n">
        <f aca="false">$B$15/$B$14*AV34</f>
        <v>4.11660389939098</v>
      </c>
      <c r="AW35" s="12" t="n">
        <f aca="false">$B$15/$B$14*AW34</f>
        <v>1.39884598522995</v>
      </c>
      <c r="AX35" s="12" t="n">
        <f aca="false">$B$15/$B$14*AX34</f>
        <v>0.519571365942552</v>
      </c>
      <c r="AY35" s="12" t="n">
        <f aca="false">$B$15/$B$14*AY34</f>
        <v>0</v>
      </c>
      <c r="AZ35" s="12" t="n">
        <f aca="false">$B$15/$B$14*AZ34</f>
        <v>0.039967028149427</v>
      </c>
      <c r="BA35" s="12" t="n">
        <f aca="false">$B$15/$B$14*BA34</f>
        <v>9.33904465925839</v>
      </c>
      <c r="BB35" s="12" t="n">
        <f aca="false">$B$15/$B$14*BB34</f>
        <v>0.854360552424269</v>
      </c>
      <c r="BC35" s="12" t="n">
        <f aca="false">$B$15/$B$14*BC34</f>
        <v>0.0235685669634281</v>
      </c>
      <c r="BD35" s="12" t="n">
        <f aca="false">$B$15/$B$14*BD34</f>
        <v>0.00589214174085703</v>
      </c>
      <c r="BE35" s="17" t="n">
        <v>0</v>
      </c>
      <c r="BF35" s="17" t="n">
        <v>0</v>
      </c>
      <c r="BG35" s="17" t="n">
        <f aca="false">base_fleet!CE35</f>
        <v>0</v>
      </c>
      <c r="BH35" s="17" t="n">
        <f aca="false">base_fleet!CA35</f>
        <v>0</v>
      </c>
      <c r="BI35" s="17" t="n">
        <f aca="false">base_fleet!BV35</f>
        <v>0</v>
      </c>
      <c r="BJ35" s="17" t="n">
        <f aca="false">base_fleet!CH35</f>
        <v>0</v>
      </c>
      <c r="BK35" s="17" t="n">
        <f aca="false">base_fleet!BU35+base_fleet!BZ35+base_fleet!CD35</f>
        <v>0</v>
      </c>
    </row>
    <row r="36" customFormat="false" ht="12.75" hidden="false" customHeight="false" outlineLevel="0" collapsed="false">
      <c r="A36" s="1" t="n">
        <f aca="false">A35-1</f>
        <v>1985</v>
      </c>
      <c r="B36" s="12" t="n">
        <f aca="false">$B$15/$B$14*B35</f>
        <v>310.371837467419</v>
      </c>
      <c r="C36" s="12" t="n">
        <f aca="false">$B$15/$B$14*C35</f>
        <v>555.81659938616</v>
      </c>
      <c r="D36" s="12" t="n">
        <f aca="false">$B$15/$B$14*D35</f>
        <v>0.328156433124129</v>
      </c>
      <c r="E36" s="12" t="n">
        <f aca="false">$B$15/$B$14*E35</f>
        <v>231.404046635925</v>
      </c>
      <c r="F36" s="12" t="n">
        <f aca="false">$B$15/$B$14*F35</f>
        <v>2.39159657769864</v>
      </c>
      <c r="G36" s="12" t="n">
        <f aca="false">$B$15/$B$14*G35</f>
        <v>3.75002343383148</v>
      </c>
      <c r="H36" s="12" t="n">
        <f aca="false">$B$15/$B$14*H35</f>
        <v>0.0382655452431783</v>
      </c>
      <c r="I36" s="12" t="n">
        <f aca="false">$B$15/$B$14*I35</f>
        <v>29.6076319827029</v>
      </c>
      <c r="J36" s="17" t="n">
        <f aca="false">base_fleet!C36+base_fleet!G36+base_fleet!L36+base_fleet!Q36</f>
        <v>0</v>
      </c>
      <c r="K36" s="17" t="n">
        <f aca="false">base_fleet!E36+base_fleet!J36+base_fleet!O36+base_fleet!T36</f>
        <v>0</v>
      </c>
      <c r="L36" s="12" t="n">
        <f aca="false">$B$15/$B$14*L35</f>
        <v>35.4044225222793</v>
      </c>
      <c r="M36" s="17" t="n">
        <f aca="false">base_fleet!I36+base_fleet!N36</f>
        <v>0</v>
      </c>
      <c r="N36" s="12" t="n">
        <f aca="false">$B$15/$B$14*N35</f>
        <v>357.821774678551</v>
      </c>
      <c r="O36" s="12" t="n">
        <f aca="false">$B$15/$B$14*O35</f>
        <v>5.61147500642261</v>
      </c>
      <c r="P36" s="12" t="n">
        <f aca="false">$B$15/$B$14*P35</f>
        <v>25.0383358473711</v>
      </c>
      <c r="Q36" s="12" t="n">
        <f aca="false">$B$15/$B$14*Q35</f>
        <v>68.3878006630686</v>
      </c>
      <c r="R36" s="12" t="n">
        <f aca="false">$B$15/$B$14*R35</f>
        <v>9.71343042047424</v>
      </c>
      <c r="S36" s="12" t="n">
        <f aca="false">$B$15/$B$14*S35</f>
        <v>3.67535205099025</v>
      </c>
      <c r="T36" s="17" t="n">
        <f aca="false">base_fleet!Z36+base_fleet!AE36</f>
        <v>0</v>
      </c>
      <c r="U36" s="18" t="n">
        <f aca="false">base_fleet!X36+base_fleet!AC36+base_fleet!AH36</f>
        <v>0</v>
      </c>
      <c r="V36" s="12" t="n">
        <f aca="false">$B$15/$B$14*V35</f>
        <v>88.1375340966571</v>
      </c>
      <c r="W36" s="12" t="n">
        <f aca="false">$B$15/$B$14*W35</f>
        <v>18.4499410410732</v>
      </c>
      <c r="X36" s="12" t="n">
        <f aca="false">$B$15/$B$14*X35</f>
        <v>4.13958558276679</v>
      </c>
      <c r="Y36" s="12" t="n">
        <f aca="false">$B$15/$B$14*Y35</f>
        <v>3.12525004261864</v>
      </c>
      <c r="Z36" s="12" t="n">
        <f aca="false">$B$15/$B$14*Z35</f>
        <v>6.25050008523727</v>
      </c>
      <c r="AA36" s="12" t="n">
        <f aca="false">$B$15/$B$14*AA35</f>
        <v>1.23365133261262</v>
      </c>
      <c r="AB36" s="12" t="n">
        <f aca="false">$B$15/$B$14*AB35</f>
        <v>0.0411217110870873</v>
      </c>
      <c r="AC36" s="12" t="n">
        <f aca="false">$B$15/$B$14*AC35</f>
        <v>0.0411217110870873</v>
      </c>
      <c r="AD36" s="12" t="n">
        <f aca="false">$B$15/$B$14*AD35</f>
        <v>0.356388162754757</v>
      </c>
      <c r="AE36" s="12" t="n">
        <f aca="false">$B$15/$B$14*AE35</f>
        <v>1.78194081377378</v>
      </c>
      <c r="AF36" s="12" t="n">
        <f aca="false">$B$15/$B$14*AF35</f>
        <v>0.219315792464466</v>
      </c>
      <c r="AG36" s="12" t="n">
        <f aca="false">$B$15/$B$14*AG35</f>
        <v>0</v>
      </c>
      <c r="AH36" s="12" t="n">
        <f aca="false">$B$15/$B$14*AH35</f>
        <v>0.0548289481161164</v>
      </c>
      <c r="AI36" s="12" t="n">
        <f aca="false">$B$15/$B$14*AI35</f>
        <v>0.0548289481161164</v>
      </c>
      <c r="AJ36" s="12" t="n">
        <f aca="false">$B$15/$B$14*AJ35</f>
        <v>0</v>
      </c>
      <c r="AK36" s="12" t="n">
        <f aca="false">$B$15/$B$14*AK35</f>
        <v>0</v>
      </c>
      <c r="AL36" s="12" t="n">
        <f aca="false">$B$15/$B$14*AL35</f>
        <v>0</v>
      </c>
      <c r="AM36" s="12" t="n">
        <f aca="false">$B$15/$B$14*AM35</f>
        <v>0</v>
      </c>
      <c r="AN36" s="12" t="n">
        <f aca="false">$B$15/$B$14*AN35</f>
        <v>2.93334872421223</v>
      </c>
      <c r="AO36" s="12" t="n">
        <f aca="false">$B$15/$B$14*AO35</f>
        <v>2.43988819116718</v>
      </c>
      <c r="AP36" s="12" t="n">
        <f aca="false">$B$15/$B$14*AP35</f>
        <v>0.46604605898699</v>
      </c>
      <c r="AQ36" s="12" t="n">
        <f aca="false">$B$15/$B$14*AQ35</f>
        <v>1.34330922884485</v>
      </c>
      <c r="AR36" s="12" t="n">
        <f aca="false">$B$15/$B$14*AR35</f>
        <v>0.822434221741746</v>
      </c>
      <c r="AS36" s="12" t="n">
        <f aca="false">$B$15/$B$14*AS35</f>
        <v>0.0274144740580582</v>
      </c>
      <c r="AT36" s="17" t="n">
        <f aca="false">base_fleet!AQ36+base_fleet!AN36+base_fleet!AJ36</f>
        <v>0</v>
      </c>
      <c r="AU36" s="12" t="n">
        <f aca="false">$B$15/$B$14*AU35</f>
        <v>37.5957924011617</v>
      </c>
      <c r="AV36" s="12" t="n">
        <f aca="false">$B$15/$B$14*AV35</f>
        <v>3.43904672941355</v>
      </c>
      <c r="AW36" s="12" t="n">
        <f aca="false">$B$15/$B$14*AW35</f>
        <v>1.16860811193664</v>
      </c>
      <c r="AX36" s="12" t="n">
        <f aca="false">$B$15/$B$14*AX35</f>
        <v>0.434054441576468</v>
      </c>
      <c r="AY36" s="12" t="n">
        <f aca="false">$B$15/$B$14*AY35</f>
        <v>0</v>
      </c>
      <c r="AZ36" s="12" t="n">
        <f aca="false">$B$15/$B$14*AZ35</f>
        <v>0.0333888031981898</v>
      </c>
      <c r="BA36" s="12" t="n">
        <f aca="false">$B$15/$B$14*BA35</f>
        <v>7.80191919752618</v>
      </c>
      <c r="BB36" s="12" t="n">
        <f aca="false">$B$15/$B$14*BB35</f>
        <v>0.713740242044982</v>
      </c>
      <c r="BC36" s="12" t="n">
        <f aca="false">$B$15/$B$14*BC35</f>
        <v>0.0196893859874478</v>
      </c>
      <c r="BD36" s="12" t="n">
        <f aca="false">$B$15/$B$14*BD35</f>
        <v>0.00492234649686194</v>
      </c>
      <c r="BE36" s="17" t="n">
        <v>0</v>
      </c>
      <c r="BF36" s="17" t="n">
        <v>0</v>
      </c>
      <c r="BG36" s="17" t="n">
        <f aca="false">base_fleet!CE36</f>
        <v>0</v>
      </c>
      <c r="BH36" s="17" t="n">
        <f aca="false">base_fleet!CA36</f>
        <v>0</v>
      </c>
      <c r="BI36" s="17" t="n">
        <f aca="false">base_fleet!BV36</f>
        <v>0</v>
      </c>
      <c r="BJ36" s="17" t="n">
        <f aca="false">base_fleet!CH36</f>
        <v>0</v>
      </c>
      <c r="BK36" s="17" t="n">
        <f aca="false">base_fleet!BU36+base_fleet!BZ36+base_fleet!CD36</f>
        <v>0</v>
      </c>
    </row>
    <row r="37" customFormat="false" ht="12.75" hidden="false" customHeight="false" outlineLevel="0" collapsed="false">
      <c r="A37" s="1" t="n">
        <f aca="false">A36-1</f>
        <v>1984</v>
      </c>
      <c r="B37" s="12" t="n">
        <f aca="false">$B$15/$B$14*B36</f>
        <v>259.287334567776</v>
      </c>
      <c r="C37" s="12" t="n">
        <f aca="false">$B$15/$B$14*C36</f>
        <v>464.334025082064</v>
      </c>
      <c r="D37" s="12" t="n">
        <f aca="false">$B$15/$B$14*D36</f>
        <v>0.274144740580582</v>
      </c>
      <c r="E37" s="12" t="n">
        <f aca="false">$B$15/$B$14*E36</f>
        <v>193.316954753425</v>
      </c>
      <c r="F37" s="12" t="n">
        <f aca="false">$B$15/$B$14*F36</f>
        <v>1.99796059801332</v>
      </c>
      <c r="G37" s="12" t="n">
        <f aca="false">$B$15/$B$14*G36</f>
        <v>3.13280221768488</v>
      </c>
      <c r="H37" s="12" t="n">
        <f aca="false">$B$15/$B$14*H36</f>
        <v>0.0319673695682131</v>
      </c>
      <c r="I37" s="12" t="n">
        <f aca="false">$B$15/$B$14*I36</f>
        <v>24.7344734699537</v>
      </c>
      <c r="J37" s="17" t="n">
        <f aca="false">base_fleet!C37+base_fleet!G37+base_fleet!L37+base_fleet!Q37</f>
        <v>0</v>
      </c>
      <c r="K37" s="17" t="n">
        <f aca="false">base_fleet!E37+base_fleet!J37+base_fleet!O37+base_fleet!T37</f>
        <v>0</v>
      </c>
      <c r="L37" s="12" t="n">
        <f aca="false">$B$15/$B$14*L36</f>
        <v>29.5771627433071</v>
      </c>
      <c r="M37" s="17" t="n">
        <f aca="false">base_fleet!I37+base_fleet!N37</f>
        <v>0</v>
      </c>
      <c r="N37" s="12" t="n">
        <f aca="false">$B$15/$B$14*N36</f>
        <v>298.927425129067</v>
      </c>
      <c r="O37" s="12" t="n">
        <f aca="false">$B$15/$B$14*O36</f>
        <v>4.68787506392795</v>
      </c>
      <c r="P37" s="12" t="n">
        <f aca="false">$B$15/$B$14*P36</f>
        <v>20.9172437062984</v>
      </c>
      <c r="Q37" s="12" t="n">
        <f aca="false">$B$15/$B$14*Q36</f>
        <v>57.1317639369933</v>
      </c>
      <c r="R37" s="12" t="n">
        <f aca="false">$B$15/$B$14*R36</f>
        <v>8.11468432118523</v>
      </c>
      <c r="S37" s="12" t="n">
        <f aca="false">$B$15/$B$14*S36</f>
        <v>3.07042109450252</v>
      </c>
      <c r="T37" s="17" t="n">
        <f aca="false">base_fleet!Z37+base_fleet!AE37</f>
        <v>0</v>
      </c>
      <c r="U37" s="18" t="n">
        <f aca="false">base_fleet!X37+base_fleet!AC37+base_fleet!AH37</f>
        <v>0</v>
      </c>
      <c r="V37" s="12" t="n">
        <f aca="false">$B$15/$B$14*V36</f>
        <v>73.6308631536122</v>
      </c>
      <c r="W37" s="12" t="n">
        <f aca="false">$B$15/$B$14*W36</f>
        <v>15.4132413382212</v>
      </c>
      <c r="X37" s="12" t="n">
        <f aca="false">$B$15/$B$14*X36</f>
        <v>3.45824582774353</v>
      </c>
      <c r="Y37" s="12" t="n">
        <f aca="false">$B$15/$B$14*Y36</f>
        <v>2.61086108849512</v>
      </c>
      <c r="Z37" s="12" t="n">
        <f aca="false">$B$15/$B$14*Z36</f>
        <v>5.22172217699023</v>
      </c>
      <c r="AA37" s="12" t="n">
        <f aca="false">$B$15/$B$14*AA36</f>
        <v>1.03060306124807</v>
      </c>
      <c r="AB37" s="12" t="n">
        <f aca="false">$B$15/$B$14*AB36</f>
        <v>0.0343534353749357</v>
      </c>
      <c r="AC37" s="12" t="n">
        <f aca="false">$B$15/$B$14*AC36</f>
        <v>0.0343534353749357</v>
      </c>
      <c r="AD37" s="12" t="n">
        <f aca="false">$B$15/$B$14*AD36</f>
        <v>0.297729773249443</v>
      </c>
      <c r="AE37" s="12" t="n">
        <f aca="false">$B$15/$B$14*AE36</f>
        <v>1.48864886624722</v>
      </c>
      <c r="AF37" s="12" t="n">
        <f aca="false">$B$15/$B$14*AF36</f>
        <v>0.183218321999657</v>
      </c>
      <c r="AG37" s="12" t="n">
        <f aca="false">$B$15/$B$14*AG36</f>
        <v>0</v>
      </c>
      <c r="AH37" s="12" t="n">
        <f aca="false">$B$15/$B$14*AH36</f>
        <v>0.0458045804999143</v>
      </c>
      <c r="AI37" s="12" t="n">
        <f aca="false">$B$15/$B$14*AI36</f>
        <v>0.0458045804999143</v>
      </c>
      <c r="AJ37" s="12" t="n">
        <f aca="false">$B$15/$B$14*AJ36</f>
        <v>0</v>
      </c>
      <c r="AK37" s="12" t="n">
        <f aca="false">$B$15/$B$14*AK36</f>
        <v>0</v>
      </c>
      <c r="AL37" s="12" t="n">
        <f aca="false">$B$15/$B$14*AL36</f>
        <v>0</v>
      </c>
      <c r="AM37" s="12" t="n">
        <f aca="false">$B$15/$B$14*AM36</f>
        <v>0</v>
      </c>
      <c r="AN37" s="12" t="n">
        <f aca="false">$B$15/$B$14*AN36</f>
        <v>2.45054505674542</v>
      </c>
      <c r="AO37" s="12" t="n">
        <f aca="false">$B$15/$B$14*AO36</f>
        <v>2.03830383224619</v>
      </c>
      <c r="AP37" s="12" t="n">
        <f aca="false">$B$15/$B$14*AP36</f>
        <v>0.389338934249272</v>
      </c>
      <c r="AQ37" s="12" t="n">
        <f aca="false">$B$15/$B$14*AQ36</f>
        <v>1.1222122222479</v>
      </c>
      <c r="AR37" s="12" t="n">
        <f aca="false">$B$15/$B$14*AR36</f>
        <v>0.687068707498714</v>
      </c>
      <c r="AS37" s="12" t="n">
        <f aca="false">$B$15/$B$14*AS36</f>
        <v>0.0229022902499572</v>
      </c>
      <c r="AT37" s="17" t="n">
        <f aca="false">base_fleet!AQ37+base_fleet!AN37+base_fleet!AJ37</f>
        <v>0</v>
      </c>
      <c r="AU37" s="12" t="n">
        <f aca="false">$B$15/$B$14*AU36</f>
        <v>31.4078522143104</v>
      </c>
      <c r="AV37" s="12" t="n">
        <f aca="false">$B$15/$B$14*AV36</f>
        <v>2.87300957200175</v>
      </c>
      <c r="AW37" s="12" t="n">
        <f aca="false">$B$15/$B$14*AW36</f>
        <v>0.976265388544285</v>
      </c>
      <c r="AX37" s="12" t="n">
        <f aca="false">$B$15/$B$14*AX36</f>
        <v>0.362612858602163</v>
      </c>
      <c r="AY37" s="12" t="n">
        <f aca="false">$B$15/$B$14*AY36</f>
        <v>0</v>
      </c>
      <c r="AZ37" s="12" t="n">
        <f aca="false">$B$15/$B$14*AZ36</f>
        <v>0.027893296815551</v>
      </c>
      <c r="BA37" s="12" t="n">
        <f aca="false">$B$15/$B$14*BA36</f>
        <v>6.51779120730334</v>
      </c>
      <c r="BB37" s="12" t="n">
        <f aca="false">$B$15/$B$14*BB36</f>
        <v>0.596264810762766</v>
      </c>
      <c r="BC37" s="12" t="n">
        <f aca="false">$B$15/$B$14*BC36</f>
        <v>0.0164486844348349</v>
      </c>
      <c r="BD37" s="12" t="n">
        <f aca="false">$B$15/$B$14*BD36</f>
        <v>0.00411217110870873</v>
      </c>
      <c r="BE37" s="17" t="n">
        <v>0</v>
      </c>
      <c r="BF37" s="17" t="n">
        <v>0</v>
      </c>
      <c r="BG37" s="17" t="n">
        <f aca="false">base_fleet!CE37</f>
        <v>0</v>
      </c>
      <c r="BH37" s="17" t="n">
        <f aca="false">base_fleet!CA37</f>
        <v>0</v>
      </c>
      <c r="BI37" s="17" t="n">
        <f aca="false">base_fleet!BV37</f>
        <v>0</v>
      </c>
      <c r="BJ37" s="17" t="n">
        <f aca="false">base_fleet!CH37</f>
        <v>0</v>
      </c>
      <c r="BK37" s="17" t="n">
        <f aca="false">base_fleet!BU37+base_fleet!BZ37+base_fleet!CD37</f>
        <v>0</v>
      </c>
    </row>
    <row r="38" customFormat="false" ht="12.75" hidden="false" customHeight="false" outlineLevel="0" collapsed="false">
      <c r="A38" s="1" t="n">
        <f aca="false">A37-1</f>
        <v>1983</v>
      </c>
      <c r="B38" s="12" t="n">
        <f aca="false">$B$15/$B$14*B37</f>
        <v>216.610896194212</v>
      </c>
      <c r="C38" s="12" t="n">
        <f aca="false">$B$15/$B$14*C37</f>
        <v>387.908686223162</v>
      </c>
      <c r="D38" s="12" t="n">
        <f aca="false">$B$15/$B$14*D37</f>
        <v>0.229022902499571</v>
      </c>
      <c r="E38" s="12" t="n">
        <f aca="false">$B$15/$B$14*E37</f>
        <v>161.498666676021</v>
      </c>
      <c r="F38" s="12" t="n">
        <f aca="false">$B$15/$B$14*F37</f>
        <v>1.66911367428655</v>
      </c>
      <c r="G38" s="12" t="n">
        <f aca="false">$B$15/$B$14*G37</f>
        <v>2.61717024128132</v>
      </c>
      <c r="H38" s="12" t="n">
        <f aca="false">$B$15/$B$14*H37</f>
        <v>0.0267058187885849</v>
      </c>
      <c r="I38" s="12" t="n">
        <f aca="false">$B$15/$B$14*I37</f>
        <v>20.6633944313163</v>
      </c>
      <c r="J38" s="17" t="n">
        <f aca="false">base_fleet!C38+base_fleet!G38+base_fleet!L38+base_fleet!Q38</f>
        <v>0</v>
      </c>
      <c r="K38" s="17" t="n">
        <f aca="false">base_fleet!E38+base_fleet!J38+base_fleet!O38+base_fleet!T38</f>
        <v>0</v>
      </c>
      <c r="L38" s="12" t="n">
        <f aca="false">$B$15/$B$14*L37</f>
        <v>24.7090192021513</v>
      </c>
      <c r="M38" s="17" t="n">
        <f aca="false">base_fleet!I38+base_fleet!N38</f>
        <v>0</v>
      </c>
      <c r="N38" s="12" t="n">
        <f aca="false">$B$15/$B$14*N37</f>
        <v>249.726572885533</v>
      </c>
      <c r="O38" s="12" t="n">
        <f aca="false">$B$15/$B$14*O37</f>
        <v>3.91629163274267</v>
      </c>
      <c r="P38" s="12" t="n">
        <f aca="false">$B$15/$B$14*P37</f>
        <v>17.4744474607173</v>
      </c>
      <c r="Q38" s="12" t="n">
        <f aca="false">$B$15/$B$14*Q37</f>
        <v>47.7283728809107</v>
      </c>
      <c r="R38" s="12" t="n">
        <f aca="false">$B$15/$B$14*R37</f>
        <v>6.77907791398732</v>
      </c>
      <c r="S38" s="12" t="n">
        <f aca="false">$B$15/$B$14*S37</f>
        <v>2.5650565079952</v>
      </c>
      <c r="T38" s="17" t="n">
        <f aca="false">base_fleet!Z38+base_fleet!AE38</f>
        <v>0</v>
      </c>
      <c r="U38" s="18" t="n">
        <f aca="false">base_fleet!X38+base_fleet!AC38+base_fleet!AH38</f>
        <v>0</v>
      </c>
      <c r="V38" s="12" t="n">
        <f aca="false">$B$15/$B$14*V37</f>
        <v>61.5118639784091</v>
      </c>
      <c r="W38" s="12" t="n">
        <f aca="false">$B$15/$B$14*W37</f>
        <v>12.8763559743295</v>
      </c>
      <c r="X38" s="12" t="n">
        <f aca="false">$B$15/$B$14*X37</f>
        <v>2.88904866585996</v>
      </c>
      <c r="Y38" s="12" t="n">
        <f aca="false">$B$15/$B$14*Y37</f>
        <v>2.18113607886116</v>
      </c>
      <c r="Z38" s="12" t="n">
        <f aca="false">$B$15/$B$14*Z37</f>
        <v>4.36227215772233</v>
      </c>
      <c r="AA38" s="12" t="n">
        <f aca="false">$B$15/$B$14*AA37</f>
        <v>0.860974767971512</v>
      </c>
      <c r="AB38" s="12" t="n">
        <f aca="false">$B$15/$B$14*AB37</f>
        <v>0.0286991589323837</v>
      </c>
      <c r="AC38" s="12" t="n">
        <f aca="false">$B$15/$B$14*AC37</f>
        <v>0.0286991589323837</v>
      </c>
      <c r="AD38" s="12" t="n">
        <f aca="false">$B$15/$B$14*AD37</f>
        <v>0.248726044080659</v>
      </c>
      <c r="AE38" s="12" t="n">
        <f aca="false">$B$15/$B$14*AE37</f>
        <v>1.2436302204033</v>
      </c>
      <c r="AF38" s="12" t="n">
        <f aca="false">$B$15/$B$14*AF37</f>
        <v>0.153062180972713</v>
      </c>
      <c r="AG38" s="12" t="n">
        <f aca="false">$B$15/$B$14*AG37</f>
        <v>0</v>
      </c>
      <c r="AH38" s="12" t="n">
        <f aca="false">$B$15/$B$14*AH37</f>
        <v>0.0382655452431783</v>
      </c>
      <c r="AI38" s="12" t="n">
        <f aca="false">$B$15/$B$14*AI37</f>
        <v>0.0382655452431783</v>
      </c>
      <c r="AJ38" s="12" t="n">
        <f aca="false">$B$15/$B$14*AJ37</f>
        <v>0</v>
      </c>
      <c r="AK38" s="12" t="n">
        <f aca="false">$B$15/$B$14*AK37</f>
        <v>0</v>
      </c>
      <c r="AL38" s="12" t="n">
        <f aca="false">$B$15/$B$14*AL37</f>
        <v>0</v>
      </c>
      <c r="AM38" s="12" t="n">
        <f aca="false">$B$15/$B$14*AM37</f>
        <v>0</v>
      </c>
      <c r="AN38" s="12" t="n">
        <f aca="false">$B$15/$B$14*AN37</f>
        <v>2.04720667051004</v>
      </c>
      <c r="AO38" s="12" t="n">
        <f aca="false">$B$15/$B$14*AO37</f>
        <v>1.70281676332144</v>
      </c>
      <c r="AP38" s="12" t="n">
        <f aca="false">$B$15/$B$14*AP37</f>
        <v>0.325257134567016</v>
      </c>
      <c r="AQ38" s="12" t="n">
        <f aca="false">$B$15/$B$14*AQ37</f>
        <v>0.937505858457869</v>
      </c>
      <c r="AR38" s="12" t="n">
        <f aca="false">$B$15/$B$14*AR37</f>
        <v>0.573983178647675</v>
      </c>
      <c r="AS38" s="12" t="n">
        <f aca="false">$B$15/$B$14*AS37</f>
        <v>0.0191327726215892</v>
      </c>
      <c r="AT38" s="17" t="n">
        <f aca="false">base_fleet!AQ38+base_fleet!AN38+base_fleet!AJ38</f>
        <v>0</v>
      </c>
      <c r="AU38" s="12" t="n">
        <f aca="false">$B$15/$B$14*AU37</f>
        <v>26.2383931209675</v>
      </c>
      <c r="AV38" s="12" t="n">
        <f aca="false">$B$15/$B$14*AV37</f>
        <v>2.400137203783</v>
      </c>
      <c r="AW38" s="12" t="n">
        <f aca="false">$B$15/$B$14*AW37</f>
        <v>0.815580603227232</v>
      </c>
      <c r="AX38" s="12" t="n">
        <f aca="false">$B$15/$B$14*AX37</f>
        <v>0.302929938341543</v>
      </c>
      <c r="AY38" s="12" t="n">
        <f aca="false">$B$15/$B$14*AY37</f>
        <v>0</v>
      </c>
      <c r="AZ38" s="12" t="n">
        <f aca="false">$B$15/$B$14*AZ37</f>
        <v>0.0233023029493495</v>
      </c>
      <c r="BA38" s="12" t="n">
        <f aca="false">$B$15/$B$14*BA37</f>
        <v>5.44501950692731</v>
      </c>
      <c r="BB38" s="12" t="n">
        <f aca="false">$B$15/$B$14*BB37</f>
        <v>0.498124812936568</v>
      </c>
      <c r="BC38" s="12" t="n">
        <f aca="false">$B$15/$B$14*BC37</f>
        <v>0.0137413741499743</v>
      </c>
      <c r="BD38" s="12" t="n">
        <f aca="false">$B$15/$B$14*BD37</f>
        <v>0.00343534353749357</v>
      </c>
      <c r="BE38" s="17" t="n">
        <v>0</v>
      </c>
      <c r="BF38" s="17" t="n">
        <v>0</v>
      </c>
      <c r="BG38" s="17" t="n">
        <f aca="false">base_fleet!CE38</f>
        <v>0</v>
      </c>
      <c r="BH38" s="17" t="n">
        <f aca="false">base_fleet!CA38</f>
        <v>0</v>
      </c>
      <c r="BI38" s="17" t="n">
        <f aca="false">base_fleet!BV38</f>
        <v>0</v>
      </c>
      <c r="BJ38" s="17" t="n">
        <f aca="false">base_fleet!CH38</f>
        <v>0</v>
      </c>
      <c r="BK38" s="17" t="n">
        <f aca="false">base_fleet!BU38+base_fleet!BZ38+base_fleet!CD38</f>
        <v>0</v>
      </c>
    </row>
    <row r="39" customFormat="false" ht="12.75" hidden="false" customHeight="false" outlineLevel="0" collapsed="false">
      <c r="A39" s="1" t="n">
        <f aca="false">A38-1</f>
        <v>1982</v>
      </c>
      <c r="B39" s="12" t="n">
        <f aca="false">$B$15/$B$14*B38</f>
        <v>180.958628111451</v>
      </c>
      <c r="C39" s="12" t="n">
        <f aca="false">$B$15/$B$14*C38</f>
        <v>324.062292916797</v>
      </c>
      <c r="D39" s="12" t="n">
        <f aca="false">$B$15/$B$14*D38</f>
        <v>0.191327726215892</v>
      </c>
      <c r="E39" s="12" t="n">
        <f aca="false">$B$15/$B$14*E38</f>
        <v>134.917391862498</v>
      </c>
      <c r="F39" s="12" t="n">
        <f aca="false">$B$15/$B$14*F38</f>
        <v>1.39439209184634</v>
      </c>
      <c r="G39" s="12" t="n">
        <f aca="false">$B$15/$B$14*G38</f>
        <v>2.18640680001507</v>
      </c>
      <c r="H39" s="12" t="n">
        <f aca="false">$B$15/$B$14*H38</f>
        <v>0.0223102734695415</v>
      </c>
      <c r="I39" s="12" t="n">
        <f aca="false">$B$15/$B$14*I38</f>
        <v>17.2623795668351</v>
      </c>
      <c r="J39" s="17" t="n">
        <f aca="false">base_fleet!C39+base_fleet!G39+base_fleet!L39+base_fleet!Q39</f>
        <v>0</v>
      </c>
      <c r="K39" s="17" t="n">
        <f aca="false">base_fleet!E39+base_fleet!J39+base_fleet!O39+base_fleet!T39</f>
        <v>0</v>
      </c>
      <c r="L39" s="12" t="n">
        <f aca="false">$B$15/$B$14*L38</f>
        <v>20.6421297144344</v>
      </c>
      <c r="M39" s="17" t="n">
        <f aca="false">base_fleet!I39+base_fleet!N39</f>
        <v>0</v>
      </c>
      <c r="N39" s="12" t="n">
        <f aca="false">$B$15/$B$14*N38</f>
        <v>208.623752665808</v>
      </c>
      <c r="O39" s="12" t="n">
        <f aca="false">$B$15/$B$14*O38</f>
        <v>3.27170411829174</v>
      </c>
      <c r="P39" s="12" t="n">
        <f aca="false">$B$15/$B$14*P38</f>
        <v>14.5983055102725</v>
      </c>
      <c r="Q39" s="12" t="n">
        <f aca="false">$B$15/$B$14*Q38</f>
        <v>39.8726981433918</v>
      </c>
      <c r="R39" s="12" t="n">
        <f aca="false">$B$15/$B$14*R38</f>
        <v>5.66330069599039</v>
      </c>
      <c r="S39" s="12" t="n">
        <f aca="false">$B$15/$B$14*S38</f>
        <v>2.14287053361799</v>
      </c>
      <c r="T39" s="17" t="n">
        <f aca="false">base_fleet!Z39+base_fleet!AE39</f>
        <v>0</v>
      </c>
      <c r="U39" s="18" t="n">
        <f aca="false">base_fleet!X39+base_fleet!AC39+base_fleet!AH39</f>
        <v>0</v>
      </c>
      <c r="V39" s="12" t="n">
        <f aca="false">$B$15/$B$14*V38</f>
        <v>51.3875465809025</v>
      </c>
      <c r="W39" s="12" t="n">
        <f aca="false">$B$15/$B$14*W38</f>
        <v>10.7570198597037</v>
      </c>
      <c r="X39" s="12" t="n">
        <f aca="false">$B$15/$B$14*X38</f>
        <v>2.41353640240009</v>
      </c>
      <c r="Y39" s="12" t="n">
        <f aca="false">$B$15/$B$14*Y38</f>
        <v>1.82214006538815</v>
      </c>
      <c r="Z39" s="12" t="n">
        <f aca="false">$B$15/$B$14*Z38</f>
        <v>3.64428013077629</v>
      </c>
      <c r="AA39" s="12" t="n">
        <f aca="false">$B$15/$B$14*AA38</f>
        <v>0.719265815284794</v>
      </c>
      <c r="AB39" s="12" t="n">
        <f aca="false">$B$15/$B$14*AB38</f>
        <v>0.0239755271761598</v>
      </c>
      <c r="AC39" s="12" t="n">
        <f aca="false">$B$15/$B$14*AC38</f>
        <v>0.0239755271761598</v>
      </c>
      <c r="AD39" s="12" t="n">
        <f aca="false">$B$15/$B$14*AD38</f>
        <v>0.207787902193385</v>
      </c>
      <c r="AE39" s="12" t="n">
        <f aca="false">$B$15/$B$14*AE38</f>
        <v>1.03893951096693</v>
      </c>
      <c r="AF39" s="12" t="n">
        <f aca="false">$B$15/$B$14*AF38</f>
        <v>0.127869478272852</v>
      </c>
      <c r="AG39" s="12" t="n">
        <f aca="false">$B$15/$B$14*AG38</f>
        <v>0</v>
      </c>
      <c r="AH39" s="12" t="n">
        <f aca="false">$B$15/$B$14*AH38</f>
        <v>0.0319673695682131</v>
      </c>
      <c r="AI39" s="12" t="n">
        <f aca="false">$B$15/$B$14*AI38</f>
        <v>0.0319673695682131</v>
      </c>
      <c r="AJ39" s="12" t="n">
        <f aca="false">$B$15/$B$14*AJ38</f>
        <v>0</v>
      </c>
      <c r="AK39" s="12" t="n">
        <f aca="false">$B$15/$B$14*AK38</f>
        <v>0</v>
      </c>
      <c r="AL39" s="12" t="n">
        <f aca="false">$B$15/$B$14*AL38</f>
        <v>0</v>
      </c>
      <c r="AM39" s="12" t="n">
        <f aca="false">$B$15/$B$14*AM38</f>
        <v>0</v>
      </c>
      <c r="AN39" s="12" t="n">
        <f aca="false">$B$15/$B$14*AN38</f>
        <v>1.7102542718994</v>
      </c>
      <c r="AO39" s="12" t="n">
        <f aca="false">$B$15/$B$14*AO38</f>
        <v>1.42254794578548</v>
      </c>
      <c r="AP39" s="12" t="n">
        <f aca="false">$B$15/$B$14*AP38</f>
        <v>0.271722641329811</v>
      </c>
      <c r="AQ39" s="12" t="n">
        <f aca="false">$B$15/$B$14*AQ38</f>
        <v>0.783200554421221</v>
      </c>
      <c r="AR39" s="12" t="n">
        <f aca="false">$B$15/$B$14*AR38</f>
        <v>0.479510543523196</v>
      </c>
      <c r="AS39" s="12" t="n">
        <f aca="false">$B$15/$B$14*AS38</f>
        <v>0.0159836847841065</v>
      </c>
      <c r="AT39" s="17" t="n">
        <f aca="false">base_fleet!AQ39+base_fleet!AN39+base_fleet!AJ39</f>
        <v>0</v>
      </c>
      <c r="AU39" s="12" t="n">
        <f aca="false">$B$15/$B$14*AU38</f>
        <v>21.919781998234</v>
      </c>
      <c r="AV39" s="12" t="n">
        <f aca="false">$B$15/$B$14*AV38</f>
        <v>2.00509551138375</v>
      </c>
      <c r="AW39" s="12" t="n">
        <f aca="false">$B$15/$B$14*AW38</f>
        <v>0.681343134936225</v>
      </c>
      <c r="AX39" s="12" t="n">
        <f aca="false">$B$15/$B$14*AX38</f>
        <v>0.253070307262027</v>
      </c>
      <c r="AY39" s="12" t="n">
        <f aca="false">$B$15/$B$14*AY38</f>
        <v>0</v>
      </c>
      <c r="AZ39" s="12" t="n">
        <f aca="false">$B$15/$B$14*AZ38</f>
        <v>0.0194669467124636</v>
      </c>
      <c r="BA39" s="12" t="n">
        <f aca="false">$B$15/$B$14*BA38</f>
        <v>4.54881669078282</v>
      </c>
      <c r="BB39" s="12" t="n">
        <f aca="false">$B$15/$B$14*BB38</f>
        <v>0.416137804519564</v>
      </c>
      <c r="BC39" s="12" t="n">
        <f aca="false">$B$15/$B$14*BC38</f>
        <v>0.0114796635729535</v>
      </c>
      <c r="BD39" s="12" t="n">
        <f aca="false">$B$15/$B$14*BD38</f>
        <v>0.00286991589323837</v>
      </c>
      <c r="BE39" s="17" t="n">
        <v>0</v>
      </c>
      <c r="BF39" s="17" t="n">
        <v>0</v>
      </c>
      <c r="BG39" s="17" t="n">
        <f aca="false">base_fleet!CE39</f>
        <v>0</v>
      </c>
      <c r="BH39" s="17" t="n">
        <f aca="false">base_fleet!CA39</f>
        <v>0</v>
      </c>
      <c r="BI39" s="17" t="n">
        <f aca="false">base_fleet!BV39</f>
        <v>0</v>
      </c>
      <c r="BJ39" s="17" t="n">
        <f aca="false">base_fleet!CH39</f>
        <v>0</v>
      </c>
      <c r="BK39" s="17" t="n">
        <f aca="false">base_fleet!BU39+base_fleet!BZ39+base_fleet!CD39</f>
        <v>0</v>
      </c>
    </row>
    <row r="40" customFormat="false" ht="12.75" hidden="false" customHeight="false" outlineLevel="0" collapsed="false">
      <c r="A40" s="1" t="n">
        <f aca="false">A39-1</f>
        <v>1981</v>
      </c>
      <c r="B40" s="12" t="n">
        <f aca="false">$B$15/$B$14*B39</f>
        <v>151.174413029613</v>
      </c>
      <c r="C40" s="12" t="n">
        <f aca="false">$B$15/$B$14*C39</f>
        <v>270.724460215044</v>
      </c>
      <c r="D40" s="12" t="n">
        <f aca="false">$B$15/$B$14*D39</f>
        <v>0.159836847841065</v>
      </c>
      <c r="E40" s="12" t="n">
        <f aca="false">$B$15/$B$14*E39</f>
        <v>112.711163513782</v>
      </c>
      <c r="F40" s="12" t="n">
        <f aca="false">$B$15/$B$14*F39</f>
        <v>1.16488729063627</v>
      </c>
      <c r="G40" s="12" t="n">
        <f aca="false">$B$15/$B$14*G39</f>
        <v>1.82654327171768</v>
      </c>
      <c r="H40" s="12" t="n">
        <f aca="false">$B$15/$B$14*H39</f>
        <v>0.0186381966501804</v>
      </c>
      <c r="I40" s="12" t="n">
        <f aca="false">$B$15/$B$14*I39</f>
        <v>14.4211421458358</v>
      </c>
      <c r="J40" s="17" t="n">
        <f aca="false">base_fleet!C40+base_fleet!G40+base_fleet!L40+base_fleet!Q40</f>
        <v>0</v>
      </c>
      <c r="K40" s="17" t="n">
        <f aca="false">base_fleet!E40+base_fleet!J40+base_fleet!O40+base_fleet!T40</f>
        <v>0</v>
      </c>
      <c r="L40" s="12" t="n">
        <f aca="false">$B$15/$B$14*L39</f>
        <v>17.2446148372589</v>
      </c>
      <c r="M40" s="17" t="n">
        <f aca="false">base_fleet!I40+base_fleet!N40</f>
        <v>0</v>
      </c>
      <c r="N40" s="12" t="n">
        <f aca="false">$B$15/$B$14*N39</f>
        <v>174.286098885898</v>
      </c>
      <c r="O40" s="12" t="n">
        <f aca="false">$B$15/$B$14*O39</f>
        <v>2.73321009808222</v>
      </c>
      <c r="P40" s="12" t="n">
        <f aca="false">$B$15/$B$14*P39</f>
        <v>12.1955514902733</v>
      </c>
      <c r="Q40" s="12" t="n">
        <f aca="false">$B$15/$B$14*Q39</f>
        <v>33.309999090078</v>
      </c>
      <c r="R40" s="12" t="n">
        <f aca="false">$B$15/$B$14*R39</f>
        <v>4.73117069609554</v>
      </c>
      <c r="S40" s="12" t="n">
        <f aca="false">$B$15/$B$14*S39</f>
        <v>1.79017269581993</v>
      </c>
      <c r="T40" s="17" t="n">
        <f aca="false">base_fleet!Z40+base_fleet!AE40</f>
        <v>0</v>
      </c>
      <c r="U40" s="18" t="n">
        <f aca="false">base_fleet!X40+base_fleet!AC40+base_fleet!AH40</f>
        <v>0</v>
      </c>
      <c r="V40" s="12" t="n">
        <f aca="false">$B$15/$B$14*V39</f>
        <v>42.9296037026502</v>
      </c>
      <c r="W40" s="12" t="n">
        <f aca="false">$B$15/$B$14*W39</f>
        <v>8.9865080223588</v>
      </c>
      <c r="X40" s="12" t="n">
        <f aca="false">$B$15/$B$14*X39</f>
        <v>2.01628931853816</v>
      </c>
      <c r="Y40" s="12" t="n">
        <f aca="false">$B$15/$B$14*Y39</f>
        <v>1.52223167094934</v>
      </c>
      <c r="Z40" s="12" t="n">
        <f aca="false">$B$15/$B$14*Z39</f>
        <v>3.04446334189868</v>
      </c>
      <c r="AA40" s="12" t="n">
        <f aca="false">$B$15/$B$14*AA39</f>
        <v>0.600880922743159</v>
      </c>
      <c r="AB40" s="12" t="n">
        <f aca="false">$B$15/$B$14*AB39</f>
        <v>0.0200293640914386</v>
      </c>
      <c r="AC40" s="12" t="n">
        <f aca="false">$B$15/$B$14*AC39</f>
        <v>0.0200293640914386</v>
      </c>
      <c r="AD40" s="12" t="n">
        <f aca="false">$B$15/$B$14*AD39</f>
        <v>0.173587822125802</v>
      </c>
      <c r="AE40" s="12" t="n">
        <f aca="false">$B$15/$B$14*AE39</f>
        <v>0.867939110629008</v>
      </c>
      <c r="AF40" s="12" t="n">
        <f aca="false">$B$15/$B$14*AF39</f>
        <v>0.106823275154339</v>
      </c>
      <c r="AG40" s="12" t="n">
        <f aca="false">$B$15/$B$14*AG39</f>
        <v>0</v>
      </c>
      <c r="AH40" s="12" t="n">
        <f aca="false">$B$15/$B$14*AH39</f>
        <v>0.0267058187885849</v>
      </c>
      <c r="AI40" s="12" t="n">
        <f aca="false">$B$15/$B$14*AI39</f>
        <v>0.0267058187885849</v>
      </c>
      <c r="AJ40" s="12" t="n">
        <f aca="false">$B$15/$B$14*AJ39</f>
        <v>0</v>
      </c>
      <c r="AK40" s="12" t="n">
        <f aca="false">$B$15/$B$14*AK39</f>
        <v>0</v>
      </c>
      <c r="AL40" s="12" t="n">
        <f aca="false">$B$15/$B$14*AL39</f>
        <v>0</v>
      </c>
      <c r="AM40" s="12" t="n">
        <f aca="false">$B$15/$B$14*AM39</f>
        <v>0</v>
      </c>
      <c r="AN40" s="12" t="n">
        <f aca="false">$B$15/$B$14*AN39</f>
        <v>1.42876130518929</v>
      </c>
      <c r="AO40" s="12" t="n">
        <f aca="false">$B$15/$B$14*AO39</f>
        <v>1.18840893609203</v>
      </c>
      <c r="AP40" s="12" t="n">
        <f aca="false">$B$15/$B$14*AP39</f>
        <v>0.226999459702971</v>
      </c>
      <c r="AQ40" s="12" t="n">
        <f aca="false">$B$15/$B$14*AQ39</f>
        <v>0.654292560320329</v>
      </c>
      <c r="AR40" s="12" t="n">
        <f aca="false">$B$15/$B$14*AR39</f>
        <v>0.400587281828773</v>
      </c>
      <c r="AS40" s="12" t="n">
        <f aca="false">$B$15/$B$14*AS39</f>
        <v>0.0133529093942924</v>
      </c>
      <c r="AT40" s="17" t="n">
        <f aca="false">base_fleet!AQ40+base_fleet!AN40+base_fleet!AJ40</f>
        <v>0</v>
      </c>
      <c r="AU40" s="12" t="n">
        <f aca="false">$B$15/$B$14*AU39</f>
        <v>18.311976676123</v>
      </c>
      <c r="AV40" s="12" t="n">
        <f aca="false">$B$15/$B$14*AV39</f>
        <v>1.67507424302013</v>
      </c>
      <c r="AW40" s="12" t="n">
        <f aca="false">$B$15/$B$14*AW39</f>
        <v>0.569199985492278</v>
      </c>
      <c r="AX40" s="12" t="n">
        <f aca="false">$B$15/$B$14*AX39</f>
        <v>0.21141713746856</v>
      </c>
      <c r="AY40" s="12" t="n">
        <f aca="false">$B$15/$B$14*AY39</f>
        <v>0</v>
      </c>
      <c r="AZ40" s="12" t="n">
        <f aca="false">$B$15/$B$14*AZ39</f>
        <v>0.0162628567283508</v>
      </c>
      <c r="BA40" s="12" t="n">
        <f aca="false">$B$15/$B$14*BA39</f>
        <v>3.80012105742133</v>
      </c>
      <c r="BB40" s="12" t="n">
        <f aca="false">$B$15/$B$14*BB39</f>
        <v>0.347645144054317</v>
      </c>
      <c r="BC40" s="12" t="n">
        <f aca="false">$B$15/$B$14*BC39</f>
        <v>0.00959021087046392</v>
      </c>
      <c r="BD40" s="12" t="n">
        <f aca="false">$B$15/$B$14*BD39</f>
        <v>0.00239755271761598</v>
      </c>
      <c r="BE40" s="17" t="n">
        <v>0</v>
      </c>
      <c r="BF40" s="17" t="n">
        <v>0</v>
      </c>
      <c r="BG40" s="17" t="n">
        <f aca="false">base_fleet!CE40</f>
        <v>0</v>
      </c>
      <c r="BH40" s="17" t="n">
        <f aca="false">base_fleet!CA40</f>
        <v>0</v>
      </c>
      <c r="BI40" s="17" t="n">
        <f aca="false">base_fleet!BV40</f>
        <v>0</v>
      </c>
      <c r="BJ40" s="17" t="n">
        <f aca="false">base_fleet!CH40</f>
        <v>0</v>
      </c>
      <c r="BK40" s="17" t="n">
        <f aca="false">base_fleet!BU40+base_fleet!BZ40+base_fleet!CD40</f>
        <v>0</v>
      </c>
    </row>
    <row r="41" customFormat="false" ht="12.75" hidden="false" customHeight="false" outlineLevel="0" collapsed="false">
      <c r="A41" s="1" t="n">
        <f aca="false">A40-1</f>
        <v>1980</v>
      </c>
      <c r="B41" s="12" t="n">
        <f aca="false">$B$15/$B$14*B40</f>
        <v>126.292420501622</v>
      </c>
      <c r="C41" s="12" t="n">
        <f aca="false">$B$15/$B$14*C40</f>
        <v>226.165570511298</v>
      </c>
      <c r="D41" s="12" t="n">
        <f aca="false">$B$15/$B$14*D40</f>
        <v>0.133529093942924</v>
      </c>
      <c r="E41" s="12" t="n">
        <f aca="false">$B$15/$B$14*E40</f>
        <v>94.1598870631716</v>
      </c>
      <c r="F41" s="12" t="n">
        <f aca="false">$B$15/$B$14*F40</f>
        <v>0.973156982043076</v>
      </c>
      <c r="G41" s="12" t="n">
        <f aca="false">$B$15/$B$14*G40</f>
        <v>1.52591014784354</v>
      </c>
      <c r="H41" s="12" t="n">
        <f aca="false">$B$15/$B$14*H40</f>
        <v>0.0155705117126892</v>
      </c>
      <c r="I41" s="12" t="n">
        <f aca="false">$B$15/$B$14*I40</f>
        <v>12.0475476735524</v>
      </c>
      <c r="J41" s="17" t="n">
        <f aca="false">base_fleet!C41+base_fleet!G41+base_fleet!L41+base_fleet!Q41</f>
        <v>0</v>
      </c>
      <c r="K41" s="17" t="n">
        <f aca="false">base_fleet!E41+base_fleet!J41+base_fleet!O41+base_fleet!T41</f>
        <v>0</v>
      </c>
      <c r="L41" s="12" t="n">
        <f aca="false">$B$15/$B$14*L40</f>
        <v>14.4063013361197</v>
      </c>
      <c r="M41" s="17" t="n">
        <f aca="false">base_fleet!I41+base_fleet!N41</f>
        <v>0</v>
      </c>
      <c r="N41" s="12" t="n">
        <f aca="false">$B$15/$B$14*N40</f>
        <v>145.600124035365</v>
      </c>
      <c r="O41" s="12" t="n">
        <f aca="false">$B$15/$B$14*O40</f>
        <v>2.28334750642401</v>
      </c>
      <c r="P41" s="12" t="n">
        <f aca="false">$B$15/$B$14*P40</f>
        <v>10.1882698678451</v>
      </c>
      <c r="Q41" s="12" t="n">
        <f aca="false">$B$15/$B$14*Q40</f>
        <v>27.8274631777054</v>
      </c>
      <c r="R41" s="12" t="n">
        <f aca="false">$B$15/$B$14*R40</f>
        <v>3.95246118071056</v>
      </c>
      <c r="S41" s="12" t="n">
        <f aca="false">$B$15/$B$14*S40</f>
        <v>1.49552585216075</v>
      </c>
      <c r="T41" s="17" t="n">
        <f aca="false">base_fleet!Z41+base_fleet!AE41</f>
        <v>0</v>
      </c>
      <c r="U41" s="18" t="n">
        <f aca="false">base_fleet!X41+base_fleet!AC41+base_fleet!AH41</f>
        <v>0</v>
      </c>
      <c r="V41" s="12" t="n">
        <f aca="false">$B$15/$B$14*V40</f>
        <v>35.8637646022879</v>
      </c>
      <c r="W41" s="12" t="n">
        <f aca="false">$B$15/$B$14*W40</f>
        <v>7.50740702250071</v>
      </c>
      <c r="X41" s="12" t="n">
        <f aca="false">$B$15/$B$14*X40</f>
        <v>1.68442564695038</v>
      </c>
      <c r="Y41" s="12" t="n">
        <f aca="false">$B$15/$B$14*Y40</f>
        <v>1.27168558776387</v>
      </c>
      <c r="Z41" s="12" t="n">
        <f aca="false">$B$15/$B$14*Z40</f>
        <v>2.54337117552773</v>
      </c>
      <c r="AA41" s="12" t="n">
        <f aca="false">$B$15/$B$14*AA40</f>
        <v>0.501981153064684</v>
      </c>
      <c r="AB41" s="12" t="n">
        <f aca="false">$B$15/$B$14*AB40</f>
        <v>0.0167327051021561</v>
      </c>
      <c r="AC41" s="12" t="n">
        <f aca="false">$B$15/$B$14*AC40</f>
        <v>0.0167327051021561</v>
      </c>
      <c r="AD41" s="12" t="n">
        <f aca="false">$B$15/$B$14*AD40</f>
        <v>0.14501677755202</v>
      </c>
      <c r="AE41" s="12" t="n">
        <f aca="false">$B$15/$B$14*AE40</f>
        <v>0.725083887760099</v>
      </c>
      <c r="AF41" s="12" t="n">
        <f aca="false">$B$15/$B$14*AF40</f>
        <v>0.089241093878166</v>
      </c>
      <c r="AG41" s="12" t="n">
        <f aca="false">$B$15/$B$14*AG40</f>
        <v>0</v>
      </c>
      <c r="AH41" s="12" t="n">
        <f aca="false">$B$15/$B$14*AH40</f>
        <v>0.0223102734695415</v>
      </c>
      <c r="AI41" s="12" t="n">
        <f aca="false">$B$15/$B$14*AI40</f>
        <v>0.0223102734695415</v>
      </c>
      <c r="AJ41" s="12" t="n">
        <f aca="false">$B$15/$B$14*AJ40</f>
        <v>0</v>
      </c>
      <c r="AK41" s="12" t="n">
        <f aca="false">$B$15/$B$14*AK40</f>
        <v>0</v>
      </c>
      <c r="AL41" s="12" t="n">
        <f aca="false">$B$15/$B$14*AL40</f>
        <v>0</v>
      </c>
      <c r="AM41" s="12" t="n">
        <f aca="false">$B$15/$B$14*AM40</f>
        <v>0</v>
      </c>
      <c r="AN41" s="12" t="n">
        <f aca="false">$B$15/$B$14*AN40</f>
        <v>1.19359963062047</v>
      </c>
      <c r="AO41" s="12" t="n">
        <f aca="false">$B$15/$B$14*AO40</f>
        <v>0.992807169394597</v>
      </c>
      <c r="AP41" s="12" t="n">
        <f aca="false">$B$15/$B$14*AP40</f>
        <v>0.189637324491103</v>
      </c>
      <c r="AQ41" s="12" t="n">
        <f aca="false">$B$15/$B$14*AQ40</f>
        <v>0.546601700003767</v>
      </c>
      <c r="AR41" s="12" t="n">
        <f aca="false">$B$15/$B$14*AR40</f>
        <v>0.334654102043122</v>
      </c>
      <c r="AS41" s="12" t="n">
        <f aca="false">$B$15/$B$14*AS40</f>
        <v>0.0111551367347707</v>
      </c>
      <c r="AT41" s="17" t="n">
        <f aca="false">base_fleet!AQ41+base_fleet!AN41+base_fleet!AJ41</f>
        <v>0</v>
      </c>
      <c r="AU41" s="12" t="n">
        <f aca="false">$B$15/$B$14*AU40</f>
        <v>15.2979847068684</v>
      </c>
      <c r="AV41" s="12" t="n">
        <f aca="false">$B$15/$B$14*AV40</f>
        <v>1.39937160284853</v>
      </c>
      <c r="AW41" s="12" t="n">
        <f aca="false">$B$15/$B$14*AW40</f>
        <v>0.47551462232717</v>
      </c>
      <c r="AX41" s="12" t="n">
        <f aca="false">$B$15/$B$14*AX40</f>
        <v>0.176619716864377</v>
      </c>
      <c r="AY41" s="12" t="n">
        <f aca="false">$B$15/$B$14*AY40</f>
        <v>0</v>
      </c>
      <c r="AZ41" s="12" t="n">
        <f aca="false">$B$15/$B$14*AZ40</f>
        <v>0.0135861320664906</v>
      </c>
      <c r="BA41" s="12" t="n">
        <f aca="false">$B$15/$B$14*BA40</f>
        <v>3.17465420849303</v>
      </c>
      <c r="BB41" s="12" t="n">
        <f aca="false">$B$15/$B$14*BB40</f>
        <v>0.29042577932586</v>
      </c>
      <c r="BC41" s="12" t="n">
        <f aca="false">$B$15/$B$14*BC40</f>
        <v>0.00801174563657546</v>
      </c>
      <c r="BD41" s="12" t="n">
        <f aca="false">$B$15/$B$14*BD40</f>
        <v>0.00200293640914386</v>
      </c>
      <c r="BE41" s="17" t="n">
        <v>0</v>
      </c>
      <c r="BF41" s="17" t="n">
        <v>0</v>
      </c>
      <c r="BG41" s="17" t="n">
        <f aca="false">base_fleet!CE41</f>
        <v>0</v>
      </c>
      <c r="BH41" s="17" t="n">
        <f aca="false">base_fleet!CA41</f>
        <v>0</v>
      </c>
      <c r="BI41" s="17" t="n">
        <f aca="false">base_fleet!BV41</f>
        <v>0</v>
      </c>
      <c r="BJ41" s="17" t="n">
        <f aca="false">base_fleet!CH41</f>
        <v>0</v>
      </c>
      <c r="BK41" s="17" t="n">
        <f aca="false">base_fleet!BU41+base_fleet!BZ41+base_fleet!CD41</f>
        <v>0</v>
      </c>
    </row>
    <row r="42" customFormat="false" ht="12.75" hidden="false" customHeight="false" outlineLevel="0" collapsed="false">
      <c r="A42" s="1" t="n">
        <f aca="false">A41-1</f>
        <v>1979</v>
      </c>
      <c r="B42" s="12" t="n">
        <f aca="false">$B$15/$B$14*B41</f>
        <v>105.505787365182</v>
      </c>
      <c r="C42" s="12" t="n">
        <f aca="false">$B$15/$B$14*C41</f>
        <v>188.940686202016</v>
      </c>
      <c r="D42" s="12" t="n">
        <f aca="false">$B$15/$B$14*D41</f>
        <v>0.111551367347707</v>
      </c>
      <c r="E42" s="12" t="n">
        <f aca="false">$B$15/$B$14*E41</f>
        <v>78.6619892417767</v>
      </c>
      <c r="F42" s="12" t="n">
        <f aca="false">$B$15/$B$14*F41</f>
        <v>0.81298381337984</v>
      </c>
      <c r="G42" s="12" t="n">
        <f aca="false">$B$15/$B$14*G41</f>
        <v>1.27475861937959</v>
      </c>
      <c r="H42" s="12" t="n">
        <f aca="false">$B$15/$B$14*H41</f>
        <v>0.0130077410140775</v>
      </c>
      <c r="I42" s="12" t="n">
        <f aca="false">$B$15/$B$14*I41</f>
        <v>10.0646261910974</v>
      </c>
      <c r="J42" s="17" t="n">
        <f aca="false">base_fleet!C42+base_fleet!G42+base_fleet!L42+base_fleet!Q42</f>
        <v>0</v>
      </c>
      <c r="K42" s="17" t="n">
        <f aca="false">base_fleet!E42+base_fleet!J42+base_fleet!O42+base_fleet!T42</f>
        <v>0</v>
      </c>
      <c r="L42" s="12" t="n">
        <f aca="false">$B$15/$B$14*L41</f>
        <v>12.0351495319377</v>
      </c>
      <c r="M42" s="17" t="n">
        <f aca="false">base_fleet!I42+base_fleet!N42</f>
        <v>0</v>
      </c>
      <c r="N42" s="12" t="n">
        <f aca="false">$B$15/$B$14*N41</f>
        <v>121.63561095594</v>
      </c>
      <c r="O42" s="12" t="n">
        <f aca="false">$B$15/$B$14*O41</f>
        <v>1.9075283816458</v>
      </c>
      <c r="P42" s="12" t="n">
        <f aca="false">$B$15/$B$14*P41</f>
        <v>8.51136932863008</v>
      </c>
      <c r="Q42" s="12" t="n">
        <f aca="false">$B$15/$B$14*Q41</f>
        <v>23.2473049552622</v>
      </c>
      <c r="R42" s="12" t="n">
        <f aca="false">$B$15/$B$14*R41</f>
        <v>3.30192047349214</v>
      </c>
      <c r="S42" s="12" t="n">
        <f aca="false">$B$15/$B$14*S41</f>
        <v>1.24937531429432</v>
      </c>
      <c r="T42" s="17" t="n">
        <f aca="false">base_fleet!Z42+base_fleet!AE42</f>
        <v>0</v>
      </c>
      <c r="U42" s="18" t="n">
        <f aca="false">base_fleet!X42+base_fleet!AC42+base_fleet!AH42</f>
        <v>0</v>
      </c>
      <c r="V42" s="12" t="n">
        <f aca="false">$B$15/$B$14*V41</f>
        <v>29.960901115165</v>
      </c>
      <c r="W42" s="12" t="n">
        <f aca="false">$B$15/$B$14*W41</f>
        <v>6.2717531727857</v>
      </c>
      <c r="X42" s="12" t="n">
        <f aca="false">$B$15/$B$14*X41</f>
        <v>1.40718384708862</v>
      </c>
      <c r="Y42" s="12" t="n">
        <f aca="false">$B$15/$B$14*Y41</f>
        <v>1.06237720906028</v>
      </c>
      <c r="Z42" s="12" t="n">
        <f aca="false">$B$15/$B$14*Z41</f>
        <v>2.12475441812057</v>
      </c>
      <c r="AA42" s="12" t="n">
        <f aca="false">$B$15/$B$14*AA41</f>
        <v>0.419359424629059</v>
      </c>
      <c r="AB42" s="12" t="n">
        <f aca="false">$B$15/$B$14*AB41</f>
        <v>0.0139786474876353</v>
      </c>
      <c r="AC42" s="12" t="n">
        <f aca="false">$B$15/$B$14*AC41</f>
        <v>0.0139786474876353</v>
      </c>
      <c r="AD42" s="12" t="n">
        <f aca="false">$B$15/$B$14*AD41</f>
        <v>0.121148278226173</v>
      </c>
      <c r="AE42" s="12" t="n">
        <f aca="false">$B$15/$B$14*AE41</f>
        <v>0.605741391130863</v>
      </c>
      <c r="AF42" s="12" t="n">
        <f aca="false">$B$15/$B$14*AF41</f>
        <v>0.0745527866007216</v>
      </c>
      <c r="AG42" s="12" t="n">
        <f aca="false">$B$15/$B$14*AG41</f>
        <v>0</v>
      </c>
      <c r="AH42" s="12" t="n">
        <f aca="false">$B$15/$B$14*AH41</f>
        <v>0.0186381966501804</v>
      </c>
      <c r="AI42" s="12" t="n">
        <f aca="false">$B$15/$B$14*AI41</f>
        <v>0.0186381966501804</v>
      </c>
      <c r="AJ42" s="12" t="n">
        <f aca="false">$B$15/$B$14*AJ41</f>
        <v>0</v>
      </c>
      <c r="AK42" s="12" t="n">
        <f aca="false">$B$15/$B$14*AK41</f>
        <v>0</v>
      </c>
      <c r="AL42" s="12" t="n">
        <f aca="false">$B$15/$B$14*AL41</f>
        <v>0</v>
      </c>
      <c r="AM42" s="12" t="n">
        <f aca="false">$B$15/$B$14*AM41</f>
        <v>0</v>
      </c>
      <c r="AN42" s="12" t="n">
        <f aca="false">$B$15/$B$14*AN41</f>
        <v>0.997143520784651</v>
      </c>
      <c r="AO42" s="12" t="n">
        <f aca="false">$B$15/$B$14*AO41</f>
        <v>0.829399750933028</v>
      </c>
      <c r="AP42" s="12" t="n">
        <f aca="false">$B$15/$B$14*AP41</f>
        <v>0.158424671526533</v>
      </c>
      <c r="AQ42" s="12" t="n">
        <f aca="false">$B$15/$B$14*AQ41</f>
        <v>0.45663581792942</v>
      </c>
      <c r="AR42" s="12" t="n">
        <f aca="false">$B$15/$B$14*AR41</f>
        <v>0.279572949752706</v>
      </c>
      <c r="AS42" s="12" t="n">
        <f aca="false">$B$15/$B$14*AS41</f>
        <v>0.0093190983250902</v>
      </c>
      <c r="AT42" s="17" t="n">
        <f aca="false">base_fleet!AQ42+base_fleet!AN42+base_fleet!AJ42</f>
        <v>0</v>
      </c>
      <c r="AU42" s="12" t="n">
        <f aca="false">$B$15/$B$14*AU41</f>
        <v>12.7800695812773</v>
      </c>
      <c r="AV42" s="12" t="n">
        <f aca="false">$B$15/$B$14*AV41</f>
        <v>1.1690472174703</v>
      </c>
      <c r="AW42" s="12" t="n">
        <f aca="false">$B$15/$B$14*AW41</f>
        <v>0.3972490544802</v>
      </c>
      <c r="AX42" s="12" t="n">
        <f aca="false">$B$15/$B$14*AX41</f>
        <v>0.147549648806931</v>
      </c>
      <c r="AY42" s="12" t="n">
        <f aca="false">$B$15/$B$14*AY41</f>
        <v>0</v>
      </c>
      <c r="AZ42" s="12" t="n">
        <f aca="false">$B$15/$B$14*AZ41</f>
        <v>0.0113499729851486</v>
      </c>
      <c r="BA42" s="12" t="n">
        <f aca="false">$B$15/$B$14*BA41</f>
        <v>2.65213375869174</v>
      </c>
      <c r="BB42" s="12" t="n">
        <f aca="false">$B$15/$B$14*BB41</f>
        <v>0.242624223981264</v>
      </c>
      <c r="BC42" s="12" t="n">
        <f aca="false">$B$15/$B$14*BC41</f>
        <v>0.00669308204086245</v>
      </c>
      <c r="BD42" s="12" t="n">
        <f aca="false">$B$15/$B$14*BD41</f>
        <v>0.00167327051021561</v>
      </c>
      <c r="BE42" s="17" t="n">
        <v>0</v>
      </c>
      <c r="BF42" s="17" t="n">
        <v>0</v>
      </c>
      <c r="BG42" s="17" t="n">
        <f aca="false">base_fleet!CE42</f>
        <v>0</v>
      </c>
      <c r="BH42" s="17" t="n">
        <f aca="false">base_fleet!CA42</f>
        <v>0</v>
      </c>
      <c r="BI42" s="17" t="n">
        <f aca="false">base_fleet!BV42</f>
        <v>0</v>
      </c>
      <c r="BJ42" s="17" t="n">
        <f aca="false">base_fleet!CH42</f>
        <v>0</v>
      </c>
      <c r="BK42" s="17" t="n">
        <f aca="false">base_fleet!BU42+base_fleet!BZ42+base_fleet!CD42</f>
        <v>0</v>
      </c>
    </row>
    <row r="43" customFormat="false" ht="12.75" hidden="false" customHeight="false" outlineLevel="0" collapsed="false">
      <c r="A43" s="1" t="n">
        <f aca="false">A42-1</f>
        <v>1978</v>
      </c>
      <c r="B43" s="12" t="n">
        <f aca="false">$B$15/$B$14*B42</f>
        <v>88.1404531113888</v>
      </c>
      <c r="C43" s="12" t="n">
        <f aca="false">$B$15/$B$14*C42</f>
        <v>157.842693836131</v>
      </c>
      <c r="D43" s="12" t="n">
        <f aca="false">$B$15/$B$14*D42</f>
        <v>0.0931909832509019</v>
      </c>
      <c r="E43" s="12" t="n">
        <f aca="false">$B$15/$B$14*E42</f>
        <v>65.7149105045344</v>
      </c>
      <c r="F43" s="12" t="n">
        <f aca="false">$B$15/$B$14*F42</f>
        <v>0.679173754094661</v>
      </c>
      <c r="G43" s="12" t="n">
        <f aca="false">$B$15/$B$14*G42</f>
        <v>1.06494444642043</v>
      </c>
      <c r="H43" s="12" t="n">
        <f aca="false">$B$15/$B$14*H42</f>
        <v>0.0108667800655146</v>
      </c>
      <c r="I43" s="12" t="n">
        <f aca="false">$B$15/$B$14*I42</f>
        <v>8.40807632485218</v>
      </c>
      <c r="J43" s="17" t="n">
        <f aca="false">base_fleet!C43+base_fleet!G43+base_fleet!L43+base_fleet!Q43</f>
        <v>0</v>
      </c>
      <c r="K43" s="17" t="n">
        <f aca="false">base_fleet!E43+base_fleet!J43+base_fleet!O43+base_fleet!T43</f>
        <v>0</v>
      </c>
      <c r="L43" s="12" t="n">
        <f aca="false">$B$15/$B$14*L42</f>
        <v>10.0542686756762</v>
      </c>
      <c r="M43" s="17" t="n">
        <f aca="false">base_fleet!I43+base_fleet!N43</f>
        <v>0</v>
      </c>
      <c r="N43" s="12" t="n">
        <f aca="false">$B$15/$B$14*N42</f>
        <v>101.615448136783</v>
      </c>
      <c r="O43" s="12" t="n">
        <f aca="false">$B$15/$B$14*O42</f>
        <v>1.59356581359042</v>
      </c>
      <c r="P43" s="12" t="n">
        <f aca="false">$B$15/$B$14*P42</f>
        <v>7.11047202204382</v>
      </c>
      <c r="Q43" s="12" t="n">
        <f aca="false">$B$15/$B$14*Q42</f>
        <v>19.421000909488</v>
      </c>
      <c r="R43" s="12" t="n">
        <f aca="false">$B$15/$B$14*R42</f>
        <v>2.7584531042267</v>
      </c>
      <c r="S43" s="12" t="n">
        <f aca="false">$B$15/$B$14*S42</f>
        <v>1.0437390124101</v>
      </c>
      <c r="T43" s="17" t="n">
        <f aca="false">base_fleet!Z43+base_fleet!AE43</f>
        <v>0</v>
      </c>
      <c r="U43" s="18" t="n">
        <f aca="false">base_fleet!X43+base_fleet!AC43+base_fleet!AH43</f>
        <v>0</v>
      </c>
      <c r="V43" s="12" t="n">
        <f aca="false">$B$15/$B$14*V42</f>
        <v>25.0295975781479</v>
      </c>
      <c r="W43" s="12" t="n">
        <f aca="false">$B$15/$B$14*W42</f>
        <v>5.23947719131992</v>
      </c>
      <c r="X43" s="12" t="n">
        <f aca="false">$B$15/$B$14*X42</f>
        <v>1.17557363430804</v>
      </c>
      <c r="Y43" s="12" t="n">
        <f aca="false">$B$15/$B$14*Y42</f>
        <v>0.887519167623286</v>
      </c>
      <c r="Z43" s="12" t="n">
        <f aca="false">$B$15/$B$14*Z42</f>
        <v>1.77503833524657</v>
      </c>
      <c r="AA43" s="12" t="n">
        <f aca="false">$B$15/$B$14*AA42</f>
        <v>0.350336513535508</v>
      </c>
      <c r="AB43" s="12" t="n">
        <f aca="false">$B$15/$B$14*AB42</f>
        <v>0.0116778837845169</v>
      </c>
      <c r="AC43" s="12" t="n">
        <f aca="false">$B$15/$B$14*AC42</f>
        <v>0.0116778837845169</v>
      </c>
      <c r="AD43" s="12" t="n">
        <f aca="false">$B$15/$B$14*AD42</f>
        <v>0.10120832613248</v>
      </c>
      <c r="AE43" s="12" t="n">
        <f aca="false">$B$15/$B$14*AE42</f>
        <v>0.5060416306624</v>
      </c>
      <c r="AF43" s="12" t="n">
        <f aca="false">$B$15/$B$14*AF42</f>
        <v>0.0622820468507569</v>
      </c>
      <c r="AG43" s="12" t="n">
        <f aca="false">$B$15/$B$14*AG42</f>
        <v>0</v>
      </c>
      <c r="AH43" s="12" t="n">
        <f aca="false">$B$15/$B$14*AH42</f>
        <v>0.0155705117126892</v>
      </c>
      <c r="AI43" s="12" t="n">
        <f aca="false">$B$15/$B$14*AI42</f>
        <v>0.0155705117126892</v>
      </c>
      <c r="AJ43" s="12" t="n">
        <f aca="false">$B$15/$B$14*AJ42</f>
        <v>0</v>
      </c>
      <c r="AK43" s="12" t="n">
        <f aca="false">$B$15/$B$14*AK42</f>
        <v>0</v>
      </c>
      <c r="AL43" s="12" t="n">
        <f aca="false">$B$15/$B$14*AL42</f>
        <v>0</v>
      </c>
      <c r="AM43" s="12" t="n">
        <f aca="false">$B$15/$B$14*AM42</f>
        <v>0</v>
      </c>
      <c r="AN43" s="12" t="n">
        <f aca="false">$B$15/$B$14*AN42</f>
        <v>0.833022376628874</v>
      </c>
      <c r="AO43" s="12" t="n">
        <f aca="false">$B$15/$B$14*AO42</f>
        <v>0.692887771214671</v>
      </c>
      <c r="AP43" s="12" t="n">
        <f aca="false">$B$15/$B$14*AP42</f>
        <v>0.132349349557858</v>
      </c>
      <c r="AQ43" s="12" t="n">
        <f aca="false">$B$15/$B$14*AQ42</f>
        <v>0.381477536960886</v>
      </c>
      <c r="AR43" s="12" t="n">
        <f aca="false">$B$15/$B$14*AR42</f>
        <v>0.233557675690338</v>
      </c>
      <c r="AS43" s="12" t="n">
        <f aca="false">$B$15/$B$14*AS42</f>
        <v>0.00778525585634462</v>
      </c>
      <c r="AT43" s="17" t="n">
        <f aca="false">base_fleet!AQ43+base_fleet!AN43+base_fleet!AJ43</f>
        <v>0</v>
      </c>
      <c r="AU43" s="12" t="n">
        <f aca="false">$B$15/$B$14*AU42</f>
        <v>10.6765813688491</v>
      </c>
      <c r="AV43" s="12" t="n">
        <f aca="false">$B$15/$B$14*AV42</f>
        <v>0.976632221129179</v>
      </c>
      <c r="AW43" s="12" t="n">
        <f aca="false">$B$15/$B$14*AW42</f>
        <v>0.33186531785943</v>
      </c>
      <c r="AX43" s="12" t="n">
        <f aca="false">$B$15/$B$14*AX42</f>
        <v>0.123264260919217</v>
      </c>
      <c r="AY43" s="12" t="n">
        <f aca="false">$B$15/$B$14*AY42</f>
        <v>0</v>
      </c>
      <c r="AZ43" s="12" t="n">
        <f aca="false">$B$15/$B$14*AZ42</f>
        <v>0.00948186622455513</v>
      </c>
      <c r="BA43" s="12" t="n">
        <f aca="false">$B$15/$B$14*BA42</f>
        <v>2.21561562679019</v>
      </c>
      <c r="BB43" s="12" t="n">
        <f aca="false">$B$15/$B$14*BB42</f>
        <v>0.202690388570712</v>
      </c>
      <c r="BC43" s="12" t="n">
        <f aca="false">$B$15/$B$14*BC42</f>
        <v>0.00559145899505412</v>
      </c>
      <c r="BD43" s="12" t="n">
        <f aca="false">$B$15/$B$14*BD42</f>
        <v>0.00139786474876353</v>
      </c>
      <c r="BE43" s="17" t="n">
        <v>0</v>
      </c>
      <c r="BF43" s="17" t="n">
        <v>0</v>
      </c>
      <c r="BG43" s="17" t="n">
        <f aca="false">base_fleet!CE43</f>
        <v>0</v>
      </c>
      <c r="BH43" s="17" t="n">
        <f aca="false">base_fleet!CA43</f>
        <v>0</v>
      </c>
      <c r="BI43" s="17" t="n">
        <f aca="false">base_fleet!BV43</f>
        <v>0</v>
      </c>
      <c r="BJ43" s="17" t="n">
        <f aca="false">base_fleet!CH43</f>
        <v>0</v>
      </c>
      <c r="BK43" s="17" t="n">
        <f aca="false">base_fleet!BU43+base_fleet!BZ43+base_fleet!CD43</f>
        <v>0</v>
      </c>
    </row>
    <row r="44" customFormat="false" ht="12.75" hidden="false" customHeight="false" outlineLevel="0" collapsed="false">
      <c r="A44" s="1" t="n">
        <f aca="false">A43-1</f>
        <v>1977</v>
      </c>
      <c r="B44" s="12" t="n">
        <f aca="false">$B$15/$B$14*B43</f>
        <v>73.6333017239268</v>
      </c>
      <c r="C44" s="12" t="n">
        <f aca="false">$B$15/$B$14*C43</f>
        <v>131.86316032963</v>
      </c>
      <c r="D44" s="12" t="n">
        <f aca="false">$B$15/$B$14*D43</f>
        <v>0.0778525585634461</v>
      </c>
      <c r="E44" s="12" t="n">
        <f aca="false">$B$15/$B$14*E43</f>
        <v>54.8988082331063</v>
      </c>
      <c r="F44" s="12" t="n">
        <f aca="false">$B$15/$B$14*F43</f>
        <v>0.567387665854448</v>
      </c>
      <c r="G44" s="12" t="n">
        <f aca="false">$B$15/$B$14*G43</f>
        <v>0.889663860059775</v>
      </c>
      <c r="H44" s="12" t="n">
        <f aca="false">$B$15/$B$14*H43</f>
        <v>0.00907820265367117</v>
      </c>
      <c r="I44" s="12" t="n">
        <f aca="false">$B$15/$B$14*I43</f>
        <v>7.02418014760182</v>
      </c>
      <c r="J44" s="17" t="n">
        <f aca="false">base_fleet!C44+base_fleet!G44+base_fleet!L44+base_fleet!Q44</f>
        <v>0</v>
      </c>
      <c r="K44" s="17" t="n">
        <f aca="false">base_fleet!E44+base_fleet!J44+base_fleet!O44+base_fleet!T44</f>
        <v>0</v>
      </c>
      <c r="L44" s="12" t="n">
        <f aca="false">$B$15/$B$14*L43</f>
        <v>8.39942356631516</v>
      </c>
      <c r="M44" s="17" t="n">
        <f aca="false">base_fleet!I44+base_fleet!N44</f>
        <v>0</v>
      </c>
      <c r="N44" s="12" t="n">
        <f aca="false">$B$15/$B$14*N43</f>
        <v>84.8904298575817</v>
      </c>
      <c r="O44" s="12" t="n">
        <f aca="false">$B$15/$B$14*O43</f>
        <v>1.33127875143493</v>
      </c>
      <c r="P44" s="12" t="n">
        <f aca="false">$B$15/$B$14*P43</f>
        <v>5.94015021839094</v>
      </c>
      <c r="Q44" s="12" t="n">
        <f aca="false">$B$15/$B$14*Q43</f>
        <v>16.2244732046222</v>
      </c>
      <c r="R44" s="12" t="n">
        <f aca="false">$B$15/$B$14*R43</f>
        <v>2.30443573347801</v>
      </c>
      <c r="S44" s="12" t="n">
        <f aca="false">$B$15/$B$14*S43</f>
        <v>0.871948655910597</v>
      </c>
      <c r="T44" s="17" t="n">
        <f aca="false">base_fleet!Z44+base_fleet!AE44</f>
        <v>0</v>
      </c>
      <c r="U44" s="18" t="n">
        <f aca="false">base_fleet!X44+base_fleet!AC44+base_fleet!AH44</f>
        <v>0</v>
      </c>
      <c r="V44" s="12" t="n">
        <f aca="false">$B$15/$B$14*V43</f>
        <v>20.9099436801295</v>
      </c>
      <c r="W44" s="12" t="n">
        <f aca="false">$B$15/$B$14*W43</f>
        <v>4.37710485123706</v>
      </c>
      <c r="X44" s="12" t="n">
        <f aca="false">$B$15/$B$14*X43</f>
        <v>0.982084446562848</v>
      </c>
      <c r="Y44" s="12" t="n">
        <f aca="false">$B$15/$B$14*Y43</f>
        <v>0.741441237802415</v>
      </c>
      <c r="Z44" s="12" t="n">
        <f aca="false">$B$15/$B$14*Z43</f>
        <v>1.48288247560483</v>
      </c>
      <c r="AA44" s="12" t="n">
        <f aca="false">$B$15/$B$14*AA43</f>
        <v>0.292674172816743</v>
      </c>
      <c r="AB44" s="12" t="n">
        <f aca="false">$B$15/$B$14*AB43</f>
        <v>0.00975580576055808</v>
      </c>
      <c r="AC44" s="12" t="n">
        <f aca="false">$B$15/$B$14*AC43</f>
        <v>0.00975580576055808</v>
      </c>
      <c r="AD44" s="12" t="n">
        <f aca="false">$B$15/$B$14*AD43</f>
        <v>0.0845503165915034</v>
      </c>
      <c r="AE44" s="12" t="n">
        <f aca="false">$B$15/$B$14*AE43</f>
        <v>0.422751582957517</v>
      </c>
      <c r="AF44" s="12" t="n">
        <f aca="false">$B$15/$B$14*AF43</f>
        <v>0.0520309640563098</v>
      </c>
      <c r="AG44" s="12" t="n">
        <f aca="false">$B$15/$B$14*AG43</f>
        <v>0</v>
      </c>
      <c r="AH44" s="12" t="n">
        <f aca="false">$B$15/$B$14*AH43</f>
        <v>0.0130077410140775</v>
      </c>
      <c r="AI44" s="12" t="n">
        <f aca="false">$B$15/$B$14*AI43</f>
        <v>0.0130077410140775</v>
      </c>
      <c r="AJ44" s="12" t="n">
        <f aca="false">$B$15/$B$14*AJ43</f>
        <v>0</v>
      </c>
      <c r="AK44" s="12" t="n">
        <f aca="false">$B$15/$B$14*AK43</f>
        <v>0</v>
      </c>
      <c r="AL44" s="12" t="n">
        <f aca="false">$B$15/$B$14*AL43</f>
        <v>0</v>
      </c>
      <c r="AM44" s="12" t="n">
        <f aca="false">$B$15/$B$14*AM43</f>
        <v>0</v>
      </c>
      <c r="AN44" s="12" t="n">
        <f aca="false">$B$15/$B$14*AN43</f>
        <v>0.695914144253144</v>
      </c>
      <c r="AO44" s="12" t="n">
        <f aca="false">$B$15/$B$14*AO43</f>
        <v>0.578844475126447</v>
      </c>
      <c r="AP44" s="12" t="n">
        <f aca="false">$B$15/$B$14*AP43</f>
        <v>0.110565798619658</v>
      </c>
      <c r="AQ44" s="12" t="n">
        <f aca="false">$B$15/$B$14*AQ43</f>
        <v>0.318689654844898</v>
      </c>
      <c r="AR44" s="12" t="n">
        <f aca="false">$B$15/$B$14*AR43</f>
        <v>0.195116115211162</v>
      </c>
      <c r="AS44" s="12" t="n">
        <f aca="false">$B$15/$B$14*AS43</f>
        <v>0.00650387050703873</v>
      </c>
      <c r="AT44" s="17" t="n">
        <f aca="false">base_fleet!AQ44+base_fleet!AN44+base_fleet!AJ44</f>
        <v>0</v>
      </c>
      <c r="AU44" s="12" t="n">
        <f aca="false">$B$15/$B$14*AU43</f>
        <v>8.91930900694382</v>
      </c>
      <c r="AV44" s="12" t="n">
        <f aca="false">$B$15/$B$14*AV43</f>
        <v>0.815887058361646</v>
      </c>
      <c r="AW44" s="12" t="n">
        <f aca="false">$B$15/$B$14*AW43</f>
        <v>0.277243175171433</v>
      </c>
      <c r="AX44" s="12" t="n">
        <f aca="false">$B$15/$B$14*AX43</f>
        <v>0.102976036492247</v>
      </c>
      <c r="AY44" s="12" t="n">
        <f aca="false">$B$15/$B$14*AY43</f>
        <v>0</v>
      </c>
      <c r="AZ44" s="12" t="n">
        <f aca="false">$B$15/$B$14*AZ43</f>
        <v>0.00792123357632667</v>
      </c>
      <c r="BA44" s="12" t="n">
        <f aca="false">$B$15/$B$14*BA43</f>
        <v>1.85094457984593</v>
      </c>
      <c r="BB44" s="12" t="n">
        <f aca="false">$B$15/$B$14*BB43</f>
        <v>0.169329314875495</v>
      </c>
      <c r="BC44" s="12" t="n">
        <f aca="false">$B$15/$B$14*BC43</f>
        <v>0.00467115351380677</v>
      </c>
      <c r="BD44" s="12" t="n">
        <f aca="false">$B$15/$B$14*BD43</f>
        <v>0.00116778837845169</v>
      </c>
      <c r="BE44" s="17" t="n">
        <v>0</v>
      </c>
      <c r="BF44" s="17" t="n">
        <v>0</v>
      </c>
      <c r="BG44" s="17" t="n">
        <f aca="false">base_fleet!CE44</f>
        <v>0</v>
      </c>
      <c r="BH44" s="17" t="n">
        <f aca="false">base_fleet!CA44</f>
        <v>0</v>
      </c>
      <c r="BI44" s="17" t="n">
        <f aca="false">base_fleet!BV44</f>
        <v>0</v>
      </c>
      <c r="BJ44" s="17" t="n">
        <f aca="false">base_fleet!CH44</f>
        <v>0</v>
      </c>
      <c r="BK44" s="17" t="n">
        <f aca="false">base_fleet!BU44+base_fleet!BZ44+base_fleet!CD44</f>
        <v>0</v>
      </c>
    </row>
    <row r="45" customFormat="false" ht="12.75" hidden="false" customHeight="false" outlineLevel="0" collapsed="false">
      <c r="A45" s="1" t="n">
        <f aca="false">A44-1</f>
        <v>1976</v>
      </c>
      <c r="B45" s="12" t="n">
        <f aca="false">$B$15/$B$14*B44</f>
        <v>61.5139011812758</v>
      </c>
      <c r="C45" s="12" t="n">
        <f aca="false">$B$15/$B$14*C44</f>
        <v>110.159631906494</v>
      </c>
      <c r="D45" s="12" t="n">
        <f aca="false">$B$15/$B$14*D44</f>
        <v>0.0650387050703872</v>
      </c>
      <c r="E45" s="12" t="n">
        <f aca="false">$B$15/$B$14*E44</f>
        <v>45.8629422497261</v>
      </c>
      <c r="F45" s="12" t="n">
        <f aca="false">$B$15/$B$14*F44</f>
        <v>0.474000594726882</v>
      </c>
      <c r="G45" s="12" t="n">
        <f aca="false">$B$15/$B$14*G44</f>
        <v>0.743232932531751</v>
      </c>
      <c r="H45" s="12" t="n">
        <f aca="false">$B$15/$B$14*H44</f>
        <v>0.00758400951563011</v>
      </c>
      <c r="I45" s="12" t="n">
        <f aca="false">$B$15/$B$14*I44</f>
        <v>5.86806123537788</v>
      </c>
      <c r="J45" s="17" t="n">
        <f aca="false">base_fleet!C45+base_fleet!G45+base_fleet!L45+base_fleet!Q45</f>
        <v>0</v>
      </c>
      <c r="K45" s="17" t="n">
        <f aca="false">base_fleet!E45+base_fleet!J45+base_fleet!O45+base_fleet!T45</f>
        <v>0</v>
      </c>
      <c r="L45" s="12" t="n">
        <f aca="false">$B$15/$B$14*L44</f>
        <v>7.0169515578044</v>
      </c>
      <c r="M45" s="17" t="n">
        <f aca="false">base_fleet!I45+base_fleet!N45</f>
        <v>0</v>
      </c>
      <c r="N45" s="12" t="n">
        <f aca="false">$B$15/$B$14*N44</f>
        <v>70.9182040087503</v>
      </c>
      <c r="O45" s="12" t="n">
        <f aca="false">$B$15/$B$14*O44</f>
        <v>1.11216185670362</v>
      </c>
      <c r="P45" s="12" t="n">
        <f aca="false">$B$15/$B$14*P44</f>
        <v>4.96245319687055</v>
      </c>
      <c r="Q45" s="12" t="n">
        <f aca="false">$B$15/$B$14*Q44</f>
        <v>13.5540661366687</v>
      </c>
      <c r="R45" s="12" t="n">
        <f aca="false">$B$15/$B$14*R44</f>
        <v>1.92514567008346</v>
      </c>
      <c r="S45" s="12" t="n">
        <f aca="false">$B$15/$B$14*S44</f>
        <v>0.728433496788337</v>
      </c>
      <c r="T45" s="17" t="n">
        <f aca="false">base_fleet!Z45+base_fleet!AE45</f>
        <v>0</v>
      </c>
      <c r="U45" s="18" t="n">
        <f aca="false">base_fleet!X45+base_fleet!AC45+base_fleet!AH45</f>
        <v>0</v>
      </c>
      <c r="V45" s="12" t="n">
        <f aca="false">$B$15/$B$14*V44</f>
        <v>17.4683489553147</v>
      </c>
      <c r="W45" s="12" t="n">
        <f aca="false">$B$15/$B$14*W44</f>
        <v>3.65667149204566</v>
      </c>
      <c r="X45" s="12" t="n">
        <f aca="false">$B$15/$B$14*X44</f>
        <v>0.820441894946351</v>
      </c>
      <c r="Y45" s="12" t="n">
        <f aca="false">$B$15/$B$14*Y44</f>
        <v>0.619406463734332</v>
      </c>
      <c r="Z45" s="12" t="n">
        <f aca="false">$B$15/$B$14*Z44</f>
        <v>1.23881292746866</v>
      </c>
      <c r="AA45" s="12" t="n">
        <f aca="false">$B$15/$B$14*AA44</f>
        <v>0.244502551474078</v>
      </c>
      <c r="AB45" s="12" t="n">
        <f aca="false">$B$15/$B$14*AB44</f>
        <v>0.00815008504913594</v>
      </c>
      <c r="AC45" s="12" t="n">
        <f aca="false">$B$15/$B$14*AC44</f>
        <v>0.00815008504913594</v>
      </c>
      <c r="AD45" s="12" t="n">
        <f aca="false">$B$15/$B$14*AD44</f>
        <v>0.0706340704258448</v>
      </c>
      <c r="AE45" s="12" t="n">
        <f aca="false">$B$15/$B$14*AE44</f>
        <v>0.353170352129224</v>
      </c>
      <c r="AF45" s="12" t="n">
        <f aca="false">$B$15/$B$14*AF44</f>
        <v>0.0434671202620584</v>
      </c>
      <c r="AG45" s="12" t="n">
        <f aca="false">$B$15/$B$14*AG44</f>
        <v>0</v>
      </c>
      <c r="AH45" s="12" t="n">
        <f aca="false">$B$15/$B$14*AH44</f>
        <v>0.0108667800655146</v>
      </c>
      <c r="AI45" s="12" t="n">
        <f aca="false">$B$15/$B$14*AI44</f>
        <v>0.0108667800655146</v>
      </c>
      <c r="AJ45" s="12" t="n">
        <f aca="false">$B$15/$B$14*AJ44</f>
        <v>0</v>
      </c>
      <c r="AK45" s="12" t="n">
        <f aca="false">$B$15/$B$14*AK44</f>
        <v>0</v>
      </c>
      <c r="AL45" s="12" t="n">
        <f aca="false">$B$15/$B$14*AL44</f>
        <v>0</v>
      </c>
      <c r="AM45" s="12" t="n">
        <f aca="false">$B$15/$B$14*AM44</f>
        <v>0</v>
      </c>
      <c r="AN45" s="12" t="n">
        <f aca="false">$B$15/$B$14*AN44</f>
        <v>0.581372733505031</v>
      </c>
      <c r="AO45" s="12" t="n">
        <f aca="false">$B$15/$B$14*AO44</f>
        <v>0.483571712915399</v>
      </c>
      <c r="AP45" s="12" t="n">
        <f aca="false">$B$15/$B$14*AP44</f>
        <v>0.092367630556874</v>
      </c>
      <c r="AQ45" s="12" t="n">
        <f aca="false">$B$15/$B$14*AQ44</f>
        <v>0.266236111605107</v>
      </c>
      <c r="AR45" s="12" t="n">
        <f aca="false">$B$15/$B$14*AR44</f>
        <v>0.163001700982719</v>
      </c>
      <c r="AS45" s="12" t="n">
        <f aca="false">$B$15/$B$14*AS44</f>
        <v>0.0054333900327573</v>
      </c>
      <c r="AT45" s="17" t="n">
        <f aca="false">base_fleet!AQ45+base_fleet!AN45+base_fleet!AJ45</f>
        <v>0</v>
      </c>
      <c r="AU45" s="12" t="n">
        <f aca="false">$B$15/$B$14*AU44</f>
        <v>7.45126838010743</v>
      </c>
      <c r="AV45" s="12" t="n">
        <f aca="false">$B$15/$B$14*AV44</f>
        <v>0.681599150222971</v>
      </c>
      <c r="AW45" s="12" t="n">
        <f aca="false">$B$15/$B$14*AW44</f>
        <v>0.231611361726252</v>
      </c>
      <c r="AX45" s="12" t="n">
        <f aca="false">$B$15/$B$14*AX44</f>
        <v>0.086027077212608</v>
      </c>
      <c r="AY45" s="12" t="n">
        <f aca="false">$B$15/$B$14*AY44</f>
        <v>0</v>
      </c>
      <c r="AZ45" s="12" t="n">
        <f aca="false">$B$15/$B$14*AZ44</f>
        <v>0.00661746747789292</v>
      </c>
      <c r="BA45" s="12" t="n">
        <f aca="false">$B$15/$B$14*BA44</f>
        <v>1.54629521304846</v>
      </c>
      <c r="BB45" s="12" t="n">
        <f aca="false">$B$15/$B$14*BB44</f>
        <v>0.141459183528092</v>
      </c>
      <c r="BC45" s="12" t="n">
        <f aca="false">$B$15/$B$14*BC44</f>
        <v>0.00390232230422323</v>
      </c>
      <c r="BD45" s="12" t="n">
        <f aca="false">$B$15/$B$14*BD44</f>
        <v>0.000975580576055809</v>
      </c>
      <c r="BE45" s="17" t="n">
        <v>0</v>
      </c>
      <c r="BF45" s="17" t="n">
        <v>0</v>
      </c>
      <c r="BG45" s="17" t="n">
        <f aca="false">base_fleet!CE45</f>
        <v>0</v>
      </c>
      <c r="BH45" s="17" t="n">
        <f aca="false">base_fleet!CA45</f>
        <v>0</v>
      </c>
      <c r="BI45" s="17" t="n">
        <f aca="false">base_fleet!BV45</f>
        <v>0</v>
      </c>
      <c r="BJ45" s="17" t="n">
        <f aca="false">base_fleet!CH45</f>
        <v>0</v>
      </c>
      <c r="BK45" s="17" t="n">
        <f aca="false">base_fleet!BU45+base_fleet!BZ45+base_fleet!CD45</f>
        <v>0</v>
      </c>
    </row>
    <row r="46" customFormat="false" ht="12.75" hidden="false" customHeight="false" outlineLevel="0" collapsed="false">
      <c r="A46" s="1" t="n">
        <f aca="false">A45-1</f>
        <v>1975</v>
      </c>
      <c r="B46" s="12" t="n">
        <f aca="false">$B$15/$B$14*B45</f>
        <v>51.3892484779096</v>
      </c>
      <c r="C46" s="12" t="n">
        <f aca="false">$B$15/$B$14*C45</f>
        <v>92.0283153493283</v>
      </c>
      <c r="D46" s="12" t="n">
        <f aca="false">$B$15/$B$14*D45</f>
        <v>0.0543339003275729</v>
      </c>
      <c r="E46" s="12" t="n">
        <f aca="false">$B$15/$B$14*E45</f>
        <v>38.3143011569651</v>
      </c>
      <c r="F46" s="12" t="n">
        <f aca="false">$B$15/$B$14*F45</f>
        <v>0.395984222644477</v>
      </c>
      <c r="G46" s="12" t="n">
        <f aca="false">$B$15/$B$14*G45</f>
        <v>0.62090326110654</v>
      </c>
      <c r="H46" s="12" t="n">
        <f aca="false">$B$15/$B$14*H45</f>
        <v>0.00633574756231163</v>
      </c>
      <c r="I46" s="12" t="n">
        <f aca="false">$B$15/$B$14*I45</f>
        <v>4.90222943298243</v>
      </c>
      <c r="J46" s="17" t="n">
        <f aca="false">base_fleet!C46+base_fleet!G46+base_fleet!L46+base_fleet!Q46</f>
        <v>0</v>
      </c>
      <c r="K46" s="17" t="n">
        <f aca="false">base_fleet!E46+base_fleet!J46+base_fleet!O46+base_fleet!T46</f>
        <v>0</v>
      </c>
      <c r="L46" s="12" t="n">
        <f aca="false">$B$15/$B$14*L45</f>
        <v>5.86202240854181</v>
      </c>
      <c r="M46" s="17" t="n">
        <f aca="false">base_fleet!I46+base_fleet!N46</f>
        <v>0</v>
      </c>
      <c r="N46" s="12" t="n">
        <f aca="false">$B$15/$B$14*N45</f>
        <v>59.2456849171855</v>
      </c>
      <c r="O46" s="12" t="n">
        <f aca="false">$B$15/$B$14*O45</f>
        <v>0.929109695601497</v>
      </c>
      <c r="P46" s="12" t="n">
        <f aca="false">$B$15/$B$14*P45</f>
        <v>4.14567659499381</v>
      </c>
      <c r="Q46" s="12" t="n">
        <f aca="false">$B$15/$B$14*Q45</f>
        <v>11.3231848282662</v>
      </c>
      <c r="R46" s="12" t="n">
        <f aca="false">$B$15/$B$14*R45</f>
        <v>1.60828344969616</v>
      </c>
      <c r="S46" s="12" t="n">
        <f aca="false">$B$15/$B$14*S45</f>
        <v>0.608539683668817</v>
      </c>
      <c r="T46" s="17" t="n">
        <f aca="false">base_fleet!Z46+base_fleet!AE46</f>
        <v>0</v>
      </c>
      <c r="U46" s="18" t="n">
        <f aca="false">base_fleet!X46+base_fleet!AC46+base_fleet!AH46</f>
        <v>0</v>
      </c>
      <c r="V46" s="12" t="n">
        <f aca="false">$B$15/$B$14*V45</f>
        <v>14.5932107657764</v>
      </c>
      <c r="W46" s="12" t="n">
        <f aca="false">$B$15/$B$14*W45</f>
        <v>3.05481519296035</v>
      </c>
      <c r="X46" s="12" t="n">
        <f aca="false">$B$15/$B$14*X45</f>
        <v>0.685404300352173</v>
      </c>
      <c r="Y46" s="12" t="n">
        <f aca="false">$B$15/$B$14*Y45</f>
        <v>0.517457551259257</v>
      </c>
      <c r="Z46" s="12" t="n">
        <f aca="false">$B$15/$B$14*Z45</f>
        <v>1.03491510251851</v>
      </c>
      <c r="AA46" s="12" t="n">
        <f aca="false">$B$15/$B$14*AA45</f>
        <v>0.204259559707601</v>
      </c>
      <c r="AB46" s="12" t="n">
        <f aca="false">$B$15/$B$14*AB45</f>
        <v>0.00680865199025337</v>
      </c>
      <c r="AC46" s="12" t="n">
        <f aca="false">$B$15/$B$14*AC45</f>
        <v>0.00680865199025337</v>
      </c>
      <c r="AD46" s="12" t="n">
        <f aca="false">$B$15/$B$14*AD45</f>
        <v>0.0590083172488626</v>
      </c>
      <c r="AE46" s="12" t="n">
        <f aca="false">$B$15/$B$14*AE45</f>
        <v>0.295041586244313</v>
      </c>
      <c r="AF46" s="12" t="n">
        <f aca="false">$B$15/$B$14*AF45</f>
        <v>0.0363128106146847</v>
      </c>
      <c r="AG46" s="12" t="n">
        <f aca="false">$B$15/$B$14*AG45</f>
        <v>0</v>
      </c>
      <c r="AH46" s="12" t="n">
        <f aca="false">$B$15/$B$14*AH45</f>
        <v>0.00907820265367117</v>
      </c>
      <c r="AI46" s="12" t="n">
        <f aca="false">$B$15/$B$14*AI45</f>
        <v>0.00907820265367117</v>
      </c>
      <c r="AJ46" s="12" t="n">
        <f aca="false">$B$15/$B$14*AJ45</f>
        <v>0</v>
      </c>
      <c r="AK46" s="12" t="n">
        <f aca="false">$B$15/$B$14*AK45</f>
        <v>0</v>
      </c>
      <c r="AL46" s="12" t="n">
        <f aca="false">$B$15/$B$14*AL45</f>
        <v>0</v>
      </c>
      <c r="AM46" s="12" t="n">
        <f aca="false">$B$15/$B$14*AM45</f>
        <v>0</v>
      </c>
      <c r="AN46" s="12" t="n">
        <f aca="false">$B$15/$B$14*AN45</f>
        <v>0.485683841971408</v>
      </c>
      <c r="AO46" s="12" t="n">
        <f aca="false">$B$15/$B$14*AO45</f>
        <v>0.403980018088367</v>
      </c>
      <c r="AP46" s="12" t="n">
        <f aca="false">$B$15/$B$14*AP45</f>
        <v>0.077164722556205</v>
      </c>
      <c r="AQ46" s="12" t="n">
        <f aca="false">$B$15/$B$14*AQ45</f>
        <v>0.222415965014944</v>
      </c>
      <c r="AR46" s="12" t="n">
        <f aca="false">$B$15/$B$14*AR45</f>
        <v>0.136173039805068</v>
      </c>
      <c r="AS46" s="12" t="n">
        <f aca="false">$B$15/$B$14*AS45</f>
        <v>0.00453910132683559</v>
      </c>
      <c r="AT46" s="17" t="n">
        <f aca="false">base_fleet!AQ46+base_fleet!AN46+base_fleet!AJ46</f>
        <v>0</v>
      </c>
      <c r="AU46" s="12" t="n">
        <f aca="false">$B$15/$B$14*AU45</f>
        <v>6.22485446228676</v>
      </c>
      <c r="AV46" s="12" t="n">
        <f aca="false">$B$15/$B$14*AV45</f>
        <v>0.56941386289124</v>
      </c>
      <c r="AW46" s="12" t="n">
        <f aca="false">$B$15/$B$14*AW45</f>
        <v>0.193490147584402</v>
      </c>
      <c r="AX46" s="12" t="n">
        <f aca="false">$B$15/$B$14*AX45</f>
        <v>0.0718677691027779</v>
      </c>
      <c r="AY46" s="12" t="n">
        <f aca="false">$B$15/$B$14*AY45</f>
        <v>0</v>
      </c>
      <c r="AZ46" s="12" t="n">
        <f aca="false">$B$15/$B$14*AZ45</f>
        <v>0.00552828993098292</v>
      </c>
      <c r="BA46" s="12" t="n">
        <f aca="false">$B$15/$B$14*BA45</f>
        <v>1.29178848028805</v>
      </c>
      <c r="BB46" s="12" t="n">
        <f aca="false">$B$15/$B$14*BB45</f>
        <v>0.118176233212471</v>
      </c>
      <c r="BC46" s="12" t="n">
        <f aca="false">$B$15/$B$14*BC45</f>
        <v>0.00326003401965438</v>
      </c>
      <c r="BD46" s="12" t="n">
        <f aca="false">$B$15/$B$14*BD45</f>
        <v>0.000815008504913594</v>
      </c>
      <c r="BE46" s="17" t="n">
        <v>0</v>
      </c>
      <c r="BF46" s="17" t="n">
        <v>0</v>
      </c>
      <c r="BG46" s="17" t="n">
        <f aca="false">base_fleet!CE46</f>
        <v>0</v>
      </c>
      <c r="BH46" s="17" t="n">
        <f aca="false">base_fleet!CA46</f>
        <v>0</v>
      </c>
      <c r="BI46" s="17" t="n">
        <f aca="false">base_fleet!BV46</f>
        <v>0</v>
      </c>
      <c r="BJ46" s="17" t="n">
        <f aca="false">base_fleet!CH46</f>
        <v>0</v>
      </c>
      <c r="BK46" s="17" t="n">
        <f aca="false">base_fleet!BU46+base_fleet!BZ46+base_fleet!CD46</f>
        <v>0</v>
      </c>
    </row>
    <row r="47" customFormat="false" ht="12.75" hidden="false" customHeight="false" outlineLevel="0" collapsed="false">
      <c r="A47" s="1" t="n">
        <f aca="false">A46-1</f>
        <v>1974</v>
      </c>
      <c r="B47" s="12" t="n">
        <f aca="false">$B$15/$B$14*B46</f>
        <v>42.9310254822236</v>
      </c>
      <c r="C47" s="12" t="n">
        <f aca="false">$B$15/$B$14*C46</f>
        <v>76.881255678344</v>
      </c>
      <c r="D47" s="12" t="n">
        <f aca="false">$B$15/$B$14*D46</f>
        <v>0.0453910132683558</v>
      </c>
      <c r="E47" s="12" t="n">
        <f aca="false">$B$15/$B$14*E46</f>
        <v>32.0081006829732</v>
      </c>
      <c r="F47" s="12" t="n">
        <f aca="false">$B$15/$B$14*F46</f>
        <v>0.330808666334481</v>
      </c>
      <c r="G47" s="12" t="n">
        <f aca="false">$B$15/$B$14*G46</f>
        <v>0.518707988812467</v>
      </c>
      <c r="H47" s="12" t="n">
        <f aca="false">$B$15/$B$14*H46</f>
        <v>0.0052929386613517</v>
      </c>
      <c r="I47" s="12" t="n">
        <f aca="false">$B$15/$B$14*I46</f>
        <v>4.09536513844026</v>
      </c>
      <c r="J47" s="17" t="n">
        <f aca="false">base_fleet!C47+base_fleet!G47+base_fleet!L47+base_fleet!Q47</f>
        <v>0</v>
      </c>
      <c r="K47" s="17" t="n">
        <f aca="false">base_fleet!E47+base_fleet!J47+base_fleet!O47+base_fleet!T47</f>
        <v>0</v>
      </c>
      <c r="L47" s="12" t="n">
        <f aca="false">$B$15/$B$14*L46</f>
        <v>4.89718454448025</v>
      </c>
      <c r="M47" s="17" t="n">
        <f aca="false">base_fleet!I47+base_fleet!N47</f>
        <v>0</v>
      </c>
      <c r="N47" s="12" t="n">
        <f aca="false">$B$15/$B$14*N46</f>
        <v>49.4943608678152</v>
      </c>
      <c r="O47" s="12" t="n">
        <f aca="false">$B$15/$B$14*O46</f>
        <v>0.776186326888885</v>
      </c>
      <c r="P47" s="12" t="n">
        <f aca="false">$B$15/$B$14*P46</f>
        <v>3.46333431237555</v>
      </c>
      <c r="Q47" s="12" t="n">
        <f aca="false">$B$15/$B$14*Q46</f>
        <v>9.45948716512535</v>
      </c>
      <c r="R47" s="12" t="n">
        <f aca="false">$B$15/$B$14*R46</f>
        <v>1.34357399274333</v>
      </c>
      <c r="S47" s="12" t="n">
        <f aca="false">$B$15/$B$14*S46</f>
        <v>0.508379348605585</v>
      </c>
      <c r="T47" s="17" t="n">
        <f aca="false">base_fleet!Z47+base_fleet!AE47</f>
        <v>0</v>
      </c>
      <c r="U47" s="18" t="n">
        <f aca="false">base_fleet!X47+base_fleet!AC47+base_fleet!AH47</f>
        <v>0</v>
      </c>
      <c r="V47" s="12" t="n">
        <f aca="false">$B$15/$B$14*V46</f>
        <v>12.1912952963754</v>
      </c>
      <c r="W47" s="12" t="n">
        <f aca="false">$B$15/$B$14*W46</f>
        <v>2.55201920200953</v>
      </c>
      <c r="X47" s="12" t="n">
        <f aca="false">$B$15/$B$14*X46</f>
        <v>0.572592718430074</v>
      </c>
      <c r="Y47" s="12" t="n">
        <f aca="false">$B$15/$B$14*Y46</f>
        <v>0.432288542390917</v>
      </c>
      <c r="Z47" s="12" t="n">
        <f aca="false">$B$15/$B$14*Z46</f>
        <v>0.864577084781833</v>
      </c>
      <c r="AA47" s="12" t="n">
        <f aca="false">$B$15/$B$14*AA46</f>
        <v>0.170640214101678</v>
      </c>
      <c r="AB47" s="12" t="n">
        <f aca="false">$B$15/$B$14*AB46</f>
        <v>0.00568800713672258</v>
      </c>
      <c r="AC47" s="12" t="n">
        <f aca="false">$B$15/$B$14*AC46</f>
        <v>0.00568800713672258</v>
      </c>
      <c r="AD47" s="12" t="n">
        <f aca="false">$B$15/$B$14*AD46</f>
        <v>0.0492960618515957</v>
      </c>
      <c r="AE47" s="12" t="n">
        <f aca="false">$B$15/$B$14*AE46</f>
        <v>0.246480309257979</v>
      </c>
      <c r="AF47" s="12" t="n">
        <f aca="false">$B$15/$B$14*AF46</f>
        <v>0.0303360380625205</v>
      </c>
      <c r="AG47" s="12" t="n">
        <f aca="false">$B$15/$B$14*AG46</f>
        <v>0</v>
      </c>
      <c r="AH47" s="12" t="n">
        <f aca="false">$B$15/$B$14*AH46</f>
        <v>0.00758400951563011</v>
      </c>
      <c r="AI47" s="12" t="n">
        <f aca="false">$B$15/$B$14*AI46</f>
        <v>0.00758400951563011</v>
      </c>
      <c r="AJ47" s="12" t="n">
        <f aca="false">$B$15/$B$14*AJ46</f>
        <v>0</v>
      </c>
      <c r="AK47" s="12" t="n">
        <f aca="false">$B$15/$B$14*AK46</f>
        <v>0</v>
      </c>
      <c r="AL47" s="12" t="n">
        <f aca="false">$B$15/$B$14*AL46</f>
        <v>0</v>
      </c>
      <c r="AM47" s="12" t="n">
        <f aca="false">$B$15/$B$14*AM46</f>
        <v>0</v>
      </c>
      <c r="AN47" s="12" t="n">
        <f aca="false">$B$15/$B$14*AN46</f>
        <v>0.405744509086211</v>
      </c>
      <c r="AO47" s="12" t="n">
        <f aca="false">$B$15/$B$14*AO46</f>
        <v>0.33748842344554</v>
      </c>
      <c r="AP47" s="12" t="n">
        <f aca="false">$B$15/$B$14*AP46</f>
        <v>0.064464080882856</v>
      </c>
      <c r="AQ47" s="12" t="n">
        <f aca="false">$B$15/$B$14*AQ46</f>
        <v>0.185808233132938</v>
      </c>
      <c r="AR47" s="12" t="n">
        <f aca="false">$B$15/$B$14*AR46</f>
        <v>0.113760142734452</v>
      </c>
      <c r="AS47" s="12" t="n">
        <f aca="false">$B$15/$B$14*AS46</f>
        <v>0.00379200475781506</v>
      </c>
      <c r="AT47" s="17" t="n">
        <f aca="false">base_fleet!AQ47+base_fleet!AN47+base_fleet!AJ47</f>
        <v>0</v>
      </c>
      <c r="AU47" s="12" t="n">
        <f aca="false">$B$15/$B$14*AU46</f>
        <v>5.200297600352</v>
      </c>
      <c r="AV47" s="12" t="n">
        <f aca="false">$B$15/$B$14*AV46</f>
        <v>0.475693297367901</v>
      </c>
      <c r="AW47" s="12" t="n">
        <f aca="false">$B$15/$B$14*AW46</f>
        <v>0.161643353474529</v>
      </c>
      <c r="AX47" s="12" t="n">
        <f aca="false">$B$15/$B$14*AX46</f>
        <v>0.0600389598619681</v>
      </c>
      <c r="AY47" s="12" t="n">
        <f aca="false">$B$15/$B$14*AY46</f>
        <v>0</v>
      </c>
      <c r="AZ47" s="12" t="n">
        <f aca="false">$B$15/$B$14*AZ46</f>
        <v>0.0046183815278437</v>
      </c>
      <c r="BA47" s="12" t="n">
        <f aca="false">$B$15/$B$14*BA46</f>
        <v>1.07917134045516</v>
      </c>
      <c r="BB47" s="12" t="n">
        <f aca="false">$B$15/$B$14*BB46</f>
        <v>0.0987254538586739</v>
      </c>
      <c r="BC47" s="12" t="n">
        <f aca="false">$B$15/$B$14*BC46</f>
        <v>0.00272346079610135</v>
      </c>
      <c r="BD47" s="12" t="n">
        <f aca="false">$B$15/$B$14*BD46</f>
        <v>0.000680865199025337</v>
      </c>
      <c r="BE47" s="17" t="n">
        <v>0</v>
      </c>
      <c r="BF47" s="17" t="n">
        <v>0</v>
      </c>
      <c r="BG47" s="17" t="n">
        <f aca="false">base_fleet!CE47</f>
        <v>0</v>
      </c>
      <c r="BH47" s="17" t="n">
        <f aca="false">base_fleet!CA47</f>
        <v>0</v>
      </c>
      <c r="BI47" s="17" t="n">
        <f aca="false">base_fleet!BV47</f>
        <v>0</v>
      </c>
      <c r="BJ47" s="17" t="n">
        <f aca="false">base_fleet!CH47</f>
        <v>0</v>
      </c>
      <c r="BK47" s="17" t="n">
        <f aca="false">base_fleet!BU47+base_fleet!BZ47+base_fleet!CD47</f>
        <v>0</v>
      </c>
    </row>
    <row r="48" customFormat="false" ht="12.75" hidden="false" customHeight="false" outlineLevel="0" collapsed="false">
      <c r="A48" s="1" t="n">
        <f aca="false">A47-1</f>
        <v>1973</v>
      </c>
      <c r="B48" s="12" t="n">
        <f aca="false">$B$15/$B$14*B47</f>
        <v>35.8649523693191</v>
      </c>
      <c r="C48" s="12" t="n">
        <f aca="false">$B$15/$B$14*C47</f>
        <v>64.2272701857304</v>
      </c>
      <c r="D48" s="12" t="n">
        <f aca="false">$B$15/$B$14*D47</f>
        <v>0.0379200475781506</v>
      </c>
      <c r="E48" s="12" t="n">
        <f aca="false">$B$15/$B$14*E47</f>
        <v>26.7398459163884</v>
      </c>
      <c r="F48" s="12" t="n">
        <f aca="false">$B$15/$B$14*F47</f>
        <v>0.276360439290154</v>
      </c>
      <c r="G48" s="12" t="n">
        <f aca="false">$B$15/$B$14*G47</f>
        <v>0.433333168806963</v>
      </c>
      <c r="H48" s="12" t="n">
        <f aca="false">$B$15/$B$14*H47</f>
        <v>0.00442176702864247</v>
      </c>
      <c r="I48" s="12" t="n">
        <f aca="false">$B$15/$B$14*I47</f>
        <v>3.42130368364828</v>
      </c>
      <c r="J48" s="17" t="n">
        <f aca="false">base_fleet!C48+base_fleet!G48+base_fleet!L48+base_fleet!Q48</f>
        <v>0</v>
      </c>
      <c r="K48" s="17" t="n">
        <f aca="false">base_fleet!E48+base_fleet!J48+base_fleet!O48+base_fleet!T48</f>
        <v>0</v>
      </c>
      <c r="L48" s="12" t="n">
        <f aca="false">$B$15/$B$14*L47</f>
        <v>4.09115059467368</v>
      </c>
      <c r="M48" s="17" t="n">
        <f aca="false">base_fleet!I48+base_fleet!N48</f>
        <v>0</v>
      </c>
      <c r="N48" s="12" t="n">
        <f aca="false">$B$15/$B$14*N47</f>
        <v>41.3480198792154</v>
      </c>
      <c r="O48" s="12" t="n">
        <f aca="false">$B$15/$B$14*O47</f>
        <v>0.648432813586374</v>
      </c>
      <c r="P48" s="12" t="n">
        <f aca="false">$B$15/$B$14*P47</f>
        <v>2.89329963021289</v>
      </c>
      <c r="Q48" s="12" t="n">
        <f aca="false">$B$15/$B$14*Q47</f>
        <v>7.90253791528657</v>
      </c>
      <c r="R48" s="12" t="n">
        <f aca="false">$B$15/$B$14*R47</f>
        <v>1.12243340831326</v>
      </c>
      <c r="S48" s="12" t="n">
        <f aca="false">$B$15/$B$14*S47</f>
        <v>0.424704532875286</v>
      </c>
      <c r="T48" s="17" t="n">
        <f aca="false">base_fleet!Z48+base_fleet!AE48</f>
        <v>0</v>
      </c>
      <c r="U48" s="18" t="n">
        <f aca="false">base_fleet!X48+base_fleet!AC48+base_fleet!AH48</f>
        <v>0</v>
      </c>
      <c r="V48" s="12" t="n">
        <f aca="false">$B$15/$B$14*V47</f>
        <v>10.1847142064159</v>
      </c>
      <c r="W48" s="12" t="n">
        <f aca="false">$B$15/$B$14*W47</f>
        <v>2.13197905471786</v>
      </c>
      <c r="X48" s="12" t="n">
        <f aca="false">$B$15/$B$14*X47</f>
        <v>0.478348940954528</v>
      </c>
      <c r="Y48" s="12" t="n">
        <f aca="false">$B$15/$B$14*Y47</f>
        <v>0.361137611051763</v>
      </c>
      <c r="Z48" s="12" t="n">
        <f aca="false">$B$15/$B$14*Z47</f>
        <v>0.722275222103526</v>
      </c>
      <c r="AA48" s="12" t="n">
        <f aca="false">$B$15/$B$14*AA47</f>
        <v>0.142554320152012</v>
      </c>
      <c r="AB48" s="12" t="n">
        <f aca="false">$B$15/$B$14*AB47</f>
        <v>0.00475181067173372</v>
      </c>
      <c r="AC48" s="12" t="n">
        <f aca="false">$B$15/$B$14*AC47</f>
        <v>0.00475181067173372</v>
      </c>
      <c r="AD48" s="12" t="n">
        <f aca="false">$B$15/$B$14*AD47</f>
        <v>0.0411823591550256</v>
      </c>
      <c r="AE48" s="12" t="n">
        <f aca="false">$B$15/$B$14*AE47</f>
        <v>0.205911795775128</v>
      </c>
      <c r="AF48" s="12" t="n">
        <f aca="false">$B$15/$B$14*AF47</f>
        <v>0.0253429902492465</v>
      </c>
      <c r="AG48" s="12" t="n">
        <f aca="false">$B$15/$B$14*AG47</f>
        <v>0</v>
      </c>
      <c r="AH48" s="12" t="n">
        <f aca="false">$B$15/$B$14*AH47</f>
        <v>0.00633574756231163</v>
      </c>
      <c r="AI48" s="12" t="n">
        <f aca="false">$B$15/$B$14*AI47</f>
        <v>0.00633574756231163</v>
      </c>
      <c r="AJ48" s="12" t="n">
        <f aca="false">$B$15/$B$14*AJ47</f>
        <v>0</v>
      </c>
      <c r="AK48" s="12" t="n">
        <f aca="false">$B$15/$B$14*AK47</f>
        <v>0</v>
      </c>
      <c r="AL48" s="12" t="n">
        <f aca="false">$B$15/$B$14*AL47</f>
        <v>0</v>
      </c>
      <c r="AM48" s="12" t="n">
        <f aca="false">$B$15/$B$14*AM47</f>
        <v>0</v>
      </c>
      <c r="AN48" s="12" t="n">
        <f aca="false">$B$15/$B$14*AN47</f>
        <v>0.338962494583672</v>
      </c>
      <c r="AO48" s="12" t="n">
        <f aca="false">$B$15/$B$14*AO47</f>
        <v>0.281940766522868</v>
      </c>
      <c r="AP48" s="12" t="n">
        <f aca="false">$B$15/$B$14*AP47</f>
        <v>0.0538538542796489</v>
      </c>
      <c r="AQ48" s="12" t="n">
        <f aca="false">$B$15/$B$14*AQ47</f>
        <v>0.155225815276635</v>
      </c>
      <c r="AR48" s="12" t="n">
        <f aca="false">$B$15/$B$14*AR47</f>
        <v>0.0950362134346745</v>
      </c>
      <c r="AS48" s="12" t="n">
        <f aca="false">$B$15/$B$14*AS47</f>
        <v>0.00316787378115582</v>
      </c>
      <c r="AT48" s="17" t="n">
        <f aca="false">base_fleet!AQ48+base_fleet!AN48+base_fleet!AJ48</f>
        <v>0</v>
      </c>
      <c r="AU48" s="12" t="n">
        <f aca="false">$B$15/$B$14*AU47</f>
        <v>4.34437387991434</v>
      </c>
      <c r="AV48" s="12" t="n">
        <f aca="false">$B$15/$B$14*AV47</f>
        <v>0.397398321164455</v>
      </c>
      <c r="AW48" s="12" t="n">
        <f aca="false">$B$15/$B$14*AW47</f>
        <v>0.135038264473359</v>
      </c>
      <c r="AX48" s="12" t="n">
        <f aca="false">$B$15/$B$14*AX47</f>
        <v>0.0501570696615332</v>
      </c>
      <c r="AY48" s="12" t="n">
        <f aca="false">$B$15/$B$14*AY47</f>
        <v>0</v>
      </c>
      <c r="AZ48" s="12" t="n">
        <f aca="false">$B$15/$B$14*AZ47</f>
        <v>0.00385823612781025</v>
      </c>
      <c r="BA48" s="12" t="n">
        <f aca="false">$B$15/$B$14*BA47</f>
        <v>0.90154913117053</v>
      </c>
      <c r="BB48" s="12" t="n">
        <f aca="false">$B$15/$B$14*BB47</f>
        <v>0.0824761034824775</v>
      </c>
      <c r="BC48" s="12" t="n">
        <f aca="false">$B$15/$B$14*BC47</f>
        <v>0.00227520285468903</v>
      </c>
      <c r="BD48" s="12" t="n">
        <f aca="false">$B$15/$B$14*BD47</f>
        <v>0.000568800713672258</v>
      </c>
      <c r="BE48" s="17" t="n">
        <v>0</v>
      </c>
      <c r="BF48" s="17" t="n">
        <v>0</v>
      </c>
      <c r="BG48" s="17" t="n">
        <f aca="false">base_fleet!CE48</f>
        <v>0</v>
      </c>
      <c r="BH48" s="17" t="n">
        <f aca="false">base_fleet!CA48</f>
        <v>0</v>
      </c>
      <c r="BI48" s="17" t="n">
        <f aca="false">base_fleet!BV48</f>
        <v>0</v>
      </c>
      <c r="BJ48" s="17" t="n">
        <f aca="false">base_fleet!CH48</f>
        <v>0</v>
      </c>
      <c r="BK48" s="17" t="n">
        <f aca="false">base_fleet!BU48+base_fleet!BZ48+base_fleet!CD48</f>
        <v>0</v>
      </c>
    </row>
    <row r="49" customFormat="false" ht="12.75" hidden="false" customHeight="false" outlineLevel="0" collapsed="false">
      <c r="A49" s="1" t="n">
        <f aca="false">A48-1</f>
        <v>1972</v>
      </c>
      <c r="B49" s="12" t="n">
        <f aca="false">$B$15/$B$14*B48</f>
        <v>29.9618933860814</v>
      </c>
      <c r="C49" s="12" t="n">
        <f aca="false">$B$15/$B$14*C48</f>
        <v>53.6560205620157</v>
      </c>
      <c r="D49" s="12" t="n">
        <f aca="false">$B$15/$B$14*D48</f>
        <v>0.0316787378115581</v>
      </c>
      <c r="E49" s="12" t="n">
        <f aca="false">$B$15/$B$14*E48</f>
        <v>22.3387000282885</v>
      </c>
      <c r="F49" s="12" t="n">
        <f aca="false">$B$15/$B$14*F48</f>
        <v>0.230873916487497</v>
      </c>
      <c r="G49" s="12" t="n">
        <f aca="false">$B$15/$B$14*G48</f>
        <v>0.362010301052395</v>
      </c>
      <c r="H49" s="12" t="n">
        <f aca="false">$B$15/$B$14*H48</f>
        <v>0.00369398266379995</v>
      </c>
      <c r="I49" s="12" t="n">
        <f aca="false">$B$15/$B$14*I48</f>
        <v>2.85818687712992</v>
      </c>
      <c r="J49" s="17" t="n">
        <f aca="false">base_fleet!C49+base_fleet!G49+base_fleet!L49+base_fleet!Q49</f>
        <v>0</v>
      </c>
      <c r="K49" s="17" t="n">
        <f aca="false">base_fleet!E49+base_fleet!J49+base_fleet!O49+base_fleet!T49</f>
        <v>0</v>
      </c>
      <c r="L49" s="12" t="n">
        <f aca="false">$B$15/$B$14*L48</f>
        <v>3.41778281710132</v>
      </c>
      <c r="M49" s="17" t="n">
        <f aca="false">base_fleet!I49+base_fleet!N49</f>
        <v>0</v>
      </c>
      <c r="N49" s="12" t="n">
        <f aca="false">$B$15/$B$14*N48</f>
        <v>34.542495709723</v>
      </c>
      <c r="O49" s="12" t="n">
        <f aca="false">$B$15/$B$14*O48</f>
        <v>0.541706416577644</v>
      </c>
      <c r="P49" s="12" t="n">
        <f aca="false">$B$15/$B$14*P48</f>
        <v>2.41708769502189</v>
      </c>
      <c r="Q49" s="12" t="n">
        <f aca="false">$B$15/$B$14*Q48</f>
        <v>6.60184895992872</v>
      </c>
      <c r="R49" s="12" t="n">
        <f aca="false">$B$15/$B$14*R48</f>
        <v>0.937690639222121</v>
      </c>
      <c r="S49" s="12" t="n">
        <f aca="false">$B$15/$B$14*S48</f>
        <v>0.354801863489451</v>
      </c>
      <c r="T49" s="17" t="n">
        <f aca="false">base_fleet!Z49+base_fleet!AE49</f>
        <v>0</v>
      </c>
      <c r="U49" s="18" t="n">
        <f aca="false">base_fleet!X49+base_fleet!AC49+base_fleet!AH49</f>
        <v>0</v>
      </c>
      <c r="V49" s="12" t="n">
        <f aca="false">$B$15/$B$14*V48</f>
        <v>8.50839889812285</v>
      </c>
      <c r="W49" s="12" t="n">
        <f aca="false">$B$15/$B$14*W48</f>
        <v>1.78107385954485</v>
      </c>
      <c r="X49" s="12" t="n">
        <f aca="false">$B$15/$B$14*X48</f>
        <v>0.399616868932053</v>
      </c>
      <c r="Y49" s="12" t="n">
        <f aca="false">$B$15/$B$14*Y48</f>
        <v>0.301697503697047</v>
      </c>
      <c r="Z49" s="12" t="n">
        <f aca="false">$B$15/$B$14*Z48</f>
        <v>0.603395007394094</v>
      </c>
      <c r="AA49" s="12" t="n">
        <f aca="false">$B$15/$B$14*AA48</f>
        <v>0.119091119880413</v>
      </c>
      <c r="AB49" s="12" t="n">
        <f aca="false">$B$15/$B$14*AB48</f>
        <v>0.00396970399601377</v>
      </c>
      <c r="AC49" s="12" t="n">
        <f aca="false">$B$15/$B$14*AC48</f>
        <v>0.00396970399601377</v>
      </c>
      <c r="AD49" s="12" t="n">
        <f aca="false">$B$15/$B$14*AD48</f>
        <v>0.034404101298786</v>
      </c>
      <c r="AE49" s="12" t="n">
        <f aca="false">$B$15/$B$14*AE48</f>
        <v>0.17202050649393</v>
      </c>
      <c r="AF49" s="12" t="n">
        <f aca="false">$B$15/$B$14*AF48</f>
        <v>0.0211717546454068</v>
      </c>
      <c r="AG49" s="12" t="n">
        <f aca="false">$B$15/$B$14*AG48</f>
        <v>0</v>
      </c>
      <c r="AH49" s="12" t="n">
        <f aca="false">$B$15/$B$14*AH48</f>
        <v>0.0052929386613517</v>
      </c>
      <c r="AI49" s="12" t="n">
        <f aca="false">$B$15/$B$14*AI48</f>
        <v>0.0052929386613517</v>
      </c>
      <c r="AJ49" s="12" t="n">
        <f aca="false">$B$15/$B$14*AJ48</f>
        <v>0</v>
      </c>
      <c r="AK49" s="12" t="n">
        <f aca="false">$B$15/$B$14*AK48</f>
        <v>0</v>
      </c>
      <c r="AL49" s="12" t="n">
        <f aca="false">$B$15/$B$14*AL48</f>
        <v>0</v>
      </c>
      <c r="AM49" s="12" t="n">
        <f aca="false">$B$15/$B$14*AM48</f>
        <v>0</v>
      </c>
      <c r="AN49" s="12" t="n">
        <f aca="false">$B$15/$B$14*AN48</f>
        <v>0.283172218382316</v>
      </c>
      <c r="AO49" s="12" t="n">
        <f aca="false">$B$15/$B$14*AO48</f>
        <v>0.235535770430151</v>
      </c>
      <c r="AP49" s="12" t="n">
        <f aca="false">$B$15/$B$14*AP48</f>
        <v>0.0449899786214894</v>
      </c>
      <c r="AQ49" s="12" t="n">
        <f aca="false">$B$15/$B$14*AQ48</f>
        <v>0.129676997203117</v>
      </c>
      <c r="AR49" s="12" t="n">
        <f aca="false">$B$15/$B$14*AR48</f>
        <v>0.0793940799202755</v>
      </c>
      <c r="AS49" s="12" t="n">
        <f aca="false">$B$15/$B$14*AS48</f>
        <v>0.00264646933067585</v>
      </c>
      <c r="AT49" s="17" t="n">
        <f aca="false">base_fleet!AQ49+base_fleet!AN49+base_fleet!AJ49</f>
        <v>0</v>
      </c>
      <c r="AU49" s="12" t="n">
        <f aca="false">$B$15/$B$14*AU48</f>
        <v>3.62932775370479</v>
      </c>
      <c r="AV49" s="12" t="n">
        <f aca="false">$B$15/$B$14*AV48</f>
        <v>0.331990016546708</v>
      </c>
      <c r="AW49" s="12" t="n">
        <f aca="false">$B$15/$B$14*AW48</f>
        <v>0.112812141544998</v>
      </c>
      <c r="AX49" s="12" t="n">
        <f aca="false">$B$15/$B$14*AX48</f>
        <v>0.0419016525738564</v>
      </c>
      <c r="AY49" s="12" t="n">
        <f aca="false">$B$15/$B$14*AY48</f>
        <v>0</v>
      </c>
      <c r="AZ49" s="12" t="n">
        <f aca="false">$B$15/$B$14*AZ48</f>
        <v>0.0032232040441428</v>
      </c>
      <c r="BA49" s="12" t="n">
        <f aca="false">$B$15/$B$14*BA48</f>
        <v>0.753161991469795</v>
      </c>
      <c r="BB49" s="12" t="n">
        <f aca="false">$B$15/$B$14*BB48</f>
        <v>0.068901254740139</v>
      </c>
      <c r="BC49" s="12" t="n">
        <f aca="false">$B$15/$B$14*BC48</f>
        <v>0.00190072426869349</v>
      </c>
      <c r="BD49" s="12" t="n">
        <f aca="false">$B$15/$B$14*BD48</f>
        <v>0.000475181067173372</v>
      </c>
      <c r="BE49" s="17" t="n">
        <v>0</v>
      </c>
      <c r="BF49" s="17" t="n">
        <v>0</v>
      </c>
      <c r="BG49" s="17" t="n">
        <f aca="false">base_fleet!CE49</f>
        <v>0</v>
      </c>
      <c r="BH49" s="17" t="n">
        <f aca="false">base_fleet!CA49</f>
        <v>0</v>
      </c>
      <c r="BI49" s="17" t="n">
        <f aca="false">base_fleet!BV49</f>
        <v>0</v>
      </c>
      <c r="BJ49" s="17" t="n">
        <f aca="false">base_fleet!CH49</f>
        <v>0</v>
      </c>
      <c r="BK49" s="17" t="n">
        <f aca="false">base_fleet!BU49+base_fleet!BZ49+base_fleet!CD49</f>
        <v>0</v>
      </c>
    </row>
    <row r="50" customFormat="false" ht="12.75" hidden="false" customHeight="false" outlineLevel="0" collapsed="false">
      <c r="A50" s="1" t="n">
        <f aca="false">A49-1</f>
        <v>1971</v>
      </c>
      <c r="B50" s="12" t="n">
        <f aca="false">$B$15/$B$14*B49</f>
        <v>25.0304265299085</v>
      </c>
      <c r="C50" s="12" t="n">
        <f aca="false">$B$15/$B$14*C49</f>
        <v>44.8247066117887</v>
      </c>
      <c r="D50" s="12" t="n">
        <f aca="false">$B$15/$B$14*D49</f>
        <v>0.0264646933067585</v>
      </c>
      <c r="E50" s="12" t="n">
        <f aca="false">$B$15/$B$14*E49</f>
        <v>18.6619444447889</v>
      </c>
      <c r="F50" s="12" t="n">
        <f aca="false">$B$15/$B$14*F49</f>
        <v>0.192874079413054</v>
      </c>
      <c r="G50" s="12" t="n">
        <f aca="false">$B$15/$B$14*G49</f>
        <v>0.302426556519668</v>
      </c>
      <c r="H50" s="12" t="n">
        <f aca="false">$B$15/$B$14*H49</f>
        <v>0.00308598527060886</v>
      </c>
      <c r="I50" s="12" t="n">
        <f aca="false">$B$15/$B$14*I49</f>
        <v>2.38775419546694</v>
      </c>
      <c r="J50" s="17" t="n">
        <f aca="false">base_fleet!C50+base_fleet!G50+base_fleet!L50+base_fleet!Q50</f>
        <v>0</v>
      </c>
      <c r="K50" s="17" t="n">
        <f aca="false">base_fleet!E50+base_fleet!J50+base_fleet!O50+base_fleet!T50</f>
        <v>0</v>
      </c>
      <c r="L50" s="12" t="n">
        <f aca="false">$B$15/$B$14*L49</f>
        <v>2.85524551457016</v>
      </c>
      <c r="M50" s="17" t="n">
        <f aca="false">base_fleet!I50+base_fleet!N50</f>
        <v>0</v>
      </c>
      <c r="N50" s="12" t="n">
        <f aca="false">$B$15/$B$14*N49</f>
        <v>28.8571015816895</v>
      </c>
      <c r="O50" s="12" t="n">
        <f aca="false">$B$15/$B$14*O49</f>
        <v>0.45254625554557</v>
      </c>
      <c r="P50" s="12" t="n">
        <f aca="false">$B$15/$B$14*P49</f>
        <v>2.01925609930567</v>
      </c>
      <c r="Q50" s="12" t="n">
        <f aca="false">$B$15/$B$14*Q49</f>
        <v>5.51524208512847</v>
      </c>
      <c r="R50" s="12" t="n">
        <f aca="false">$B$15/$B$14*R49</f>
        <v>0.783354921880051</v>
      </c>
      <c r="S50" s="12" t="n">
        <f aca="false">$B$15/$B$14*S49</f>
        <v>0.296404565035695</v>
      </c>
      <c r="T50" s="17" t="n">
        <f aca="false">base_fleet!Z50+base_fleet!AE50</f>
        <v>0</v>
      </c>
      <c r="U50" s="18" t="n">
        <f aca="false">base_fleet!X50+base_fleet!AC50+base_fleet!AH50</f>
        <v>0</v>
      </c>
      <c r="V50" s="12" t="n">
        <f aca="false">$B$15/$B$14*V49</f>
        <v>7.10799049854277</v>
      </c>
      <c r="W50" s="12" t="n">
        <f aca="false">$B$15/$B$14*W49</f>
        <v>1.48792460513819</v>
      </c>
      <c r="X50" s="12" t="n">
        <f aca="false">$B$15/$B$14*X49</f>
        <v>0.333843410662507</v>
      </c>
      <c r="Y50" s="12" t="n">
        <f aca="false">$B$15/$B$14*Y49</f>
        <v>0.252040720632621</v>
      </c>
      <c r="Z50" s="12" t="n">
        <f aca="false">$B$15/$B$14*Z49</f>
        <v>0.504081441265242</v>
      </c>
      <c r="AA50" s="12" t="n">
        <f aca="false">$B$15/$B$14*AA49</f>
        <v>0.0994897581444556</v>
      </c>
      <c r="AB50" s="12" t="n">
        <f aca="false">$B$15/$B$14*AB49</f>
        <v>0.00331632527148185</v>
      </c>
      <c r="AC50" s="12" t="n">
        <f aca="false">$B$15/$B$14*AC49</f>
        <v>0.00331632527148185</v>
      </c>
      <c r="AD50" s="12" t="n">
        <f aca="false">$B$15/$B$14*AD49</f>
        <v>0.0287414856861761</v>
      </c>
      <c r="AE50" s="12" t="n">
        <f aca="false">$B$15/$B$14*AE49</f>
        <v>0.14370742843088</v>
      </c>
      <c r="AF50" s="12" t="n">
        <f aca="false">$B$15/$B$14*AF49</f>
        <v>0.0176870681145699</v>
      </c>
      <c r="AG50" s="12" t="n">
        <f aca="false">$B$15/$B$14*AG49</f>
        <v>0</v>
      </c>
      <c r="AH50" s="12" t="n">
        <f aca="false">$B$15/$B$14*AH49</f>
        <v>0.00442176702864247</v>
      </c>
      <c r="AI50" s="12" t="n">
        <f aca="false">$B$15/$B$14*AI49</f>
        <v>0.00442176702864247</v>
      </c>
      <c r="AJ50" s="12" t="n">
        <f aca="false">$B$15/$B$14*AJ49</f>
        <v>0</v>
      </c>
      <c r="AK50" s="12" t="n">
        <f aca="false">$B$15/$B$14*AK49</f>
        <v>0</v>
      </c>
      <c r="AL50" s="12" t="n">
        <f aca="false">$B$15/$B$14*AL49</f>
        <v>0</v>
      </c>
      <c r="AM50" s="12" t="n">
        <f aca="false">$B$15/$B$14*AM49</f>
        <v>0</v>
      </c>
      <c r="AN50" s="12" t="n">
        <f aca="false">$B$15/$B$14*AN49</f>
        <v>0.236564536032372</v>
      </c>
      <c r="AO50" s="12" t="n">
        <f aca="false">$B$15/$B$14*AO49</f>
        <v>0.19676863277459</v>
      </c>
      <c r="AP50" s="12" t="n">
        <f aca="false">$B$15/$B$14*AP49</f>
        <v>0.037585019743461</v>
      </c>
      <c r="AQ50" s="12" t="n">
        <f aca="false">$B$15/$B$14*AQ49</f>
        <v>0.108333292201741</v>
      </c>
      <c r="AR50" s="12" t="n">
        <f aca="false">$B$15/$B$14*AR49</f>
        <v>0.0663265054296371</v>
      </c>
      <c r="AS50" s="12" t="n">
        <f aca="false">$B$15/$B$14*AS49</f>
        <v>0.00221088351432124</v>
      </c>
      <c r="AT50" s="17" t="n">
        <f aca="false">base_fleet!AQ50+base_fleet!AN50+base_fleet!AJ50</f>
        <v>0</v>
      </c>
      <c r="AU50" s="12" t="n">
        <f aca="false">$B$15/$B$14*AU49</f>
        <v>3.03197199594423</v>
      </c>
      <c r="AV50" s="12" t="n">
        <f aca="false">$B$15/$B$14*AV49</f>
        <v>0.277347349540192</v>
      </c>
      <c r="AW50" s="12" t="n">
        <f aca="false">$B$15/$B$14*AW49</f>
        <v>0.0942442449893855</v>
      </c>
      <c r="AX50" s="12" t="n">
        <f aca="false">$B$15/$B$14*AX49</f>
        <v>0.0350050052817718</v>
      </c>
      <c r="AY50" s="12" t="n">
        <f aca="false">$B$15/$B$14*AY49</f>
        <v>0</v>
      </c>
      <c r="AZ50" s="12" t="n">
        <f aca="false">$B$15/$B$14*AZ49</f>
        <v>0.00269269271398244</v>
      </c>
      <c r="BA50" s="12" t="n">
        <f aca="false">$B$15/$B$14*BA49</f>
        <v>0.629198083368183</v>
      </c>
      <c r="BB50" s="12" t="n">
        <f aca="false">$B$15/$B$14*BB49</f>
        <v>0.0575607079421997</v>
      </c>
      <c r="BC50" s="12" t="n">
        <f aca="false">$B$15/$B$14*BC49</f>
        <v>0.00158788159840551</v>
      </c>
      <c r="BD50" s="12" t="n">
        <f aca="false">$B$15/$B$14*BD49</f>
        <v>0.000396970399601377</v>
      </c>
      <c r="BE50" s="17" t="n">
        <v>0</v>
      </c>
      <c r="BF50" s="17" t="n">
        <v>0</v>
      </c>
      <c r="BG50" s="17" t="n">
        <f aca="false">base_fleet!CE50</f>
        <v>0</v>
      </c>
      <c r="BH50" s="17" t="n">
        <f aca="false">base_fleet!CA50</f>
        <v>0</v>
      </c>
      <c r="BI50" s="17" t="n">
        <f aca="false">base_fleet!BV50</f>
        <v>0</v>
      </c>
      <c r="BJ50" s="17" t="n">
        <f aca="false">base_fleet!CH50</f>
        <v>0</v>
      </c>
      <c r="BK50" s="17" t="n">
        <f aca="false">base_fleet!BU50+base_fleet!BZ50+base_fleet!CD50</f>
        <v>0</v>
      </c>
    </row>
    <row r="51" customFormat="false" ht="12.75" hidden="false" customHeight="false" outlineLevel="0" collapsed="false">
      <c r="A51" s="1" t="n">
        <f aca="false">A50-1</f>
        <v>1970</v>
      </c>
      <c r="B51" s="12" t="n">
        <f aca="false">$B$15/$B$14*B50</f>
        <v>20.9106361936456</v>
      </c>
      <c r="C51" s="12" t="n">
        <f aca="false">$B$15/$B$14*C50</f>
        <v>37.4469500679916</v>
      </c>
      <c r="D51" s="12" t="n">
        <f aca="false">$B$15/$B$14*D50</f>
        <v>0.0221088351432124</v>
      </c>
      <c r="E51" s="12" t="n">
        <f aca="false">$B$15/$B$14*E50</f>
        <v>15.5903508270114</v>
      </c>
      <c r="F51" s="12" t="n">
        <f aca="false">$B$15/$B$14*F50</f>
        <v>0.161128684761787</v>
      </c>
      <c r="G51" s="12" t="n">
        <f aca="false">$B$15/$B$14*G50</f>
        <v>0.252649777706482</v>
      </c>
      <c r="H51" s="12" t="n">
        <f aca="false">$B$15/$B$14*H50</f>
        <v>0.00257805895618859</v>
      </c>
      <c r="I51" s="12" t="n">
        <f aca="false">$B$15/$B$14*I50</f>
        <v>1.99475063845197</v>
      </c>
      <c r="J51" s="17" t="n">
        <f aca="false">base_fleet!C51+base_fleet!G51+base_fleet!L51+base_fleet!Q51</f>
        <v>0</v>
      </c>
      <c r="K51" s="17" t="n">
        <f aca="false">base_fleet!E51+base_fleet!J51+base_fleet!O51+base_fleet!T51</f>
        <v>0</v>
      </c>
      <c r="L51" s="12" t="n">
        <f aca="false">$B$15/$B$14*L50</f>
        <v>2.38529695558222</v>
      </c>
      <c r="M51" s="17" t="n">
        <f aca="false">base_fleet!I51+base_fleet!N51</f>
        <v>0</v>
      </c>
      <c r="N51" s="12" t="n">
        <f aca="false">$B$15/$B$14*N50</f>
        <v>24.1074738401588</v>
      </c>
      <c r="O51" s="12" t="n">
        <f aca="false">$B$15/$B$14*O50</f>
        <v>0.378061080948931</v>
      </c>
      <c r="P51" s="12" t="n">
        <f aca="false">$B$15/$B$14*P50</f>
        <v>1.6869041214271</v>
      </c>
      <c r="Q51" s="12" t="n">
        <f aca="false">$B$15/$B$14*Q50</f>
        <v>4.60748124384546</v>
      </c>
      <c r="R51" s="12" t="n">
        <f aca="false">$B$15/$B$14*R50</f>
        <v>0.654421520239086</v>
      </c>
      <c r="S51" s="12" t="n">
        <f aca="false">$B$15/$B$14*S50</f>
        <v>0.247618953603978</v>
      </c>
      <c r="T51" s="17" t="n">
        <f aca="false">base_fleet!Z51+base_fleet!AE51</f>
        <v>0</v>
      </c>
      <c r="U51" s="18" t="n">
        <f aca="false">base_fleet!X51+base_fleet!AC51+base_fleet!AH51</f>
        <v>0</v>
      </c>
      <c r="V51" s="12" t="n">
        <f aca="false">$B$15/$B$14*V50</f>
        <v>5.93807713205842</v>
      </c>
      <c r="W51" s="12" t="n">
        <f aca="false">$B$15/$B$14*W50</f>
        <v>1.24302516636868</v>
      </c>
      <c r="X51" s="12" t="n">
        <f aca="false">$B$15/$B$14*X50</f>
        <v>0.278895691116896</v>
      </c>
      <c r="Y51" s="12" t="n">
        <f aca="false">$B$15/$B$14*Y50</f>
        <v>0.210557011836597</v>
      </c>
      <c r="Z51" s="12" t="n">
        <f aca="false">$B$15/$B$14*Z50</f>
        <v>0.421114023673194</v>
      </c>
      <c r="AA51" s="12" t="n">
        <f aca="false">$B$15/$B$14*AA50</f>
        <v>0.0831146099354989</v>
      </c>
      <c r="AB51" s="12" t="n">
        <f aca="false">$B$15/$B$14*AB50</f>
        <v>0.00277048699784996</v>
      </c>
      <c r="AC51" s="12" t="n">
        <f aca="false">$B$15/$B$14*AC50</f>
        <v>0.00277048699784996</v>
      </c>
      <c r="AD51" s="12" t="n">
        <f aca="false">$B$15/$B$14*AD50</f>
        <v>0.0240108873146997</v>
      </c>
      <c r="AE51" s="12" t="n">
        <f aca="false">$B$15/$B$14*AE50</f>
        <v>0.120054436573498</v>
      </c>
      <c r="AF51" s="12" t="n">
        <f aca="false">$B$15/$B$14*AF50</f>
        <v>0.0147759306551998</v>
      </c>
      <c r="AG51" s="12" t="n">
        <f aca="false">$B$15/$B$14*AG50</f>
        <v>0</v>
      </c>
      <c r="AH51" s="12" t="n">
        <f aca="false">$B$15/$B$14*AH50</f>
        <v>0.00369398266379995</v>
      </c>
      <c r="AI51" s="12" t="n">
        <f aca="false">$B$15/$B$14*AI50</f>
        <v>0.00369398266379995</v>
      </c>
      <c r="AJ51" s="12" t="n">
        <f aca="false">$B$15/$B$14*AJ50</f>
        <v>0</v>
      </c>
      <c r="AK51" s="12" t="n">
        <f aca="false">$B$15/$B$14*AK50</f>
        <v>0</v>
      </c>
      <c r="AL51" s="12" t="n">
        <f aca="false">$B$15/$B$14*AL50</f>
        <v>0</v>
      </c>
      <c r="AM51" s="12" t="n">
        <f aca="false">$B$15/$B$14*AM50</f>
        <v>0</v>
      </c>
      <c r="AN51" s="12" t="n">
        <f aca="false">$B$15/$B$14*AN50</f>
        <v>0.197628072513297</v>
      </c>
      <c r="AO51" s="12" t="n">
        <f aca="false">$B$15/$B$14*AO50</f>
        <v>0.164382228539098</v>
      </c>
      <c r="AP51" s="12" t="n">
        <f aca="false">$B$15/$B$14*AP50</f>
        <v>0.0313988526422996</v>
      </c>
      <c r="AQ51" s="12" t="n">
        <f aca="false">$B$15/$B$14*AQ50</f>
        <v>0.0905025752630988</v>
      </c>
      <c r="AR51" s="12" t="n">
        <f aca="false">$B$15/$B$14*AR50</f>
        <v>0.0554097399569992</v>
      </c>
      <c r="AS51" s="12" t="n">
        <f aca="false">$B$15/$B$14*AS50</f>
        <v>0.00184699133189998</v>
      </c>
      <c r="AT51" s="17" t="n">
        <f aca="false">base_fleet!AQ51+base_fleet!AN51+base_fleet!AJ51</f>
        <v>0</v>
      </c>
      <c r="AU51" s="12" t="n">
        <f aca="false">$B$15/$B$14*AU50</f>
        <v>2.53293579638985</v>
      </c>
      <c r="AV51" s="12" t="n">
        <f aca="false">$B$15/$B$14*AV50</f>
        <v>0.23169838990067</v>
      </c>
      <c r="AW51" s="12" t="n">
        <f aca="false">$B$15/$B$14*AW50</f>
        <v>0.0787324625876065</v>
      </c>
      <c r="AX51" s="12" t="n">
        <f aca="false">$B$15/$B$14*AX50</f>
        <v>0.0292434861039681</v>
      </c>
      <c r="AY51" s="12" t="n">
        <f aca="false">$B$15/$B$14*AY50</f>
        <v>0</v>
      </c>
      <c r="AZ51" s="12" t="n">
        <f aca="false">$B$15/$B$14*AZ50</f>
        <v>0.00224949893107447</v>
      </c>
      <c r="BA51" s="12" t="n">
        <f aca="false">$B$15/$B$14*BA50</f>
        <v>0.525637555529874</v>
      </c>
      <c r="BB51" s="12" t="n">
        <f aca="false">$B$15/$B$14*BB50</f>
        <v>0.0480867164364869</v>
      </c>
      <c r="BC51" s="12" t="n">
        <f aca="false">$B$15/$B$14*BC50</f>
        <v>0.00132653010859274</v>
      </c>
      <c r="BD51" s="12" t="n">
        <f aca="false">$B$15/$B$14*BD50</f>
        <v>0.000331632527148185</v>
      </c>
      <c r="BE51" s="17" t="n">
        <v>0</v>
      </c>
      <c r="BF51" s="17" t="n">
        <v>0</v>
      </c>
      <c r="BG51" s="17" t="n">
        <f aca="false">base_fleet!CE51</f>
        <v>0</v>
      </c>
      <c r="BH51" s="17" t="n">
        <f aca="false">base_fleet!CA51</f>
        <v>0</v>
      </c>
      <c r="BI51" s="17" t="n">
        <f aca="false">base_fleet!BV51</f>
        <v>0</v>
      </c>
      <c r="BJ51" s="17" t="n">
        <f aca="false">base_fleet!CH51</f>
        <v>0</v>
      </c>
      <c r="BK51" s="17" t="n">
        <f aca="false">base_fleet!BU51+base_fleet!BZ51+base_fleet!CD51</f>
        <v>0</v>
      </c>
    </row>
    <row r="52" customFormat="false" ht="12.75" hidden="false" customHeight="false" outlineLevel="0" collapsed="false">
      <c r="A52" s="1" t="n">
        <f aca="false">A51-1</f>
        <v>1969</v>
      </c>
      <c r="B52" s="12" t="n">
        <f aca="false">$B$15/$B$14*B51</f>
        <v>17.4689274871339</v>
      </c>
      <c r="C52" s="12" t="n">
        <f aca="false">$B$15/$B$14*C51</f>
        <v>31.2835080336224</v>
      </c>
      <c r="D52" s="12" t="n">
        <f aca="false">$B$15/$B$14*D51</f>
        <v>0.0184699133189997</v>
      </c>
      <c r="E52" s="12" t="n">
        <f aca="false">$B$15/$B$14*E51</f>
        <v>13.0243147828664</v>
      </c>
      <c r="F52" s="12" t="n">
        <f aca="false">$B$15/$B$14*F51</f>
        <v>0.134608305750939</v>
      </c>
      <c r="G52" s="12" t="n">
        <f aca="false">$B$15/$B$14*G51</f>
        <v>0.211065823417473</v>
      </c>
      <c r="H52" s="12" t="n">
        <f aca="false">$B$15/$B$14*H51</f>
        <v>0.00215373289201503</v>
      </c>
      <c r="I52" s="12" t="n">
        <f aca="false">$B$15/$B$14*I51</f>
        <v>1.66643204612878</v>
      </c>
      <c r="J52" s="17" t="n">
        <f aca="false">base_fleet!C52+base_fleet!G52+base_fleet!L52+base_fleet!Q52</f>
        <v>0</v>
      </c>
      <c r="K52" s="17" t="n">
        <f aca="false">base_fleet!E52+base_fleet!J52+base_fleet!O52+base_fleet!T52</f>
        <v>0</v>
      </c>
      <c r="L52" s="12" t="n">
        <f aca="false">$B$15/$B$14*L51</f>
        <v>1.99269783886391</v>
      </c>
      <c r="M52" s="17" t="n">
        <f aca="false">base_fleet!I52+base_fleet!N52</f>
        <v>0</v>
      </c>
      <c r="N52" s="12" t="n">
        <f aca="false">$B$15/$B$14*N51</f>
        <v>20.1395934830373</v>
      </c>
      <c r="O52" s="12" t="n">
        <f aca="false">$B$15/$B$14*O51</f>
        <v>0.315835517754896</v>
      </c>
      <c r="P52" s="12" t="n">
        <f aca="false">$B$15/$B$14*P51</f>
        <v>1.40925438623968</v>
      </c>
      <c r="Q52" s="12" t="n">
        <f aca="false">$B$15/$B$14*Q51</f>
        <v>3.84912993567955</v>
      </c>
      <c r="R52" s="12" t="n">
        <f aca="false">$B$15/$B$14*R51</f>
        <v>0.546709434242393</v>
      </c>
      <c r="S52" s="12" t="n">
        <f aca="false">$B$15/$B$14*S51</f>
        <v>0.206863029172797</v>
      </c>
      <c r="T52" s="17" t="n">
        <f aca="false">base_fleet!Z52+base_fleet!AE52</f>
        <v>0</v>
      </c>
      <c r="U52" s="18" t="n">
        <f aca="false">base_fleet!X52+base_fleet!AC52+base_fleet!AH52</f>
        <v>0</v>
      </c>
      <c r="V52" s="12" t="n">
        <f aca="false">$B$15/$B$14*V51</f>
        <v>4.96072132250374</v>
      </c>
      <c r="W52" s="12" t="n">
        <f aca="false">$B$15/$B$14*W51</f>
        <v>1.03843404355988</v>
      </c>
      <c r="X52" s="12" t="n">
        <f aca="false">$B$15/$B$14*X51</f>
        <v>0.232991887930969</v>
      </c>
      <c r="Y52" s="12" t="n">
        <f aca="false">$B$15/$B$14*Y51</f>
        <v>0.175901160424705</v>
      </c>
      <c r="Z52" s="12" t="n">
        <f aca="false">$B$15/$B$14*Z51</f>
        <v>0.35180232084941</v>
      </c>
      <c r="AA52" s="12" t="n">
        <f aca="false">$B$15/$B$14*AA51</f>
        <v>0.0694346685886993</v>
      </c>
      <c r="AB52" s="12" t="n">
        <f aca="false">$B$15/$B$14*AB51</f>
        <v>0.00231448895295664</v>
      </c>
      <c r="AC52" s="12" t="n">
        <f aca="false">$B$15/$B$14*AC51</f>
        <v>0.00231448895295664</v>
      </c>
      <c r="AD52" s="12" t="n">
        <f aca="false">$B$15/$B$14*AD51</f>
        <v>0.0200589042589576</v>
      </c>
      <c r="AE52" s="12" t="n">
        <f aca="false">$B$15/$B$14*AE51</f>
        <v>0.100294521294788</v>
      </c>
      <c r="AF52" s="12" t="n">
        <f aca="false">$B$15/$B$14*AF51</f>
        <v>0.0123439410824354</v>
      </c>
      <c r="AG52" s="12" t="n">
        <f aca="false">$B$15/$B$14*AG51</f>
        <v>0</v>
      </c>
      <c r="AH52" s="12" t="n">
        <f aca="false">$B$15/$B$14*AH51</f>
        <v>0.00308598527060886</v>
      </c>
      <c r="AI52" s="12" t="n">
        <f aca="false">$B$15/$B$14*AI51</f>
        <v>0.00308598527060886</v>
      </c>
      <c r="AJ52" s="12" t="n">
        <f aca="false">$B$15/$B$14*AJ51</f>
        <v>0</v>
      </c>
      <c r="AK52" s="12" t="n">
        <f aca="false">$B$15/$B$14*AK51</f>
        <v>0</v>
      </c>
      <c r="AL52" s="12" t="n">
        <f aca="false">$B$15/$B$14*AL51</f>
        <v>0</v>
      </c>
      <c r="AM52" s="12" t="n">
        <f aca="false">$B$15/$B$14*AM51</f>
        <v>0</v>
      </c>
      <c r="AN52" s="12" t="n">
        <f aca="false">$B$15/$B$14*AN51</f>
        <v>0.165100211977574</v>
      </c>
      <c r="AO52" s="12" t="n">
        <f aca="false">$B$15/$B$14*AO51</f>
        <v>0.137326344542094</v>
      </c>
      <c r="AP52" s="12" t="n">
        <f aca="false">$B$15/$B$14*AP51</f>
        <v>0.0262308748001753</v>
      </c>
      <c r="AQ52" s="12" t="n">
        <f aca="false">$B$15/$B$14*AQ51</f>
        <v>0.0756066391299171</v>
      </c>
      <c r="AR52" s="12" t="n">
        <f aca="false">$B$15/$B$14*AR51</f>
        <v>0.0462897790591329</v>
      </c>
      <c r="AS52" s="12" t="n">
        <f aca="false">$B$15/$B$14*AS51</f>
        <v>0.00154299263530443</v>
      </c>
      <c r="AT52" s="17" t="n">
        <f aca="false">base_fleet!AQ52+base_fleet!AN52+base_fleet!AJ52</f>
        <v>0</v>
      </c>
      <c r="AU52" s="12" t="n">
        <f aca="false">$B$15/$B$14*AU51</f>
        <v>2.11603661155685</v>
      </c>
      <c r="AV52" s="12" t="n">
        <f aca="false">$B$15/$B$14*AV51</f>
        <v>0.193562851678824</v>
      </c>
      <c r="AW52" s="12" t="n">
        <f aca="false">$B$15/$B$14*AW51</f>
        <v>0.0657737845510568</v>
      </c>
      <c r="AX52" s="12" t="n">
        <f aca="false">$B$15/$B$14*AX51</f>
        <v>0.0244302628332497</v>
      </c>
      <c r="AY52" s="12" t="n">
        <f aca="false">$B$15/$B$14*AY51</f>
        <v>0</v>
      </c>
      <c r="AZ52" s="12" t="n">
        <f aca="false">$B$15/$B$14*AZ51</f>
        <v>0.00187925098717305</v>
      </c>
      <c r="BA52" s="12" t="n">
        <f aca="false">$B$15/$B$14*BA51</f>
        <v>0.439122189159219</v>
      </c>
      <c r="BB52" s="12" t="n">
        <f aca="false">$B$15/$B$14*BB51</f>
        <v>0.0401720614688245</v>
      </c>
      <c r="BC52" s="12" t="n">
        <f aca="false">$B$15/$B$14*BC51</f>
        <v>0.00110819479913998</v>
      </c>
      <c r="BD52" s="12" t="n">
        <f aca="false">$B$15/$B$14*BD51</f>
        <v>0.000277048699784996</v>
      </c>
      <c r="BE52" s="17" t="n">
        <v>0</v>
      </c>
      <c r="BF52" s="17" t="n">
        <v>0</v>
      </c>
      <c r="BG52" s="17" t="n">
        <f aca="false">base_fleet!CE52</f>
        <v>0</v>
      </c>
      <c r="BH52" s="17" t="n">
        <f aca="false">base_fleet!CA52</f>
        <v>0</v>
      </c>
      <c r="BI52" s="17" t="n">
        <f aca="false">base_fleet!BV52</f>
        <v>0</v>
      </c>
      <c r="BJ52" s="17" t="n">
        <f aca="false">base_fleet!CH52</f>
        <v>0</v>
      </c>
      <c r="BK52" s="17" t="n">
        <f aca="false">base_fleet!BU52+base_fleet!BZ52+base_fleet!CD52</f>
        <v>0</v>
      </c>
    </row>
    <row r="53" customFormat="false" ht="12.75" hidden="false" customHeight="false" outlineLevel="0" collapsed="false">
      <c r="A53" s="1" t="n">
        <f aca="false">A52-1</f>
        <v>1968</v>
      </c>
      <c r="B53" s="12" t="n">
        <f aca="false">$B$15/$B$14*B52</f>
        <v>14.5936940762938</v>
      </c>
      <c r="C53" s="12" t="n">
        <f aca="false">$B$15/$B$14*C52</f>
        <v>26.1345149101005</v>
      </c>
      <c r="D53" s="12" t="n">
        <f aca="false">$B$15/$B$14*D52</f>
        <v>0.0154299263530443</v>
      </c>
      <c r="E53" s="12" t="n">
        <f aca="false">$B$15/$B$14*E52</f>
        <v>10.8806259362228</v>
      </c>
      <c r="F53" s="12" t="n">
        <f aca="false">$B$15/$B$14*F52</f>
        <v>0.112452950285829</v>
      </c>
      <c r="G53" s="12" t="n">
        <f aca="false">$B$15/$B$14*G52</f>
        <v>0.176326226048181</v>
      </c>
      <c r="H53" s="12" t="n">
        <f aca="false">$B$15/$B$14*H52</f>
        <v>0.00179924720457327</v>
      </c>
      <c r="I53" s="12" t="n">
        <f aca="false">$B$15/$B$14*I52</f>
        <v>1.39215183634184</v>
      </c>
      <c r="J53" s="17" t="n">
        <f aca="false">base_fleet!C53+base_fleet!G53+base_fleet!L53+base_fleet!Q53</f>
        <v>0</v>
      </c>
      <c r="K53" s="17" t="n">
        <f aca="false">base_fleet!E53+base_fleet!J53+base_fleet!O53+base_fleet!T53</f>
        <v>0</v>
      </c>
      <c r="L53" s="12" t="n">
        <f aca="false">$B$15/$B$14*L52</f>
        <v>1.66471711948488</v>
      </c>
      <c r="M53" s="17" t="n">
        <f aca="false">base_fleet!I53+base_fleet!N53</f>
        <v>0</v>
      </c>
      <c r="N53" s="12" t="n">
        <f aca="false">$B$15/$B$14*N52</f>
        <v>16.8247916953595</v>
      </c>
      <c r="O53" s="12" t="n">
        <f aca="false">$B$15/$B$14*O52</f>
        <v>0.263851740637057</v>
      </c>
      <c r="P53" s="12" t="n">
        <f aca="false">$B$15/$B$14*P52</f>
        <v>1.17730338073728</v>
      </c>
      <c r="Q53" s="12" t="n">
        <f aca="false">$B$15/$B$14*Q52</f>
        <v>3.21559665197443</v>
      </c>
      <c r="R53" s="12" t="n">
        <f aca="false">$B$15/$B$14*R52</f>
        <v>0.456725820050111</v>
      </c>
      <c r="S53" s="12" t="n">
        <f aca="false">$B$15/$B$14*S52</f>
        <v>0.172815175154096</v>
      </c>
      <c r="T53" s="17" t="n">
        <f aca="false">base_fleet!Z53+base_fleet!AE53</f>
        <v>0</v>
      </c>
      <c r="U53" s="18" t="n">
        <f aca="false">base_fleet!X53+base_fleet!AC53+base_fleet!AH53</f>
        <v>0</v>
      </c>
      <c r="V53" s="12" t="n">
        <f aca="false">$B$15/$B$14*V52</f>
        <v>4.14422977207315</v>
      </c>
      <c r="W53" s="12" t="n">
        <f aca="false">$B$15/$B$14*W52</f>
        <v>0.86751683875746</v>
      </c>
      <c r="X53" s="12" t="n">
        <f aca="false">$B$15/$B$14*X52</f>
        <v>0.194643451192238</v>
      </c>
      <c r="Y53" s="12" t="n">
        <f aca="false">$B$15/$B$14*Y52</f>
        <v>0.14694936050275</v>
      </c>
      <c r="Z53" s="12" t="n">
        <f aca="false">$B$15/$B$14*Z52</f>
        <v>0.293898721005499</v>
      </c>
      <c r="AA53" s="12" t="n">
        <f aca="false">$B$15/$B$14*AA52</f>
        <v>0.0580063265142432</v>
      </c>
      <c r="AB53" s="12" t="n">
        <f aca="false">$B$15/$B$14*AB52</f>
        <v>0.00193354421714144</v>
      </c>
      <c r="AC53" s="12" t="n">
        <f aca="false">$B$15/$B$14*AC52</f>
        <v>0.00193354421714144</v>
      </c>
      <c r="AD53" s="12" t="n">
        <f aca="false">$B$15/$B$14*AD52</f>
        <v>0.0167573832152258</v>
      </c>
      <c r="AE53" s="12" t="n">
        <f aca="false">$B$15/$B$14*AE52</f>
        <v>0.0837869160761291</v>
      </c>
      <c r="AF53" s="12" t="n">
        <f aca="false">$B$15/$B$14*AF52</f>
        <v>0.0103122358247544</v>
      </c>
      <c r="AG53" s="12" t="n">
        <f aca="false">$B$15/$B$14*AG52</f>
        <v>0</v>
      </c>
      <c r="AH53" s="12" t="n">
        <f aca="false">$B$15/$B$14*AH52</f>
        <v>0.00257805895618859</v>
      </c>
      <c r="AI53" s="12" t="n">
        <f aca="false">$B$15/$B$14*AI52</f>
        <v>0.00257805895618859</v>
      </c>
      <c r="AJ53" s="12" t="n">
        <f aca="false">$B$15/$B$14*AJ52</f>
        <v>0</v>
      </c>
      <c r="AK53" s="12" t="n">
        <f aca="false">$B$15/$B$14*AK52</f>
        <v>0</v>
      </c>
      <c r="AL53" s="12" t="n">
        <f aca="false">$B$15/$B$14*AL52</f>
        <v>0</v>
      </c>
      <c r="AM53" s="12" t="n">
        <f aca="false">$B$15/$B$14*AM52</f>
        <v>0</v>
      </c>
      <c r="AN53" s="12" t="n">
        <f aca="false">$B$15/$B$14*AN52</f>
        <v>0.137926154156089</v>
      </c>
      <c r="AO53" s="12" t="n">
        <f aca="false">$B$15/$B$14*AO52</f>
        <v>0.114723623550392</v>
      </c>
      <c r="AP53" s="12" t="n">
        <f aca="false">$B$15/$B$14*AP52</f>
        <v>0.021913501127603</v>
      </c>
      <c r="AQ53" s="12" t="n">
        <f aca="false">$B$15/$B$14*AQ52</f>
        <v>0.0631624444266204</v>
      </c>
      <c r="AR53" s="12" t="n">
        <f aca="false">$B$15/$B$14*AR52</f>
        <v>0.0386708843428288</v>
      </c>
      <c r="AS53" s="12" t="n">
        <f aca="false">$B$15/$B$14*AS52</f>
        <v>0.00128902947809429</v>
      </c>
      <c r="AT53" s="17" t="n">
        <f aca="false">base_fleet!AQ53+base_fleet!AN53+base_fleet!AJ53</f>
        <v>0</v>
      </c>
      <c r="AU53" s="12" t="n">
        <f aca="false">$B$15/$B$14*AU52</f>
        <v>1.76775540376147</v>
      </c>
      <c r="AV53" s="12" t="n">
        <f aca="false">$B$15/$B$14*AV52</f>
        <v>0.161704091107843</v>
      </c>
      <c r="AW53" s="12" t="n">
        <f aca="false">$B$15/$B$14*AW52</f>
        <v>0.0549479921240243</v>
      </c>
      <c r="AX53" s="12" t="n">
        <f aca="false">$B$15/$B$14*AX52</f>
        <v>0.0204092542174947</v>
      </c>
      <c r="AY53" s="12" t="n">
        <f aca="false">$B$15/$B$14*AY52</f>
        <v>0</v>
      </c>
      <c r="AZ53" s="12" t="n">
        <f aca="false">$B$15/$B$14*AZ52</f>
        <v>0.00156994263211498</v>
      </c>
      <c r="BA53" s="12" t="n">
        <f aca="false">$B$15/$B$14*BA52</f>
        <v>0.366846499043628</v>
      </c>
      <c r="BB53" s="12" t="n">
        <f aca="false">$B$15/$B$14*BB52</f>
        <v>0.0335600898178714</v>
      </c>
      <c r="BC53" s="12" t="n">
        <f aca="false">$B$15/$B$14*BC52</f>
        <v>0.000925795581182658</v>
      </c>
      <c r="BD53" s="12" t="n">
        <f aca="false">$B$15/$B$14*BD52</f>
        <v>0.000231448895295664</v>
      </c>
      <c r="BE53" s="17" t="n">
        <v>0</v>
      </c>
      <c r="BF53" s="17" t="n">
        <v>0</v>
      </c>
      <c r="BG53" s="17" t="n">
        <f aca="false">base_fleet!CE53</f>
        <v>0</v>
      </c>
      <c r="BH53" s="17" t="n">
        <f aca="false">base_fleet!CA53</f>
        <v>0</v>
      </c>
      <c r="BI53" s="17" t="n">
        <f aca="false">base_fleet!BV53</f>
        <v>0</v>
      </c>
      <c r="BJ53" s="17" t="n">
        <f aca="false">base_fleet!CH53</f>
        <v>0</v>
      </c>
      <c r="BK53" s="17" t="n">
        <f aca="false">base_fleet!BU53+base_fleet!BZ53+base_fleet!CD53</f>
        <v>0</v>
      </c>
    </row>
    <row r="54" customFormat="false" ht="12.75" hidden="false" customHeight="false" outlineLevel="0" collapsed="false">
      <c r="A54" s="1" t="n">
        <f aca="false">A53-1</f>
        <v>1967</v>
      </c>
      <c r="B54" s="12" t="n">
        <f aca="false">$B$15/$B$14*B53</f>
        <v>12.1916990581885</v>
      </c>
      <c r="C54" s="12" t="n">
        <f aca="false">$B$15/$B$14*C53</f>
        <v>21.833001236696</v>
      </c>
      <c r="D54" s="12" t="n">
        <f aca="false">$B$15/$B$14*D53</f>
        <v>0.0128902947809429</v>
      </c>
      <c r="E54" s="12" t="n">
        <f aca="false">$B$15/$B$14*E53</f>
        <v>9.08976961457839</v>
      </c>
      <c r="F54" s="12" t="n">
        <f aca="false">$B$15/$B$14*F53</f>
        <v>0.0939441734849933</v>
      </c>
      <c r="G54" s="12" t="n">
        <f aca="false">$B$15/$B$14*G53</f>
        <v>0.14730446402447</v>
      </c>
      <c r="H54" s="12" t="n">
        <f aca="false">$B$15/$B$14*H53</f>
        <v>0.00150310677575989</v>
      </c>
      <c r="I54" s="12" t="n">
        <f aca="false">$B$15/$B$14*I53</f>
        <v>1.16301576168811</v>
      </c>
      <c r="J54" s="17" t="n">
        <f aca="false">base_fleet!C54+base_fleet!G54+base_fleet!L54+base_fleet!Q54</f>
        <v>0</v>
      </c>
      <c r="K54" s="17" t="n">
        <f aca="false">base_fleet!E54+base_fleet!J54+base_fleet!O54+base_fleet!T54</f>
        <v>0</v>
      </c>
      <c r="L54" s="12" t="n">
        <f aca="false">$B$15/$B$14*L53</f>
        <v>1.3907191716964</v>
      </c>
      <c r="M54" s="17" t="n">
        <f aca="false">base_fleet!I54+base_fleet!N54</f>
        <v>0</v>
      </c>
      <c r="N54" s="12" t="n">
        <f aca="false">$B$15/$B$14*N53</f>
        <v>14.0555774291402</v>
      </c>
      <c r="O54" s="12" t="n">
        <f aca="false">$B$15/$B$14*O53</f>
        <v>0.220424040754124</v>
      </c>
      <c r="P54" s="12" t="n">
        <f aca="false">$B$15/$B$14*P53</f>
        <v>0.983529491785946</v>
      </c>
      <c r="Q54" s="12" t="n">
        <f aca="false">$B$15/$B$14*Q53</f>
        <v>2.68633743234851</v>
      </c>
      <c r="R54" s="12" t="n">
        <f aca="false">$B$15/$B$14*R53</f>
        <v>0.381552725515911</v>
      </c>
      <c r="S54" s="12" t="n">
        <f aca="false">$B$15/$B$14*S53</f>
        <v>0.144371301546561</v>
      </c>
      <c r="T54" s="17" t="n">
        <f aca="false">base_fleet!Z54+base_fleet!AE54</f>
        <v>0</v>
      </c>
      <c r="U54" s="18" t="n">
        <f aca="false">base_fleet!X54+base_fleet!AC54+base_fleet!AH54</f>
        <v>0</v>
      </c>
      <c r="V54" s="12" t="n">
        <f aca="false">$B$15/$B$14*V53</f>
        <v>3.46212562391415</v>
      </c>
      <c r="W54" s="12" t="n">
        <f aca="false">$B$15/$B$14*W53</f>
        <v>0.724731118163056</v>
      </c>
      <c r="X54" s="12" t="n">
        <f aca="false">$B$15/$B$14*X53</f>
        <v>0.162606833347134</v>
      </c>
      <c r="Y54" s="12" t="n">
        <f aca="false">$B$15/$B$14*Y53</f>
        <v>0.122762774844857</v>
      </c>
      <c r="Z54" s="12" t="n">
        <f aca="false">$B$15/$B$14*Z53</f>
        <v>0.245525549689713</v>
      </c>
      <c r="AA54" s="12" t="n">
        <f aca="false">$B$15/$B$14*AA53</f>
        <v>0.0484589900703381</v>
      </c>
      <c r="AB54" s="12" t="n">
        <f aca="false">$B$15/$B$14*AB53</f>
        <v>0.00161529966901127</v>
      </c>
      <c r="AC54" s="12" t="n">
        <f aca="false">$B$15/$B$14*AC53</f>
        <v>0.00161529966901127</v>
      </c>
      <c r="AD54" s="12" t="n">
        <f aca="false">$B$15/$B$14*AD53</f>
        <v>0.0139992637980977</v>
      </c>
      <c r="AE54" s="12" t="n">
        <f aca="false">$B$15/$B$14*AE53</f>
        <v>0.0699963189904884</v>
      </c>
      <c r="AF54" s="12" t="n">
        <f aca="false">$B$15/$B$14*AF53</f>
        <v>0.0086149315680601</v>
      </c>
      <c r="AG54" s="12" t="n">
        <f aca="false">$B$15/$B$14*AG53</f>
        <v>0</v>
      </c>
      <c r="AH54" s="12" t="n">
        <f aca="false">$B$15/$B$14*AH53</f>
        <v>0.00215373289201503</v>
      </c>
      <c r="AI54" s="12" t="n">
        <f aca="false">$B$15/$B$14*AI53</f>
        <v>0.00215373289201503</v>
      </c>
      <c r="AJ54" s="12" t="n">
        <f aca="false">$B$15/$B$14*AJ53</f>
        <v>0</v>
      </c>
      <c r="AK54" s="12" t="n">
        <f aca="false">$B$15/$B$14*AK53</f>
        <v>0</v>
      </c>
      <c r="AL54" s="12" t="n">
        <f aca="false">$B$15/$B$14*AL53</f>
        <v>0</v>
      </c>
      <c r="AM54" s="12" t="n">
        <f aca="false">$B$15/$B$14*AM53</f>
        <v>0</v>
      </c>
      <c r="AN54" s="12" t="n">
        <f aca="false">$B$15/$B$14*AN53</f>
        <v>0.115224709722804</v>
      </c>
      <c r="AO54" s="12" t="n">
        <f aca="false">$B$15/$B$14*AO53</f>
        <v>0.0958411136946687</v>
      </c>
      <c r="AP54" s="12" t="n">
        <f aca="false">$B$15/$B$14*AP53</f>
        <v>0.0183067295821277</v>
      </c>
      <c r="AQ54" s="12" t="n">
        <f aca="false">$B$15/$B$14*AQ53</f>
        <v>0.0527664558543682</v>
      </c>
      <c r="AR54" s="12" t="n">
        <f aca="false">$B$15/$B$14*AR53</f>
        <v>0.0323059933802254</v>
      </c>
      <c r="AS54" s="12" t="n">
        <f aca="false">$B$15/$B$14*AS53</f>
        <v>0.00107686644600751</v>
      </c>
      <c r="AT54" s="17" t="n">
        <f aca="false">base_fleet!AQ54+base_fleet!AN54+base_fleet!AJ54</f>
        <v>0</v>
      </c>
      <c r="AU54" s="12" t="n">
        <f aca="false">$B$15/$B$14*AU53</f>
        <v>1.47679825124987</v>
      </c>
      <c r="AV54" s="12" t="n">
        <f aca="false">$B$15/$B$14*AV53</f>
        <v>0.135089005220903</v>
      </c>
      <c r="AW54" s="12" t="n">
        <f aca="false">$B$15/$B$14*AW53</f>
        <v>0.0459040309003068</v>
      </c>
      <c r="AX54" s="12" t="n">
        <f aca="false">$B$15/$B$14*AX53</f>
        <v>0.017050068620114</v>
      </c>
      <c r="AY54" s="12" t="n">
        <f aca="false">$B$15/$B$14*AY53</f>
        <v>0</v>
      </c>
      <c r="AZ54" s="12" t="n">
        <f aca="false">$B$15/$B$14*AZ53</f>
        <v>0.00131154374000877</v>
      </c>
      <c r="BA54" s="12" t="n">
        <f aca="false">$B$15/$B$14*BA53</f>
        <v>0.306466758416918</v>
      </c>
      <c r="BB54" s="12" t="n">
        <f aca="false">$B$15/$B$14*BB53</f>
        <v>0.0280363911485509</v>
      </c>
      <c r="BC54" s="12" t="n">
        <f aca="false">$B$15/$B$14*BC53</f>
        <v>0.000773417686856576</v>
      </c>
      <c r="BD54" s="12" t="n">
        <f aca="false">$B$15/$B$14*BD53</f>
        <v>0.000193354421714144</v>
      </c>
      <c r="BE54" s="17" t="n">
        <v>0</v>
      </c>
      <c r="BF54" s="17" t="n">
        <v>0</v>
      </c>
      <c r="BG54" s="17" t="n">
        <f aca="false">base_fleet!CE54</f>
        <v>0</v>
      </c>
      <c r="BH54" s="17" t="n">
        <f aca="false">base_fleet!CA54</f>
        <v>0</v>
      </c>
      <c r="BI54" s="17" t="n">
        <f aca="false">base_fleet!BV54</f>
        <v>0</v>
      </c>
      <c r="BJ54" s="17" t="n">
        <f aca="false">base_fleet!CH54</f>
        <v>0</v>
      </c>
      <c r="BK54" s="17" t="n">
        <f aca="false">base_fleet!BU54+base_fleet!BZ54+base_fleet!CD54</f>
        <v>0</v>
      </c>
    </row>
    <row r="55" customFormat="false" ht="12.75" hidden="false" customHeight="false" outlineLevel="0" collapsed="false">
      <c r="A55" s="1" t="n">
        <f aca="false">A54-1</f>
        <v>1966</v>
      </c>
      <c r="B55" s="12" t="n">
        <f aca="false">$B$15/$B$14*B54</f>
        <v>10.185051512549</v>
      </c>
      <c r="C55" s="12" t="n">
        <f aca="false">$B$15/$B$14*C54</f>
        <v>18.2394792725745</v>
      </c>
      <c r="D55" s="12" t="n">
        <f aca="false">$B$15/$B$14*D54</f>
        <v>0.0107686644600751</v>
      </c>
      <c r="E55" s="12" t="n">
        <f aca="false">$B$15/$B$14*E54</f>
        <v>7.59367265545348</v>
      </c>
      <c r="F55" s="12" t="n">
        <f aca="false">$B$15/$B$14*F54</f>
        <v>0.0784817802409462</v>
      </c>
      <c r="G55" s="12" t="n">
        <f aca="false">$B$15/$B$14*G54</f>
        <v>0.123059431417804</v>
      </c>
      <c r="H55" s="12" t="n">
        <f aca="false">$B$15/$B$14*H54</f>
        <v>0.00125570848385514</v>
      </c>
      <c r="I55" s="12" t="n">
        <f aca="false">$B$15/$B$14*I54</f>
        <v>0.971593490469567</v>
      </c>
      <c r="J55" s="17" t="n">
        <f aca="false">base_fleet!C55+base_fleet!G55+base_fleet!L55+base_fleet!Q55</f>
        <v>0</v>
      </c>
      <c r="K55" s="17" t="n">
        <f aca="false">base_fleet!E55+base_fleet!J55+base_fleet!O55+base_fleet!T55</f>
        <v>0</v>
      </c>
      <c r="L55" s="12" t="n">
        <f aca="false">$B$15/$B$14*L54</f>
        <v>1.16181890117308</v>
      </c>
      <c r="M55" s="17" t="n">
        <f aca="false">base_fleet!I55+base_fleet!N55</f>
        <v>0</v>
      </c>
      <c r="N55" s="12" t="n">
        <f aca="false">$B$15/$B$14*N54</f>
        <v>11.7421517272659</v>
      </c>
      <c r="O55" s="12" t="n">
        <f aca="false">$B$15/$B$14*O54</f>
        <v>0.184144162267285</v>
      </c>
      <c r="P55" s="12" t="n">
        <f aca="false">$B$15/$B$14*P54</f>
        <v>0.821649098303732</v>
      </c>
      <c r="Q55" s="12" t="n">
        <f aca="false">$B$15/$B$14*Q54</f>
        <v>2.24418967347966</v>
      </c>
      <c r="R55" s="12" t="n">
        <f aca="false">$B$15/$B$14*R54</f>
        <v>0.318752468018224</v>
      </c>
      <c r="S55" s="12" t="n">
        <f aca="false">$B$15/$B$14*S54</f>
        <v>0.120609041952841</v>
      </c>
      <c r="T55" s="17" t="n">
        <f aca="false">base_fleet!Z55+base_fleet!AE55</f>
        <v>0</v>
      </c>
      <c r="U55" s="18" t="n">
        <f aca="false">base_fleet!X55+base_fleet!AC55+base_fleet!AH55</f>
        <v>0</v>
      </c>
      <c r="V55" s="12" t="n">
        <f aca="false">$B$15/$B$14*V54</f>
        <v>2.89228988135153</v>
      </c>
      <c r="W55" s="12" t="n">
        <f aca="false">$B$15/$B$14*W54</f>
        <v>0.605446684338906</v>
      </c>
      <c r="X55" s="12" t="n">
        <f aca="false">$B$15/$B$14*X54</f>
        <v>0.135843163945282</v>
      </c>
      <c r="Y55" s="12" t="n">
        <f aca="false">$B$15/$B$14*Y54</f>
        <v>0.102557090660677</v>
      </c>
      <c r="Z55" s="12" t="n">
        <f aca="false">$B$15/$B$14*Z54</f>
        <v>0.205114181321353</v>
      </c>
      <c r="AA55" s="12" t="n">
        <f aca="false">$B$15/$B$14*AA54</f>
        <v>0.0404830621028986</v>
      </c>
      <c r="AB55" s="12" t="n">
        <f aca="false">$B$15/$B$14*AB54</f>
        <v>0.00134943540342995</v>
      </c>
      <c r="AC55" s="12" t="n">
        <f aca="false">$B$15/$B$14*AC54</f>
        <v>0.00134943540342995</v>
      </c>
      <c r="AD55" s="12" t="n">
        <f aca="false">$B$15/$B$14*AD54</f>
        <v>0.0116951068297263</v>
      </c>
      <c r="AE55" s="12" t="n">
        <f aca="false">$B$15/$B$14*AE54</f>
        <v>0.0584755341486314</v>
      </c>
      <c r="AF55" s="12" t="n">
        <f aca="false">$B$15/$B$14*AF54</f>
        <v>0.00719698881829309</v>
      </c>
      <c r="AG55" s="12" t="n">
        <f aca="false">$B$15/$B$14*AG54</f>
        <v>0</v>
      </c>
      <c r="AH55" s="12" t="n">
        <f aca="false">$B$15/$B$14*AH54</f>
        <v>0.00179924720457327</v>
      </c>
      <c r="AI55" s="12" t="n">
        <f aca="false">$B$15/$B$14*AI54</f>
        <v>0.00179924720457327</v>
      </c>
      <c r="AJ55" s="12" t="n">
        <f aca="false">$B$15/$B$14*AJ54</f>
        <v>0</v>
      </c>
      <c r="AK55" s="12" t="n">
        <f aca="false">$B$15/$B$14*AK54</f>
        <v>0</v>
      </c>
      <c r="AL55" s="12" t="n">
        <f aca="false">$B$15/$B$14*AL54</f>
        <v>0</v>
      </c>
      <c r="AM55" s="12" t="n">
        <f aca="false">$B$15/$B$14*AM54</f>
        <v>0</v>
      </c>
      <c r="AN55" s="12" t="n">
        <f aca="false">$B$15/$B$14*AN54</f>
        <v>0.0962597254446701</v>
      </c>
      <c r="AO55" s="12" t="n">
        <f aca="false">$B$15/$B$14*AO54</f>
        <v>0.0800665006035106</v>
      </c>
      <c r="AP55" s="12" t="n">
        <f aca="false">$B$15/$B$14*AP54</f>
        <v>0.0152936012388728</v>
      </c>
      <c r="AQ55" s="12" t="n">
        <f aca="false">$B$15/$B$14*AQ54</f>
        <v>0.0440815565120452</v>
      </c>
      <c r="AR55" s="12" t="n">
        <f aca="false">$B$15/$B$14*AR54</f>
        <v>0.0269887080685991</v>
      </c>
      <c r="AS55" s="12" t="n">
        <f aca="false">$B$15/$B$14*AS54</f>
        <v>0.000899623602286636</v>
      </c>
      <c r="AT55" s="17" t="n">
        <f aca="false">base_fleet!AQ55+base_fleet!AN55+base_fleet!AJ55</f>
        <v>0</v>
      </c>
      <c r="AU55" s="12" t="n">
        <f aca="false">$B$15/$B$14*AU54</f>
        <v>1.23373011348405</v>
      </c>
      <c r="AV55" s="12" t="n">
        <f aca="false">$B$15/$B$14*AV54</f>
        <v>0.112854530807155</v>
      </c>
      <c r="AW55" s="12" t="n">
        <f aca="false">$B$15/$B$14*AW54</f>
        <v>0.0383486269733052</v>
      </c>
      <c r="AX55" s="12" t="n">
        <f aca="false">$B$15/$B$14*AX54</f>
        <v>0.014243775732942</v>
      </c>
      <c r="AY55" s="12" t="n">
        <f aca="false">$B$15/$B$14*AY54</f>
        <v>0</v>
      </c>
      <c r="AZ55" s="12" t="n">
        <f aca="false">$B$15/$B$14*AZ54</f>
        <v>0.00109567505638015</v>
      </c>
      <c r="BA55" s="12" t="n">
        <f aca="false">$B$15/$B$14*BA54</f>
        <v>0.256024997538286</v>
      </c>
      <c r="BB55" s="12" t="n">
        <f aca="false">$B$15/$B$14*BB54</f>
        <v>0.0234218452006634</v>
      </c>
      <c r="BC55" s="12" t="n">
        <f aca="false">$B$15/$B$14*BC54</f>
        <v>0.000646119867604508</v>
      </c>
      <c r="BD55" s="12" t="n">
        <f aca="false">$B$15/$B$14*BD54</f>
        <v>0.000161529966901127</v>
      </c>
      <c r="BE55" s="17" t="n">
        <v>0</v>
      </c>
      <c r="BF55" s="17" t="n">
        <v>0</v>
      </c>
      <c r="BG55" s="17" t="n">
        <f aca="false">base_fleet!CE55</f>
        <v>0</v>
      </c>
      <c r="BH55" s="17" t="n">
        <f aca="false">base_fleet!CA55</f>
        <v>0</v>
      </c>
      <c r="BI55" s="17" t="n">
        <f aca="false">base_fleet!BV55</f>
        <v>0</v>
      </c>
      <c r="BJ55" s="17" t="n">
        <f aca="false">base_fleet!CH55</f>
        <v>0</v>
      </c>
      <c r="BK55" s="17" t="n">
        <f aca="false">base_fleet!BU55+base_fleet!BZ55+base_fleet!CD55</f>
        <v>0</v>
      </c>
    </row>
    <row r="56" customFormat="false" ht="12.75" hidden="false" customHeight="false" outlineLevel="0" collapsed="false">
      <c r="A56" s="1" t="n">
        <f aca="false">A55-1</f>
        <v>1965</v>
      </c>
      <c r="B56" s="12" t="n">
        <f aca="false">$B$15/$B$14*B55</f>
        <v>8.50868068660242</v>
      </c>
      <c r="C56" s="12" t="n">
        <f aca="false">$B$15/$B$14*C55</f>
        <v>15.23741974491</v>
      </c>
      <c r="D56" s="12" t="n">
        <f aca="false">$B$15/$B$14*D55</f>
        <v>0.00899623602286636</v>
      </c>
      <c r="E56" s="12" t="n">
        <f aca="false">$B$15/$B$14*E55</f>
        <v>6.34382023343026</v>
      </c>
      <c r="F56" s="12" t="n">
        <f aca="false">$B$15/$B$14*F55</f>
        <v>0.0655643623366603</v>
      </c>
      <c r="G56" s="12" t="n">
        <f aca="false">$B$15/$B$14*G55</f>
        <v>0.102804920143883</v>
      </c>
      <c r="H56" s="12" t="n">
        <f aca="false">$B$15/$B$14*H55</f>
        <v>0.00104902979738657</v>
      </c>
      <c r="I56" s="12" t="n">
        <f aca="false">$B$15/$B$14*I55</f>
        <v>0.811677658910342</v>
      </c>
      <c r="J56" s="17" t="n">
        <f aca="false">base_fleet!C56+base_fleet!G56+base_fleet!L56+base_fleet!Q56</f>
        <v>0</v>
      </c>
      <c r="K56" s="17" t="n">
        <f aca="false">base_fleet!E56+base_fleet!J56+base_fleet!O56+base_fleet!T56</f>
        <v>0</v>
      </c>
      <c r="L56" s="12" t="n">
        <f aca="false">$B$15/$B$14*L55</f>
        <v>0.970593622777557</v>
      </c>
      <c r="M56" s="17" t="n">
        <f aca="false">base_fleet!I56+base_fleet!N56</f>
        <v>0</v>
      </c>
      <c r="N56" s="12" t="n">
        <f aca="false">$B$15/$B$14*N55</f>
        <v>9.80949575933348</v>
      </c>
      <c r="O56" s="12" t="n">
        <f aca="false">$B$15/$B$14*O55</f>
        <v>0.153835635991015</v>
      </c>
      <c r="P56" s="12" t="n">
        <f aca="false">$B$15/$B$14*P55</f>
        <v>0.686412808544703</v>
      </c>
      <c r="Q56" s="12" t="n">
        <f aca="false">$B$15/$B$14*Q55</f>
        <v>1.87481558716535</v>
      </c>
      <c r="R56" s="12" t="n">
        <f aca="false">$B$15/$B$14*R55</f>
        <v>0.266288586276844</v>
      </c>
      <c r="S56" s="12" t="n">
        <f aca="false">$B$15/$B$14*S55</f>
        <v>0.100757843456103</v>
      </c>
      <c r="T56" s="17" t="n">
        <f aca="false">base_fleet!Z56+base_fleet!AE56</f>
        <v>0</v>
      </c>
      <c r="U56" s="18" t="n">
        <f aca="false">base_fleet!X56+base_fleet!AC56+base_fleet!AH56</f>
        <v>0</v>
      </c>
      <c r="V56" s="12" t="n">
        <f aca="false">$B$15/$B$14*V55</f>
        <v>2.41624414203403</v>
      </c>
      <c r="W56" s="12" t="n">
        <f aca="false">$B$15/$B$14*W55</f>
        <v>0.505795430043204</v>
      </c>
      <c r="X56" s="12" t="n">
        <f aca="false">$B$15/$B$14*X55</f>
        <v>0.113484561569872</v>
      </c>
      <c r="Y56" s="12" t="n">
        <f aca="false">$B$15/$B$14*Y55</f>
        <v>0.085677086218314</v>
      </c>
      <c r="Z56" s="12" t="n">
        <f aca="false">$B$15/$B$14*Z55</f>
        <v>0.171354172436628</v>
      </c>
      <c r="AA56" s="12" t="n">
        <f aca="false">$B$15/$B$14*AA55</f>
        <v>0.0338199024545976</v>
      </c>
      <c r="AB56" s="12" t="n">
        <f aca="false">$B$15/$B$14*AB55</f>
        <v>0.00112733008181992</v>
      </c>
      <c r="AC56" s="12" t="n">
        <f aca="false">$B$15/$B$14*AC55</f>
        <v>0.00112733008181992</v>
      </c>
      <c r="AD56" s="12" t="n">
        <f aca="false">$B$15/$B$14*AD55</f>
        <v>0.00977019404243931</v>
      </c>
      <c r="AE56" s="12" t="n">
        <f aca="false">$B$15/$B$14*AE55</f>
        <v>0.0488509702121965</v>
      </c>
      <c r="AF56" s="12" t="n">
        <f aca="false">$B$15/$B$14*AF55</f>
        <v>0.00601242710303957</v>
      </c>
      <c r="AG56" s="12" t="n">
        <f aca="false">$B$15/$B$14*AG55</f>
        <v>0</v>
      </c>
      <c r="AH56" s="12" t="n">
        <f aca="false">$B$15/$B$14*AH55</f>
        <v>0.00150310677575989</v>
      </c>
      <c r="AI56" s="12" t="n">
        <f aca="false">$B$15/$B$14*AI55</f>
        <v>0.00150310677575989</v>
      </c>
      <c r="AJ56" s="12" t="n">
        <f aca="false">$B$15/$B$14*AJ55</f>
        <v>0</v>
      </c>
      <c r="AK56" s="12" t="n">
        <f aca="false">$B$15/$B$14*AK55</f>
        <v>0</v>
      </c>
      <c r="AL56" s="12" t="n">
        <f aca="false">$B$15/$B$14*AL55</f>
        <v>0</v>
      </c>
      <c r="AM56" s="12" t="n">
        <f aca="false">$B$15/$B$14*AM55</f>
        <v>0</v>
      </c>
      <c r="AN56" s="12" t="n">
        <f aca="false">$B$15/$B$14*AN55</f>
        <v>0.0804162125031543</v>
      </c>
      <c r="AO56" s="12" t="n">
        <f aca="false">$B$15/$B$14*AO55</f>
        <v>0.0668882515213153</v>
      </c>
      <c r="AP56" s="12" t="n">
        <f aca="false">$B$15/$B$14*AP55</f>
        <v>0.0127764075939591</v>
      </c>
      <c r="AQ56" s="12" t="n">
        <f aca="false">$B$15/$B$14*AQ55</f>
        <v>0.0368261160061174</v>
      </c>
      <c r="AR56" s="12" t="n">
        <f aca="false">$B$15/$B$14*AR55</f>
        <v>0.0225466016363984</v>
      </c>
      <c r="AS56" s="12" t="n">
        <f aca="false">$B$15/$B$14*AS55</f>
        <v>0.000751553387879947</v>
      </c>
      <c r="AT56" s="17" t="n">
        <f aca="false">base_fleet!AQ56+base_fleet!AN56+base_fleet!AJ56</f>
        <v>0</v>
      </c>
      <c r="AU56" s="12" t="n">
        <f aca="false">$B$15/$B$14*AU55</f>
        <v>1.03066887547379</v>
      </c>
      <c r="AV56" s="12" t="n">
        <f aca="false">$B$15/$B$14*AV55</f>
        <v>0.0942796573479577</v>
      </c>
      <c r="AW56" s="12" t="n">
        <f aca="false">$B$15/$B$14*AW55</f>
        <v>0.0320367767687235</v>
      </c>
      <c r="AX56" s="12" t="n">
        <f aca="false">$B$15/$B$14*AX55</f>
        <v>0.011899374228383</v>
      </c>
      <c r="AY56" s="12" t="n">
        <f aca="false">$B$15/$B$14*AY55</f>
        <v>0</v>
      </c>
      <c r="AZ56" s="12" t="n">
        <f aca="false">$B$15/$B$14*AZ55</f>
        <v>0.000915336479106386</v>
      </c>
      <c r="BA56" s="12" t="n">
        <f aca="false">$B$15/$B$14*BA55</f>
        <v>0.213885511443648</v>
      </c>
      <c r="BB56" s="12" t="n">
        <f aca="false">$B$15/$B$14*BB55</f>
        <v>0.0195668133497343</v>
      </c>
      <c r="BC56" s="12" t="n">
        <f aca="false">$B$15/$B$14*BC55</f>
        <v>0.000539774161371982</v>
      </c>
      <c r="BD56" s="12" t="n">
        <f aca="false">$B$15/$B$14*BD55</f>
        <v>0.000134943540342995</v>
      </c>
      <c r="BE56" s="17" t="n">
        <v>0</v>
      </c>
      <c r="BF56" s="17" t="n">
        <v>0</v>
      </c>
      <c r="BG56" s="17" t="n">
        <f aca="false">base_fleet!CE56</f>
        <v>0</v>
      </c>
      <c r="BH56" s="17" t="n">
        <f aca="false">base_fleet!CA56</f>
        <v>0</v>
      </c>
      <c r="BI56" s="17" t="n">
        <f aca="false">base_fleet!BV56</f>
        <v>0</v>
      </c>
      <c r="BJ56" s="17" t="n">
        <f aca="false">base_fleet!CH56</f>
        <v>0</v>
      </c>
      <c r="BK56" s="17" t="n">
        <f aca="false">base_fleet!BU56+base_fleet!BZ56+base_fleet!CD56</f>
        <v>0</v>
      </c>
    </row>
    <row r="57" customFormat="false" ht="12.75" hidden="false" customHeight="false" outlineLevel="0" collapsed="false">
      <c r="A57" s="1" t="n">
        <f aca="false">A56-1</f>
        <v>1964</v>
      </c>
      <c r="B57" s="12" t="n">
        <f aca="false">$B$15/$B$14*B56</f>
        <v>7.10822590709136</v>
      </c>
      <c r="C57" s="12" t="n">
        <f aca="false">$B$15/$B$14*C56</f>
        <v>12.729473084886</v>
      </c>
      <c r="D57" s="12" t="n">
        <f aca="false">$B$15/$B$14*D56</f>
        <v>0.00751553387879947</v>
      </c>
      <c r="E57" s="12" t="n">
        <f aca="false">$B$15/$B$14*E56</f>
        <v>5.29968264107057</v>
      </c>
      <c r="F57" s="12" t="n">
        <f aca="false">$B$15/$B$14*F56</f>
        <v>0.0547730389832585</v>
      </c>
      <c r="G57" s="12" t="n">
        <f aca="false">$B$15/$B$14*G56</f>
        <v>0.0858841251257495</v>
      </c>
      <c r="H57" s="12" t="n">
        <f aca="false">$B$15/$B$14*H56</f>
        <v>0.000876368623732137</v>
      </c>
      <c r="I57" s="12" t="n">
        <f aca="false">$B$15/$B$14*I56</f>
        <v>0.678082581281775</v>
      </c>
      <c r="J57" s="17" t="n">
        <f aca="false">base_fleet!C57+base_fleet!G57+base_fleet!L57+base_fleet!Q57</f>
        <v>0</v>
      </c>
      <c r="K57" s="17" t="n">
        <f aca="false">base_fleet!E57+base_fleet!J57+base_fleet!O57+base_fleet!T57</f>
        <v>0</v>
      </c>
      <c r="L57" s="12" t="n">
        <f aca="false">$B$15/$B$14*L56</f>
        <v>0.81084236073736</v>
      </c>
      <c r="M57" s="17" t="n">
        <f aca="false">base_fleet!I57+base_fleet!N57</f>
        <v>0</v>
      </c>
      <c r="N57" s="12" t="n">
        <f aca="false">$B$15/$B$14*N56</f>
        <v>8.19493814144294</v>
      </c>
      <c r="O57" s="12" t="n">
        <f aca="false">$B$15/$B$14*O56</f>
        <v>0.128515629327471</v>
      </c>
      <c r="P57" s="12" t="n">
        <f aca="false">$B$15/$B$14*P56</f>
        <v>0.573435234952399</v>
      </c>
      <c r="Q57" s="12" t="n">
        <f aca="false">$B$15/$B$14*Q56</f>
        <v>1.56623726034181</v>
      </c>
      <c r="R57" s="12" t="n">
        <f aca="false">$B$15/$B$14*R56</f>
        <v>0.222459802812464</v>
      </c>
      <c r="S57" s="12" t="n">
        <f aca="false">$B$15/$B$14*S56</f>
        <v>0.084173979442554</v>
      </c>
      <c r="T57" s="17" t="n">
        <f aca="false">base_fleet!Z57+base_fleet!AE57</f>
        <v>0</v>
      </c>
      <c r="U57" s="18" t="n">
        <f aca="false">base_fleet!X57+base_fleet!AC57+base_fleet!AH57</f>
        <v>0</v>
      </c>
      <c r="V57" s="12" t="n">
        <f aca="false">$B$15/$B$14*V56</f>
        <v>2.01855138779714</v>
      </c>
      <c r="W57" s="12" t="n">
        <f aca="false">$B$15/$B$14*W56</f>
        <v>0.422545904817254</v>
      </c>
      <c r="X57" s="12" t="n">
        <f aca="false">$B$15/$B$14*X56</f>
        <v>0.0948059905310631</v>
      </c>
      <c r="Y57" s="12" t="n">
        <f aca="false">$B$15/$B$14*Y56</f>
        <v>0.071575383579743</v>
      </c>
      <c r="Z57" s="12" t="n">
        <f aca="false">$B$15/$B$14*Z56</f>
        <v>0.143150767159486</v>
      </c>
      <c r="AA57" s="12" t="n">
        <f aca="false">$B$15/$B$14*AA56</f>
        <v>0.0282534408867406</v>
      </c>
      <c r="AB57" s="12" t="n">
        <f aca="false">$B$15/$B$14*AB56</f>
        <v>0.000941781362891354</v>
      </c>
      <c r="AC57" s="12" t="n">
        <f aca="false">$B$15/$B$14*AC56</f>
        <v>0.000941781362891354</v>
      </c>
      <c r="AD57" s="12" t="n">
        <f aca="false">$B$15/$B$14*AD56</f>
        <v>0.00816210514505841</v>
      </c>
      <c r="AE57" s="12" t="n">
        <f aca="false">$B$15/$B$14*AE56</f>
        <v>0.040810525725292</v>
      </c>
      <c r="AF57" s="12" t="n">
        <f aca="false">$B$15/$B$14*AF56</f>
        <v>0.00502283393542056</v>
      </c>
      <c r="AG57" s="12" t="n">
        <f aca="false">$B$15/$B$14*AG56</f>
        <v>0</v>
      </c>
      <c r="AH57" s="12" t="n">
        <f aca="false">$B$15/$B$14*AH56</f>
        <v>0.00125570848385514</v>
      </c>
      <c r="AI57" s="12" t="n">
        <f aca="false">$B$15/$B$14*AI56</f>
        <v>0.00125570848385514</v>
      </c>
      <c r="AJ57" s="12" t="n">
        <f aca="false">$B$15/$B$14*AJ56</f>
        <v>0</v>
      </c>
      <c r="AK57" s="12" t="n">
        <f aca="false">$B$15/$B$14*AK56</f>
        <v>0</v>
      </c>
      <c r="AL57" s="12" t="n">
        <f aca="false">$B$15/$B$14*AL56</f>
        <v>0</v>
      </c>
      <c r="AM57" s="12" t="n">
        <f aca="false">$B$15/$B$14*AM56</f>
        <v>0</v>
      </c>
      <c r="AN57" s="12" t="n">
        <f aca="false">$B$15/$B$14*AN56</f>
        <v>0.06718040388625</v>
      </c>
      <c r="AO57" s="12" t="n">
        <f aca="false">$B$15/$B$14*AO56</f>
        <v>0.0558790275315537</v>
      </c>
      <c r="AP57" s="12" t="n">
        <f aca="false">$B$15/$B$14*AP56</f>
        <v>0.0106735221127687</v>
      </c>
      <c r="AQ57" s="12" t="n">
        <f aca="false">$B$15/$B$14*AQ56</f>
        <v>0.0307648578544509</v>
      </c>
      <c r="AR57" s="12" t="n">
        <f aca="false">$B$15/$B$14*AR56</f>
        <v>0.0188356272578271</v>
      </c>
      <c r="AS57" s="12" t="n">
        <f aca="false">$B$15/$B$14*AS56</f>
        <v>0.00062785424192757</v>
      </c>
      <c r="AT57" s="17" t="n">
        <f aca="false">base_fleet!AQ57+base_fleet!AN57+base_fleet!AJ57</f>
        <v>0</v>
      </c>
      <c r="AU57" s="12" t="n">
        <f aca="false">$B$15/$B$14*AU56</f>
        <v>0.861029749748539</v>
      </c>
      <c r="AV57" s="12" t="n">
        <f aca="false">$B$15/$B$14*AV56</f>
        <v>0.078762046380195</v>
      </c>
      <c r="AW57" s="12" t="n">
        <f aca="false">$B$15/$B$14*AW56</f>
        <v>0.0267638021680274</v>
      </c>
      <c r="AX57" s="12" t="n">
        <f aca="false">$B$15/$B$14*AX56</f>
        <v>0.00994084080526733</v>
      </c>
      <c r="AY57" s="12" t="n">
        <f aca="false">$B$15/$B$14*AY56</f>
        <v>0</v>
      </c>
      <c r="AZ57" s="12" t="n">
        <f aca="false">$B$15/$B$14*AZ56</f>
        <v>0.000764680061943641</v>
      </c>
      <c r="BA57" s="12" t="n">
        <f aca="false">$B$15/$B$14*BA56</f>
        <v>0.178681817968457</v>
      </c>
      <c r="BB57" s="12" t="n">
        <f aca="false">$B$15/$B$14*BB56</f>
        <v>0.0163462861863888</v>
      </c>
      <c r="BC57" s="12" t="n">
        <f aca="false">$B$15/$B$14*BC56</f>
        <v>0.000450932032727968</v>
      </c>
      <c r="BD57" s="12" t="n">
        <f aca="false">$B$15/$B$14*BD56</f>
        <v>0.000112733008181992</v>
      </c>
      <c r="BE57" s="17" t="n">
        <v>0</v>
      </c>
      <c r="BF57" s="17" t="n">
        <v>0</v>
      </c>
      <c r="BG57" s="17" t="n">
        <f aca="false">base_fleet!CE57</f>
        <v>0</v>
      </c>
      <c r="BH57" s="17" t="n">
        <f aca="false">base_fleet!CA57</f>
        <v>0</v>
      </c>
      <c r="BI57" s="17" t="n">
        <f aca="false">base_fleet!BV57</f>
        <v>0</v>
      </c>
      <c r="BJ57" s="17" t="n">
        <f aca="false">base_fleet!CH57</f>
        <v>0</v>
      </c>
      <c r="BK57" s="17" t="n">
        <f aca="false">base_fleet!BU57+base_fleet!BZ57+base_fleet!CD57</f>
        <v>0</v>
      </c>
    </row>
    <row r="58" customFormat="false" ht="12.75" hidden="false" customHeight="false" outlineLevel="0" collapsed="false">
      <c r="A58" s="1" t="n">
        <f aca="false">A57-1</f>
        <v>1963</v>
      </c>
      <c r="B58" s="12" t="n">
        <f aca="false">$B$15/$B$14*B57</f>
        <v>5.93827379440896</v>
      </c>
      <c r="C58" s="12" t="n">
        <f aca="false">$B$15/$B$14*C57</f>
        <v>10.6343126153603</v>
      </c>
      <c r="D58" s="12" t="n">
        <f aca="false">$B$15/$B$14*D57</f>
        <v>0.0062785424192757</v>
      </c>
      <c r="E58" s="12" t="n">
        <f aca="false">$B$15/$B$14*E57</f>
        <v>4.42740100800076</v>
      </c>
      <c r="F58" s="12" t="n">
        <f aca="false">$B$15/$B$14*F57</f>
        <v>0.0457578735236789</v>
      </c>
      <c r="G58" s="12" t="n">
        <f aca="false">$B$15/$B$14*G57</f>
        <v>0.0717483456851286</v>
      </c>
      <c r="H58" s="12" t="n">
        <f aca="false">$B$15/$B$14*H57</f>
        <v>0.000732125976378863</v>
      </c>
      <c r="I58" s="12" t="n">
        <f aca="false">$B$15/$B$14*I57</f>
        <v>0.566476090588745</v>
      </c>
      <c r="J58" s="17" t="n">
        <f aca="false">base_fleet!C58+base_fleet!G58+base_fleet!L58+base_fleet!Q58</f>
        <v>0</v>
      </c>
      <c r="K58" s="17" t="n">
        <f aca="false">base_fleet!E58+base_fleet!J58+base_fleet!O58+base_fleet!T58</f>
        <v>0</v>
      </c>
      <c r="L58" s="12" t="n">
        <f aca="false">$B$15/$B$14*L57</f>
        <v>0.677384765917439</v>
      </c>
      <c r="M58" s="17" t="n">
        <f aca="false">base_fleet!I58+base_fleet!N58</f>
        <v>0</v>
      </c>
      <c r="N58" s="12" t="n">
        <f aca="false">$B$15/$B$14*N57</f>
        <v>6.84612265397822</v>
      </c>
      <c r="O58" s="12" t="n">
        <f aca="false">$B$15/$B$14*O57</f>
        <v>0.107363075369614</v>
      </c>
      <c r="P58" s="12" t="n">
        <f aca="false">$B$15/$B$14*P57</f>
        <v>0.479052786590736</v>
      </c>
      <c r="Q58" s="12" t="n">
        <f aca="false">$B$15/$B$14*Q57</f>
        <v>1.30844824017706</v>
      </c>
      <c r="R58" s="12" t="n">
        <f aca="false">$B$15/$B$14*R57</f>
        <v>0.185844855610561</v>
      </c>
      <c r="S58" s="12" t="n">
        <f aca="false">$B$15/$B$14*S57</f>
        <v>0.0703196750958878</v>
      </c>
      <c r="T58" s="17" t="n">
        <f aca="false">base_fleet!Z58+base_fleet!AE58</f>
        <v>0</v>
      </c>
      <c r="U58" s="18" t="n">
        <f aca="false">base_fleet!X58+base_fleet!AC58+base_fleet!AH58</f>
        <v>0</v>
      </c>
      <c r="V58" s="12" t="n">
        <f aca="false">$B$15/$B$14*V57</f>
        <v>1.6863153992989</v>
      </c>
      <c r="W58" s="12" t="n">
        <f aca="false">$B$15/$B$14*W57</f>
        <v>0.352998526820579</v>
      </c>
      <c r="X58" s="12" t="n">
        <f aca="false">$B$15/$B$14*X57</f>
        <v>0.0792017497026857</v>
      </c>
      <c r="Y58" s="12" t="n">
        <f aca="false">$B$15/$B$14*Y57</f>
        <v>0.0597946984510342</v>
      </c>
      <c r="Z58" s="12" t="n">
        <f aca="false">$B$15/$B$14*Z57</f>
        <v>0.119589396902068</v>
      </c>
      <c r="AA58" s="12" t="n">
        <f aca="false">$B$15/$B$14*AA57</f>
        <v>0.0236031704411977</v>
      </c>
      <c r="AB58" s="12" t="n">
        <f aca="false">$B$15/$B$14*AB57</f>
        <v>0.000786772348039923</v>
      </c>
      <c r="AC58" s="12" t="n">
        <f aca="false">$B$15/$B$14*AC57</f>
        <v>0.000786772348039923</v>
      </c>
      <c r="AD58" s="12" t="n">
        <f aca="false">$B$15/$B$14*AD57</f>
        <v>0.00681869368301267</v>
      </c>
      <c r="AE58" s="12" t="n">
        <f aca="false">$B$15/$B$14*AE57</f>
        <v>0.0340934684150634</v>
      </c>
      <c r="AF58" s="12" t="n">
        <f aca="false">$B$15/$B$14*AF57</f>
        <v>0.00419611918954626</v>
      </c>
      <c r="AG58" s="12" t="n">
        <f aca="false">$B$15/$B$14*AG57</f>
        <v>0</v>
      </c>
      <c r="AH58" s="12" t="n">
        <f aca="false">$B$15/$B$14*AH57</f>
        <v>0.00104902979738657</v>
      </c>
      <c r="AI58" s="12" t="n">
        <f aca="false">$B$15/$B$14*AI57</f>
        <v>0.00104902979738657</v>
      </c>
      <c r="AJ58" s="12" t="n">
        <f aca="false">$B$15/$B$14*AJ57</f>
        <v>0</v>
      </c>
      <c r="AK58" s="12" t="n">
        <f aca="false">$B$15/$B$14*AK57</f>
        <v>0</v>
      </c>
      <c r="AL58" s="12" t="n">
        <f aca="false">$B$15/$B$14*AL57</f>
        <v>0</v>
      </c>
      <c r="AM58" s="12" t="n">
        <f aca="false">$B$15/$B$14*AM57</f>
        <v>0</v>
      </c>
      <c r="AN58" s="12" t="n">
        <f aca="false">$B$15/$B$14*AN57</f>
        <v>0.0561230941601812</v>
      </c>
      <c r="AO58" s="12" t="n">
        <f aca="false">$B$15/$B$14*AO57</f>
        <v>0.0466818259837021</v>
      </c>
      <c r="AP58" s="12" t="n">
        <f aca="false">$B$15/$B$14*AP57</f>
        <v>0.0089167532777858</v>
      </c>
      <c r="AQ58" s="12" t="n">
        <f aca="false">$B$15/$B$14*AQ57</f>
        <v>0.0257012300359709</v>
      </c>
      <c r="AR58" s="12" t="n">
        <f aca="false">$B$15/$B$14*AR57</f>
        <v>0.0157354469607985</v>
      </c>
      <c r="AS58" s="12" t="n">
        <f aca="false">$B$15/$B$14*AS57</f>
        <v>0.000524514898693283</v>
      </c>
      <c r="AT58" s="17" t="n">
        <f aca="false">base_fleet!AQ58+base_fleet!AN58+base_fleet!AJ58</f>
        <v>0</v>
      </c>
      <c r="AU58" s="12" t="n">
        <f aca="false">$B$15/$B$14*AU57</f>
        <v>0.719311747539897</v>
      </c>
      <c r="AV58" s="12" t="n">
        <f aca="false">$B$15/$B$14*AV57</f>
        <v>0.0657984991088893</v>
      </c>
      <c r="AW58" s="12" t="n">
        <f aca="false">$B$15/$B$14*AW57</f>
        <v>0.0223587132894284</v>
      </c>
      <c r="AX58" s="12" t="n">
        <f aca="false">$B$15/$B$14*AX57</f>
        <v>0.00830466493607341</v>
      </c>
      <c r="AY58" s="12" t="n">
        <f aca="false">$B$15/$B$14*AY57</f>
        <v>0</v>
      </c>
      <c r="AZ58" s="12" t="n">
        <f aca="false">$B$15/$B$14*AZ57</f>
        <v>0.000638820379697954</v>
      </c>
      <c r="BA58" s="12" t="n">
        <f aca="false">$B$15/$B$14*BA57</f>
        <v>0.14927234601828</v>
      </c>
      <c r="BB58" s="12" t="n">
        <f aca="false">$B$15/$B$14*BB57</f>
        <v>0.0136558297619246</v>
      </c>
      <c r="BC58" s="12" t="n">
        <f aca="false">$B$15/$B$14*BC57</f>
        <v>0.000376712545156542</v>
      </c>
      <c r="BD58" s="12" t="n">
        <f aca="false">$B$15/$B$14*BD57</f>
        <v>9.41781362891354E-005</v>
      </c>
      <c r="BE58" s="17" t="n">
        <v>0</v>
      </c>
      <c r="BF58" s="17" t="n">
        <v>0</v>
      </c>
      <c r="BG58" s="17" t="n">
        <f aca="false">base_fleet!CE58</f>
        <v>0</v>
      </c>
      <c r="BH58" s="17" t="n">
        <f aca="false">base_fleet!CA58</f>
        <v>0</v>
      </c>
      <c r="BI58" s="17" t="n">
        <f aca="false">base_fleet!BV58</f>
        <v>0</v>
      </c>
      <c r="BJ58" s="17" t="n">
        <f aca="false">base_fleet!CH58</f>
        <v>0</v>
      </c>
      <c r="BK58" s="17" t="n">
        <f aca="false">base_fleet!BU58+base_fleet!BZ58+base_fleet!CD58</f>
        <v>0</v>
      </c>
    </row>
    <row r="59" customFormat="false" ht="12.75" hidden="false" customHeight="false" outlineLevel="0" collapsed="false">
      <c r="A59" s="1" t="n">
        <f aca="false">A58-1</f>
        <v>1962</v>
      </c>
      <c r="B59" s="12" t="n">
        <f aca="false">$B$15/$B$14*B58</f>
        <v>4.96088561594318</v>
      </c>
      <c r="C59" s="12" t="n">
        <f aca="false">$B$15/$B$14*C58</f>
        <v>8.8839973223624</v>
      </c>
      <c r="D59" s="12" t="n">
        <f aca="false">$B$15/$B$14*D58</f>
        <v>0.00524514898693282</v>
      </c>
      <c r="E59" s="12" t="n">
        <f aca="false">$B$15/$B$14*E58</f>
        <v>3.69868933919531</v>
      </c>
      <c r="F59" s="12" t="n">
        <f aca="false">$B$15/$B$14*F58</f>
        <v>0.0382265258286831</v>
      </c>
      <c r="G59" s="12" t="n">
        <f aca="false">$B$15/$B$14*G58</f>
        <v>0.0599391924993751</v>
      </c>
      <c r="H59" s="12" t="n">
        <f aca="false">$B$15/$B$14*H58</f>
        <v>0.00061162441325893</v>
      </c>
      <c r="I59" s="12" t="n">
        <f aca="false">$B$15/$B$14*I58</f>
        <v>0.473239056815354</v>
      </c>
      <c r="J59" s="17" t="n">
        <f aca="false">base_fleet!C59+base_fleet!G59+base_fleet!L59+base_fleet!Q59</f>
        <v>0</v>
      </c>
      <c r="K59" s="17" t="n">
        <f aca="false">base_fleet!E59+base_fleet!J59+base_fleet!O59+base_fleet!T59</f>
        <v>0</v>
      </c>
      <c r="L59" s="12" t="n">
        <f aca="false">$B$15/$B$14*L58</f>
        <v>0.565893129559434</v>
      </c>
      <c r="M59" s="17" t="n">
        <f aca="false">base_fleet!I59+base_fleet!N59</f>
        <v>0</v>
      </c>
      <c r="N59" s="12" t="n">
        <f aca="false">$B$15/$B$14*N58</f>
        <v>5.71931045535155</v>
      </c>
      <c r="O59" s="12" t="n">
        <f aca="false">$B$15/$B$14*O58</f>
        <v>0.0896920476765512</v>
      </c>
      <c r="P59" s="12" t="n">
        <f aca="false">$B$15/$B$14*P58</f>
        <v>0.400204867702974</v>
      </c>
      <c r="Q59" s="12" t="n">
        <f aca="false">$B$15/$B$14*Q58</f>
        <v>1.0930890488768</v>
      </c>
      <c r="R59" s="12" t="n">
        <f aca="false">$B$15/$B$14*R58</f>
        <v>0.155256410013212</v>
      </c>
      <c r="S59" s="12" t="n">
        <f aca="false">$B$15/$B$14*S58</f>
        <v>0.0587456686536476</v>
      </c>
      <c r="T59" s="17" t="n">
        <f aca="false">base_fleet!Z59+base_fleet!AE59</f>
        <v>0</v>
      </c>
      <c r="U59" s="18" t="n">
        <f aca="false">base_fleet!X59+base_fleet!AC59+base_fleet!AH59</f>
        <v>0</v>
      </c>
      <c r="V59" s="12" t="n">
        <f aca="false">$B$15/$B$14*V58</f>
        <v>1.40876256264941</v>
      </c>
      <c r="W59" s="12" t="n">
        <f aca="false">$B$15/$B$14*W58</f>
        <v>0.294898041885864</v>
      </c>
      <c r="X59" s="12" t="n">
        <f aca="false">$B$15/$B$14*X58</f>
        <v>0.0661658310917764</v>
      </c>
      <c r="Y59" s="12" t="n">
        <f aca="false">$B$15/$B$14*Y58</f>
        <v>0.0499530115527318</v>
      </c>
      <c r="Z59" s="12" t="n">
        <f aca="false">$B$15/$B$14*Z58</f>
        <v>0.0999060231054637</v>
      </c>
      <c r="AA59" s="12" t="n">
        <f aca="false">$B$15/$B$14*AA58</f>
        <v>0.0197182940339731</v>
      </c>
      <c r="AB59" s="12" t="n">
        <f aca="false">$B$15/$B$14*AB58</f>
        <v>0.000657276467799102</v>
      </c>
      <c r="AC59" s="12" t="n">
        <f aca="false">$B$15/$B$14*AC58</f>
        <v>0.000657276467799102</v>
      </c>
      <c r="AD59" s="12" t="n">
        <f aca="false">$B$15/$B$14*AD58</f>
        <v>0.00569639605425889</v>
      </c>
      <c r="AE59" s="12" t="n">
        <f aca="false">$B$15/$B$14*AE58</f>
        <v>0.0284819802712945</v>
      </c>
      <c r="AF59" s="12" t="n">
        <f aca="false">$B$15/$B$14*AF58</f>
        <v>0.00350547449492855</v>
      </c>
      <c r="AG59" s="12" t="n">
        <f aca="false">$B$15/$B$14*AG58</f>
        <v>0</v>
      </c>
      <c r="AH59" s="12" t="n">
        <f aca="false">$B$15/$B$14*AH58</f>
        <v>0.000876368623732137</v>
      </c>
      <c r="AI59" s="12" t="n">
        <f aca="false">$B$15/$B$14*AI58</f>
        <v>0.000876368623732137</v>
      </c>
      <c r="AJ59" s="12" t="n">
        <f aca="false">$B$15/$B$14*AJ58</f>
        <v>0</v>
      </c>
      <c r="AK59" s="12" t="n">
        <f aca="false">$B$15/$B$14*AK58</f>
        <v>0</v>
      </c>
      <c r="AL59" s="12" t="n">
        <f aca="false">$B$15/$B$14*AL58</f>
        <v>0</v>
      </c>
      <c r="AM59" s="12" t="n">
        <f aca="false">$B$15/$B$14*AM58</f>
        <v>0</v>
      </c>
      <c r="AN59" s="12" t="n">
        <f aca="false">$B$15/$B$14*AN58</f>
        <v>0.0468857213696693</v>
      </c>
      <c r="AO59" s="12" t="n">
        <f aca="false">$B$15/$B$14*AO58</f>
        <v>0.0389984037560801</v>
      </c>
      <c r="AP59" s="12" t="n">
        <f aca="false">$B$15/$B$14*AP58</f>
        <v>0.00744913330172317</v>
      </c>
      <c r="AQ59" s="12" t="n">
        <f aca="false">$B$15/$B$14*AQ58</f>
        <v>0.0214710312814374</v>
      </c>
      <c r="AR59" s="12" t="n">
        <f aca="false">$B$15/$B$14*AR58</f>
        <v>0.0131455293559821</v>
      </c>
      <c r="AS59" s="12" t="n">
        <f aca="false">$B$15/$B$14*AS58</f>
        <v>0.000438184311866069</v>
      </c>
      <c r="AT59" s="17" t="n">
        <f aca="false">base_fleet!AQ59+base_fleet!AN59+base_fleet!AJ59</f>
        <v>0</v>
      </c>
      <c r="AU59" s="12" t="n">
        <f aca="false">$B$15/$B$14*AU58</f>
        <v>0.600919294948877</v>
      </c>
      <c r="AV59" s="12" t="n">
        <f aca="false">$B$15/$B$14*AV58</f>
        <v>0.0549686388807587</v>
      </c>
      <c r="AW59" s="12" t="n">
        <f aca="false">$B$15/$B$14*AW58</f>
        <v>0.0186786636973452</v>
      </c>
      <c r="AX59" s="12" t="n">
        <f aca="false">$B$15/$B$14*AX58</f>
        <v>0.00693778937329965</v>
      </c>
      <c r="AY59" s="12" t="n">
        <f aca="false">$B$15/$B$14*AY58</f>
        <v>0</v>
      </c>
      <c r="AZ59" s="12" t="n">
        <f aca="false">$B$15/$B$14*AZ58</f>
        <v>0.000533676105638434</v>
      </c>
      <c r="BA59" s="12" t="n">
        <f aca="false">$B$15/$B$14*BA58</f>
        <v>0.124703417164328</v>
      </c>
      <c r="BB59" s="12" t="n">
        <f aca="false">$B$15/$B$14*BB58</f>
        <v>0.0114081990465789</v>
      </c>
      <c r="BC59" s="12" t="n">
        <f aca="false">$B$15/$B$14*BC58</f>
        <v>0.000314708939215969</v>
      </c>
      <c r="BD59" s="12" t="n">
        <f aca="false">$B$15/$B$14*BD58</f>
        <v>7.86772348039923E-005</v>
      </c>
      <c r="BE59" s="17" t="n">
        <v>0</v>
      </c>
      <c r="BF59" s="17" t="n">
        <v>0</v>
      </c>
      <c r="BG59" s="17" t="n">
        <f aca="false">base_fleet!CE59</f>
        <v>0</v>
      </c>
      <c r="BH59" s="17" t="n">
        <f aca="false">base_fleet!CA59</f>
        <v>0</v>
      </c>
      <c r="BI59" s="17" t="n">
        <f aca="false">base_fleet!BV59</f>
        <v>0</v>
      </c>
      <c r="BJ59" s="17" t="n">
        <f aca="false">base_fleet!CH59</f>
        <v>0</v>
      </c>
      <c r="BK59" s="17" t="n">
        <f aca="false">base_fleet!BU59+base_fleet!BZ59+base_fleet!CD59</f>
        <v>0</v>
      </c>
    </row>
    <row r="60" customFormat="false" ht="12.75" hidden="false" customHeight="false" outlineLevel="0" collapsed="false">
      <c r="A60" s="1" t="n">
        <f aca="false">A59-1</f>
        <v>1961</v>
      </c>
      <c r="B60" s="12" t="n">
        <f aca="false">$B$15/$B$14*B59</f>
        <v>4.14436702424251</v>
      </c>
      <c r="C60" s="12" t="n">
        <f aca="false">$B$15/$B$14*C59</f>
        <v>7.42176869144712</v>
      </c>
      <c r="D60" s="12" t="n">
        <f aca="false">$B$15/$B$14*D59</f>
        <v>0.00438184311866068</v>
      </c>
      <c r="E60" s="12" t="n">
        <f aca="false">$B$15/$B$14*E59</f>
        <v>3.08991726820212</v>
      </c>
      <c r="F60" s="12" t="n">
        <f aca="false">$B$15/$B$14*F59</f>
        <v>0.0319347724097098</v>
      </c>
      <c r="G60" s="12" t="n">
        <f aca="false">$B$15/$B$14*G59</f>
        <v>0.0500737231384251</v>
      </c>
      <c r="H60" s="12" t="n">
        <f aca="false">$B$15/$B$14*H59</f>
        <v>0.000510956358555358</v>
      </c>
      <c r="I60" s="12" t="n">
        <f aca="false">$B$15/$B$14*I59</f>
        <v>0.395348027244586</v>
      </c>
      <c r="J60" s="17" t="n">
        <f aca="false">base_fleet!C60+base_fleet!G60+base_fleet!L60+base_fleet!Q60</f>
        <v>0</v>
      </c>
      <c r="K60" s="17" t="n">
        <f aca="false">base_fleet!E60+base_fleet!J60+base_fleet!O60+base_fleet!T60</f>
        <v>0</v>
      </c>
      <c r="L60" s="12" t="n">
        <f aca="false">$B$15/$B$14*L59</f>
        <v>0.472752046097241</v>
      </c>
      <c r="M60" s="17" t="n">
        <f aca="false">base_fleet!I60+base_fleet!N60</f>
        <v>0</v>
      </c>
      <c r="N60" s="12" t="n">
        <f aca="false">$B$15/$B$14*N59</f>
        <v>4.77796173658761</v>
      </c>
      <c r="O60" s="12" t="n">
        <f aca="false">$B$15/$B$14*O59</f>
        <v>0.0749295173290977</v>
      </c>
      <c r="P60" s="12" t="n">
        <f aca="false">$B$15/$B$14*P59</f>
        <v>0.33433462995381</v>
      </c>
      <c r="Q60" s="12" t="n">
        <f aca="false">$B$15/$B$14*Q59</f>
        <v>0.913176105928886</v>
      </c>
      <c r="R60" s="12" t="n">
        <f aca="false">$B$15/$B$14*R59</f>
        <v>0.129702556312356</v>
      </c>
      <c r="S60" s="12" t="n">
        <f aca="false">$B$15/$B$14*S59</f>
        <v>0.0490766429289997</v>
      </c>
      <c r="T60" s="17" t="n">
        <f aca="false">base_fleet!Z60+base_fleet!AE60</f>
        <v>0</v>
      </c>
      <c r="U60" s="18" t="n">
        <f aca="false">base_fleet!X60+base_fleet!AC60+base_fleet!AH60</f>
        <v>0</v>
      </c>
      <c r="V60" s="12" t="n">
        <f aca="false">$B$15/$B$14*V59</f>
        <v>1.17689250702902</v>
      </c>
      <c r="W60" s="12" t="n">
        <f aca="false">$B$15/$B$14*W59</f>
        <v>0.246360391051487</v>
      </c>
      <c r="X60" s="12" t="n">
        <f aca="false">$B$15/$B$14*X59</f>
        <v>0.0552755112166042</v>
      </c>
      <c r="Y60" s="12" t="n">
        <f aca="false">$B$15/$B$14*Y59</f>
        <v>0.0417311806535952</v>
      </c>
      <c r="Z60" s="12" t="n">
        <f aca="false">$B$15/$B$14*Z59</f>
        <v>0.0834623613071904</v>
      </c>
      <c r="AA60" s="12" t="n">
        <f aca="false">$B$15/$B$14*AA59</f>
        <v>0.0164728344685244</v>
      </c>
      <c r="AB60" s="12" t="n">
        <f aca="false">$B$15/$B$14*AB59</f>
        <v>0.000549094482284147</v>
      </c>
      <c r="AC60" s="12" t="n">
        <f aca="false">$B$15/$B$14*AC59</f>
        <v>0.000549094482284147</v>
      </c>
      <c r="AD60" s="12" t="n">
        <f aca="false">$B$15/$B$14*AD59</f>
        <v>0.00475881884646261</v>
      </c>
      <c r="AE60" s="12" t="n">
        <f aca="false">$B$15/$B$14*AE59</f>
        <v>0.0237940942323131</v>
      </c>
      <c r="AF60" s="12" t="n">
        <f aca="false">$B$15/$B$14*AF59</f>
        <v>0.00292850390551545</v>
      </c>
      <c r="AG60" s="12" t="n">
        <f aca="false">$B$15/$B$14*AG59</f>
        <v>0</v>
      </c>
      <c r="AH60" s="12" t="n">
        <f aca="false">$B$15/$B$14*AH59</f>
        <v>0.000732125976378863</v>
      </c>
      <c r="AI60" s="12" t="n">
        <f aca="false">$B$15/$B$14*AI59</f>
        <v>0.000732125976378863</v>
      </c>
      <c r="AJ60" s="12" t="n">
        <f aca="false">$B$15/$B$14*AJ59</f>
        <v>0</v>
      </c>
      <c r="AK60" s="12" t="n">
        <f aca="false">$B$15/$B$14*AK59</f>
        <v>0</v>
      </c>
      <c r="AL60" s="12" t="n">
        <f aca="false">$B$15/$B$14*AL59</f>
        <v>0</v>
      </c>
      <c r="AM60" s="12" t="n">
        <f aca="false">$B$15/$B$14*AM59</f>
        <v>0</v>
      </c>
      <c r="AN60" s="12" t="n">
        <f aca="false">$B$15/$B$14*AN59</f>
        <v>0.0391687397362692</v>
      </c>
      <c r="AO60" s="12" t="n">
        <f aca="false">$B$15/$B$14*AO59</f>
        <v>0.0325796059488594</v>
      </c>
      <c r="AP60" s="12" t="n">
        <f aca="false">$B$15/$B$14*AP59</f>
        <v>0.00622307079922034</v>
      </c>
      <c r="AQ60" s="12" t="n">
        <f aca="false">$B$15/$B$14*AQ59</f>
        <v>0.0179370864212822</v>
      </c>
      <c r="AR60" s="12" t="n">
        <f aca="false">$B$15/$B$14*AR59</f>
        <v>0.0109818896456829</v>
      </c>
      <c r="AS60" s="12" t="n">
        <f aca="false">$B$15/$B$14*AS59</f>
        <v>0.000366062988189432</v>
      </c>
      <c r="AT60" s="17" t="n">
        <f aca="false">base_fleet!AQ60+base_fleet!AN60+base_fleet!AJ60</f>
        <v>0</v>
      </c>
      <c r="AU60" s="12" t="n">
        <f aca="false">$B$15/$B$14*AU59</f>
        <v>0.50201320953934</v>
      </c>
      <c r="AV60" s="12" t="n">
        <f aca="false">$B$15/$B$14*AV59</f>
        <v>0.0459212793805969</v>
      </c>
      <c r="AW60" s="12" t="n">
        <f aca="false">$B$15/$B$14*AW59</f>
        <v>0.0156043182361251</v>
      </c>
      <c r="AX60" s="12" t="n">
        <f aca="false">$B$15/$B$14*AX59</f>
        <v>0.00579588963056077</v>
      </c>
      <c r="AY60" s="12" t="n">
        <f aca="false">$B$15/$B$14*AY59</f>
        <v>0</v>
      </c>
      <c r="AZ60" s="12" t="n">
        <f aca="false">$B$15/$B$14*AZ59</f>
        <v>0.00044583766388929</v>
      </c>
      <c r="BA60" s="12" t="n">
        <f aca="false">$B$15/$B$14*BA59</f>
        <v>0.104178320146158</v>
      </c>
      <c r="BB60" s="12" t="n">
        <f aca="false">$B$15/$B$14*BB59</f>
        <v>0.00953050878308699</v>
      </c>
      <c r="BC60" s="12" t="n">
        <f aca="false">$B$15/$B$14*BC59</f>
        <v>0.000262910587119641</v>
      </c>
      <c r="BD60" s="12" t="n">
        <f aca="false">$B$15/$B$14*BD59</f>
        <v>6.57276467799102E-005</v>
      </c>
      <c r="BE60" s="17" t="n">
        <v>0</v>
      </c>
      <c r="BF60" s="17" t="n">
        <v>0</v>
      </c>
      <c r="BG60" s="17" t="n">
        <f aca="false">base_fleet!CE60</f>
        <v>0</v>
      </c>
      <c r="BH60" s="17" t="n">
        <f aca="false">base_fleet!CA60</f>
        <v>0</v>
      </c>
      <c r="BI60" s="17" t="n">
        <f aca="false">base_fleet!BV60</f>
        <v>0</v>
      </c>
      <c r="BJ60" s="17" t="n">
        <f aca="false">base_fleet!CH60</f>
        <v>0</v>
      </c>
      <c r="BK60" s="17" t="n">
        <f aca="false">base_fleet!BU60+base_fleet!BZ60+base_fleet!CD60</f>
        <v>0</v>
      </c>
    </row>
    <row r="61" customFormat="false" ht="12.75" hidden="false" customHeight="false" outlineLevel="0" collapsed="false">
      <c r="A61" s="1" t="n">
        <f aca="false">A60-1</f>
        <v>1960</v>
      </c>
      <c r="B61" s="12" t="n">
        <f aca="false">$B$15/$B$14*B60</f>
        <v>3.4622402855711</v>
      </c>
      <c r="C61" s="12" t="n">
        <f aca="false">$B$15/$B$14*C60</f>
        <v>6.2002101656079</v>
      </c>
      <c r="D61" s="12" t="n">
        <f aca="false">$B$15/$B$14*D60</f>
        <v>0.00366062988189432</v>
      </c>
      <c r="E61" s="12" t="n">
        <f aca="false">$B$15/$B$14*E60</f>
        <v>2.58134378120301</v>
      </c>
      <c r="F61" s="12" t="n">
        <f aca="false">$B$15/$B$14*F60</f>
        <v>0.0266785868386381</v>
      </c>
      <c r="G61" s="12" t="n">
        <f aca="false">$B$15/$B$14*G60</f>
        <v>0.0418320241629846</v>
      </c>
      <c r="H61" s="12" t="n">
        <f aca="false">$B$15/$B$14*H60</f>
        <v>0.00042685738941821</v>
      </c>
      <c r="I61" s="12" t="n">
        <f aca="false">$B$15/$B$14*I60</f>
        <v>0.330277183159822</v>
      </c>
      <c r="J61" s="17" t="n">
        <f aca="false">base_fleet!C61+base_fleet!G61+base_fleet!L61+base_fleet!Q61</f>
        <v>0</v>
      </c>
      <c r="K61" s="17" t="n">
        <f aca="false">base_fleet!E61+base_fleet!J61+base_fleet!O61+base_fleet!T61</f>
        <v>0</v>
      </c>
      <c r="L61" s="12" t="n">
        <f aca="false">$B$15/$B$14*L60</f>
        <v>0.394941174251622</v>
      </c>
      <c r="M61" s="17" t="n">
        <f aca="false">base_fleet!I61+base_fleet!N61</f>
        <v>0</v>
      </c>
      <c r="N61" s="12" t="n">
        <f aca="false">$B$15/$B$14*N60</f>
        <v>3.99155082321756</v>
      </c>
      <c r="O61" s="12" t="n">
        <f aca="false">$B$15/$B$14*O60</f>
        <v>0.0625967709803928</v>
      </c>
      <c r="P61" s="12" t="n">
        <f aca="false">$B$15/$B$14*P60</f>
        <v>0.279306059988536</v>
      </c>
      <c r="Q61" s="12" t="n">
        <f aca="false">$B$15/$B$14*Q60</f>
        <v>0.762875267386775</v>
      </c>
      <c r="R61" s="12" t="n">
        <f aca="false">$B$15/$B$14*R60</f>
        <v>0.108354644504072</v>
      </c>
      <c r="S61" s="12" t="n">
        <f aca="false">$B$15/$B$14*S60</f>
        <v>0.0409990546772163</v>
      </c>
      <c r="T61" s="17" t="n">
        <f aca="false">base_fleet!Z61+base_fleet!AE61</f>
        <v>0</v>
      </c>
      <c r="U61" s="18" t="n">
        <f aca="false">base_fleet!X61+base_fleet!AC61+base_fleet!AH61</f>
        <v>0</v>
      </c>
      <c r="V61" s="12" t="n">
        <f aca="false">$B$15/$B$14*V60</f>
        <v>0.983186244313729</v>
      </c>
      <c r="W61" s="12" t="n">
        <f aca="false">$B$15/$B$14*W60</f>
        <v>0.20581161506163</v>
      </c>
      <c r="X61" s="12" t="n">
        <f aca="false">$B$15/$B$14*X60</f>
        <v>0.0461776432010492</v>
      </c>
      <c r="Y61" s="12" t="n">
        <f aca="false">$B$15/$B$14*Y60</f>
        <v>0.034862591555759</v>
      </c>
      <c r="Z61" s="12" t="n">
        <f aca="false">$B$15/$B$14*Z60</f>
        <v>0.069725183111518</v>
      </c>
      <c r="AA61" s="12" t="n">
        <f aca="false">$B$15/$B$14*AA60</f>
        <v>0.0137615492983259</v>
      </c>
      <c r="AB61" s="12" t="n">
        <f aca="false">$B$15/$B$14*AB60</f>
        <v>0.000458718309944197</v>
      </c>
      <c r="AC61" s="12" t="n">
        <f aca="false">$B$15/$B$14*AC60</f>
        <v>0.000458718309944197</v>
      </c>
      <c r="AD61" s="12" t="n">
        <f aca="false">$B$15/$B$14*AD60</f>
        <v>0.00397555868618304</v>
      </c>
      <c r="AE61" s="12" t="n">
        <f aca="false">$B$15/$B$14*AE60</f>
        <v>0.0198777934309152</v>
      </c>
      <c r="AF61" s="12" t="n">
        <f aca="false">$B$15/$B$14*AF60</f>
        <v>0.00244649765303572</v>
      </c>
      <c r="AG61" s="12" t="n">
        <f aca="false">$B$15/$B$14*AG60</f>
        <v>0</v>
      </c>
      <c r="AH61" s="12" t="n">
        <f aca="false">$B$15/$B$14*AH60</f>
        <v>0.00061162441325893</v>
      </c>
      <c r="AI61" s="12" t="n">
        <f aca="false">$B$15/$B$14*AI60</f>
        <v>0.00061162441325893</v>
      </c>
      <c r="AJ61" s="12" t="n">
        <f aca="false">$B$15/$B$14*AJ60</f>
        <v>0</v>
      </c>
      <c r="AK61" s="12" t="n">
        <f aca="false">$B$15/$B$14*AK60</f>
        <v>0</v>
      </c>
      <c r="AL61" s="12" t="n">
        <f aca="false">$B$15/$B$14*AL60</f>
        <v>0</v>
      </c>
      <c r="AM61" s="12" t="n">
        <f aca="false">$B$15/$B$14*AM60</f>
        <v>0</v>
      </c>
      <c r="AN61" s="12" t="n">
        <f aca="false">$B$15/$B$14*AN60</f>
        <v>0.0327219061093527</v>
      </c>
      <c r="AO61" s="12" t="n">
        <f aca="false">$B$15/$B$14*AO60</f>
        <v>0.0272172863900224</v>
      </c>
      <c r="AP61" s="12" t="n">
        <f aca="false">$B$15/$B$14*AP60</f>
        <v>0.0051988075127009</v>
      </c>
      <c r="AQ61" s="12" t="n">
        <f aca="false">$B$15/$B$14*AQ60</f>
        <v>0.0149847981248438</v>
      </c>
      <c r="AR61" s="12" t="n">
        <f aca="false">$B$15/$B$14*AR60</f>
        <v>0.00917436619888394</v>
      </c>
      <c r="AS61" s="12" t="n">
        <f aca="false">$B$15/$B$14*AS60</f>
        <v>0.000305812206629465</v>
      </c>
      <c r="AT61" s="17" t="n">
        <f aca="false">base_fleet!AQ61+base_fleet!AN61+base_fleet!AJ61</f>
        <v>0</v>
      </c>
      <c r="AU61" s="12" t="n">
        <f aca="false">$B$15/$B$14*AU60</f>
        <v>0.419386204887014</v>
      </c>
      <c r="AV61" s="12" t="n">
        <f aca="false">$B$15/$B$14*AV60</f>
        <v>0.0383630365038743</v>
      </c>
      <c r="AW61" s="12" t="n">
        <f aca="false">$B$15/$B$14*AW60</f>
        <v>0.0130359832780155</v>
      </c>
      <c r="AX61" s="12" t="n">
        <f aca="false">$B$15/$B$14*AX60</f>
        <v>0.00484193664612006</v>
      </c>
      <c r="AY61" s="12" t="n">
        <f aca="false">$B$15/$B$14*AY60</f>
        <v>0</v>
      </c>
      <c r="AZ61" s="12" t="n">
        <f aca="false">$B$15/$B$14*AZ60</f>
        <v>0.000372456665086158</v>
      </c>
      <c r="BA61" s="12" t="n">
        <f aca="false">$B$15/$B$14*BA60</f>
        <v>0.0870314754420374</v>
      </c>
      <c r="BB61" s="12" t="n">
        <f aca="false">$B$15/$B$14*BB60</f>
        <v>0.00796186999312014</v>
      </c>
      <c r="BC61" s="12" t="n">
        <f aca="false">$B$15/$B$14*BC60</f>
        <v>0.000219637792913659</v>
      </c>
      <c r="BD61" s="12" t="n">
        <f aca="false">$B$15/$B$14*BD60</f>
        <v>5.49094482284147E-005</v>
      </c>
      <c r="BE61" s="17" t="n">
        <v>0</v>
      </c>
      <c r="BF61" s="17" t="n">
        <v>0</v>
      </c>
      <c r="BG61" s="17" t="n">
        <f aca="false">base_fleet!CE61</f>
        <v>0</v>
      </c>
      <c r="BH61" s="17" t="n">
        <f aca="false">base_fleet!CA61</f>
        <v>0</v>
      </c>
      <c r="BI61" s="17" t="n">
        <f aca="false">base_fleet!BV61</f>
        <v>0</v>
      </c>
      <c r="BJ61" s="17" t="n">
        <f aca="false">base_fleet!CH61</f>
        <v>0</v>
      </c>
      <c r="BK61" s="17" t="n">
        <f aca="false">base_fleet!BU61+base_fleet!BZ61+base_fleet!CD61</f>
        <v>0</v>
      </c>
    </row>
    <row r="62" customFormat="false" ht="12.75" hidden="false" customHeight="false" outlineLevel="0" collapsed="false">
      <c r="A62" s="1" t="n">
        <f aca="false">A61-1</f>
        <v>1959</v>
      </c>
      <c r="B62" s="12" t="n">
        <f aca="false">$B$15/$B$14*B61</f>
        <v>2.89238567069779</v>
      </c>
      <c r="C62" s="12" t="n">
        <f aca="false">$B$15/$B$14*C61</f>
        <v>5.17970954039689</v>
      </c>
      <c r="D62" s="12" t="n">
        <f aca="false">$B$15/$B$14*D61</f>
        <v>0.00305812206629465</v>
      </c>
      <c r="E62" s="12" t="n">
        <f aca="false">$B$15/$B$14*E61</f>
        <v>2.15647706342394</v>
      </c>
      <c r="F62" s="12" t="n">
        <f aca="false">$B$15/$B$14*F61</f>
        <v>0.0222875236615229</v>
      </c>
      <c r="G62" s="12" t="n">
        <f aca="false">$B$15/$B$14*G61</f>
        <v>0.0349468371012679</v>
      </c>
      <c r="H62" s="12" t="n">
        <f aca="false">$B$15/$B$14*H61</f>
        <v>0.000356600378584366</v>
      </c>
      <c r="I62" s="12" t="n">
        <f aca="false">$B$15/$B$14*I61</f>
        <v>0.275916433619893</v>
      </c>
      <c r="J62" s="17" t="n">
        <f aca="false">base_fleet!C62+base_fleet!G62+base_fleet!L62+base_fleet!Q62</f>
        <v>0</v>
      </c>
      <c r="K62" s="17" t="n">
        <f aca="false">base_fleet!E62+base_fleet!J62+base_fleet!O62+base_fleet!T62</f>
        <v>0</v>
      </c>
      <c r="L62" s="12" t="n">
        <f aca="false">$B$15/$B$14*L61</f>
        <v>0.329937294628158</v>
      </c>
      <c r="M62" s="17" t="n">
        <f aca="false">base_fleet!I62+base_fleet!N62</f>
        <v>0</v>
      </c>
      <c r="N62" s="12" t="n">
        <f aca="false">$B$15/$B$14*N61</f>
        <v>3.33457630108768</v>
      </c>
      <c r="O62" s="12" t="n">
        <f aca="false">$B$15/$B$14*O61</f>
        <v>0.0522938873336385</v>
      </c>
      <c r="P62" s="12" t="n">
        <f aca="false">$B$15/$B$14*P61</f>
        <v>0.233334713658282</v>
      </c>
      <c r="Q62" s="12" t="n">
        <f aca="false">$B$15/$B$14*Q61</f>
        <v>0.637312638615804</v>
      </c>
      <c r="R62" s="12" t="n">
        <f aca="false">$B$15/$B$14*R61</f>
        <v>0.0905204131623216</v>
      </c>
      <c r="S62" s="12" t="n">
        <f aca="false">$B$15/$B$14*S61</f>
        <v>0.0342509671425001</v>
      </c>
      <c r="T62" s="17" t="n">
        <f aca="false">base_fleet!Z62+base_fleet!AE62</f>
        <v>0</v>
      </c>
      <c r="U62" s="18" t="n">
        <f aca="false">base_fleet!X62+base_fleet!AC62+base_fleet!AH62</f>
        <v>0</v>
      </c>
      <c r="V62" s="12" t="n">
        <f aca="false">$B$15/$B$14*V61</f>
        <v>0.821362346377737</v>
      </c>
      <c r="W62" s="12" t="n">
        <f aca="false">$B$15/$B$14*W61</f>
        <v>0.171936814653878</v>
      </c>
      <c r="X62" s="12" t="n">
        <f aca="false">$B$15/$B$14*X61</f>
        <v>0.0385772050709295</v>
      </c>
      <c r="Y62" s="12" t="n">
        <f aca="false">$B$15/$B$14*Y61</f>
        <v>0.0291245124376554</v>
      </c>
      <c r="Z62" s="12" t="n">
        <f aca="false">$B$15/$B$14*Z61</f>
        <v>0.0582490248753108</v>
      </c>
      <c r="AA62" s="12" t="n">
        <f aca="false">$B$15/$B$14*AA61</f>
        <v>0.0114965180674955</v>
      </c>
      <c r="AB62" s="12" t="n">
        <f aca="false">$B$15/$B$14*AB61</f>
        <v>0.000383217268916518</v>
      </c>
      <c r="AC62" s="12" t="n">
        <f aca="false">$B$15/$B$14*AC61</f>
        <v>0.000383217268916518</v>
      </c>
      <c r="AD62" s="12" t="n">
        <f aca="false">$B$15/$B$14*AD61</f>
        <v>0.00332121633060983</v>
      </c>
      <c r="AE62" s="12" t="n">
        <f aca="false">$B$15/$B$14*AE61</f>
        <v>0.0166060816530491</v>
      </c>
      <c r="AF62" s="12" t="n">
        <f aca="false">$B$15/$B$14*AF61</f>
        <v>0.00204382543422143</v>
      </c>
      <c r="AG62" s="12" t="n">
        <f aca="false">$B$15/$B$14*AG61</f>
        <v>0</v>
      </c>
      <c r="AH62" s="12" t="n">
        <f aca="false">$B$15/$B$14*AH61</f>
        <v>0.000510956358555358</v>
      </c>
      <c r="AI62" s="12" t="n">
        <f aca="false">$B$15/$B$14*AI61</f>
        <v>0.000510956358555358</v>
      </c>
      <c r="AJ62" s="12" t="n">
        <f aca="false">$B$15/$B$14*AJ61</f>
        <v>0</v>
      </c>
      <c r="AK62" s="12" t="n">
        <f aca="false">$B$15/$B$14*AK61</f>
        <v>0</v>
      </c>
      <c r="AL62" s="12" t="n">
        <f aca="false">$B$15/$B$14*AL61</f>
        <v>0</v>
      </c>
      <c r="AM62" s="12" t="n">
        <f aca="false">$B$15/$B$14*AM61</f>
        <v>0</v>
      </c>
      <c r="AN62" s="12" t="n">
        <f aca="false">$B$15/$B$14*AN61</f>
        <v>0.0273361651827117</v>
      </c>
      <c r="AO62" s="12" t="n">
        <f aca="false">$B$15/$B$14*AO61</f>
        <v>0.0227375579557134</v>
      </c>
      <c r="AP62" s="12" t="n">
        <f aca="false">$B$15/$B$14*AP61</f>
        <v>0.00434312904772054</v>
      </c>
      <c r="AQ62" s="12" t="n">
        <f aca="false">$B$15/$B$14*AQ61</f>
        <v>0.0125184307846063</v>
      </c>
      <c r="AR62" s="12" t="n">
        <f aca="false">$B$15/$B$14*AR61</f>
        <v>0.00766434537833037</v>
      </c>
      <c r="AS62" s="12" t="n">
        <f aca="false">$B$15/$B$14*AS61</f>
        <v>0.000255478179277679</v>
      </c>
      <c r="AT62" s="17" t="n">
        <f aca="false">base_fleet!AQ62+base_fleet!AN62+base_fleet!AJ62</f>
        <v>0</v>
      </c>
      <c r="AU62" s="12" t="n">
        <f aca="false">$B$15/$B$14*AU61</f>
        <v>0.350358885996105</v>
      </c>
      <c r="AV62" s="12" t="n">
        <f aca="false">$B$15/$B$14*AV61</f>
        <v>0.0320488146159847</v>
      </c>
      <c r="AW62" s="12" t="n">
        <f aca="false">$B$15/$B$14*AW61</f>
        <v>0.0108903738986356</v>
      </c>
      <c r="AX62" s="12" t="n">
        <f aca="false">$B$15/$B$14*AX61</f>
        <v>0.00404499601949322</v>
      </c>
      <c r="AY62" s="12" t="n">
        <f aca="false">$B$15/$B$14*AY61</f>
        <v>0</v>
      </c>
      <c r="AZ62" s="12" t="n">
        <f aca="false">$B$15/$B$14*AZ61</f>
        <v>0.000311153539961017</v>
      </c>
      <c r="BA62" s="12" t="n">
        <f aca="false">$B$15/$B$14*BA61</f>
        <v>0.0727068521261553</v>
      </c>
      <c r="BB62" s="12" t="n">
        <f aca="false">$B$15/$B$14*BB61</f>
        <v>0.00665141549419086</v>
      </c>
      <c r="BC62" s="12" t="n">
        <f aca="false">$B$15/$B$14*BC61</f>
        <v>0.000183487323977679</v>
      </c>
      <c r="BD62" s="12" t="n">
        <f aca="false">$B$15/$B$14*BD61</f>
        <v>4.58718309944197E-005</v>
      </c>
      <c r="BE62" s="17" t="n">
        <v>0</v>
      </c>
      <c r="BF62" s="17" t="n">
        <v>0</v>
      </c>
      <c r="BG62" s="17" t="n">
        <f aca="false">base_fleet!CE62</f>
        <v>0</v>
      </c>
      <c r="BH62" s="17" t="n">
        <f aca="false">base_fleet!CA62</f>
        <v>0</v>
      </c>
      <c r="BI62" s="17" t="n">
        <f aca="false">base_fleet!BV62</f>
        <v>0</v>
      </c>
      <c r="BJ62" s="17" t="n">
        <f aca="false">base_fleet!CH62</f>
        <v>0</v>
      </c>
      <c r="BK62" s="17" t="n">
        <f aca="false">base_fleet!BU62+base_fleet!BZ62+base_fleet!CD62</f>
        <v>0</v>
      </c>
    </row>
    <row r="63" customFormat="false" ht="12.75" hidden="false" customHeight="false" outlineLevel="0" collapsed="false">
      <c r="BG63" s="1" t="n">
        <f aca="false">AVERAGE(BG2:BG18)</f>
        <v>185.470588235294</v>
      </c>
      <c r="BH63" s="1" t="n">
        <f aca="false">AVERAGE(BH2:BH18)</f>
        <v>31347.3529411765</v>
      </c>
      <c r="BI63" s="1" t="n">
        <f aca="false">AVERAGE(BI2:BI18)</f>
        <v>268.588235294118</v>
      </c>
      <c r="BJ63" s="1" t="n">
        <f aca="false">AVERAGE(BJ2:BJ18)</f>
        <v>3.47058823529412</v>
      </c>
      <c r="BK63" s="1" t="n">
        <f aca="false">AVERAGE(BK2:BK18)</f>
        <v>9.58823529411765</v>
      </c>
      <c r="BL63" s="1" t="n">
        <f aca="false">SUM(BG63:BK63)</f>
        <v>31814.4705882353</v>
      </c>
    </row>
    <row r="64" customFormat="false" ht="12.75" hidden="false" customHeight="false" outlineLevel="0" collapsed="false">
      <c r="BG64" s="19" t="n">
        <f aca="false">BG63/$BL$63</f>
        <v>0.00582975560510755</v>
      </c>
      <c r="BH64" s="19" t="n">
        <f aca="false">BH63/$BL$63</f>
        <v>0.985317447110638</v>
      </c>
      <c r="BI64" s="19" t="n">
        <f aca="false">BI63/$BL$63</f>
        <v>0.00844232923974662</v>
      </c>
      <c r="BJ64" s="19" t="n">
        <f aca="false">BJ63/$BL$63</f>
        <v>0.000109088354171058</v>
      </c>
      <c r="BK64" s="19" t="n">
        <f aca="false">BK63/$BL$63</f>
        <v>0.000301379690336991</v>
      </c>
      <c r="BL64" s="4" t="n">
        <f aca="false">BL63/$BL$63</f>
        <v>1</v>
      </c>
    </row>
  </sheetData>
  <autoFilter ref="A1:AN6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71484375" defaultRowHeight="12.8" zeroHeight="false" outlineLevelRow="0" outlineLevelCol="0"/>
  <cols>
    <col collapsed="false" customWidth="true" hidden="false" outlineLevel="0" max="1" min="1" style="1" width="13.86"/>
    <col collapsed="false" customWidth="true" hidden="false" outlineLevel="0" max="21" min="2" style="1" width="18.29"/>
    <col collapsed="false" customWidth="true" hidden="false" outlineLevel="0" max="22" min="22" style="1" width="16.71"/>
    <col collapsed="false" customWidth="true" hidden="false" outlineLevel="0" max="23" min="23" style="1" width="19.71"/>
    <col collapsed="false" customWidth="true" hidden="false" outlineLevel="0" max="29" min="24" style="1" width="20.71"/>
    <col collapsed="false" customWidth="true" hidden="false" outlineLevel="0" max="30" min="30" style="1" width="17.71"/>
    <col collapsed="false" customWidth="true" hidden="false" outlineLevel="0" max="31" min="31" style="1" width="16.84"/>
    <col collapsed="false" customWidth="true" hidden="false" outlineLevel="0" max="32" min="32" style="1" width="19.86"/>
    <col collapsed="false" customWidth="true" hidden="false" outlineLevel="0" max="38" min="33" style="1" width="20.85"/>
    <col collapsed="false" customWidth="true" hidden="false" outlineLevel="0" max="39" min="39" style="1" width="17.86"/>
    <col collapsed="false" customWidth="true" hidden="false" outlineLevel="0" max="45" min="40" style="1" width="20.57"/>
    <col collapsed="false" customWidth="true" hidden="false" outlineLevel="0" max="46" min="46" style="1" width="14.71"/>
    <col collapsed="false" customWidth="true" hidden="false" outlineLevel="0" max="54" min="47" style="1" width="18.29"/>
    <col collapsed="false" customWidth="true" hidden="false" outlineLevel="0" max="56" min="55" style="1" width="18.42"/>
    <col collapsed="false" customWidth="true" hidden="false" outlineLevel="0" max="63" min="57" style="1" width="18.29"/>
  </cols>
  <sheetData>
    <row r="1" customFormat="false" ht="12.75" hidden="false" customHeight="false" outlineLevel="0" collapsed="false">
      <c r="A1" s="20" t="s">
        <v>232</v>
      </c>
      <c r="B1" s="20" t="str">
        <f aca="false">metadata!B2</f>
        <v>PC_MINI_G</v>
      </c>
      <c r="C1" s="20" t="str">
        <f aca="false">metadata!B3</f>
        <v>PC_SMALL_G</v>
      </c>
      <c r="D1" s="20" t="str">
        <f aca="false">metadata!B4</f>
        <v>PC_MEDIUM_G</v>
      </c>
      <c r="E1" s="20" t="str">
        <f aca="false">metadata!B5</f>
        <v>PC_SUV_G</v>
      </c>
      <c r="F1" s="20" t="str">
        <f aca="false">metadata!B6</f>
        <v>PC_MINI_D</v>
      </c>
      <c r="G1" s="20" t="str">
        <f aca="false">metadata!B7</f>
        <v>PC_SMALL_D</v>
      </c>
      <c r="H1" s="20" t="str">
        <f aca="false">metadata!B8</f>
        <v>PC_MEDIUM_D</v>
      </c>
      <c r="I1" s="20" t="str">
        <f aca="false">metadata!B9</f>
        <v>PC_SUV_D</v>
      </c>
      <c r="J1" s="20" t="str">
        <f aca="false">metadata!B10</f>
        <v>PC_ELEC</v>
      </c>
      <c r="K1" s="20" t="str">
        <f aca="false">metadata!B11</f>
        <v>PC_SMALL_HY</v>
      </c>
      <c r="L1" s="20" t="str">
        <f aca="false">metadata!B12</f>
        <v>TAXI_SMALL_G</v>
      </c>
      <c r="M1" s="20" t="str">
        <f aca="false">metadata!B13</f>
        <v>TAXI_SMALL_GLP</v>
      </c>
      <c r="N1" s="20" t="str">
        <f aca="false">metadata!B14</f>
        <v>LCV_NI_G</v>
      </c>
      <c r="O1" s="20" t="str">
        <f aca="false">metadata!B15</f>
        <v>LCV_NII_G</v>
      </c>
      <c r="P1" s="20" t="str">
        <f aca="false">metadata!B16</f>
        <v>LCV_NIII_G</v>
      </c>
      <c r="Q1" s="20" t="str">
        <f aca="false">metadata!B17</f>
        <v>LCV_NI_D</v>
      </c>
      <c r="R1" s="20" t="str">
        <f aca="false">metadata!B18</f>
        <v>LCV_NII_D</v>
      </c>
      <c r="S1" s="20" t="str">
        <f aca="false">metadata!B19</f>
        <v>LCV_NIII_D</v>
      </c>
      <c r="T1" s="20" t="str">
        <f aca="false">metadata!B20</f>
        <v>LCV_ELEC</v>
      </c>
      <c r="U1" s="20" t="str">
        <f aca="false">metadata!B21</f>
        <v>LCV_HY</v>
      </c>
      <c r="V1" s="21" t="str">
        <f aca="false">metadata!B22</f>
        <v>TRUCKS_RT_7_D</v>
      </c>
      <c r="W1" s="21" t="str">
        <f aca="false">metadata!B23</f>
        <v>TRUCKS_RT_7_12_D</v>
      </c>
      <c r="X1" s="21" t="str">
        <f aca="false">metadata!B24</f>
        <v>TRUCKS_RT_12_14_D</v>
      </c>
      <c r="Y1" s="21" t="str">
        <f aca="false">metadata!B25</f>
        <v>TRUCKS_RT_14_16_D</v>
      </c>
      <c r="Z1" s="21" t="str">
        <f aca="false">metadata!B26</f>
        <v>TRUCKS_RT_16_20_D</v>
      </c>
      <c r="AA1" s="21" t="str">
        <f aca="false">metadata!B27</f>
        <v>TRUCKS_RT_20_26_D</v>
      </c>
      <c r="AB1" s="21" t="str">
        <f aca="false">metadata!B28</f>
        <v>TRUCKS_RT_26_28_D</v>
      </c>
      <c r="AC1" s="21" t="str">
        <f aca="false">metadata!B29</f>
        <v>TRUCKS_RT_28_32_D</v>
      </c>
      <c r="AD1" s="22" t="str">
        <f aca="false">metadata!B30</f>
        <v>TRUCKS_RT_32_D</v>
      </c>
      <c r="AE1" s="22" t="str">
        <f aca="false">metadata!B31</f>
        <v>TRUCKS_RT_7_G</v>
      </c>
      <c r="AF1" s="22" t="str">
        <f aca="false">metadata!B32</f>
        <v>TRUCKS_RT_7_12_G</v>
      </c>
      <c r="AG1" s="22" t="str">
        <f aca="false">metadata!B33</f>
        <v>TRUCKS_RT_12_14_G</v>
      </c>
      <c r="AH1" s="22" t="str">
        <f aca="false">metadata!B34</f>
        <v>TRUCKS_RT_14_16_G</v>
      </c>
      <c r="AI1" s="22" t="str">
        <f aca="false">metadata!B35</f>
        <v>TRUCKS_RT_16_20_G</v>
      </c>
      <c r="AJ1" s="22" t="str">
        <f aca="false">metadata!B36</f>
        <v>TRUCKS_RT_20_26_G</v>
      </c>
      <c r="AK1" s="22" t="str">
        <f aca="false">metadata!B37</f>
        <v>TRUCKS_RT_26_28_G</v>
      </c>
      <c r="AL1" s="22" t="str">
        <f aca="false">metadata!B38</f>
        <v>TRUCKS_RT_28_32_G</v>
      </c>
      <c r="AM1" s="22" t="str">
        <f aca="false">metadata!B39</f>
        <v>TRUCKS_RT_32_G</v>
      </c>
      <c r="AN1" s="22" t="str">
        <f aca="false">metadata!B40</f>
        <v>TRUCKS_AT_16_20_D</v>
      </c>
      <c r="AO1" s="21" t="str">
        <f aca="false">metadata!B41</f>
        <v>TRUCKS_AT_20_28_D</v>
      </c>
      <c r="AP1" s="21" t="str">
        <f aca="false">metadata!B42</f>
        <v>TRUCKS_AT_28_34_D</v>
      </c>
      <c r="AQ1" s="22" t="str">
        <f aca="false">metadata!B43</f>
        <v>TRUCKS_AT_34_40_D</v>
      </c>
      <c r="AR1" s="22" t="str">
        <f aca="false">metadata!B44</f>
        <v>TRUCKS_AT_40_50_D</v>
      </c>
      <c r="AS1" s="22" t="str">
        <f aca="false">metadata!B45</f>
        <v>TRUCKS_AT_50_60_D</v>
      </c>
      <c r="AT1" s="22" t="str">
        <f aca="false">metadata!B46</f>
        <v>TRUCKS_ELEC</v>
      </c>
      <c r="AU1" s="23" t="str">
        <f aca="false">metadata!B47</f>
        <v>BUS_UB_15_D</v>
      </c>
      <c r="AV1" s="23" t="str">
        <f aca="false">metadata!B48</f>
        <v>BUS_UB_15_18_D</v>
      </c>
      <c r="AW1" s="23" t="str">
        <f aca="false">metadata!B49</f>
        <v>BUS_UB_18_D</v>
      </c>
      <c r="AX1" s="23" t="str">
        <f aca="false">metadata!B50</f>
        <v>BUS_UB_15_G</v>
      </c>
      <c r="AY1" s="23" t="str">
        <f aca="false">metadata!B51</f>
        <v>BUS_UB_15_18_G</v>
      </c>
      <c r="AZ1" s="23" t="str">
        <f aca="false">metadata!B52</f>
        <v>BUS_UB_18_G</v>
      </c>
      <c r="BA1" s="23" t="str">
        <f aca="false">metadata!B53</f>
        <v>BUS_COACH_17_D</v>
      </c>
      <c r="BB1" s="23" t="str">
        <f aca="false">metadata!B54</f>
        <v>BUS_COACH_18_D</v>
      </c>
      <c r="BC1" s="23" t="str">
        <f aca="false">metadata!B55</f>
        <v>BUS_COACH_17_G</v>
      </c>
      <c r="BD1" s="23" t="str">
        <f aca="false">metadata!B56</f>
        <v>BUS_COACH_18_G</v>
      </c>
      <c r="BE1" s="23" t="str">
        <f aca="false">metadata!B57</f>
        <v>BUS_UB_15_HY</v>
      </c>
      <c r="BF1" s="23" t="str">
        <f aca="false">metadata!B58</f>
        <v>BUS_ELEC</v>
      </c>
      <c r="BG1" s="23" t="str">
        <f aca="false">metadata!B59</f>
        <v>MC_2S_50_G</v>
      </c>
      <c r="BH1" s="23" t="str">
        <f aca="false">metadata!B60</f>
        <v>MC_4S_50_250_G</v>
      </c>
      <c r="BI1" s="23" t="str">
        <f aca="false">metadata!B61</f>
        <v>MC_4S_250_750_G</v>
      </c>
      <c r="BJ1" s="23" t="str">
        <f aca="false">metadata!B62</f>
        <v>MC_4S_750_G</v>
      </c>
      <c r="BK1" s="23" t="str">
        <f aca="false">metadata!B63</f>
        <v>MC_ELEC</v>
      </c>
    </row>
    <row r="2" customFormat="false" ht="12.75" hidden="false" customHeight="false" outlineLevel="0" collapsed="false">
      <c r="A2" s="24" t="n">
        <v>43528</v>
      </c>
      <c r="B2" s="25" t="n">
        <v>0.119397167727686</v>
      </c>
      <c r="C2" s="25" t="n">
        <v>0.119397167727686</v>
      </c>
      <c r="D2" s="25" t="n">
        <v>0.119397167727686</v>
      </c>
      <c r="E2" s="25" t="n">
        <v>0.119397167727686</v>
      </c>
      <c r="F2" s="25" t="n">
        <v>0.119397167727686</v>
      </c>
      <c r="G2" s="25" t="n">
        <v>0.119397167727686</v>
      </c>
      <c r="H2" s="25" t="n">
        <v>0.119397167727686</v>
      </c>
      <c r="I2" s="25" t="n">
        <v>0.119397167727686</v>
      </c>
      <c r="J2" s="25" t="n">
        <v>0.119397167727686</v>
      </c>
      <c r="K2" s="25" t="n">
        <v>0.119397167727686</v>
      </c>
      <c r="L2" s="25" t="n">
        <v>0.119397167727686</v>
      </c>
      <c r="M2" s="25" t="n">
        <v>0.119397167727686</v>
      </c>
      <c r="N2" s="1" t="n">
        <v>0.0735594605639559</v>
      </c>
      <c r="O2" s="1" t="n">
        <v>0.0735594605639559</v>
      </c>
      <c r="P2" s="1" t="n">
        <v>0.0735594605639559</v>
      </c>
      <c r="Q2" s="1" t="n">
        <v>0.0735594605639559</v>
      </c>
      <c r="R2" s="1" t="n">
        <v>0.0735594605639559</v>
      </c>
      <c r="S2" s="1" t="n">
        <v>0.0735594605639559</v>
      </c>
      <c r="T2" s="1" t="n">
        <v>0.0735594605639559</v>
      </c>
      <c r="U2" s="1" t="n">
        <v>0.0735594605639559</v>
      </c>
      <c r="V2" s="26" t="n">
        <v>0.75</v>
      </c>
      <c r="W2" s="26" t="n">
        <v>0.75</v>
      </c>
      <c r="X2" s="26" t="n">
        <v>0.75</v>
      </c>
      <c r="Y2" s="26" t="n">
        <v>0.75</v>
      </c>
      <c r="Z2" s="26" t="n">
        <v>0.75</v>
      </c>
      <c r="AA2" s="26" t="n">
        <v>0.75</v>
      </c>
      <c r="AB2" s="26" t="n">
        <v>0.75</v>
      </c>
      <c r="AC2" s="26" t="n">
        <v>0.75</v>
      </c>
      <c r="AD2" s="26" t="n">
        <v>0.75</v>
      </c>
      <c r="AE2" s="26" t="n">
        <v>0.75</v>
      </c>
      <c r="AF2" s="26" t="n">
        <v>0.75</v>
      </c>
      <c r="AG2" s="26" t="n">
        <v>0.75</v>
      </c>
      <c r="AH2" s="26" t="n">
        <v>0.75</v>
      </c>
      <c r="AI2" s="26" t="n">
        <v>0.75</v>
      </c>
      <c r="AJ2" s="26" t="n">
        <v>0.75</v>
      </c>
      <c r="AK2" s="26" t="n">
        <v>0.75</v>
      </c>
      <c r="AL2" s="26" t="n">
        <v>0.75</v>
      </c>
      <c r="AM2" s="26" t="n">
        <v>0.75</v>
      </c>
      <c r="AN2" s="26" t="n">
        <v>0.75</v>
      </c>
      <c r="AO2" s="26" t="n">
        <v>0.75</v>
      </c>
      <c r="AP2" s="26" t="n">
        <v>0.75</v>
      </c>
      <c r="AQ2" s="26" t="n">
        <v>0.75</v>
      </c>
      <c r="AR2" s="26" t="n">
        <v>0.75</v>
      </c>
      <c r="AS2" s="26" t="n">
        <v>0.75</v>
      </c>
      <c r="AT2" s="26" t="n">
        <v>0.75</v>
      </c>
      <c r="AU2" s="25" t="n">
        <v>0.119397167727686</v>
      </c>
      <c r="AV2" s="25" t="n">
        <v>0.119397167727686</v>
      </c>
      <c r="AW2" s="25" t="n">
        <v>0.119397167727686</v>
      </c>
      <c r="AX2" s="25" t="n">
        <v>0.119397167727686</v>
      </c>
      <c r="AY2" s="25" t="n">
        <v>0.119397167727686</v>
      </c>
      <c r="AZ2" s="25" t="n">
        <v>0.119397167727686</v>
      </c>
      <c r="BA2" s="25" t="n">
        <v>0.119397167727686</v>
      </c>
      <c r="BB2" s="25" t="n">
        <v>0.119397167727686</v>
      </c>
      <c r="BC2" s="25" t="n">
        <v>0.119397167727686</v>
      </c>
      <c r="BD2" s="25" t="n">
        <v>0.119397167727686</v>
      </c>
      <c r="BE2" s="25" t="n">
        <v>0.119397167727686</v>
      </c>
      <c r="BF2" s="25" t="n">
        <v>0.119397167727686</v>
      </c>
      <c r="BG2" s="25" t="n">
        <v>0.119397167727686</v>
      </c>
      <c r="BH2" s="25" t="n">
        <v>0.119397167727686</v>
      </c>
      <c r="BI2" s="25" t="n">
        <v>0.119397167727686</v>
      </c>
      <c r="BJ2" s="25" t="n">
        <v>0.119397167727686</v>
      </c>
      <c r="BK2" s="25" t="n">
        <v>0.119397167727686</v>
      </c>
    </row>
    <row r="3" customFormat="false" ht="12.75" hidden="false" customHeight="false" outlineLevel="0" collapsed="false">
      <c r="A3" s="24" t="n">
        <f aca="false">A2+1/24</f>
        <v>43528.0416666667</v>
      </c>
      <c r="B3" s="25" t="n">
        <v>0.0613659001342514</v>
      </c>
      <c r="C3" s="25" t="n">
        <v>0.0613659001342514</v>
      </c>
      <c r="D3" s="25" t="n">
        <v>0.0613659001342514</v>
      </c>
      <c r="E3" s="25" t="n">
        <v>0.0613659001342514</v>
      </c>
      <c r="F3" s="25" t="n">
        <v>0.0613659001342514</v>
      </c>
      <c r="G3" s="25" t="n">
        <v>0.0613659001342514</v>
      </c>
      <c r="H3" s="25" t="n">
        <v>0.0613659001342514</v>
      </c>
      <c r="I3" s="25" t="n">
        <v>0.0613659001342514</v>
      </c>
      <c r="J3" s="25" t="n">
        <v>0.0613659001342514</v>
      </c>
      <c r="K3" s="25" t="n">
        <v>0.0613659001342514</v>
      </c>
      <c r="L3" s="25" t="n">
        <v>0.0613659001342514</v>
      </c>
      <c r="M3" s="25" t="n">
        <v>0.0613659001342514</v>
      </c>
      <c r="N3" s="1" t="n">
        <v>0.0735594605639559</v>
      </c>
      <c r="O3" s="1" t="n">
        <v>0.0735594605639559</v>
      </c>
      <c r="P3" s="1" t="n">
        <v>0.0735594605639559</v>
      </c>
      <c r="Q3" s="1" t="n">
        <v>0.0735594605639559</v>
      </c>
      <c r="R3" s="1" t="n">
        <v>0.0735594605639559</v>
      </c>
      <c r="S3" s="1" t="n">
        <v>0.0735594605639559</v>
      </c>
      <c r="T3" s="1" t="n">
        <v>0.0735594605639559</v>
      </c>
      <c r="U3" s="1" t="n">
        <v>0.0735594605639559</v>
      </c>
      <c r="V3" s="26" t="n">
        <v>0.375</v>
      </c>
      <c r="W3" s="26" t="n">
        <v>0.375</v>
      </c>
      <c r="X3" s="26" t="n">
        <v>0.375</v>
      </c>
      <c r="Y3" s="26" t="n">
        <v>0.375</v>
      </c>
      <c r="Z3" s="26" t="n">
        <v>0.375</v>
      </c>
      <c r="AA3" s="26" t="n">
        <v>0.375</v>
      </c>
      <c r="AB3" s="26" t="n">
        <v>0.375</v>
      </c>
      <c r="AC3" s="26" t="n">
        <v>0.375</v>
      </c>
      <c r="AD3" s="26" t="n">
        <v>0.375</v>
      </c>
      <c r="AE3" s="26" t="n">
        <v>0.375</v>
      </c>
      <c r="AF3" s="26" t="n">
        <v>0.375</v>
      </c>
      <c r="AG3" s="26" t="n">
        <v>0.375</v>
      </c>
      <c r="AH3" s="26" t="n">
        <v>0.375</v>
      </c>
      <c r="AI3" s="26" t="n">
        <v>0.375</v>
      </c>
      <c r="AJ3" s="26" t="n">
        <v>0.375</v>
      </c>
      <c r="AK3" s="26" t="n">
        <v>0.375</v>
      </c>
      <c r="AL3" s="26" t="n">
        <v>0.375</v>
      </c>
      <c r="AM3" s="26" t="n">
        <v>0.375</v>
      </c>
      <c r="AN3" s="26" t="n">
        <v>0.375</v>
      </c>
      <c r="AO3" s="26" t="n">
        <v>0.375</v>
      </c>
      <c r="AP3" s="26" t="n">
        <v>0.375</v>
      </c>
      <c r="AQ3" s="26" t="n">
        <v>0.375</v>
      </c>
      <c r="AR3" s="26" t="n">
        <v>0.375</v>
      </c>
      <c r="AS3" s="26" t="n">
        <v>0.375</v>
      </c>
      <c r="AT3" s="26" t="n">
        <v>0.375</v>
      </c>
      <c r="AU3" s="25" t="n">
        <v>0.0613659001342514</v>
      </c>
      <c r="AV3" s="25" t="n">
        <v>0.0613659001342514</v>
      </c>
      <c r="AW3" s="25" t="n">
        <v>0.0613659001342514</v>
      </c>
      <c r="AX3" s="25" t="n">
        <v>0.0613659001342514</v>
      </c>
      <c r="AY3" s="25" t="n">
        <v>0.0613659001342514</v>
      </c>
      <c r="AZ3" s="25" t="n">
        <v>0.0613659001342514</v>
      </c>
      <c r="BA3" s="25" t="n">
        <v>0.0613659001342514</v>
      </c>
      <c r="BB3" s="25" t="n">
        <v>0.0613659001342514</v>
      </c>
      <c r="BC3" s="25" t="n">
        <v>0.0613659001342514</v>
      </c>
      <c r="BD3" s="25" t="n">
        <v>0.0613659001342514</v>
      </c>
      <c r="BE3" s="25" t="n">
        <v>0.0613659001342514</v>
      </c>
      <c r="BF3" s="25" t="n">
        <v>0.0613659001342514</v>
      </c>
      <c r="BG3" s="25" t="n">
        <v>0.0613659001342514</v>
      </c>
      <c r="BH3" s="25" t="n">
        <v>0.0613659001342514</v>
      </c>
      <c r="BI3" s="25" t="n">
        <v>0.0613659001342514</v>
      </c>
      <c r="BJ3" s="25" t="n">
        <v>0.0613659001342514</v>
      </c>
      <c r="BK3" s="25" t="n">
        <v>0.0613659001342514</v>
      </c>
    </row>
    <row r="4" customFormat="false" ht="12.75" hidden="false" customHeight="false" outlineLevel="0" collapsed="false">
      <c r="A4" s="24" t="n">
        <f aca="false">A3+1/24</f>
        <v>43528.0833333333</v>
      </c>
      <c r="B4" s="25" t="n">
        <v>0.0403620458187173</v>
      </c>
      <c r="C4" s="25" t="n">
        <v>0.0403620458187173</v>
      </c>
      <c r="D4" s="25" t="n">
        <v>0.0403620458187173</v>
      </c>
      <c r="E4" s="25" t="n">
        <v>0.0403620458187173</v>
      </c>
      <c r="F4" s="25" t="n">
        <v>0.0403620458187173</v>
      </c>
      <c r="G4" s="25" t="n">
        <v>0.0403620458187173</v>
      </c>
      <c r="H4" s="25" t="n">
        <v>0.0403620458187173</v>
      </c>
      <c r="I4" s="25" t="n">
        <v>0.0403620458187173</v>
      </c>
      <c r="J4" s="25" t="n">
        <v>0.0403620458187173</v>
      </c>
      <c r="K4" s="25" t="n">
        <v>0.0403620458187173</v>
      </c>
      <c r="L4" s="25" t="n">
        <v>0.0403620458187173</v>
      </c>
      <c r="M4" s="25" t="n">
        <v>0.0403620458187173</v>
      </c>
      <c r="N4" s="1" t="n">
        <v>0.0706988148753576</v>
      </c>
      <c r="O4" s="1" t="n">
        <v>0.0706988148753576</v>
      </c>
      <c r="P4" s="1" t="n">
        <v>0.0706988148753576</v>
      </c>
      <c r="Q4" s="1" t="n">
        <v>0.0706988148753576</v>
      </c>
      <c r="R4" s="1" t="n">
        <v>0.0706988148753576</v>
      </c>
      <c r="S4" s="1" t="n">
        <v>0.0706988148753576</v>
      </c>
      <c r="T4" s="1" t="n">
        <v>0.0706988148753576</v>
      </c>
      <c r="U4" s="1" t="n">
        <v>0.0706988148753576</v>
      </c>
      <c r="V4" s="26" t="n">
        <v>0.125</v>
      </c>
      <c r="W4" s="26" t="n">
        <v>0.125</v>
      </c>
      <c r="X4" s="26" t="n">
        <v>0.125</v>
      </c>
      <c r="Y4" s="26" t="n">
        <v>0.125</v>
      </c>
      <c r="Z4" s="26" t="n">
        <v>0.125</v>
      </c>
      <c r="AA4" s="26" t="n">
        <v>0.125</v>
      </c>
      <c r="AB4" s="26" t="n">
        <v>0.125</v>
      </c>
      <c r="AC4" s="26" t="n">
        <v>0.125</v>
      </c>
      <c r="AD4" s="26" t="n">
        <v>0.125</v>
      </c>
      <c r="AE4" s="26" t="n">
        <v>0.125</v>
      </c>
      <c r="AF4" s="26" t="n">
        <v>0.125</v>
      </c>
      <c r="AG4" s="26" t="n">
        <v>0.125</v>
      </c>
      <c r="AH4" s="26" t="n">
        <v>0.125</v>
      </c>
      <c r="AI4" s="26" t="n">
        <v>0.125</v>
      </c>
      <c r="AJ4" s="26" t="n">
        <v>0.125</v>
      </c>
      <c r="AK4" s="26" t="n">
        <v>0.125</v>
      </c>
      <c r="AL4" s="26" t="n">
        <v>0.125</v>
      </c>
      <c r="AM4" s="26" t="n">
        <v>0.125</v>
      </c>
      <c r="AN4" s="26" t="n">
        <v>0.125</v>
      </c>
      <c r="AO4" s="26" t="n">
        <v>0.125</v>
      </c>
      <c r="AP4" s="26" t="n">
        <v>0.125</v>
      </c>
      <c r="AQ4" s="26" t="n">
        <v>0.125</v>
      </c>
      <c r="AR4" s="26" t="n">
        <v>0.125</v>
      </c>
      <c r="AS4" s="26" t="n">
        <v>0.125</v>
      </c>
      <c r="AT4" s="26" t="n">
        <v>0.125</v>
      </c>
      <c r="AU4" s="25" t="n">
        <v>0.0403620458187173</v>
      </c>
      <c r="AV4" s="25" t="n">
        <v>0.0403620458187173</v>
      </c>
      <c r="AW4" s="25" t="n">
        <v>0.0403620458187173</v>
      </c>
      <c r="AX4" s="25" t="n">
        <v>0.0403620458187173</v>
      </c>
      <c r="AY4" s="25" t="n">
        <v>0.0403620458187173</v>
      </c>
      <c r="AZ4" s="25" t="n">
        <v>0.0403620458187173</v>
      </c>
      <c r="BA4" s="25" t="n">
        <v>0.0403620458187173</v>
      </c>
      <c r="BB4" s="25" t="n">
        <v>0.0403620458187173</v>
      </c>
      <c r="BC4" s="25" t="n">
        <v>0.0403620458187173</v>
      </c>
      <c r="BD4" s="25" t="n">
        <v>0.0403620458187173</v>
      </c>
      <c r="BE4" s="25" t="n">
        <v>0.0403620458187173</v>
      </c>
      <c r="BF4" s="25" t="n">
        <v>0.0403620458187173</v>
      </c>
      <c r="BG4" s="25" t="n">
        <v>0.0403620458187173</v>
      </c>
      <c r="BH4" s="25" t="n">
        <v>0.0403620458187173</v>
      </c>
      <c r="BI4" s="25" t="n">
        <v>0.0403620458187173</v>
      </c>
      <c r="BJ4" s="25" t="n">
        <v>0.0403620458187173</v>
      </c>
      <c r="BK4" s="25" t="n">
        <v>0.0403620458187173</v>
      </c>
    </row>
    <row r="5" customFormat="false" ht="12.75" hidden="false" customHeight="false" outlineLevel="0" collapsed="false">
      <c r="A5" s="24" t="n">
        <f aca="false">A4+1/24</f>
        <v>43528.125</v>
      </c>
      <c r="B5" s="25" t="n">
        <v>0.0471179247325798</v>
      </c>
      <c r="C5" s="25" t="n">
        <v>0.0471179247325798</v>
      </c>
      <c r="D5" s="25" t="n">
        <v>0.0471179247325798</v>
      </c>
      <c r="E5" s="25" t="n">
        <v>0.0471179247325798</v>
      </c>
      <c r="F5" s="25" t="n">
        <v>0.0471179247325798</v>
      </c>
      <c r="G5" s="25" t="n">
        <v>0.0471179247325798</v>
      </c>
      <c r="H5" s="25" t="n">
        <v>0.0471179247325798</v>
      </c>
      <c r="I5" s="25" t="n">
        <v>0.0471179247325798</v>
      </c>
      <c r="J5" s="25" t="n">
        <v>0.0471179247325798</v>
      </c>
      <c r="K5" s="25" t="n">
        <v>0.0471179247325798</v>
      </c>
      <c r="L5" s="25" t="n">
        <v>0.0471179247325798</v>
      </c>
      <c r="M5" s="25" t="n">
        <v>0.0471179247325798</v>
      </c>
      <c r="N5" s="1" t="n">
        <v>0.110339190845934</v>
      </c>
      <c r="O5" s="1" t="n">
        <v>0.110339190845934</v>
      </c>
      <c r="P5" s="1" t="n">
        <v>0.110339190845934</v>
      </c>
      <c r="Q5" s="1" t="n">
        <v>0.110339190845934</v>
      </c>
      <c r="R5" s="1" t="n">
        <v>0.110339190845934</v>
      </c>
      <c r="S5" s="1" t="n">
        <v>0.110339190845934</v>
      </c>
      <c r="T5" s="1" t="n">
        <v>0.110339190845934</v>
      </c>
      <c r="U5" s="1" t="n">
        <v>0.110339190845934</v>
      </c>
      <c r="V5" s="26" t="n">
        <v>0.375</v>
      </c>
      <c r="W5" s="26" t="n">
        <v>0.375</v>
      </c>
      <c r="X5" s="26" t="n">
        <v>0.375</v>
      </c>
      <c r="Y5" s="26" t="n">
        <v>0.375</v>
      </c>
      <c r="Z5" s="26" t="n">
        <v>0.375</v>
      </c>
      <c r="AA5" s="26" t="n">
        <v>0.375</v>
      </c>
      <c r="AB5" s="26" t="n">
        <v>0.375</v>
      </c>
      <c r="AC5" s="26" t="n">
        <v>0.375</v>
      </c>
      <c r="AD5" s="26" t="n">
        <v>0.375</v>
      </c>
      <c r="AE5" s="26" t="n">
        <v>0.375</v>
      </c>
      <c r="AF5" s="26" t="n">
        <v>0.375</v>
      </c>
      <c r="AG5" s="26" t="n">
        <v>0.375</v>
      </c>
      <c r="AH5" s="26" t="n">
        <v>0.375</v>
      </c>
      <c r="AI5" s="26" t="n">
        <v>0.375</v>
      </c>
      <c r="AJ5" s="26" t="n">
        <v>0.375</v>
      </c>
      <c r="AK5" s="26" t="n">
        <v>0.375</v>
      </c>
      <c r="AL5" s="26" t="n">
        <v>0.375</v>
      </c>
      <c r="AM5" s="26" t="n">
        <v>0.375</v>
      </c>
      <c r="AN5" s="26" t="n">
        <v>0.375</v>
      </c>
      <c r="AO5" s="26" t="n">
        <v>0.375</v>
      </c>
      <c r="AP5" s="26" t="n">
        <v>0.375</v>
      </c>
      <c r="AQ5" s="26" t="n">
        <v>0.375</v>
      </c>
      <c r="AR5" s="26" t="n">
        <v>0.375</v>
      </c>
      <c r="AS5" s="26" t="n">
        <v>0.375</v>
      </c>
      <c r="AT5" s="26" t="n">
        <v>0.375</v>
      </c>
      <c r="AU5" s="25" t="n">
        <v>0.0471179247325798</v>
      </c>
      <c r="AV5" s="25" t="n">
        <v>0.0471179247325798</v>
      </c>
      <c r="AW5" s="25" t="n">
        <v>0.0471179247325798</v>
      </c>
      <c r="AX5" s="25" t="n">
        <v>0.0471179247325798</v>
      </c>
      <c r="AY5" s="25" t="n">
        <v>0.0471179247325798</v>
      </c>
      <c r="AZ5" s="25" t="n">
        <v>0.0471179247325798</v>
      </c>
      <c r="BA5" s="25" t="n">
        <v>0.0471179247325798</v>
      </c>
      <c r="BB5" s="25" t="n">
        <v>0.0471179247325798</v>
      </c>
      <c r="BC5" s="25" t="n">
        <v>0.0471179247325798</v>
      </c>
      <c r="BD5" s="25" t="n">
        <v>0.0471179247325798</v>
      </c>
      <c r="BE5" s="25" t="n">
        <v>0.0471179247325798</v>
      </c>
      <c r="BF5" s="25" t="n">
        <v>0.0471179247325798</v>
      </c>
      <c r="BG5" s="25" t="n">
        <v>0.0471179247325798</v>
      </c>
      <c r="BH5" s="25" t="n">
        <v>0.0471179247325798</v>
      </c>
      <c r="BI5" s="25" t="n">
        <v>0.0471179247325798</v>
      </c>
      <c r="BJ5" s="25" t="n">
        <v>0.0471179247325798</v>
      </c>
      <c r="BK5" s="25" t="n">
        <v>0.0471179247325798</v>
      </c>
    </row>
    <row r="6" customFormat="false" ht="12.75" hidden="false" customHeight="false" outlineLevel="0" collapsed="false">
      <c r="A6" s="24" t="n">
        <f aca="false">A5+1/24</f>
        <v>43528.1666666667</v>
      </c>
      <c r="B6" s="25" t="n">
        <v>0.118747563985969</v>
      </c>
      <c r="C6" s="25" t="n">
        <v>0.118747563985969</v>
      </c>
      <c r="D6" s="25" t="n">
        <v>0.118747563985969</v>
      </c>
      <c r="E6" s="25" t="n">
        <v>0.118747563985969</v>
      </c>
      <c r="F6" s="25" t="n">
        <v>0.118747563985969</v>
      </c>
      <c r="G6" s="25" t="n">
        <v>0.118747563985969</v>
      </c>
      <c r="H6" s="25" t="n">
        <v>0.118747563985969</v>
      </c>
      <c r="I6" s="25" t="n">
        <v>0.118747563985969</v>
      </c>
      <c r="J6" s="25" t="n">
        <v>0.118747563985969</v>
      </c>
      <c r="K6" s="25" t="n">
        <v>0.118747563985969</v>
      </c>
      <c r="L6" s="25" t="n">
        <v>0.118747563985969</v>
      </c>
      <c r="M6" s="25" t="n">
        <v>0.118747563985969</v>
      </c>
      <c r="N6" s="1" t="n">
        <v>0.198610543522681</v>
      </c>
      <c r="O6" s="1" t="n">
        <v>0.198610543522681</v>
      </c>
      <c r="P6" s="1" t="n">
        <v>0.198610543522681</v>
      </c>
      <c r="Q6" s="1" t="n">
        <v>0.198610543522681</v>
      </c>
      <c r="R6" s="1" t="n">
        <v>0.198610543522681</v>
      </c>
      <c r="S6" s="1" t="n">
        <v>0.198610543522681</v>
      </c>
      <c r="T6" s="1" t="n">
        <v>0.198610543522681</v>
      </c>
      <c r="U6" s="1" t="n">
        <v>0.198610543522681</v>
      </c>
      <c r="V6" s="26" t="n">
        <v>0.75</v>
      </c>
      <c r="W6" s="26" t="n">
        <v>0.75</v>
      </c>
      <c r="X6" s="26" t="n">
        <v>0.75</v>
      </c>
      <c r="Y6" s="26" t="n">
        <v>0.75</v>
      </c>
      <c r="Z6" s="26" t="n">
        <v>0.75</v>
      </c>
      <c r="AA6" s="26" t="n">
        <v>0.75</v>
      </c>
      <c r="AB6" s="26" t="n">
        <v>0.75</v>
      </c>
      <c r="AC6" s="26" t="n">
        <v>0.75</v>
      </c>
      <c r="AD6" s="26" t="n">
        <v>0.75</v>
      </c>
      <c r="AE6" s="26" t="n">
        <v>0.75</v>
      </c>
      <c r="AF6" s="26" t="n">
        <v>0.75</v>
      </c>
      <c r="AG6" s="26" t="n">
        <v>0.75</v>
      </c>
      <c r="AH6" s="26" t="n">
        <v>0.75</v>
      </c>
      <c r="AI6" s="26" t="n">
        <v>0.75</v>
      </c>
      <c r="AJ6" s="26" t="n">
        <v>0.75</v>
      </c>
      <c r="AK6" s="26" t="n">
        <v>0.75</v>
      </c>
      <c r="AL6" s="26" t="n">
        <v>0.75</v>
      </c>
      <c r="AM6" s="26" t="n">
        <v>0.75</v>
      </c>
      <c r="AN6" s="26" t="n">
        <v>0.75</v>
      </c>
      <c r="AO6" s="26" t="n">
        <v>0.75</v>
      </c>
      <c r="AP6" s="26" t="n">
        <v>0.75</v>
      </c>
      <c r="AQ6" s="26" t="n">
        <v>0.75</v>
      </c>
      <c r="AR6" s="26" t="n">
        <v>0.75</v>
      </c>
      <c r="AS6" s="26" t="n">
        <v>0.75</v>
      </c>
      <c r="AT6" s="26" t="n">
        <v>0.75</v>
      </c>
      <c r="AU6" s="25" t="n">
        <v>0.118747563985969</v>
      </c>
      <c r="AV6" s="25" t="n">
        <v>0.118747563985969</v>
      </c>
      <c r="AW6" s="25" t="n">
        <v>0.118747563985969</v>
      </c>
      <c r="AX6" s="25" t="n">
        <v>0.118747563985969</v>
      </c>
      <c r="AY6" s="25" t="n">
        <v>0.118747563985969</v>
      </c>
      <c r="AZ6" s="25" t="n">
        <v>0.118747563985969</v>
      </c>
      <c r="BA6" s="25" t="n">
        <v>0.118747563985969</v>
      </c>
      <c r="BB6" s="25" t="n">
        <v>0.118747563985969</v>
      </c>
      <c r="BC6" s="25" t="n">
        <v>0.118747563985969</v>
      </c>
      <c r="BD6" s="25" t="n">
        <v>0.118747563985969</v>
      </c>
      <c r="BE6" s="25" t="n">
        <v>0.118747563985969</v>
      </c>
      <c r="BF6" s="25" t="n">
        <v>0.118747563985969</v>
      </c>
      <c r="BG6" s="25" t="n">
        <v>0.118747563985969</v>
      </c>
      <c r="BH6" s="25" t="n">
        <v>0.118747563985969</v>
      </c>
      <c r="BI6" s="25" t="n">
        <v>0.118747563985969</v>
      </c>
      <c r="BJ6" s="25" t="n">
        <v>0.118747563985969</v>
      </c>
      <c r="BK6" s="25" t="n">
        <v>0.118747563985969</v>
      </c>
    </row>
    <row r="7" customFormat="false" ht="12.75" hidden="false" customHeight="false" outlineLevel="0" collapsed="false">
      <c r="A7" s="24" t="n">
        <f aca="false">A6+1/24</f>
        <v>43528.2083333333</v>
      </c>
      <c r="B7" s="25" t="n">
        <v>0.427482568966264</v>
      </c>
      <c r="C7" s="25" t="n">
        <v>0.427482568966264</v>
      </c>
      <c r="D7" s="25" t="n">
        <v>0.427482568966264</v>
      </c>
      <c r="E7" s="25" t="n">
        <v>0.427482568966264</v>
      </c>
      <c r="F7" s="25" t="n">
        <v>0.427482568966264</v>
      </c>
      <c r="G7" s="25" t="n">
        <v>0.427482568966264</v>
      </c>
      <c r="H7" s="25" t="n">
        <v>0.427482568966264</v>
      </c>
      <c r="I7" s="25" t="n">
        <v>0.427482568966264</v>
      </c>
      <c r="J7" s="25" t="n">
        <v>0.427482568966264</v>
      </c>
      <c r="K7" s="25" t="n">
        <v>0.427482568966264</v>
      </c>
      <c r="L7" s="25" t="n">
        <v>0.427482568966264</v>
      </c>
      <c r="M7" s="25" t="n">
        <v>0.427482568966264</v>
      </c>
      <c r="N7" s="1" t="n">
        <v>0.457703310175725</v>
      </c>
      <c r="O7" s="1" t="n">
        <v>0.457703310175725</v>
      </c>
      <c r="P7" s="1" t="n">
        <v>0.457703310175725</v>
      </c>
      <c r="Q7" s="1" t="n">
        <v>0.457703310175725</v>
      </c>
      <c r="R7" s="1" t="n">
        <v>0.457703310175725</v>
      </c>
      <c r="S7" s="1" t="n">
        <v>0.457703310175725</v>
      </c>
      <c r="T7" s="1" t="n">
        <v>0.457703310175725</v>
      </c>
      <c r="U7" s="1" t="n">
        <v>0.457703310175725</v>
      </c>
      <c r="V7" s="26" t="n">
        <v>2</v>
      </c>
      <c r="W7" s="26" t="n">
        <v>2</v>
      </c>
      <c r="X7" s="26" t="n">
        <v>2</v>
      </c>
      <c r="Y7" s="26" t="n">
        <v>2</v>
      </c>
      <c r="Z7" s="26" t="n">
        <v>2</v>
      </c>
      <c r="AA7" s="26" t="n">
        <v>2</v>
      </c>
      <c r="AB7" s="26" t="n">
        <v>2</v>
      </c>
      <c r="AC7" s="26" t="n">
        <v>2</v>
      </c>
      <c r="AD7" s="26" t="n">
        <v>2</v>
      </c>
      <c r="AE7" s="26" t="n">
        <v>2</v>
      </c>
      <c r="AF7" s="26" t="n">
        <v>2</v>
      </c>
      <c r="AG7" s="26" t="n">
        <v>2</v>
      </c>
      <c r="AH7" s="26" t="n">
        <v>2</v>
      </c>
      <c r="AI7" s="26" t="n">
        <v>2</v>
      </c>
      <c r="AJ7" s="26" t="n">
        <v>2</v>
      </c>
      <c r="AK7" s="26" t="n">
        <v>2</v>
      </c>
      <c r="AL7" s="26" t="n">
        <v>2</v>
      </c>
      <c r="AM7" s="26" t="n">
        <v>2</v>
      </c>
      <c r="AN7" s="26" t="n">
        <v>2</v>
      </c>
      <c r="AO7" s="26" t="n">
        <v>2</v>
      </c>
      <c r="AP7" s="26" t="n">
        <v>2</v>
      </c>
      <c r="AQ7" s="26" t="n">
        <v>2</v>
      </c>
      <c r="AR7" s="26" t="n">
        <v>2</v>
      </c>
      <c r="AS7" s="26" t="n">
        <v>2</v>
      </c>
      <c r="AT7" s="26" t="n">
        <v>2</v>
      </c>
      <c r="AU7" s="25" t="n">
        <v>0.427482568966264</v>
      </c>
      <c r="AV7" s="25" t="n">
        <v>0.427482568966264</v>
      </c>
      <c r="AW7" s="25" t="n">
        <v>0.427482568966264</v>
      </c>
      <c r="AX7" s="25" t="n">
        <v>0.427482568966264</v>
      </c>
      <c r="AY7" s="25" t="n">
        <v>0.427482568966264</v>
      </c>
      <c r="AZ7" s="25" t="n">
        <v>0.427482568966264</v>
      </c>
      <c r="BA7" s="25" t="n">
        <v>0.427482568966264</v>
      </c>
      <c r="BB7" s="25" t="n">
        <v>0.427482568966264</v>
      </c>
      <c r="BC7" s="25" t="n">
        <v>0.427482568966264</v>
      </c>
      <c r="BD7" s="25" t="n">
        <v>0.427482568966264</v>
      </c>
      <c r="BE7" s="25" t="n">
        <v>0.427482568966264</v>
      </c>
      <c r="BF7" s="25" t="n">
        <v>0.427482568966264</v>
      </c>
      <c r="BG7" s="25" t="n">
        <v>0.427482568966264</v>
      </c>
      <c r="BH7" s="25" t="n">
        <v>0.427482568966264</v>
      </c>
      <c r="BI7" s="25" t="n">
        <v>0.427482568966264</v>
      </c>
      <c r="BJ7" s="25" t="n">
        <v>0.427482568966264</v>
      </c>
      <c r="BK7" s="25" t="n">
        <v>0.427482568966264</v>
      </c>
    </row>
    <row r="8" customFormat="false" ht="12.75" hidden="false" customHeight="false" outlineLevel="0" collapsed="false">
      <c r="A8" s="24" t="n">
        <f aca="false">A7+1/24</f>
        <v>43528.25</v>
      </c>
      <c r="B8" s="25" t="n">
        <v>0.874280022519596</v>
      </c>
      <c r="C8" s="25" t="n">
        <v>0.874280022519596</v>
      </c>
      <c r="D8" s="25" t="n">
        <v>0.874280022519596</v>
      </c>
      <c r="E8" s="25" t="n">
        <v>0.874280022519596</v>
      </c>
      <c r="F8" s="25" t="n">
        <v>0.874280022519596</v>
      </c>
      <c r="G8" s="25" t="n">
        <v>0.874280022519596</v>
      </c>
      <c r="H8" s="25" t="n">
        <v>0.874280022519596</v>
      </c>
      <c r="I8" s="25" t="n">
        <v>0.874280022519596</v>
      </c>
      <c r="J8" s="25" t="n">
        <v>0.874280022519596</v>
      </c>
      <c r="K8" s="25" t="n">
        <v>0.874280022519596</v>
      </c>
      <c r="L8" s="25" t="n">
        <v>0.874280022519596</v>
      </c>
      <c r="M8" s="25" t="n">
        <v>0.874280022519596</v>
      </c>
      <c r="N8" s="1" t="n">
        <v>0.847568451164691</v>
      </c>
      <c r="O8" s="1" t="n">
        <v>0.847568451164691</v>
      </c>
      <c r="P8" s="1" t="n">
        <v>0.847568451164691</v>
      </c>
      <c r="Q8" s="1" t="n">
        <v>0.847568451164691</v>
      </c>
      <c r="R8" s="1" t="n">
        <v>0.847568451164691</v>
      </c>
      <c r="S8" s="1" t="n">
        <v>0.847568451164691</v>
      </c>
      <c r="T8" s="1" t="n">
        <v>0.847568451164691</v>
      </c>
      <c r="U8" s="1" t="n">
        <v>0.847568451164691</v>
      </c>
      <c r="V8" s="26" t="n">
        <v>1.5</v>
      </c>
      <c r="W8" s="26" t="n">
        <v>1.5</v>
      </c>
      <c r="X8" s="26" t="n">
        <v>1.5</v>
      </c>
      <c r="Y8" s="26" t="n">
        <v>1.5</v>
      </c>
      <c r="Z8" s="26" t="n">
        <v>1.5</v>
      </c>
      <c r="AA8" s="26" t="n">
        <v>1.5</v>
      </c>
      <c r="AB8" s="26" t="n">
        <v>1.5</v>
      </c>
      <c r="AC8" s="26" t="n">
        <v>1.5</v>
      </c>
      <c r="AD8" s="26" t="n">
        <v>1.5</v>
      </c>
      <c r="AE8" s="26" t="n">
        <v>1.5</v>
      </c>
      <c r="AF8" s="26" t="n">
        <v>1.5</v>
      </c>
      <c r="AG8" s="26" t="n">
        <v>1.5</v>
      </c>
      <c r="AH8" s="26" t="n">
        <v>1.5</v>
      </c>
      <c r="AI8" s="26" t="n">
        <v>1.5</v>
      </c>
      <c r="AJ8" s="26" t="n">
        <v>1.5</v>
      </c>
      <c r="AK8" s="26" t="n">
        <v>1.5</v>
      </c>
      <c r="AL8" s="26" t="n">
        <v>1.5</v>
      </c>
      <c r="AM8" s="26" t="n">
        <v>1.5</v>
      </c>
      <c r="AN8" s="26" t="n">
        <v>1.5</v>
      </c>
      <c r="AO8" s="26" t="n">
        <v>1.5</v>
      </c>
      <c r="AP8" s="26" t="n">
        <v>1.5</v>
      </c>
      <c r="AQ8" s="26" t="n">
        <v>1.5</v>
      </c>
      <c r="AR8" s="26" t="n">
        <v>1.5</v>
      </c>
      <c r="AS8" s="26" t="n">
        <v>1.5</v>
      </c>
      <c r="AT8" s="26" t="n">
        <v>1.5</v>
      </c>
      <c r="AU8" s="25" t="n">
        <v>0.874280022519596</v>
      </c>
      <c r="AV8" s="25" t="n">
        <v>0.874280022519596</v>
      </c>
      <c r="AW8" s="25" t="n">
        <v>0.874280022519596</v>
      </c>
      <c r="AX8" s="25" t="n">
        <v>0.874280022519596</v>
      </c>
      <c r="AY8" s="25" t="n">
        <v>0.874280022519596</v>
      </c>
      <c r="AZ8" s="25" t="n">
        <v>0.874280022519596</v>
      </c>
      <c r="BA8" s="25" t="n">
        <v>0.874280022519596</v>
      </c>
      <c r="BB8" s="25" t="n">
        <v>0.874280022519596</v>
      </c>
      <c r="BC8" s="25" t="n">
        <v>0.874280022519596</v>
      </c>
      <c r="BD8" s="25" t="n">
        <v>0.874280022519596</v>
      </c>
      <c r="BE8" s="25" t="n">
        <v>0.874280022519596</v>
      </c>
      <c r="BF8" s="25" t="n">
        <v>0.874280022519596</v>
      </c>
      <c r="BG8" s="25" t="n">
        <v>0.874280022519596</v>
      </c>
      <c r="BH8" s="25" t="n">
        <v>0.874280022519596</v>
      </c>
      <c r="BI8" s="25" t="n">
        <v>0.874280022519596</v>
      </c>
      <c r="BJ8" s="25" t="n">
        <v>0.874280022519596</v>
      </c>
      <c r="BK8" s="25" t="n">
        <v>0.874280022519596</v>
      </c>
    </row>
    <row r="9" customFormat="false" ht="12.75" hidden="false" customHeight="false" outlineLevel="0" collapsed="false">
      <c r="A9" s="24" t="n">
        <f aca="false">A8+1/24</f>
        <v>43528.2916666667</v>
      </c>
      <c r="B9" s="25" t="n">
        <v>1.01719284569746</v>
      </c>
      <c r="C9" s="25" t="n">
        <v>1.01719284569746</v>
      </c>
      <c r="D9" s="25" t="n">
        <v>1.01719284569746</v>
      </c>
      <c r="E9" s="25" t="n">
        <v>1.01719284569746</v>
      </c>
      <c r="F9" s="25" t="n">
        <v>1.01719284569746</v>
      </c>
      <c r="G9" s="25" t="n">
        <v>1.01719284569746</v>
      </c>
      <c r="H9" s="25" t="n">
        <v>1.01719284569746</v>
      </c>
      <c r="I9" s="25" t="n">
        <v>1.01719284569746</v>
      </c>
      <c r="J9" s="25" t="n">
        <v>1.01719284569746</v>
      </c>
      <c r="K9" s="25" t="n">
        <v>1.01719284569746</v>
      </c>
      <c r="L9" s="25" t="n">
        <v>1.01719284569746</v>
      </c>
      <c r="M9" s="25" t="n">
        <v>1.01719284569746</v>
      </c>
      <c r="N9" s="1" t="n">
        <v>0.929301185124642</v>
      </c>
      <c r="O9" s="1" t="n">
        <v>0.929301185124642</v>
      </c>
      <c r="P9" s="1" t="n">
        <v>0.929301185124642</v>
      </c>
      <c r="Q9" s="1" t="n">
        <v>0.929301185124642</v>
      </c>
      <c r="R9" s="1" t="n">
        <v>0.929301185124642</v>
      </c>
      <c r="S9" s="1" t="n">
        <v>0.929301185124642</v>
      </c>
      <c r="T9" s="1" t="n">
        <v>0.929301185124642</v>
      </c>
      <c r="U9" s="1" t="n">
        <v>0.929301185124642</v>
      </c>
      <c r="V9" s="26" t="n">
        <v>2.375</v>
      </c>
      <c r="W9" s="26" t="n">
        <v>2.375</v>
      </c>
      <c r="X9" s="26" t="n">
        <v>2.375</v>
      </c>
      <c r="Y9" s="26" t="n">
        <v>2.375</v>
      </c>
      <c r="Z9" s="26" t="n">
        <v>2.375</v>
      </c>
      <c r="AA9" s="26" t="n">
        <v>2.375</v>
      </c>
      <c r="AB9" s="26" t="n">
        <v>2.375</v>
      </c>
      <c r="AC9" s="26" t="n">
        <v>2.375</v>
      </c>
      <c r="AD9" s="26" t="n">
        <v>2.375</v>
      </c>
      <c r="AE9" s="26" t="n">
        <v>2.375</v>
      </c>
      <c r="AF9" s="26" t="n">
        <v>2.375</v>
      </c>
      <c r="AG9" s="26" t="n">
        <v>2.375</v>
      </c>
      <c r="AH9" s="26" t="n">
        <v>2.375</v>
      </c>
      <c r="AI9" s="26" t="n">
        <v>2.375</v>
      </c>
      <c r="AJ9" s="26" t="n">
        <v>2.375</v>
      </c>
      <c r="AK9" s="26" t="n">
        <v>2.375</v>
      </c>
      <c r="AL9" s="26" t="n">
        <v>2.375</v>
      </c>
      <c r="AM9" s="26" t="n">
        <v>2.375</v>
      </c>
      <c r="AN9" s="26" t="n">
        <v>2.375</v>
      </c>
      <c r="AO9" s="26" t="n">
        <v>2.375</v>
      </c>
      <c r="AP9" s="26" t="n">
        <v>2.375</v>
      </c>
      <c r="AQ9" s="26" t="n">
        <v>2.375</v>
      </c>
      <c r="AR9" s="26" t="n">
        <v>2.375</v>
      </c>
      <c r="AS9" s="26" t="n">
        <v>2.375</v>
      </c>
      <c r="AT9" s="26" t="n">
        <v>2.375</v>
      </c>
      <c r="AU9" s="25" t="n">
        <v>1.01719284569746</v>
      </c>
      <c r="AV9" s="25" t="n">
        <v>1.01719284569746</v>
      </c>
      <c r="AW9" s="25" t="n">
        <v>1.01719284569746</v>
      </c>
      <c r="AX9" s="25" t="n">
        <v>1.01719284569746</v>
      </c>
      <c r="AY9" s="25" t="n">
        <v>1.01719284569746</v>
      </c>
      <c r="AZ9" s="25" t="n">
        <v>1.01719284569746</v>
      </c>
      <c r="BA9" s="25" t="n">
        <v>1.01719284569746</v>
      </c>
      <c r="BB9" s="25" t="n">
        <v>1.01719284569746</v>
      </c>
      <c r="BC9" s="25" t="n">
        <v>1.01719284569746</v>
      </c>
      <c r="BD9" s="25" t="n">
        <v>1.01719284569746</v>
      </c>
      <c r="BE9" s="25" t="n">
        <v>1.01719284569746</v>
      </c>
      <c r="BF9" s="25" t="n">
        <v>1.01719284569746</v>
      </c>
      <c r="BG9" s="25" t="n">
        <v>1.01719284569746</v>
      </c>
      <c r="BH9" s="25" t="n">
        <v>1.01719284569746</v>
      </c>
      <c r="BI9" s="25" t="n">
        <v>1.01719284569746</v>
      </c>
      <c r="BJ9" s="25" t="n">
        <v>1.01719284569746</v>
      </c>
      <c r="BK9" s="25" t="n">
        <v>1.01719284569746</v>
      </c>
    </row>
    <row r="10" customFormat="false" ht="12.75" hidden="false" customHeight="false" outlineLevel="0" collapsed="false">
      <c r="A10" s="24" t="n">
        <f aca="false">A9+1/24</f>
        <v>43528.3333333333</v>
      </c>
      <c r="B10" s="23" t="n">
        <v>1</v>
      </c>
      <c r="C10" s="23" t="n">
        <v>1</v>
      </c>
      <c r="D10" s="23" t="n">
        <v>1</v>
      </c>
      <c r="E10" s="23" t="n">
        <v>1</v>
      </c>
      <c r="F10" s="23" t="n">
        <v>1</v>
      </c>
      <c r="G10" s="23" t="n">
        <v>1</v>
      </c>
      <c r="H10" s="23" t="n">
        <v>1</v>
      </c>
      <c r="I10" s="23" t="n">
        <v>1</v>
      </c>
      <c r="J10" s="23" t="n">
        <v>1</v>
      </c>
      <c r="K10" s="23" t="n">
        <v>1</v>
      </c>
      <c r="L10" s="23" t="n">
        <v>1</v>
      </c>
      <c r="M10" s="23" t="n">
        <v>1</v>
      </c>
      <c r="N10" s="2" t="n">
        <v>1</v>
      </c>
      <c r="O10" s="2" t="n">
        <v>1</v>
      </c>
      <c r="P10" s="2" t="n">
        <v>1</v>
      </c>
      <c r="Q10" s="2" t="n">
        <v>1</v>
      </c>
      <c r="R10" s="2" t="n">
        <v>1</v>
      </c>
      <c r="S10" s="2" t="n">
        <v>1</v>
      </c>
      <c r="T10" s="2" t="n">
        <v>1</v>
      </c>
      <c r="U10" s="2" t="n">
        <v>1</v>
      </c>
      <c r="V10" s="22" t="n">
        <v>1</v>
      </c>
      <c r="W10" s="22" t="n">
        <v>1</v>
      </c>
      <c r="X10" s="22" t="n">
        <v>1</v>
      </c>
      <c r="Y10" s="22" t="n">
        <v>1</v>
      </c>
      <c r="Z10" s="22" t="n">
        <v>1</v>
      </c>
      <c r="AA10" s="22" t="n">
        <v>1</v>
      </c>
      <c r="AB10" s="22" t="n">
        <v>1</v>
      </c>
      <c r="AC10" s="22" t="n">
        <v>1</v>
      </c>
      <c r="AD10" s="22" t="n">
        <v>1</v>
      </c>
      <c r="AE10" s="22" t="n">
        <v>1</v>
      </c>
      <c r="AF10" s="22" t="n">
        <v>1</v>
      </c>
      <c r="AG10" s="22" t="n">
        <v>1</v>
      </c>
      <c r="AH10" s="22" t="n">
        <v>1</v>
      </c>
      <c r="AI10" s="22" t="n">
        <v>1</v>
      </c>
      <c r="AJ10" s="22" t="n">
        <v>1</v>
      </c>
      <c r="AK10" s="22" t="n">
        <v>1</v>
      </c>
      <c r="AL10" s="22" t="n">
        <v>1</v>
      </c>
      <c r="AM10" s="22" t="n">
        <v>1</v>
      </c>
      <c r="AN10" s="22" t="n">
        <v>1</v>
      </c>
      <c r="AO10" s="22" t="n">
        <v>1</v>
      </c>
      <c r="AP10" s="22" t="n">
        <v>1</v>
      </c>
      <c r="AQ10" s="22" t="n">
        <v>1</v>
      </c>
      <c r="AR10" s="22" t="n">
        <v>1</v>
      </c>
      <c r="AS10" s="22" t="n">
        <v>1</v>
      </c>
      <c r="AT10" s="22" t="n">
        <v>1</v>
      </c>
      <c r="AU10" s="23" t="n">
        <v>1</v>
      </c>
      <c r="AV10" s="23" t="n">
        <v>1</v>
      </c>
      <c r="AW10" s="23" t="n">
        <v>1</v>
      </c>
      <c r="AX10" s="23" t="n">
        <v>1</v>
      </c>
      <c r="AY10" s="23" t="n">
        <v>1</v>
      </c>
      <c r="AZ10" s="23" t="n">
        <v>1</v>
      </c>
      <c r="BA10" s="23" t="n">
        <v>1</v>
      </c>
      <c r="BB10" s="23" t="n">
        <v>1</v>
      </c>
      <c r="BC10" s="23" t="n">
        <v>1</v>
      </c>
      <c r="BD10" s="23" t="n">
        <v>1</v>
      </c>
      <c r="BE10" s="23" t="n">
        <v>1</v>
      </c>
      <c r="BF10" s="23" t="n">
        <v>1</v>
      </c>
      <c r="BG10" s="23" t="n">
        <v>1</v>
      </c>
      <c r="BH10" s="23" t="n">
        <v>1</v>
      </c>
      <c r="BI10" s="23" t="n">
        <v>1</v>
      </c>
      <c r="BJ10" s="23" t="n">
        <v>1</v>
      </c>
      <c r="BK10" s="23" t="n">
        <v>1</v>
      </c>
    </row>
    <row r="11" customFormat="false" ht="12.75" hidden="false" customHeight="false" outlineLevel="0" collapsed="false">
      <c r="A11" s="24" t="n">
        <f aca="false">A10+1/24</f>
        <v>43528.375</v>
      </c>
      <c r="B11" s="25" t="n">
        <v>0.828504612186566</v>
      </c>
      <c r="C11" s="25" t="n">
        <v>0.828504612186566</v>
      </c>
      <c r="D11" s="25" t="n">
        <v>0.828504612186566</v>
      </c>
      <c r="E11" s="25" t="n">
        <v>0.828504612186566</v>
      </c>
      <c r="F11" s="25" t="n">
        <v>0.828504612186566</v>
      </c>
      <c r="G11" s="25" t="n">
        <v>0.828504612186566</v>
      </c>
      <c r="H11" s="25" t="n">
        <v>0.828504612186566</v>
      </c>
      <c r="I11" s="25" t="n">
        <v>0.828504612186566</v>
      </c>
      <c r="J11" s="25" t="n">
        <v>0.828504612186566</v>
      </c>
      <c r="K11" s="25" t="n">
        <v>0.828504612186566</v>
      </c>
      <c r="L11" s="25" t="n">
        <v>0.828504612186566</v>
      </c>
      <c r="M11" s="25" t="n">
        <v>0.828504612186566</v>
      </c>
      <c r="N11" s="1" t="n">
        <v>1.15038823048631</v>
      </c>
      <c r="O11" s="1" t="n">
        <v>1.15038823048631</v>
      </c>
      <c r="P11" s="1" t="n">
        <v>1.15038823048631</v>
      </c>
      <c r="Q11" s="1" t="n">
        <v>1.15038823048631</v>
      </c>
      <c r="R11" s="1" t="n">
        <v>1.15038823048631</v>
      </c>
      <c r="S11" s="1" t="n">
        <v>1.15038823048631</v>
      </c>
      <c r="T11" s="1" t="n">
        <v>1.15038823048631</v>
      </c>
      <c r="U11" s="1" t="n">
        <v>1.15038823048631</v>
      </c>
      <c r="V11" s="26" t="n">
        <v>0.5</v>
      </c>
      <c r="W11" s="26" t="n">
        <v>0.5</v>
      </c>
      <c r="X11" s="26" t="n">
        <v>0.5</v>
      </c>
      <c r="Y11" s="26" t="n">
        <v>0.5</v>
      </c>
      <c r="Z11" s="26" t="n">
        <v>0.5</v>
      </c>
      <c r="AA11" s="26" t="n">
        <v>0.5</v>
      </c>
      <c r="AB11" s="26" t="n">
        <v>0.5</v>
      </c>
      <c r="AC11" s="26" t="n">
        <v>0.5</v>
      </c>
      <c r="AD11" s="26" t="n">
        <v>0.5</v>
      </c>
      <c r="AE11" s="26" t="n">
        <v>0.5</v>
      </c>
      <c r="AF11" s="26" t="n">
        <v>0.5</v>
      </c>
      <c r="AG11" s="26" t="n">
        <v>0.5</v>
      </c>
      <c r="AH11" s="26" t="n">
        <v>0.5</v>
      </c>
      <c r="AI11" s="26" t="n">
        <v>0.5</v>
      </c>
      <c r="AJ11" s="26" t="n">
        <v>0.5</v>
      </c>
      <c r="AK11" s="26" t="n">
        <v>0.5</v>
      </c>
      <c r="AL11" s="26" t="n">
        <v>0.5</v>
      </c>
      <c r="AM11" s="26" t="n">
        <v>0.5</v>
      </c>
      <c r="AN11" s="26" t="n">
        <v>0.5</v>
      </c>
      <c r="AO11" s="26" t="n">
        <v>0.5</v>
      </c>
      <c r="AP11" s="26" t="n">
        <v>0.5</v>
      </c>
      <c r="AQ11" s="26" t="n">
        <v>0.5</v>
      </c>
      <c r="AR11" s="26" t="n">
        <v>0.5</v>
      </c>
      <c r="AS11" s="26" t="n">
        <v>0.5</v>
      </c>
      <c r="AT11" s="26" t="n">
        <v>0.5</v>
      </c>
      <c r="AU11" s="25" t="n">
        <v>0.828504612186566</v>
      </c>
      <c r="AV11" s="25" t="n">
        <v>0.828504612186566</v>
      </c>
      <c r="AW11" s="25" t="n">
        <v>0.828504612186566</v>
      </c>
      <c r="AX11" s="25" t="n">
        <v>0.828504612186566</v>
      </c>
      <c r="AY11" s="25" t="n">
        <v>0.828504612186566</v>
      </c>
      <c r="AZ11" s="25" t="n">
        <v>0.828504612186566</v>
      </c>
      <c r="BA11" s="25" t="n">
        <v>0.828504612186566</v>
      </c>
      <c r="BB11" s="25" t="n">
        <v>0.828504612186566</v>
      </c>
      <c r="BC11" s="25" t="n">
        <v>0.828504612186566</v>
      </c>
      <c r="BD11" s="25" t="n">
        <v>0.828504612186566</v>
      </c>
      <c r="BE11" s="25" t="n">
        <v>0.828504612186566</v>
      </c>
      <c r="BF11" s="25" t="n">
        <v>0.828504612186566</v>
      </c>
      <c r="BG11" s="25" t="n">
        <v>0.828504612186566</v>
      </c>
      <c r="BH11" s="25" t="n">
        <v>0.828504612186566</v>
      </c>
      <c r="BI11" s="25" t="n">
        <v>0.828504612186566</v>
      </c>
      <c r="BJ11" s="25" t="n">
        <v>0.828504612186566</v>
      </c>
      <c r="BK11" s="25" t="n">
        <v>0.828504612186566</v>
      </c>
    </row>
    <row r="12" customFormat="false" ht="12.75" hidden="false" customHeight="false" outlineLevel="0" collapsed="false">
      <c r="A12" s="24" t="n">
        <f aca="false">A11+1/24</f>
        <v>43528.4166666667</v>
      </c>
      <c r="B12" s="25" t="n">
        <v>0.840284093369711</v>
      </c>
      <c r="C12" s="25" t="n">
        <v>0.840284093369711</v>
      </c>
      <c r="D12" s="25" t="n">
        <v>0.840284093369711</v>
      </c>
      <c r="E12" s="25" t="n">
        <v>0.840284093369711</v>
      </c>
      <c r="F12" s="25" t="n">
        <v>0.840284093369711</v>
      </c>
      <c r="G12" s="25" t="n">
        <v>0.840284093369711</v>
      </c>
      <c r="H12" s="25" t="n">
        <v>0.840284093369711</v>
      </c>
      <c r="I12" s="25" t="n">
        <v>0.840284093369711</v>
      </c>
      <c r="J12" s="25" t="n">
        <v>0.840284093369711</v>
      </c>
      <c r="K12" s="25" t="n">
        <v>0.840284093369711</v>
      </c>
      <c r="L12" s="25" t="n">
        <v>0.840284093369711</v>
      </c>
      <c r="M12" s="25" t="n">
        <v>0.840284093369711</v>
      </c>
      <c r="N12" s="1" t="n">
        <v>1.13158970167552</v>
      </c>
      <c r="O12" s="1" t="n">
        <v>1.13158970167552</v>
      </c>
      <c r="P12" s="1" t="n">
        <v>1.13158970167552</v>
      </c>
      <c r="Q12" s="1" t="n">
        <v>1.13158970167552</v>
      </c>
      <c r="R12" s="1" t="n">
        <v>1.13158970167552</v>
      </c>
      <c r="S12" s="1" t="n">
        <v>1.13158970167552</v>
      </c>
      <c r="T12" s="1" t="n">
        <v>1.13158970167552</v>
      </c>
      <c r="U12" s="1" t="n">
        <v>1.13158970167552</v>
      </c>
      <c r="V12" s="26" t="n">
        <v>0.375</v>
      </c>
      <c r="W12" s="26" t="n">
        <v>0.375</v>
      </c>
      <c r="X12" s="26" t="n">
        <v>0.375</v>
      </c>
      <c r="Y12" s="26" t="n">
        <v>0.375</v>
      </c>
      <c r="Z12" s="26" t="n">
        <v>0.375</v>
      </c>
      <c r="AA12" s="26" t="n">
        <v>0.375</v>
      </c>
      <c r="AB12" s="26" t="n">
        <v>0.375</v>
      </c>
      <c r="AC12" s="26" t="n">
        <v>0.375</v>
      </c>
      <c r="AD12" s="26" t="n">
        <v>0.375</v>
      </c>
      <c r="AE12" s="26" t="n">
        <v>0.375</v>
      </c>
      <c r="AF12" s="26" t="n">
        <v>0.375</v>
      </c>
      <c r="AG12" s="26" t="n">
        <v>0.375</v>
      </c>
      <c r="AH12" s="26" t="n">
        <v>0.375</v>
      </c>
      <c r="AI12" s="26" t="n">
        <v>0.375</v>
      </c>
      <c r="AJ12" s="26" t="n">
        <v>0.375</v>
      </c>
      <c r="AK12" s="26" t="n">
        <v>0.375</v>
      </c>
      <c r="AL12" s="26" t="n">
        <v>0.375</v>
      </c>
      <c r="AM12" s="26" t="n">
        <v>0.375</v>
      </c>
      <c r="AN12" s="26" t="n">
        <v>0.375</v>
      </c>
      <c r="AO12" s="26" t="n">
        <v>0.375</v>
      </c>
      <c r="AP12" s="26" t="n">
        <v>0.375</v>
      </c>
      <c r="AQ12" s="26" t="n">
        <v>0.375</v>
      </c>
      <c r="AR12" s="26" t="n">
        <v>0.375</v>
      </c>
      <c r="AS12" s="26" t="n">
        <v>0.375</v>
      </c>
      <c r="AT12" s="26" t="n">
        <v>0.375</v>
      </c>
      <c r="AU12" s="25" t="n">
        <v>0.840284093369711</v>
      </c>
      <c r="AV12" s="25" t="n">
        <v>0.840284093369711</v>
      </c>
      <c r="AW12" s="25" t="n">
        <v>0.840284093369711</v>
      </c>
      <c r="AX12" s="25" t="n">
        <v>0.840284093369711</v>
      </c>
      <c r="AY12" s="25" t="n">
        <v>0.840284093369711</v>
      </c>
      <c r="AZ12" s="25" t="n">
        <v>0.840284093369711</v>
      </c>
      <c r="BA12" s="25" t="n">
        <v>0.840284093369711</v>
      </c>
      <c r="BB12" s="25" t="n">
        <v>0.840284093369711</v>
      </c>
      <c r="BC12" s="25" t="n">
        <v>0.840284093369711</v>
      </c>
      <c r="BD12" s="25" t="n">
        <v>0.840284093369711</v>
      </c>
      <c r="BE12" s="25" t="n">
        <v>0.840284093369711</v>
      </c>
      <c r="BF12" s="25" t="n">
        <v>0.840284093369711</v>
      </c>
      <c r="BG12" s="25" t="n">
        <v>0.840284093369711</v>
      </c>
      <c r="BH12" s="25" t="n">
        <v>0.840284093369711</v>
      </c>
      <c r="BI12" s="25" t="n">
        <v>0.840284093369711</v>
      </c>
      <c r="BJ12" s="25" t="n">
        <v>0.840284093369711</v>
      </c>
      <c r="BK12" s="25" t="n">
        <v>0.840284093369711</v>
      </c>
    </row>
    <row r="13" customFormat="false" ht="12.75" hidden="false" customHeight="false" outlineLevel="0" collapsed="false">
      <c r="A13" s="24" t="n">
        <f aca="false">A12+1/24</f>
        <v>43528.4583333333</v>
      </c>
      <c r="B13" s="25" t="n">
        <v>0.812740894720887</v>
      </c>
      <c r="C13" s="25" t="n">
        <v>0.812740894720887</v>
      </c>
      <c r="D13" s="25" t="n">
        <v>0.812740894720887</v>
      </c>
      <c r="E13" s="25" t="n">
        <v>0.812740894720887</v>
      </c>
      <c r="F13" s="25" t="n">
        <v>0.812740894720887</v>
      </c>
      <c r="G13" s="25" t="n">
        <v>0.812740894720887</v>
      </c>
      <c r="H13" s="25" t="n">
        <v>0.812740894720887</v>
      </c>
      <c r="I13" s="25" t="n">
        <v>0.812740894720887</v>
      </c>
      <c r="J13" s="25" t="n">
        <v>0.812740894720887</v>
      </c>
      <c r="K13" s="25" t="n">
        <v>0.812740894720887</v>
      </c>
      <c r="L13" s="25" t="n">
        <v>0.812740894720887</v>
      </c>
      <c r="M13" s="25" t="n">
        <v>0.812740894720887</v>
      </c>
      <c r="N13" s="1" t="n">
        <v>1.12750306497752</v>
      </c>
      <c r="O13" s="1" t="n">
        <v>1.12750306497752</v>
      </c>
      <c r="P13" s="1" t="n">
        <v>1.12750306497752</v>
      </c>
      <c r="Q13" s="1" t="n">
        <v>1.12750306497752</v>
      </c>
      <c r="R13" s="1" t="n">
        <v>1.12750306497752</v>
      </c>
      <c r="S13" s="1" t="n">
        <v>1.12750306497752</v>
      </c>
      <c r="T13" s="1" t="n">
        <v>1.12750306497752</v>
      </c>
      <c r="U13" s="1" t="n">
        <v>1.12750306497752</v>
      </c>
      <c r="V13" s="26" t="n">
        <v>0.625</v>
      </c>
      <c r="W13" s="26" t="n">
        <v>0.625</v>
      </c>
      <c r="X13" s="26" t="n">
        <v>0.625</v>
      </c>
      <c r="Y13" s="26" t="n">
        <v>0.625</v>
      </c>
      <c r="Z13" s="26" t="n">
        <v>0.625</v>
      </c>
      <c r="AA13" s="26" t="n">
        <v>0.625</v>
      </c>
      <c r="AB13" s="26" t="n">
        <v>0.625</v>
      </c>
      <c r="AC13" s="26" t="n">
        <v>0.625</v>
      </c>
      <c r="AD13" s="26" t="n">
        <v>0.625</v>
      </c>
      <c r="AE13" s="26" t="n">
        <v>0.625</v>
      </c>
      <c r="AF13" s="26" t="n">
        <v>0.625</v>
      </c>
      <c r="AG13" s="26" t="n">
        <v>0.625</v>
      </c>
      <c r="AH13" s="26" t="n">
        <v>0.625</v>
      </c>
      <c r="AI13" s="26" t="n">
        <v>0.625</v>
      </c>
      <c r="AJ13" s="26" t="n">
        <v>0.625</v>
      </c>
      <c r="AK13" s="26" t="n">
        <v>0.625</v>
      </c>
      <c r="AL13" s="26" t="n">
        <v>0.625</v>
      </c>
      <c r="AM13" s="26" t="n">
        <v>0.625</v>
      </c>
      <c r="AN13" s="26" t="n">
        <v>0.625</v>
      </c>
      <c r="AO13" s="26" t="n">
        <v>0.625</v>
      </c>
      <c r="AP13" s="26" t="n">
        <v>0.625</v>
      </c>
      <c r="AQ13" s="26" t="n">
        <v>0.625</v>
      </c>
      <c r="AR13" s="26" t="n">
        <v>0.625</v>
      </c>
      <c r="AS13" s="26" t="n">
        <v>0.625</v>
      </c>
      <c r="AT13" s="26" t="n">
        <v>0.625</v>
      </c>
      <c r="AU13" s="25" t="n">
        <v>0.812740894720887</v>
      </c>
      <c r="AV13" s="25" t="n">
        <v>0.812740894720887</v>
      </c>
      <c r="AW13" s="25" t="n">
        <v>0.812740894720887</v>
      </c>
      <c r="AX13" s="25" t="n">
        <v>0.812740894720887</v>
      </c>
      <c r="AY13" s="25" t="n">
        <v>0.812740894720887</v>
      </c>
      <c r="AZ13" s="25" t="n">
        <v>0.812740894720887</v>
      </c>
      <c r="BA13" s="25" t="n">
        <v>0.812740894720887</v>
      </c>
      <c r="BB13" s="25" t="n">
        <v>0.812740894720887</v>
      </c>
      <c r="BC13" s="25" t="n">
        <v>0.812740894720887</v>
      </c>
      <c r="BD13" s="25" t="n">
        <v>0.812740894720887</v>
      </c>
      <c r="BE13" s="25" t="n">
        <v>0.812740894720887</v>
      </c>
      <c r="BF13" s="25" t="n">
        <v>0.812740894720887</v>
      </c>
      <c r="BG13" s="25" t="n">
        <v>0.812740894720887</v>
      </c>
      <c r="BH13" s="25" t="n">
        <v>0.812740894720887</v>
      </c>
      <c r="BI13" s="25" t="n">
        <v>0.812740894720887</v>
      </c>
      <c r="BJ13" s="25" t="n">
        <v>0.812740894720887</v>
      </c>
      <c r="BK13" s="25" t="n">
        <v>0.812740894720887</v>
      </c>
    </row>
    <row r="14" customFormat="false" ht="12.75" hidden="false" customHeight="false" outlineLevel="0" collapsed="false">
      <c r="A14" s="24" t="n">
        <f aca="false">A13+1/24</f>
        <v>43528.5</v>
      </c>
      <c r="B14" s="25" t="n">
        <v>0.773937897882292</v>
      </c>
      <c r="C14" s="25" t="n">
        <v>0.773937897882292</v>
      </c>
      <c r="D14" s="25" t="n">
        <v>0.773937897882292</v>
      </c>
      <c r="E14" s="25" t="n">
        <v>0.773937897882292</v>
      </c>
      <c r="F14" s="25" t="n">
        <v>0.773937897882292</v>
      </c>
      <c r="G14" s="25" t="n">
        <v>0.773937897882292</v>
      </c>
      <c r="H14" s="25" t="n">
        <v>0.773937897882292</v>
      </c>
      <c r="I14" s="25" t="n">
        <v>0.773937897882292</v>
      </c>
      <c r="J14" s="25" t="n">
        <v>0.773937897882292</v>
      </c>
      <c r="K14" s="25" t="n">
        <v>0.773937897882292</v>
      </c>
      <c r="L14" s="25" t="n">
        <v>0.773937897882292</v>
      </c>
      <c r="M14" s="25" t="n">
        <v>0.773937897882292</v>
      </c>
      <c r="N14" s="1" t="n">
        <v>1.04413567633837</v>
      </c>
      <c r="O14" s="1" t="n">
        <v>1.04413567633837</v>
      </c>
      <c r="P14" s="1" t="n">
        <v>1.04413567633837</v>
      </c>
      <c r="Q14" s="1" t="n">
        <v>1.04413567633837</v>
      </c>
      <c r="R14" s="1" t="n">
        <v>1.04413567633837</v>
      </c>
      <c r="S14" s="1" t="n">
        <v>1.04413567633837</v>
      </c>
      <c r="T14" s="1" t="n">
        <v>1.04413567633837</v>
      </c>
      <c r="U14" s="1" t="n">
        <v>1.04413567633837</v>
      </c>
      <c r="V14" s="26" t="n">
        <v>0.875</v>
      </c>
      <c r="W14" s="26" t="n">
        <v>0.875</v>
      </c>
      <c r="X14" s="26" t="n">
        <v>0.875</v>
      </c>
      <c r="Y14" s="26" t="n">
        <v>0.875</v>
      </c>
      <c r="Z14" s="26" t="n">
        <v>0.875</v>
      </c>
      <c r="AA14" s="26" t="n">
        <v>0.875</v>
      </c>
      <c r="AB14" s="26" t="n">
        <v>0.875</v>
      </c>
      <c r="AC14" s="26" t="n">
        <v>0.875</v>
      </c>
      <c r="AD14" s="26" t="n">
        <v>0.875</v>
      </c>
      <c r="AE14" s="26" t="n">
        <v>0.875</v>
      </c>
      <c r="AF14" s="26" t="n">
        <v>0.875</v>
      </c>
      <c r="AG14" s="26" t="n">
        <v>0.875</v>
      </c>
      <c r="AH14" s="26" t="n">
        <v>0.875</v>
      </c>
      <c r="AI14" s="26" t="n">
        <v>0.875</v>
      </c>
      <c r="AJ14" s="26" t="n">
        <v>0.875</v>
      </c>
      <c r="AK14" s="26" t="n">
        <v>0.875</v>
      </c>
      <c r="AL14" s="26" t="n">
        <v>0.875</v>
      </c>
      <c r="AM14" s="26" t="n">
        <v>0.875</v>
      </c>
      <c r="AN14" s="26" t="n">
        <v>0.875</v>
      </c>
      <c r="AO14" s="26" t="n">
        <v>0.875</v>
      </c>
      <c r="AP14" s="26" t="n">
        <v>0.875</v>
      </c>
      <c r="AQ14" s="26" t="n">
        <v>0.875</v>
      </c>
      <c r="AR14" s="26" t="n">
        <v>0.875</v>
      </c>
      <c r="AS14" s="26" t="n">
        <v>0.875</v>
      </c>
      <c r="AT14" s="26" t="n">
        <v>0.875</v>
      </c>
      <c r="AU14" s="25" t="n">
        <v>0.773937897882292</v>
      </c>
      <c r="AV14" s="25" t="n">
        <v>0.773937897882292</v>
      </c>
      <c r="AW14" s="25" t="n">
        <v>0.773937897882292</v>
      </c>
      <c r="AX14" s="25" t="n">
        <v>0.773937897882292</v>
      </c>
      <c r="AY14" s="25" t="n">
        <v>0.773937897882292</v>
      </c>
      <c r="AZ14" s="25" t="n">
        <v>0.773937897882292</v>
      </c>
      <c r="BA14" s="25" t="n">
        <v>0.773937897882292</v>
      </c>
      <c r="BB14" s="25" t="n">
        <v>0.773937897882292</v>
      </c>
      <c r="BC14" s="25" t="n">
        <v>0.773937897882292</v>
      </c>
      <c r="BD14" s="25" t="n">
        <v>0.773937897882292</v>
      </c>
      <c r="BE14" s="25" t="n">
        <v>0.773937897882292</v>
      </c>
      <c r="BF14" s="25" t="n">
        <v>0.773937897882292</v>
      </c>
      <c r="BG14" s="25" t="n">
        <v>0.773937897882292</v>
      </c>
      <c r="BH14" s="25" t="n">
        <v>0.773937897882292</v>
      </c>
      <c r="BI14" s="25" t="n">
        <v>0.773937897882292</v>
      </c>
      <c r="BJ14" s="25" t="n">
        <v>0.773937897882292</v>
      </c>
      <c r="BK14" s="25" t="n">
        <v>0.773937897882292</v>
      </c>
    </row>
    <row r="15" customFormat="false" ht="12.75" hidden="false" customHeight="false" outlineLevel="0" collapsed="false">
      <c r="A15" s="24" t="n">
        <f aca="false">A14+1/24</f>
        <v>43528.5416666667</v>
      </c>
      <c r="B15" s="25" t="n">
        <v>0.776449699016933</v>
      </c>
      <c r="C15" s="25" t="n">
        <v>0.776449699016933</v>
      </c>
      <c r="D15" s="25" t="n">
        <v>0.776449699016933</v>
      </c>
      <c r="E15" s="25" t="n">
        <v>0.776449699016933</v>
      </c>
      <c r="F15" s="25" t="n">
        <v>0.776449699016933</v>
      </c>
      <c r="G15" s="25" t="n">
        <v>0.776449699016933</v>
      </c>
      <c r="H15" s="25" t="n">
        <v>0.776449699016933</v>
      </c>
      <c r="I15" s="25" t="n">
        <v>0.776449699016933</v>
      </c>
      <c r="J15" s="25" t="n">
        <v>0.776449699016933</v>
      </c>
      <c r="K15" s="25" t="n">
        <v>0.776449699016933</v>
      </c>
      <c r="L15" s="25" t="n">
        <v>0.776449699016933</v>
      </c>
      <c r="M15" s="25" t="n">
        <v>0.776449699016933</v>
      </c>
      <c r="N15" s="1" t="n">
        <v>1.002043318349</v>
      </c>
      <c r="O15" s="1" t="n">
        <v>1.002043318349</v>
      </c>
      <c r="P15" s="1" t="n">
        <v>1.002043318349</v>
      </c>
      <c r="Q15" s="1" t="n">
        <v>1.002043318349</v>
      </c>
      <c r="R15" s="1" t="n">
        <v>1.002043318349</v>
      </c>
      <c r="S15" s="1" t="n">
        <v>1.002043318349</v>
      </c>
      <c r="T15" s="1" t="n">
        <v>1.002043318349</v>
      </c>
      <c r="U15" s="1" t="n">
        <v>1.002043318349</v>
      </c>
      <c r="V15" s="26" t="n">
        <v>0.625</v>
      </c>
      <c r="W15" s="26" t="n">
        <v>0.625</v>
      </c>
      <c r="X15" s="26" t="n">
        <v>0.625</v>
      </c>
      <c r="Y15" s="26" t="n">
        <v>0.625</v>
      </c>
      <c r="Z15" s="26" t="n">
        <v>0.625</v>
      </c>
      <c r="AA15" s="26" t="n">
        <v>0.625</v>
      </c>
      <c r="AB15" s="26" t="n">
        <v>0.625</v>
      </c>
      <c r="AC15" s="26" t="n">
        <v>0.625</v>
      </c>
      <c r="AD15" s="26" t="n">
        <v>0.625</v>
      </c>
      <c r="AE15" s="26" t="n">
        <v>0.625</v>
      </c>
      <c r="AF15" s="26" t="n">
        <v>0.625</v>
      </c>
      <c r="AG15" s="26" t="n">
        <v>0.625</v>
      </c>
      <c r="AH15" s="26" t="n">
        <v>0.625</v>
      </c>
      <c r="AI15" s="26" t="n">
        <v>0.625</v>
      </c>
      <c r="AJ15" s="26" t="n">
        <v>0.625</v>
      </c>
      <c r="AK15" s="26" t="n">
        <v>0.625</v>
      </c>
      <c r="AL15" s="26" t="n">
        <v>0.625</v>
      </c>
      <c r="AM15" s="26" t="n">
        <v>0.625</v>
      </c>
      <c r="AN15" s="26" t="n">
        <v>0.625</v>
      </c>
      <c r="AO15" s="26" t="n">
        <v>0.625</v>
      </c>
      <c r="AP15" s="26" t="n">
        <v>0.625</v>
      </c>
      <c r="AQ15" s="26" t="n">
        <v>0.625</v>
      </c>
      <c r="AR15" s="26" t="n">
        <v>0.625</v>
      </c>
      <c r="AS15" s="26" t="n">
        <v>0.625</v>
      </c>
      <c r="AT15" s="26" t="n">
        <v>0.625</v>
      </c>
      <c r="AU15" s="25" t="n">
        <v>0.776449699016933</v>
      </c>
      <c r="AV15" s="25" t="n">
        <v>0.776449699016933</v>
      </c>
      <c r="AW15" s="25" t="n">
        <v>0.776449699016933</v>
      </c>
      <c r="AX15" s="25" t="n">
        <v>0.776449699016933</v>
      </c>
      <c r="AY15" s="25" t="n">
        <v>0.776449699016933</v>
      </c>
      <c r="AZ15" s="25" t="n">
        <v>0.776449699016933</v>
      </c>
      <c r="BA15" s="25" t="n">
        <v>0.776449699016933</v>
      </c>
      <c r="BB15" s="25" t="n">
        <v>0.776449699016933</v>
      </c>
      <c r="BC15" s="25" t="n">
        <v>0.776449699016933</v>
      </c>
      <c r="BD15" s="25" t="n">
        <v>0.776449699016933</v>
      </c>
      <c r="BE15" s="25" t="n">
        <v>0.776449699016933</v>
      </c>
      <c r="BF15" s="25" t="n">
        <v>0.776449699016933</v>
      </c>
      <c r="BG15" s="25" t="n">
        <v>0.776449699016933</v>
      </c>
      <c r="BH15" s="25" t="n">
        <v>0.776449699016933</v>
      </c>
      <c r="BI15" s="25" t="n">
        <v>0.776449699016933</v>
      </c>
      <c r="BJ15" s="25" t="n">
        <v>0.776449699016933</v>
      </c>
      <c r="BK15" s="25" t="n">
        <v>0.776449699016933</v>
      </c>
    </row>
    <row r="16" customFormat="false" ht="12.75" hidden="false" customHeight="false" outlineLevel="0" collapsed="false">
      <c r="A16" s="24" t="n">
        <f aca="false">A15+1/24</f>
        <v>43528.5833333333</v>
      </c>
      <c r="B16" s="25" t="n">
        <v>0.770473344593132</v>
      </c>
      <c r="C16" s="25" t="n">
        <v>0.770473344593132</v>
      </c>
      <c r="D16" s="25" t="n">
        <v>0.770473344593132</v>
      </c>
      <c r="E16" s="25" t="n">
        <v>0.770473344593132</v>
      </c>
      <c r="F16" s="25" t="n">
        <v>0.770473344593132</v>
      </c>
      <c r="G16" s="25" t="n">
        <v>0.770473344593132</v>
      </c>
      <c r="H16" s="25" t="n">
        <v>0.770473344593132</v>
      </c>
      <c r="I16" s="25" t="n">
        <v>0.770473344593132</v>
      </c>
      <c r="J16" s="25" t="n">
        <v>0.770473344593132</v>
      </c>
      <c r="K16" s="25" t="n">
        <v>0.770473344593132</v>
      </c>
      <c r="L16" s="25" t="n">
        <v>0.770473344593132</v>
      </c>
      <c r="M16" s="25" t="n">
        <v>0.770473344593132</v>
      </c>
      <c r="N16" s="1" t="n">
        <v>1.09358398038414</v>
      </c>
      <c r="O16" s="1" t="n">
        <v>1.09358398038414</v>
      </c>
      <c r="P16" s="1" t="n">
        <v>1.09358398038414</v>
      </c>
      <c r="Q16" s="1" t="n">
        <v>1.09358398038414</v>
      </c>
      <c r="R16" s="1" t="n">
        <v>1.09358398038414</v>
      </c>
      <c r="S16" s="1" t="n">
        <v>1.09358398038414</v>
      </c>
      <c r="T16" s="1" t="n">
        <v>1.09358398038414</v>
      </c>
      <c r="U16" s="1" t="n">
        <v>1.09358398038414</v>
      </c>
      <c r="V16" s="26" t="n">
        <v>1</v>
      </c>
      <c r="W16" s="26" t="n">
        <v>1</v>
      </c>
      <c r="X16" s="26" t="n">
        <v>1</v>
      </c>
      <c r="Y16" s="26" t="n">
        <v>1</v>
      </c>
      <c r="Z16" s="26" t="n">
        <v>1</v>
      </c>
      <c r="AA16" s="26" t="n">
        <v>1</v>
      </c>
      <c r="AB16" s="26" t="n">
        <v>1</v>
      </c>
      <c r="AC16" s="26" t="n">
        <v>1</v>
      </c>
      <c r="AD16" s="26" t="n">
        <v>1</v>
      </c>
      <c r="AE16" s="26" t="n">
        <v>1</v>
      </c>
      <c r="AF16" s="26" t="n">
        <v>1</v>
      </c>
      <c r="AG16" s="26" t="n">
        <v>1</v>
      </c>
      <c r="AH16" s="26" t="n">
        <v>1</v>
      </c>
      <c r="AI16" s="26" t="n">
        <v>1</v>
      </c>
      <c r="AJ16" s="26" t="n">
        <v>1</v>
      </c>
      <c r="AK16" s="26" t="n">
        <v>1</v>
      </c>
      <c r="AL16" s="26" t="n">
        <v>1</v>
      </c>
      <c r="AM16" s="26" t="n">
        <v>1</v>
      </c>
      <c r="AN16" s="26" t="n">
        <v>1</v>
      </c>
      <c r="AO16" s="26" t="n">
        <v>1</v>
      </c>
      <c r="AP16" s="26" t="n">
        <v>1</v>
      </c>
      <c r="AQ16" s="26" t="n">
        <v>1</v>
      </c>
      <c r="AR16" s="26" t="n">
        <v>1</v>
      </c>
      <c r="AS16" s="26" t="n">
        <v>1</v>
      </c>
      <c r="AT16" s="26" t="n">
        <v>1</v>
      </c>
      <c r="AU16" s="25" t="n">
        <v>0.770473344593132</v>
      </c>
      <c r="AV16" s="25" t="n">
        <v>0.770473344593132</v>
      </c>
      <c r="AW16" s="25" t="n">
        <v>0.770473344593132</v>
      </c>
      <c r="AX16" s="25" t="n">
        <v>0.770473344593132</v>
      </c>
      <c r="AY16" s="25" t="n">
        <v>0.770473344593132</v>
      </c>
      <c r="AZ16" s="25" t="n">
        <v>0.770473344593132</v>
      </c>
      <c r="BA16" s="25" t="n">
        <v>0.770473344593132</v>
      </c>
      <c r="BB16" s="25" t="n">
        <v>0.770473344593132</v>
      </c>
      <c r="BC16" s="25" t="n">
        <v>0.770473344593132</v>
      </c>
      <c r="BD16" s="25" t="n">
        <v>0.770473344593132</v>
      </c>
      <c r="BE16" s="25" t="n">
        <v>0.770473344593132</v>
      </c>
      <c r="BF16" s="25" t="n">
        <v>0.770473344593132</v>
      </c>
      <c r="BG16" s="25" t="n">
        <v>0.770473344593132</v>
      </c>
      <c r="BH16" s="25" t="n">
        <v>0.770473344593132</v>
      </c>
      <c r="BI16" s="25" t="n">
        <v>0.770473344593132</v>
      </c>
      <c r="BJ16" s="25" t="n">
        <v>0.770473344593132</v>
      </c>
      <c r="BK16" s="25" t="n">
        <v>0.770473344593132</v>
      </c>
    </row>
    <row r="17" customFormat="false" ht="12.75" hidden="false" customHeight="false" outlineLevel="0" collapsed="false">
      <c r="A17" s="24" t="n">
        <f aca="false">A16+1/24</f>
        <v>43528.625</v>
      </c>
      <c r="B17" s="25" t="n">
        <v>0.772985145727773</v>
      </c>
      <c r="C17" s="25" t="n">
        <v>0.772985145727773</v>
      </c>
      <c r="D17" s="25" t="n">
        <v>0.772985145727773</v>
      </c>
      <c r="E17" s="25" t="n">
        <v>0.772985145727773</v>
      </c>
      <c r="F17" s="25" t="n">
        <v>0.772985145727773</v>
      </c>
      <c r="G17" s="25" t="n">
        <v>0.772985145727773</v>
      </c>
      <c r="H17" s="25" t="n">
        <v>0.772985145727773</v>
      </c>
      <c r="I17" s="25" t="n">
        <v>0.772985145727773</v>
      </c>
      <c r="J17" s="25" t="n">
        <v>0.772985145727773</v>
      </c>
      <c r="K17" s="25" t="n">
        <v>0.772985145727773</v>
      </c>
      <c r="L17" s="25" t="n">
        <v>0.772985145727773</v>
      </c>
      <c r="M17" s="25" t="n">
        <v>0.772985145727773</v>
      </c>
      <c r="N17" s="1" t="n">
        <v>1.24029423784226</v>
      </c>
      <c r="O17" s="1" t="n">
        <v>1.24029423784226</v>
      </c>
      <c r="P17" s="1" t="n">
        <v>1.24029423784226</v>
      </c>
      <c r="Q17" s="1" t="n">
        <v>1.24029423784226</v>
      </c>
      <c r="R17" s="1" t="n">
        <v>1.24029423784226</v>
      </c>
      <c r="S17" s="1" t="n">
        <v>1.24029423784226</v>
      </c>
      <c r="T17" s="1" t="n">
        <v>1.24029423784226</v>
      </c>
      <c r="U17" s="1" t="n">
        <v>1.24029423784226</v>
      </c>
      <c r="V17" s="26" t="n">
        <v>3.5</v>
      </c>
      <c r="W17" s="26" t="n">
        <v>3.5</v>
      </c>
      <c r="X17" s="26" t="n">
        <v>3.5</v>
      </c>
      <c r="Y17" s="26" t="n">
        <v>3.5</v>
      </c>
      <c r="Z17" s="26" t="n">
        <v>3.5</v>
      </c>
      <c r="AA17" s="26" t="n">
        <v>3.5</v>
      </c>
      <c r="AB17" s="26" t="n">
        <v>3.5</v>
      </c>
      <c r="AC17" s="26" t="n">
        <v>3.5</v>
      </c>
      <c r="AD17" s="26" t="n">
        <v>3.5</v>
      </c>
      <c r="AE17" s="26" t="n">
        <v>3.5</v>
      </c>
      <c r="AF17" s="26" t="n">
        <v>3.5</v>
      </c>
      <c r="AG17" s="26" t="n">
        <v>3.5</v>
      </c>
      <c r="AH17" s="26" t="n">
        <v>3.5</v>
      </c>
      <c r="AI17" s="26" t="n">
        <v>3.5</v>
      </c>
      <c r="AJ17" s="26" t="n">
        <v>3.5</v>
      </c>
      <c r="AK17" s="26" t="n">
        <v>3.5</v>
      </c>
      <c r="AL17" s="26" t="n">
        <v>3.5</v>
      </c>
      <c r="AM17" s="26" t="n">
        <v>3.5</v>
      </c>
      <c r="AN17" s="26" t="n">
        <v>3.5</v>
      </c>
      <c r="AO17" s="26" t="n">
        <v>3.5</v>
      </c>
      <c r="AP17" s="26" t="n">
        <v>3.5</v>
      </c>
      <c r="AQ17" s="26" t="n">
        <v>3.5</v>
      </c>
      <c r="AR17" s="26" t="n">
        <v>3.5</v>
      </c>
      <c r="AS17" s="26" t="n">
        <v>3.5</v>
      </c>
      <c r="AT17" s="26" t="n">
        <v>3.5</v>
      </c>
      <c r="AU17" s="25" t="n">
        <v>0.772985145727773</v>
      </c>
      <c r="AV17" s="25" t="n">
        <v>0.772985145727773</v>
      </c>
      <c r="AW17" s="25" t="n">
        <v>0.772985145727773</v>
      </c>
      <c r="AX17" s="25" t="n">
        <v>0.772985145727773</v>
      </c>
      <c r="AY17" s="25" t="n">
        <v>0.772985145727773</v>
      </c>
      <c r="AZ17" s="25" t="n">
        <v>0.772985145727773</v>
      </c>
      <c r="BA17" s="25" t="n">
        <v>0.772985145727773</v>
      </c>
      <c r="BB17" s="25" t="n">
        <v>0.772985145727773</v>
      </c>
      <c r="BC17" s="25" t="n">
        <v>0.772985145727773</v>
      </c>
      <c r="BD17" s="25" t="n">
        <v>0.772985145727773</v>
      </c>
      <c r="BE17" s="25" t="n">
        <v>0.772985145727773</v>
      </c>
      <c r="BF17" s="25" t="n">
        <v>0.772985145727773</v>
      </c>
      <c r="BG17" s="25" t="n">
        <v>0.772985145727773</v>
      </c>
      <c r="BH17" s="25" t="n">
        <v>0.772985145727773</v>
      </c>
      <c r="BI17" s="25" t="n">
        <v>0.772985145727773</v>
      </c>
      <c r="BJ17" s="25" t="n">
        <v>0.772985145727773</v>
      </c>
      <c r="BK17" s="25" t="n">
        <v>0.772985145727773</v>
      </c>
    </row>
    <row r="18" customFormat="false" ht="12.75" hidden="false" customHeight="false" outlineLevel="0" collapsed="false">
      <c r="A18" s="24" t="n">
        <f aca="false">A17+1/24</f>
        <v>43528.6666666667</v>
      </c>
      <c r="B18" s="25" t="n">
        <v>0.91672080031181</v>
      </c>
      <c r="C18" s="25" t="n">
        <v>0.91672080031181</v>
      </c>
      <c r="D18" s="25" t="n">
        <v>0.91672080031181</v>
      </c>
      <c r="E18" s="25" t="n">
        <v>0.91672080031181</v>
      </c>
      <c r="F18" s="25" t="n">
        <v>0.91672080031181</v>
      </c>
      <c r="G18" s="25" t="n">
        <v>0.91672080031181</v>
      </c>
      <c r="H18" s="25" t="n">
        <v>0.91672080031181</v>
      </c>
      <c r="I18" s="25" t="n">
        <v>0.91672080031181</v>
      </c>
      <c r="J18" s="25" t="n">
        <v>0.91672080031181</v>
      </c>
      <c r="K18" s="25" t="n">
        <v>0.91672080031181</v>
      </c>
      <c r="L18" s="25" t="n">
        <v>0.91672080031181</v>
      </c>
      <c r="M18" s="25" t="n">
        <v>0.91672080031181</v>
      </c>
      <c r="N18" s="1" t="n">
        <v>1.20678381691868</v>
      </c>
      <c r="O18" s="1" t="n">
        <v>1.20678381691868</v>
      </c>
      <c r="P18" s="1" t="n">
        <v>1.20678381691868</v>
      </c>
      <c r="Q18" s="1" t="n">
        <v>1.20678381691868</v>
      </c>
      <c r="R18" s="1" t="n">
        <v>1.20678381691868</v>
      </c>
      <c r="S18" s="1" t="n">
        <v>1.20678381691868</v>
      </c>
      <c r="T18" s="1" t="n">
        <v>1.20678381691868</v>
      </c>
      <c r="U18" s="1" t="n">
        <v>1.20678381691868</v>
      </c>
      <c r="V18" s="26" t="n">
        <v>2.875</v>
      </c>
      <c r="W18" s="26" t="n">
        <v>2.875</v>
      </c>
      <c r="X18" s="26" t="n">
        <v>2.875</v>
      </c>
      <c r="Y18" s="26" t="n">
        <v>2.875</v>
      </c>
      <c r="Z18" s="26" t="n">
        <v>2.875</v>
      </c>
      <c r="AA18" s="26" t="n">
        <v>2.875</v>
      </c>
      <c r="AB18" s="26" t="n">
        <v>2.875</v>
      </c>
      <c r="AC18" s="26" t="n">
        <v>2.875</v>
      </c>
      <c r="AD18" s="26" t="n">
        <v>2.875</v>
      </c>
      <c r="AE18" s="26" t="n">
        <v>2.875</v>
      </c>
      <c r="AF18" s="26" t="n">
        <v>2.875</v>
      </c>
      <c r="AG18" s="26" t="n">
        <v>2.875</v>
      </c>
      <c r="AH18" s="26" t="n">
        <v>2.875</v>
      </c>
      <c r="AI18" s="26" t="n">
        <v>2.875</v>
      </c>
      <c r="AJ18" s="26" t="n">
        <v>2.875</v>
      </c>
      <c r="AK18" s="26" t="n">
        <v>2.875</v>
      </c>
      <c r="AL18" s="26" t="n">
        <v>2.875</v>
      </c>
      <c r="AM18" s="26" t="n">
        <v>2.875</v>
      </c>
      <c r="AN18" s="26" t="n">
        <v>2.875</v>
      </c>
      <c r="AO18" s="26" t="n">
        <v>2.875</v>
      </c>
      <c r="AP18" s="26" t="n">
        <v>2.875</v>
      </c>
      <c r="AQ18" s="26" t="n">
        <v>2.875</v>
      </c>
      <c r="AR18" s="26" t="n">
        <v>2.875</v>
      </c>
      <c r="AS18" s="26" t="n">
        <v>2.875</v>
      </c>
      <c r="AT18" s="26" t="n">
        <v>2.875</v>
      </c>
      <c r="AU18" s="25" t="n">
        <v>0.91672080031181</v>
      </c>
      <c r="AV18" s="25" t="n">
        <v>0.91672080031181</v>
      </c>
      <c r="AW18" s="25" t="n">
        <v>0.91672080031181</v>
      </c>
      <c r="AX18" s="25" t="n">
        <v>0.91672080031181</v>
      </c>
      <c r="AY18" s="25" t="n">
        <v>0.91672080031181</v>
      </c>
      <c r="AZ18" s="25" t="n">
        <v>0.91672080031181</v>
      </c>
      <c r="BA18" s="25" t="n">
        <v>0.91672080031181</v>
      </c>
      <c r="BB18" s="25" t="n">
        <v>0.91672080031181</v>
      </c>
      <c r="BC18" s="25" t="n">
        <v>0.91672080031181</v>
      </c>
      <c r="BD18" s="25" t="n">
        <v>0.91672080031181</v>
      </c>
      <c r="BE18" s="25" t="n">
        <v>0.91672080031181</v>
      </c>
      <c r="BF18" s="25" t="n">
        <v>0.91672080031181</v>
      </c>
      <c r="BG18" s="25" t="n">
        <v>0.91672080031181</v>
      </c>
      <c r="BH18" s="25" t="n">
        <v>0.91672080031181</v>
      </c>
      <c r="BI18" s="25" t="n">
        <v>0.91672080031181</v>
      </c>
      <c r="BJ18" s="25" t="n">
        <v>0.91672080031181</v>
      </c>
      <c r="BK18" s="25" t="n">
        <v>0.91672080031181</v>
      </c>
    </row>
    <row r="19" customFormat="false" ht="12.75" hidden="false" customHeight="false" outlineLevel="0" collapsed="false">
      <c r="A19" s="24" t="n">
        <f aca="false">A18+1/24</f>
        <v>43528.7083333333</v>
      </c>
      <c r="B19" s="25" t="n">
        <v>1.01896842925815</v>
      </c>
      <c r="C19" s="25" t="n">
        <v>1.01896842925815</v>
      </c>
      <c r="D19" s="25" t="n">
        <v>1.01896842925815</v>
      </c>
      <c r="E19" s="25" t="n">
        <v>1.01896842925815</v>
      </c>
      <c r="F19" s="25" t="n">
        <v>1.01896842925815</v>
      </c>
      <c r="G19" s="25" t="n">
        <v>1.01896842925815</v>
      </c>
      <c r="H19" s="25" t="n">
        <v>1.01896842925815</v>
      </c>
      <c r="I19" s="25" t="n">
        <v>1.01896842925815</v>
      </c>
      <c r="J19" s="25" t="n">
        <v>1.01896842925815</v>
      </c>
      <c r="K19" s="25" t="n">
        <v>1.01896842925815</v>
      </c>
      <c r="L19" s="25" t="n">
        <v>1.01896842925815</v>
      </c>
      <c r="M19" s="25" t="n">
        <v>1.01896842925815</v>
      </c>
      <c r="N19" s="1" t="n">
        <v>1.29464650592562</v>
      </c>
      <c r="O19" s="1" t="n">
        <v>1.29464650592562</v>
      </c>
      <c r="P19" s="1" t="n">
        <v>1.29464650592562</v>
      </c>
      <c r="Q19" s="1" t="n">
        <v>1.29464650592562</v>
      </c>
      <c r="R19" s="1" t="n">
        <v>1.29464650592562</v>
      </c>
      <c r="S19" s="1" t="n">
        <v>1.29464650592562</v>
      </c>
      <c r="T19" s="1" t="n">
        <v>1.29464650592562</v>
      </c>
      <c r="U19" s="1" t="n">
        <v>1.29464650592562</v>
      </c>
      <c r="V19" s="26" t="n">
        <v>3.25</v>
      </c>
      <c r="W19" s="26" t="n">
        <v>3.25</v>
      </c>
      <c r="X19" s="26" t="n">
        <v>3.25</v>
      </c>
      <c r="Y19" s="26" t="n">
        <v>3.25</v>
      </c>
      <c r="Z19" s="26" t="n">
        <v>3.25</v>
      </c>
      <c r="AA19" s="26" t="n">
        <v>3.25</v>
      </c>
      <c r="AB19" s="26" t="n">
        <v>3.25</v>
      </c>
      <c r="AC19" s="26" t="n">
        <v>3.25</v>
      </c>
      <c r="AD19" s="26" t="n">
        <v>3.25</v>
      </c>
      <c r="AE19" s="26" t="n">
        <v>3.25</v>
      </c>
      <c r="AF19" s="26" t="n">
        <v>3.25</v>
      </c>
      <c r="AG19" s="26" t="n">
        <v>3.25</v>
      </c>
      <c r="AH19" s="26" t="n">
        <v>3.25</v>
      </c>
      <c r="AI19" s="26" t="n">
        <v>3.25</v>
      </c>
      <c r="AJ19" s="26" t="n">
        <v>3.25</v>
      </c>
      <c r="AK19" s="26" t="n">
        <v>3.25</v>
      </c>
      <c r="AL19" s="26" t="n">
        <v>3.25</v>
      </c>
      <c r="AM19" s="26" t="n">
        <v>3.25</v>
      </c>
      <c r="AN19" s="26" t="n">
        <v>3.25</v>
      </c>
      <c r="AO19" s="26" t="n">
        <v>3.25</v>
      </c>
      <c r="AP19" s="26" t="n">
        <v>3.25</v>
      </c>
      <c r="AQ19" s="26" t="n">
        <v>3.25</v>
      </c>
      <c r="AR19" s="26" t="n">
        <v>3.25</v>
      </c>
      <c r="AS19" s="26" t="n">
        <v>3.25</v>
      </c>
      <c r="AT19" s="26" t="n">
        <v>3.25</v>
      </c>
      <c r="AU19" s="25" t="n">
        <v>1.01896842925815</v>
      </c>
      <c r="AV19" s="25" t="n">
        <v>1.01896842925815</v>
      </c>
      <c r="AW19" s="25" t="n">
        <v>1.01896842925815</v>
      </c>
      <c r="AX19" s="25" t="n">
        <v>1.01896842925815</v>
      </c>
      <c r="AY19" s="25" t="n">
        <v>1.01896842925815</v>
      </c>
      <c r="AZ19" s="25" t="n">
        <v>1.01896842925815</v>
      </c>
      <c r="BA19" s="25" t="n">
        <v>1.01896842925815</v>
      </c>
      <c r="BB19" s="25" t="n">
        <v>1.01896842925815</v>
      </c>
      <c r="BC19" s="25" t="n">
        <v>1.01896842925815</v>
      </c>
      <c r="BD19" s="25" t="n">
        <v>1.01896842925815</v>
      </c>
      <c r="BE19" s="25" t="n">
        <v>1.01896842925815</v>
      </c>
      <c r="BF19" s="25" t="n">
        <v>1.01896842925815</v>
      </c>
      <c r="BG19" s="25" t="n">
        <v>1.01896842925815</v>
      </c>
      <c r="BH19" s="25" t="n">
        <v>1.01896842925815</v>
      </c>
      <c r="BI19" s="25" t="n">
        <v>1.01896842925815</v>
      </c>
      <c r="BJ19" s="25" t="n">
        <v>1.01896842925815</v>
      </c>
      <c r="BK19" s="25" t="n">
        <v>1.01896842925815</v>
      </c>
    </row>
    <row r="20" customFormat="false" ht="12.75" hidden="false" customHeight="false" outlineLevel="0" collapsed="false">
      <c r="A20" s="24" t="n">
        <f aca="false">A19+1/24</f>
        <v>43528.75</v>
      </c>
      <c r="B20" s="25" t="n">
        <v>0.97336624658958</v>
      </c>
      <c r="C20" s="25" t="n">
        <v>0.97336624658958</v>
      </c>
      <c r="D20" s="25" t="n">
        <v>0.97336624658958</v>
      </c>
      <c r="E20" s="25" t="n">
        <v>0.97336624658958</v>
      </c>
      <c r="F20" s="25" t="n">
        <v>0.97336624658958</v>
      </c>
      <c r="G20" s="25" t="n">
        <v>0.97336624658958</v>
      </c>
      <c r="H20" s="25" t="n">
        <v>0.97336624658958</v>
      </c>
      <c r="I20" s="25" t="n">
        <v>0.97336624658958</v>
      </c>
      <c r="J20" s="25" t="n">
        <v>0.97336624658958</v>
      </c>
      <c r="K20" s="25" t="n">
        <v>0.97336624658958</v>
      </c>
      <c r="L20" s="25" t="n">
        <v>0.97336624658958</v>
      </c>
      <c r="M20" s="25" t="n">
        <v>0.97336624658958</v>
      </c>
      <c r="N20" s="1" t="n">
        <v>0.998774008990601</v>
      </c>
      <c r="O20" s="1" t="n">
        <v>0.998774008990601</v>
      </c>
      <c r="P20" s="1" t="n">
        <v>0.998774008990601</v>
      </c>
      <c r="Q20" s="1" t="n">
        <v>0.998774008990601</v>
      </c>
      <c r="R20" s="1" t="n">
        <v>0.998774008990601</v>
      </c>
      <c r="S20" s="1" t="n">
        <v>0.998774008990601</v>
      </c>
      <c r="T20" s="1" t="n">
        <v>0.998774008990601</v>
      </c>
      <c r="U20" s="1" t="n">
        <v>0.998774008990601</v>
      </c>
      <c r="V20" s="26" t="n">
        <v>1.75</v>
      </c>
      <c r="W20" s="26" t="n">
        <v>1.75</v>
      </c>
      <c r="X20" s="26" t="n">
        <v>1.75</v>
      </c>
      <c r="Y20" s="26" t="n">
        <v>1.75</v>
      </c>
      <c r="Z20" s="26" t="n">
        <v>1.75</v>
      </c>
      <c r="AA20" s="26" t="n">
        <v>1.75</v>
      </c>
      <c r="AB20" s="26" t="n">
        <v>1.75</v>
      </c>
      <c r="AC20" s="26" t="n">
        <v>1.75</v>
      </c>
      <c r="AD20" s="26" t="n">
        <v>1.75</v>
      </c>
      <c r="AE20" s="26" t="n">
        <v>1.75</v>
      </c>
      <c r="AF20" s="26" t="n">
        <v>1.75</v>
      </c>
      <c r="AG20" s="26" t="n">
        <v>1.75</v>
      </c>
      <c r="AH20" s="26" t="n">
        <v>1.75</v>
      </c>
      <c r="AI20" s="26" t="n">
        <v>1.75</v>
      </c>
      <c r="AJ20" s="26" t="n">
        <v>1.75</v>
      </c>
      <c r="AK20" s="26" t="n">
        <v>1.75</v>
      </c>
      <c r="AL20" s="26" t="n">
        <v>1.75</v>
      </c>
      <c r="AM20" s="26" t="n">
        <v>1.75</v>
      </c>
      <c r="AN20" s="26" t="n">
        <v>1.75</v>
      </c>
      <c r="AO20" s="26" t="n">
        <v>1.75</v>
      </c>
      <c r="AP20" s="26" t="n">
        <v>1.75</v>
      </c>
      <c r="AQ20" s="26" t="n">
        <v>1.75</v>
      </c>
      <c r="AR20" s="26" t="n">
        <v>1.75</v>
      </c>
      <c r="AS20" s="26" t="n">
        <v>1.75</v>
      </c>
      <c r="AT20" s="26" t="n">
        <v>1.75</v>
      </c>
      <c r="AU20" s="25" t="n">
        <v>0.97336624658958</v>
      </c>
      <c r="AV20" s="25" t="n">
        <v>0.97336624658958</v>
      </c>
      <c r="AW20" s="25" t="n">
        <v>0.97336624658958</v>
      </c>
      <c r="AX20" s="25" t="n">
        <v>0.97336624658958</v>
      </c>
      <c r="AY20" s="25" t="n">
        <v>0.97336624658958</v>
      </c>
      <c r="AZ20" s="25" t="n">
        <v>0.97336624658958</v>
      </c>
      <c r="BA20" s="25" t="n">
        <v>0.97336624658958</v>
      </c>
      <c r="BB20" s="25" t="n">
        <v>0.97336624658958</v>
      </c>
      <c r="BC20" s="25" t="n">
        <v>0.97336624658958</v>
      </c>
      <c r="BD20" s="25" t="n">
        <v>0.97336624658958</v>
      </c>
      <c r="BE20" s="25" t="n">
        <v>0.97336624658958</v>
      </c>
      <c r="BF20" s="25" t="n">
        <v>0.97336624658958</v>
      </c>
      <c r="BG20" s="25" t="n">
        <v>0.97336624658958</v>
      </c>
      <c r="BH20" s="25" t="n">
        <v>0.97336624658958</v>
      </c>
      <c r="BI20" s="25" t="n">
        <v>0.97336624658958</v>
      </c>
      <c r="BJ20" s="25" t="n">
        <v>0.97336624658958</v>
      </c>
      <c r="BK20" s="25" t="n">
        <v>0.97336624658958</v>
      </c>
    </row>
    <row r="21" customFormat="false" ht="12.75" hidden="false" customHeight="false" outlineLevel="0" collapsed="false">
      <c r="A21" s="24" t="n">
        <f aca="false">A20+1/24</f>
        <v>43528.7916666667</v>
      </c>
      <c r="B21" s="25" t="n">
        <v>0.895673639080161</v>
      </c>
      <c r="C21" s="25" t="n">
        <v>0.895673639080161</v>
      </c>
      <c r="D21" s="25" t="n">
        <v>0.895673639080161</v>
      </c>
      <c r="E21" s="25" t="n">
        <v>0.895673639080161</v>
      </c>
      <c r="F21" s="25" t="n">
        <v>0.895673639080161</v>
      </c>
      <c r="G21" s="25" t="n">
        <v>0.895673639080161</v>
      </c>
      <c r="H21" s="25" t="n">
        <v>0.895673639080161</v>
      </c>
      <c r="I21" s="25" t="n">
        <v>0.895673639080161</v>
      </c>
      <c r="J21" s="25" t="n">
        <v>0.895673639080161</v>
      </c>
      <c r="K21" s="25" t="n">
        <v>0.895673639080161</v>
      </c>
      <c r="L21" s="25" t="n">
        <v>0.895673639080161</v>
      </c>
      <c r="M21" s="25" t="n">
        <v>0.895673639080161</v>
      </c>
      <c r="N21" s="1" t="n">
        <v>0.829995913363302</v>
      </c>
      <c r="O21" s="1" t="n">
        <v>0.829995913363302</v>
      </c>
      <c r="P21" s="1" t="n">
        <v>0.829995913363302</v>
      </c>
      <c r="Q21" s="1" t="n">
        <v>0.829995913363302</v>
      </c>
      <c r="R21" s="1" t="n">
        <v>0.829995913363302</v>
      </c>
      <c r="S21" s="1" t="n">
        <v>0.829995913363302</v>
      </c>
      <c r="T21" s="1" t="n">
        <v>0.829995913363302</v>
      </c>
      <c r="U21" s="1" t="n">
        <v>0.829995913363302</v>
      </c>
      <c r="V21" s="26" t="n">
        <v>1.75</v>
      </c>
      <c r="W21" s="26" t="n">
        <v>1.75</v>
      </c>
      <c r="X21" s="26" t="n">
        <v>1.75</v>
      </c>
      <c r="Y21" s="26" t="n">
        <v>1.75</v>
      </c>
      <c r="Z21" s="26" t="n">
        <v>1.75</v>
      </c>
      <c r="AA21" s="26" t="n">
        <v>1.75</v>
      </c>
      <c r="AB21" s="26" t="n">
        <v>1.75</v>
      </c>
      <c r="AC21" s="26" t="n">
        <v>1.75</v>
      </c>
      <c r="AD21" s="26" t="n">
        <v>1.75</v>
      </c>
      <c r="AE21" s="26" t="n">
        <v>1.75</v>
      </c>
      <c r="AF21" s="26" t="n">
        <v>1.75</v>
      </c>
      <c r="AG21" s="26" t="n">
        <v>1.75</v>
      </c>
      <c r="AH21" s="26" t="n">
        <v>1.75</v>
      </c>
      <c r="AI21" s="26" t="n">
        <v>1.75</v>
      </c>
      <c r="AJ21" s="26" t="n">
        <v>1.75</v>
      </c>
      <c r="AK21" s="26" t="n">
        <v>1.75</v>
      </c>
      <c r="AL21" s="26" t="n">
        <v>1.75</v>
      </c>
      <c r="AM21" s="26" t="n">
        <v>1.75</v>
      </c>
      <c r="AN21" s="26" t="n">
        <v>1.75</v>
      </c>
      <c r="AO21" s="26" t="n">
        <v>1.75</v>
      </c>
      <c r="AP21" s="26" t="n">
        <v>1.75</v>
      </c>
      <c r="AQ21" s="26" t="n">
        <v>1.75</v>
      </c>
      <c r="AR21" s="26" t="n">
        <v>1.75</v>
      </c>
      <c r="AS21" s="26" t="n">
        <v>1.75</v>
      </c>
      <c r="AT21" s="26" t="n">
        <v>1.75</v>
      </c>
      <c r="AU21" s="25" t="n">
        <v>0.895673639080161</v>
      </c>
      <c r="AV21" s="25" t="n">
        <v>0.895673639080161</v>
      </c>
      <c r="AW21" s="25" t="n">
        <v>0.895673639080161</v>
      </c>
      <c r="AX21" s="25" t="n">
        <v>0.895673639080161</v>
      </c>
      <c r="AY21" s="25" t="n">
        <v>0.895673639080161</v>
      </c>
      <c r="AZ21" s="25" t="n">
        <v>0.895673639080161</v>
      </c>
      <c r="BA21" s="25" t="n">
        <v>0.895673639080161</v>
      </c>
      <c r="BB21" s="25" t="n">
        <v>0.895673639080161</v>
      </c>
      <c r="BC21" s="25" t="n">
        <v>0.895673639080161</v>
      </c>
      <c r="BD21" s="25" t="n">
        <v>0.895673639080161</v>
      </c>
      <c r="BE21" s="25" t="n">
        <v>0.895673639080161</v>
      </c>
      <c r="BF21" s="25" t="n">
        <v>0.895673639080161</v>
      </c>
      <c r="BG21" s="25" t="n">
        <v>0.895673639080161</v>
      </c>
      <c r="BH21" s="25" t="n">
        <v>0.895673639080161</v>
      </c>
      <c r="BI21" s="25" t="n">
        <v>0.895673639080161</v>
      </c>
      <c r="BJ21" s="25" t="n">
        <v>0.895673639080161</v>
      </c>
      <c r="BK21" s="25" t="n">
        <v>0.895673639080161</v>
      </c>
    </row>
    <row r="22" customFormat="false" ht="12.75" hidden="false" customHeight="false" outlineLevel="0" collapsed="false">
      <c r="A22" s="24" t="n">
        <f aca="false">A21+1/24</f>
        <v>43528.8333333333</v>
      </c>
      <c r="B22" s="25" t="n">
        <v>0.641072279242995</v>
      </c>
      <c r="C22" s="25" t="n">
        <v>0.641072279242995</v>
      </c>
      <c r="D22" s="25" t="n">
        <v>0.641072279242995</v>
      </c>
      <c r="E22" s="25" t="n">
        <v>0.641072279242995</v>
      </c>
      <c r="F22" s="25" t="n">
        <v>0.641072279242995</v>
      </c>
      <c r="G22" s="25" t="n">
        <v>0.641072279242995</v>
      </c>
      <c r="H22" s="25" t="n">
        <v>0.641072279242995</v>
      </c>
      <c r="I22" s="25" t="n">
        <v>0.641072279242995</v>
      </c>
      <c r="J22" s="25" t="n">
        <v>0.641072279242995</v>
      </c>
      <c r="K22" s="25" t="n">
        <v>0.641072279242995</v>
      </c>
      <c r="L22" s="25" t="n">
        <v>0.641072279242995</v>
      </c>
      <c r="M22" s="25" t="n">
        <v>0.641072279242995</v>
      </c>
      <c r="N22" s="1" t="n">
        <v>0.510829587249694</v>
      </c>
      <c r="O22" s="1" t="n">
        <v>0.510829587249694</v>
      </c>
      <c r="P22" s="1" t="n">
        <v>0.510829587249694</v>
      </c>
      <c r="Q22" s="1" t="n">
        <v>0.510829587249694</v>
      </c>
      <c r="R22" s="1" t="n">
        <v>0.510829587249694</v>
      </c>
      <c r="S22" s="1" t="n">
        <v>0.510829587249694</v>
      </c>
      <c r="T22" s="1" t="n">
        <v>0.510829587249694</v>
      </c>
      <c r="U22" s="1" t="n">
        <v>0.510829587249694</v>
      </c>
      <c r="V22" s="26" t="n">
        <v>1.25</v>
      </c>
      <c r="W22" s="26" t="n">
        <v>1.25</v>
      </c>
      <c r="X22" s="26" t="n">
        <v>1.25</v>
      </c>
      <c r="Y22" s="26" t="n">
        <v>1.25</v>
      </c>
      <c r="Z22" s="26" t="n">
        <v>1.25</v>
      </c>
      <c r="AA22" s="26" t="n">
        <v>1.25</v>
      </c>
      <c r="AB22" s="26" t="n">
        <v>1.25</v>
      </c>
      <c r="AC22" s="26" t="n">
        <v>1.25</v>
      </c>
      <c r="AD22" s="26" t="n">
        <v>1.25</v>
      </c>
      <c r="AE22" s="26" t="n">
        <v>1.25</v>
      </c>
      <c r="AF22" s="26" t="n">
        <v>1.25</v>
      </c>
      <c r="AG22" s="26" t="n">
        <v>1.25</v>
      </c>
      <c r="AH22" s="26" t="n">
        <v>1.25</v>
      </c>
      <c r="AI22" s="26" t="n">
        <v>1.25</v>
      </c>
      <c r="AJ22" s="26" t="n">
        <v>1.25</v>
      </c>
      <c r="AK22" s="26" t="n">
        <v>1.25</v>
      </c>
      <c r="AL22" s="26" t="n">
        <v>1.25</v>
      </c>
      <c r="AM22" s="26" t="n">
        <v>1.25</v>
      </c>
      <c r="AN22" s="26" t="n">
        <v>1.25</v>
      </c>
      <c r="AO22" s="26" t="n">
        <v>1.25</v>
      </c>
      <c r="AP22" s="26" t="n">
        <v>1.25</v>
      </c>
      <c r="AQ22" s="26" t="n">
        <v>1.25</v>
      </c>
      <c r="AR22" s="26" t="n">
        <v>1.25</v>
      </c>
      <c r="AS22" s="26" t="n">
        <v>1.25</v>
      </c>
      <c r="AT22" s="26" t="n">
        <v>1.25</v>
      </c>
      <c r="AU22" s="25" t="n">
        <v>0.641072279242995</v>
      </c>
      <c r="AV22" s="25" t="n">
        <v>0.641072279242995</v>
      </c>
      <c r="AW22" s="25" t="n">
        <v>0.641072279242995</v>
      </c>
      <c r="AX22" s="25" t="n">
        <v>0.641072279242995</v>
      </c>
      <c r="AY22" s="25" t="n">
        <v>0.641072279242995</v>
      </c>
      <c r="AZ22" s="25" t="n">
        <v>0.641072279242995</v>
      </c>
      <c r="BA22" s="25" t="n">
        <v>0.641072279242995</v>
      </c>
      <c r="BB22" s="25" t="n">
        <v>0.641072279242995</v>
      </c>
      <c r="BC22" s="25" t="n">
        <v>0.641072279242995</v>
      </c>
      <c r="BD22" s="25" t="n">
        <v>0.641072279242995</v>
      </c>
      <c r="BE22" s="25" t="n">
        <v>0.641072279242995</v>
      </c>
      <c r="BF22" s="25" t="n">
        <v>0.641072279242995</v>
      </c>
      <c r="BG22" s="25" t="n">
        <v>0.641072279242995</v>
      </c>
      <c r="BH22" s="25" t="n">
        <v>0.641072279242995</v>
      </c>
      <c r="BI22" s="25" t="n">
        <v>0.641072279242995</v>
      </c>
      <c r="BJ22" s="25" t="n">
        <v>0.641072279242995</v>
      </c>
      <c r="BK22" s="25" t="n">
        <v>0.641072279242995</v>
      </c>
    </row>
    <row r="23" customFormat="false" ht="12.75" hidden="false" customHeight="false" outlineLevel="0" collapsed="false">
      <c r="A23" s="24" t="n">
        <f aca="false">A22+1/24</f>
        <v>43528.875</v>
      </c>
      <c r="B23" s="25" t="n">
        <v>0.396561430860508</v>
      </c>
      <c r="C23" s="25" t="n">
        <v>0.396561430860508</v>
      </c>
      <c r="D23" s="25" t="n">
        <v>0.396561430860508</v>
      </c>
      <c r="E23" s="25" t="n">
        <v>0.396561430860508</v>
      </c>
      <c r="F23" s="25" t="n">
        <v>0.396561430860508</v>
      </c>
      <c r="G23" s="25" t="n">
        <v>0.396561430860508</v>
      </c>
      <c r="H23" s="25" t="n">
        <v>0.396561430860508</v>
      </c>
      <c r="I23" s="25" t="n">
        <v>0.396561430860508</v>
      </c>
      <c r="J23" s="25" t="n">
        <v>0.396561430860508</v>
      </c>
      <c r="K23" s="25" t="n">
        <v>0.396561430860508</v>
      </c>
      <c r="L23" s="25" t="n">
        <v>0.396561430860508</v>
      </c>
      <c r="M23" s="25" t="n">
        <v>0.396561430860508</v>
      </c>
      <c r="N23" s="1" t="n">
        <v>0.29914180629342</v>
      </c>
      <c r="O23" s="1" t="n">
        <v>0.29914180629342</v>
      </c>
      <c r="P23" s="1" t="n">
        <v>0.29914180629342</v>
      </c>
      <c r="Q23" s="1" t="n">
        <v>0.29914180629342</v>
      </c>
      <c r="R23" s="1" t="n">
        <v>0.29914180629342</v>
      </c>
      <c r="S23" s="1" t="n">
        <v>0.29914180629342</v>
      </c>
      <c r="T23" s="1" t="n">
        <v>0.29914180629342</v>
      </c>
      <c r="U23" s="1" t="n">
        <v>0.29914180629342</v>
      </c>
      <c r="V23" s="26" t="n">
        <v>1.625</v>
      </c>
      <c r="W23" s="26" t="n">
        <v>1.625</v>
      </c>
      <c r="X23" s="26" t="n">
        <v>1.625</v>
      </c>
      <c r="Y23" s="26" t="n">
        <v>1.625</v>
      </c>
      <c r="Z23" s="26" t="n">
        <v>1.625</v>
      </c>
      <c r="AA23" s="26" t="n">
        <v>1.625</v>
      </c>
      <c r="AB23" s="26" t="n">
        <v>1.625</v>
      </c>
      <c r="AC23" s="26" t="n">
        <v>1.625</v>
      </c>
      <c r="AD23" s="26" t="n">
        <v>1.625</v>
      </c>
      <c r="AE23" s="26" t="n">
        <v>1.625</v>
      </c>
      <c r="AF23" s="26" t="n">
        <v>1.625</v>
      </c>
      <c r="AG23" s="26" t="n">
        <v>1.625</v>
      </c>
      <c r="AH23" s="26" t="n">
        <v>1.625</v>
      </c>
      <c r="AI23" s="26" t="n">
        <v>1.625</v>
      </c>
      <c r="AJ23" s="26" t="n">
        <v>1.625</v>
      </c>
      <c r="AK23" s="26" t="n">
        <v>1.625</v>
      </c>
      <c r="AL23" s="26" t="n">
        <v>1.625</v>
      </c>
      <c r="AM23" s="26" t="n">
        <v>1.625</v>
      </c>
      <c r="AN23" s="26" t="n">
        <v>1.625</v>
      </c>
      <c r="AO23" s="26" t="n">
        <v>1.625</v>
      </c>
      <c r="AP23" s="26" t="n">
        <v>1.625</v>
      </c>
      <c r="AQ23" s="26" t="n">
        <v>1.625</v>
      </c>
      <c r="AR23" s="26" t="n">
        <v>1.625</v>
      </c>
      <c r="AS23" s="26" t="n">
        <v>1.625</v>
      </c>
      <c r="AT23" s="26" t="n">
        <v>1.625</v>
      </c>
      <c r="AU23" s="25" t="n">
        <v>0.396561430860508</v>
      </c>
      <c r="AV23" s="25" t="n">
        <v>0.396561430860508</v>
      </c>
      <c r="AW23" s="25" t="n">
        <v>0.396561430860508</v>
      </c>
      <c r="AX23" s="25" t="n">
        <v>0.396561430860508</v>
      </c>
      <c r="AY23" s="25" t="n">
        <v>0.396561430860508</v>
      </c>
      <c r="AZ23" s="25" t="n">
        <v>0.396561430860508</v>
      </c>
      <c r="BA23" s="25" t="n">
        <v>0.396561430860508</v>
      </c>
      <c r="BB23" s="25" t="n">
        <v>0.396561430860508</v>
      </c>
      <c r="BC23" s="25" t="n">
        <v>0.396561430860508</v>
      </c>
      <c r="BD23" s="25" t="n">
        <v>0.396561430860508</v>
      </c>
      <c r="BE23" s="25" t="n">
        <v>0.396561430860508</v>
      </c>
      <c r="BF23" s="25" t="n">
        <v>0.396561430860508</v>
      </c>
      <c r="BG23" s="25" t="n">
        <v>0.396561430860508</v>
      </c>
      <c r="BH23" s="25" t="n">
        <v>0.396561430860508</v>
      </c>
      <c r="BI23" s="25" t="n">
        <v>0.396561430860508</v>
      </c>
      <c r="BJ23" s="25" t="n">
        <v>0.396561430860508</v>
      </c>
      <c r="BK23" s="25" t="n">
        <v>0.396561430860508</v>
      </c>
    </row>
    <row r="24" customFormat="false" ht="12.75" hidden="false" customHeight="false" outlineLevel="0" collapsed="false">
      <c r="A24" s="24" t="n">
        <f aca="false">A23+1/24</f>
        <v>43528.9166666667</v>
      </c>
      <c r="B24" s="25" t="n">
        <v>0.292971287514616</v>
      </c>
      <c r="C24" s="25" t="n">
        <v>0.292971287514616</v>
      </c>
      <c r="D24" s="25" t="n">
        <v>0.292971287514616</v>
      </c>
      <c r="E24" s="25" t="n">
        <v>0.292971287514616</v>
      </c>
      <c r="F24" s="25" t="n">
        <v>0.292971287514616</v>
      </c>
      <c r="G24" s="25" t="n">
        <v>0.292971287514616</v>
      </c>
      <c r="H24" s="25" t="n">
        <v>0.292971287514616</v>
      </c>
      <c r="I24" s="25" t="n">
        <v>0.292971287514616</v>
      </c>
      <c r="J24" s="25" t="n">
        <v>0.292971287514616</v>
      </c>
      <c r="K24" s="25" t="n">
        <v>0.292971287514616</v>
      </c>
      <c r="L24" s="25" t="n">
        <v>0.292971287514616</v>
      </c>
      <c r="M24" s="25" t="n">
        <v>0.292971287514616</v>
      </c>
      <c r="N24" s="1" t="n">
        <v>0.206783816918676</v>
      </c>
      <c r="O24" s="1" t="n">
        <v>0.206783816918676</v>
      </c>
      <c r="P24" s="1" t="n">
        <v>0.206783816918676</v>
      </c>
      <c r="Q24" s="1" t="n">
        <v>0.206783816918676</v>
      </c>
      <c r="R24" s="1" t="n">
        <v>0.206783816918676</v>
      </c>
      <c r="S24" s="1" t="n">
        <v>0.206783816918676</v>
      </c>
      <c r="T24" s="1" t="n">
        <v>0.206783816918676</v>
      </c>
      <c r="U24" s="1" t="n">
        <v>0.206783816918676</v>
      </c>
      <c r="V24" s="26" t="n">
        <v>2.5</v>
      </c>
      <c r="W24" s="26" t="n">
        <v>2.5</v>
      </c>
      <c r="X24" s="26" t="n">
        <v>2.5</v>
      </c>
      <c r="Y24" s="26" t="n">
        <v>2.5</v>
      </c>
      <c r="Z24" s="26" t="n">
        <v>2.5</v>
      </c>
      <c r="AA24" s="26" t="n">
        <v>2.5</v>
      </c>
      <c r="AB24" s="26" t="n">
        <v>2.5</v>
      </c>
      <c r="AC24" s="26" t="n">
        <v>2.5</v>
      </c>
      <c r="AD24" s="26" t="n">
        <v>2.5</v>
      </c>
      <c r="AE24" s="26" t="n">
        <v>2.5</v>
      </c>
      <c r="AF24" s="26" t="n">
        <v>2.5</v>
      </c>
      <c r="AG24" s="26" t="n">
        <v>2.5</v>
      </c>
      <c r="AH24" s="26" t="n">
        <v>2.5</v>
      </c>
      <c r="AI24" s="26" t="n">
        <v>2.5</v>
      </c>
      <c r="AJ24" s="26" t="n">
        <v>2.5</v>
      </c>
      <c r="AK24" s="26" t="n">
        <v>2.5</v>
      </c>
      <c r="AL24" s="26" t="n">
        <v>2.5</v>
      </c>
      <c r="AM24" s="26" t="n">
        <v>2.5</v>
      </c>
      <c r="AN24" s="26" t="n">
        <v>2.5</v>
      </c>
      <c r="AO24" s="26" t="n">
        <v>2.5</v>
      </c>
      <c r="AP24" s="26" t="n">
        <v>2.5</v>
      </c>
      <c r="AQ24" s="26" t="n">
        <v>2.5</v>
      </c>
      <c r="AR24" s="26" t="n">
        <v>2.5</v>
      </c>
      <c r="AS24" s="26" t="n">
        <v>2.5</v>
      </c>
      <c r="AT24" s="26" t="n">
        <v>2.5</v>
      </c>
      <c r="AU24" s="25" t="n">
        <v>0.292971287514616</v>
      </c>
      <c r="AV24" s="25" t="n">
        <v>0.292971287514616</v>
      </c>
      <c r="AW24" s="25" t="n">
        <v>0.292971287514616</v>
      </c>
      <c r="AX24" s="25" t="n">
        <v>0.292971287514616</v>
      </c>
      <c r="AY24" s="25" t="n">
        <v>0.292971287514616</v>
      </c>
      <c r="AZ24" s="25" t="n">
        <v>0.292971287514616</v>
      </c>
      <c r="BA24" s="25" t="n">
        <v>0.292971287514616</v>
      </c>
      <c r="BB24" s="25" t="n">
        <v>0.292971287514616</v>
      </c>
      <c r="BC24" s="25" t="n">
        <v>0.292971287514616</v>
      </c>
      <c r="BD24" s="25" t="n">
        <v>0.292971287514616</v>
      </c>
      <c r="BE24" s="25" t="n">
        <v>0.292971287514616</v>
      </c>
      <c r="BF24" s="25" t="n">
        <v>0.292971287514616</v>
      </c>
      <c r="BG24" s="25" t="n">
        <v>0.292971287514616</v>
      </c>
      <c r="BH24" s="25" t="n">
        <v>0.292971287514616</v>
      </c>
      <c r="BI24" s="25" t="n">
        <v>0.292971287514616</v>
      </c>
      <c r="BJ24" s="25" t="n">
        <v>0.292971287514616</v>
      </c>
      <c r="BK24" s="25" t="n">
        <v>0.292971287514616</v>
      </c>
    </row>
    <row r="25" customFormat="false" ht="12.75" hidden="false" customHeight="false" outlineLevel="0" collapsed="false">
      <c r="A25" s="24" t="n">
        <f aca="false">A24+1/24</f>
        <v>43528.9583333333</v>
      </c>
      <c r="B25" s="25" t="n">
        <v>0.173227664458014</v>
      </c>
      <c r="C25" s="25" t="n">
        <v>0.173227664458014</v>
      </c>
      <c r="D25" s="25" t="n">
        <v>0.173227664458014</v>
      </c>
      <c r="E25" s="25" t="n">
        <v>0.173227664458014</v>
      </c>
      <c r="F25" s="25" t="n">
        <v>0.173227664458014</v>
      </c>
      <c r="G25" s="25" t="n">
        <v>0.173227664458014</v>
      </c>
      <c r="H25" s="25" t="n">
        <v>0.173227664458014</v>
      </c>
      <c r="I25" s="25" t="n">
        <v>0.173227664458014</v>
      </c>
      <c r="J25" s="25" t="n">
        <v>0.173227664458014</v>
      </c>
      <c r="K25" s="25" t="n">
        <v>0.173227664458014</v>
      </c>
      <c r="L25" s="25" t="n">
        <v>0.173227664458014</v>
      </c>
      <c r="M25" s="25" t="n">
        <v>0.173227664458014</v>
      </c>
      <c r="N25" s="1" t="n">
        <v>0.151614221495709</v>
      </c>
      <c r="O25" s="1" t="n">
        <v>0.151614221495709</v>
      </c>
      <c r="P25" s="1" t="n">
        <v>0.151614221495709</v>
      </c>
      <c r="Q25" s="1" t="n">
        <v>0.151614221495709</v>
      </c>
      <c r="R25" s="1" t="n">
        <v>0.151614221495709</v>
      </c>
      <c r="S25" s="1" t="n">
        <v>0.151614221495709</v>
      </c>
      <c r="T25" s="1" t="n">
        <v>0.151614221495709</v>
      </c>
      <c r="U25" s="1" t="n">
        <v>0.151614221495709</v>
      </c>
      <c r="V25" s="26" t="n">
        <v>1.875</v>
      </c>
      <c r="W25" s="26" t="n">
        <v>1.875</v>
      </c>
      <c r="X25" s="26" t="n">
        <v>1.875</v>
      </c>
      <c r="Y25" s="26" t="n">
        <v>1.875</v>
      </c>
      <c r="Z25" s="26" t="n">
        <v>1.875</v>
      </c>
      <c r="AA25" s="26" t="n">
        <v>1.875</v>
      </c>
      <c r="AB25" s="26" t="n">
        <v>1.875</v>
      </c>
      <c r="AC25" s="26" t="n">
        <v>1.875</v>
      </c>
      <c r="AD25" s="26" t="n">
        <v>1.875</v>
      </c>
      <c r="AE25" s="26" t="n">
        <v>1.875</v>
      </c>
      <c r="AF25" s="26" t="n">
        <v>1.875</v>
      </c>
      <c r="AG25" s="26" t="n">
        <v>1.875</v>
      </c>
      <c r="AH25" s="26" t="n">
        <v>1.875</v>
      </c>
      <c r="AI25" s="26" t="n">
        <v>1.875</v>
      </c>
      <c r="AJ25" s="26" t="n">
        <v>1.875</v>
      </c>
      <c r="AK25" s="26" t="n">
        <v>1.875</v>
      </c>
      <c r="AL25" s="26" t="n">
        <v>1.875</v>
      </c>
      <c r="AM25" s="26" t="n">
        <v>1.875</v>
      </c>
      <c r="AN25" s="26" t="n">
        <v>1.875</v>
      </c>
      <c r="AO25" s="26" t="n">
        <v>1.875</v>
      </c>
      <c r="AP25" s="26" t="n">
        <v>1.875</v>
      </c>
      <c r="AQ25" s="26" t="n">
        <v>1.875</v>
      </c>
      <c r="AR25" s="26" t="n">
        <v>1.875</v>
      </c>
      <c r="AS25" s="26" t="n">
        <v>1.875</v>
      </c>
      <c r="AT25" s="26" t="n">
        <v>1.875</v>
      </c>
      <c r="AU25" s="25" t="n">
        <v>0.173227664458014</v>
      </c>
      <c r="AV25" s="25" t="n">
        <v>0.173227664458014</v>
      </c>
      <c r="AW25" s="25" t="n">
        <v>0.173227664458014</v>
      </c>
      <c r="AX25" s="25" t="n">
        <v>0.173227664458014</v>
      </c>
      <c r="AY25" s="25" t="n">
        <v>0.173227664458014</v>
      </c>
      <c r="AZ25" s="25" t="n">
        <v>0.173227664458014</v>
      </c>
      <c r="BA25" s="25" t="n">
        <v>0.173227664458014</v>
      </c>
      <c r="BB25" s="25" t="n">
        <v>0.173227664458014</v>
      </c>
      <c r="BC25" s="25" t="n">
        <v>0.173227664458014</v>
      </c>
      <c r="BD25" s="25" t="n">
        <v>0.173227664458014</v>
      </c>
      <c r="BE25" s="25" t="n">
        <v>0.173227664458014</v>
      </c>
      <c r="BF25" s="25" t="n">
        <v>0.173227664458014</v>
      </c>
      <c r="BG25" s="25" t="n">
        <v>0.173227664458014</v>
      </c>
      <c r="BH25" s="25" t="n">
        <v>0.173227664458014</v>
      </c>
      <c r="BI25" s="25" t="n">
        <v>0.173227664458014</v>
      </c>
      <c r="BJ25" s="25" t="n">
        <v>0.173227664458014</v>
      </c>
      <c r="BK25" s="25" t="n">
        <v>0.173227664458014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6" activeCellId="0" sqref="G16"/>
    </sheetView>
  </sheetViews>
  <sheetFormatPr defaultColWidth="11.71484375" defaultRowHeight="12.8" zeroHeight="false" outlineLevelRow="0" outlineLevelCol="0"/>
  <cols>
    <col collapsed="false" customWidth="true" hidden="false" outlineLevel="0" max="1" min="1" style="1" width="4.71"/>
    <col collapsed="false" customWidth="true" hidden="false" outlineLevel="0" max="13" min="2" style="1" width="17.15"/>
    <col collapsed="false" customWidth="true" hidden="false" outlineLevel="0" max="14" min="14" style="1" width="14.71"/>
    <col collapsed="false" customWidth="true" hidden="false" outlineLevel="0" max="15" min="15" style="1" width="13.42"/>
    <col collapsed="false" customWidth="true" hidden="false" outlineLevel="0" max="16" min="16" style="1" width="14.71"/>
    <col collapsed="false" customWidth="true" hidden="false" outlineLevel="0" max="17" min="17" style="1" width="17.15"/>
    <col collapsed="false" customWidth="true" hidden="false" outlineLevel="0" max="18" min="18" style="1" width="15"/>
    <col collapsed="false" customWidth="true" hidden="false" outlineLevel="0" max="19" min="19" style="1" width="11.29"/>
    <col collapsed="false" customWidth="true" hidden="false" outlineLevel="0" max="20" min="20" style="1" width="14.86"/>
    <col collapsed="false" customWidth="true" hidden="false" outlineLevel="0" max="21" min="21" style="1" width="11.14"/>
    <col collapsed="false" customWidth="true" hidden="false" outlineLevel="0" max="22" min="22" style="1" width="16.57"/>
    <col collapsed="false" customWidth="true" hidden="false" outlineLevel="0" max="23" min="23" style="1" width="19.71"/>
    <col collapsed="false" customWidth="true" hidden="false" outlineLevel="0" max="29" min="24" style="1" width="20.57"/>
    <col collapsed="false" customWidth="true" hidden="false" outlineLevel="0" max="30" min="30" style="1" width="17.57"/>
    <col collapsed="false" customWidth="true" hidden="false" outlineLevel="0" max="31" min="31" style="1" width="16.84"/>
    <col collapsed="false" customWidth="true" hidden="false" outlineLevel="0" max="32" min="32" style="1" width="19.86"/>
    <col collapsed="false" customWidth="true" hidden="false" outlineLevel="0" max="38" min="33" style="1" width="20.71"/>
    <col collapsed="false" customWidth="true" hidden="false" outlineLevel="0" max="39" min="39" style="1" width="17.71"/>
    <col collapsed="false" customWidth="true" hidden="false" outlineLevel="0" max="45" min="40" style="1" width="20.42"/>
    <col collapsed="false" customWidth="true" hidden="false" outlineLevel="0" max="46" min="46" style="1" width="14.57"/>
    <col collapsed="false" customWidth="true" hidden="false" outlineLevel="0" max="47" min="47" style="1" width="14"/>
    <col collapsed="false" customWidth="true" hidden="false" outlineLevel="0" max="48" min="48" style="1" width="17.15"/>
    <col collapsed="false" customWidth="true" hidden="false" outlineLevel="0" max="49" min="49" style="1" width="14"/>
    <col collapsed="false" customWidth="true" hidden="false" outlineLevel="0" max="50" min="50" style="1" width="14.14"/>
    <col collapsed="false" customWidth="true" hidden="false" outlineLevel="0" max="51" min="51" style="1" width="17.15"/>
    <col collapsed="false" customWidth="true" hidden="false" outlineLevel="0" max="52" min="52" style="1" width="14.14"/>
    <col collapsed="false" customWidth="true" hidden="false" outlineLevel="0" max="54" min="53" style="1" width="18"/>
    <col collapsed="false" customWidth="true" hidden="false" outlineLevel="0" max="56" min="55" style="1" width="18.29"/>
    <col collapsed="false" customWidth="true" hidden="false" outlineLevel="0" max="57" min="57" style="1" width="15.29"/>
    <col collapsed="false" customWidth="true" hidden="false" outlineLevel="0" max="58" min="58" style="1" width="10.85"/>
    <col collapsed="false" customWidth="true" hidden="false" outlineLevel="0" max="59" min="59" style="1" width="13.15"/>
    <col collapsed="false" customWidth="true" hidden="false" outlineLevel="0" max="60" min="60" style="1" width="17.15"/>
    <col collapsed="false" customWidth="true" hidden="false" outlineLevel="0" max="61" min="61" style="1" width="18.14"/>
    <col collapsed="false" customWidth="true" hidden="false" outlineLevel="0" max="62" min="62" style="1" width="14.14"/>
    <col collapsed="false" customWidth="true" hidden="false" outlineLevel="0" max="63" min="63" style="1" width="10"/>
  </cols>
  <sheetData>
    <row r="1" customFormat="false" ht="12.75" hidden="false" customHeight="false" outlineLevel="0" collapsed="false">
      <c r="A1" s="2" t="s">
        <v>235</v>
      </c>
      <c r="B1" s="23" t="str">
        <f aca="false">fleet_age!B1</f>
        <v>PC_MINI_G</v>
      </c>
      <c r="C1" s="23" t="str">
        <f aca="false">fleet_age!C1</f>
        <v>PC_SMALL_G</v>
      </c>
      <c r="D1" s="23" t="str">
        <f aca="false">fleet_age!D1</f>
        <v>PC_MEDIUM_G</v>
      </c>
      <c r="E1" s="23" t="str">
        <f aca="false">fleet_age!E1</f>
        <v>PC_SUV_G</v>
      </c>
      <c r="F1" s="23" t="str">
        <f aca="false">fleet_age!F1</f>
        <v>PC_MINI_D</v>
      </c>
      <c r="G1" s="23" t="str">
        <f aca="false">fleet_age!G1</f>
        <v>PC_SMALL_D</v>
      </c>
      <c r="H1" s="23" t="str">
        <f aca="false">fleet_age!H1</f>
        <v>PC_MEDIUM_D</v>
      </c>
      <c r="I1" s="23" t="str">
        <f aca="false">fleet_age!I1</f>
        <v>PC_SUV_D</v>
      </c>
      <c r="J1" s="23" t="str">
        <f aca="false">fleet_age!J1</f>
        <v>PC_ELEC</v>
      </c>
      <c r="K1" s="23" t="str">
        <f aca="false">fleet_age!K1</f>
        <v>PC_SMALL_HY</v>
      </c>
      <c r="L1" s="27" t="str">
        <f aca="false">fleet_age!L1</f>
        <v>TAXI_SMALL_G</v>
      </c>
      <c r="M1" s="27" t="str">
        <f aca="false">fleet_age!M1</f>
        <v>TAXI_SMALL_GLP</v>
      </c>
      <c r="N1" s="2" t="str">
        <f aca="false">fleet_age!N1</f>
        <v>LCV_NI_G</v>
      </c>
      <c r="O1" s="2" t="str">
        <f aca="false">fleet_age!O1</f>
        <v>LCV_NII_G</v>
      </c>
      <c r="P1" s="2" t="str">
        <f aca="false">fleet_age!P1</f>
        <v>LCV_NIII_G</v>
      </c>
      <c r="Q1" s="2" t="str">
        <f aca="false">fleet_age!Q1</f>
        <v>LCV_NI_D</v>
      </c>
      <c r="R1" s="2" t="str">
        <f aca="false">fleet_age!R1</f>
        <v>LCV_NII_D</v>
      </c>
      <c r="S1" s="2" t="str">
        <f aca="false">fleet_age!S1</f>
        <v>LCV_NIII_D</v>
      </c>
      <c r="T1" s="2" t="str">
        <f aca="false">fleet_age!T1</f>
        <v>LCV_ELEC</v>
      </c>
      <c r="U1" s="2" t="str">
        <f aca="false">fleet_age!U1</f>
        <v>LCV_HY</v>
      </c>
      <c r="V1" s="28" t="str">
        <f aca="false">fleet_age!V1</f>
        <v>TRUCKS_RT_7_D</v>
      </c>
      <c r="W1" s="28" t="str">
        <f aca="false">fleet_age!W1</f>
        <v>TRUCKS_RT_7_12_D</v>
      </c>
      <c r="X1" s="28" t="str">
        <f aca="false">fleet_age!X1</f>
        <v>TRUCKS_RT_12_14_D</v>
      </c>
      <c r="Y1" s="28" t="str">
        <f aca="false">fleet_age!Y1</f>
        <v>TRUCKS_RT_14_16_D</v>
      </c>
      <c r="Z1" s="28" t="str">
        <f aca="false">fleet_age!Z1</f>
        <v>TRUCKS_RT_16_20_D</v>
      </c>
      <c r="AA1" s="28" t="str">
        <f aca="false">fleet_age!AA1</f>
        <v>TRUCKS_RT_20_26_D</v>
      </c>
      <c r="AB1" s="29" t="str">
        <f aca="false">fleet_age!AB1</f>
        <v>TRUCKS_RT_26_28_D</v>
      </c>
      <c r="AC1" s="29" t="str">
        <f aca="false">fleet_age!AC1</f>
        <v>TRUCKS_RT_28_32_D</v>
      </c>
      <c r="AD1" s="29" t="str">
        <f aca="false">fleet_age!AD1</f>
        <v>TRUCKS_RT_32_D</v>
      </c>
      <c r="AE1" s="28" t="str">
        <f aca="false">fleet_age!AE1</f>
        <v>TRUCKS_RT_7_G</v>
      </c>
      <c r="AF1" s="28" t="str">
        <f aca="false">fleet_age!AF1</f>
        <v>TRUCKS_RT_7_12_G</v>
      </c>
      <c r="AG1" s="28" t="str">
        <f aca="false">fleet_age!AG1</f>
        <v>TRUCKS_RT_12_14_G</v>
      </c>
      <c r="AH1" s="28" t="str">
        <f aca="false">fleet_age!AH1</f>
        <v>TRUCKS_RT_14_16_G</v>
      </c>
      <c r="AI1" s="28" t="str">
        <f aca="false">fleet_age!AI1</f>
        <v>TRUCKS_RT_16_20_G</v>
      </c>
      <c r="AJ1" s="28" t="str">
        <f aca="false">fleet_age!AJ1</f>
        <v>TRUCKS_RT_20_26_G</v>
      </c>
      <c r="AK1" s="29" t="str">
        <f aca="false">fleet_age!AK1</f>
        <v>TRUCKS_RT_26_28_G</v>
      </c>
      <c r="AL1" s="29" t="str">
        <f aca="false">fleet_age!AL1</f>
        <v>TRUCKS_RT_28_32_G</v>
      </c>
      <c r="AM1" s="29" t="str">
        <f aca="false">fleet_age!AM1</f>
        <v>TRUCKS_RT_32_G</v>
      </c>
      <c r="AN1" s="29" t="str">
        <f aca="false">fleet_age!AN1</f>
        <v>TRUCKS_AT_16_20_D</v>
      </c>
      <c r="AO1" s="29" t="str">
        <f aca="false">fleet_age!AO1</f>
        <v>TRUCKS_AT_20_28_D</v>
      </c>
      <c r="AP1" s="29" t="str">
        <f aca="false">fleet_age!AP1</f>
        <v>TRUCKS_AT_28_34_D</v>
      </c>
      <c r="AQ1" s="29" t="str">
        <f aca="false">fleet_age!AQ1</f>
        <v>TRUCKS_AT_34_40_D</v>
      </c>
      <c r="AR1" s="29" t="str">
        <f aca="false">fleet_age!AR1</f>
        <v>TRUCKS_AT_40_50_D</v>
      </c>
      <c r="AS1" s="29" t="str">
        <f aca="false">fleet_age!AS1</f>
        <v>TRUCKS_AT_50_60_D</v>
      </c>
      <c r="AT1" s="28" t="str">
        <f aca="false">fleet_age!AT1</f>
        <v>TRUCKS_ELEC</v>
      </c>
      <c r="AU1" s="30" t="str">
        <f aca="false">fleet_age!AU1</f>
        <v>BUS_UB_15_D</v>
      </c>
      <c r="AV1" s="30" t="str">
        <f aca="false">fleet_age!AV1</f>
        <v>BUS_UB_15_18_D</v>
      </c>
      <c r="AW1" s="30" t="str">
        <f aca="false">fleet_age!AW1</f>
        <v>BUS_UB_18_D</v>
      </c>
      <c r="AX1" s="30" t="str">
        <f aca="false">fleet_age!AX1</f>
        <v>BUS_UB_15_G</v>
      </c>
      <c r="AY1" s="30" t="str">
        <f aca="false">fleet_age!AY1</f>
        <v>BUS_UB_15_18_G</v>
      </c>
      <c r="AZ1" s="30" t="str">
        <f aca="false">fleet_age!AZ1</f>
        <v>BUS_UB_18_G</v>
      </c>
      <c r="BA1" s="30" t="str">
        <f aca="false">fleet_age!BA1</f>
        <v>BUS_COACH_17_D</v>
      </c>
      <c r="BB1" s="30" t="str">
        <f aca="false">fleet_age!BB1</f>
        <v>BUS_COACH_18_D</v>
      </c>
      <c r="BC1" s="30" t="str">
        <f aca="false">fleet_age!BC1</f>
        <v>BUS_COACH_17_G</v>
      </c>
      <c r="BD1" s="30" t="str">
        <f aca="false">fleet_age!BD1</f>
        <v>BUS_COACH_18_G</v>
      </c>
      <c r="BE1" s="30" t="str">
        <f aca="false">fleet_age!BE1</f>
        <v>BUS_UB_15_HY</v>
      </c>
      <c r="BF1" s="30" t="str">
        <f aca="false">fleet_age!BF1</f>
        <v>BUS_ELEC</v>
      </c>
      <c r="BG1" s="31" t="str">
        <f aca="false">fleet_age!BG1</f>
        <v>MC_2S_50_G</v>
      </c>
      <c r="BH1" s="31" t="str">
        <f aca="false">fleet_age!BH1</f>
        <v>MC_4S_50_250_G</v>
      </c>
      <c r="BI1" s="31" t="str">
        <f aca="false">fleet_age!BI1</f>
        <v>MC_4S_250_750_G</v>
      </c>
      <c r="BJ1" s="31" t="str">
        <f aca="false">fleet_age!BJ1</f>
        <v>MC_4S_750_G</v>
      </c>
      <c r="BK1" s="31" t="str">
        <f aca="false">fleet_age!BK1</f>
        <v>MC_ELEC</v>
      </c>
    </row>
    <row r="2" customFormat="false" ht="12.75" hidden="false" customHeight="false" outlineLevel="0" collapsed="false">
      <c r="A2" s="1" t="n">
        <v>1</v>
      </c>
      <c r="B2" s="25" t="n">
        <v>11996.7656</v>
      </c>
      <c r="C2" s="25" t="n">
        <v>11996.7656</v>
      </c>
      <c r="D2" s="25" t="n">
        <v>11996.7656</v>
      </c>
      <c r="E2" s="25" t="n">
        <v>11996.7656</v>
      </c>
      <c r="F2" s="25" t="n">
        <v>11996.7656</v>
      </c>
      <c r="G2" s="25" t="n">
        <v>11996.7656</v>
      </c>
      <c r="H2" s="25" t="n">
        <v>11996.7656</v>
      </c>
      <c r="I2" s="25" t="n">
        <v>11996.7656</v>
      </c>
      <c r="J2" s="25" t="n">
        <v>11996.7656</v>
      </c>
      <c r="K2" s="25" t="n">
        <v>11996.7656</v>
      </c>
      <c r="L2" s="32" t="n">
        <f aca="false">K2*7</f>
        <v>83977.3592</v>
      </c>
      <c r="M2" s="32" t="n">
        <f aca="false">L2</f>
        <v>83977.3592</v>
      </c>
      <c r="N2" s="1" t="n">
        <v>17932.7643</v>
      </c>
      <c r="O2" s="1" t="n">
        <v>17932.7643</v>
      </c>
      <c r="P2" s="1" t="n">
        <v>17932.7643</v>
      </c>
      <c r="Q2" s="1" t="n">
        <v>17932.7643</v>
      </c>
      <c r="R2" s="1" t="n">
        <v>17932.7643</v>
      </c>
      <c r="S2" s="1" t="n">
        <v>17932.7643</v>
      </c>
      <c r="T2" s="1" t="n">
        <v>17932.7643</v>
      </c>
      <c r="U2" s="1" t="n">
        <v>17932.7643</v>
      </c>
      <c r="V2" s="33" t="n">
        <v>41083.0622</v>
      </c>
      <c r="W2" s="33" t="n">
        <v>41083.0622</v>
      </c>
      <c r="X2" s="33" t="n">
        <v>41083.0622</v>
      </c>
      <c r="Y2" s="33" t="n">
        <v>41083.0622</v>
      </c>
      <c r="Z2" s="33" t="n">
        <v>41083.0622</v>
      </c>
      <c r="AA2" s="33" t="n">
        <v>41083.0622</v>
      </c>
      <c r="AB2" s="34" t="n">
        <v>56223.3</v>
      </c>
      <c r="AC2" s="34" t="n">
        <v>56223.3</v>
      </c>
      <c r="AD2" s="34" t="n">
        <v>56223.3</v>
      </c>
      <c r="AE2" s="33" t="n">
        <v>41083.0622</v>
      </c>
      <c r="AF2" s="33" t="n">
        <v>41083.0622</v>
      </c>
      <c r="AG2" s="33" t="n">
        <v>41083.0622</v>
      </c>
      <c r="AH2" s="33" t="n">
        <v>41083.0622</v>
      </c>
      <c r="AI2" s="33" t="n">
        <v>41083.0622</v>
      </c>
      <c r="AJ2" s="33" t="n">
        <v>41083.0622</v>
      </c>
      <c r="AK2" s="34" t="n">
        <v>56223.3</v>
      </c>
      <c r="AL2" s="34" t="n">
        <v>56223.3</v>
      </c>
      <c r="AM2" s="34" t="n">
        <v>56223.3</v>
      </c>
      <c r="AN2" s="34" t="n">
        <v>56223.3</v>
      </c>
      <c r="AO2" s="34" t="n">
        <v>56223.3</v>
      </c>
      <c r="AP2" s="34" t="n">
        <v>56223.3</v>
      </c>
      <c r="AQ2" s="34" t="n">
        <v>56223.3</v>
      </c>
      <c r="AR2" s="34" t="n">
        <v>56223.3</v>
      </c>
      <c r="AS2" s="34" t="n">
        <v>56223.3</v>
      </c>
      <c r="AT2" s="33" t="n">
        <v>41083.0622</v>
      </c>
      <c r="AU2" s="35" t="n">
        <v>62470.1549</v>
      </c>
      <c r="AV2" s="35" t="n">
        <v>62470.1549</v>
      </c>
      <c r="AW2" s="35" t="n">
        <v>62470.1549</v>
      </c>
      <c r="AX2" s="35" t="n">
        <v>62470.1549</v>
      </c>
      <c r="AY2" s="35" t="n">
        <v>62470.1549</v>
      </c>
      <c r="AZ2" s="35" t="n">
        <v>62470.1549</v>
      </c>
      <c r="BA2" s="35" t="n">
        <v>62470.1549</v>
      </c>
      <c r="BB2" s="35" t="n">
        <v>62470.1549</v>
      </c>
      <c r="BC2" s="35" t="n">
        <v>62470.1549</v>
      </c>
      <c r="BD2" s="35" t="n">
        <v>62470.1549</v>
      </c>
      <c r="BE2" s="35" t="n">
        <v>62470.1549</v>
      </c>
      <c r="BF2" s="35" t="n">
        <v>62470.1549</v>
      </c>
      <c r="BG2" s="36" t="n">
        <v>12806.7672</v>
      </c>
      <c r="BH2" s="36" t="n">
        <v>12806.7672</v>
      </c>
      <c r="BI2" s="36" t="n">
        <v>12806.7672</v>
      </c>
      <c r="BJ2" s="36" t="n">
        <v>12806.7672</v>
      </c>
      <c r="BK2" s="36" t="n">
        <v>12806.7672</v>
      </c>
    </row>
    <row r="3" customFormat="false" ht="12.75" hidden="false" customHeight="false" outlineLevel="0" collapsed="false">
      <c r="A3" s="1" t="n">
        <f aca="false">A2+1</f>
        <v>2</v>
      </c>
      <c r="B3" s="25" t="n">
        <v>12632.4288</v>
      </c>
      <c r="C3" s="25" t="n">
        <v>12632.4288</v>
      </c>
      <c r="D3" s="25" t="n">
        <v>12632.4288</v>
      </c>
      <c r="E3" s="25" t="n">
        <v>12632.4288</v>
      </c>
      <c r="F3" s="25" t="n">
        <v>12632.4288</v>
      </c>
      <c r="G3" s="25" t="n">
        <v>12632.4288</v>
      </c>
      <c r="H3" s="25" t="n">
        <v>12632.4288</v>
      </c>
      <c r="I3" s="25" t="n">
        <v>12632.4288</v>
      </c>
      <c r="J3" s="25" t="n">
        <v>12632.4288</v>
      </c>
      <c r="K3" s="25" t="n">
        <v>12632.4288</v>
      </c>
      <c r="L3" s="32" t="n">
        <f aca="false">K3*7</f>
        <v>88427.0016</v>
      </c>
      <c r="M3" s="32" t="n">
        <f aca="false">L3</f>
        <v>88427.0016</v>
      </c>
      <c r="N3" s="1" t="n">
        <v>17638.0464</v>
      </c>
      <c r="O3" s="1" t="n">
        <v>17638.0464</v>
      </c>
      <c r="P3" s="1" t="n">
        <v>17638.0464</v>
      </c>
      <c r="Q3" s="1" t="n">
        <v>17638.0464</v>
      </c>
      <c r="R3" s="1" t="n">
        <v>17638.0464</v>
      </c>
      <c r="S3" s="1" t="n">
        <v>17638.0464</v>
      </c>
      <c r="T3" s="1" t="n">
        <v>17638.0464</v>
      </c>
      <c r="U3" s="1" t="n">
        <v>17638.0464</v>
      </c>
      <c r="V3" s="33" t="n">
        <v>38116.5968</v>
      </c>
      <c r="W3" s="33" t="n">
        <v>38116.5968</v>
      </c>
      <c r="X3" s="33" t="n">
        <v>38116.5968</v>
      </c>
      <c r="Y3" s="33" t="n">
        <v>38116.5968</v>
      </c>
      <c r="Z3" s="33" t="n">
        <v>38116.5968</v>
      </c>
      <c r="AA3" s="33" t="n">
        <v>38116.5968</v>
      </c>
      <c r="AB3" s="34" t="n">
        <v>55199.6</v>
      </c>
      <c r="AC3" s="34" t="n">
        <v>55199.6</v>
      </c>
      <c r="AD3" s="34" t="n">
        <v>55199.6</v>
      </c>
      <c r="AE3" s="33" t="n">
        <v>38116.5968</v>
      </c>
      <c r="AF3" s="33" t="n">
        <v>38116.5968</v>
      </c>
      <c r="AG3" s="33" t="n">
        <v>38116.5968</v>
      </c>
      <c r="AH3" s="33" t="n">
        <v>38116.5968</v>
      </c>
      <c r="AI3" s="33" t="n">
        <v>38116.5968</v>
      </c>
      <c r="AJ3" s="33" t="n">
        <v>38116.5968</v>
      </c>
      <c r="AK3" s="34" t="n">
        <v>55199.6</v>
      </c>
      <c r="AL3" s="34" t="n">
        <v>55199.6</v>
      </c>
      <c r="AM3" s="34" t="n">
        <v>55199.6</v>
      </c>
      <c r="AN3" s="34" t="n">
        <v>55199.6</v>
      </c>
      <c r="AO3" s="34" t="n">
        <v>55199.6</v>
      </c>
      <c r="AP3" s="34" t="n">
        <v>55199.6</v>
      </c>
      <c r="AQ3" s="34" t="n">
        <v>55199.6</v>
      </c>
      <c r="AR3" s="34" t="n">
        <v>55199.6</v>
      </c>
      <c r="AS3" s="34" t="n">
        <v>55199.6</v>
      </c>
      <c r="AT3" s="33" t="n">
        <v>38116.5968</v>
      </c>
      <c r="AU3" s="35" t="n">
        <v>58978.9992</v>
      </c>
      <c r="AV3" s="35" t="n">
        <v>58978.9992</v>
      </c>
      <c r="AW3" s="35" t="n">
        <v>58978.9992</v>
      </c>
      <c r="AX3" s="35" t="n">
        <v>58978.9992</v>
      </c>
      <c r="AY3" s="35" t="n">
        <v>58978.9992</v>
      </c>
      <c r="AZ3" s="35" t="n">
        <v>58978.9992</v>
      </c>
      <c r="BA3" s="35" t="n">
        <v>58978.9992</v>
      </c>
      <c r="BB3" s="35" t="n">
        <v>58978.9992</v>
      </c>
      <c r="BC3" s="35" t="n">
        <v>58978.9992</v>
      </c>
      <c r="BD3" s="35" t="n">
        <v>58978.9992</v>
      </c>
      <c r="BE3" s="35" t="n">
        <v>58978.9992</v>
      </c>
      <c r="BF3" s="35" t="n">
        <v>58978.9992</v>
      </c>
      <c r="BG3" s="36" t="n">
        <v>13077.5856</v>
      </c>
      <c r="BH3" s="36" t="n">
        <v>13077.5856</v>
      </c>
      <c r="BI3" s="36" t="n">
        <v>13077.5856</v>
      </c>
      <c r="BJ3" s="36" t="n">
        <v>13077.5856</v>
      </c>
      <c r="BK3" s="36" t="n">
        <v>13077.5856</v>
      </c>
    </row>
    <row r="4" customFormat="false" ht="12.75" hidden="false" customHeight="false" outlineLevel="0" collapsed="false">
      <c r="A4" s="1" t="n">
        <f aca="false">A3+1</f>
        <v>3</v>
      </c>
      <c r="B4" s="25" t="n">
        <v>13177.0192</v>
      </c>
      <c r="C4" s="25" t="n">
        <v>13177.0192</v>
      </c>
      <c r="D4" s="25" t="n">
        <v>13177.0192</v>
      </c>
      <c r="E4" s="25" t="n">
        <v>13177.0192</v>
      </c>
      <c r="F4" s="25" t="n">
        <v>13177.0192</v>
      </c>
      <c r="G4" s="25" t="n">
        <v>13177.0192</v>
      </c>
      <c r="H4" s="25" t="n">
        <v>13177.0192</v>
      </c>
      <c r="I4" s="25" t="n">
        <v>13177.0192</v>
      </c>
      <c r="J4" s="25" t="n">
        <v>13177.0192</v>
      </c>
      <c r="K4" s="25" t="n">
        <v>13177.0192</v>
      </c>
      <c r="L4" s="32" t="n">
        <f aca="false">K4*7</f>
        <v>92239.1344</v>
      </c>
      <c r="M4" s="32" t="n">
        <f aca="false">L4</f>
        <v>92239.1344</v>
      </c>
      <c r="N4" s="1" t="n">
        <v>17320.0201</v>
      </c>
      <c r="O4" s="1" t="n">
        <v>17320.0201</v>
      </c>
      <c r="P4" s="1" t="n">
        <v>17320.0201</v>
      </c>
      <c r="Q4" s="1" t="n">
        <v>17320.0201</v>
      </c>
      <c r="R4" s="1" t="n">
        <v>17320.0201</v>
      </c>
      <c r="S4" s="1" t="n">
        <v>17320.0201</v>
      </c>
      <c r="T4" s="1" t="n">
        <v>17320.0201</v>
      </c>
      <c r="U4" s="1" t="n">
        <v>17320.0201</v>
      </c>
      <c r="V4" s="33" t="n">
        <v>35564.019</v>
      </c>
      <c r="W4" s="33" t="n">
        <v>35564.019</v>
      </c>
      <c r="X4" s="33" t="n">
        <v>35564.019</v>
      </c>
      <c r="Y4" s="33" t="n">
        <v>35564.019</v>
      </c>
      <c r="Z4" s="33" t="n">
        <v>35564.019</v>
      </c>
      <c r="AA4" s="33" t="n">
        <v>35564.019</v>
      </c>
      <c r="AB4" s="34" t="n">
        <v>54175.9</v>
      </c>
      <c r="AC4" s="34" t="n">
        <v>54175.9</v>
      </c>
      <c r="AD4" s="34" t="n">
        <v>54175.9</v>
      </c>
      <c r="AE4" s="33" t="n">
        <v>35564.019</v>
      </c>
      <c r="AF4" s="33" t="n">
        <v>35564.019</v>
      </c>
      <c r="AG4" s="33" t="n">
        <v>35564.019</v>
      </c>
      <c r="AH4" s="33" t="n">
        <v>35564.019</v>
      </c>
      <c r="AI4" s="33" t="n">
        <v>35564.019</v>
      </c>
      <c r="AJ4" s="33" t="n">
        <v>35564.019</v>
      </c>
      <c r="AK4" s="34" t="n">
        <v>54175.9</v>
      </c>
      <c r="AL4" s="34" t="n">
        <v>54175.9</v>
      </c>
      <c r="AM4" s="34" t="n">
        <v>54175.9</v>
      </c>
      <c r="AN4" s="34" t="n">
        <v>54175.9</v>
      </c>
      <c r="AO4" s="34" t="n">
        <v>54175.9</v>
      </c>
      <c r="AP4" s="34" t="n">
        <v>54175.9</v>
      </c>
      <c r="AQ4" s="34" t="n">
        <v>54175.9</v>
      </c>
      <c r="AR4" s="34" t="n">
        <v>54175.9</v>
      </c>
      <c r="AS4" s="34" t="n">
        <v>54175.9</v>
      </c>
      <c r="AT4" s="33" t="n">
        <v>35564.019</v>
      </c>
      <c r="AU4" s="35" t="n">
        <v>55908.4023</v>
      </c>
      <c r="AV4" s="35" t="n">
        <v>55908.4023</v>
      </c>
      <c r="AW4" s="35" t="n">
        <v>55908.4023</v>
      </c>
      <c r="AX4" s="35" t="n">
        <v>55908.4023</v>
      </c>
      <c r="AY4" s="35" t="n">
        <v>55908.4023</v>
      </c>
      <c r="AZ4" s="35" t="n">
        <v>55908.4023</v>
      </c>
      <c r="BA4" s="35" t="n">
        <v>55908.4023</v>
      </c>
      <c r="BB4" s="35" t="n">
        <v>55908.4023</v>
      </c>
      <c r="BC4" s="35" t="n">
        <v>55908.4023</v>
      </c>
      <c r="BD4" s="35" t="n">
        <v>55908.4023</v>
      </c>
      <c r="BE4" s="35" t="n">
        <v>55908.4023</v>
      </c>
      <c r="BF4" s="35" t="n">
        <v>55908.4023</v>
      </c>
      <c r="BG4" s="36" t="n">
        <v>13243.4904</v>
      </c>
      <c r="BH4" s="36" t="n">
        <v>13243.4904</v>
      </c>
      <c r="BI4" s="36" t="n">
        <v>13243.4904</v>
      </c>
      <c r="BJ4" s="36" t="n">
        <v>13243.4904</v>
      </c>
      <c r="BK4" s="36" t="n">
        <v>13243.4904</v>
      </c>
    </row>
    <row r="5" customFormat="false" ht="12.75" hidden="false" customHeight="false" outlineLevel="0" collapsed="false">
      <c r="A5" s="1" t="n">
        <f aca="false">A4+1</f>
        <v>4</v>
      </c>
      <c r="B5" s="25" t="n">
        <v>13634.5664</v>
      </c>
      <c r="C5" s="25" t="n">
        <v>13634.5664</v>
      </c>
      <c r="D5" s="25" t="n">
        <v>13634.5664</v>
      </c>
      <c r="E5" s="25" t="n">
        <v>13634.5664</v>
      </c>
      <c r="F5" s="25" t="n">
        <v>13634.5664</v>
      </c>
      <c r="G5" s="25" t="n">
        <v>13634.5664</v>
      </c>
      <c r="H5" s="25" t="n">
        <v>13634.5664</v>
      </c>
      <c r="I5" s="25" t="n">
        <v>13634.5664</v>
      </c>
      <c r="J5" s="25" t="n">
        <v>13634.5664</v>
      </c>
      <c r="K5" s="25" t="n">
        <v>13634.5664</v>
      </c>
      <c r="L5" s="32" t="n">
        <f aca="false">K5*7</f>
        <v>95441.9648</v>
      </c>
      <c r="M5" s="32" t="n">
        <f aca="false">L5</f>
        <v>95441.9648</v>
      </c>
      <c r="N5" s="1" t="n">
        <v>16980.8592</v>
      </c>
      <c r="O5" s="1" t="n">
        <v>16980.8592</v>
      </c>
      <c r="P5" s="1" t="n">
        <v>16980.8592</v>
      </c>
      <c r="Q5" s="1" t="n">
        <v>16980.8592</v>
      </c>
      <c r="R5" s="1" t="n">
        <v>16980.8592</v>
      </c>
      <c r="S5" s="1" t="n">
        <v>16980.8592</v>
      </c>
      <c r="T5" s="1" t="n">
        <v>16980.8592</v>
      </c>
      <c r="U5" s="1" t="n">
        <v>16980.8592</v>
      </c>
      <c r="V5" s="33" t="n">
        <v>33385.6016</v>
      </c>
      <c r="W5" s="33" t="n">
        <v>33385.6016</v>
      </c>
      <c r="X5" s="33" t="n">
        <v>33385.6016</v>
      </c>
      <c r="Y5" s="33" t="n">
        <v>33385.6016</v>
      </c>
      <c r="Z5" s="33" t="n">
        <v>33385.6016</v>
      </c>
      <c r="AA5" s="33" t="n">
        <v>33385.6016</v>
      </c>
      <c r="AB5" s="34" t="n">
        <v>53152.2</v>
      </c>
      <c r="AC5" s="34" t="n">
        <v>53152.2</v>
      </c>
      <c r="AD5" s="34" t="n">
        <v>53152.2</v>
      </c>
      <c r="AE5" s="33" t="n">
        <v>33385.6016</v>
      </c>
      <c r="AF5" s="33" t="n">
        <v>33385.6016</v>
      </c>
      <c r="AG5" s="33" t="n">
        <v>33385.6016</v>
      </c>
      <c r="AH5" s="33" t="n">
        <v>33385.6016</v>
      </c>
      <c r="AI5" s="33" t="n">
        <v>33385.6016</v>
      </c>
      <c r="AJ5" s="33" t="n">
        <v>33385.6016</v>
      </c>
      <c r="AK5" s="34" t="n">
        <v>53152.2</v>
      </c>
      <c r="AL5" s="34" t="n">
        <v>53152.2</v>
      </c>
      <c r="AM5" s="34" t="n">
        <v>53152.2</v>
      </c>
      <c r="AN5" s="34" t="n">
        <v>53152.2</v>
      </c>
      <c r="AO5" s="34" t="n">
        <v>53152.2</v>
      </c>
      <c r="AP5" s="34" t="n">
        <v>53152.2</v>
      </c>
      <c r="AQ5" s="34" t="n">
        <v>53152.2</v>
      </c>
      <c r="AR5" s="34" t="n">
        <v>53152.2</v>
      </c>
      <c r="AS5" s="34" t="n">
        <v>53152.2</v>
      </c>
      <c r="AT5" s="33" t="n">
        <v>33385.6016</v>
      </c>
      <c r="AU5" s="35" t="n">
        <v>53205.2336</v>
      </c>
      <c r="AV5" s="35" t="n">
        <v>53205.2336</v>
      </c>
      <c r="AW5" s="35" t="n">
        <v>53205.2336</v>
      </c>
      <c r="AX5" s="35" t="n">
        <v>53205.2336</v>
      </c>
      <c r="AY5" s="35" t="n">
        <v>53205.2336</v>
      </c>
      <c r="AZ5" s="35" t="n">
        <v>53205.2336</v>
      </c>
      <c r="BA5" s="35" t="n">
        <v>53205.2336</v>
      </c>
      <c r="BB5" s="35" t="n">
        <v>53205.2336</v>
      </c>
      <c r="BC5" s="35" t="n">
        <v>53205.2336</v>
      </c>
      <c r="BD5" s="35" t="n">
        <v>53205.2336</v>
      </c>
      <c r="BE5" s="35" t="n">
        <v>53205.2336</v>
      </c>
      <c r="BF5" s="35" t="n">
        <v>53205.2336</v>
      </c>
      <c r="BG5" s="36" t="n">
        <v>13312.5168</v>
      </c>
      <c r="BH5" s="36" t="n">
        <v>13312.5168</v>
      </c>
      <c r="BI5" s="36" t="n">
        <v>13312.5168</v>
      </c>
      <c r="BJ5" s="36" t="n">
        <v>13312.5168</v>
      </c>
      <c r="BK5" s="36" t="n">
        <v>13312.5168</v>
      </c>
    </row>
    <row r="6" customFormat="false" ht="12.75" hidden="false" customHeight="false" outlineLevel="0" collapsed="false">
      <c r="A6" s="1" t="n">
        <f aca="false">A5+1</f>
        <v>5</v>
      </c>
      <c r="B6" s="25" t="n">
        <v>14009.1</v>
      </c>
      <c r="C6" s="25" t="n">
        <v>14009.1</v>
      </c>
      <c r="D6" s="25" t="n">
        <v>14009.1</v>
      </c>
      <c r="E6" s="25" t="n">
        <v>14009.1</v>
      </c>
      <c r="F6" s="25" t="n">
        <v>14009.1</v>
      </c>
      <c r="G6" s="25" t="n">
        <v>14009.1</v>
      </c>
      <c r="H6" s="25" t="n">
        <v>14009.1</v>
      </c>
      <c r="I6" s="25" t="n">
        <v>14009.1</v>
      </c>
      <c r="J6" s="25" t="n">
        <v>14009.1</v>
      </c>
      <c r="K6" s="25" t="n">
        <v>14009.1</v>
      </c>
      <c r="L6" s="32" t="n">
        <f aca="false">K6*7</f>
        <v>98063.7</v>
      </c>
      <c r="M6" s="32" t="n">
        <f aca="false">L6</f>
        <v>98063.7</v>
      </c>
      <c r="N6" s="1" t="n">
        <v>16622.7375</v>
      </c>
      <c r="O6" s="1" t="n">
        <v>16622.7375</v>
      </c>
      <c r="P6" s="1" t="n">
        <v>16622.7375</v>
      </c>
      <c r="Q6" s="1" t="n">
        <v>16622.7375</v>
      </c>
      <c r="R6" s="1" t="n">
        <v>16622.7375</v>
      </c>
      <c r="S6" s="1" t="n">
        <v>16622.7375</v>
      </c>
      <c r="T6" s="1" t="n">
        <v>16622.7375</v>
      </c>
      <c r="U6" s="1" t="n">
        <v>16622.7375</v>
      </c>
      <c r="V6" s="33" t="n">
        <v>31543.475</v>
      </c>
      <c r="W6" s="33" t="n">
        <v>31543.475</v>
      </c>
      <c r="X6" s="33" t="n">
        <v>31543.475</v>
      </c>
      <c r="Y6" s="33" t="n">
        <v>31543.475</v>
      </c>
      <c r="Z6" s="33" t="n">
        <v>31543.475</v>
      </c>
      <c r="AA6" s="33" t="n">
        <v>31543.475</v>
      </c>
      <c r="AB6" s="34" t="n">
        <v>52128.5</v>
      </c>
      <c r="AC6" s="34" t="n">
        <v>52128.5</v>
      </c>
      <c r="AD6" s="34" t="n">
        <v>52128.5</v>
      </c>
      <c r="AE6" s="33" t="n">
        <v>31543.475</v>
      </c>
      <c r="AF6" s="33" t="n">
        <v>31543.475</v>
      </c>
      <c r="AG6" s="33" t="n">
        <v>31543.475</v>
      </c>
      <c r="AH6" s="33" t="n">
        <v>31543.475</v>
      </c>
      <c r="AI6" s="33" t="n">
        <v>31543.475</v>
      </c>
      <c r="AJ6" s="33" t="n">
        <v>31543.475</v>
      </c>
      <c r="AK6" s="34" t="n">
        <v>52128.5</v>
      </c>
      <c r="AL6" s="34" t="n">
        <v>52128.5</v>
      </c>
      <c r="AM6" s="34" t="n">
        <v>52128.5</v>
      </c>
      <c r="AN6" s="34" t="n">
        <v>52128.5</v>
      </c>
      <c r="AO6" s="34" t="n">
        <v>52128.5</v>
      </c>
      <c r="AP6" s="34" t="n">
        <v>52128.5</v>
      </c>
      <c r="AQ6" s="34" t="n">
        <v>52128.5</v>
      </c>
      <c r="AR6" s="34" t="n">
        <v>52128.5</v>
      </c>
      <c r="AS6" s="34" t="n">
        <v>52128.5</v>
      </c>
      <c r="AT6" s="33" t="n">
        <v>31543.475</v>
      </c>
      <c r="AU6" s="35" t="n">
        <v>50816.3625</v>
      </c>
      <c r="AV6" s="35" t="n">
        <v>50816.3625</v>
      </c>
      <c r="AW6" s="35" t="n">
        <v>50816.3625</v>
      </c>
      <c r="AX6" s="35" t="n">
        <v>50816.3625</v>
      </c>
      <c r="AY6" s="35" t="n">
        <v>50816.3625</v>
      </c>
      <c r="AZ6" s="35" t="n">
        <v>50816.3625</v>
      </c>
      <c r="BA6" s="35" t="n">
        <v>50816.3625</v>
      </c>
      <c r="BB6" s="35" t="n">
        <v>50816.3625</v>
      </c>
      <c r="BC6" s="35" t="n">
        <v>50816.3625</v>
      </c>
      <c r="BD6" s="35" t="n">
        <v>50816.3625</v>
      </c>
      <c r="BE6" s="35" t="n">
        <v>50816.3625</v>
      </c>
      <c r="BF6" s="35" t="n">
        <v>50816.3625</v>
      </c>
      <c r="BG6" s="36" t="n">
        <v>13292.7</v>
      </c>
      <c r="BH6" s="36" t="n">
        <v>13292.7</v>
      </c>
      <c r="BI6" s="36" t="n">
        <v>13292.7</v>
      </c>
      <c r="BJ6" s="36" t="n">
        <v>13292.7</v>
      </c>
      <c r="BK6" s="36" t="n">
        <v>13292.7</v>
      </c>
    </row>
    <row r="7" customFormat="false" ht="12.75" hidden="false" customHeight="false" outlineLevel="0" collapsed="false">
      <c r="A7" s="1" t="n">
        <f aca="false">A6+1</f>
        <v>6</v>
      </c>
      <c r="B7" s="25" t="n">
        <v>14304.6496</v>
      </c>
      <c r="C7" s="25" t="n">
        <v>14304.6496</v>
      </c>
      <c r="D7" s="25" t="n">
        <v>14304.6496</v>
      </c>
      <c r="E7" s="25" t="n">
        <v>14304.6496</v>
      </c>
      <c r="F7" s="25" t="n">
        <v>14304.6496</v>
      </c>
      <c r="G7" s="25" t="n">
        <v>14304.6496</v>
      </c>
      <c r="H7" s="25" t="n">
        <v>14304.6496</v>
      </c>
      <c r="I7" s="25" t="n">
        <v>14304.6496</v>
      </c>
      <c r="J7" s="25" t="n">
        <v>14304.6496</v>
      </c>
      <c r="K7" s="25" t="n">
        <v>14304.6496</v>
      </c>
      <c r="L7" s="32" t="n">
        <f aca="false">K7*7</f>
        <v>100132.5472</v>
      </c>
      <c r="M7" s="32" t="n">
        <f aca="false">L7</f>
        <v>100132.5472</v>
      </c>
      <c r="N7" s="1" t="n">
        <v>16247.8288</v>
      </c>
      <c r="O7" s="1" t="n">
        <v>16247.8288</v>
      </c>
      <c r="P7" s="1" t="n">
        <v>16247.8288</v>
      </c>
      <c r="Q7" s="1" t="n">
        <v>16247.8288</v>
      </c>
      <c r="R7" s="1" t="n">
        <v>16247.8288</v>
      </c>
      <c r="S7" s="1" t="n">
        <v>16247.8288</v>
      </c>
      <c r="T7" s="1" t="n">
        <v>16247.8288</v>
      </c>
      <c r="U7" s="1" t="n">
        <v>16247.8288</v>
      </c>
      <c r="V7" s="33" t="n">
        <v>30001.6272</v>
      </c>
      <c r="W7" s="33" t="n">
        <v>30001.6272</v>
      </c>
      <c r="X7" s="33" t="n">
        <v>30001.6272</v>
      </c>
      <c r="Y7" s="33" t="n">
        <v>30001.6272</v>
      </c>
      <c r="Z7" s="33" t="n">
        <v>30001.6272</v>
      </c>
      <c r="AA7" s="33" t="n">
        <v>30001.6272</v>
      </c>
      <c r="AB7" s="34" t="n">
        <v>51104.8</v>
      </c>
      <c r="AC7" s="34" t="n">
        <v>51104.8</v>
      </c>
      <c r="AD7" s="34" t="n">
        <v>51104.8</v>
      </c>
      <c r="AE7" s="33" t="n">
        <v>30001.6272</v>
      </c>
      <c r="AF7" s="33" t="n">
        <v>30001.6272</v>
      </c>
      <c r="AG7" s="33" t="n">
        <v>30001.6272</v>
      </c>
      <c r="AH7" s="33" t="n">
        <v>30001.6272</v>
      </c>
      <c r="AI7" s="33" t="n">
        <v>30001.6272</v>
      </c>
      <c r="AJ7" s="33" t="n">
        <v>30001.6272</v>
      </c>
      <c r="AK7" s="34" t="n">
        <v>51104.8</v>
      </c>
      <c r="AL7" s="34" t="n">
        <v>51104.8</v>
      </c>
      <c r="AM7" s="34" t="n">
        <v>51104.8</v>
      </c>
      <c r="AN7" s="34" t="n">
        <v>51104.8</v>
      </c>
      <c r="AO7" s="34" t="n">
        <v>51104.8</v>
      </c>
      <c r="AP7" s="34" t="n">
        <v>51104.8</v>
      </c>
      <c r="AQ7" s="34" t="n">
        <v>51104.8</v>
      </c>
      <c r="AR7" s="34" t="n">
        <v>51104.8</v>
      </c>
      <c r="AS7" s="34" t="n">
        <v>51104.8</v>
      </c>
      <c r="AT7" s="33" t="n">
        <v>30001.6272</v>
      </c>
      <c r="AU7" s="35" t="n">
        <v>48688.6584</v>
      </c>
      <c r="AV7" s="35" t="n">
        <v>48688.6584</v>
      </c>
      <c r="AW7" s="35" t="n">
        <v>48688.6584</v>
      </c>
      <c r="AX7" s="35" t="n">
        <v>48688.6584</v>
      </c>
      <c r="AY7" s="35" t="n">
        <v>48688.6584</v>
      </c>
      <c r="AZ7" s="35" t="n">
        <v>48688.6584</v>
      </c>
      <c r="BA7" s="35" t="n">
        <v>48688.6584</v>
      </c>
      <c r="BB7" s="35" t="n">
        <v>48688.6584</v>
      </c>
      <c r="BC7" s="35" t="n">
        <v>48688.6584</v>
      </c>
      <c r="BD7" s="35" t="n">
        <v>48688.6584</v>
      </c>
      <c r="BE7" s="35" t="n">
        <v>48688.6584</v>
      </c>
      <c r="BF7" s="35" t="n">
        <v>48688.6584</v>
      </c>
      <c r="BG7" s="36" t="n">
        <v>13192.0752</v>
      </c>
      <c r="BH7" s="36" t="n">
        <v>13192.0752</v>
      </c>
      <c r="BI7" s="36" t="n">
        <v>13192.0752</v>
      </c>
      <c r="BJ7" s="36" t="n">
        <v>13192.0752</v>
      </c>
      <c r="BK7" s="36" t="n">
        <v>13192.0752</v>
      </c>
    </row>
    <row r="8" customFormat="false" ht="12.75" hidden="false" customHeight="false" outlineLevel="0" collapsed="false">
      <c r="A8" s="1" t="n">
        <f aca="false">A7+1</f>
        <v>7</v>
      </c>
      <c r="B8" s="25" t="n">
        <v>14525.2448</v>
      </c>
      <c r="C8" s="25" t="n">
        <v>14525.2448</v>
      </c>
      <c r="D8" s="25" t="n">
        <v>14525.2448</v>
      </c>
      <c r="E8" s="25" t="n">
        <v>14525.2448</v>
      </c>
      <c r="F8" s="25" t="n">
        <v>14525.2448</v>
      </c>
      <c r="G8" s="25" t="n">
        <v>14525.2448</v>
      </c>
      <c r="H8" s="25" t="n">
        <v>14525.2448</v>
      </c>
      <c r="I8" s="25" t="n">
        <v>14525.2448</v>
      </c>
      <c r="J8" s="25" t="n">
        <v>14525.2448</v>
      </c>
      <c r="K8" s="25" t="n">
        <v>14525.2448</v>
      </c>
      <c r="L8" s="32" t="n">
        <f aca="false">K8*7</f>
        <v>101676.7136</v>
      </c>
      <c r="M8" s="32" t="n">
        <f aca="false">L8</f>
        <v>101676.7136</v>
      </c>
      <c r="N8" s="1" t="n">
        <v>15858.3069</v>
      </c>
      <c r="O8" s="1" t="n">
        <v>15858.3069</v>
      </c>
      <c r="P8" s="1" t="n">
        <v>15858.3069</v>
      </c>
      <c r="Q8" s="1" t="n">
        <v>15858.3069</v>
      </c>
      <c r="R8" s="1" t="n">
        <v>15858.3069</v>
      </c>
      <c r="S8" s="1" t="n">
        <v>15858.3069</v>
      </c>
      <c r="T8" s="1" t="n">
        <v>15858.3069</v>
      </c>
      <c r="U8" s="1" t="n">
        <v>15858.3069</v>
      </c>
      <c r="V8" s="33" t="n">
        <v>28725.9038</v>
      </c>
      <c r="W8" s="33" t="n">
        <v>28725.9038</v>
      </c>
      <c r="X8" s="33" t="n">
        <v>28725.9038</v>
      </c>
      <c r="Y8" s="33" t="n">
        <v>28725.9038</v>
      </c>
      <c r="Z8" s="33" t="n">
        <v>28725.9038</v>
      </c>
      <c r="AA8" s="33" t="n">
        <v>28725.9038</v>
      </c>
      <c r="AB8" s="34" t="n">
        <v>50081.1</v>
      </c>
      <c r="AC8" s="34" t="n">
        <v>50081.1</v>
      </c>
      <c r="AD8" s="34" t="n">
        <v>50081.1</v>
      </c>
      <c r="AE8" s="33" t="n">
        <v>28725.9038</v>
      </c>
      <c r="AF8" s="33" t="n">
        <v>28725.9038</v>
      </c>
      <c r="AG8" s="33" t="n">
        <v>28725.9038</v>
      </c>
      <c r="AH8" s="33" t="n">
        <v>28725.9038</v>
      </c>
      <c r="AI8" s="33" t="n">
        <v>28725.9038</v>
      </c>
      <c r="AJ8" s="33" t="n">
        <v>28725.9038</v>
      </c>
      <c r="AK8" s="34" t="n">
        <v>50081.1</v>
      </c>
      <c r="AL8" s="34" t="n">
        <v>50081.1</v>
      </c>
      <c r="AM8" s="34" t="n">
        <v>50081.1</v>
      </c>
      <c r="AN8" s="34" t="n">
        <v>50081.1</v>
      </c>
      <c r="AO8" s="34" t="n">
        <v>50081.1</v>
      </c>
      <c r="AP8" s="34" t="n">
        <v>50081.1</v>
      </c>
      <c r="AQ8" s="34" t="n">
        <v>50081.1</v>
      </c>
      <c r="AR8" s="34" t="n">
        <v>50081.1</v>
      </c>
      <c r="AS8" s="34" t="n">
        <v>50081.1</v>
      </c>
      <c r="AT8" s="33" t="n">
        <v>28725.9038</v>
      </c>
      <c r="AU8" s="35" t="n">
        <v>46768.9907</v>
      </c>
      <c r="AV8" s="35" t="n">
        <v>46768.9907</v>
      </c>
      <c r="AW8" s="35" t="n">
        <v>46768.9907</v>
      </c>
      <c r="AX8" s="35" t="n">
        <v>46768.9907</v>
      </c>
      <c r="AY8" s="35" t="n">
        <v>46768.9907</v>
      </c>
      <c r="AZ8" s="35" t="n">
        <v>46768.9907</v>
      </c>
      <c r="BA8" s="35" t="n">
        <v>46768.9907</v>
      </c>
      <c r="BB8" s="35" t="n">
        <v>46768.9907</v>
      </c>
      <c r="BC8" s="35" t="n">
        <v>46768.9907</v>
      </c>
      <c r="BD8" s="35" t="n">
        <v>46768.9907</v>
      </c>
      <c r="BE8" s="35" t="n">
        <v>46768.9907</v>
      </c>
      <c r="BF8" s="35" t="n">
        <v>46768.9907</v>
      </c>
      <c r="BG8" s="36" t="n">
        <v>13018.6776</v>
      </c>
      <c r="BH8" s="36" t="n">
        <v>13018.6776</v>
      </c>
      <c r="BI8" s="36" t="n">
        <v>13018.6776</v>
      </c>
      <c r="BJ8" s="36" t="n">
        <v>13018.6776</v>
      </c>
      <c r="BK8" s="36" t="n">
        <v>13018.6776</v>
      </c>
    </row>
    <row r="9" customFormat="false" ht="12.75" hidden="false" customHeight="false" outlineLevel="0" collapsed="false">
      <c r="A9" s="1" t="n">
        <f aca="false">A8+1</f>
        <v>8</v>
      </c>
      <c r="B9" s="25" t="n">
        <v>14674.9152</v>
      </c>
      <c r="C9" s="25" t="n">
        <v>14674.9152</v>
      </c>
      <c r="D9" s="25" t="n">
        <v>14674.9152</v>
      </c>
      <c r="E9" s="25" t="n">
        <v>14674.9152</v>
      </c>
      <c r="F9" s="25" t="n">
        <v>14674.9152</v>
      </c>
      <c r="G9" s="25" t="n">
        <v>14674.9152</v>
      </c>
      <c r="H9" s="25" t="n">
        <v>14674.9152</v>
      </c>
      <c r="I9" s="25" t="n">
        <v>14674.9152</v>
      </c>
      <c r="J9" s="25" t="n">
        <v>14674.9152</v>
      </c>
      <c r="K9" s="25" t="n">
        <v>14674.9152</v>
      </c>
      <c r="L9" s="32" t="n">
        <f aca="false">K9*7</f>
        <v>102724.4064</v>
      </c>
      <c r="M9" s="32" t="n">
        <f aca="false">L9</f>
        <v>102724.4064</v>
      </c>
      <c r="N9" s="1" t="n">
        <v>15456.3456</v>
      </c>
      <c r="O9" s="1" t="n">
        <v>15456.3456</v>
      </c>
      <c r="P9" s="1" t="n">
        <v>15456.3456</v>
      </c>
      <c r="Q9" s="1" t="n">
        <v>15456.3456</v>
      </c>
      <c r="R9" s="1" t="n">
        <v>15456.3456</v>
      </c>
      <c r="S9" s="1" t="n">
        <v>15456.3456</v>
      </c>
      <c r="T9" s="1" t="n">
        <v>15456.3456</v>
      </c>
      <c r="U9" s="1" t="n">
        <v>15456.3456</v>
      </c>
      <c r="V9" s="33" t="n">
        <v>27684.008</v>
      </c>
      <c r="W9" s="33" t="n">
        <v>27684.008</v>
      </c>
      <c r="X9" s="33" t="n">
        <v>27684.008</v>
      </c>
      <c r="Y9" s="33" t="n">
        <v>27684.008</v>
      </c>
      <c r="Z9" s="33" t="n">
        <v>27684.008</v>
      </c>
      <c r="AA9" s="33" t="n">
        <v>27684.008</v>
      </c>
      <c r="AB9" s="34" t="n">
        <v>49057.4</v>
      </c>
      <c r="AC9" s="34" t="n">
        <v>49057.4</v>
      </c>
      <c r="AD9" s="34" t="n">
        <v>49057.4</v>
      </c>
      <c r="AE9" s="33" t="n">
        <v>27684.008</v>
      </c>
      <c r="AF9" s="33" t="n">
        <v>27684.008</v>
      </c>
      <c r="AG9" s="33" t="n">
        <v>27684.008</v>
      </c>
      <c r="AH9" s="33" t="n">
        <v>27684.008</v>
      </c>
      <c r="AI9" s="33" t="n">
        <v>27684.008</v>
      </c>
      <c r="AJ9" s="33" t="n">
        <v>27684.008</v>
      </c>
      <c r="AK9" s="34" t="n">
        <v>49057.4</v>
      </c>
      <c r="AL9" s="34" t="n">
        <v>49057.4</v>
      </c>
      <c r="AM9" s="34" t="n">
        <v>49057.4</v>
      </c>
      <c r="AN9" s="34" t="n">
        <v>49057.4</v>
      </c>
      <c r="AO9" s="34" t="n">
        <v>49057.4</v>
      </c>
      <c r="AP9" s="34" t="n">
        <v>49057.4</v>
      </c>
      <c r="AQ9" s="34" t="n">
        <v>49057.4</v>
      </c>
      <c r="AR9" s="34" t="n">
        <v>49057.4</v>
      </c>
      <c r="AS9" s="34" t="n">
        <v>49057.4</v>
      </c>
      <c r="AT9" s="33" t="n">
        <v>27684.008</v>
      </c>
      <c r="AU9" s="35" t="n">
        <v>45004.2288</v>
      </c>
      <c r="AV9" s="35" t="n">
        <v>45004.2288</v>
      </c>
      <c r="AW9" s="35" t="n">
        <v>45004.2288</v>
      </c>
      <c r="AX9" s="35" t="n">
        <v>45004.2288</v>
      </c>
      <c r="AY9" s="35" t="n">
        <v>45004.2288</v>
      </c>
      <c r="AZ9" s="35" t="n">
        <v>45004.2288</v>
      </c>
      <c r="BA9" s="35" t="n">
        <v>45004.2288</v>
      </c>
      <c r="BB9" s="35" t="n">
        <v>45004.2288</v>
      </c>
      <c r="BC9" s="35" t="n">
        <v>45004.2288</v>
      </c>
      <c r="BD9" s="35" t="n">
        <v>45004.2288</v>
      </c>
      <c r="BE9" s="35" t="n">
        <v>45004.2288</v>
      </c>
      <c r="BF9" s="35" t="n">
        <v>45004.2288</v>
      </c>
      <c r="BG9" s="36" t="n">
        <v>12780.5424</v>
      </c>
      <c r="BH9" s="36" t="n">
        <v>12780.5424</v>
      </c>
      <c r="BI9" s="36" t="n">
        <v>12780.5424</v>
      </c>
      <c r="BJ9" s="36" t="n">
        <v>12780.5424</v>
      </c>
      <c r="BK9" s="36" t="n">
        <v>12780.5424</v>
      </c>
    </row>
    <row r="10" customFormat="false" ht="12.75" hidden="false" customHeight="false" outlineLevel="0" collapsed="false">
      <c r="A10" s="1" t="n">
        <f aca="false">A9+1</f>
        <v>9</v>
      </c>
      <c r="B10" s="25" t="n">
        <v>14757.6904</v>
      </c>
      <c r="C10" s="25" t="n">
        <v>14757.6904</v>
      </c>
      <c r="D10" s="25" t="n">
        <v>14757.6904</v>
      </c>
      <c r="E10" s="25" t="n">
        <v>14757.6904</v>
      </c>
      <c r="F10" s="25" t="n">
        <v>14757.6904</v>
      </c>
      <c r="G10" s="25" t="n">
        <v>14757.6904</v>
      </c>
      <c r="H10" s="25" t="n">
        <v>14757.6904</v>
      </c>
      <c r="I10" s="25" t="n">
        <v>14757.6904</v>
      </c>
      <c r="J10" s="25" t="n">
        <v>14757.6904</v>
      </c>
      <c r="K10" s="25" t="n">
        <v>14757.6904</v>
      </c>
      <c r="L10" s="32" t="n">
        <f aca="false">K10*7</f>
        <v>103303.8328</v>
      </c>
      <c r="M10" s="32" t="n">
        <f aca="false">L10</f>
        <v>103303.8328</v>
      </c>
      <c r="N10" s="1" t="n">
        <v>15044.1187</v>
      </c>
      <c r="O10" s="1" t="n">
        <v>15044.1187</v>
      </c>
      <c r="P10" s="1" t="n">
        <v>15044.1187</v>
      </c>
      <c r="Q10" s="1" t="n">
        <v>15044.1187</v>
      </c>
      <c r="R10" s="1" t="n">
        <v>15044.1187</v>
      </c>
      <c r="S10" s="1" t="n">
        <v>15044.1187</v>
      </c>
      <c r="T10" s="1" t="n">
        <v>15044.1187</v>
      </c>
      <c r="U10" s="1" t="n">
        <v>15044.1187</v>
      </c>
      <c r="V10" s="33" t="n">
        <v>26845.5006</v>
      </c>
      <c r="W10" s="33" t="n">
        <v>26845.5006</v>
      </c>
      <c r="X10" s="33" t="n">
        <v>26845.5006</v>
      </c>
      <c r="Y10" s="33" t="n">
        <v>26845.5006</v>
      </c>
      <c r="Z10" s="33" t="n">
        <v>26845.5006</v>
      </c>
      <c r="AA10" s="33" t="n">
        <v>26845.5006</v>
      </c>
      <c r="AB10" s="34" t="n">
        <v>48033.7</v>
      </c>
      <c r="AC10" s="34" t="n">
        <v>48033.7</v>
      </c>
      <c r="AD10" s="34" t="n">
        <v>48033.7</v>
      </c>
      <c r="AE10" s="33" t="n">
        <v>26845.5006</v>
      </c>
      <c r="AF10" s="33" t="n">
        <v>26845.5006</v>
      </c>
      <c r="AG10" s="33" t="n">
        <v>26845.5006</v>
      </c>
      <c r="AH10" s="33" t="n">
        <v>26845.5006</v>
      </c>
      <c r="AI10" s="33" t="n">
        <v>26845.5006</v>
      </c>
      <c r="AJ10" s="33" t="n">
        <v>26845.5006</v>
      </c>
      <c r="AK10" s="34" t="n">
        <v>48033.7</v>
      </c>
      <c r="AL10" s="34" t="n">
        <v>48033.7</v>
      </c>
      <c r="AM10" s="34" t="n">
        <v>48033.7</v>
      </c>
      <c r="AN10" s="34" t="n">
        <v>48033.7</v>
      </c>
      <c r="AO10" s="34" t="n">
        <v>48033.7</v>
      </c>
      <c r="AP10" s="34" t="n">
        <v>48033.7</v>
      </c>
      <c r="AQ10" s="34" t="n">
        <v>48033.7</v>
      </c>
      <c r="AR10" s="34" t="n">
        <v>48033.7</v>
      </c>
      <c r="AS10" s="34" t="n">
        <v>48033.7</v>
      </c>
      <c r="AT10" s="33" t="n">
        <v>26845.5006</v>
      </c>
      <c r="AU10" s="35" t="n">
        <v>43341.2421</v>
      </c>
      <c r="AV10" s="35" t="n">
        <v>43341.2421</v>
      </c>
      <c r="AW10" s="35" t="n">
        <v>43341.2421</v>
      </c>
      <c r="AX10" s="35" t="n">
        <v>43341.2421</v>
      </c>
      <c r="AY10" s="35" t="n">
        <v>43341.2421</v>
      </c>
      <c r="AZ10" s="35" t="n">
        <v>43341.2421</v>
      </c>
      <c r="BA10" s="35" t="n">
        <v>43341.2421</v>
      </c>
      <c r="BB10" s="35" t="n">
        <v>43341.2421</v>
      </c>
      <c r="BC10" s="35" t="n">
        <v>43341.2421</v>
      </c>
      <c r="BD10" s="35" t="n">
        <v>43341.2421</v>
      </c>
      <c r="BE10" s="35" t="n">
        <v>43341.2421</v>
      </c>
      <c r="BF10" s="35" t="n">
        <v>43341.2421</v>
      </c>
      <c r="BG10" s="36" t="n">
        <v>12485.7048</v>
      </c>
      <c r="BH10" s="36" t="n">
        <v>12485.7048</v>
      </c>
      <c r="BI10" s="36" t="n">
        <v>12485.7048</v>
      </c>
      <c r="BJ10" s="36" t="n">
        <v>12485.7048</v>
      </c>
      <c r="BK10" s="36" t="n">
        <v>12485.7048</v>
      </c>
    </row>
    <row r="11" customFormat="false" ht="12.75" hidden="false" customHeight="false" outlineLevel="0" collapsed="false">
      <c r="A11" s="1" t="n">
        <f aca="false">A10+1</f>
        <v>10</v>
      </c>
      <c r="B11" s="25" t="n">
        <v>14777.6</v>
      </c>
      <c r="C11" s="25" t="n">
        <v>14777.6</v>
      </c>
      <c r="D11" s="25" t="n">
        <v>14777.6</v>
      </c>
      <c r="E11" s="25" t="n">
        <v>14777.6</v>
      </c>
      <c r="F11" s="25" t="n">
        <v>14777.6</v>
      </c>
      <c r="G11" s="25" t="n">
        <v>14777.6</v>
      </c>
      <c r="H11" s="25" t="n">
        <v>14777.6</v>
      </c>
      <c r="I11" s="25" t="n">
        <v>14777.6</v>
      </c>
      <c r="J11" s="25" t="n">
        <v>14777.6</v>
      </c>
      <c r="K11" s="25" t="n">
        <v>14777.6</v>
      </c>
      <c r="L11" s="32" t="n">
        <f aca="false">K11*7</f>
        <v>103443.2</v>
      </c>
      <c r="M11" s="32" t="n">
        <f aca="false">L11</f>
        <v>103443.2</v>
      </c>
      <c r="N11" s="1" t="n">
        <v>14623.8</v>
      </c>
      <c r="O11" s="1" t="n">
        <v>14623.8</v>
      </c>
      <c r="P11" s="1" t="n">
        <v>14623.8</v>
      </c>
      <c r="Q11" s="1" t="n">
        <v>14623.8</v>
      </c>
      <c r="R11" s="1" t="n">
        <v>14623.8</v>
      </c>
      <c r="S11" s="1" t="n">
        <v>14623.8</v>
      </c>
      <c r="T11" s="1" t="n">
        <v>14623.8</v>
      </c>
      <c r="U11" s="1" t="n">
        <v>14623.8</v>
      </c>
      <c r="V11" s="33" t="n">
        <v>26181.8</v>
      </c>
      <c r="W11" s="33" t="n">
        <v>26181.8</v>
      </c>
      <c r="X11" s="33" t="n">
        <v>26181.8</v>
      </c>
      <c r="Y11" s="33" t="n">
        <v>26181.8</v>
      </c>
      <c r="Z11" s="33" t="n">
        <v>26181.8</v>
      </c>
      <c r="AA11" s="33" t="n">
        <v>26181.8</v>
      </c>
      <c r="AB11" s="34" t="n">
        <v>47010</v>
      </c>
      <c r="AC11" s="34" t="n">
        <v>47010</v>
      </c>
      <c r="AD11" s="34" t="n">
        <v>47010</v>
      </c>
      <c r="AE11" s="33" t="n">
        <v>26181.8</v>
      </c>
      <c r="AF11" s="33" t="n">
        <v>26181.8</v>
      </c>
      <c r="AG11" s="33" t="n">
        <v>26181.8</v>
      </c>
      <c r="AH11" s="33" t="n">
        <v>26181.8</v>
      </c>
      <c r="AI11" s="33" t="n">
        <v>26181.8</v>
      </c>
      <c r="AJ11" s="33" t="n">
        <v>26181.8</v>
      </c>
      <c r="AK11" s="34" t="n">
        <v>47010</v>
      </c>
      <c r="AL11" s="34" t="n">
        <v>47010</v>
      </c>
      <c r="AM11" s="34" t="n">
        <v>47010</v>
      </c>
      <c r="AN11" s="34" t="n">
        <v>47010</v>
      </c>
      <c r="AO11" s="34" t="n">
        <v>47010</v>
      </c>
      <c r="AP11" s="34" t="n">
        <v>47010</v>
      </c>
      <c r="AQ11" s="34" t="n">
        <v>47010</v>
      </c>
      <c r="AR11" s="34" t="n">
        <v>47010</v>
      </c>
      <c r="AS11" s="34" t="n">
        <v>47010</v>
      </c>
      <c r="AT11" s="33" t="n">
        <v>26181.8</v>
      </c>
      <c r="AU11" s="35" t="n">
        <v>41726.9</v>
      </c>
      <c r="AV11" s="35" t="n">
        <v>41726.9</v>
      </c>
      <c r="AW11" s="35" t="n">
        <v>41726.9</v>
      </c>
      <c r="AX11" s="35" t="n">
        <v>41726.9</v>
      </c>
      <c r="AY11" s="35" t="n">
        <v>41726.9</v>
      </c>
      <c r="AZ11" s="35" t="n">
        <v>41726.9</v>
      </c>
      <c r="BA11" s="35" t="n">
        <v>41726.9</v>
      </c>
      <c r="BB11" s="35" t="n">
        <v>41726.9</v>
      </c>
      <c r="BC11" s="35" t="n">
        <v>41726.9</v>
      </c>
      <c r="BD11" s="35" t="n">
        <v>41726.9</v>
      </c>
      <c r="BE11" s="35" t="n">
        <v>41726.9</v>
      </c>
      <c r="BF11" s="35" t="n">
        <v>41726.9</v>
      </c>
      <c r="BG11" s="36" t="n">
        <v>12142.2</v>
      </c>
      <c r="BH11" s="36" t="n">
        <v>12142.2</v>
      </c>
      <c r="BI11" s="36" t="n">
        <v>12142.2</v>
      </c>
      <c r="BJ11" s="36" t="n">
        <v>12142.2</v>
      </c>
      <c r="BK11" s="36" t="n">
        <v>12142.2</v>
      </c>
    </row>
    <row r="12" customFormat="false" ht="12.75" hidden="false" customHeight="false" outlineLevel="0" collapsed="false">
      <c r="A12" s="1" t="n">
        <f aca="false">A11+1</f>
        <v>11</v>
      </c>
      <c r="B12" s="25" t="n">
        <v>14738.6736</v>
      </c>
      <c r="C12" s="25" t="n">
        <v>14738.6736</v>
      </c>
      <c r="D12" s="25" t="n">
        <v>14738.6736</v>
      </c>
      <c r="E12" s="25" t="n">
        <v>14738.6736</v>
      </c>
      <c r="F12" s="25" t="n">
        <v>14738.6736</v>
      </c>
      <c r="G12" s="25" t="n">
        <v>14738.6736</v>
      </c>
      <c r="H12" s="25" t="n">
        <v>14738.6736</v>
      </c>
      <c r="I12" s="25" t="n">
        <v>14738.6736</v>
      </c>
      <c r="J12" s="25" t="n">
        <v>14738.6736</v>
      </c>
      <c r="K12" s="25" t="n">
        <v>14738.6736</v>
      </c>
      <c r="L12" s="32" t="n">
        <f aca="false">K12*7</f>
        <v>103170.7152</v>
      </c>
      <c r="M12" s="32" t="n">
        <f aca="false">L12</f>
        <v>103170.7152</v>
      </c>
      <c r="N12" s="1" t="n">
        <v>14197.5633</v>
      </c>
      <c r="O12" s="1" t="n">
        <v>14197.5633</v>
      </c>
      <c r="P12" s="1" t="n">
        <v>14197.5633</v>
      </c>
      <c r="Q12" s="1" t="n">
        <v>14197.5633</v>
      </c>
      <c r="R12" s="1" t="n">
        <v>14197.5633</v>
      </c>
      <c r="S12" s="1" t="n">
        <v>14197.5633</v>
      </c>
      <c r="T12" s="1" t="n">
        <v>14197.5633</v>
      </c>
      <c r="U12" s="1" t="n">
        <v>14197.5633</v>
      </c>
      <c r="V12" s="33" t="n">
        <v>25666.1822</v>
      </c>
      <c r="W12" s="33" t="n">
        <v>25666.1822</v>
      </c>
      <c r="X12" s="33" t="n">
        <v>25666.1822</v>
      </c>
      <c r="Y12" s="33" t="n">
        <v>25666.1822</v>
      </c>
      <c r="Z12" s="33" t="n">
        <v>25666.1822</v>
      </c>
      <c r="AA12" s="33" t="n">
        <v>25666.1822</v>
      </c>
      <c r="AB12" s="34" t="n">
        <v>45986.3</v>
      </c>
      <c r="AC12" s="34" t="n">
        <v>45986.3</v>
      </c>
      <c r="AD12" s="34" t="n">
        <v>45986.3</v>
      </c>
      <c r="AE12" s="33" t="n">
        <v>25666.1822</v>
      </c>
      <c r="AF12" s="33" t="n">
        <v>25666.1822</v>
      </c>
      <c r="AG12" s="33" t="n">
        <v>25666.1822</v>
      </c>
      <c r="AH12" s="33" t="n">
        <v>25666.1822</v>
      </c>
      <c r="AI12" s="33" t="n">
        <v>25666.1822</v>
      </c>
      <c r="AJ12" s="33" t="n">
        <v>25666.1822</v>
      </c>
      <c r="AK12" s="34" t="n">
        <v>45986.3</v>
      </c>
      <c r="AL12" s="34" t="n">
        <v>45986.3</v>
      </c>
      <c r="AM12" s="34" t="n">
        <v>45986.3</v>
      </c>
      <c r="AN12" s="34" t="n">
        <v>45986.3</v>
      </c>
      <c r="AO12" s="34" t="n">
        <v>45986.3</v>
      </c>
      <c r="AP12" s="34" t="n">
        <v>45986.3</v>
      </c>
      <c r="AQ12" s="34" t="n">
        <v>45986.3</v>
      </c>
      <c r="AR12" s="34" t="n">
        <v>45986.3</v>
      </c>
      <c r="AS12" s="34" t="n">
        <v>45986.3</v>
      </c>
      <c r="AT12" s="33" t="n">
        <v>25666.1822</v>
      </c>
      <c r="AU12" s="35" t="n">
        <v>40108.0719</v>
      </c>
      <c r="AV12" s="35" t="n">
        <v>40108.0719</v>
      </c>
      <c r="AW12" s="35" t="n">
        <v>40108.0719</v>
      </c>
      <c r="AX12" s="35" t="n">
        <v>40108.0719</v>
      </c>
      <c r="AY12" s="35" t="n">
        <v>40108.0719</v>
      </c>
      <c r="AZ12" s="35" t="n">
        <v>40108.0719</v>
      </c>
      <c r="BA12" s="35" t="n">
        <v>40108.0719</v>
      </c>
      <c r="BB12" s="35" t="n">
        <v>40108.0719</v>
      </c>
      <c r="BC12" s="35" t="n">
        <v>40108.0719</v>
      </c>
      <c r="BD12" s="35" t="n">
        <v>40108.0719</v>
      </c>
      <c r="BE12" s="35" t="n">
        <v>40108.0719</v>
      </c>
      <c r="BF12" s="35" t="n">
        <v>40108.0719</v>
      </c>
      <c r="BG12" s="36" t="n">
        <v>11758.0632</v>
      </c>
      <c r="BH12" s="36" t="n">
        <v>11758.0632</v>
      </c>
      <c r="BI12" s="36" t="n">
        <v>11758.0632</v>
      </c>
      <c r="BJ12" s="36" t="n">
        <v>11758.0632</v>
      </c>
      <c r="BK12" s="36" t="n">
        <v>11758.0632</v>
      </c>
    </row>
    <row r="13" customFormat="false" ht="12.75" hidden="false" customHeight="false" outlineLevel="0" collapsed="false">
      <c r="A13" s="1" t="n">
        <f aca="false">A12+1</f>
        <v>12</v>
      </c>
      <c r="B13" s="25" t="n">
        <v>14644.9408</v>
      </c>
      <c r="C13" s="25" t="n">
        <v>14644.9408</v>
      </c>
      <c r="D13" s="25" t="n">
        <v>14644.9408</v>
      </c>
      <c r="E13" s="25" t="n">
        <v>14644.9408</v>
      </c>
      <c r="F13" s="25" t="n">
        <v>14644.9408</v>
      </c>
      <c r="G13" s="25" t="n">
        <v>14644.9408</v>
      </c>
      <c r="H13" s="25" t="n">
        <v>14644.9408</v>
      </c>
      <c r="I13" s="25" t="n">
        <v>14644.9408</v>
      </c>
      <c r="J13" s="25" t="n">
        <v>14644.9408</v>
      </c>
      <c r="K13" s="25" t="n">
        <v>14644.9408</v>
      </c>
      <c r="L13" s="32" t="n">
        <f aca="false">K13*7</f>
        <v>102514.5856</v>
      </c>
      <c r="M13" s="32" t="n">
        <f aca="false">L13</f>
        <v>102514.5856</v>
      </c>
      <c r="N13" s="1" t="n">
        <v>13767.5824</v>
      </c>
      <c r="O13" s="1" t="n">
        <v>13767.5824</v>
      </c>
      <c r="P13" s="1" t="n">
        <v>13767.5824</v>
      </c>
      <c r="Q13" s="1" t="n">
        <v>13767.5824</v>
      </c>
      <c r="R13" s="1" t="n">
        <v>13767.5824</v>
      </c>
      <c r="S13" s="1" t="n">
        <v>13767.5824</v>
      </c>
      <c r="T13" s="1" t="n">
        <v>13767.5824</v>
      </c>
      <c r="U13" s="1" t="n">
        <v>13767.5824</v>
      </c>
      <c r="V13" s="33" t="n">
        <v>25273.7808</v>
      </c>
      <c r="W13" s="33" t="n">
        <v>25273.7808</v>
      </c>
      <c r="X13" s="33" t="n">
        <v>25273.7808</v>
      </c>
      <c r="Y13" s="33" t="n">
        <v>25273.7808</v>
      </c>
      <c r="Z13" s="33" t="n">
        <v>25273.7808</v>
      </c>
      <c r="AA13" s="33" t="n">
        <v>25273.7808</v>
      </c>
      <c r="AB13" s="34" t="n">
        <v>44962.6</v>
      </c>
      <c r="AC13" s="34" t="n">
        <v>44962.6</v>
      </c>
      <c r="AD13" s="34" t="n">
        <v>44962.6</v>
      </c>
      <c r="AE13" s="33" t="n">
        <v>25273.7808</v>
      </c>
      <c r="AF13" s="33" t="n">
        <v>25273.7808</v>
      </c>
      <c r="AG13" s="33" t="n">
        <v>25273.7808</v>
      </c>
      <c r="AH13" s="33" t="n">
        <v>25273.7808</v>
      </c>
      <c r="AI13" s="33" t="n">
        <v>25273.7808</v>
      </c>
      <c r="AJ13" s="33" t="n">
        <v>25273.7808</v>
      </c>
      <c r="AK13" s="34" t="n">
        <v>44962.6</v>
      </c>
      <c r="AL13" s="34" t="n">
        <v>44962.6</v>
      </c>
      <c r="AM13" s="34" t="n">
        <v>44962.6</v>
      </c>
      <c r="AN13" s="34" t="n">
        <v>44962.6</v>
      </c>
      <c r="AO13" s="34" t="n">
        <v>44962.6</v>
      </c>
      <c r="AP13" s="34" t="n">
        <v>44962.6</v>
      </c>
      <c r="AQ13" s="34" t="n">
        <v>44962.6</v>
      </c>
      <c r="AR13" s="34" t="n">
        <v>44962.6</v>
      </c>
      <c r="AS13" s="34" t="n">
        <v>44962.6</v>
      </c>
      <c r="AT13" s="33" t="n">
        <v>25273.7808</v>
      </c>
      <c r="AU13" s="35" t="n">
        <v>38431.6272</v>
      </c>
      <c r="AV13" s="35" t="n">
        <v>38431.6272</v>
      </c>
      <c r="AW13" s="35" t="n">
        <v>38431.6272</v>
      </c>
      <c r="AX13" s="35" t="n">
        <v>38431.6272</v>
      </c>
      <c r="AY13" s="35" t="n">
        <v>38431.6272</v>
      </c>
      <c r="AZ13" s="35" t="n">
        <v>38431.6272</v>
      </c>
      <c r="BA13" s="35" t="n">
        <v>38431.6272</v>
      </c>
      <c r="BB13" s="35" t="n">
        <v>38431.6272</v>
      </c>
      <c r="BC13" s="35" t="n">
        <v>38431.6272</v>
      </c>
      <c r="BD13" s="35" t="n">
        <v>38431.6272</v>
      </c>
      <c r="BE13" s="35" t="n">
        <v>38431.6272</v>
      </c>
      <c r="BF13" s="35" t="n">
        <v>38431.6272</v>
      </c>
      <c r="BG13" s="36" t="n">
        <v>11341.3296</v>
      </c>
      <c r="BH13" s="36" t="n">
        <v>11341.3296</v>
      </c>
      <c r="BI13" s="36" t="n">
        <v>11341.3296</v>
      </c>
      <c r="BJ13" s="36" t="n">
        <v>11341.3296</v>
      </c>
      <c r="BK13" s="36" t="n">
        <v>11341.3296</v>
      </c>
    </row>
    <row r="14" customFormat="false" ht="12.75" hidden="false" customHeight="false" outlineLevel="0" collapsed="false">
      <c r="A14" s="1" t="n">
        <f aca="false">A13+1</f>
        <v>13</v>
      </c>
      <c r="B14" s="25" t="n">
        <v>14500.4312</v>
      </c>
      <c r="C14" s="25" t="n">
        <v>14500.4312</v>
      </c>
      <c r="D14" s="25" t="n">
        <v>14500.4312</v>
      </c>
      <c r="E14" s="25" t="n">
        <v>14500.4312</v>
      </c>
      <c r="F14" s="25" t="n">
        <v>14500.4312</v>
      </c>
      <c r="G14" s="25" t="n">
        <v>14500.4312</v>
      </c>
      <c r="H14" s="25" t="n">
        <v>14500.4312</v>
      </c>
      <c r="I14" s="25" t="n">
        <v>14500.4312</v>
      </c>
      <c r="J14" s="25" t="n">
        <v>14500.4312</v>
      </c>
      <c r="K14" s="25" t="n">
        <v>14500.4312</v>
      </c>
      <c r="L14" s="32" t="n">
        <f aca="false">K14*7</f>
        <v>101503.0184</v>
      </c>
      <c r="M14" s="32" t="n">
        <f aca="false">L14</f>
        <v>101503.0184</v>
      </c>
      <c r="N14" s="1" t="n">
        <v>13336.0311</v>
      </c>
      <c r="O14" s="1" t="n">
        <v>13336.0311</v>
      </c>
      <c r="P14" s="1" t="n">
        <v>13336.0311</v>
      </c>
      <c r="Q14" s="1" t="n">
        <v>13336.0311</v>
      </c>
      <c r="R14" s="1" t="n">
        <v>13336.0311</v>
      </c>
      <c r="S14" s="1" t="n">
        <v>13336.0311</v>
      </c>
      <c r="T14" s="1" t="n">
        <v>13336.0311</v>
      </c>
      <c r="U14" s="1" t="n">
        <v>13336.0311</v>
      </c>
      <c r="V14" s="33" t="n">
        <v>24981.587</v>
      </c>
      <c r="W14" s="33" t="n">
        <v>24981.587</v>
      </c>
      <c r="X14" s="33" t="n">
        <v>24981.587</v>
      </c>
      <c r="Y14" s="33" t="n">
        <v>24981.587</v>
      </c>
      <c r="Z14" s="33" t="n">
        <v>24981.587</v>
      </c>
      <c r="AA14" s="33" t="n">
        <v>24981.587</v>
      </c>
      <c r="AB14" s="34" t="n">
        <v>43938.9</v>
      </c>
      <c r="AC14" s="34" t="n">
        <v>43938.9</v>
      </c>
      <c r="AD14" s="34" t="n">
        <v>43938.9</v>
      </c>
      <c r="AE14" s="33" t="n">
        <v>24981.587</v>
      </c>
      <c r="AF14" s="33" t="n">
        <v>24981.587</v>
      </c>
      <c r="AG14" s="33" t="n">
        <v>24981.587</v>
      </c>
      <c r="AH14" s="33" t="n">
        <v>24981.587</v>
      </c>
      <c r="AI14" s="33" t="n">
        <v>24981.587</v>
      </c>
      <c r="AJ14" s="33" t="n">
        <v>24981.587</v>
      </c>
      <c r="AK14" s="34" t="n">
        <v>43938.9</v>
      </c>
      <c r="AL14" s="34" t="n">
        <v>43938.9</v>
      </c>
      <c r="AM14" s="34" t="n">
        <v>43938.9</v>
      </c>
      <c r="AN14" s="34" t="n">
        <v>43938.9</v>
      </c>
      <c r="AO14" s="34" t="n">
        <v>43938.9</v>
      </c>
      <c r="AP14" s="34" t="n">
        <v>43938.9</v>
      </c>
      <c r="AQ14" s="34" t="n">
        <v>43938.9</v>
      </c>
      <c r="AR14" s="34" t="n">
        <v>43938.9</v>
      </c>
      <c r="AS14" s="34" t="n">
        <v>43938.9</v>
      </c>
      <c r="AT14" s="33" t="n">
        <v>24981.587</v>
      </c>
      <c r="AU14" s="35" t="n">
        <v>36644.4353</v>
      </c>
      <c r="AV14" s="35" t="n">
        <v>36644.4353</v>
      </c>
      <c r="AW14" s="35" t="n">
        <v>36644.4353</v>
      </c>
      <c r="AX14" s="35" t="n">
        <v>36644.4353</v>
      </c>
      <c r="AY14" s="35" t="n">
        <v>36644.4353</v>
      </c>
      <c r="AZ14" s="35" t="n">
        <v>36644.4353</v>
      </c>
      <c r="BA14" s="35" t="n">
        <v>36644.4353</v>
      </c>
      <c r="BB14" s="35" t="n">
        <v>36644.4353</v>
      </c>
      <c r="BC14" s="35" t="n">
        <v>36644.4353</v>
      </c>
      <c r="BD14" s="35" t="n">
        <v>36644.4353</v>
      </c>
      <c r="BE14" s="35" t="n">
        <v>36644.4353</v>
      </c>
      <c r="BF14" s="35" t="n">
        <v>36644.4353</v>
      </c>
      <c r="BG14" s="36" t="n">
        <v>10900.0344</v>
      </c>
      <c r="BH14" s="36" t="n">
        <v>10900.0344</v>
      </c>
      <c r="BI14" s="36" t="n">
        <v>10900.0344</v>
      </c>
      <c r="BJ14" s="36" t="n">
        <v>10900.0344</v>
      </c>
      <c r="BK14" s="36" t="n">
        <v>10900.0344</v>
      </c>
    </row>
    <row r="15" customFormat="false" ht="12.75" hidden="false" customHeight="false" outlineLevel="0" collapsed="false">
      <c r="A15" s="1" t="n">
        <f aca="false">A14+1</f>
        <v>14</v>
      </c>
      <c r="B15" s="25" t="n">
        <v>14309.1744</v>
      </c>
      <c r="C15" s="25" t="n">
        <v>14309.1744</v>
      </c>
      <c r="D15" s="25" t="n">
        <v>14309.1744</v>
      </c>
      <c r="E15" s="25" t="n">
        <v>14309.1744</v>
      </c>
      <c r="F15" s="25" t="n">
        <v>14309.1744</v>
      </c>
      <c r="G15" s="25" t="n">
        <v>14309.1744</v>
      </c>
      <c r="H15" s="25" t="n">
        <v>14309.1744</v>
      </c>
      <c r="I15" s="25" t="n">
        <v>14309.1744</v>
      </c>
      <c r="J15" s="25" t="n">
        <v>14309.1744</v>
      </c>
      <c r="K15" s="25" t="n">
        <v>14309.1744</v>
      </c>
      <c r="L15" s="32" t="n">
        <f aca="false">K15*7</f>
        <v>100164.2208</v>
      </c>
      <c r="M15" s="32" t="n">
        <f aca="false">L15</f>
        <v>100164.2208</v>
      </c>
      <c r="N15" s="1" t="n">
        <v>12905.0832</v>
      </c>
      <c r="O15" s="1" t="n">
        <v>12905.0832</v>
      </c>
      <c r="P15" s="1" t="n">
        <v>12905.0832</v>
      </c>
      <c r="Q15" s="1" t="n">
        <v>12905.0832</v>
      </c>
      <c r="R15" s="1" t="n">
        <v>12905.0832</v>
      </c>
      <c r="S15" s="1" t="n">
        <v>12905.0832</v>
      </c>
      <c r="T15" s="1" t="n">
        <v>12905.0832</v>
      </c>
      <c r="U15" s="1" t="n">
        <v>12905.0832</v>
      </c>
      <c r="V15" s="33" t="n">
        <v>24768.4496</v>
      </c>
      <c r="W15" s="33" t="n">
        <v>24768.4496</v>
      </c>
      <c r="X15" s="33" t="n">
        <v>24768.4496</v>
      </c>
      <c r="Y15" s="33" t="n">
        <v>24768.4496</v>
      </c>
      <c r="Z15" s="33" t="n">
        <v>24768.4496</v>
      </c>
      <c r="AA15" s="33" t="n">
        <v>24768.4496</v>
      </c>
      <c r="AB15" s="34" t="n">
        <v>42915.2</v>
      </c>
      <c r="AC15" s="34" t="n">
        <v>42915.2</v>
      </c>
      <c r="AD15" s="34" t="n">
        <v>42915.2</v>
      </c>
      <c r="AE15" s="33" t="n">
        <v>24768.4496</v>
      </c>
      <c r="AF15" s="33" t="n">
        <v>24768.4496</v>
      </c>
      <c r="AG15" s="33" t="n">
        <v>24768.4496</v>
      </c>
      <c r="AH15" s="33" t="n">
        <v>24768.4496</v>
      </c>
      <c r="AI15" s="33" t="n">
        <v>24768.4496</v>
      </c>
      <c r="AJ15" s="33" t="n">
        <v>24768.4496</v>
      </c>
      <c r="AK15" s="34" t="n">
        <v>42915.2</v>
      </c>
      <c r="AL15" s="34" t="n">
        <v>42915.2</v>
      </c>
      <c r="AM15" s="34" t="n">
        <v>42915.2</v>
      </c>
      <c r="AN15" s="34" t="n">
        <v>42915.2</v>
      </c>
      <c r="AO15" s="34" t="n">
        <v>42915.2</v>
      </c>
      <c r="AP15" s="34" t="n">
        <v>42915.2</v>
      </c>
      <c r="AQ15" s="34" t="n">
        <v>42915.2</v>
      </c>
      <c r="AR15" s="34" t="n">
        <v>42915.2</v>
      </c>
      <c r="AS15" s="34" t="n">
        <v>42915.2</v>
      </c>
      <c r="AT15" s="33" t="n">
        <v>24768.4496</v>
      </c>
      <c r="AU15" s="35" t="n">
        <v>34693.3656</v>
      </c>
      <c r="AV15" s="35" t="n">
        <v>34693.3656</v>
      </c>
      <c r="AW15" s="35" t="n">
        <v>34693.3656</v>
      </c>
      <c r="AX15" s="35" t="n">
        <v>34693.3656</v>
      </c>
      <c r="AY15" s="35" t="n">
        <v>34693.3656</v>
      </c>
      <c r="AZ15" s="35" t="n">
        <v>34693.3656</v>
      </c>
      <c r="BA15" s="35" t="n">
        <v>34693.3656</v>
      </c>
      <c r="BB15" s="35" t="n">
        <v>34693.3656</v>
      </c>
      <c r="BC15" s="35" t="n">
        <v>34693.3656</v>
      </c>
      <c r="BD15" s="35" t="n">
        <v>34693.3656</v>
      </c>
      <c r="BE15" s="35" t="n">
        <v>34693.3656</v>
      </c>
      <c r="BF15" s="35" t="n">
        <v>34693.3656</v>
      </c>
      <c r="BG15" s="36" t="n">
        <v>10442.2128</v>
      </c>
      <c r="BH15" s="36" t="n">
        <v>10442.2128</v>
      </c>
      <c r="BI15" s="36" t="n">
        <v>10442.2128</v>
      </c>
      <c r="BJ15" s="36" t="n">
        <v>10442.2128</v>
      </c>
      <c r="BK15" s="36" t="n">
        <v>10442.2128</v>
      </c>
    </row>
    <row r="16" customFormat="false" ht="12.75" hidden="false" customHeight="false" outlineLevel="0" collapsed="false">
      <c r="A16" s="1" t="n">
        <f aca="false">A15+1</f>
        <v>15</v>
      </c>
      <c r="B16" s="25" t="n">
        <v>14075.2</v>
      </c>
      <c r="C16" s="25" t="n">
        <v>14075.2</v>
      </c>
      <c r="D16" s="25" t="n">
        <v>14075.2</v>
      </c>
      <c r="E16" s="25" t="n">
        <v>14075.2</v>
      </c>
      <c r="F16" s="25" t="n">
        <v>14075.2</v>
      </c>
      <c r="G16" s="25" t="n">
        <v>14075.2</v>
      </c>
      <c r="H16" s="25" t="n">
        <v>14075.2</v>
      </c>
      <c r="I16" s="25" t="n">
        <v>14075.2</v>
      </c>
      <c r="J16" s="25" t="n">
        <v>14075.2</v>
      </c>
      <c r="K16" s="25" t="n">
        <v>14075.2</v>
      </c>
      <c r="L16" s="32" t="n">
        <f aca="false">K16*7</f>
        <v>98526.4</v>
      </c>
      <c r="M16" s="32" t="n">
        <f aca="false">L16</f>
        <v>98526.4</v>
      </c>
      <c r="N16" s="1" t="n">
        <v>12476.9125</v>
      </c>
      <c r="O16" s="1" t="n">
        <v>12476.9125</v>
      </c>
      <c r="P16" s="1" t="n">
        <v>12476.9125</v>
      </c>
      <c r="Q16" s="1" t="n">
        <v>12476.9125</v>
      </c>
      <c r="R16" s="1" t="n">
        <v>12476.9125</v>
      </c>
      <c r="S16" s="1" t="n">
        <v>12476.9125</v>
      </c>
      <c r="T16" s="1" t="n">
        <v>12476.9125</v>
      </c>
      <c r="U16" s="1" t="n">
        <v>12476.9125</v>
      </c>
      <c r="V16" s="33" t="n">
        <v>24615.075</v>
      </c>
      <c r="W16" s="33" t="n">
        <v>24615.075</v>
      </c>
      <c r="X16" s="33" t="n">
        <v>24615.075</v>
      </c>
      <c r="Y16" s="33" t="n">
        <v>24615.075</v>
      </c>
      <c r="Z16" s="33" t="n">
        <v>24615.075</v>
      </c>
      <c r="AA16" s="33" t="n">
        <v>24615.075</v>
      </c>
      <c r="AB16" s="34" t="n">
        <v>41891.5</v>
      </c>
      <c r="AC16" s="34" t="n">
        <v>41891.5</v>
      </c>
      <c r="AD16" s="34" t="n">
        <v>41891.5</v>
      </c>
      <c r="AE16" s="33" t="n">
        <v>24615.075</v>
      </c>
      <c r="AF16" s="33" t="n">
        <v>24615.075</v>
      </c>
      <c r="AG16" s="33" t="n">
        <v>24615.075</v>
      </c>
      <c r="AH16" s="33" t="n">
        <v>24615.075</v>
      </c>
      <c r="AI16" s="33" t="n">
        <v>24615.075</v>
      </c>
      <c r="AJ16" s="33" t="n">
        <v>24615.075</v>
      </c>
      <c r="AK16" s="34" t="n">
        <v>41891.5</v>
      </c>
      <c r="AL16" s="34" t="n">
        <v>41891.5</v>
      </c>
      <c r="AM16" s="34" t="n">
        <v>41891.5</v>
      </c>
      <c r="AN16" s="34" t="n">
        <v>41891.5</v>
      </c>
      <c r="AO16" s="34" t="n">
        <v>41891.5</v>
      </c>
      <c r="AP16" s="34" t="n">
        <v>41891.5</v>
      </c>
      <c r="AQ16" s="34" t="n">
        <v>41891.5</v>
      </c>
      <c r="AR16" s="34" t="n">
        <v>41891.5</v>
      </c>
      <c r="AS16" s="34" t="n">
        <v>41891.5</v>
      </c>
      <c r="AT16" s="33" t="n">
        <v>24615.075</v>
      </c>
      <c r="AU16" s="35" t="n">
        <v>32525.2875</v>
      </c>
      <c r="AV16" s="35" t="n">
        <v>32525.2875</v>
      </c>
      <c r="AW16" s="35" t="n">
        <v>32525.2875</v>
      </c>
      <c r="AX16" s="35" t="n">
        <v>32525.2875</v>
      </c>
      <c r="AY16" s="35" t="n">
        <v>32525.2875</v>
      </c>
      <c r="AZ16" s="35" t="n">
        <v>32525.2875</v>
      </c>
      <c r="BA16" s="35" t="n">
        <v>32525.2875</v>
      </c>
      <c r="BB16" s="35" t="n">
        <v>32525.2875</v>
      </c>
      <c r="BC16" s="35" t="n">
        <v>32525.2875</v>
      </c>
      <c r="BD16" s="35" t="n">
        <v>32525.2875</v>
      </c>
      <c r="BE16" s="35" t="n">
        <v>32525.2875</v>
      </c>
      <c r="BF16" s="35" t="n">
        <v>32525.2875</v>
      </c>
      <c r="BG16" s="36" t="n">
        <v>9975.9</v>
      </c>
      <c r="BH16" s="36" t="n">
        <v>9975.9</v>
      </c>
      <c r="BI16" s="36" t="n">
        <v>9975.9</v>
      </c>
      <c r="BJ16" s="36" t="n">
        <v>9975.9</v>
      </c>
      <c r="BK16" s="36" t="n">
        <v>9975.9</v>
      </c>
    </row>
    <row r="17" customFormat="false" ht="12.75" hidden="false" customHeight="false" outlineLevel="0" collapsed="false">
      <c r="A17" s="1" t="n">
        <f aca="false">A16+1</f>
        <v>16</v>
      </c>
      <c r="B17" s="25" t="n">
        <v>13802.5376</v>
      </c>
      <c r="C17" s="25" t="n">
        <v>13802.5376</v>
      </c>
      <c r="D17" s="25" t="n">
        <v>13802.5376</v>
      </c>
      <c r="E17" s="25" t="n">
        <v>13802.5376</v>
      </c>
      <c r="F17" s="25" t="n">
        <v>13802.5376</v>
      </c>
      <c r="G17" s="25" t="n">
        <v>13802.5376</v>
      </c>
      <c r="H17" s="25" t="n">
        <v>13802.5376</v>
      </c>
      <c r="I17" s="25" t="n">
        <v>13802.5376</v>
      </c>
      <c r="J17" s="25" t="n">
        <v>13802.5376</v>
      </c>
      <c r="K17" s="25" t="n">
        <v>13802.5376</v>
      </c>
      <c r="L17" s="32" t="n">
        <f aca="false">K17*7</f>
        <v>96617.7632</v>
      </c>
      <c r="M17" s="32" t="n">
        <f aca="false">L17</f>
        <v>96617.7632</v>
      </c>
      <c r="N17" s="1" t="n">
        <v>12053.6928</v>
      </c>
      <c r="O17" s="1" t="n">
        <v>12053.6928</v>
      </c>
      <c r="P17" s="1" t="n">
        <v>12053.6928</v>
      </c>
      <c r="Q17" s="1" t="n">
        <v>12053.6928</v>
      </c>
      <c r="R17" s="1" t="n">
        <v>12053.6928</v>
      </c>
      <c r="S17" s="1" t="n">
        <v>12053.6928</v>
      </c>
      <c r="T17" s="1" t="n">
        <v>12053.6928</v>
      </c>
      <c r="U17" s="1" t="n">
        <v>12053.6928</v>
      </c>
      <c r="V17" s="33" t="n">
        <v>24504.0272</v>
      </c>
      <c r="W17" s="33" t="n">
        <v>24504.0272</v>
      </c>
      <c r="X17" s="33" t="n">
        <v>24504.0272</v>
      </c>
      <c r="Y17" s="33" t="n">
        <v>24504.0272</v>
      </c>
      <c r="Z17" s="33" t="n">
        <v>24504.0272</v>
      </c>
      <c r="AA17" s="33" t="n">
        <v>24504.0272</v>
      </c>
      <c r="AB17" s="34" t="n">
        <v>40867.8</v>
      </c>
      <c r="AC17" s="34" t="n">
        <v>40867.8</v>
      </c>
      <c r="AD17" s="34" t="n">
        <v>40867.8</v>
      </c>
      <c r="AE17" s="33" t="n">
        <v>24504.0272</v>
      </c>
      <c r="AF17" s="33" t="n">
        <v>24504.0272</v>
      </c>
      <c r="AG17" s="33" t="n">
        <v>24504.0272</v>
      </c>
      <c r="AH17" s="33" t="n">
        <v>24504.0272</v>
      </c>
      <c r="AI17" s="33" t="n">
        <v>24504.0272</v>
      </c>
      <c r="AJ17" s="33" t="n">
        <v>24504.0272</v>
      </c>
      <c r="AK17" s="34" t="n">
        <v>40867.8</v>
      </c>
      <c r="AL17" s="34" t="n">
        <v>40867.8</v>
      </c>
      <c r="AM17" s="34" t="n">
        <v>40867.8</v>
      </c>
      <c r="AN17" s="34" t="n">
        <v>40867.8</v>
      </c>
      <c r="AO17" s="34" t="n">
        <v>40867.8</v>
      </c>
      <c r="AP17" s="34" t="n">
        <v>40867.8</v>
      </c>
      <c r="AQ17" s="34" t="n">
        <v>40867.8</v>
      </c>
      <c r="AR17" s="34" t="n">
        <v>40867.8</v>
      </c>
      <c r="AS17" s="34" t="n">
        <v>40867.8</v>
      </c>
      <c r="AT17" s="33" t="n">
        <v>24504.0272</v>
      </c>
      <c r="AU17" s="35" t="n">
        <v>32525.2875</v>
      </c>
      <c r="AV17" s="35" t="n">
        <v>32525.2875</v>
      </c>
      <c r="AW17" s="35" t="n">
        <v>32525.2875</v>
      </c>
      <c r="AX17" s="35" t="n">
        <v>32525.2875</v>
      </c>
      <c r="AY17" s="35" t="n">
        <v>32525.2875</v>
      </c>
      <c r="AZ17" s="35" t="n">
        <v>32525.2875</v>
      </c>
      <c r="BA17" s="35" t="n">
        <v>32525.2875</v>
      </c>
      <c r="BB17" s="35" t="n">
        <v>32525.2875</v>
      </c>
      <c r="BC17" s="35" t="n">
        <v>32525.2875</v>
      </c>
      <c r="BD17" s="35" t="n">
        <v>32525.2875</v>
      </c>
      <c r="BE17" s="35" t="n">
        <v>32525.2875</v>
      </c>
      <c r="BF17" s="35" t="n">
        <v>32525.2875</v>
      </c>
      <c r="BG17" s="36" t="n">
        <v>9509.1312</v>
      </c>
      <c r="BH17" s="36" t="n">
        <v>9509.1312</v>
      </c>
      <c r="BI17" s="36" t="n">
        <v>9509.1312</v>
      </c>
      <c r="BJ17" s="36" t="n">
        <v>9509.1312</v>
      </c>
      <c r="BK17" s="36" t="n">
        <v>9509.1312</v>
      </c>
    </row>
    <row r="18" customFormat="false" ht="12.75" hidden="false" customHeight="false" outlineLevel="0" collapsed="false">
      <c r="A18" s="1" t="n">
        <f aca="false">A17+1</f>
        <v>17</v>
      </c>
      <c r="B18" s="25" t="n">
        <v>13495.2168</v>
      </c>
      <c r="C18" s="25" t="n">
        <v>13495.2168</v>
      </c>
      <c r="D18" s="25" t="n">
        <v>13495.2168</v>
      </c>
      <c r="E18" s="25" t="n">
        <v>13495.2168</v>
      </c>
      <c r="F18" s="25" t="n">
        <v>13495.2168</v>
      </c>
      <c r="G18" s="25" t="n">
        <v>13495.2168</v>
      </c>
      <c r="H18" s="25" t="n">
        <v>13495.2168</v>
      </c>
      <c r="I18" s="25" t="n">
        <v>13495.2168</v>
      </c>
      <c r="J18" s="25" t="n">
        <v>13495.2168</v>
      </c>
      <c r="K18" s="25" t="n">
        <v>13495.2168</v>
      </c>
      <c r="L18" s="32" t="n">
        <f aca="false">K18*7</f>
        <v>94466.5176</v>
      </c>
      <c r="M18" s="32" t="n">
        <f aca="false">L18</f>
        <v>94466.5176</v>
      </c>
      <c r="N18" s="1" t="n">
        <v>11637.5979</v>
      </c>
      <c r="O18" s="1" t="n">
        <v>11637.5979</v>
      </c>
      <c r="P18" s="1" t="n">
        <v>11637.5979</v>
      </c>
      <c r="Q18" s="1" t="n">
        <v>11637.5979</v>
      </c>
      <c r="R18" s="1" t="n">
        <v>11637.5979</v>
      </c>
      <c r="S18" s="1" t="n">
        <v>11637.5979</v>
      </c>
      <c r="T18" s="1" t="n">
        <v>11637.5979</v>
      </c>
      <c r="U18" s="1" t="n">
        <v>11637.5979</v>
      </c>
      <c r="V18" s="33" t="n">
        <v>24419.7278</v>
      </c>
      <c r="W18" s="33" t="n">
        <v>24419.7278</v>
      </c>
      <c r="X18" s="33" t="n">
        <v>24419.7278</v>
      </c>
      <c r="Y18" s="33" t="n">
        <v>24419.7278</v>
      </c>
      <c r="Z18" s="33" t="n">
        <v>24419.7278</v>
      </c>
      <c r="AA18" s="33" t="n">
        <v>24419.7278</v>
      </c>
      <c r="AB18" s="34" t="n">
        <v>39844.1</v>
      </c>
      <c r="AC18" s="34" t="n">
        <v>39844.1</v>
      </c>
      <c r="AD18" s="34" t="n">
        <v>39844.1</v>
      </c>
      <c r="AE18" s="33" t="n">
        <v>24419.7278</v>
      </c>
      <c r="AF18" s="33" t="n">
        <v>24419.7278</v>
      </c>
      <c r="AG18" s="33" t="n">
        <v>24419.7278</v>
      </c>
      <c r="AH18" s="33" t="n">
        <v>24419.7278</v>
      </c>
      <c r="AI18" s="33" t="n">
        <v>24419.7278</v>
      </c>
      <c r="AJ18" s="33" t="n">
        <v>24419.7278</v>
      </c>
      <c r="AK18" s="34" t="n">
        <v>39844.1</v>
      </c>
      <c r="AL18" s="34" t="n">
        <v>39844.1</v>
      </c>
      <c r="AM18" s="34" t="n">
        <v>39844.1</v>
      </c>
      <c r="AN18" s="34" t="n">
        <v>39844.1</v>
      </c>
      <c r="AO18" s="34" t="n">
        <v>39844.1</v>
      </c>
      <c r="AP18" s="34" t="n">
        <v>39844.1</v>
      </c>
      <c r="AQ18" s="34" t="n">
        <v>39844.1</v>
      </c>
      <c r="AR18" s="34" t="n">
        <v>39844.1</v>
      </c>
      <c r="AS18" s="34" t="n">
        <v>39844.1</v>
      </c>
      <c r="AT18" s="33" t="n">
        <v>24419.7278</v>
      </c>
      <c r="AU18" s="35" t="n">
        <v>32525.2875</v>
      </c>
      <c r="AV18" s="35" t="n">
        <v>32525.2875</v>
      </c>
      <c r="AW18" s="35" t="n">
        <v>32525.2875</v>
      </c>
      <c r="AX18" s="35" t="n">
        <v>32525.2875</v>
      </c>
      <c r="AY18" s="35" t="n">
        <v>32525.2875</v>
      </c>
      <c r="AZ18" s="35" t="n">
        <v>32525.2875</v>
      </c>
      <c r="BA18" s="35" t="n">
        <v>32525.2875</v>
      </c>
      <c r="BB18" s="35" t="n">
        <v>32525.2875</v>
      </c>
      <c r="BC18" s="35" t="n">
        <v>32525.2875</v>
      </c>
      <c r="BD18" s="35" t="n">
        <v>32525.2875</v>
      </c>
      <c r="BE18" s="35" t="n">
        <v>32525.2875</v>
      </c>
      <c r="BF18" s="35" t="n">
        <v>32525.2875</v>
      </c>
      <c r="BG18" s="36" t="n">
        <v>9049.9416</v>
      </c>
      <c r="BH18" s="36" t="n">
        <v>9049.9416</v>
      </c>
      <c r="BI18" s="36" t="n">
        <v>9049.9416</v>
      </c>
      <c r="BJ18" s="36" t="n">
        <v>9049.9416</v>
      </c>
      <c r="BK18" s="36" t="n">
        <v>9049.9416</v>
      </c>
    </row>
    <row r="19" customFormat="false" ht="12.75" hidden="false" customHeight="false" outlineLevel="0" collapsed="false">
      <c r="A19" s="1" t="n">
        <f aca="false">A18+1</f>
        <v>18</v>
      </c>
      <c r="B19" s="25" t="n">
        <v>13157.2672</v>
      </c>
      <c r="C19" s="25" t="n">
        <v>13157.2672</v>
      </c>
      <c r="D19" s="25" t="n">
        <v>13157.2672</v>
      </c>
      <c r="E19" s="25" t="n">
        <v>13157.2672</v>
      </c>
      <c r="F19" s="25" t="n">
        <v>13157.2672</v>
      </c>
      <c r="G19" s="25" t="n">
        <v>13157.2672</v>
      </c>
      <c r="H19" s="25" t="n">
        <v>13157.2672</v>
      </c>
      <c r="I19" s="25" t="n">
        <v>13157.2672</v>
      </c>
      <c r="J19" s="25" t="n">
        <v>13157.2672</v>
      </c>
      <c r="K19" s="25" t="n">
        <v>13157.2672</v>
      </c>
      <c r="L19" s="32" t="n">
        <f aca="false">K19*7</f>
        <v>92100.8704</v>
      </c>
      <c r="M19" s="32" t="n">
        <f aca="false">L19</f>
        <v>92100.8704</v>
      </c>
      <c r="N19" s="1" t="n">
        <v>11230.8016</v>
      </c>
      <c r="O19" s="1" t="n">
        <v>11230.8016</v>
      </c>
      <c r="P19" s="1" t="n">
        <v>11230.8016</v>
      </c>
      <c r="Q19" s="1" t="n">
        <v>11230.8016</v>
      </c>
      <c r="R19" s="1" t="n">
        <v>11230.8016</v>
      </c>
      <c r="S19" s="1" t="n">
        <v>11230.8016</v>
      </c>
      <c r="T19" s="1" t="n">
        <v>11230.8016</v>
      </c>
      <c r="U19" s="1" t="n">
        <v>11230.8016</v>
      </c>
      <c r="V19" s="33" t="n">
        <v>24348.456</v>
      </c>
      <c r="W19" s="33" t="n">
        <v>24348.456</v>
      </c>
      <c r="X19" s="33" t="n">
        <v>24348.456</v>
      </c>
      <c r="Y19" s="33" t="n">
        <v>24348.456</v>
      </c>
      <c r="Z19" s="33" t="n">
        <v>24348.456</v>
      </c>
      <c r="AA19" s="33" t="n">
        <v>24348.456</v>
      </c>
      <c r="AB19" s="34" t="n">
        <v>38820.4</v>
      </c>
      <c r="AC19" s="34" t="n">
        <v>38820.4</v>
      </c>
      <c r="AD19" s="34" t="n">
        <v>38820.4</v>
      </c>
      <c r="AE19" s="33" t="n">
        <v>24348.456</v>
      </c>
      <c r="AF19" s="33" t="n">
        <v>24348.456</v>
      </c>
      <c r="AG19" s="33" t="n">
        <v>24348.456</v>
      </c>
      <c r="AH19" s="33" t="n">
        <v>24348.456</v>
      </c>
      <c r="AI19" s="33" t="n">
        <v>24348.456</v>
      </c>
      <c r="AJ19" s="33" t="n">
        <v>24348.456</v>
      </c>
      <c r="AK19" s="34" t="n">
        <v>38820.4</v>
      </c>
      <c r="AL19" s="34" t="n">
        <v>38820.4</v>
      </c>
      <c r="AM19" s="34" t="n">
        <v>38820.4</v>
      </c>
      <c r="AN19" s="34" t="n">
        <v>38820.4</v>
      </c>
      <c r="AO19" s="34" t="n">
        <v>38820.4</v>
      </c>
      <c r="AP19" s="34" t="n">
        <v>38820.4</v>
      </c>
      <c r="AQ19" s="34" t="n">
        <v>38820.4</v>
      </c>
      <c r="AR19" s="34" t="n">
        <v>38820.4</v>
      </c>
      <c r="AS19" s="34" t="n">
        <v>38820.4</v>
      </c>
      <c r="AT19" s="33" t="n">
        <v>24348.456</v>
      </c>
      <c r="AU19" s="35" t="n">
        <v>32525.2875</v>
      </c>
      <c r="AV19" s="35" t="n">
        <v>32525.2875</v>
      </c>
      <c r="AW19" s="35" t="n">
        <v>32525.2875</v>
      </c>
      <c r="AX19" s="35" t="n">
        <v>32525.2875</v>
      </c>
      <c r="AY19" s="35" t="n">
        <v>32525.2875</v>
      </c>
      <c r="AZ19" s="35" t="n">
        <v>32525.2875</v>
      </c>
      <c r="BA19" s="35" t="n">
        <v>32525.2875</v>
      </c>
      <c r="BB19" s="35" t="n">
        <v>32525.2875</v>
      </c>
      <c r="BC19" s="35" t="n">
        <v>32525.2875</v>
      </c>
      <c r="BD19" s="35" t="n">
        <v>32525.2875</v>
      </c>
      <c r="BE19" s="35" t="n">
        <v>32525.2875</v>
      </c>
      <c r="BF19" s="35" t="n">
        <v>32525.2875</v>
      </c>
      <c r="BG19" s="36" t="n">
        <v>8606.3664</v>
      </c>
      <c r="BH19" s="36" t="n">
        <v>8606.3664</v>
      </c>
      <c r="BI19" s="36" t="n">
        <v>8606.3664</v>
      </c>
      <c r="BJ19" s="36" t="n">
        <v>8606.3664</v>
      </c>
      <c r="BK19" s="36" t="n">
        <v>8606.3664</v>
      </c>
    </row>
    <row r="20" customFormat="false" ht="12.75" hidden="false" customHeight="false" outlineLevel="0" collapsed="false">
      <c r="A20" s="1" t="n">
        <f aca="false">A19+1</f>
        <v>19</v>
      </c>
      <c r="B20" s="25" t="n">
        <v>12792.7184</v>
      </c>
      <c r="C20" s="25" t="n">
        <v>12792.7184</v>
      </c>
      <c r="D20" s="25" t="n">
        <v>12792.7184</v>
      </c>
      <c r="E20" s="25" t="n">
        <v>12792.7184</v>
      </c>
      <c r="F20" s="25" t="n">
        <v>12792.7184</v>
      </c>
      <c r="G20" s="25" t="n">
        <v>12792.7184</v>
      </c>
      <c r="H20" s="25" t="n">
        <v>12792.7184</v>
      </c>
      <c r="I20" s="25" t="n">
        <v>12792.7184</v>
      </c>
      <c r="J20" s="25" t="n">
        <v>12792.7184</v>
      </c>
      <c r="K20" s="25" t="n">
        <v>12792.7184</v>
      </c>
      <c r="L20" s="32" t="n">
        <f aca="false">K20*7</f>
        <v>89549.0288</v>
      </c>
      <c r="M20" s="32" t="n">
        <f aca="false">L20</f>
        <v>89549.0288</v>
      </c>
      <c r="N20" s="1" t="n">
        <v>10835.4777</v>
      </c>
      <c r="O20" s="1" t="n">
        <v>10835.4777</v>
      </c>
      <c r="P20" s="1" t="n">
        <v>10835.4777</v>
      </c>
      <c r="Q20" s="1" t="n">
        <v>10835.4777</v>
      </c>
      <c r="R20" s="1" t="n">
        <v>10835.4777</v>
      </c>
      <c r="S20" s="1" t="n">
        <v>10835.4777</v>
      </c>
      <c r="T20" s="1" t="n">
        <v>10835.4777</v>
      </c>
      <c r="U20" s="1" t="n">
        <v>10835.4777</v>
      </c>
      <c r="V20" s="33" t="n">
        <v>24278.3486</v>
      </c>
      <c r="W20" s="33" t="n">
        <v>24278.3486</v>
      </c>
      <c r="X20" s="33" t="n">
        <v>24278.3486</v>
      </c>
      <c r="Y20" s="33" t="n">
        <v>24278.3486</v>
      </c>
      <c r="Z20" s="33" t="n">
        <v>24278.3486</v>
      </c>
      <c r="AA20" s="33" t="n">
        <v>24278.3486</v>
      </c>
      <c r="AB20" s="34" t="n">
        <v>37796.7</v>
      </c>
      <c r="AC20" s="34" t="n">
        <v>37796.7</v>
      </c>
      <c r="AD20" s="34" t="n">
        <v>37796.7</v>
      </c>
      <c r="AE20" s="33" t="n">
        <v>24278.3486</v>
      </c>
      <c r="AF20" s="33" t="n">
        <v>24278.3486</v>
      </c>
      <c r="AG20" s="33" t="n">
        <v>24278.3486</v>
      </c>
      <c r="AH20" s="33" t="n">
        <v>24278.3486</v>
      </c>
      <c r="AI20" s="33" t="n">
        <v>24278.3486</v>
      </c>
      <c r="AJ20" s="33" t="n">
        <v>24278.3486</v>
      </c>
      <c r="AK20" s="34" t="n">
        <v>37796.7</v>
      </c>
      <c r="AL20" s="34" t="n">
        <v>37796.7</v>
      </c>
      <c r="AM20" s="34" t="n">
        <v>37796.7</v>
      </c>
      <c r="AN20" s="34" t="n">
        <v>37796.7</v>
      </c>
      <c r="AO20" s="34" t="n">
        <v>37796.7</v>
      </c>
      <c r="AP20" s="34" t="n">
        <v>37796.7</v>
      </c>
      <c r="AQ20" s="34" t="n">
        <v>37796.7</v>
      </c>
      <c r="AR20" s="34" t="n">
        <v>37796.7</v>
      </c>
      <c r="AS20" s="34" t="n">
        <v>37796.7</v>
      </c>
      <c r="AT20" s="33" t="n">
        <v>24278.3486</v>
      </c>
      <c r="AU20" s="35" t="n">
        <v>32525.2875</v>
      </c>
      <c r="AV20" s="35" t="n">
        <v>32525.2875</v>
      </c>
      <c r="AW20" s="35" t="n">
        <v>32525.2875</v>
      </c>
      <c r="AX20" s="35" t="n">
        <v>32525.2875</v>
      </c>
      <c r="AY20" s="35" t="n">
        <v>32525.2875</v>
      </c>
      <c r="AZ20" s="35" t="n">
        <v>32525.2875</v>
      </c>
      <c r="BA20" s="35" t="n">
        <v>32525.2875</v>
      </c>
      <c r="BB20" s="35" t="n">
        <v>32525.2875</v>
      </c>
      <c r="BC20" s="35" t="n">
        <v>32525.2875</v>
      </c>
      <c r="BD20" s="35" t="n">
        <v>32525.2875</v>
      </c>
      <c r="BE20" s="35" t="n">
        <v>32525.2875</v>
      </c>
      <c r="BF20" s="35" t="n">
        <v>32525.2875</v>
      </c>
      <c r="BG20" s="36" t="n">
        <v>8186.4408</v>
      </c>
      <c r="BH20" s="36" t="n">
        <v>8186.4408</v>
      </c>
      <c r="BI20" s="36" t="n">
        <v>8186.4408</v>
      </c>
      <c r="BJ20" s="36" t="n">
        <v>8186.4408</v>
      </c>
      <c r="BK20" s="36" t="n">
        <v>8186.4408</v>
      </c>
    </row>
    <row r="21" customFormat="false" ht="12.75" hidden="false" customHeight="false" outlineLevel="0" collapsed="false">
      <c r="A21" s="1" t="n">
        <f aca="false">A20+1</f>
        <v>20</v>
      </c>
      <c r="B21" s="25" t="n">
        <v>12405.6</v>
      </c>
      <c r="C21" s="25" t="n">
        <v>12405.6</v>
      </c>
      <c r="D21" s="25" t="n">
        <v>12405.6</v>
      </c>
      <c r="E21" s="25" t="n">
        <v>12405.6</v>
      </c>
      <c r="F21" s="25" t="n">
        <v>12405.6</v>
      </c>
      <c r="G21" s="25" t="n">
        <v>12405.6</v>
      </c>
      <c r="H21" s="25" t="n">
        <v>12405.6</v>
      </c>
      <c r="I21" s="25" t="n">
        <v>12405.6</v>
      </c>
      <c r="J21" s="25" t="n">
        <v>12405.6</v>
      </c>
      <c r="K21" s="25" t="n">
        <v>12405.6</v>
      </c>
      <c r="L21" s="32" t="n">
        <f aca="false">K21*7</f>
        <v>86839.2</v>
      </c>
      <c r="M21" s="32" t="n">
        <f aca="false">L21</f>
        <v>86839.2</v>
      </c>
      <c r="N21" s="1" t="n">
        <v>10453.8</v>
      </c>
      <c r="O21" s="1" t="n">
        <v>10453.8</v>
      </c>
      <c r="P21" s="1" t="n">
        <v>10453.8</v>
      </c>
      <c r="Q21" s="1" t="n">
        <v>10453.8</v>
      </c>
      <c r="R21" s="1" t="n">
        <v>10453.8</v>
      </c>
      <c r="S21" s="1" t="n">
        <v>10453.8</v>
      </c>
      <c r="T21" s="1" t="n">
        <v>10453.8</v>
      </c>
      <c r="U21" s="1" t="n">
        <v>10453.8</v>
      </c>
      <c r="V21" s="33" t="n">
        <v>24199.4</v>
      </c>
      <c r="W21" s="33" t="n">
        <v>24199.4</v>
      </c>
      <c r="X21" s="33" t="n">
        <v>24199.4</v>
      </c>
      <c r="Y21" s="33" t="n">
        <v>24199.4</v>
      </c>
      <c r="Z21" s="33" t="n">
        <v>24199.4</v>
      </c>
      <c r="AA21" s="33" t="n">
        <v>24199.4</v>
      </c>
      <c r="AB21" s="34" t="n">
        <v>36773</v>
      </c>
      <c r="AC21" s="34" t="n">
        <v>36773</v>
      </c>
      <c r="AD21" s="34" t="n">
        <v>36773</v>
      </c>
      <c r="AE21" s="33" t="n">
        <v>24199.4</v>
      </c>
      <c r="AF21" s="33" t="n">
        <v>24199.4</v>
      </c>
      <c r="AG21" s="33" t="n">
        <v>24199.4</v>
      </c>
      <c r="AH21" s="33" t="n">
        <v>24199.4</v>
      </c>
      <c r="AI21" s="33" t="n">
        <v>24199.4</v>
      </c>
      <c r="AJ21" s="33" t="n">
        <v>24199.4</v>
      </c>
      <c r="AK21" s="34" t="n">
        <v>36773</v>
      </c>
      <c r="AL21" s="34" t="n">
        <v>36773</v>
      </c>
      <c r="AM21" s="34" t="n">
        <v>36773</v>
      </c>
      <c r="AN21" s="34" t="n">
        <v>36773</v>
      </c>
      <c r="AO21" s="34" t="n">
        <v>36773</v>
      </c>
      <c r="AP21" s="34" t="n">
        <v>36773</v>
      </c>
      <c r="AQ21" s="34" t="n">
        <v>36773</v>
      </c>
      <c r="AR21" s="34" t="n">
        <v>36773</v>
      </c>
      <c r="AS21" s="34" t="n">
        <v>36773</v>
      </c>
      <c r="AT21" s="33" t="n">
        <v>24199.4</v>
      </c>
      <c r="AU21" s="35" t="n">
        <v>32525.2875</v>
      </c>
      <c r="AV21" s="35" t="n">
        <v>32525.2875</v>
      </c>
      <c r="AW21" s="35" t="n">
        <v>32525.2875</v>
      </c>
      <c r="AX21" s="35" t="n">
        <v>32525.2875</v>
      </c>
      <c r="AY21" s="35" t="n">
        <v>32525.2875</v>
      </c>
      <c r="AZ21" s="35" t="n">
        <v>32525.2875</v>
      </c>
      <c r="BA21" s="35" t="n">
        <v>32525.2875</v>
      </c>
      <c r="BB21" s="35" t="n">
        <v>32525.2875</v>
      </c>
      <c r="BC21" s="35" t="n">
        <v>32525.2875</v>
      </c>
      <c r="BD21" s="35" t="n">
        <v>32525.2875</v>
      </c>
      <c r="BE21" s="35" t="n">
        <v>32525.2875</v>
      </c>
      <c r="BF21" s="35" t="n">
        <v>32525.2875</v>
      </c>
      <c r="BG21" s="36" t="n">
        <v>7798.2</v>
      </c>
      <c r="BH21" s="36" t="n">
        <v>7798.2</v>
      </c>
      <c r="BI21" s="36" t="n">
        <v>7798.2</v>
      </c>
      <c r="BJ21" s="36" t="n">
        <v>7798.2</v>
      </c>
      <c r="BK21" s="36" t="n">
        <v>7798.2</v>
      </c>
    </row>
    <row r="22" customFormat="false" ht="12.75" hidden="false" customHeight="false" outlineLevel="0" collapsed="false">
      <c r="A22" s="1" t="n">
        <f aca="false">A21+1</f>
        <v>21</v>
      </c>
      <c r="B22" s="25" t="n">
        <v>11999.9416</v>
      </c>
      <c r="C22" s="25" t="n">
        <v>11999.9416</v>
      </c>
      <c r="D22" s="25" t="n">
        <v>11999.9416</v>
      </c>
      <c r="E22" s="25" t="n">
        <v>11999.9416</v>
      </c>
      <c r="F22" s="25" t="n">
        <v>11999.9416</v>
      </c>
      <c r="G22" s="25" t="n">
        <v>11999.9416</v>
      </c>
      <c r="H22" s="25" t="n">
        <v>11999.9416</v>
      </c>
      <c r="I22" s="25" t="n">
        <v>11999.9416</v>
      </c>
      <c r="J22" s="25" t="n">
        <v>11999.9416</v>
      </c>
      <c r="K22" s="25" t="n">
        <v>11999.9416</v>
      </c>
      <c r="L22" s="32" t="n">
        <f aca="false">K22*7</f>
        <v>83999.5912</v>
      </c>
      <c r="M22" s="32" t="n">
        <f aca="false">L22</f>
        <v>83999.5912</v>
      </c>
      <c r="N22" s="1" t="n">
        <v>10087.9423</v>
      </c>
      <c r="O22" s="1" t="n">
        <v>10087.9423</v>
      </c>
      <c r="P22" s="1" t="n">
        <v>10087.9423</v>
      </c>
      <c r="Q22" s="1" t="n">
        <v>10087.9423</v>
      </c>
      <c r="R22" s="1" t="n">
        <v>10087.9423</v>
      </c>
      <c r="S22" s="1" t="n">
        <v>10087.9423</v>
      </c>
      <c r="T22" s="1" t="n">
        <v>10087.9423</v>
      </c>
      <c r="U22" s="1" t="n">
        <v>10087.9423</v>
      </c>
      <c r="V22" s="33" t="n">
        <v>24103.4622</v>
      </c>
      <c r="W22" s="33" t="n">
        <v>24103.4622</v>
      </c>
      <c r="X22" s="33" t="n">
        <v>24103.4622</v>
      </c>
      <c r="Y22" s="33" t="n">
        <v>24103.4622</v>
      </c>
      <c r="Z22" s="33" t="n">
        <v>24103.4622</v>
      </c>
      <c r="AA22" s="33" t="n">
        <v>24103.4622</v>
      </c>
      <c r="AB22" s="34" t="n">
        <v>35749.3</v>
      </c>
      <c r="AC22" s="34" t="n">
        <v>35749.3</v>
      </c>
      <c r="AD22" s="34" t="n">
        <v>35749.3</v>
      </c>
      <c r="AE22" s="33" t="n">
        <v>24103.4622</v>
      </c>
      <c r="AF22" s="33" t="n">
        <v>24103.4622</v>
      </c>
      <c r="AG22" s="33" t="n">
        <v>24103.4622</v>
      </c>
      <c r="AH22" s="33" t="n">
        <v>24103.4622</v>
      </c>
      <c r="AI22" s="33" t="n">
        <v>24103.4622</v>
      </c>
      <c r="AJ22" s="33" t="n">
        <v>24103.4622</v>
      </c>
      <c r="AK22" s="34" t="n">
        <v>35749.3</v>
      </c>
      <c r="AL22" s="34" t="n">
        <v>35749.3</v>
      </c>
      <c r="AM22" s="34" t="n">
        <v>35749.3</v>
      </c>
      <c r="AN22" s="34" t="n">
        <v>35749.3</v>
      </c>
      <c r="AO22" s="34" t="n">
        <v>35749.3</v>
      </c>
      <c r="AP22" s="34" t="n">
        <v>35749.3</v>
      </c>
      <c r="AQ22" s="34" t="n">
        <v>35749.3</v>
      </c>
      <c r="AR22" s="34" t="n">
        <v>35749.3</v>
      </c>
      <c r="AS22" s="34" t="n">
        <v>35749.3</v>
      </c>
      <c r="AT22" s="33" t="n">
        <v>24103.4622</v>
      </c>
      <c r="AU22" s="35" t="n">
        <v>32525.2875</v>
      </c>
      <c r="AV22" s="35" t="n">
        <v>32525.2875</v>
      </c>
      <c r="AW22" s="35" t="n">
        <v>32525.2875</v>
      </c>
      <c r="AX22" s="35" t="n">
        <v>32525.2875</v>
      </c>
      <c r="AY22" s="35" t="n">
        <v>32525.2875</v>
      </c>
      <c r="AZ22" s="35" t="n">
        <v>32525.2875</v>
      </c>
      <c r="BA22" s="35" t="n">
        <v>32525.2875</v>
      </c>
      <c r="BB22" s="35" t="n">
        <v>32525.2875</v>
      </c>
      <c r="BC22" s="35" t="n">
        <v>32525.2875</v>
      </c>
      <c r="BD22" s="35" t="n">
        <v>32525.2875</v>
      </c>
      <c r="BE22" s="35" t="n">
        <v>32525.2875</v>
      </c>
      <c r="BF22" s="35" t="n">
        <v>32525.2875</v>
      </c>
      <c r="BG22" s="36" t="n">
        <v>7798.2</v>
      </c>
      <c r="BH22" s="36" t="n">
        <v>7798.2</v>
      </c>
      <c r="BI22" s="36" t="n">
        <v>7798.2</v>
      </c>
      <c r="BJ22" s="36" t="n">
        <v>7798.2</v>
      </c>
      <c r="BK22" s="36" t="n">
        <v>7798.2</v>
      </c>
    </row>
    <row r="23" customFormat="false" ht="12.75" hidden="false" customHeight="false" outlineLevel="0" collapsed="false">
      <c r="A23" s="1" t="n">
        <f aca="false">A22+1</f>
        <v>22</v>
      </c>
      <c r="B23" s="25" t="n">
        <v>11579.7728</v>
      </c>
      <c r="C23" s="25" t="n">
        <v>11579.7728</v>
      </c>
      <c r="D23" s="25" t="n">
        <v>11579.7728</v>
      </c>
      <c r="E23" s="25" t="n">
        <v>11579.7728</v>
      </c>
      <c r="F23" s="25" t="n">
        <v>11579.7728</v>
      </c>
      <c r="G23" s="25" t="n">
        <v>11579.7728</v>
      </c>
      <c r="H23" s="25" t="n">
        <v>11579.7728</v>
      </c>
      <c r="I23" s="25" t="n">
        <v>11579.7728</v>
      </c>
      <c r="J23" s="25" t="n">
        <v>11579.7728</v>
      </c>
      <c r="K23" s="25" t="n">
        <v>11579.7728</v>
      </c>
      <c r="L23" s="32" t="n">
        <f aca="false">K23*7</f>
        <v>81058.4096</v>
      </c>
      <c r="M23" s="32" t="n">
        <f aca="false">L23</f>
        <v>81058.4096</v>
      </c>
      <c r="N23" s="1" t="n">
        <v>9740.0784</v>
      </c>
      <c r="O23" s="1" t="n">
        <v>9740.0784</v>
      </c>
      <c r="P23" s="1" t="n">
        <v>9740.0784</v>
      </c>
      <c r="Q23" s="1" t="n">
        <v>9740.0784</v>
      </c>
      <c r="R23" s="1" t="n">
        <v>9740.0784</v>
      </c>
      <c r="S23" s="1" t="n">
        <v>9740.0784</v>
      </c>
      <c r="T23" s="1" t="n">
        <v>9740.0784</v>
      </c>
      <c r="U23" s="1" t="n">
        <v>9740.0784</v>
      </c>
      <c r="V23" s="33" t="n">
        <v>23984.2448</v>
      </c>
      <c r="W23" s="33" t="n">
        <v>23984.2448</v>
      </c>
      <c r="X23" s="33" t="n">
        <v>23984.2448</v>
      </c>
      <c r="Y23" s="33" t="n">
        <v>23984.2448</v>
      </c>
      <c r="Z23" s="33" t="n">
        <v>23984.2448</v>
      </c>
      <c r="AA23" s="33" t="n">
        <v>23984.2448</v>
      </c>
      <c r="AB23" s="34" t="n">
        <v>34725.6</v>
      </c>
      <c r="AC23" s="34" t="n">
        <v>34725.6</v>
      </c>
      <c r="AD23" s="34" t="n">
        <v>34725.6</v>
      </c>
      <c r="AE23" s="33" t="n">
        <v>23984.2448</v>
      </c>
      <c r="AF23" s="33" t="n">
        <v>23984.2448</v>
      </c>
      <c r="AG23" s="33" t="n">
        <v>23984.2448</v>
      </c>
      <c r="AH23" s="33" t="n">
        <v>23984.2448</v>
      </c>
      <c r="AI23" s="33" t="n">
        <v>23984.2448</v>
      </c>
      <c r="AJ23" s="33" t="n">
        <v>23984.2448</v>
      </c>
      <c r="AK23" s="34" t="n">
        <v>34725.6</v>
      </c>
      <c r="AL23" s="34" t="n">
        <v>34725.6</v>
      </c>
      <c r="AM23" s="34" t="n">
        <v>34725.6</v>
      </c>
      <c r="AN23" s="34" t="n">
        <v>34725.6</v>
      </c>
      <c r="AO23" s="34" t="n">
        <v>34725.6</v>
      </c>
      <c r="AP23" s="34" t="n">
        <v>34725.6</v>
      </c>
      <c r="AQ23" s="34" t="n">
        <v>34725.6</v>
      </c>
      <c r="AR23" s="34" t="n">
        <v>34725.6</v>
      </c>
      <c r="AS23" s="34" t="n">
        <v>34725.6</v>
      </c>
      <c r="AT23" s="33" t="n">
        <v>23984.2448</v>
      </c>
      <c r="AU23" s="35" t="n">
        <v>32525.2875</v>
      </c>
      <c r="AV23" s="35" t="n">
        <v>32525.2875</v>
      </c>
      <c r="AW23" s="35" t="n">
        <v>32525.2875</v>
      </c>
      <c r="AX23" s="35" t="n">
        <v>32525.2875</v>
      </c>
      <c r="AY23" s="35" t="n">
        <v>32525.2875</v>
      </c>
      <c r="AZ23" s="35" t="n">
        <v>32525.2875</v>
      </c>
      <c r="BA23" s="35" t="n">
        <v>32525.2875</v>
      </c>
      <c r="BB23" s="35" t="n">
        <v>32525.2875</v>
      </c>
      <c r="BC23" s="35" t="n">
        <v>32525.2875</v>
      </c>
      <c r="BD23" s="35" t="n">
        <v>32525.2875</v>
      </c>
      <c r="BE23" s="35" t="n">
        <v>32525.2875</v>
      </c>
      <c r="BF23" s="35" t="n">
        <v>32525.2875</v>
      </c>
      <c r="BG23" s="36" t="n">
        <v>7798.2</v>
      </c>
      <c r="BH23" s="36" t="n">
        <v>7798.2</v>
      </c>
      <c r="BI23" s="36" t="n">
        <v>7798.2</v>
      </c>
      <c r="BJ23" s="36" t="n">
        <v>7798.2</v>
      </c>
      <c r="BK23" s="36" t="n">
        <v>7798.2</v>
      </c>
    </row>
    <row r="24" customFormat="false" ht="12.75" hidden="false" customHeight="false" outlineLevel="0" collapsed="false">
      <c r="A24" s="1" t="n">
        <f aca="false">A23+1</f>
        <v>23</v>
      </c>
      <c r="B24" s="25" t="n">
        <v>11149.1232</v>
      </c>
      <c r="C24" s="25" t="n">
        <v>11149.1232</v>
      </c>
      <c r="D24" s="25" t="n">
        <v>11149.1232</v>
      </c>
      <c r="E24" s="25" t="n">
        <v>11149.1232</v>
      </c>
      <c r="F24" s="25" t="n">
        <v>11149.1232</v>
      </c>
      <c r="G24" s="25" t="n">
        <v>11149.1232</v>
      </c>
      <c r="H24" s="25" t="n">
        <v>11149.1232</v>
      </c>
      <c r="I24" s="25" t="n">
        <v>11149.1232</v>
      </c>
      <c r="J24" s="25" t="n">
        <v>11149.1232</v>
      </c>
      <c r="K24" s="25" t="n">
        <v>11149.1232</v>
      </c>
      <c r="L24" s="32" t="n">
        <f aca="false">K24*7</f>
        <v>78043.8624</v>
      </c>
      <c r="M24" s="32" t="n">
        <f aca="false">L24</f>
        <v>78043.8624</v>
      </c>
      <c r="N24" s="1" t="n">
        <v>9412.3821</v>
      </c>
      <c r="O24" s="1" t="n">
        <v>9412.3821</v>
      </c>
      <c r="P24" s="1" t="n">
        <v>9412.3821</v>
      </c>
      <c r="Q24" s="1" t="n">
        <v>9412.3821</v>
      </c>
      <c r="R24" s="1" t="n">
        <v>9412.3821</v>
      </c>
      <c r="S24" s="1" t="n">
        <v>9412.3821</v>
      </c>
      <c r="T24" s="1" t="n">
        <v>9412.3821</v>
      </c>
      <c r="U24" s="1" t="n">
        <v>9412.3821</v>
      </c>
      <c r="V24" s="33" t="n">
        <v>23837.315</v>
      </c>
      <c r="W24" s="33" t="n">
        <v>23837.315</v>
      </c>
      <c r="X24" s="33" t="n">
        <v>23837.315</v>
      </c>
      <c r="Y24" s="33" t="n">
        <v>23837.315</v>
      </c>
      <c r="Z24" s="33" t="n">
        <v>23837.315</v>
      </c>
      <c r="AA24" s="33" t="n">
        <v>23837.315</v>
      </c>
      <c r="AB24" s="34" t="n">
        <v>33701.9</v>
      </c>
      <c r="AC24" s="34" t="n">
        <v>33701.9</v>
      </c>
      <c r="AD24" s="34" t="n">
        <v>33701.9</v>
      </c>
      <c r="AE24" s="33" t="n">
        <v>23837.315</v>
      </c>
      <c r="AF24" s="33" t="n">
        <v>23837.315</v>
      </c>
      <c r="AG24" s="33" t="n">
        <v>23837.315</v>
      </c>
      <c r="AH24" s="33" t="n">
        <v>23837.315</v>
      </c>
      <c r="AI24" s="33" t="n">
        <v>23837.315</v>
      </c>
      <c r="AJ24" s="33" t="n">
        <v>23837.315</v>
      </c>
      <c r="AK24" s="34" t="n">
        <v>33701.9</v>
      </c>
      <c r="AL24" s="34" t="n">
        <v>33701.9</v>
      </c>
      <c r="AM24" s="34" t="n">
        <v>33701.9</v>
      </c>
      <c r="AN24" s="34" t="n">
        <v>33701.9</v>
      </c>
      <c r="AO24" s="34" t="n">
        <v>33701.9</v>
      </c>
      <c r="AP24" s="34" t="n">
        <v>33701.9</v>
      </c>
      <c r="AQ24" s="34" t="n">
        <v>33701.9</v>
      </c>
      <c r="AR24" s="34" t="n">
        <v>33701.9</v>
      </c>
      <c r="AS24" s="34" t="n">
        <v>33701.9</v>
      </c>
      <c r="AT24" s="33" t="n">
        <v>23837.315</v>
      </c>
      <c r="AU24" s="35" t="n">
        <v>32525.2875</v>
      </c>
      <c r="AV24" s="35" t="n">
        <v>32525.2875</v>
      </c>
      <c r="AW24" s="35" t="n">
        <v>32525.2875</v>
      </c>
      <c r="AX24" s="35" t="n">
        <v>32525.2875</v>
      </c>
      <c r="AY24" s="35" t="n">
        <v>32525.2875</v>
      </c>
      <c r="AZ24" s="35" t="n">
        <v>32525.2875</v>
      </c>
      <c r="BA24" s="35" t="n">
        <v>32525.2875</v>
      </c>
      <c r="BB24" s="35" t="n">
        <v>32525.2875</v>
      </c>
      <c r="BC24" s="35" t="n">
        <v>32525.2875</v>
      </c>
      <c r="BD24" s="35" t="n">
        <v>32525.2875</v>
      </c>
      <c r="BE24" s="35" t="n">
        <v>32525.2875</v>
      </c>
      <c r="BF24" s="35" t="n">
        <v>32525.2875</v>
      </c>
      <c r="BG24" s="36" t="n">
        <v>7798.2</v>
      </c>
      <c r="BH24" s="36" t="n">
        <v>7798.2</v>
      </c>
      <c r="BI24" s="36" t="n">
        <v>7798.2</v>
      </c>
      <c r="BJ24" s="36" t="n">
        <v>7798.2</v>
      </c>
      <c r="BK24" s="36" t="n">
        <v>7798.2</v>
      </c>
    </row>
    <row r="25" customFormat="false" ht="12.75" hidden="false" customHeight="false" outlineLevel="0" collapsed="false">
      <c r="A25" s="1" t="n">
        <f aca="false">A24+1</f>
        <v>24</v>
      </c>
      <c r="B25" s="25" t="n">
        <v>10712.0224</v>
      </c>
      <c r="C25" s="25" t="n">
        <v>10712.0224</v>
      </c>
      <c r="D25" s="25" t="n">
        <v>10712.0224</v>
      </c>
      <c r="E25" s="25" t="n">
        <v>10712.0224</v>
      </c>
      <c r="F25" s="25" t="n">
        <v>10712.0224</v>
      </c>
      <c r="G25" s="25" t="n">
        <v>10712.0224</v>
      </c>
      <c r="H25" s="25" t="n">
        <v>10712.0224</v>
      </c>
      <c r="I25" s="25" t="n">
        <v>10712.0224</v>
      </c>
      <c r="J25" s="25" t="n">
        <v>10712.0224</v>
      </c>
      <c r="K25" s="25" t="n">
        <v>10712.0224</v>
      </c>
      <c r="L25" s="32" t="n">
        <f aca="false">K25*7</f>
        <v>74984.1568</v>
      </c>
      <c r="M25" s="32" t="n">
        <f aca="false">L25</f>
        <v>74984.1568</v>
      </c>
      <c r="N25" s="1" t="n">
        <v>9107.0272</v>
      </c>
      <c r="O25" s="1" t="n">
        <v>9107.0272</v>
      </c>
      <c r="P25" s="1" t="n">
        <v>9107.0272</v>
      </c>
      <c r="Q25" s="1" t="n">
        <v>9107.0272</v>
      </c>
      <c r="R25" s="1" t="n">
        <v>9107.0272</v>
      </c>
      <c r="S25" s="1" t="n">
        <v>9107.0272</v>
      </c>
      <c r="T25" s="1" t="n">
        <v>9107.0272</v>
      </c>
      <c r="U25" s="1" t="n">
        <v>9107.0272</v>
      </c>
      <c r="V25" s="33" t="n">
        <v>23660.0976</v>
      </c>
      <c r="W25" s="33" t="n">
        <v>23660.0976</v>
      </c>
      <c r="X25" s="33" t="n">
        <v>23660.0976</v>
      </c>
      <c r="Y25" s="33" t="n">
        <v>23660.0976</v>
      </c>
      <c r="Z25" s="33" t="n">
        <v>23660.0976</v>
      </c>
      <c r="AA25" s="33" t="n">
        <v>23660.0976</v>
      </c>
      <c r="AB25" s="34" t="n">
        <v>32678.2</v>
      </c>
      <c r="AC25" s="34" t="n">
        <v>32678.2</v>
      </c>
      <c r="AD25" s="34" t="n">
        <v>32678.2</v>
      </c>
      <c r="AE25" s="33" t="n">
        <v>23660.0976</v>
      </c>
      <c r="AF25" s="33" t="n">
        <v>23660.0976</v>
      </c>
      <c r="AG25" s="33" t="n">
        <v>23660.0976</v>
      </c>
      <c r="AH25" s="33" t="n">
        <v>23660.0976</v>
      </c>
      <c r="AI25" s="33" t="n">
        <v>23660.0976</v>
      </c>
      <c r="AJ25" s="33" t="n">
        <v>23660.0976</v>
      </c>
      <c r="AK25" s="34" t="n">
        <v>32678.2</v>
      </c>
      <c r="AL25" s="34" t="n">
        <v>32678.2</v>
      </c>
      <c r="AM25" s="34" t="n">
        <v>32678.2</v>
      </c>
      <c r="AN25" s="34" t="n">
        <v>32678.2</v>
      </c>
      <c r="AO25" s="34" t="n">
        <v>32678.2</v>
      </c>
      <c r="AP25" s="34" t="n">
        <v>32678.2</v>
      </c>
      <c r="AQ25" s="34" t="n">
        <v>32678.2</v>
      </c>
      <c r="AR25" s="34" t="n">
        <v>32678.2</v>
      </c>
      <c r="AS25" s="34" t="n">
        <v>32678.2</v>
      </c>
      <c r="AT25" s="33" t="n">
        <v>23660.0976</v>
      </c>
      <c r="AU25" s="35" t="n">
        <v>32525.2875</v>
      </c>
      <c r="AV25" s="35" t="n">
        <v>32525.2875</v>
      </c>
      <c r="AW25" s="35" t="n">
        <v>32525.2875</v>
      </c>
      <c r="AX25" s="35" t="n">
        <v>32525.2875</v>
      </c>
      <c r="AY25" s="35" t="n">
        <v>32525.2875</v>
      </c>
      <c r="AZ25" s="35" t="n">
        <v>32525.2875</v>
      </c>
      <c r="BA25" s="35" t="n">
        <v>32525.2875</v>
      </c>
      <c r="BB25" s="35" t="n">
        <v>32525.2875</v>
      </c>
      <c r="BC25" s="35" t="n">
        <v>32525.2875</v>
      </c>
      <c r="BD25" s="35" t="n">
        <v>32525.2875</v>
      </c>
      <c r="BE25" s="35" t="n">
        <v>32525.2875</v>
      </c>
      <c r="BF25" s="35" t="n">
        <v>32525.2875</v>
      </c>
      <c r="BG25" s="36" t="n">
        <v>7798.2</v>
      </c>
      <c r="BH25" s="36" t="n">
        <v>7798.2</v>
      </c>
      <c r="BI25" s="36" t="n">
        <v>7798.2</v>
      </c>
      <c r="BJ25" s="36" t="n">
        <v>7798.2</v>
      </c>
      <c r="BK25" s="36" t="n">
        <v>7798.2</v>
      </c>
    </row>
    <row r="26" customFormat="false" ht="12.75" hidden="false" customHeight="false" outlineLevel="0" collapsed="false">
      <c r="A26" s="1" t="n">
        <f aca="false">A25+1</f>
        <v>25</v>
      </c>
      <c r="B26" s="25" t="n">
        <v>10272.5</v>
      </c>
      <c r="C26" s="25" t="n">
        <v>10272.5</v>
      </c>
      <c r="D26" s="25" t="n">
        <v>10272.5</v>
      </c>
      <c r="E26" s="25" t="n">
        <v>10272.5</v>
      </c>
      <c r="F26" s="25" t="n">
        <v>10272.5</v>
      </c>
      <c r="G26" s="25" t="n">
        <v>10272.5</v>
      </c>
      <c r="H26" s="25" t="n">
        <v>10272.5</v>
      </c>
      <c r="I26" s="25" t="n">
        <v>10272.5</v>
      </c>
      <c r="J26" s="25" t="n">
        <v>10272.5</v>
      </c>
      <c r="K26" s="25" t="n">
        <v>10272.5</v>
      </c>
      <c r="L26" s="32" t="n">
        <f aca="false">K26*7</f>
        <v>71907.5</v>
      </c>
      <c r="M26" s="32" t="n">
        <f aca="false">L26</f>
        <v>71907.5</v>
      </c>
      <c r="N26" s="1" t="n">
        <v>8826.1875</v>
      </c>
      <c r="O26" s="1" t="n">
        <v>8826.1875</v>
      </c>
      <c r="P26" s="1" t="n">
        <v>8826.1875</v>
      </c>
      <c r="Q26" s="1" t="n">
        <v>8826.1875</v>
      </c>
      <c r="R26" s="1" t="n">
        <v>8826.1875</v>
      </c>
      <c r="S26" s="1" t="n">
        <v>8826.1875</v>
      </c>
      <c r="T26" s="1" t="n">
        <v>8826.1875</v>
      </c>
      <c r="U26" s="1" t="n">
        <v>8826.1875</v>
      </c>
      <c r="V26" s="33" t="n">
        <v>23451.875</v>
      </c>
      <c r="W26" s="33" t="n">
        <v>23451.875</v>
      </c>
      <c r="X26" s="33" t="n">
        <v>23451.875</v>
      </c>
      <c r="Y26" s="33" t="n">
        <v>23451.875</v>
      </c>
      <c r="Z26" s="33" t="n">
        <v>23451.875</v>
      </c>
      <c r="AA26" s="33" t="n">
        <v>23451.875</v>
      </c>
      <c r="AB26" s="34" t="n">
        <v>31654.5</v>
      </c>
      <c r="AC26" s="34" t="n">
        <v>31654.5</v>
      </c>
      <c r="AD26" s="34" t="n">
        <v>31654.5</v>
      </c>
      <c r="AE26" s="33" t="n">
        <v>23451.875</v>
      </c>
      <c r="AF26" s="33" t="n">
        <v>23451.875</v>
      </c>
      <c r="AG26" s="33" t="n">
        <v>23451.875</v>
      </c>
      <c r="AH26" s="33" t="n">
        <v>23451.875</v>
      </c>
      <c r="AI26" s="33" t="n">
        <v>23451.875</v>
      </c>
      <c r="AJ26" s="33" t="n">
        <v>23451.875</v>
      </c>
      <c r="AK26" s="34" t="n">
        <v>31654.5</v>
      </c>
      <c r="AL26" s="34" t="n">
        <v>31654.5</v>
      </c>
      <c r="AM26" s="34" t="n">
        <v>31654.5</v>
      </c>
      <c r="AN26" s="34" t="n">
        <v>31654.5</v>
      </c>
      <c r="AO26" s="34" t="n">
        <v>31654.5</v>
      </c>
      <c r="AP26" s="34" t="n">
        <v>31654.5</v>
      </c>
      <c r="AQ26" s="34" t="n">
        <v>31654.5</v>
      </c>
      <c r="AR26" s="34" t="n">
        <v>31654.5</v>
      </c>
      <c r="AS26" s="34" t="n">
        <v>31654.5</v>
      </c>
      <c r="AT26" s="33" t="n">
        <v>23451.875</v>
      </c>
      <c r="AU26" s="35" t="n">
        <v>32525.2875</v>
      </c>
      <c r="AV26" s="35" t="n">
        <v>32525.2875</v>
      </c>
      <c r="AW26" s="35" t="n">
        <v>32525.2875</v>
      </c>
      <c r="AX26" s="35" t="n">
        <v>32525.2875</v>
      </c>
      <c r="AY26" s="35" t="n">
        <v>32525.2875</v>
      </c>
      <c r="AZ26" s="35" t="n">
        <v>32525.2875</v>
      </c>
      <c r="BA26" s="35" t="n">
        <v>32525.2875</v>
      </c>
      <c r="BB26" s="35" t="n">
        <v>32525.2875</v>
      </c>
      <c r="BC26" s="35" t="n">
        <v>32525.2875</v>
      </c>
      <c r="BD26" s="35" t="n">
        <v>32525.2875</v>
      </c>
      <c r="BE26" s="35" t="n">
        <v>32525.2875</v>
      </c>
      <c r="BF26" s="35" t="n">
        <v>32525.2875</v>
      </c>
      <c r="BG26" s="36" t="n">
        <v>7798.2</v>
      </c>
      <c r="BH26" s="36" t="n">
        <v>7798.2</v>
      </c>
      <c r="BI26" s="36" t="n">
        <v>7798.2</v>
      </c>
      <c r="BJ26" s="36" t="n">
        <v>7798.2</v>
      </c>
      <c r="BK26" s="36" t="n">
        <v>7798.2</v>
      </c>
    </row>
    <row r="27" customFormat="false" ht="12.75" hidden="false" customHeight="false" outlineLevel="0" collapsed="false">
      <c r="A27" s="1" t="n">
        <f aca="false">A26+1</f>
        <v>26</v>
      </c>
      <c r="B27" s="25" t="n">
        <v>9834.58559999999</v>
      </c>
      <c r="C27" s="25" t="n">
        <v>9834.58559999999</v>
      </c>
      <c r="D27" s="25" t="n">
        <v>9834.58559999999</v>
      </c>
      <c r="E27" s="25" t="n">
        <v>9834.58559999999</v>
      </c>
      <c r="F27" s="25" t="n">
        <v>9834.58559999999</v>
      </c>
      <c r="G27" s="25" t="n">
        <v>9834.58559999999</v>
      </c>
      <c r="H27" s="25" t="n">
        <v>9834.58559999999</v>
      </c>
      <c r="I27" s="25" t="n">
        <v>9834.58559999999</v>
      </c>
      <c r="J27" s="25" t="n">
        <v>9834.58559999999</v>
      </c>
      <c r="K27" s="25" t="n">
        <v>9834.58559999999</v>
      </c>
      <c r="L27" s="32" t="n">
        <f aca="false">K27*7</f>
        <v>68842.0991999999</v>
      </c>
      <c r="M27" s="32" t="n">
        <f aca="false">L27</f>
        <v>68842.0991999999</v>
      </c>
      <c r="N27" s="1" t="n">
        <v>8572.0368</v>
      </c>
      <c r="O27" s="1" t="n">
        <v>8572.0368</v>
      </c>
      <c r="P27" s="1" t="n">
        <v>8572.0368</v>
      </c>
      <c r="Q27" s="1" t="n">
        <v>8572.0368</v>
      </c>
      <c r="R27" s="1" t="n">
        <v>8572.0368</v>
      </c>
      <c r="S27" s="1" t="n">
        <v>8572.0368</v>
      </c>
      <c r="T27" s="1" t="n">
        <v>8572.0368</v>
      </c>
      <c r="U27" s="1" t="n">
        <v>8572.0368</v>
      </c>
      <c r="V27" s="33" t="n">
        <v>23213.7872</v>
      </c>
      <c r="W27" s="33" t="n">
        <v>23213.7872</v>
      </c>
      <c r="X27" s="33" t="n">
        <v>23213.7872</v>
      </c>
      <c r="Y27" s="33" t="n">
        <v>23213.7872</v>
      </c>
      <c r="Z27" s="33" t="n">
        <v>23213.7872</v>
      </c>
      <c r="AA27" s="33" t="n">
        <v>23213.7872</v>
      </c>
      <c r="AB27" s="34" t="n">
        <v>30630.8</v>
      </c>
      <c r="AC27" s="34" t="n">
        <v>30630.8</v>
      </c>
      <c r="AD27" s="34" t="n">
        <v>30630.8</v>
      </c>
      <c r="AE27" s="33" t="n">
        <v>23213.7872</v>
      </c>
      <c r="AF27" s="33" t="n">
        <v>23213.7872</v>
      </c>
      <c r="AG27" s="33" t="n">
        <v>23213.7872</v>
      </c>
      <c r="AH27" s="33" t="n">
        <v>23213.7872</v>
      </c>
      <c r="AI27" s="33" t="n">
        <v>23213.7872</v>
      </c>
      <c r="AJ27" s="33" t="n">
        <v>23213.7872</v>
      </c>
      <c r="AK27" s="34" t="n">
        <v>30630.8</v>
      </c>
      <c r="AL27" s="34" t="n">
        <v>30630.8</v>
      </c>
      <c r="AM27" s="34" t="n">
        <v>30630.8</v>
      </c>
      <c r="AN27" s="34" t="n">
        <v>30630.8</v>
      </c>
      <c r="AO27" s="34" t="n">
        <v>30630.8</v>
      </c>
      <c r="AP27" s="34" t="n">
        <v>30630.8</v>
      </c>
      <c r="AQ27" s="34" t="n">
        <v>30630.8</v>
      </c>
      <c r="AR27" s="34" t="n">
        <v>30630.8</v>
      </c>
      <c r="AS27" s="34" t="n">
        <v>30630.8</v>
      </c>
      <c r="AT27" s="33" t="n">
        <v>23213.7872</v>
      </c>
      <c r="AU27" s="35" t="n">
        <v>32525.2875</v>
      </c>
      <c r="AV27" s="35" t="n">
        <v>32525.2875</v>
      </c>
      <c r="AW27" s="35" t="n">
        <v>32525.2875</v>
      </c>
      <c r="AX27" s="35" t="n">
        <v>32525.2875</v>
      </c>
      <c r="AY27" s="35" t="n">
        <v>32525.2875</v>
      </c>
      <c r="AZ27" s="35" t="n">
        <v>32525.2875</v>
      </c>
      <c r="BA27" s="35" t="n">
        <v>32525.2875</v>
      </c>
      <c r="BB27" s="35" t="n">
        <v>32525.2875</v>
      </c>
      <c r="BC27" s="35" t="n">
        <v>32525.2875</v>
      </c>
      <c r="BD27" s="35" t="n">
        <v>32525.2875</v>
      </c>
      <c r="BE27" s="35" t="n">
        <v>32525.2875</v>
      </c>
      <c r="BF27" s="35" t="n">
        <v>32525.2875</v>
      </c>
      <c r="BG27" s="36" t="n">
        <v>7798.2</v>
      </c>
      <c r="BH27" s="36" t="n">
        <v>7798.2</v>
      </c>
      <c r="BI27" s="36" t="n">
        <v>7798.2</v>
      </c>
      <c r="BJ27" s="36" t="n">
        <v>7798.2</v>
      </c>
      <c r="BK27" s="36" t="n">
        <v>7798.2</v>
      </c>
    </row>
    <row r="28" customFormat="false" ht="12.75" hidden="false" customHeight="false" outlineLevel="0" collapsed="false">
      <c r="A28" s="1" t="n">
        <f aca="false">A27+1</f>
        <v>27</v>
      </c>
      <c r="B28" s="25" t="n">
        <v>9402.3088</v>
      </c>
      <c r="C28" s="25" t="n">
        <v>9402.3088</v>
      </c>
      <c r="D28" s="25" t="n">
        <v>9402.3088</v>
      </c>
      <c r="E28" s="25" t="n">
        <v>9402.3088</v>
      </c>
      <c r="F28" s="25" t="n">
        <v>9402.3088</v>
      </c>
      <c r="G28" s="25" t="n">
        <v>9402.3088</v>
      </c>
      <c r="H28" s="25" t="n">
        <v>9402.3088</v>
      </c>
      <c r="I28" s="25" t="n">
        <v>9402.3088</v>
      </c>
      <c r="J28" s="25" t="n">
        <v>9402.3088</v>
      </c>
      <c r="K28" s="25" t="n">
        <v>9402.3088</v>
      </c>
      <c r="L28" s="32" t="n">
        <f aca="false">K28*7</f>
        <v>65816.1616</v>
      </c>
      <c r="M28" s="32" t="n">
        <f aca="false">L28</f>
        <v>65816.1616</v>
      </c>
      <c r="N28" s="1" t="n">
        <v>8346.7489</v>
      </c>
      <c r="O28" s="1" t="n">
        <v>8346.7489</v>
      </c>
      <c r="P28" s="1" t="n">
        <v>8346.7489</v>
      </c>
      <c r="Q28" s="1" t="n">
        <v>8346.7489</v>
      </c>
      <c r="R28" s="1" t="n">
        <v>8346.7489</v>
      </c>
      <c r="S28" s="1" t="n">
        <v>8346.7489</v>
      </c>
      <c r="T28" s="1" t="n">
        <v>8346.7489</v>
      </c>
      <c r="U28" s="1" t="n">
        <v>8346.7489</v>
      </c>
      <c r="V28" s="33" t="n">
        <v>22948.8318</v>
      </c>
      <c r="W28" s="33" t="n">
        <v>22948.8318</v>
      </c>
      <c r="X28" s="33" t="n">
        <v>22948.8318</v>
      </c>
      <c r="Y28" s="33" t="n">
        <v>22948.8318</v>
      </c>
      <c r="Z28" s="33" t="n">
        <v>22948.8318</v>
      </c>
      <c r="AA28" s="33" t="n">
        <v>22948.8318</v>
      </c>
      <c r="AB28" s="34" t="n">
        <v>29607.1</v>
      </c>
      <c r="AC28" s="34" t="n">
        <v>29607.1</v>
      </c>
      <c r="AD28" s="34" t="n">
        <v>29607.1</v>
      </c>
      <c r="AE28" s="33" t="n">
        <v>22948.8318</v>
      </c>
      <c r="AF28" s="33" t="n">
        <v>22948.8318</v>
      </c>
      <c r="AG28" s="33" t="n">
        <v>22948.8318</v>
      </c>
      <c r="AH28" s="33" t="n">
        <v>22948.8318</v>
      </c>
      <c r="AI28" s="33" t="n">
        <v>22948.8318</v>
      </c>
      <c r="AJ28" s="33" t="n">
        <v>22948.8318</v>
      </c>
      <c r="AK28" s="34" t="n">
        <v>29607.1</v>
      </c>
      <c r="AL28" s="34" t="n">
        <v>29607.1</v>
      </c>
      <c r="AM28" s="34" t="n">
        <v>29607.1</v>
      </c>
      <c r="AN28" s="34" t="n">
        <v>29607.1</v>
      </c>
      <c r="AO28" s="34" t="n">
        <v>29607.1</v>
      </c>
      <c r="AP28" s="34" t="n">
        <v>29607.1</v>
      </c>
      <c r="AQ28" s="34" t="n">
        <v>29607.1</v>
      </c>
      <c r="AR28" s="34" t="n">
        <v>29607.1</v>
      </c>
      <c r="AS28" s="34" t="n">
        <v>29607.1</v>
      </c>
      <c r="AT28" s="33" t="n">
        <v>22948.8318</v>
      </c>
      <c r="AU28" s="35" t="n">
        <v>32525.2875</v>
      </c>
      <c r="AV28" s="35" t="n">
        <v>32525.2875</v>
      </c>
      <c r="AW28" s="35" t="n">
        <v>32525.2875</v>
      </c>
      <c r="AX28" s="35" t="n">
        <v>32525.2875</v>
      </c>
      <c r="AY28" s="35" t="n">
        <v>32525.2875</v>
      </c>
      <c r="AZ28" s="35" t="n">
        <v>32525.2875</v>
      </c>
      <c r="BA28" s="35" t="n">
        <v>32525.2875</v>
      </c>
      <c r="BB28" s="35" t="n">
        <v>32525.2875</v>
      </c>
      <c r="BC28" s="35" t="n">
        <v>32525.2875</v>
      </c>
      <c r="BD28" s="35" t="n">
        <v>32525.2875</v>
      </c>
      <c r="BE28" s="35" t="n">
        <v>32525.2875</v>
      </c>
      <c r="BF28" s="35" t="n">
        <v>32525.2875</v>
      </c>
      <c r="BG28" s="36" t="n">
        <v>7798.2</v>
      </c>
      <c r="BH28" s="36" t="n">
        <v>7798.2</v>
      </c>
      <c r="BI28" s="36" t="n">
        <v>7798.2</v>
      </c>
      <c r="BJ28" s="36" t="n">
        <v>7798.2</v>
      </c>
      <c r="BK28" s="36" t="n">
        <v>7798.2</v>
      </c>
    </row>
    <row r="29" customFormat="false" ht="12.75" hidden="false" customHeight="false" outlineLevel="0" collapsed="false">
      <c r="A29" s="1" t="n">
        <f aca="false">A28+1</f>
        <v>28</v>
      </c>
      <c r="B29" s="25" t="n">
        <v>8979.6992</v>
      </c>
      <c r="C29" s="25" t="n">
        <v>8979.6992</v>
      </c>
      <c r="D29" s="25" t="n">
        <v>8979.6992</v>
      </c>
      <c r="E29" s="25" t="n">
        <v>8979.6992</v>
      </c>
      <c r="F29" s="25" t="n">
        <v>8979.6992</v>
      </c>
      <c r="G29" s="25" t="n">
        <v>8979.6992</v>
      </c>
      <c r="H29" s="25" t="n">
        <v>8979.6992</v>
      </c>
      <c r="I29" s="25" t="n">
        <v>8979.6992</v>
      </c>
      <c r="J29" s="25" t="n">
        <v>8979.6992</v>
      </c>
      <c r="K29" s="25" t="n">
        <v>8979.6992</v>
      </c>
      <c r="L29" s="32" t="n">
        <f aca="false">K29*7</f>
        <v>62857.8944</v>
      </c>
      <c r="M29" s="32" t="n">
        <f aca="false">L29</f>
        <v>62857.8944</v>
      </c>
      <c r="N29" s="1" t="n">
        <v>8152.4976</v>
      </c>
      <c r="O29" s="1" t="n">
        <v>8152.4976</v>
      </c>
      <c r="P29" s="1" t="n">
        <v>8152.4976</v>
      </c>
      <c r="Q29" s="1" t="n">
        <v>8152.4976</v>
      </c>
      <c r="R29" s="1" t="n">
        <v>8152.4976</v>
      </c>
      <c r="S29" s="1" t="n">
        <v>8152.4976</v>
      </c>
      <c r="T29" s="1" t="n">
        <v>8152.4976</v>
      </c>
      <c r="U29" s="1" t="n">
        <v>8152.4976</v>
      </c>
      <c r="V29" s="33" t="n">
        <v>22661.864</v>
      </c>
      <c r="W29" s="33" t="n">
        <v>22661.864</v>
      </c>
      <c r="X29" s="33" t="n">
        <v>22661.864</v>
      </c>
      <c r="Y29" s="33" t="n">
        <v>22661.864</v>
      </c>
      <c r="Z29" s="33" t="n">
        <v>22661.864</v>
      </c>
      <c r="AA29" s="33" t="n">
        <v>22661.864</v>
      </c>
      <c r="AB29" s="34" t="n">
        <v>28583.4</v>
      </c>
      <c r="AC29" s="34" t="n">
        <v>28583.4</v>
      </c>
      <c r="AD29" s="34" t="n">
        <v>28583.4</v>
      </c>
      <c r="AE29" s="33" t="n">
        <v>22661.864</v>
      </c>
      <c r="AF29" s="33" t="n">
        <v>22661.864</v>
      </c>
      <c r="AG29" s="33" t="n">
        <v>22661.864</v>
      </c>
      <c r="AH29" s="33" t="n">
        <v>22661.864</v>
      </c>
      <c r="AI29" s="33" t="n">
        <v>22661.864</v>
      </c>
      <c r="AJ29" s="33" t="n">
        <v>22661.864</v>
      </c>
      <c r="AK29" s="34" t="n">
        <v>28583.4</v>
      </c>
      <c r="AL29" s="34" t="n">
        <v>28583.4</v>
      </c>
      <c r="AM29" s="34" t="n">
        <v>28583.4</v>
      </c>
      <c r="AN29" s="34" t="n">
        <v>28583.4</v>
      </c>
      <c r="AO29" s="34" t="n">
        <v>28583.4</v>
      </c>
      <c r="AP29" s="34" t="n">
        <v>28583.4</v>
      </c>
      <c r="AQ29" s="34" t="n">
        <v>28583.4</v>
      </c>
      <c r="AR29" s="34" t="n">
        <v>28583.4</v>
      </c>
      <c r="AS29" s="34" t="n">
        <v>28583.4</v>
      </c>
      <c r="AT29" s="33" t="n">
        <v>22661.864</v>
      </c>
      <c r="AU29" s="35" t="n">
        <v>32525.2875</v>
      </c>
      <c r="AV29" s="35" t="n">
        <v>32525.2875</v>
      </c>
      <c r="AW29" s="35" t="n">
        <v>32525.2875</v>
      </c>
      <c r="AX29" s="35" t="n">
        <v>32525.2875</v>
      </c>
      <c r="AY29" s="35" t="n">
        <v>32525.2875</v>
      </c>
      <c r="AZ29" s="35" t="n">
        <v>32525.2875</v>
      </c>
      <c r="BA29" s="35" t="n">
        <v>32525.2875</v>
      </c>
      <c r="BB29" s="35" t="n">
        <v>32525.2875</v>
      </c>
      <c r="BC29" s="35" t="n">
        <v>32525.2875</v>
      </c>
      <c r="BD29" s="35" t="n">
        <v>32525.2875</v>
      </c>
      <c r="BE29" s="35" t="n">
        <v>32525.2875</v>
      </c>
      <c r="BF29" s="35" t="n">
        <v>32525.2875</v>
      </c>
      <c r="BG29" s="36" t="n">
        <v>7798.2</v>
      </c>
      <c r="BH29" s="36" t="n">
        <v>7798.2</v>
      </c>
      <c r="BI29" s="36" t="n">
        <v>7798.2</v>
      </c>
      <c r="BJ29" s="36" t="n">
        <v>7798.2</v>
      </c>
      <c r="BK29" s="36" t="n">
        <v>7798.2</v>
      </c>
    </row>
    <row r="30" customFormat="false" ht="12.75" hidden="false" customHeight="false" outlineLevel="0" collapsed="false">
      <c r="A30" s="1" t="n">
        <f aca="false">A29+1</f>
        <v>29</v>
      </c>
      <c r="B30" s="25" t="n">
        <v>8570.7864</v>
      </c>
      <c r="C30" s="25" t="n">
        <v>8570.7864</v>
      </c>
      <c r="D30" s="25" t="n">
        <v>8570.7864</v>
      </c>
      <c r="E30" s="25" t="n">
        <v>8570.7864</v>
      </c>
      <c r="F30" s="25" t="n">
        <v>8570.7864</v>
      </c>
      <c r="G30" s="25" t="n">
        <v>8570.7864</v>
      </c>
      <c r="H30" s="25" t="n">
        <v>8570.7864</v>
      </c>
      <c r="I30" s="25" t="n">
        <v>8570.7864</v>
      </c>
      <c r="J30" s="25" t="n">
        <v>8570.7864</v>
      </c>
      <c r="K30" s="25" t="n">
        <v>8570.7864</v>
      </c>
      <c r="L30" s="32" t="n">
        <f aca="false">K30*7</f>
        <v>59995.5048</v>
      </c>
      <c r="M30" s="32" t="n">
        <f aca="false">L30</f>
        <v>59995.5048</v>
      </c>
      <c r="N30" s="1" t="n">
        <v>7991.4567</v>
      </c>
      <c r="O30" s="1" t="n">
        <v>7991.4567</v>
      </c>
      <c r="P30" s="1" t="n">
        <v>7991.4567</v>
      </c>
      <c r="Q30" s="1" t="n">
        <v>7991.4567</v>
      </c>
      <c r="R30" s="1" t="n">
        <v>7991.4567</v>
      </c>
      <c r="S30" s="1" t="n">
        <v>7991.4567</v>
      </c>
      <c r="T30" s="1" t="n">
        <v>7991.4567</v>
      </c>
      <c r="U30" s="1" t="n">
        <v>7991.4567</v>
      </c>
      <c r="V30" s="33" t="n">
        <v>22359.5966</v>
      </c>
      <c r="W30" s="33" t="n">
        <v>22359.5966</v>
      </c>
      <c r="X30" s="33" t="n">
        <v>22359.5966</v>
      </c>
      <c r="Y30" s="33" t="n">
        <v>22359.5966</v>
      </c>
      <c r="Z30" s="33" t="n">
        <v>22359.5966</v>
      </c>
      <c r="AA30" s="33" t="n">
        <v>22359.5966</v>
      </c>
      <c r="AB30" s="34" t="n">
        <v>27559.7</v>
      </c>
      <c r="AC30" s="34" t="n">
        <v>27559.7</v>
      </c>
      <c r="AD30" s="34" t="n">
        <v>27559.7</v>
      </c>
      <c r="AE30" s="33" t="n">
        <v>22359.5966</v>
      </c>
      <c r="AF30" s="33" t="n">
        <v>22359.5966</v>
      </c>
      <c r="AG30" s="33" t="n">
        <v>22359.5966</v>
      </c>
      <c r="AH30" s="33" t="n">
        <v>22359.5966</v>
      </c>
      <c r="AI30" s="33" t="n">
        <v>22359.5966</v>
      </c>
      <c r="AJ30" s="33" t="n">
        <v>22359.5966</v>
      </c>
      <c r="AK30" s="34" t="n">
        <v>27559.7</v>
      </c>
      <c r="AL30" s="34" t="n">
        <v>27559.7</v>
      </c>
      <c r="AM30" s="34" t="n">
        <v>27559.7</v>
      </c>
      <c r="AN30" s="34" t="n">
        <v>27559.7</v>
      </c>
      <c r="AO30" s="34" t="n">
        <v>27559.7</v>
      </c>
      <c r="AP30" s="34" t="n">
        <v>27559.7</v>
      </c>
      <c r="AQ30" s="34" t="n">
        <v>27559.7</v>
      </c>
      <c r="AR30" s="34" t="n">
        <v>27559.7</v>
      </c>
      <c r="AS30" s="34" t="n">
        <v>27559.7</v>
      </c>
      <c r="AT30" s="33" t="n">
        <v>22359.5966</v>
      </c>
      <c r="AU30" s="35" t="n">
        <v>32525.2875</v>
      </c>
      <c r="AV30" s="35" t="n">
        <v>32525.2875</v>
      </c>
      <c r="AW30" s="35" t="n">
        <v>32525.2875</v>
      </c>
      <c r="AX30" s="35" t="n">
        <v>32525.2875</v>
      </c>
      <c r="AY30" s="35" t="n">
        <v>32525.2875</v>
      </c>
      <c r="AZ30" s="35" t="n">
        <v>32525.2875</v>
      </c>
      <c r="BA30" s="35" t="n">
        <v>32525.2875</v>
      </c>
      <c r="BB30" s="35" t="n">
        <v>32525.2875</v>
      </c>
      <c r="BC30" s="35" t="n">
        <v>32525.2875</v>
      </c>
      <c r="BD30" s="35" t="n">
        <v>32525.2875</v>
      </c>
      <c r="BE30" s="35" t="n">
        <v>32525.2875</v>
      </c>
      <c r="BF30" s="35" t="n">
        <v>32525.2875</v>
      </c>
      <c r="BG30" s="36" t="n">
        <v>7798.2</v>
      </c>
      <c r="BH30" s="36" t="n">
        <v>7798.2</v>
      </c>
      <c r="BI30" s="36" t="n">
        <v>7798.2</v>
      </c>
      <c r="BJ30" s="36" t="n">
        <v>7798.2</v>
      </c>
      <c r="BK30" s="36" t="n">
        <v>7798.2</v>
      </c>
    </row>
    <row r="31" customFormat="false" ht="12.75" hidden="false" customHeight="false" outlineLevel="0" collapsed="false">
      <c r="A31" s="1" t="n">
        <f aca="false">A30+1</f>
        <v>30</v>
      </c>
      <c r="B31" s="25" t="n">
        <v>8179.6</v>
      </c>
      <c r="C31" s="25" t="n">
        <v>8179.6</v>
      </c>
      <c r="D31" s="25" t="n">
        <v>8179.6</v>
      </c>
      <c r="E31" s="25" t="n">
        <v>8179.6</v>
      </c>
      <c r="F31" s="25" t="n">
        <v>8179.6</v>
      </c>
      <c r="G31" s="25" t="n">
        <v>8179.6</v>
      </c>
      <c r="H31" s="25" t="n">
        <v>8179.6</v>
      </c>
      <c r="I31" s="25" t="n">
        <v>8179.6</v>
      </c>
      <c r="J31" s="25" t="n">
        <v>8179.6</v>
      </c>
      <c r="K31" s="25" t="n">
        <v>8179.6</v>
      </c>
      <c r="L31" s="32" t="n">
        <f aca="false">K31*7</f>
        <v>57257.2</v>
      </c>
      <c r="M31" s="32" t="n">
        <f aca="false">L31</f>
        <v>57257.2</v>
      </c>
      <c r="N31" s="1" t="n">
        <v>7865.8</v>
      </c>
      <c r="O31" s="1" t="n">
        <v>7865.8</v>
      </c>
      <c r="P31" s="1" t="n">
        <v>7865.8</v>
      </c>
      <c r="Q31" s="1" t="n">
        <v>7865.8</v>
      </c>
      <c r="R31" s="1" t="n">
        <v>7865.8</v>
      </c>
      <c r="S31" s="1" t="n">
        <v>7865.8</v>
      </c>
      <c r="T31" s="1" t="n">
        <v>7865.8</v>
      </c>
      <c r="U31" s="1" t="n">
        <v>7865.8</v>
      </c>
      <c r="V31" s="33" t="n">
        <v>22050.6</v>
      </c>
      <c r="W31" s="33" t="n">
        <v>22050.6</v>
      </c>
      <c r="X31" s="33" t="n">
        <v>22050.6</v>
      </c>
      <c r="Y31" s="33" t="n">
        <v>22050.6</v>
      </c>
      <c r="Z31" s="33" t="n">
        <v>22050.6</v>
      </c>
      <c r="AA31" s="33" t="n">
        <v>22050.6</v>
      </c>
      <c r="AB31" s="34" t="n">
        <v>26536</v>
      </c>
      <c r="AC31" s="34" t="n">
        <v>26536</v>
      </c>
      <c r="AD31" s="34" t="n">
        <v>26536</v>
      </c>
      <c r="AE31" s="33" t="n">
        <v>22050.6</v>
      </c>
      <c r="AF31" s="33" t="n">
        <v>22050.6</v>
      </c>
      <c r="AG31" s="33" t="n">
        <v>22050.6</v>
      </c>
      <c r="AH31" s="33" t="n">
        <v>22050.6</v>
      </c>
      <c r="AI31" s="33" t="n">
        <v>22050.6</v>
      </c>
      <c r="AJ31" s="33" t="n">
        <v>22050.6</v>
      </c>
      <c r="AK31" s="34" t="n">
        <v>26536</v>
      </c>
      <c r="AL31" s="34" t="n">
        <v>26536</v>
      </c>
      <c r="AM31" s="34" t="n">
        <v>26536</v>
      </c>
      <c r="AN31" s="34" t="n">
        <v>26536</v>
      </c>
      <c r="AO31" s="34" t="n">
        <v>26536</v>
      </c>
      <c r="AP31" s="34" t="n">
        <v>26536</v>
      </c>
      <c r="AQ31" s="34" t="n">
        <v>26536</v>
      </c>
      <c r="AR31" s="34" t="n">
        <v>26536</v>
      </c>
      <c r="AS31" s="34" t="n">
        <v>26536</v>
      </c>
      <c r="AT31" s="33" t="n">
        <v>22050.6</v>
      </c>
      <c r="AU31" s="35" t="n">
        <v>32525.2875</v>
      </c>
      <c r="AV31" s="35" t="n">
        <v>32525.2875</v>
      </c>
      <c r="AW31" s="35" t="n">
        <v>32525.2875</v>
      </c>
      <c r="AX31" s="35" t="n">
        <v>32525.2875</v>
      </c>
      <c r="AY31" s="35" t="n">
        <v>32525.2875</v>
      </c>
      <c r="AZ31" s="35" t="n">
        <v>32525.2875</v>
      </c>
      <c r="BA31" s="35" t="n">
        <v>32525.2875</v>
      </c>
      <c r="BB31" s="35" t="n">
        <v>32525.2875</v>
      </c>
      <c r="BC31" s="35" t="n">
        <v>32525.2875</v>
      </c>
      <c r="BD31" s="35" t="n">
        <v>32525.2875</v>
      </c>
      <c r="BE31" s="35" t="n">
        <v>32525.2875</v>
      </c>
      <c r="BF31" s="35" t="n">
        <v>32525.2875</v>
      </c>
      <c r="BG31" s="36" t="n">
        <v>7798.2</v>
      </c>
      <c r="BH31" s="36" t="n">
        <v>7798.2</v>
      </c>
      <c r="BI31" s="36" t="n">
        <v>7798.2</v>
      </c>
      <c r="BJ31" s="36" t="n">
        <v>7798.2</v>
      </c>
      <c r="BK31" s="36" t="n">
        <v>7798.2</v>
      </c>
    </row>
    <row r="32" customFormat="false" ht="12.75" hidden="false" customHeight="false" outlineLevel="0" collapsed="false">
      <c r="A32" s="1" t="n">
        <f aca="false">A31+1</f>
        <v>31</v>
      </c>
      <c r="B32" s="25" t="n">
        <v>7810.1696</v>
      </c>
      <c r="C32" s="25" t="n">
        <v>7810.1696</v>
      </c>
      <c r="D32" s="25" t="n">
        <v>7810.1696</v>
      </c>
      <c r="E32" s="25" t="n">
        <v>7810.1696</v>
      </c>
      <c r="F32" s="25" t="n">
        <v>7810.1696</v>
      </c>
      <c r="G32" s="25" t="n">
        <v>7810.1696</v>
      </c>
      <c r="H32" s="25" t="n">
        <v>7810.1696</v>
      </c>
      <c r="I32" s="25" t="n">
        <v>7810.1696</v>
      </c>
      <c r="J32" s="25" t="n">
        <v>7810.1696</v>
      </c>
      <c r="K32" s="25" t="n">
        <v>7810.1696</v>
      </c>
      <c r="L32" s="32" t="n">
        <f aca="false">K32*7</f>
        <v>54671.1872</v>
      </c>
      <c r="M32" s="32" t="n">
        <f aca="false">L32</f>
        <v>54671.1872</v>
      </c>
      <c r="N32" s="1" t="n">
        <v>7865.8</v>
      </c>
      <c r="O32" s="1" t="n">
        <v>7865.8</v>
      </c>
      <c r="P32" s="1" t="n">
        <v>7865.8</v>
      </c>
      <c r="Q32" s="1" t="n">
        <v>7865.8</v>
      </c>
      <c r="R32" s="1" t="n">
        <v>7865.8</v>
      </c>
      <c r="S32" s="1" t="n">
        <v>7865.8</v>
      </c>
      <c r="T32" s="1" t="n">
        <v>7865.8</v>
      </c>
      <c r="U32" s="1" t="n">
        <v>7865.8</v>
      </c>
      <c r="V32" s="33" t="n">
        <v>21745.3022</v>
      </c>
      <c r="W32" s="33" t="n">
        <v>21745.3022</v>
      </c>
      <c r="X32" s="33" t="n">
        <v>21745.3022</v>
      </c>
      <c r="Y32" s="33" t="n">
        <v>21745.3022</v>
      </c>
      <c r="Z32" s="33" t="n">
        <v>21745.3022</v>
      </c>
      <c r="AA32" s="33" t="n">
        <v>21745.3022</v>
      </c>
      <c r="AB32" s="34" t="n">
        <v>25512.3</v>
      </c>
      <c r="AC32" s="34" t="n">
        <v>25512.3</v>
      </c>
      <c r="AD32" s="34" t="n">
        <v>25512.3</v>
      </c>
      <c r="AE32" s="33" t="n">
        <v>21745.3022</v>
      </c>
      <c r="AF32" s="33" t="n">
        <v>21745.3022</v>
      </c>
      <c r="AG32" s="33" t="n">
        <v>21745.3022</v>
      </c>
      <c r="AH32" s="33" t="n">
        <v>21745.3022</v>
      </c>
      <c r="AI32" s="33" t="n">
        <v>21745.3022</v>
      </c>
      <c r="AJ32" s="33" t="n">
        <v>21745.3022</v>
      </c>
      <c r="AK32" s="34" t="n">
        <v>25512.3</v>
      </c>
      <c r="AL32" s="34" t="n">
        <v>25512.3</v>
      </c>
      <c r="AM32" s="34" t="n">
        <v>25512.3</v>
      </c>
      <c r="AN32" s="34" t="n">
        <v>25512.3</v>
      </c>
      <c r="AO32" s="34" t="n">
        <v>25512.3</v>
      </c>
      <c r="AP32" s="34" t="n">
        <v>25512.3</v>
      </c>
      <c r="AQ32" s="34" t="n">
        <v>25512.3</v>
      </c>
      <c r="AR32" s="34" t="n">
        <v>25512.3</v>
      </c>
      <c r="AS32" s="34" t="n">
        <v>25512.3</v>
      </c>
      <c r="AT32" s="33" t="n">
        <v>21745.3022</v>
      </c>
      <c r="AU32" s="35" t="n">
        <v>32525.2875</v>
      </c>
      <c r="AV32" s="35" t="n">
        <v>32525.2875</v>
      </c>
      <c r="AW32" s="35" t="n">
        <v>32525.2875</v>
      </c>
      <c r="AX32" s="35" t="n">
        <v>32525.2875</v>
      </c>
      <c r="AY32" s="35" t="n">
        <v>32525.2875</v>
      </c>
      <c r="AZ32" s="35" t="n">
        <v>32525.2875</v>
      </c>
      <c r="BA32" s="35" t="n">
        <v>32525.2875</v>
      </c>
      <c r="BB32" s="35" t="n">
        <v>32525.2875</v>
      </c>
      <c r="BC32" s="35" t="n">
        <v>32525.2875</v>
      </c>
      <c r="BD32" s="35" t="n">
        <v>32525.2875</v>
      </c>
      <c r="BE32" s="35" t="n">
        <v>32525.2875</v>
      </c>
      <c r="BF32" s="35" t="n">
        <v>32525.2875</v>
      </c>
      <c r="BG32" s="36" t="n">
        <v>7798.2</v>
      </c>
      <c r="BH32" s="36" t="n">
        <v>7798.2</v>
      </c>
      <c r="BI32" s="36" t="n">
        <v>7798.2</v>
      </c>
      <c r="BJ32" s="36" t="n">
        <v>7798.2</v>
      </c>
      <c r="BK32" s="36" t="n">
        <v>7798.2</v>
      </c>
    </row>
    <row r="33" customFormat="false" ht="12.75" hidden="false" customHeight="false" outlineLevel="0" collapsed="false">
      <c r="A33" s="1" t="n">
        <f aca="false">A32+1</f>
        <v>32</v>
      </c>
      <c r="B33" s="25" t="n">
        <v>7466.5248</v>
      </c>
      <c r="C33" s="25" t="n">
        <v>7466.5248</v>
      </c>
      <c r="D33" s="25" t="n">
        <v>7466.5248</v>
      </c>
      <c r="E33" s="25" t="n">
        <v>7466.5248</v>
      </c>
      <c r="F33" s="25" t="n">
        <v>7466.5248</v>
      </c>
      <c r="G33" s="25" t="n">
        <v>7466.5248</v>
      </c>
      <c r="H33" s="25" t="n">
        <v>7466.5248</v>
      </c>
      <c r="I33" s="25" t="n">
        <v>7466.5248</v>
      </c>
      <c r="J33" s="25" t="n">
        <v>7466.5248</v>
      </c>
      <c r="K33" s="25" t="n">
        <v>7466.5248</v>
      </c>
      <c r="L33" s="32" t="n">
        <f aca="false">K33*7</f>
        <v>52265.6736</v>
      </c>
      <c r="M33" s="32" t="n">
        <f aca="false">L33</f>
        <v>52265.6736</v>
      </c>
      <c r="N33" s="1" t="n">
        <v>7865.8</v>
      </c>
      <c r="O33" s="1" t="n">
        <v>7865.8</v>
      </c>
      <c r="P33" s="1" t="n">
        <v>7865.8</v>
      </c>
      <c r="Q33" s="1" t="n">
        <v>7865.8</v>
      </c>
      <c r="R33" s="1" t="n">
        <v>7865.8</v>
      </c>
      <c r="S33" s="1" t="n">
        <v>7865.8</v>
      </c>
      <c r="T33" s="1" t="n">
        <v>7865.8</v>
      </c>
      <c r="U33" s="1" t="n">
        <v>7865.8</v>
      </c>
      <c r="V33" s="33" t="n">
        <v>21455.9888</v>
      </c>
      <c r="W33" s="33" t="n">
        <v>21455.9888</v>
      </c>
      <c r="X33" s="33" t="n">
        <v>21455.9888</v>
      </c>
      <c r="Y33" s="33" t="n">
        <v>21455.9888</v>
      </c>
      <c r="Z33" s="33" t="n">
        <v>21455.9888</v>
      </c>
      <c r="AA33" s="33" t="n">
        <v>21455.9888</v>
      </c>
      <c r="AB33" s="34" t="n">
        <v>24488.6</v>
      </c>
      <c r="AC33" s="34" t="n">
        <v>24488.6</v>
      </c>
      <c r="AD33" s="34" t="n">
        <v>24488.6</v>
      </c>
      <c r="AE33" s="33" t="n">
        <v>21455.9888</v>
      </c>
      <c r="AF33" s="33" t="n">
        <v>21455.9888</v>
      </c>
      <c r="AG33" s="33" t="n">
        <v>21455.9888</v>
      </c>
      <c r="AH33" s="33" t="n">
        <v>21455.9888</v>
      </c>
      <c r="AI33" s="33" t="n">
        <v>21455.9888</v>
      </c>
      <c r="AJ33" s="33" t="n">
        <v>21455.9888</v>
      </c>
      <c r="AK33" s="34" t="n">
        <v>24488.6</v>
      </c>
      <c r="AL33" s="34" t="n">
        <v>24488.6</v>
      </c>
      <c r="AM33" s="34" t="n">
        <v>24488.6</v>
      </c>
      <c r="AN33" s="34" t="n">
        <v>24488.6</v>
      </c>
      <c r="AO33" s="34" t="n">
        <v>24488.6</v>
      </c>
      <c r="AP33" s="34" t="n">
        <v>24488.6</v>
      </c>
      <c r="AQ33" s="34" t="n">
        <v>24488.6</v>
      </c>
      <c r="AR33" s="34" t="n">
        <v>24488.6</v>
      </c>
      <c r="AS33" s="34" t="n">
        <v>24488.6</v>
      </c>
      <c r="AT33" s="33" t="n">
        <v>21455.9888</v>
      </c>
      <c r="AU33" s="35" t="n">
        <v>32525.2875</v>
      </c>
      <c r="AV33" s="35" t="n">
        <v>32525.2875</v>
      </c>
      <c r="AW33" s="35" t="n">
        <v>32525.2875</v>
      </c>
      <c r="AX33" s="35" t="n">
        <v>32525.2875</v>
      </c>
      <c r="AY33" s="35" t="n">
        <v>32525.2875</v>
      </c>
      <c r="AZ33" s="35" t="n">
        <v>32525.2875</v>
      </c>
      <c r="BA33" s="35" t="n">
        <v>32525.2875</v>
      </c>
      <c r="BB33" s="35" t="n">
        <v>32525.2875</v>
      </c>
      <c r="BC33" s="35" t="n">
        <v>32525.2875</v>
      </c>
      <c r="BD33" s="35" t="n">
        <v>32525.2875</v>
      </c>
      <c r="BE33" s="35" t="n">
        <v>32525.2875</v>
      </c>
      <c r="BF33" s="35" t="n">
        <v>32525.2875</v>
      </c>
      <c r="BG33" s="36" t="n">
        <v>7798.2</v>
      </c>
      <c r="BH33" s="36" t="n">
        <v>7798.2</v>
      </c>
      <c r="BI33" s="36" t="n">
        <v>7798.2</v>
      </c>
      <c r="BJ33" s="36" t="n">
        <v>7798.2</v>
      </c>
      <c r="BK33" s="36" t="n">
        <v>7798.2</v>
      </c>
    </row>
    <row r="34" customFormat="false" ht="12.75" hidden="false" customHeight="false" outlineLevel="0" collapsed="false">
      <c r="A34" s="1" t="n">
        <f aca="false">A33+1</f>
        <v>33</v>
      </c>
      <c r="B34" s="25" t="n">
        <v>7152.69519999999</v>
      </c>
      <c r="C34" s="25" t="n">
        <v>7152.69519999999</v>
      </c>
      <c r="D34" s="25" t="n">
        <v>7152.69519999999</v>
      </c>
      <c r="E34" s="25" t="n">
        <v>7152.69519999999</v>
      </c>
      <c r="F34" s="25" t="n">
        <v>7152.69519999999</v>
      </c>
      <c r="G34" s="25" t="n">
        <v>7152.69519999999</v>
      </c>
      <c r="H34" s="25" t="n">
        <v>7152.69519999999</v>
      </c>
      <c r="I34" s="25" t="n">
        <v>7152.69519999999</v>
      </c>
      <c r="J34" s="25" t="n">
        <v>7152.69519999999</v>
      </c>
      <c r="K34" s="25" t="n">
        <v>7152.69519999999</v>
      </c>
      <c r="L34" s="32" t="n">
        <f aca="false">K34*7</f>
        <v>50068.8663999999</v>
      </c>
      <c r="M34" s="32" t="n">
        <f aca="false">L34</f>
        <v>50068.8663999999</v>
      </c>
      <c r="N34" s="1" t="n">
        <v>7865.8</v>
      </c>
      <c r="O34" s="1" t="n">
        <v>7865.8</v>
      </c>
      <c r="P34" s="1" t="n">
        <v>7865.8</v>
      </c>
      <c r="Q34" s="1" t="n">
        <v>7865.8</v>
      </c>
      <c r="R34" s="1" t="n">
        <v>7865.8</v>
      </c>
      <c r="S34" s="1" t="n">
        <v>7865.8</v>
      </c>
      <c r="T34" s="1" t="n">
        <v>7865.8</v>
      </c>
      <c r="U34" s="1" t="n">
        <v>7865.8</v>
      </c>
      <c r="V34" s="33" t="n">
        <v>21196.803</v>
      </c>
      <c r="W34" s="33" t="n">
        <v>21196.803</v>
      </c>
      <c r="X34" s="33" t="n">
        <v>21196.803</v>
      </c>
      <c r="Y34" s="33" t="n">
        <v>21196.803</v>
      </c>
      <c r="Z34" s="33" t="n">
        <v>21196.803</v>
      </c>
      <c r="AA34" s="33" t="n">
        <v>21196.803</v>
      </c>
      <c r="AB34" s="34" t="n">
        <v>23464.9</v>
      </c>
      <c r="AC34" s="34" t="n">
        <v>23464.9</v>
      </c>
      <c r="AD34" s="34" t="n">
        <v>23464.9</v>
      </c>
      <c r="AE34" s="33" t="n">
        <v>21196.803</v>
      </c>
      <c r="AF34" s="33" t="n">
        <v>21196.803</v>
      </c>
      <c r="AG34" s="33" t="n">
        <v>21196.803</v>
      </c>
      <c r="AH34" s="33" t="n">
        <v>21196.803</v>
      </c>
      <c r="AI34" s="33" t="n">
        <v>21196.803</v>
      </c>
      <c r="AJ34" s="33" t="n">
        <v>21196.803</v>
      </c>
      <c r="AK34" s="34" t="n">
        <v>23464.9</v>
      </c>
      <c r="AL34" s="34" t="n">
        <v>23464.9</v>
      </c>
      <c r="AM34" s="34" t="n">
        <v>23464.9</v>
      </c>
      <c r="AN34" s="34" t="n">
        <v>23464.9</v>
      </c>
      <c r="AO34" s="34" t="n">
        <v>23464.9</v>
      </c>
      <c r="AP34" s="34" t="n">
        <v>23464.9</v>
      </c>
      <c r="AQ34" s="34" t="n">
        <v>23464.9</v>
      </c>
      <c r="AR34" s="34" t="n">
        <v>23464.9</v>
      </c>
      <c r="AS34" s="34" t="n">
        <v>23464.9</v>
      </c>
      <c r="AT34" s="33" t="n">
        <v>21196.803</v>
      </c>
      <c r="AU34" s="35" t="n">
        <v>32525.2875</v>
      </c>
      <c r="AV34" s="35" t="n">
        <v>32525.2875</v>
      </c>
      <c r="AW34" s="35" t="n">
        <v>32525.2875</v>
      </c>
      <c r="AX34" s="35" t="n">
        <v>32525.2875</v>
      </c>
      <c r="AY34" s="35" t="n">
        <v>32525.2875</v>
      </c>
      <c r="AZ34" s="35" t="n">
        <v>32525.2875</v>
      </c>
      <c r="BA34" s="35" t="n">
        <v>32525.2875</v>
      </c>
      <c r="BB34" s="35" t="n">
        <v>32525.2875</v>
      </c>
      <c r="BC34" s="35" t="n">
        <v>32525.2875</v>
      </c>
      <c r="BD34" s="35" t="n">
        <v>32525.2875</v>
      </c>
      <c r="BE34" s="35" t="n">
        <v>32525.2875</v>
      </c>
      <c r="BF34" s="35" t="n">
        <v>32525.2875</v>
      </c>
      <c r="BG34" s="36" t="n">
        <v>7798.2</v>
      </c>
      <c r="BH34" s="36" t="n">
        <v>7798.2</v>
      </c>
      <c r="BI34" s="36" t="n">
        <v>7798.2</v>
      </c>
      <c r="BJ34" s="36" t="n">
        <v>7798.2</v>
      </c>
      <c r="BK34" s="36" t="n">
        <v>7798.2</v>
      </c>
    </row>
    <row r="35" customFormat="false" ht="12.75" hidden="false" customHeight="false" outlineLevel="0" collapsed="false">
      <c r="A35" s="1" t="n">
        <f aca="false">A34+1</f>
        <v>34</v>
      </c>
      <c r="B35" s="25" t="n">
        <v>6872.7104</v>
      </c>
      <c r="C35" s="25" t="n">
        <v>6872.7104</v>
      </c>
      <c r="D35" s="25" t="n">
        <v>6872.7104</v>
      </c>
      <c r="E35" s="25" t="n">
        <v>6872.7104</v>
      </c>
      <c r="F35" s="25" t="n">
        <v>6872.7104</v>
      </c>
      <c r="G35" s="25" t="n">
        <v>6872.7104</v>
      </c>
      <c r="H35" s="25" t="n">
        <v>6872.7104</v>
      </c>
      <c r="I35" s="25" t="n">
        <v>6872.7104</v>
      </c>
      <c r="J35" s="25" t="n">
        <v>6872.7104</v>
      </c>
      <c r="K35" s="25" t="n">
        <v>6872.7104</v>
      </c>
      <c r="L35" s="32" t="n">
        <f aca="false">K35*7</f>
        <v>48108.9728</v>
      </c>
      <c r="M35" s="32" t="n">
        <f aca="false">L35</f>
        <v>48108.9728</v>
      </c>
      <c r="N35" s="1" t="n">
        <v>7865.8</v>
      </c>
      <c r="O35" s="1" t="n">
        <v>7865.8</v>
      </c>
      <c r="P35" s="1" t="n">
        <v>7865.8</v>
      </c>
      <c r="Q35" s="1" t="n">
        <v>7865.8</v>
      </c>
      <c r="R35" s="1" t="n">
        <v>7865.8</v>
      </c>
      <c r="S35" s="1" t="n">
        <v>7865.8</v>
      </c>
      <c r="T35" s="1" t="n">
        <v>7865.8</v>
      </c>
      <c r="U35" s="1" t="n">
        <v>7865.8</v>
      </c>
      <c r="V35" s="33" t="n">
        <v>20983.7456</v>
      </c>
      <c r="W35" s="33" t="n">
        <v>20983.7456</v>
      </c>
      <c r="X35" s="33" t="n">
        <v>20983.7456</v>
      </c>
      <c r="Y35" s="33" t="n">
        <v>20983.7456</v>
      </c>
      <c r="Z35" s="33" t="n">
        <v>20983.7456</v>
      </c>
      <c r="AA35" s="33" t="n">
        <v>20983.7456</v>
      </c>
      <c r="AB35" s="34" t="n">
        <v>22441.2</v>
      </c>
      <c r="AC35" s="34" t="n">
        <v>22441.2</v>
      </c>
      <c r="AD35" s="34" t="n">
        <v>22441.2</v>
      </c>
      <c r="AE35" s="33" t="n">
        <v>20983.7456</v>
      </c>
      <c r="AF35" s="33" t="n">
        <v>20983.7456</v>
      </c>
      <c r="AG35" s="33" t="n">
        <v>20983.7456</v>
      </c>
      <c r="AH35" s="33" t="n">
        <v>20983.7456</v>
      </c>
      <c r="AI35" s="33" t="n">
        <v>20983.7456</v>
      </c>
      <c r="AJ35" s="33" t="n">
        <v>20983.7456</v>
      </c>
      <c r="AK35" s="34" t="n">
        <v>22441.2</v>
      </c>
      <c r="AL35" s="34" t="n">
        <v>22441.2</v>
      </c>
      <c r="AM35" s="34" t="n">
        <v>22441.2</v>
      </c>
      <c r="AN35" s="34" t="n">
        <v>22441.2</v>
      </c>
      <c r="AO35" s="34" t="n">
        <v>22441.2</v>
      </c>
      <c r="AP35" s="34" t="n">
        <v>22441.2</v>
      </c>
      <c r="AQ35" s="34" t="n">
        <v>22441.2</v>
      </c>
      <c r="AR35" s="34" t="n">
        <v>22441.2</v>
      </c>
      <c r="AS35" s="34" t="n">
        <v>22441.2</v>
      </c>
      <c r="AT35" s="33" t="n">
        <v>20983.7456</v>
      </c>
      <c r="AU35" s="35" t="n">
        <v>32525.2875</v>
      </c>
      <c r="AV35" s="35" t="n">
        <v>32525.2875</v>
      </c>
      <c r="AW35" s="35" t="n">
        <v>32525.2875</v>
      </c>
      <c r="AX35" s="35" t="n">
        <v>32525.2875</v>
      </c>
      <c r="AY35" s="35" t="n">
        <v>32525.2875</v>
      </c>
      <c r="AZ35" s="35" t="n">
        <v>32525.2875</v>
      </c>
      <c r="BA35" s="35" t="n">
        <v>32525.2875</v>
      </c>
      <c r="BB35" s="35" t="n">
        <v>32525.2875</v>
      </c>
      <c r="BC35" s="35" t="n">
        <v>32525.2875</v>
      </c>
      <c r="BD35" s="35" t="n">
        <v>32525.2875</v>
      </c>
      <c r="BE35" s="35" t="n">
        <v>32525.2875</v>
      </c>
      <c r="BF35" s="35" t="n">
        <v>32525.2875</v>
      </c>
      <c r="BG35" s="36" t="n">
        <v>7798.2</v>
      </c>
      <c r="BH35" s="36" t="n">
        <v>7798.2</v>
      </c>
      <c r="BI35" s="36" t="n">
        <v>7798.2</v>
      </c>
      <c r="BJ35" s="36" t="n">
        <v>7798.2</v>
      </c>
      <c r="BK35" s="36" t="n">
        <v>7798.2</v>
      </c>
    </row>
    <row r="36" customFormat="false" ht="12.75" hidden="false" customHeight="false" outlineLevel="0" collapsed="false">
      <c r="A36" s="1" t="n">
        <f aca="false">A35+1</f>
        <v>35</v>
      </c>
      <c r="B36" s="25" t="n">
        <v>6630.59999999999</v>
      </c>
      <c r="C36" s="25" t="n">
        <v>6630.59999999999</v>
      </c>
      <c r="D36" s="25" t="n">
        <v>6630.59999999999</v>
      </c>
      <c r="E36" s="25" t="n">
        <v>6630.59999999999</v>
      </c>
      <c r="F36" s="25" t="n">
        <v>6630.59999999999</v>
      </c>
      <c r="G36" s="25" t="n">
        <v>6630.59999999999</v>
      </c>
      <c r="H36" s="25" t="n">
        <v>6630.59999999999</v>
      </c>
      <c r="I36" s="25" t="n">
        <v>6630.59999999999</v>
      </c>
      <c r="J36" s="25" t="n">
        <v>6630.59999999999</v>
      </c>
      <c r="K36" s="25" t="n">
        <v>6630.59999999999</v>
      </c>
      <c r="L36" s="32" t="n">
        <f aca="false">K36*7</f>
        <v>46414.1999999999</v>
      </c>
      <c r="M36" s="32" t="n">
        <f aca="false">L36</f>
        <v>46414.1999999999</v>
      </c>
      <c r="N36" s="1" t="n">
        <v>7865.8</v>
      </c>
      <c r="O36" s="1" t="n">
        <v>7865.8</v>
      </c>
      <c r="P36" s="1" t="n">
        <v>7865.8</v>
      </c>
      <c r="Q36" s="1" t="n">
        <v>7865.8</v>
      </c>
      <c r="R36" s="1" t="n">
        <v>7865.8</v>
      </c>
      <c r="S36" s="1" t="n">
        <v>7865.8</v>
      </c>
      <c r="T36" s="1" t="n">
        <v>7865.8</v>
      </c>
      <c r="U36" s="1" t="n">
        <v>7865.8</v>
      </c>
      <c r="V36" s="33" t="n">
        <v>20834.675</v>
      </c>
      <c r="W36" s="33" t="n">
        <v>20834.675</v>
      </c>
      <c r="X36" s="33" t="n">
        <v>20834.675</v>
      </c>
      <c r="Y36" s="33" t="n">
        <v>20834.675</v>
      </c>
      <c r="Z36" s="33" t="n">
        <v>20834.675</v>
      </c>
      <c r="AA36" s="33" t="n">
        <v>20834.675</v>
      </c>
      <c r="AB36" s="34" t="n">
        <v>21417.5</v>
      </c>
      <c r="AC36" s="34" t="n">
        <v>21417.5</v>
      </c>
      <c r="AD36" s="34" t="n">
        <v>21417.5</v>
      </c>
      <c r="AE36" s="33" t="n">
        <v>20834.675</v>
      </c>
      <c r="AF36" s="33" t="n">
        <v>20834.675</v>
      </c>
      <c r="AG36" s="33" t="n">
        <v>20834.675</v>
      </c>
      <c r="AH36" s="33" t="n">
        <v>20834.675</v>
      </c>
      <c r="AI36" s="33" t="n">
        <v>20834.675</v>
      </c>
      <c r="AJ36" s="33" t="n">
        <v>20834.675</v>
      </c>
      <c r="AK36" s="34" t="n">
        <v>21417.5</v>
      </c>
      <c r="AL36" s="34" t="n">
        <v>21417.5</v>
      </c>
      <c r="AM36" s="34" t="n">
        <v>21417.5</v>
      </c>
      <c r="AN36" s="34" t="n">
        <v>21417.5</v>
      </c>
      <c r="AO36" s="34" t="n">
        <v>21417.5</v>
      </c>
      <c r="AP36" s="34" t="n">
        <v>21417.5</v>
      </c>
      <c r="AQ36" s="34" t="n">
        <v>21417.5</v>
      </c>
      <c r="AR36" s="34" t="n">
        <v>21417.5</v>
      </c>
      <c r="AS36" s="34" t="n">
        <v>21417.5</v>
      </c>
      <c r="AT36" s="33" t="n">
        <v>20834.675</v>
      </c>
      <c r="AU36" s="35" t="n">
        <v>32525.2875</v>
      </c>
      <c r="AV36" s="35" t="n">
        <v>32525.2875</v>
      </c>
      <c r="AW36" s="35" t="n">
        <v>32525.2875</v>
      </c>
      <c r="AX36" s="35" t="n">
        <v>32525.2875</v>
      </c>
      <c r="AY36" s="35" t="n">
        <v>32525.2875</v>
      </c>
      <c r="AZ36" s="35" t="n">
        <v>32525.2875</v>
      </c>
      <c r="BA36" s="35" t="n">
        <v>32525.2875</v>
      </c>
      <c r="BB36" s="35" t="n">
        <v>32525.2875</v>
      </c>
      <c r="BC36" s="35" t="n">
        <v>32525.2875</v>
      </c>
      <c r="BD36" s="35" t="n">
        <v>32525.2875</v>
      </c>
      <c r="BE36" s="35" t="n">
        <v>32525.2875</v>
      </c>
      <c r="BF36" s="35" t="n">
        <v>32525.2875</v>
      </c>
      <c r="BG36" s="36" t="n">
        <v>7798.2</v>
      </c>
      <c r="BH36" s="36" t="n">
        <v>7798.2</v>
      </c>
      <c r="BI36" s="36" t="n">
        <v>7798.2</v>
      </c>
      <c r="BJ36" s="36" t="n">
        <v>7798.2</v>
      </c>
      <c r="BK36" s="36" t="n">
        <v>7798.2</v>
      </c>
    </row>
    <row r="37" customFormat="false" ht="12.75" hidden="false" customHeight="false" outlineLevel="0" collapsed="false">
      <c r="A37" s="1" t="n">
        <f aca="false">A36+1</f>
        <v>36</v>
      </c>
      <c r="B37" s="25" t="n">
        <v>6430.3936</v>
      </c>
      <c r="C37" s="25" t="n">
        <v>6430.3936</v>
      </c>
      <c r="D37" s="25" t="n">
        <v>6430.3936</v>
      </c>
      <c r="E37" s="25" t="n">
        <v>6430.3936</v>
      </c>
      <c r="F37" s="25" t="n">
        <v>6430.3936</v>
      </c>
      <c r="G37" s="25" t="n">
        <v>6430.3936</v>
      </c>
      <c r="H37" s="25" t="n">
        <v>6430.3936</v>
      </c>
      <c r="I37" s="25" t="n">
        <v>6430.3936</v>
      </c>
      <c r="J37" s="25" t="n">
        <v>6430.3936</v>
      </c>
      <c r="K37" s="25" t="n">
        <v>6430.3936</v>
      </c>
      <c r="L37" s="32" t="n">
        <f aca="false">K37*7</f>
        <v>45012.7552</v>
      </c>
      <c r="M37" s="32" t="n">
        <f aca="false">L37</f>
        <v>45012.7552</v>
      </c>
      <c r="N37" s="1" t="n">
        <v>7865.8</v>
      </c>
      <c r="O37" s="1" t="n">
        <v>7865.8</v>
      </c>
      <c r="P37" s="1" t="n">
        <v>7865.8</v>
      </c>
      <c r="Q37" s="1" t="n">
        <v>7865.8</v>
      </c>
      <c r="R37" s="1" t="n">
        <v>7865.8</v>
      </c>
      <c r="S37" s="1" t="n">
        <v>7865.8</v>
      </c>
      <c r="T37" s="1" t="n">
        <v>7865.8</v>
      </c>
      <c r="U37" s="1" t="n">
        <v>7865.8</v>
      </c>
      <c r="V37" s="33" t="n">
        <v>20769.3072</v>
      </c>
      <c r="W37" s="33" t="n">
        <v>20769.3072</v>
      </c>
      <c r="X37" s="33" t="n">
        <v>20769.3072</v>
      </c>
      <c r="Y37" s="33" t="n">
        <v>20769.3072</v>
      </c>
      <c r="Z37" s="33" t="n">
        <v>20769.3072</v>
      </c>
      <c r="AA37" s="33" t="n">
        <v>20769.3072</v>
      </c>
      <c r="AB37" s="34" t="n">
        <v>20393.8</v>
      </c>
      <c r="AC37" s="34" t="n">
        <v>20393.8</v>
      </c>
      <c r="AD37" s="34" t="n">
        <v>20393.8</v>
      </c>
      <c r="AE37" s="33" t="n">
        <v>20769.3072</v>
      </c>
      <c r="AF37" s="33" t="n">
        <v>20769.3072</v>
      </c>
      <c r="AG37" s="33" t="n">
        <v>20769.3072</v>
      </c>
      <c r="AH37" s="33" t="n">
        <v>20769.3072</v>
      </c>
      <c r="AI37" s="33" t="n">
        <v>20769.3072</v>
      </c>
      <c r="AJ37" s="33" t="n">
        <v>20769.3072</v>
      </c>
      <c r="AK37" s="34" t="n">
        <v>20393.8</v>
      </c>
      <c r="AL37" s="34" t="n">
        <v>20393.8</v>
      </c>
      <c r="AM37" s="34" t="n">
        <v>20393.8</v>
      </c>
      <c r="AN37" s="34" t="n">
        <v>20393.8</v>
      </c>
      <c r="AO37" s="34" t="n">
        <v>20393.8</v>
      </c>
      <c r="AP37" s="34" t="n">
        <v>20393.8</v>
      </c>
      <c r="AQ37" s="34" t="n">
        <v>20393.8</v>
      </c>
      <c r="AR37" s="34" t="n">
        <v>20393.8</v>
      </c>
      <c r="AS37" s="34" t="n">
        <v>20393.8</v>
      </c>
      <c r="AT37" s="33" t="n">
        <v>20769.3072</v>
      </c>
      <c r="AU37" s="35" t="n">
        <v>32525.2875</v>
      </c>
      <c r="AV37" s="35" t="n">
        <v>32525.2875</v>
      </c>
      <c r="AW37" s="35" t="n">
        <v>32525.2875</v>
      </c>
      <c r="AX37" s="35" t="n">
        <v>32525.2875</v>
      </c>
      <c r="AY37" s="35" t="n">
        <v>32525.2875</v>
      </c>
      <c r="AZ37" s="35" t="n">
        <v>32525.2875</v>
      </c>
      <c r="BA37" s="35" t="n">
        <v>32525.2875</v>
      </c>
      <c r="BB37" s="35" t="n">
        <v>32525.2875</v>
      </c>
      <c r="BC37" s="35" t="n">
        <v>32525.2875</v>
      </c>
      <c r="BD37" s="35" t="n">
        <v>32525.2875</v>
      </c>
      <c r="BE37" s="35" t="n">
        <v>32525.2875</v>
      </c>
      <c r="BF37" s="35" t="n">
        <v>32525.2875</v>
      </c>
      <c r="BG37" s="36" t="n">
        <v>7798.2</v>
      </c>
      <c r="BH37" s="36" t="n">
        <v>7798.2</v>
      </c>
      <c r="BI37" s="36" t="n">
        <v>7798.2</v>
      </c>
      <c r="BJ37" s="36" t="n">
        <v>7798.2</v>
      </c>
      <c r="BK37" s="36" t="n">
        <v>7798.2</v>
      </c>
    </row>
    <row r="38" customFormat="false" ht="12.75" hidden="false" customHeight="false" outlineLevel="0" collapsed="false">
      <c r="A38" s="1" t="n">
        <f aca="false">A37+1</f>
        <v>37</v>
      </c>
      <c r="B38" s="25" t="n">
        <v>6276.12079999999</v>
      </c>
      <c r="C38" s="25" t="n">
        <v>6276.12079999999</v>
      </c>
      <c r="D38" s="25" t="n">
        <v>6276.12079999999</v>
      </c>
      <c r="E38" s="25" t="n">
        <v>6276.12079999999</v>
      </c>
      <c r="F38" s="25" t="n">
        <v>6276.12079999999</v>
      </c>
      <c r="G38" s="25" t="n">
        <v>6276.12079999999</v>
      </c>
      <c r="H38" s="25" t="n">
        <v>6276.12079999999</v>
      </c>
      <c r="I38" s="25" t="n">
        <v>6276.12079999999</v>
      </c>
      <c r="J38" s="25" t="n">
        <v>6276.12079999999</v>
      </c>
      <c r="K38" s="25" t="n">
        <v>6276.12079999999</v>
      </c>
      <c r="L38" s="32" t="n">
        <f aca="false">K38*7</f>
        <v>43932.8455999999</v>
      </c>
      <c r="M38" s="32" t="n">
        <f aca="false">L38</f>
        <v>43932.8455999999</v>
      </c>
      <c r="N38" s="1" t="n">
        <v>7865.8</v>
      </c>
      <c r="O38" s="1" t="n">
        <v>7865.8</v>
      </c>
      <c r="P38" s="1" t="n">
        <v>7865.8</v>
      </c>
      <c r="Q38" s="1" t="n">
        <v>7865.8</v>
      </c>
      <c r="R38" s="1" t="n">
        <v>7865.8</v>
      </c>
      <c r="S38" s="1" t="n">
        <v>7865.8</v>
      </c>
      <c r="T38" s="1" t="n">
        <v>7865.8</v>
      </c>
      <c r="U38" s="1" t="n">
        <v>7865.8</v>
      </c>
      <c r="V38" s="33" t="n">
        <v>20809.2158</v>
      </c>
      <c r="W38" s="33" t="n">
        <v>20809.2158</v>
      </c>
      <c r="X38" s="33" t="n">
        <v>20809.2158</v>
      </c>
      <c r="Y38" s="33" t="n">
        <v>20809.2158</v>
      </c>
      <c r="Z38" s="33" t="n">
        <v>20809.2158</v>
      </c>
      <c r="AA38" s="33" t="n">
        <v>20809.2158</v>
      </c>
      <c r="AB38" s="34" t="n">
        <v>19370.1</v>
      </c>
      <c r="AC38" s="34" t="n">
        <v>19370.1</v>
      </c>
      <c r="AD38" s="34" t="n">
        <v>19370.1</v>
      </c>
      <c r="AE38" s="33" t="n">
        <v>20809.2158</v>
      </c>
      <c r="AF38" s="33" t="n">
        <v>20809.2158</v>
      </c>
      <c r="AG38" s="33" t="n">
        <v>20809.2158</v>
      </c>
      <c r="AH38" s="33" t="n">
        <v>20809.2158</v>
      </c>
      <c r="AI38" s="33" t="n">
        <v>20809.2158</v>
      </c>
      <c r="AJ38" s="33" t="n">
        <v>20809.2158</v>
      </c>
      <c r="AK38" s="34" t="n">
        <v>19370.1</v>
      </c>
      <c r="AL38" s="34" t="n">
        <v>19370.1</v>
      </c>
      <c r="AM38" s="34" t="n">
        <v>19370.1</v>
      </c>
      <c r="AN38" s="34" t="n">
        <v>19370.1</v>
      </c>
      <c r="AO38" s="34" t="n">
        <v>19370.1</v>
      </c>
      <c r="AP38" s="34" t="n">
        <v>19370.1</v>
      </c>
      <c r="AQ38" s="34" t="n">
        <v>19370.1</v>
      </c>
      <c r="AR38" s="34" t="n">
        <v>19370.1</v>
      </c>
      <c r="AS38" s="34" t="n">
        <v>19370.1</v>
      </c>
      <c r="AT38" s="33" t="n">
        <v>20809.2158</v>
      </c>
      <c r="AU38" s="35" t="n">
        <v>32525.2875</v>
      </c>
      <c r="AV38" s="35" t="n">
        <v>32525.2875</v>
      </c>
      <c r="AW38" s="35" t="n">
        <v>32525.2875</v>
      </c>
      <c r="AX38" s="35" t="n">
        <v>32525.2875</v>
      </c>
      <c r="AY38" s="35" t="n">
        <v>32525.2875</v>
      </c>
      <c r="AZ38" s="35" t="n">
        <v>32525.2875</v>
      </c>
      <c r="BA38" s="35" t="n">
        <v>32525.2875</v>
      </c>
      <c r="BB38" s="35" t="n">
        <v>32525.2875</v>
      </c>
      <c r="BC38" s="35" t="n">
        <v>32525.2875</v>
      </c>
      <c r="BD38" s="35" t="n">
        <v>32525.2875</v>
      </c>
      <c r="BE38" s="35" t="n">
        <v>32525.2875</v>
      </c>
      <c r="BF38" s="35" t="n">
        <v>32525.2875</v>
      </c>
      <c r="BG38" s="36" t="n">
        <v>7798.2</v>
      </c>
      <c r="BH38" s="36" t="n">
        <v>7798.2</v>
      </c>
      <c r="BI38" s="36" t="n">
        <v>7798.2</v>
      </c>
      <c r="BJ38" s="36" t="n">
        <v>7798.2</v>
      </c>
      <c r="BK38" s="36" t="n">
        <v>7798.2</v>
      </c>
    </row>
    <row r="39" customFormat="false" ht="12.75" hidden="false" customHeight="false" outlineLevel="0" collapsed="false">
      <c r="A39" s="1" t="n">
        <f aca="false">A38+1</f>
        <v>38</v>
      </c>
      <c r="B39" s="25" t="n">
        <v>6171.81119999999</v>
      </c>
      <c r="C39" s="25" t="n">
        <v>6171.81119999999</v>
      </c>
      <c r="D39" s="25" t="n">
        <v>6171.81119999999</v>
      </c>
      <c r="E39" s="25" t="n">
        <v>6171.81119999999</v>
      </c>
      <c r="F39" s="25" t="n">
        <v>6171.81119999999</v>
      </c>
      <c r="G39" s="25" t="n">
        <v>6171.81119999999</v>
      </c>
      <c r="H39" s="25" t="n">
        <v>6171.81119999999</v>
      </c>
      <c r="I39" s="25" t="n">
        <v>6171.81119999999</v>
      </c>
      <c r="J39" s="25" t="n">
        <v>6171.81119999999</v>
      </c>
      <c r="K39" s="25" t="n">
        <v>6171.81119999999</v>
      </c>
      <c r="L39" s="32" t="n">
        <f aca="false">K39*7</f>
        <v>43202.6783999999</v>
      </c>
      <c r="M39" s="32" t="n">
        <f aca="false">L39</f>
        <v>43202.6783999999</v>
      </c>
      <c r="N39" s="1" t="n">
        <v>7865.8</v>
      </c>
      <c r="O39" s="1" t="n">
        <v>7865.8</v>
      </c>
      <c r="P39" s="1" t="n">
        <v>7865.8</v>
      </c>
      <c r="Q39" s="1" t="n">
        <v>7865.8</v>
      </c>
      <c r="R39" s="1" t="n">
        <v>7865.8</v>
      </c>
      <c r="S39" s="1" t="n">
        <v>7865.8</v>
      </c>
      <c r="T39" s="1" t="n">
        <v>7865.8</v>
      </c>
      <c r="U39" s="1" t="n">
        <v>7865.8</v>
      </c>
      <c r="V39" s="33" t="n">
        <v>20977.832</v>
      </c>
      <c r="W39" s="33" t="n">
        <v>20977.832</v>
      </c>
      <c r="X39" s="33" t="n">
        <v>20977.832</v>
      </c>
      <c r="Y39" s="33" t="n">
        <v>20977.832</v>
      </c>
      <c r="Z39" s="33" t="n">
        <v>20977.832</v>
      </c>
      <c r="AA39" s="33" t="n">
        <v>20977.832</v>
      </c>
      <c r="AB39" s="34" t="n">
        <v>18346.4</v>
      </c>
      <c r="AC39" s="34" t="n">
        <v>18346.4</v>
      </c>
      <c r="AD39" s="34" t="n">
        <v>18346.4</v>
      </c>
      <c r="AE39" s="33" t="n">
        <v>20977.832</v>
      </c>
      <c r="AF39" s="33" t="n">
        <v>20977.832</v>
      </c>
      <c r="AG39" s="33" t="n">
        <v>20977.832</v>
      </c>
      <c r="AH39" s="33" t="n">
        <v>20977.832</v>
      </c>
      <c r="AI39" s="33" t="n">
        <v>20977.832</v>
      </c>
      <c r="AJ39" s="33" t="n">
        <v>20977.832</v>
      </c>
      <c r="AK39" s="34" t="n">
        <v>18346.4</v>
      </c>
      <c r="AL39" s="34" t="n">
        <v>18346.4</v>
      </c>
      <c r="AM39" s="34" t="n">
        <v>18346.4</v>
      </c>
      <c r="AN39" s="34" t="n">
        <v>18346.4</v>
      </c>
      <c r="AO39" s="34" t="n">
        <v>18346.4</v>
      </c>
      <c r="AP39" s="34" t="n">
        <v>18346.4</v>
      </c>
      <c r="AQ39" s="34" t="n">
        <v>18346.4</v>
      </c>
      <c r="AR39" s="34" t="n">
        <v>18346.4</v>
      </c>
      <c r="AS39" s="34" t="n">
        <v>18346.4</v>
      </c>
      <c r="AT39" s="33" t="n">
        <v>20977.832</v>
      </c>
      <c r="AU39" s="35" t="n">
        <v>32525.2875</v>
      </c>
      <c r="AV39" s="35" t="n">
        <v>32525.2875</v>
      </c>
      <c r="AW39" s="35" t="n">
        <v>32525.2875</v>
      </c>
      <c r="AX39" s="35" t="n">
        <v>32525.2875</v>
      </c>
      <c r="AY39" s="35" t="n">
        <v>32525.2875</v>
      </c>
      <c r="AZ39" s="35" t="n">
        <v>32525.2875</v>
      </c>
      <c r="BA39" s="35" t="n">
        <v>32525.2875</v>
      </c>
      <c r="BB39" s="35" t="n">
        <v>32525.2875</v>
      </c>
      <c r="BC39" s="35" t="n">
        <v>32525.2875</v>
      </c>
      <c r="BD39" s="35" t="n">
        <v>32525.2875</v>
      </c>
      <c r="BE39" s="35" t="n">
        <v>32525.2875</v>
      </c>
      <c r="BF39" s="35" t="n">
        <v>32525.2875</v>
      </c>
      <c r="BG39" s="36" t="n">
        <v>7798.2</v>
      </c>
      <c r="BH39" s="36" t="n">
        <v>7798.2</v>
      </c>
      <c r="BI39" s="36" t="n">
        <v>7798.2</v>
      </c>
      <c r="BJ39" s="36" t="n">
        <v>7798.2</v>
      </c>
      <c r="BK39" s="36" t="n">
        <v>7798.2</v>
      </c>
    </row>
    <row r="40" customFormat="false" ht="12.75" hidden="false" customHeight="false" outlineLevel="0" collapsed="false">
      <c r="A40" s="1" t="n">
        <f aca="false">A39+1</f>
        <v>39</v>
      </c>
      <c r="B40" s="25" t="n">
        <v>6121.4944</v>
      </c>
      <c r="C40" s="25" t="n">
        <v>6121.4944</v>
      </c>
      <c r="D40" s="25" t="n">
        <v>6121.4944</v>
      </c>
      <c r="E40" s="25" t="n">
        <v>6121.4944</v>
      </c>
      <c r="F40" s="25" t="n">
        <v>6121.4944</v>
      </c>
      <c r="G40" s="25" t="n">
        <v>6121.4944</v>
      </c>
      <c r="H40" s="25" t="n">
        <v>6121.4944</v>
      </c>
      <c r="I40" s="25" t="n">
        <v>6121.4944</v>
      </c>
      <c r="J40" s="25" t="n">
        <v>6121.4944</v>
      </c>
      <c r="K40" s="25" t="n">
        <v>6121.4944</v>
      </c>
      <c r="L40" s="32" t="n">
        <f aca="false">K40*7</f>
        <v>42850.4608</v>
      </c>
      <c r="M40" s="32" t="n">
        <f aca="false">L40</f>
        <v>42850.4608</v>
      </c>
      <c r="N40" s="1" t="n">
        <v>7865.8</v>
      </c>
      <c r="O40" s="1" t="n">
        <v>7865.8</v>
      </c>
      <c r="P40" s="1" t="n">
        <v>7865.8</v>
      </c>
      <c r="Q40" s="1" t="n">
        <v>7865.8</v>
      </c>
      <c r="R40" s="1" t="n">
        <v>7865.8</v>
      </c>
      <c r="S40" s="1" t="n">
        <v>7865.8</v>
      </c>
      <c r="T40" s="1" t="n">
        <v>7865.8</v>
      </c>
      <c r="U40" s="1" t="n">
        <v>7865.8</v>
      </c>
      <c r="V40" s="33" t="n">
        <v>21300.4446</v>
      </c>
      <c r="W40" s="33" t="n">
        <v>21300.4446</v>
      </c>
      <c r="X40" s="33" t="n">
        <v>21300.4446</v>
      </c>
      <c r="Y40" s="33" t="n">
        <v>21300.4446</v>
      </c>
      <c r="Z40" s="33" t="n">
        <v>21300.4446</v>
      </c>
      <c r="AA40" s="33" t="n">
        <v>21300.4446</v>
      </c>
      <c r="AB40" s="34" t="n">
        <v>17322.7</v>
      </c>
      <c r="AC40" s="34" t="n">
        <v>17322.7</v>
      </c>
      <c r="AD40" s="34" t="n">
        <v>17322.7</v>
      </c>
      <c r="AE40" s="33" t="n">
        <v>21300.4446</v>
      </c>
      <c r="AF40" s="33" t="n">
        <v>21300.4446</v>
      </c>
      <c r="AG40" s="33" t="n">
        <v>21300.4446</v>
      </c>
      <c r="AH40" s="33" t="n">
        <v>21300.4446</v>
      </c>
      <c r="AI40" s="33" t="n">
        <v>21300.4446</v>
      </c>
      <c r="AJ40" s="33" t="n">
        <v>21300.4446</v>
      </c>
      <c r="AK40" s="34" t="n">
        <v>17322.7</v>
      </c>
      <c r="AL40" s="34" t="n">
        <v>17322.7</v>
      </c>
      <c r="AM40" s="34" t="n">
        <v>17322.7</v>
      </c>
      <c r="AN40" s="34" t="n">
        <v>17322.7</v>
      </c>
      <c r="AO40" s="34" t="n">
        <v>17322.7</v>
      </c>
      <c r="AP40" s="34" t="n">
        <v>17322.7</v>
      </c>
      <c r="AQ40" s="34" t="n">
        <v>17322.7</v>
      </c>
      <c r="AR40" s="34" t="n">
        <v>17322.7</v>
      </c>
      <c r="AS40" s="34" t="n">
        <v>17322.7</v>
      </c>
      <c r="AT40" s="33" t="n">
        <v>21300.4446</v>
      </c>
      <c r="AU40" s="35" t="n">
        <v>32525.2875</v>
      </c>
      <c r="AV40" s="35" t="n">
        <v>32525.2875</v>
      </c>
      <c r="AW40" s="35" t="n">
        <v>32525.2875</v>
      </c>
      <c r="AX40" s="35" t="n">
        <v>32525.2875</v>
      </c>
      <c r="AY40" s="35" t="n">
        <v>32525.2875</v>
      </c>
      <c r="AZ40" s="35" t="n">
        <v>32525.2875</v>
      </c>
      <c r="BA40" s="35" t="n">
        <v>32525.2875</v>
      </c>
      <c r="BB40" s="35" t="n">
        <v>32525.2875</v>
      </c>
      <c r="BC40" s="35" t="n">
        <v>32525.2875</v>
      </c>
      <c r="BD40" s="35" t="n">
        <v>32525.2875</v>
      </c>
      <c r="BE40" s="35" t="n">
        <v>32525.2875</v>
      </c>
      <c r="BF40" s="35" t="n">
        <v>32525.2875</v>
      </c>
      <c r="BG40" s="36" t="n">
        <v>7798.2</v>
      </c>
      <c r="BH40" s="36" t="n">
        <v>7798.2</v>
      </c>
      <c r="BI40" s="36" t="n">
        <v>7798.2</v>
      </c>
      <c r="BJ40" s="36" t="n">
        <v>7798.2</v>
      </c>
      <c r="BK40" s="36" t="n">
        <v>7798.2</v>
      </c>
    </row>
    <row r="41" customFormat="false" ht="12.75" hidden="false" customHeight="false" outlineLevel="0" collapsed="false">
      <c r="A41" s="1" t="n">
        <f aca="false">A40+1</f>
        <v>40</v>
      </c>
      <c r="B41" s="25" t="n">
        <v>6129.19999999999</v>
      </c>
      <c r="C41" s="25" t="n">
        <v>6129.19999999999</v>
      </c>
      <c r="D41" s="25" t="n">
        <v>6129.19999999999</v>
      </c>
      <c r="E41" s="25" t="n">
        <v>6129.19999999999</v>
      </c>
      <c r="F41" s="25" t="n">
        <v>6129.19999999999</v>
      </c>
      <c r="G41" s="25" t="n">
        <v>6129.19999999999</v>
      </c>
      <c r="H41" s="25" t="n">
        <v>6129.19999999999</v>
      </c>
      <c r="I41" s="25" t="n">
        <v>6129.19999999999</v>
      </c>
      <c r="J41" s="25" t="n">
        <v>6129.19999999999</v>
      </c>
      <c r="K41" s="25" t="n">
        <v>6129.19999999999</v>
      </c>
      <c r="L41" s="32" t="n">
        <f aca="false">K41*7</f>
        <v>42904.3999999999</v>
      </c>
      <c r="M41" s="32" t="n">
        <f aca="false">L41</f>
        <v>42904.3999999999</v>
      </c>
      <c r="N41" s="1" t="n">
        <v>7865.8</v>
      </c>
      <c r="O41" s="1" t="n">
        <v>7865.8</v>
      </c>
      <c r="P41" s="1" t="n">
        <v>7865.8</v>
      </c>
      <c r="Q41" s="1" t="n">
        <v>7865.8</v>
      </c>
      <c r="R41" s="1" t="n">
        <v>7865.8</v>
      </c>
      <c r="S41" s="1" t="n">
        <v>7865.8</v>
      </c>
      <c r="T41" s="1" t="n">
        <v>7865.8</v>
      </c>
      <c r="U41" s="1" t="n">
        <v>7865.8</v>
      </c>
      <c r="V41" s="33" t="n">
        <v>21804.2</v>
      </c>
      <c r="W41" s="33" t="n">
        <v>21804.2</v>
      </c>
      <c r="X41" s="33" t="n">
        <v>21804.2</v>
      </c>
      <c r="Y41" s="33" t="n">
        <v>21804.2</v>
      </c>
      <c r="Z41" s="33" t="n">
        <v>21804.2</v>
      </c>
      <c r="AA41" s="33" t="n">
        <v>21804.2</v>
      </c>
      <c r="AB41" s="34" t="n">
        <v>16299</v>
      </c>
      <c r="AC41" s="34" t="n">
        <v>16299</v>
      </c>
      <c r="AD41" s="34" t="n">
        <v>16299</v>
      </c>
      <c r="AE41" s="33" t="n">
        <v>21804.2</v>
      </c>
      <c r="AF41" s="33" t="n">
        <v>21804.2</v>
      </c>
      <c r="AG41" s="33" t="n">
        <v>21804.2</v>
      </c>
      <c r="AH41" s="33" t="n">
        <v>21804.2</v>
      </c>
      <c r="AI41" s="33" t="n">
        <v>21804.2</v>
      </c>
      <c r="AJ41" s="33" t="n">
        <v>21804.2</v>
      </c>
      <c r="AK41" s="34" t="n">
        <v>16299</v>
      </c>
      <c r="AL41" s="34" t="n">
        <v>16299</v>
      </c>
      <c r="AM41" s="34" t="n">
        <v>16299</v>
      </c>
      <c r="AN41" s="34" t="n">
        <v>16299</v>
      </c>
      <c r="AO41" s="34" t="n">
        <v>16299</v>
      </c>
      <c r="AP41" s="34" t="n">
        <v>16299</v>
      </c>
      <c r="AQ41" s="34" t="n">
        <v>16299</v>
      </c>
      <c r="AR41" s="34" t="n">
        <v>16299</v>
      </c>
      <c r="AS41" s="34" t="n">
        <v>16299</v>
      </c>
      <c r="AT41" s="33" t="n">
        <v>21804.2</v>
      </c>
      <c r="AU41" s="35" t="n">
        <v>32525.2875</v>
      </c>
      <c r="AV41" s="35" t="n">
        <v>32525.2875</v>
      </c>
      <c r="AW41" s="35" t="n">
        <v>32525.2875</v>
      </c>
      <c r="AX41" s="35" t="n">
        <v>32525.2875</v>
      </c>
      <c r="AY41" s="35" t="n">
        <v>32525.2875</v>
      </c>
      <c r="AZ41" s="35" t="n">
        <v>32525.2875</v>
      </c>
      <c r="BA41" s="35" t="n">
        <v>32525.2875</v>
      </c>
      <c r="BB41" s="35" t="n">
        <v>32525.2875</v>
      </c>
      <c r="BC41" s="35" t="n">
        <v>32525.2875</v>
      </c>
      <c r="BD41" s="35" t="n">
        <v>32525.2875</v>
      </c>
      <c r="BE41" s="35" t="n">
        <v>32525.2875</v>
      </c>
      <c r="BF41" s="35" t="n">
        <v>32525.2875</v>
      </c>
      <c r="BG41" s="36" t="n">
        <v>7798.2</v>
      </c>
      <c r="BH41" s="36" t="n">
        <v>7798.2</v>
      </c>
      <c r="BI41" s="36" t="n">
        <v>7798.2</v>
      </c>
      <c r="BJ41" s="36" t="n">
        <v>7798.2</v>
      </c>
      <c r="BK41" s="36" t="n">
        <v>7798.2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4" activePane="bottomLeft" state="frozen"/>
      <selection pane="topLeft" activeCell="A1" activeCellId="0" sqref="A1"/>
      <selection pane="bottomLeft" activeCell="F82" activeCellId="0" sqref="F82"/>
    </sheetView>
  </sheetViews>
  <sheetFormatPr defaultColWidth="12.00390625" defaultRowHeight="12.8" zeroHeight="false" outlineLevelRow="0" outlineLevelCol="0"/>
  <cols>
    <col collapsed="false" customWidth="true" hidden="false" outlineLevel="0" max="1" min="1" style="1" width="4.42"/>
    <col collapsed="false" customWidth="true" hidden="false" outlineLevel="0" max="2" min="2" style="1" width="11.43"/>
    <col collapsed="false" customWidth="true" hidden="false" outlineLevel="0" max="3" min="3" style="1" width="18.14"/>
    <col collapsed="false" customWidth="true" hidden="false" outlineLevel="0" max="5" min="5" style="1" width="21"/>
    <col collapsed="false" customWidth="true" hidden="false" outlineLevel="0" max="6" min="6" style="1" width="14"/>
    <col collapsed="false" customWidth="true" hidden="false" outlineLevel="0" max="1021" min="1011" style="1" width="11.57"/>
  </cols>
  <sheetData>
    <row r="1" customFormat="false" ht="13.8" hidden="false" customHeight="false" outlineLevel="0" collapsed="false">
      <c r="A1" s="37" t="s">
        <v>3</v>
      </c>
      <c r="B1" s="20" t="s">
        <v>236</v>
      </c>
      <c r="C1" s="20" t="s">
        <v>237</v>
      </c>
      <c r="D1" s="37" t="s">
        <v>238</v>
      </c>
      <c r="E1" s="37" t="s">
        <v>239</v>
      </c>
      <c r="F1" s="37" t="s">
        <v>240</v>
      </c>
      <c r="G1" s="37" t="s">
        <v>232</v>
      </c>
      <c r="H1" s="37" t="s">
        <v>241</v>
      </c>
      <c r="I1" s="37" t="s">
        <v>242</v>
      </c>
      <c r="J1" s="37" t="s">
        <v>243</v>
      </c>
    </row>
    <row r="2" customFormat="false" ht="13.8" hidden="false" customHeight="false" outlineLevel="0" collapsed="false">
      <c r="A2" s="1" t="s">
        <v>49</v>
      </c>
      <c r="B2" s="1" t="n">
        <v>0.84</v>
      </c>
      <c r="C2" s="1" t="n">
        <f aca="false">F2*1000</f>
        <v>178963441.725444</v>
      </c>
      <c r="D2" s="37" t="s">
        <v>244</v>
      </c>
      <c r="E2" s="38" t="s">
        <v>245</v>
      </c>
      <c r="F2" s="1" t="n">
        <v>178963.441725444</v>
      </c>
      <c r="G2" s="37" t="n">
        <v>2019</v>
      </c>
      <c r="H2" s="1" t="s">
        <v>246</v>
      </c>
      <c r="I2" s="1" t="n">
        <v>0.00014652</v>
      </c>
      <c r="J2" s="1" t="n">
        <f aca="false">I2*C2</f>
        <v>26221.7234816121</v>
      </c>
    </row>
    <row r="3" customFormat="false" ht="13.8" hidden="false" customHeight="false" outlineLevel="0" collapsed="false">
      <c r="A3" s="1" t="s">
        <v>49</v>
      </c>
      <c r="B3" s="1" t="n">
        <v>0.84</v>
      </c>
      <c r="C3" s="1" t="n">
        <f aca="false">F3*1000</f>
        <v>36575570.599116</v>
      </c>
      <c r="D3" s="37" t="s">
        <v>247</v>
      </c>
      <c r="E3" s="38" t="s">
        <v>248</v>
      </c>
      <c r="F3" s="1" t="n">
        <v>36575.570599116</v>
      </c>
      <c r="G3" s="37" t="n">
        <v>2019</v>
      </c>
      <c r="H3" s="1" t="s">
        <v>246</v>
      </c>
      <c r="I3" s="1" t="n">
        <v>0.00014652</v>
      </c>
      <c r="J3" s="1" t="n">
        <f aca="false">I3*C3</f>
        <v>5359.05260418248</v>
      </c>
    </row>
    <row r="4" customFormat="false" ht="13.8" hidden="false" customHeight="false" outlineLevel="0" collapsed="false">
      <c r="A4" s="1" t="s">
        <v>49</v>
      </c>
      <c r="B4" s="1" t="n">
        <v>0.84</v>
      </c>
      <c r="C4" s="1" t="n">
        <f aca="false">F4*1000</f>
        <v>85103291.89692</v>
      </c>
      <c r="D4" s="37" t="s">
        <v>249</v>
      </c>
      <c r="E4" s="38" t="s">
        <v>250</v>
      </c>
      <c r="F4" s="1" t="n">
        <v>85103.29189692</v>
      </c>
      <c r="G4" s="37" t="n">
        <v>2019</v>
      </c>
      <c r="H4" s="1" t="s">
        <v>246</v>
      </c>
      <c r="I4" s="1" t="n">
        <v>0.00014652</v>
      </c>
      <c r="J4" s="1" t="n">
        <f aca="false">I4*C4</f>
        <v>12469.3343287367</v>
      </c>
    </row>
    <row r="5" customFormat="false" ht="13.8" hidden="false" customHeight="false" outlineLevel="0" collapsed="false">
      <c r="A5" s="1" t="s">
        <v>49</v>
      </c>
      <c r="B5" s="1" t="n">
        <v>0.84</v>
      </c>
      <c r="C5" s="1" t="n">
        <f aca="false">F5*1000</f>
        <v>68445291.128784</v>
      </c>
      <c r="D5" s="37" t="s">
        <v>251</v>
      </c>
      <c r="E5" s="38" t="s">
        <v>252</v>
      </c>
      <c r="F5" s="1" t="n">
        <v>68445.291128784</v>
      </c>
      <c r="G5" s="37" t="n">
        <v>2019</v>
      </c>
      <c r="H5" s="1" t="s">
        <v>246</v>
      </c>
      <c r="I5" s="1" t="n">
        <v>0.00014652</v>
      </c>
      <c r="J5" s="1" t="n">
        <f aca="false">I5*C5</f>
        <v>10028.6040561894</v>
      </c>
    </row>
    <row r="6" customFormat="false" ht="13.8" hidden="false" customHeight="false" outlineLevel="0" collapsed="false">
      <c r="A6" s="1" t="s">
        <v>49</v>
      </c>
      <c r="B6" s="1" t="n">
        <v>0.84</v>
      </c>
      <c r="C6" s="1" t="n">
        <f aca="false">F6*1000</f>
        <v>113741515.979136</v>
      </c>
      <c r="D6" s="37" t="s">
        <v>253</v>
      </c>
      <c r="E6" s="38" t="s">
        <v>254</v>
      </c>
      <c r="F6" s="1" t="n">
        <v>113741.515979136</v>
      </c>
      <c r="G6" s="37" t="n">
        <v>2019</v>
      </c>
      <c r="H6" s="1" t="s">
        <v>246</v>
      </c>
      <c r="I6" s="1" t="n">
        <v>0.00014652</v>
      </c>
      <c r="J6" s="1" t="n">
        <f aca="false">I6*C6</f>
        <v>16665.406921263</v>
      </c>
    </row>
    <row r="7" customFormat="false" ht="13.8" hidden="false" customHeight="false" outlineLevel="0" collapsed="false">
      <c r="A7" s="1" t="s">
        <v>49</v>
      </c>
      <c r="B7" s="1" t="n">
        <v>0.84</v>
      </c>
      <c r="C7" s="1" t="n">
        <f aca="false">F7*1000</f>
        <v>128799691.859124</v>
      </c>
      <c r="D7" s="37" t="s">
        <v>255</v>
      </c>
      <c r="E7" s="38" t="s">
        <v>256</v>
      </c>
      <c r="F7" s="1" t="n">
        <v>128799.691859124</v>
      </c>
      <c r="G7" s="37" t="n">
        <v>2019</v>
      </c>
      <c r="H7" s="1" t="s">
        <v>246</v>
      </c>
      <c r="I7" s="1" t="n">
        <v>0.00014652</v>
      </c>
      <c r="J7" s="1" t="n">
        <f aca="false">I7*C7</f>
        <v>18871.7308511989</v>
      </c>
    </row>
    <row r="8" customFormat="false" ht="13.8" hidden="false" customHeight="false" outlineLevel="0" collapsed="false">
      <c r="A8" s="1" t="s">
        <v>49</v>
      </c>
      <c r="B8" s="1" t="n">
        <v>0.84</v>
      </c>
      <c r="C8" s="1" t="n">
        <f aca="false">F8*1000</f>
        <v>242180844.186684</v>
      </c>
      <c r="D8" s="37" t="s">
        <v>257</v>
      </c>
      <c r="E8" s="38" t="s">
        <v>258</v>
      </c>
      <c r="F8" s="1" t="n">
        <v>242180.844186684</v>
      </c>
      <c r="G8" s="37" t="n">
        <v>2019</v>
      </c>
      <c r="H8" s="1" t="s">
        <v>246</v>
      </c>
      <c r="I8" s="1" t="n">
        <v>0.00014652</v>
      </c>
      <c r="J8" s="1" t="n">
        <f aca="false">I8*C8</f>
        <v>35484.3372902329</v>
      </c>
    </row>
    <row r="9" customFormat="false" ht="13.8" hidden="false" customHeight="false" outlineLevel="0" collapsed="false">
      <c r="A9" s="1" t="s">
        <v>49</v>
      </c>
      <c r="B9" s="1" t="n">
        <v>0.84</v>
      </c>
      <c r="C9" s="1" t="n">
        <f aca="false">F9*1000</f>
        <v>80138920.900344</v>
      </c>
      <c r="D9" s="37" t="s">
        <v>259</v>
      </c>
      <c r="E9" s="38" t="s">
        <v>260</v>
      </c>
      <c r="F9" s="1" t="n">
        <v>80138.920900344</v>
      </c>
      <c r="G9" s="37" t="n">
        <v>2019</v>
      </c>
      <c r="H9" s="1" t="s">
        <v>246</v>
      </c>
      <c r="I9" s="1" t="n">
        <v>0.00014652</v>
      </c>
      <c r="J9" s="1" t="n">
        <f aca="false">I9*C9</f>
        <v>11741.9546903184</v>
      </c>
    </row>
    <row r="10" customFormat="false" ht="13.8" hidden="false" customHeight="false" outlineLevel="0" collapsed="false">
      <c r="A10" s="1" t="s">
        <v>49</v>
      </c>
      <c r="B10" s="1" t="n">
        <v>0.84</v>
      </c>
      <c r="C10" s="1" t="n">
        <f aca="false">F10*1000</f>
        <v>4579837.48938</v>
      </c>
      <c r="D10" s="37" t="s">
        <v>261</v>
      </c>
      <c r="E10" s="38" t="s">
        <v>262</v>
      </c>
      <c r="F10" s="1" t="n">
        <v>4579.83748938</v>
      </c>
      <c r="G10" s="37" t="n">
        <v>2019</v>
      </c>
      <c r="H10" s="1" t="s">
        <v>246</v>
      </c>
      <c r="I10" s="1" t="n">
        <v>0.00014652</v>
      </c>
      <c r="J10" s="1" t="n">
        <f aca="false">I10*C10</f>
        <v>671.037788943958</v>
      </c>
    </row>
    <row r="11" customFormat="false" ht="13.8" hidden="false" customHeight="false" outlineLevel="0" collapsed="false">
      <c r="A11" s="1" t="s">
        <v>49</v>
      </c>
      <c r="B11" s="1" t="n">
        <v>0.84</v>
      </c>
      <c r="C11" s="1" t="n">
        <f aca="false">F11*1000</f>
        <v>788314028.770476</v>
      </c>
      <c r="D11" s="37" t="s">
        <v>263</v>
      </c>
      <c r="E11" s="38" t="s">
        <v>264</v>
      </c>
      <c r="F11" s="1" t="n">
        <v>788314.028770476</v>
      </c>
      <c r="G11" s="37" t="n">
        <v>2019</v>
      </c>
      <c r="H11" s="1" t="s">
        <v>246</v>
      </c>
      <c r="I11" s="1" t="n">
        <v>0.00014652</v>
      </c>
      <c r="J11" s="1" t="n">
        <f aca="false">I11*C11</f>
        <v>115503.77149545</v>
      </c>
    </row>
    <row r="12" customFormat="false" ht="13.8" hidden="false" customHeight="false" outlineLevel="0" collapsed="false">
      <c r="A12" s="1" t="s">
        <v>49</v>
      </c>
      <c r="B12" s="1" t="n">
        <v>0.84</v>
      </c>
      <c r="C12" s="1" t="n">
        <f aca="false">F12*1000</f>
        <v>134224664.217036</v>
      </c>
      <c r="D12" s="37" t="s">
        <v>265</v>
      </c>
      <c r="E12" s="38" t="s">
        <v>266</v>
      </c>
      <c r="F12" s="1" t="n">
        <v>134224.664217036</v>
      </c>
      <c r="G12" s="37" t="n">
        <v>2019</v>
      </c>
      <c r="H12" s="1" t="s">
        <v>246</v>
      </c>
      <c r="I12" s="1" t="n">
        <v>0.00014652</v>
      </c>
      <c r="J12" s="1" t="n">
        <f aca="false">I12*C12</f>
        <v>19666.5978010801</v>
      </c>
    </row>
    <row r="13" customFormat="false" ht="13.8" hidden="false" customHeight="false" outlineLevel="0" collapsed="false">
      <c r="A13" s="1" t="s">
        <v>49</v>
      </c>
      <c r="B13" s="1" t="n">
        <v>0.84</v>
      </c>
      <c r="C13" s="1" t="n">
        <f aca="false">F13*1000</f>
        <v>112014505.0332</v>
      </c>
      <c r="D13" s="37" t="s">
        <v>267</v>
      </c>
      <c r="E13" s="38" t="s">
        <v>268</v>
      </c>
      <c r="F13" s="1" t="n">
        <v>112014.5050332</v>
      </c>
      <c r="G13" s="37" t="n">
        <v>2019</v>
      </c>
      <c r="H13" s="1" t="s">
        <v>246</v>
      </c>
      <c r="I13" s="1" t="n">
        <v>0.00014652</v>
      </c>
      <c r="J13" s="1" t="n">
        <f aca="false">I13*C13</f>
        <v>16412.3652774645</v>
      </c>
    </row>
    <row r="14" customFormat="false" ht="13.8" hidden="false" customHeight="false" outlineLevel="0" collapsed="false">
      <c r="A14" s="1" t="s">
        <v>49</v>
      </c>
      <c r="B14" s="1" t="n">
        <v>0.84</v>
      </c>
      <c r="C14" s="1" t="n">
        <f aca="false">F14*1000</f>
        <v>201069290.096208</v>
      </c>
      <c r="D14" s="37" t="s">
        <v>269</v>
      </c>
      <c r="E14" s="38" t="s">
        <v>270</v>
      </c>
      <c r="F14" s="1" t="n">
        <v>201069.290096208</v>
      </c>
      <c r="G14" s="37" t="n">
        <v>2019</v>
      </c>
      <c r="H14" s="1" t="s">
        <v>246</v>
      </c>
      <c r="I14" s="1" t="n">
        <v>0.00014652</v>
      </c>
      <c r="J14" s="1" t="n">
        <f aca="false">I14*C14</f>
        <v>29460.6723848964</v>
      </c>
    </row>
    <row r="15" customFormat="false" ht="13.8" hidden="false" customHeight="false" outlineLevel="0" collapsed="false">
      <c r="A15" s="1" t="s">
        <v>49</v>
      </c>
      <c r="B15" s="1" t="n">
        <v>0.84</v>
      </c>
      <c r="C15" s="1" t="n">
        <f aca="false">F15*1000</f>
        <v>265063436.387376</v>
      </c>
      <c r="D15" s="37" t="s">
        <v>271</v>
      </c>
      <c r="E15" s="38" t="s">
        <v>272</v>
      </c>
      <c r="F15" s="1" t="n">
        <v>265063.436387376</v>
      </c>
      <c r="G15" s="37" t="n">
        <v>2019</v>
      </c>
      <c r="H15" s="1" t="s">
        <v>246</v>
      </c>
      <c r="I15" s="1" t="n">
        <v>0.00014652</v>
      </c>
      <c r="J15" s="1" t="n">
        <f aca="false">I15*C15</f>
        <v>38837.0946994783</v>
      </c>
    </row>
    <row r="16" customFormat="false" ht="13.8" hidden="false" customHeight="false" outlineLevel="0" collapsed="false">
      <c r="A16" s="1" t="s">
        <v>49</v>
      </c>
      <c r="B16" s="1" t="n">
        <v>0.84</v>
      </c>
      <c r="C16" s="1" t="n">
        <f aca="false">F16*1000</f>
        <v>39920894.385408</v>
      </c>
      <c r="D16" s="37" t="s">
        <v>273</v>
      </c>
      <c r="E16" s="38" t="s">
        <v>274</v>
      </c>
      <c r="F16" s="1" t="n">
        <v>39920.894385408</v>
      </c>
      <c r="G16" s="37" t="n">
        <v>2019</v>
      </c>
      <c r="H16" s="1" t="s">
        <v>246</v>
      </c>
      <c r="I16" s="1" t="n">
        <v>0.00014652</v>
      </c>
      <c r="J16" s="1" t="n">
        <f aca="false">I16*C16</f>
        <v>5849.20944534998</v>
      </c>
    </row>
    <row r="17" customFormat="false" ht="13.8" hidden="false" customHeight="false" outlineLevel="0" collapsed="false">
      <c r="A17" s="1" t="s">
        <v>49</v>
      </c>
      <c r="B17" s="1" t="n">
        <v>0.84</v>
      </c>
      <c r="C17" s="1" t="n">
        <f aca="false">F17*1000</f>
        <v>36868020.174</v>
      </c>
      <c r="D17" s="37" t="s">
        <v>275</v>
      </c>
      <c r="E17" s="38" t="s">
        <v>276</v>
      </c>
      <c r="F17" s="1" t="n">
        <v>36868.020174</v>
      </c>
      <c r="G17" s="37" t="n">
        <v>2019</v>
      </c>
      <c r="H17" s="1" t="s">
        <v>246</v>
      </c>
      <c r="I17" s="1" t="n">
        <v>0.00014652</v>
      </c>
      <c r="J17" s="1" t="n">
        <f aca="false">I17*C17</f>
        <v>5401.90231589448</v>
      </c>
    </row>
    <row r="18" customFormat="false" ht="13.8" hidden="false" customHeight="false" outlineLevel="0" collapsed="false">
      <c r="A18" s="1" t="s">
        <v>49</v>
      </c>
      <c r="B18" s="1" t="n">
        <v>0.84</v>
      </c>
      <c r="C18" s="1" t="n">
        <f aca="false">F18*1000</f>
        <v>46706305.962</v>
      </c>
      <c r="D18" s="37" t="s">
        <v>277</v>
      </c>
      <c r="E18" s="38" t="s">
        <v>278</v>
      </c>
      <c r="F18" s="1" t="n">
        <v>46706.305962</v>
      </c>
      <c r="G18" s="37" t="n">
        <v>2019</v>
      </c>
      <c r="H18" s="1" t="s">
        <v>246</v>
      </c>
      <c r="I18" s="1" t="n">
        <v>0.00014652</v>
      </c>
      <c r="J18" s="1" t="n">
        <f aca="false">I18*C18</f>
        <v>6843.40794955224</v>
      </c>
    </row>
    <row r="19" customFormat="false" ht="13.8" hidden="false" customHeight="false" outlineLevel="0" collapsed="false">
      <c r="A19" s="1" t="s">
        <v>49</v>
      </c>
      <c r="B19" s="1" t="n">
        <v>0.84</v>
      </c>
      <c r="C19" s="1" t="n">
        <f aca="false">F19*1000</f>
        <v>28780487.436</v>
      </c>
      <c r="D19" s="37" t="s">
        <v>279</v>
      </c>
      <c r="E19" s="38" t="s">
        <v>280</v>
      </c>
      <c r="F19" s="1" t="n">
        <v>28780.487436</v>
      </c>
      <c r="G19" s="37" t="n">
        <v>2019</v>
      </c>
      <c r="H19" s="1" t="s">
        <v>246</v>
      </c>
      <c r="I19" s="1" t="n">
        <v>0.00014652</v>
      </c>
      <c r="J19" s="1" t="n">
        <f aca="false">I19*C19</f>
        <v>4216.91701912272</v>
      </c>
    </row>
    <row r="20" customFormat="false" ht="13.8" hidden="false" customHeight="false" outlineLevel="0" collapsed="false">
      <c r="A20" s="1" t="s">
        <v>49</v>
      </c>
      <c r="B20" s="1" t="n">
        <v>0.84</v>
      </c>
      <c r="C20" s="1" t="n">
        <f aca="false">F20*1000</f>
        <v>603558047.396508</v>
      </c>
      <c r="D20" s="37" t="s">
        <v>281</v>
      </c>
      <c r="E20" s="38" t="s">
        <v>282</v>
      </c>
      <c r="F20" s="1" t="n">
        <v>603558.047396508</v>
      </c>
      <c r="G20" s="37" t="n">
        <v>2019</v>
      </c>
      <c r="H20" s="1" t="s">
        <v>246</v>
      </c>
      <c r="I20" s="1" t="n">
        <v>0.00014652</v>
      </c>
      <c r="J20" s="1" t="n">
        <f aca="false">I20*C20</f>
        <v>88433.3251045364</v>
      </c>
    </row>
    <row r="21" customFormat="false" ht="13.8" hidden="false" customHeight="false" outlineLevel="0" collapsed="false">
      <c r="A21" s="1" t="s">
        <v>49</v>
      </c>
      <c r="B21" s="1" t="n">
        <v>0.84</v>
      </c>
      <c r="C21" s="1" t="n">
        <f aca="false">F21*1000</f>
        <v>62984713.1856</v>
      </c>
      <c r="D21" s="37" t="s">
        <v>283</v>
      </c>
      <c r="E21" s="38" t="s">
        <v>284</v>
      </c>
      <c r="F21" s="1" t="n">
        <v>62984.7131856</v>
      </c>
      <c r="G21" s="37" t="n">
        <v>2019</v>
      </c>
      <c r="H21" s="1" t="s">
        <v>246</v>
      </c>
      <c r="I21" s="1" t="n">
        <v>0.00014652</v>
      </c>
      <c r="J21" s="1" t="n">
        <f aca="false">I21*C21</f>
        <v>9228.52017595411</v>
      </c>
    </row>
    <row r="22" customFormat="false" ht="13.8" hidden="false" customHeight="false" outlineLevel="0" collapsed="false">
      <c r="A22" s="1" t="s">
        <v>49</v>
      </c>
      <c r="B22" s="1" t="n">
        <v>0.84</v>
      </c>
      <c r="C22" s="1" t="n">
        <f aca="false">F22*1000</f>
        <v>154012352.776884</v>
      </c>
      <c r="D22" s="37" t="s">
        <v>285</v>
      </c>
      <c r="E22" s="1" t="s">
        <v>286</v>
      </c>
      <c r="F22" s="1" t="n">
        <v>154012.352776884</v>
      </c>
      <c r="G22" s="37" t="n">
        <v>2019</v>
      </c>
      <c r="H22" s="1" t="s">
        <v>246</v>
      </c>
      <c r="I22" s="1" t="n">
        <v>0.00014652</v>
      </c>
      <c r="J22" s="1" t="n">
        <f aca="false">I22*C22</f>
        <v>22565.889928869</v>
      </c>
    </row>
    <row r="23" customFormat="false" ht="13.8" hidden="false" customHeight="false" outlineLevel="0" collapsed="false">
      <c r="A23" s="1" t="s">
        <v>49</v>
      </c>
      <c r="B23" s="1" t="n">
        <v>0.84</v>
      </c>
      <c r="C23" s="1" t="n">
        <f aca="false">F23*1000</f>
        <v>58550773.045524</v>
      </c>
      <c r="D23" s="37" t="s">
        <v>287</v>
      </c>
      <c r="E23" s="38" t="s">
        <v>288</v>
      </c>
      <c r="F23" s="1" t="n">
        <v>58550.773045524</v>
      </c>
      <c r="G23" s="37" t="n">
        <v>2019</v>
      </c>
      <c r="H23" s="1" t="s">
        <v>246</v>
      </c>
      <c r="I23" s="1" t="n">
        <v>0.00014652</v>
      </c>
      <c r="J23" s="1" t="n">
        <f aca="false">I23*C23</f>
        <v>8578.85926663018</v>
      </c>
    </row>
    <row r="24" customFormat="false" ht="13.8" hidden="false" customHeight="false" outlineLevel="0" collapsed="false">
      <c r="A24" s="1" t="s">
        <v>49</v>
      </c>
      <c r="B24" s="1" t="n">
        <v>0.84</v>
      </c>
      <c r="C24" s="1" t="n">
        <f aca="false">F24*1000</f>
        <v>141199653.012</v>
      </c>
      <c r="D24" s="37" t="s">
        <v>289</v>
      </c>
      <c r="E24" s="38" t="s">
        <v>290</v>
      </c>
      <c r="F24" s="1" t="n">
        <v>141199.653012</v>
      </c>
      <c r="G24" s="37" t="n">
        <v>2019</v>
      </c>
      <c r="H24" s="1" t="s">
        <v>246</v>
      </c>
      <c r="I24" s="1" t="n">
        <v>0.00014652</v>
      </c>
      <c r="J24" s="1" t="n">
        <f aca="false">I24*C24</f>
        <v>20688.5731593182</v>
      </c>
    </row>
    <row r="25" customFormat="false" ht="13.8" hidden="false" customHeight="false" outlineLevel="0" collapsed="false">
      <c r="A25" s="1" t="s">
        <v>49</v>
      </c>
      <c r="B25" s="1" t="n">
        <v>0.84</v>
      </c>
      <c r="C25" s="1" t="n">
        <f aca="false">F25*1000</f>
        <v>2844708.72741</v>
      </c>
      <c r="D25" s="37" t="s">
        <v>291</v>
      </c>
      <c r="E25" s="38" t="s">
        <v>292</v>
      </c>
      <c r="F25" s="1" t="n">
        <v>2844.70872741</v>
      </c>
      <c r="G25" s="37" t="n">
        <v>2019</v>
      </c>
      <c r="H25" s="1" t="s">
        <v>246</v>
      </c>
      <c r="I25" s="1" t="n">
        <v>0.00014652</v>
      </c>
      <c r="J25" s="1" t="n">
        <f aca="false">I25*C25</f>
        <v>416.806722740113</v>
      </c>
    </row>
    <row r="26" customFormat="false" ht="13.8" hidden="false" customHeight="false" outlineLevel="0" collapsed="false">
      <c r="A26" s="1" t="s">
        <v>49</v>
      </c>
      <c r="B26" s="1" t="n">
        <v>0.84</v>
      </c>
      <c r="C26" s="1" t="n">
        <f aca="false">F26*1000</f>
        <v>2844708.72741</v>
      </c>
      <c r="D26" s="37" t="s">
        <v>293</v>
      </c>
      <c r="E26" s="38" t="s">
        <v>294</v>
      </c>
      <c r="F26" s="1" t="n">
        <v>2844.70872741</v>
      </c>
      <c r="G26" s="37" t="n">
        <v>2019</v>
      </c>
      <c r="H26" s="1" t="s">
        <v>246</v>
      </c>
      <c r="I26" s="1" t="n">
        <v>0.00014652</v>
      </c>
      <c r="J26" s="1" t="n">
        <f aca="false">I26*C26</f>
        <v>416.806722740113</v>
      </c>
    </row>
    <row r="27" customFormat="false" ht="13.8" hidden="false" customHeight="false" outlineLevel="0" collapsed="false">
      <c r="A27" s="1" t="str">
        <f aca="false">IF(H27="DIESEL", "D", "G")</f>
        <v>G</v>
      </c>
      <c r="B27" s="1" t="n">
        <v>0.75425</v>
      </c>
      <c r="C27" s="1" t="n">
        <f aca="false">F27*1000</f>
        <v>269737004.463288</v>
      </c>
      <c r="D27" s="37" t="s">
        <v>244</v>
      </c>
      <c r="E27" s="38" t="s">
        <v>245</v>
      </c>
      <c r="F27" s="1" t="n">
        <v>269737.004463288</v>
      </c>
      <c r="G27" s="37" t="n">
        <v>2019</v>
      </c>
      <c r="H27" s="1" t="s">
        <v>295</v>
      </c>
      <c r="I27" s="1" t="n">
        <v>3.42E-005</v>
      </c>
      <c r="J27" s="1" t="n">
        <f aca="false">I27*C27</f>
        <v>9225.00555264445</v>
      </c>
    </row>
    <row r="28" customFormat="false" ht="13.8" hidden="false" customHeight="false" outlineLevel="0" collapsed="false">
      <c r="A28" s="1" t="str">
        <f aca="false">IF(H28="DIESEL", "D", "G")</f>
        <v>G</v>
      </c>
      <c r="B28" s="1" t="n">
        <v>0.75425</v>
      </c>
      <c r="C28" s="1" t="n">
        <f aca="false">F28*1000</f>
        <v>40764851.990808</v>
      </c>
      <c r="D28" s="37" t="s">
        <v>247</v>
      </c>
      <c r="E28" s="38" t="s">
        <v>248</v>
      </c>
      <c r="F28" s="1" t="n">
        <v>40764.851990808</v>
      </c>
      <c r="G28" s="37" t="n">
        <v>2019</v>
      </c>
      <c r="H28" s="1" t="s">
        <v>295</v>
      </c>
      <c r="I28" s="1" t="n">
        <v>3.42E-005</v>
      </c>
      <c r="J28" s="1" t="n">
        <f aca="false">I28*C28</f>
        <v>1394.15793808563</v>
      </c>
    </row>
    <row r="29" customFormat="false" ht="13.8" hidden="false" customHeight="false" outlineLevel="0" collapsed="false">
      <c r="A29" s="1" t="str">
        <f aca="false">IF(H29="DIESEL", "D", "G")</f>
        <v>G</v>
      </c>
      <c r="B29" s="1" t="n">
        <v>0.75425</v>
      </c>
      <c r="C29" s="1" t="n">
        <f aca="false">F29*1000</f>
        <v>65077932.45924</v>
      </c>
      <c r="D29" s="37" t="s">
        <v>249</v>
      </c>
      <c r="E29" s="38" t="s">
        <v>250</v>
      </c>
      <c r="F29" s="1" t="n">
        <v>65077.93245924</v>
      </c>
      <c r="G29" s="37" t="n">
        <v>2019</v>
      </c>
      <c r="H29" s="1" t="s">
        <v>295</v>
      </c>
      <c r="I29" s="1" t="n">
        <v>3.42E-005</v>
      </c>
      <c r="J29" s="1" t="n">
        <f aca="false">I29*C29</f>
        <v>2225.66529010601</v>
      </c>
    </row>
    <row r="30" customFormat="false" ht="13.8" hidden="false" customHeight="false" outlineLevel="0" collapsed="false">
      <c r="A30" s="1" t="str">
        <f aca="false">IF(H30="DIESEL", "D", "G")</f>
        <v>G</v>
      </c>
      <c r="B30" s="1" t="n">
        <v>0.75425</v>
      </c>
      <c r="C30" s="1" t="n">
        <f aca="false">F30*1000</f>
        <v>49826882.267028</v>
      </c>
      <c r="D30" s="37" t="s">
        <v>251</v>
      </c>
      <c r="E30" s="38" t="s">
        <v>252</v>
      </c>
      <c r="F30" s="1" t="n">
        <v>49826.882267028</v>
      </c>
      <c r="G30" s="37" t="n">
        <v>2019</v>
      </c>
      <c r="H30" s="1" t="s">
        <v>295</v>
      </c>
      <c r="I30" s="1" t="n">
        <v>3.42E-005</v>
      </c>
      <c r="J30" s="1" t="n">
        <f aca="false">I30*C30</f>
        <v>1704.07937353236</v>
      </c>
    </row>
    <row r="31" customFormat="false" ht="13.8" hidden="false" customHeight="false" outlineLevel="0" collapsed="false">
      <c r="A31" s="1" t="str">
        <f aca="false">IF(H31="DIESEL", "D", "G")</f>
        <v>G</v>
      </c>
      <c r="B31" s="1" t="n">
        <v>0.75425</v>
      </c>
      <c r="C31" s="1" t="n">
        <f aca="false">F31*1000</f>
        <v>133633087.6005</v>
      </c>
      <c r="D31" s="37" t="s">
        <v>253</v>
      </c>
      <c r="E31" s="38" t="s">
        <v>254</v>
      </c>
      <c r="F31" s="1" t="n">
        <v>133633.0876005</v>
      </c>
      <c r="G31" s="37" t="n">
        <v>2019</v>
      </c>
      <c r="H31" s="1" t="s">
        <v>295</v>
      </c>
      <c r="I31" s="1" t="n">
        <v>3.42E-005</v>
      </c>
      <c r="J31" s="1" t="n">
        <f aca="false">I31*C31</f>
        <v>4570.2515959371</v>
      </c>
    </row>
    <row r="32" customFormat="false" ht="13.8" hidden="false" customHeight="false" outlineLevel="0" collapsed="false">
      <c r="A32" s="1" t="str">
        <f aca="false">IF(H32="DIESEL", "D", "G")</f>
        <v>G</v>
      </c>
      <c r="B32" s="1" t="n">
        <v>0.75425</v>
      </c>
      <c r="C32" s="1" t="n">
        <f aca="false">F32*1000</f>
        <v>132071779.279452</v>
      </c>
      <c r="D32" s="37" t="s">
        <v>255</v>
      </c>
      <c r="E32" s="38" t="s">
        <v>256</v>
      </c>
      <c r="F32" s="1" t="n">
        <v>132071.779279452</v>
      </c>
      <c r="G32" s="37" t="n">
        <v>2019</v>
      </c>
      <c r="H32" s="1" t="s">
        <v>295</v>
      </c>
      <c r="I32" s="1" t="n">
        <v>3.42E-005</v>
      </c>
      <c r="J32" s="1" t="n">
        <f aca="false">I32*C32</f>
        <v>4516.85485135726</v>
      </c>
    </row>
    <row r="33" customFormat="false" ht="13.8" hidden="false" customHeight="false" outlineLevel="0" collapsed="false">
      <c r="A33" s="1" t="str">
        <f aca="false">IF(H33="DIESEL", "D", "G")</f>
        <v>G</v>
      </c>
      <c r="B33" s="1" t="n">
        <v>0.75425</v>
      </c>
      <c r="C33" s="1" t="n">
        <f aca="false">F33*1000</f>
        <v>218594596.89096</v>
      </c>
      <c r="D33" s="37" t="s">
        <v>257</v>
      </c>
      <c r="E33" s="38" t="s">
        <v>258</v>
      </c>
      <c r="F33" s="1" t="n">
        <v>218594.59689096</v>
      </c>
      <c r="G33" s="37" t="n">
        <v>2019</v>
      </c>
      <c r="H33" s="1" t="s">
        <v>295</v>
      </c>
      <c r="I33" s="1" t="n">
        <v>3.42E-005</v>
      </c>
      <c r="J33" s="1" t="n">
        <f aca="false">I33*C33</f>
        <v>7475.93521367083</v>
      </c>
    </row>
    <row r="34" customFormat="false" ht="13.8" hidden="false" customHeight="false" outlineLevel="0" collapsed="false">
      <c r="A34" s="1" t="str">
        <f aca="false">IF(H34="DIESEL", "D", "G")</f>
        <v>G</v>
      </c>
      <c r="B34" s="1" t="n">
        <v>0.75425</v>
      </c>
      <c r="C34" s="1" t="n">
        <f aca="false">F34*1000</f>
        <v>123738895.062672</v>
      </c>
      <c r="D34" s="37" t="s">
        <v>259</v>
      </c>
      <c r="E34" s="38" t="s">
        <v>260</v>
      </c>
      <c r="F34" s="1" t="n">
        <v>123738.895062672</v>
      </c>
      <c r="G34" s="37" t="n">
        <v>2019</v>
      </c>
      <c r="H34" s="1" t="s">
        <v>295</v>
      </c>
      <c r="I34" s="1" t="n">
        <v>3.42E-005</v>
      </c>
      <c r="J34" s="1" t="n">
        <f aca="false">I34*C34</f>
        <v>4231.87021114338</v>
      </c>
    </row>
    <row r="35" customFormat="false" ht="13.8" hidden="false" customHeight="false" outlineLevel="0" collapsed="false">
      <c r="A35" s="1" t="str">
        <f aca="false">IF(H35="DIESEL", "D", "G")</f>
        <v>G</v>
      </c>
      <c r="B35" s="1" t="n">
        <v>0.75425</v>
      </c>
      <c r="C35" s="1" t="n">
        <f aca="false">F35*1000</f>
        <v>15068918.879244</v>
      </c>
      <c r="D35" s="37" t="s">
        <v>261</v>
      </c>
      <c r="E35" s="38" t="s">
        <v>262</v>
      </c>
      <c r="F35" s="1" t="n">
        <v>15068.918879244</v>
      </c>
      <c r="G35" s="37" t="n">
        <v>2019</v>
      </c>
      <c r="H35" s="1" t="s">
        <v>295</v>
      </c>
      <c r="I35" s="1" t="n">
        <v>3.42E-005</v>
      </c>
      <c r="J35" s="1" t="n">
        <f aca="false">I35*C35</f>
        <v>515.357025670145</v>
      </c>
    </row>
    <row r="36" customFormat="false" ht="13.8" hidden="false" customHeight="false" outlineLevel="0" collapsed="false">
      <c r="A36" s="1" t="str">
        <f aca="false">IF(H36="DIESEL", "D", "G")</f>
        <v>G</v>
      </c>
      <c r="B36" s="1" t="n">
        <v>0.75425</v>
      </c>
      <c r="C36" s="1" t="n">
        <f aca="false">F36*1000</f>
        <v>1228616428.66026</v>
      </c>
      <c r="D36" s="37" t="s">
        <v>263</v>
      </c>
      <c r="E36" s="38" t="s">
        <v>264</v>
      </c>
      <c r="F36" s="1" t="n">
        <v>1228616.42866026</v>
      </c>
      <c r="G36" s="37" t="n">
        <v>2019</v>
      </c>
      <c r="H36" s="1" t="s">
        <v>295</v>
      </c>
      <c r="I36" s="1" t="n">
        <v>3.42E-005</v>
      </c>
      <c r="J36" s="1" t="n">
        <f aca="false">I36*C36</f>
        <v>42018.6818601809</v>
      </c>
    </row>
    <row r="37" customFormat="false" ht="13.8" hidden="false" customHeight="false" outlineLevel="0" collapsed="false">
      <c r="A37" s="1" t="str">
        <f aca="false">IF(H37="DIESEL", "D", "G")</f>
        <v>G</v>
      </c>
      <c r="B37" s="1" t="n">
        <v>0.75425</v>
      </c>
      <c r="C37" s="1" t="n">
        <f aca="false">F37*1000</f>
        <v>126072105.6717</v>
      </c>
      <c r="D37" s="37" t="s">
        <v>265</v>
      </c>
      <c r="E37" s="38" t="s">
        <v>266</v>
      </c>
      <c r="F37" s="1" t="n">
        <v>126072.1056717</v>
      </c>
      <c r="G37" s="37" t="n">
        <v>2019</v>
      </c>
      <c r="H37" s="1" t="s">
        <v>295</v>
      </c>
      <c r="I37" s="1" t="n">
        <v>3.42E-005</v>
      </c>
      <c r="J37" s="1" t="n">
        <f aca="false">I37*C37</f>
        <v>4311.66601397214</v>
      </c>
    </row>
    <row r="38" customFormat="false" ht="13.8" hidden="false" customHeight="false" outlineLevel="0" collapsed="false">
      <c r="A38" s="1" t="str">
        <f aca="false">IF(H38="DIESEL", "D", "G")</f>
        <v>G</v>
      </c>
      <c r="B38" s="1" t="n">
        <v>0.75425</v>
      </c>
      <c r="C38" s="1" t="n">
        <f aca="false">F38*1000</f>
        <v>117057552.032784</v>
      </c>
      <c r="D38" s="37" t="s">
        <v>267</v>
      </c>
      <c r="E38" s="38" t="s">
        <v>268</v>
      </c>
      <c r="F38" s="1" t="n">
        <v>117057.552032784</v>
      </c>
      <c r="G38" s="37" t="n">
        <v>2019</v>
      </c>
      <c r="H38" s="1" t="s">
        <v>295</v>
      </c>
      <c r="I38" s="1" t="n">
        <v>3.42E-005</v>
      </c>
      <c r="J38" s="1" t="n">
        <f aca="false">I38*C38</f>
        <v>4003.36827952121</v>
      </c>
    </row>
    <row r="39" customFormat="false" ht="13.8" hidden="false" customHeight="false" outlineLevel="0" collapsed="false">
      <c r="A39" s="1" t="str">
        <f aca="false">IF(H39="DIESEL", "D", "G")</f>
        <v>G</v>
      </c>
      <c r="B39" s="1" t="n">
        <v>0.75425</v>
      </c>
      <c r="C39" s="1" t="n">
        <f aca="false">F39*1000</f>
        <v>179013992.117292</v>
      </c>
      <c r="D39" s="37" t="s">
        <v>269</v>
      </c>
      <c r="E39" s="38" t="s">
        <v>270</v>
      </c>
      <c r="F39" s="1" t="n">
        <v>179013.992117292</v>
      </c>
      <c r="G39" s="37" t="n">
        <v>2019</v>
      </c>
      <c r="H39" s="1" t="s">
        <v>295</v>
      </c>
      <c r="I39" s="1" t="n">
        <v>3.42E-005</v>
      </c>
      <c r="J39" s="1" t="n">
        <f aca="false">I39*C39</f>
        <v>6122.27853041139</v>
      </c>
    </row>
    <row r="40" customFormat="false" ht="13.8" hidden="false" customHeight="false" outlineLevel="0" collapsed="false">
      <c r="A40" s="1" t="str">
        <f aca="false">IF(H40="DIESEL", "D", "G")</f>
        <v>G</v>
      </c>
      <c r="B40" s="1" t="n">
        <v>0.75425</v>
      </c>
      <c r="C40" s="1" t="n">
        <f aca="false">F40*1000</f>
        <v>408473096.20404</v>
      </c>
      <c r="D40" s="37" t="s">
        <v>271</v>
      </c>
      <c r="E40" s="38" t="s">
        <v>272</v>
      </c>
      <c r="F40" s="1" t="n">
        <v>408473.09620404</v>
      </c>
      <c r="G40" s="37" t="n">
        <v>2019</v>
      </c>
      <c r="H40" s="1" t="s">
        <v>295</v>
      </c>
      <c r="I40" s="1" t="n">
        <v>3.42E-005</v>
      </c>
      <c r="J40" s="1" t="n">
        <f aca="false">I40*C40</f>
        <v>13969.7798901782</v>
      </c>
    </row>
    <row r="41" customFormat="false" ht="13.8" hidden="false" customHeight="false" outlineLevel="0" collapsed="false">
      <c r="A41" s="1" t="str">
        <f aca="false">IF(H41="DIESEL", "D", "G")</f>
        <v>G</v>
      </c>
      <c r="B41" s="1" t="n">
        <v>0.75425</v>
      </c>
      <c r="C41" s="1" t="n">
        <f aca="false">F41*1000</f>
        <v>32723092.454712</v>
      </c>
      <c r="D41" s="37" t="s">
        <v>273</v>
      </c>
      <c r="E41" s="38" t="s">
        <v>274</v>
      </c>
      <c r="F41" s="1" t="n">
        <v>32723.092454712</v>
      </c>
      <c r="G41" s="37" t="n">
        <v>2019</v>
      </c>
      <c r="H41" s="1" t="s">
        <v>295</v>
      </c>
      <c r="I41" s="1" t="n">
        <v>3.42E-005</v>
      </c>
      <c r="J41" s="1" t="n">
        <f aca="false">I41*C41</f>
        <v>1119.12976195115</v>
      </c>
    </row>
    <row r="42" customFormat="false" ht="13.8" hidden="false" customHeight="false" outlineLevel="0" collapsed="false">
      <c r="A42" s="1" t="str">
        <f aca="false">IF(H42="DIESEL", "D", "G")</f>
        <v>G</v>
      </c>
      <c r="B42" s="1" t="n">
        <v>0.75425</v>
      </c>
      <c r="C42" s="1" t="n">
        <f aca="false">F42*1000</f>
        <v>24213387.858</v>
      </c>
      <c r="D42" s="37" t="s">
        <v>275</v>
      </c>
      <c r="E42" s="38" t="s">
        <v>276</v>
      </c>
      <c r="F42" s="1" t="n">
        <v>24213.387858</v>
      </c>
      <c r="G42" s="37" t="n">
        <v>2019</v>
      </c>
      <c r="H42" s="1" t="s">
        <v>295</v>
      </c>
      <c r="I42" s="1" t="n">
        <v>3.42E-005</v>
      </c>
      <c r="J42" s="1" t="n">
        <f aca="false">I42*C42</f>
        <v>828.0978647436</v>
      </c>
    </row>
    <row r="43" customFormat="false" ht="13.8" hidden="false" customHeight="false" outlineLevel="0" collapsed="false">
      <c r="A43" s="1" t="str">
        <f aca="false">IF(H43="DIESEL", "D", "G")</f>
        <v>G</v>
      </c>
      <c r="B43" s="1" t="n">
        <v>0.75425</v>
      </c>
      <c r="C43" s="1" t="n">
        <f aca="false">F43*1000</f>
        <v>35661987.9108</v>
      </c>
      <c r="D43" s="37" t="s">
        <v>277</v>
      </c>
      <c r="E43" s="38" t="s">
        <v>278</v>
      </c>
      <c r="F43" s="1" t="n">
        <v>35661.9879108</v>
      </c>
      <c r="G43" s="37" t="n">
        <v>2019</v>
      </c>
      <c r="H43" s="1" t="s">
        <v>295</v>
      </c>
      <c r="I43" s="1" t="n">
        <v>3.42E-005</v>
      </c>
      <c r="J43" s="1" t="n">
        <f aca="false">I43*C43</f>
        <v>1219.63998654936</v>
      </c>
    </row>
    <row r="44" customFormat="false" ht="13.8" hidden="false" customHeight="false" outlineLevel="0" collapsed="false">
      <c r="A44" s="1" t="str">
        <f aca="false">IF(H44="DIESEL", "D", "G")</f>
        <v>G</v>
      </c>
      <c r="B44" s="1" t="n">
        <v>0.75425</v>
      </c>
      <c r="C44" s="1" t="n">
        <f aca="false">F44*1000</f>
        <v>28277027.64</v>
      </c>
      <c r="D44" s="37" t="s">
        <v>279</v>
      </c>
      <c r="E44" s="38" t="s">
        <v>280</v>
      </c>
      <c r="F44" s="1" t="n">
        <v>28277.02764</v>
      </c>
      <c r="G44" s="37" t="n">
        <v>2019</v>
      </c>
      <c r="H44" s="1" t="s">
        <v>295</v>
      </c>
      <c r="I44" s="1" t="n">
        <v>3.42E-005</v>
      </c>
      <c r="J44" s="1" t="n">
        <f aca="false">I44*C44</f>
        <v>967.074345288</v>
      </c>
    </row>
    <row r="45" customFormat="false" ht="13.8" hidden="false" customHeight="false" outlineLevel="0" collapsed="false">
      <c r="A45" s="1" t="str">
        <f aca="false">IF(H45="DIESEL", "D", "G")</f>
        <v>G</v>
      </c>
      <c r="B45" s="1" t="n">
        <v>0.75425</v>
      </c>
      <c r="C45" s="1" t="n">
        <f aca="false">F45*1000</f>
        <v>1036514075.50542</v>
      </c>
      <c r="D45" s="37" t="s">
        <v>281</v>
      </c>
      <c r="E45" s="38" t="s">
        <v>282</v>
      </c>
      <c r="F45" s="1" t="n">
        <v>1036514.07550542</v>
      </c>
      <c r="G45" s="37" t="n">
        <v>2019</v>
      </c>
      <c r="H45" s="1" t="s">
        <v>295</v>
      </c>
      <c r="I45" s="1" t="n">
        <v>3.42E-005</v>
      </c>
      <c r="J45" s="1" t="n">
        <f aca="false">I45*C45</f>
        <v>35448.7813822854</v>
      </c>
    </row>
    <row r="46" customFormat="false" ht="13.8" hidden="false" customHeight="false" outlineLevel="0" collapsed="false">
      <c r="A46" s="1" t="str">
        <f aca="false">IF(H46="DIESEL", "D", "G")</f>
        <v>G</v>
      </c>
      <c r="B46" s="1" t="n">
        <v>0.75425</v>
      </c>
      <c r="C46" s="1" t="n">
        <f aca="false">F46*1000</f>
        <v>85732790.770872</v>
      </c>
      <c r="D46" s="37" t="s">
        <v>283</v>
      </c>
      <c r="E46" s="38" t="s">
        <v>284</v>
      </c>
      <c r="F46" s="1" t="n">
        <v>85732.790770872</v>
      </c>
      <c r="G46" s="37" t="n">
        <v>2019</v>
      </c>
      <c r="H46" s="1" t="s">
        <v>295</v>
      </c>
      <c r="I46" s="1" t="n">
        <v>3.42E-005</v>
      </c>
      <c r="J46" s="1" t="n">
        <f aca="false">I46*C46</f>
        <v>2932.06144436382</v>
      </c>
    </row>
    <row r="47" customFormat="false" ht="13.8" hidden="false" customHeight="false" outlineLevel="0" collapsed="false">
      <c r="A47" s="1" t="str">
        <f aca="false">IF(H47="DIESEL", "D", "G")</f>
        <v>G</v>
      </c>
      <c r="B47" s="1" t="n">
        <v>0.75425</v>
      </c>
      <c r="C47" s="1" t="n">
        <f aca="false">F47*1000</f>
        <v>135986398.747248</v>
      </c>
      <c r="D47" s="37" t="s">
        <v>285</v>
      </c>
      <c r="E47" s="1" t="s">
        <v>286</v>
      </c>
      <c r="F47" s="1" t="n">
        <v>135986.398747248</v>
      </c>
      <c r="G47" s="37" t="n">
        <v>2019</v>
      </c>
      <c r="H47" s="1" t="s">
        <v>295</v>
      </c>
      <c r="I47" s="1" t="n">
        <v>3.42E-005</v>
      </c>
      <c r="J47" s="1" t="n">
        <f aca="false">I47*C47</f>
        <v>4650.73483715588</v>
      </c>
    </row>
    <row r="48" customFormat="false" ht="13.8" hidden="false" customHeight="false" outlineLevel="0" collapsed="false">
      <c r="A48" s="1" t="str">
        <f aca="false">IF(H48="DIESEL", "D", "G")</f>
        <v>G</v>
      </c>
      <c r="B48" s="1" t="n">
        <v>0.75425</v>
      </c>
      <c r="C48" s="1" t="n">
        <f aca="false">F48*1000</f>
        <v>53372280.219168</v>
      </c>
      <c r="D48" s="37" t="s">
        <v>287</v>
      </c>
      <c r="E48" s="38" t="s">
        <v>288</v>
      </c>
      <c r="F48" s="1" t="n">
        <v>53372.280219168</v>
      </c>
      <c r="G48" s="37" t="n">
        <v>2019</v>
      </c>
      <c r="H48" s="1" t="s">
        <v>295</v>
      </c>
      <c r="I48" s="1" t="n">
        <v>3.42E-005</v>
      </c>
      <c r="J48" s="1" t="n">
        <f aca="false">I48*C48</f>
        <v>1825.33198349555</v>
      </c>
    </row>
    <row r="49" customFormat="false" ht="13.8" hidden="false" customHeight="false" outlineLevel="0" collapsed="false">
      <c r="A49" s="1" t="str">
        <f aca="false">IF(H49="DIESEL", "D", "G")</f>
        <v>G</v>
      </c>
      <c r="B49" s="1" t="n">
        <v>0.75425</v>
      </c>
      <c r="C49" s="1" t="n">
        <f aca="false">F49*1000</f>
        <v>203579457.36</v>
      </c>
      <c r="D49" s="37" t="s">
        <v>289</v>
      </c>
      <c r="E49" s="38" t="s">
        <v>290</v>
      </c>
      <c r="F49" s="1" t="n">
        <v>203579.45736</v>
      </c>
      <c r="G49" s="37" t="n">
        <v>2019</v>
      </c>
      <c r="H49" s="1" t="s">
        <v>295</v>
      </c>
      <c r="I49" s="1" t="n">
        <v>3.42E-005</v>
      </c>
      <c r="J49" s="1" t="n">
        <f aca="false">I49*C49</f>
        <v>6962.417441712</v>
      </c>
    </row>
    <row r="50" customFormat="false" ht="13.8" hidden="false" customHeight="false" outlineLevel="0" collapsed="false">
      <c r="A50" s="1" t="str">
        <f aca="false">IF(H50="DIESEL", "D", "G")</f>
        <v>G</v>
      </c>
      <c r="B50" s="1" t="n">
        <v>0.75425</v>
      </c>
      <c r="C50" s="1" t="n">
        <f aca="false">F50*1000</f>
        <v>9819792.157674</v>
      </c>
      <c r="D50" s="37" t="s">
        <v>291</v>
      </c>
      <c r="E50" s="38" t="s">
        <v>292</v>
      </c>
      <c r="F50" s="1" t="n">
        <v>9819.792157674</v>
      </c>
      <c r="G50" s="37" t="n">
        <v>2019</v>
      </c>
      <c r="H50" s="1" t="s">
        <v>295</v>
      </c>
      <c r="I50" s="1" t="n">
        <v>3.42E-005</v>
      </c>
      <c r="J50" s="1" t="n">
        <f aca="false">I50*C50</f>
        <v>335.836891792451</v>
      </c>
    </row>
    <row r="51" customFormat="false" ht="13.8" hidden="false" customHeight="false" outlineLevel="0" collapsed="false">
      <c r="A51" s="1" t="str">
        <f aca="false">IF(H51="DIESEL", "D", "G")</f>
        <v>G</v>
      </c>
      <c r="B51" s="1" t="n">
        <v>0.75425</v>
      </c>
      <c r="C51" s="1" t="n">
        <f aca="false">F51*1000</f>
        <v>9819792.157674</v>
      </c>
      <c r="D51" s="37" t="s">
        <v>293</v>
      </c>
      <c r="E51" s="38" t="s">
        <v>294</v>
      </c>
      <c r="F51" s="1" t="n">
        <v>9819.792157674</v>
      </c>
      <c r="G51" s="37" t="n">
        <v>2019</v>
      </c>
      <c r="H51" s="1" t="s">
        <v>295</v>
      </c>
      <c r="I51" s="1" t="n">
        <v>3.42E-005</v>
      </c>
      <c r="J51" s="1" t="n">
        <f aca="false">I51*C51</f>
        <v>335.836891792451</v>
      </c>
    </row>
    <row r="52" customFormat="false" ht="13.8" hidden="false" customHeight="false" outlineLevel="0" collapsed="false">
      <c r="A52" s="1" t="s">
        <v>64</v>
      </c>
      <c r="B52" s="1" t="n">
        <v>0.54</v>
      </c>
      <c r="C52" s="1" t="n">
        <f aca="false">C27*0.05</f>
        <v>13486850.2231644</v>
      </c>
      <c r="D52" s="37" t="s">
        <v>244</v>
      </c>
      <c r="E52" s="38" t="s">
        <v>245</v>
      </c>
      <c r="F52" s="1" t="n">
        <v>269737.004463288</v>
      </c>
      <c r="G52" s="37" t="n">
        <v>2019</v>
      </c>
      <c r="H52" s="1" t="s">
        <v>295</v>
      </c>
      <c r="I52" s="1" t="n">
        <v>2.5E-005</v>
      </c>
      <c r="J52" s="1" t="n">
        <f aca="false">I52*C52</f>
        <v>337.17125557911</v>
      </c>
    </row>
    <row r="53" customFormat="false" ht="13.8" hidden="false" customHeight="false" outlineLevel="0" collapsed="false">
      <c r="A53" s="1" t="s">
        <v>64</v>
      </c>
      <c r="B53" s="1" t="n">
        <v>0.54</v>
      </c>
      <c r="C53" s="1" t="n">
        <f aca="false">C28*0.05</f>
        <v>2038242.5995404</v>
      </c>
      <c r="D53" s="37" t="s">
        <v>247</v>
      </c>
      <c r="E53" s="38" t="s">
        <v>248</v>
      </c>
      <c r="F53" s="1" t="n">
        <v>40764.851990808</v>
      </c>
      <c r="G53" s="37" t="n">
        <v>2019</v>
      </c>
      <c r="H53" s="1" t="s">
        <v>295</v>
      </c>
      <c r="I53" s="1" t="n">
        <v>2.5E-005</v>
      </c>
      <c r="J53" s="1" t="n">
        <f aca="false">I53*C53</f>
        <v>50.95606498851</v>
      </c>
    </row>
    <row r="54" customFormat="false" ht="13.8" hidden="false" customHeight="false" outlineLevel="0" collapsed="false">
      <c r="A54" s="1" t="s">
        <v>64</v>
      </c>
      <c r="B54" s="1" t="n">
        <v>0.54</v>
      </c>
      <c r="C54" s="1" t="n">
        <f aca="false">C29*0.05</f>
        <v>3253896.622962</v>
      </c>
      <c r="D54" s="37" t="s">
        <v>249</v>
      </c>
      <c r="E54" s="38" t="s">
        <v>250</v>
      </c>
      <c r="F54" s="1" t="n">
        <v>65077.93245924</v>
      </c>
      <c r="G54" s="37" t="n">
        <v>2019</v>
      </c>
      <c r="H54" s="1" t="s">
        <v>295</v>
      </c>
      <c r="I54" s="1" t="n">
        <v>2.5E-005</v>
      </c>
      <c r="J54" s="1" t="n">
        <f aca="false">I54*C54</f>
        <v>81.34741557405</v>
      </c>
    </row>
    <row r="55" customFormat="false" ht="13.8" hidden="false" customHeight="false" outlineLevel="0" collapsed="false">
      <c r="A55" s="1" t="s">
        <v>64</v>
      </c>
      <c r="B55" s="1" t="n">
        <v>0.54</v>
      </c>
      <c r="C55" s="1" t="n">
        <f aca="false">C30*0.05</f>
        <v>2491344.1133514</v>
      </c>
      <c r="D55" s="37" t="s">
        <v>251</v>
      </c>
      <c r="E55" s="38" t="s">
        <v>252</v>
      </c>
      <c r="F55" s="1" t="n">
        <v>49826.882267028</v>
      </c>
      <c r="G55" s="37" t="n">
        <v>2019</v>
      </c>
      <c r="H55" s="1" t="s">
        <v>295</v>
      </c>
      <c r="I55" s="1" t="n">
        <v>2.5E-005</v>
      </c>
      <c r="J55" s="1" t="n">
        <f aca="false">I55*C55</f>
        <v>62.283602833785</v>
      </c>
    </row>
    <row r="56" customFormat="false" ht="13.8" hidden="false" customHeight="false" outlineLevel="0" collapsed="false">
      <c r="A56" s="1" t="s">
        <v>64</v>
      </c>
      <c r="B56" s="1" t="n">
        <v>0.54</v>
      </c>
      <c r="C56" s="1" t="n">
        <f aca="false">C31*0.05</f>
        <v>6681654.380025</v>
      </c>
      <c r="D56" s="37" t="s">
        <v>253</v>
      </c>
      <c r="E56" s="38" t="s">
        <v>254</v>
      </c>
      <c r="F56" s="1" t="n">
        <v>133633.0876005</v>
      </c>
      <c r="G56" s="37" t="n">
        <v>2019</v>
      </c>
      <c r="H56" s="1" t="s">
        <v>295</v>
      </c>
      <c r="I56" s="1" t="n">
        <v>2.5E-005</v>
      </c>
      <c r="J56" s="1" t="n">
        <f aca="false">I56*C56</f>
        <v>167.041359500625</v>
      </c>
    </row>
    <row r="57" customFormat="false" ht="13.8" hidden="false" customHeight="false" outlineLevel="0" collapsed="false">
      <c r="A57" s="1" t="s">
        <v>64</v>
      </c>
      <c r="B57" s="1" t="n">
        <v>0.54</v>
      </c>
      <c r="C57" s="1" t="n">
        <f aca="false">C32*0.05</f>
        <v>6603588.9639726</v>
      </c>
      <c r="D57" s="37" t="s">
        <v>255</v>
      </c>
      <c r="E57" s="38" t="s">
        <v>256</v>
      </c>
      <c r="F57" s="1" t="n">
        <v>132071.779279452</v>
      </c>
      <c r="G57" s="37" t="n">
        <v>2019</v>
      </c>
      <c r="H57" s="1" t="s">
        <v>295</v>
      </c>
      <c r="I57" s="1" t="n">
        <v>2.5E-005</v>
      </c>
      <c r="J57" s="1" t="n">
        <f aca="false">I57*C57</f>
        <v>165.089724099315</v>
      </c>
    </row>
    <row r="58" customFormat="false" ht="13.8" hidden="false" customHeight="false" outlineLevel="0" collapsed="false">
      <c r="A58" s="1" t="s">
        <v>64</v>
      </c>
      <c r="B58" s="1" t="n">
        <v>0.54</v>
      </c>
      <c r="C58" s="1" t="n">
        <f aca="false">C33*0.05</f>
        <v>10929729.844548</v>
      </c>
      <c r="D58" s="37" t="s">
        <v>257</v>
      </c>
      <c r="E58" s="38" t="s">
        <v>258</v>
      </c>
      <c r="F58" s="1" t="n">
        <v>218594.59689096</v>
      </c>
      <c r="G58" s="37" t="n">
        <v>2019</v>
      </c>
      <c r="H58" s="1" t="s">
        <v>295</v>
      </c>
      <c r="I58" s="1" t="n">
        <v>2.5E-005</v>
      </c>
      <c r="J58" s="1" t="n">
        <f aca="false">I58*C58</f>
        <v>273.2432461137</v>
      </c>
    </row>
    <row r="59" customFormat="false" ht="13.8" hidden="false" customHeight="false" outlineLevel="0" collapsed="false">
      <c r="A59" s="1" t="s">
        <v>64</v>
      </c>
      <c r="B59" s="1" t="n">
        <v>0.54</v>
      </c>
      <c r="C59" s="1" t="n">
        <f aca="false">C34*0.05</f>
        <v>6186944.7531336</v>
      </c>
      <c r="D59" s="37" t="s">
        <v>259</v>
      </c>
      <c r="E59" s="38" t="s">
        <v>260</v>
      </c>
      <c r="F59" s="1" t="n">
        <v>123738.895062672</v>
      </c>
      <c r="G59" s="37" t="n">
        <v>2019</v>
      </c>
      <c r="H59" s="1" t="s">
        <v>295</v>
      </c>
      <c r="I59" s="1" t="n">
        <v>2.5E-005</v>
      </c>
      <c r="J59" s="1" t="n">
        <f aca="false">I59*C59</f>
        <v>154.67361882834</v>
      </c>
    </row>
    <row r="60" customFormat="false" ht="13.8" hidden="false" customHeight="false" outlineLevel="0" collapsed="false">
      <c r="A60" s="1" t="s">
        <v>64</v>
      </c>
      <c r="B60" s="1" t="n">
        <v>0.54</v>
      </c>
      <c r="C60" s="1" t="n">
        <f aca="false">C35*0.05</f>
        <v>753445.9439622</v>
      </c>
      <c r="D60" s="37" t="s">
        <v>261</v>
      </c>
      <c r="E60" s="38" t="s">
        <v>262</v>
      </c>
      <c r="F60" s="1" t="n">
        <v>15068.918879244</v>
      </c>
      <c r="G60" s="37" t="n">
        <v>2019</v>
      </c>
      <c r="H60" s="1" t="s">
        <v>295</v>
      </c>
      <c r="I60" s="1" t="n">
        <v>2.5E-005</v>
      </c>
      <c r="J60" s="1" t="n">
        <f aca="false">I60*C60</f>
        <v>18.836148599055</v>
      </c>
    </row>
    <row r="61" customFormat="false" ht="13.8" hidden="false" customHeight="false" outlineLevel="0" collapsed="false">
      <c r="A61" s="1" t="s">
        <v>64</v>
      </c>
      <c r="B61" s="1" t="n">
        <v>0.54</v>
      </c>
      <c r="C61" s="1" t="n">
        <f aca="false">C36*0.05</f>
        <v>61430821.433013</v>
      </c>
      <c r="D61" s="37" t="s">
        <v>263</v>
      </c>
      <c r="E61" s="38" t="s">
        <v>264</v>
      </c>
      <c r="F61" s="1" t="n">
        <v>1228616.42866026</v>
      </c>
      <c r="G61" s="37" t="n">
        <v>2019</v>
      </c>
      <c r="H61" s="1" t="s">
        <v>295</v>
      </c>
      <c r="I61" s="1" t="n">
        <v>2.5E-005</v>
      </c>
      <c r="J61" s="1" t="n">
        <f aca="false">I61*C61</f>
        <v>1535.77053582533</v>
      </c>
    </row>
    <row r="62" customFormat="false" ht="13.8" hidden="false" customHeight="false" outlineLevel="0" collapsed="false">
      <c r="A62" s="1" t="s">
        <v>64</v>
      </c>
      <c r="B62" s="1" t="n">
        <v>0.54</v>
      </c>
      <c r="C62" s="1" t="n">
        <f aca="false">C37*0.05</f>
        <v>6303605.283585</v>
      </c>
      <c r="D62" s="37" t="s">
        <v>265</v>
      </c>
      <c r="E62" s="38" t="s">
        <v>266</v>
      </c>
      <c r="F62" s="1" t="n">
        <v>126072.1056717</v>
      </c>
      <c r="G62" s="37" t="n">
        <v>2019</v>
      </c>
      <c r="H62" s="1" t="s">
        <v>295</v>
      </c>
      <c r="I62" s="1" t="n">
        <v>2.5E-005</v>
      </c>
      <c r="J62" s="1" t="n">
        <f aca="false">I62*C62</f>
        <v>157.590132089625</v>
      </c>
    </row>
    <row r="63" customFormat="false" ht="13.8" hidden="false" customHeight="false" outlineLevel="0" collapsed="false">
      <c r="A63" s="1" t="s">
        <v>64</v>
      </c>
      <c r="B63" s="1" t="n">
        <v>0.54</v>
      </c>
      <c r="C63" s="1" t="n">
        <f aca="false">C38*0.05</f>
        <v>5852877.6016392</v>
      </c>
      <c r="D63" s="37" t="s">
        <v>267</v>
      </c>
      <c r="E63" s="38" t="s">
        <v>268</v>
      </c>
      <c r="F63" s="1" t="n">
        <v>117057.552032784</v>
      </c>
      <c r="G63" s="37" t="n">
        <v>2019</v>
      </c>
      <c r="H63" s="1" t="s">
        <v>295</v>
      </c>
      <c r="I63" s="1" t="n">
        <v>2.5E-005</v>
      </c>
      <c r="J63" s="1" t="n">
        <f aca="false">I63*C63</f>
        <v>146.32194004098</v>
      </c>
    </row>
    <row r="64" customFormat="false" ht="13.8" hidden="false" customHeight="false" outlineLevel="0" collapsed="false">
      <c r="A64" s="1" t="s">
        <v>64</v>
      </c>
      <c r="B64" s="1" t="n">
        <v>0.54</v>
      </c>
      <c r="C64" s="1" t="n">
        <f aca="false">C39*0.05</f>
        <v>8950699.6058646</v>
      </c>
      <c r="D64" s="37" t="s">
        <v>269</v>
      </c>
      <c r="E64" s="38" t="s">
        <v>270</v>
      </c>
      <c r="F64" s="1" t="n">
        <v>179013.992117292</v>
      </c>
      <c r="G64" s="37" t="n">
        <v>2019</v>
      </c>
      <c r="H64" s="1" t="s">
        <v>295</v>
      </c>
      <c r="I64" s="1" t="n">
        <v>2.5E-005</v>
      </c>
      <c r="J64" s="1" t="n">
        <f aca="false">I64*C64</f>
        <v>223.767490146615</v>
      </c>
    </row>
    <row r="65" customFormat="false" ht="13.8" hidden="false" customHeight="false" outlineLevel="0" collapsed="false">
      <c r="A65" s="1" t="s">
        <v>64</v>
      </c>
      <c r="B65" s="1" t="n">
        <v>0.54</v>
      </c>
      <c r="C65" s="1" t="n">
        <f aca="false">C40*0.05</f>
        <v>20423654.810202</v>
      </c>
      <c r="D65" s="37" t="s">
        <v>271</v>
      </c>
      <c r="E65" s="38" t="s">
        <v>272</v>
      </c>
      <c r="F65" s="1" t="n">
        <v>408473.09620404</v>
      </c>
      <c r="G65" s="37" t="n">
        <v>2019</v>
      </c>
      <c r="H65" s="1" t="s">
        <v>295</v>
      </c>
      <c r="I65" s="1" t="n">
        <v>2.5E-005</v>
      </c>
      <c r="J65" s="1" t="n">
        <f aca="false">I65*C65</f>
        <v>510.59137025505</v>
      </c>
    </row>
    <row r="66" customFormat="false" ht="13.8" hidden="false" customHeight="false" outlineLevel="0" collapsed="false">
      <c r="A66" s="1" t="s">
        <v>64</v>
      </c>
      <c r="B66" s="1" t="n">
        <v>0.54</v>
      </c>
      <c r="C66" s="1" t="n">
        <f aca="false">C41*0.05</f>
        <v>1636154.6227356</v>
      </c>
      <c r="D66" s="37" t="s">
        <v>273</v>
      </c>
      <c r="E66" s="38" t="s">
        <v>274</v>
      </c>
      <c r="F66" s="1" t="n">
        <v>32723.092454712</v>
      </c>
      <c r="G66" s="37" t="n">
        <v>2019</v>
      </c>
      <c r="H66" s="1" t="s">
        <v>295</v>
      </c>
      <c r="I66" s="1" t="n">
        <v>2.5E-005</v>
      </c>
      <c r="J66" s="1" t="n">
        <f aca="false">I66*C66</f>
        <v>40.90386556839</v>
      </c>
    </row>
    <row r="67" customFormat="false" ht="13.8" hidden="false" customHeight="false" outlineLevel="0" collapsed="false">
      <c r="A67" s="1" t="s">
        <v>64</v>
      </c>
      <c r="B67" s="1" t="n">
        <v>0.54</v>
      </c>
      <c r="C67" s="1" t="n">
        <f aca="false">C42*0.05</f>
        <v>1210669.3929</v>
      </c>
      <c r="D67" s="37" t="s">
        <v>275</v>
      </c>
      <c r="E67" s="38" t="s">
        <v>276</v>
      </c>
      <c r="F67" s="1" t="n">
        <v>24213.387858</v>
      </c>
      <c r="G67" s="37" t="n">
        <v>2019</v>
      </c>
      <c r="H67" s="1" t="s">
        <v>295</v>
      </c>
      <c r="I67" s="1" t="n">
        <v>2.5E-005</v>
      </c>
      <c r="J67" s="1" t="n">
        <f aca="false">I67*C67</f>
        <v>30.2667348225</v>
      </c>
    </row>
    <row r="68" customFormat="false" ht="13.8" hidden="false" customHeight="false" outlineLevel="0" collapsed="false">
      <c r="A68" s="1" t="s">
        <v>64</v>
      </c>
      <c r="B68" s="1" t="n">
        <v>0.54</v>
      </c>
      <c r="C68" s="1" t="n">
        <f aca="false">C43*0.05</f>
        <v>1783099.39554</v>
      </c>
      <c r="D68" s="37" t="s">
        <v>277</v>
      </c>
      <c r="E68" s="38" t="s">
        <v>278</v>
      </c>
      <c r="F68" s="1" t="n">
        <v>35661.9879108</v>
      </c>
      <c r="G68" s="37" t="n">
        <v>2019</v>
      </c>
      <c r="H68" s="1" t="s">
        <v>295</v>
      </c>
      <c r="I68" s="1" t="n">
        <v>2.5E-005</v>
      </c>
      <c r="J68" s="1" t="n">
        <f aca="false">I68*C68</f>
        <v>44.5774848885</v>
      </c>
    </row>
    <row r="69" customFormat="false" ht="13.8" hidden="false" customHeight="false" outlineLevel="0" collapsed="false">
      <c r="A69" s="1" t="s">
        <v>64</v>
      </c>
      <c r="B69" s="1" t="n">
        <v>0.54</v>
      </c>
      <c r="C69" s="1" t="n">
        <f aca="false">C44*0.05</f>
        <v>1413851.382</v>
      </c>
      <c r="D69" s="37" t="s">
        <v>279</v>
      </c>
      <c r="E69" s="38" t="s">
        <v>280</v>
      </c>
      <c r="F69" s="1" t="n">
        <v>28277.02764</v>
      </c>
      <c r="G69" s="37" t="n">
        <v>2019</v>
      </c>
      <c r="H69" s="1" t="s">
        <v>295</v>
      </c>
      <c r="I69" s="1" t="n">
        <v>2.5E-005</v>
      </c>
      <c r="J69" s="1" t="n">
        <f aca="false">I69*C69</f>
        <v>35.34628455</v>
      </c>
    </row>
    <row r="70" customFormat="false" ht="13.8" hidden="false" customHeight="false" outlineLevel="0" collapsed="false">
      <c r="A70" s="1" t="s">
        <v>64</v>
      </c>
      <c r="B70" s="1" t="n">
        <v>0.54</v>
      </c>
      <c r="C70" s="1" t="n">
        <f aca="false">C45*0.05</f>
        <v>51825703.775271</v>
      </c>
      <c r="D70" s="37" t="s">
        <v>281</v>
      </c>
      <c r="E70" s="38" t="s">
        <v>282</v>
      </c>
      <c r="F70" s="1" t="n">
        <v>1036514.07550542</v>
      </c>
      <c r="G70" s="37" t="n">
        <v>2019</v>
      </c>
      <c r="H70" s="1" t="s">
        <v>295</v>
      </c>
      <c r="I70" s="1" t="n">
        <v>2.5E-005</v>
      </c>
      <c r="J70" s="1" t="n">
        <f aca="false">I70*C70</f>
        <v>1295.64259438178</v>
      </c>
    </row>
    <row r="71" customFormat="false" ht="13.8" hidden="false" customHeight="false" outlineLevel="0" collapsed="false">
      <c r="A71" s="1" t="s">
        <v>64</v>
      </c>
      <c r="B71" s="1" t="n">
        <v>0.54</v>
      </c>
      <c r="C71" s="1" t="n">
        <f aca="false">C46*0.05</f>
        <v>4286639.5385436</v>
      </c>
      <c r="D71" s="37" t="s">
        <v>283</v>
      </c>
      <c r="E71" s="38" t="s">
        <v>284</v>
      </c>
      <c r="F71" s="1" t="n">
        <v>85732.790770872</v>
      </c>
      <c r="G71" s="37" t="n">
        <v>2019</v>
      </c>
      <c r="H71" s="1" t="s">
        <v>295</v>
      </c>
      <c r="I71" s="1" t="n">
        <v>2.5E-005</v>
      </c>
      <c r="J71" s="1" t="n">
        <f aca="false">I71*C71</f>
        <v>107.16598846359</v>
      </c>
    </row>
    <row r="72" customFormat="false" ht="13.8" hidden="false" customHeight="false" outlineLevel="0" collapsed="false">
      <c r="A72" s="1" t="s">
        <v>64</v>
      </c>
      <c r="B72" s="1" t="n">
        <v>0.54</v>
      </c>
      <c r="C72" s="1" t="n">
        <f aca="false">C47*0.05</f>
        <v>6799319.9373624</v>
      </c>
      <c r="D72" s="37" t="s">
        <v>285</v>
      </c>
      <c r="E72" s="1" t="s">
        <v>286</v>
      </c>
      <c r="F72" s="1" t="n">
        <v>135986.398747248</v>
      </c>
      <c r="G72" s="37" t="n">
        <v>2019</v>
      </c>
      <c r="H72" s="1" t="s">
        <v>295</v>
      </c>
      <c r="I72" s="1" t="n">
        <v>2.5E-005</v>
      </c>
      <c r="J72" s="1" t="n">
        <f aca="false">I72*C72</f>
        <v>169.98299843406</v>
      </c>
    </row>
    <row r="73" customFormat="false" ht="13.8" hidden="false" customHeight="false" outlineLevel="0" collapsed="false">
      <c r="A73" s="1" t="s">
        <v>64</v>
      </c>
      <c r="B73" s="1" t="n">
        <v>0.54</v>
      </c>
      <c r="C73" s="1" t="n">
        <f aca="false">C48*0.05</f>
        <v>2668614.0109584</v>
      </c>
      <c r="D73" s="37" t="s">
        <v>287</v>
      </c>
      <c r="E73" s="38" t="s">
        <v>288</v>
      </c>
      <c r="F73" s="1" t="n">
        <v>53372.280219168</v>
      </c>
      <c r="G73" s="37" t="n">
        <v>2019</v>
      </c>
      <c r="H73" s="1" t="s">
        <v>295</v>
      </c>
      <c r="I73" s="1" t="n">
        <v>2.5E-005</v>
      </c>
      <c r="J73" s="1" t="n">
        <f aca="false">I73*C73</f>
        <v>66.71535027396</v>
      </c>
    </row>
    <row r="74" customFormat="false" ht="13.8" hidden="false" customHeight="false" outlineLevel="0" collapsed="false">
      <c r="A74" s="1" t="s">
        <v>64</v>
      </c>
      <c r="B74" s="1" t="n">
        <v>0.54</v>
      </c>
      <c r="C74" s="1" t="n">
        <f aca="false">C49*0.05</f>
        <v>10178972.868</v>
      </c>
      <c r="D74" s="37" t="s">
        <v>289</v>
      </c>
      <c r="E74" s="38" t="s">
        <v>290</v>
      </c>
      <c r="F74" s="1" t="n">
        <v>203579.45736</v>
      </c>
      <c r="G74" s="37" t="n">
        <v>2019</v>
      </c>
      <c r="H74" s="1" t="s">
        <v>295</v>
      </c>
      <c r="I74" s="1" t="n">
        <v>2.5E-005</v>
      </c>
      <c r="J74" s="1" t="n">
        <f aca="false">I74*C74</f>
        <v>254.4743217</v>
      </c>
    </row>
    <row r="75" customFormat="false" ht="13.8" hidden="false" customHeight="false" outlineLevel="0" collapsed="false">
      <c r="A75" s="1" t="s">
        <v>64</v>
      </c>
      <c r="B75" s="1" t="n">
        <v>0.54</v>
      </c>
      <c r="C75" s="1" t="n">
        <f aca="false">C50*0.05</f>
        <v>490989.6078837</v>
      </c>
      <c r="D75" s="37" t="s">
        <v>291</v>
      </c>
      <c r="E75" s="38" t="s">
        <v>292</v>
      </c>
      <c r="F75" s="1" t="n">
        <v>9819.792157674</v>
      </c>
      <c r="G75" s="37" t="n">
        <v>2019</v>
      </c>
      <c r="H75" s="1" t="s">
        <v>295</v>
      </c>
      <c r="I75" s="1" t="n">
        <v>2.5E-005</v>
      </c>
      <c r="J75" s="1" t="n">
        <f aca="false">I75*C75</f>
        <v>12.2747401970925</v>
      </c>
    </row>
    <row r="76" customFormat="false" ht="13.8" hidden="false" customHeight="false" outlineLevel="0" collapsed="false">
      <c r="A76" s="1" t="s">
        <v>64</v>
      </c>
      <c r="B76" s="1" t="n">
        <v>0.54</v>
      </c>
      <c r="C76" s="1" t="n">
        <f aca="false">C51*0.05</f>
        <v>490989.6078837</v>
      </c>
      <c r="D76" s="37" t="s">
        <v>293</v>
      </c>
      <c r="E76" s="38" t="s">
        <v>294</v>
      </c>
      <c r="F76" s="1" t="n">
        <v>9819.792157674</v>
      </c>
      <c r="G76" s="37" t="n">
        <v>2019</v>
      </c>
      <c r="H76" s="1" t="s">
        <v>295</v>
      </c>
      <c r="I76" s="1" t="n">
        <v>2.5E-005</v>
      </c>
      <c r="J76" s="1" t="n">
        <f aca="false">I76*C76</f>
        <v>12.2747401970925</v>
      </c>
    </row>
    <row r="77" customFormat="false" ht="13.8" hidden="false" customHeight="false" outlineLevel="0" collapsed="false">
      <c r="A77" s="1" t="s">
        <v>49</v>
      </c>
      <c r="B77" s="1" t="n">
        <v>0.84</v>
      </c>
      <c r="C77" s="1" t="n">
        <f aca="false">F77*1000</f>
        <v>379547919.06</v>
      </c>
      <c r="D77" s="37" t="s">
        <v>296</v>
      </c>
      <c r="E77" s="38" t="s">
        <v>297</v>
      </c>
      <c r="F77" s="1" t="n">
        <v>379547.91906</v>
      </c>
      <c r="G77" s="37" t="n">
        <v>2024</v>
      </c>
      <c r="H77" s="1" t="s">
        <v>246</v>
      </c>
      <c r="I77" s="1" t="n">
        <v>0.00014652</v>
      </c>
      <c r="J77" s="1" t="n">
        <f aca="false">I77*C77</f>
        <v>55611.3611006712</v>
      </c>
    </row>
    <row r="78" customFormat="false" ht="13.8" hidden="false" customHeight="false" outlineLevel="0" collapsed="false">
      <c r="A78" s="1" t="str">
        <f aca="false">IF(H78="DIESEL", "D", "G")</f>
        <v>G</v>
      </c>
      <c r="B78" s="1" t="n">
        <v>0.75425</v>
      </c>
      <c r="C78" s="1" t="n">
        <f aca="false">F78*1000</f>
        <v>803498697.42</v>
      </c>
      <c r="D78" s="37" t="s">
        <v>296</v>
      </c>
      <c r="E78" s="38" t="s">
        <v>297</v>
      </c>
      <c r="F78" s="1" t="n">
        <v>803498.69742</v>
      </c>
      <c r="G78" s="37" t="n">
        <v>2024</v>
      </c>
      <c r="H78" s="1" t="s">
        <v>295</v>
      </c>
      <c r="I78" s="1" t="n">
        <v>3.42E-005</v>
      </c>
      <c r="J78" s="1" t="n">
        <f aca="false">I78*C78</f>
        <v>27479.655451764</v>
      </c>
    </row>
    <row r="79" customFormat="false" ht="13.8" hidden="false" customHeight="false" outlineLevel="0" collapsed="false">
      <c r="A79" s="1" t="s">
        <v>64</v>
      </c>
      <c r="B79" s="1" t="n">
        <v>0.54</v>
      </c>
      <c r="C79" s="1" t="n">
        <f aca="false">C54*0.05</f>
        <v>162694.8311481</v>
      </c>
      <c r="D79" s="37" t="s">
        <v>296</v>
      </c>
      <c r="E79" s="38" t="s">
        <v>297</v>
      </c>
      <c r="F79" s="1" t="n">
        <f aca="false">F70*F77/F20</f>
        <v>651812.633650518</v>
      </c>
      <c r="G79" s="37" t="n">
        <v>2024</v>
      </c>
      <c r="H79" s="1" t="s">
        <v>64</v>
      </c>
      <c r="I79" s="1" t="n">
        <v>2.5E-005</v>
      </c>
      <c r="J79" s="1" t="n">
        <f aca="false">I79*C79</f>
        <v>4.0673707787025</v>
      </c>
    </row>
    <row r="80" customFormat="false" ht="13.8" hidden="false" customHeight="false" outlineLevel="0" collapsed="false">
      <c r="A80" s="1" t="s">
        <v>49</v>
      </c>
      <c r="B80" s="1" t="n">
        <v>0.84</v>
      </c>
      <c r="C80" s="1" t="n">
        <f aca="false">F80*1000</f>
        <v>381301949.35006</v>
      </c>
      <c r="D80" s="37" t="s">
        <v>296</v>
      </c>
      <c r="E80" s="38" t="s">
        <v>297</v>
      </c>
      <c r="F80" s="1" t="n">
        <v>381301.94935006</v>
      </c>
      <c r="G80" s="37" t="n">
        <v>2025</v>
      </c>
      <c r="H80" s="1" t="s">
        <v>246</v>
      </c>
      <c r="I80" s="1" t="n">
        <v>0.00014652</v>
      </c>
      <c r="J80" s="1" t="n">
        <f aca="false">I80*C80</f>
        <v>55868.3616187708</v>
      </c>
    </row>
    <row r="81" customFormat="false" ht="13.8" hidden="false" customHeight="false" outlineLevel="0" collapsed="false">
      <c r="A81" s="1" t="str">
        <f aca="false">IF(H81="DIESEL", "D", "G")</f>
        <v>G</v>
      </c>
      <c r="B81" s="1" t="n">
        <v>0.75425</v>
      </c>
      <c r="C81" s="1" t="n">
        <f aca="false">F81*1000</f>
        <v>755560624.79395</v>
      </c>
      <c r="D81" s="37" t="s">
        <v>296</v>
      </c>
      <c r="E81" s="38" t="s">
        <v>297</v>
      </c>
      <c r="F81" s="1" t="n">
        <v>755560.62479395</v>
      </c>
      <c r="G81" s="37" t="n">
        <v>2025</v>
      </c>
      <c r="H81" s="1" t="s">
        <v>295</v>
      </c>
      <c r="I81" s="1" t="n">
        <v>3.42E-005</v>
      </c>
      <c r="J81" s="1" t="n">
        <f aca="false">I81*C81</f>
        <v>25840.1733679531</v>
      </c>
    </row>
    <row r="82" customFormat="false" ht="13.8" hidden="false" customHeight="false" outlineLevel="0" collapsed="false">
      <c r="A82" s="1" t="s">
        <v>64</v>
      </c>
      <c r="B82" s="1" t="n">
        <v>0.54</v>
      </c>
      <c r="C82" s="1" t="n">
        <f aca="false">C57*0.05</f>
        <v>330179.44819863</v>
      </c>
      <c r="D82" s="37" t="s">
        <v>296</v>
      </c>
      <c r="E82" s="38" t="s">
        <v>297</v>
      </c>
      <c r="F82" s="1" t="n">
        <f aca="false">F70*F80/F20</f>
        <v>654824.899152324</v>
      </c>
      <c r="G82" s="37" t="n">
        <v>2025</v>
      </c>
      <c r="H82" s="1" t="s">
        <v>64</v>
      </c>
      <c r="I82" s="1" t="n">
        <v>2.5E-005</v>
      </c>
      <c r="J82" s="1" t="n">
        <f aca="false">I82*C82</f>
        <v>8.25448620496575</v>
      </c>
    </row>
  </sheetData>
  <autoFilter ref="A1:G4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43"/>
    <col collapsed="false" customWidth="true" hidden="false" outlineLevel="0" max="2" min="2" style="1" width="35.1"/>
    <col collapsed="false" customWidth="true" hidden="false" outlineLevel="0" max="5" min="3" style="1" width="16.73"/>
  </cols>
  <sheetData>
    <row r="1" customFormat="false" ht="12.75" hidden="false" customHeight="false" outlineLevel="0" collapsed="false"/>
    <row r="2" customFormat="false" ht="12.75" hidden="false" customHeight="false" outlineLevel="0" collapsed="false"/>
    <row r="3" customFormat="false" ht="12.75" hidden="false" customHeight="false" outlineLevel="0" collapsed="false">
      <c r="A3" s="39" t="s">
        <v>298</v>
      </c>
      <c r="B3" s="40"/>
      <c r="C3" s="41" t="s">
        <v>3</v>
      </c>
      <c r="D3" s="42"/>
      <c r="E3" s="43"/>
    </row>
    <row r="4" customFormat="false" ht="12.75" hidden="false" customHeight="false" outlineLevel="0" collapsed="false">
      <c r="A4" s="44" t="s">
        <v>232</v>
      </c>
      <c r="B4" s="45" t="s">
        <v>239</v>
      </c>
      <c r="C4" s="46" t="s">
        <v>49</v>
      </c>
      <c r="D4" s="47" t="s">
        <v>27</v>
      </c>
      <c r="E4" s="48" t="s">
        <v>299</v>
      </c>
    </row>
    <row r="5" customFormat="false" ht="12.75" hidden="false" customHeight="false" outlineLevel="0" collapsed="false">
      <c r="A5" s="49" t="n">
        <v>2019</v>
      </c>
      <c r="B5" s="50" t="s">
        <v>245</v>
      </c>
      <c r="C5" s="51" t="n">
        <v>178963.441725444</v>
      </c>
      <c r="D5" s="52" t="n">
        <v>269737.004463288</v>
      </c>
      <c r="E5" s="53" t="n">
        <v>448700.446188732</v>
      </c>
    </row>
    <row r="6" customFormat="false" ht="12.75" hidden="false" customHeight="false" outlineLevel="0" collapsed="false">
      <c r="A6" s="54"/>
      <c r="B6" s="55" t="s">
        <v>248</v>
      </c>
      <c r="C6" s="56" t="n">
        <v>36575.570599116</v>
      </c>
      <c r="D6" s="57" t="n">
        <v>40764.851990808</v>
      </c>
      <c r="E6" s="58" t="n">
        <v>77340.422589924</v>
      </c>
    </row>
    <row r="7" customFormat="false" ht="12.75" hidden="false" customHeight="false" outlineLevel="0" collapsed="false">
      <c r="A7" s="54"/>
      <c r="B7" s="55" t="s">
        <v>250</v>
      </c>
      <c r="C7" s="56" t="n">
        <v>85103.29189692</v>
      </c>
      <c r="D7" s="57" t="n">
        <v>65077.93245924</v>
      </c>
      <c r="E7" s="58" t="n">
        <v>150181.22435616</v>
      </c>
    </row>
    <row r="8" customFormat="false" ht="12.75" hidden="false" customHeight="false" outlineLevel="0" collapsed="false">
      <c r="A8" s="54"/>
      <c r="B8" s="55" t="s">
        <v>252</v>
      </c>
      <c r="C8" s="56" t="n">
        <v>68445.291128784</v>
      </c>
      <c r="D8" s="57" t="n">
        <v>49826.882267028</v>
      </c>
      <c r="E8" s="58" t="n">
        <v>118272.173395812</v>
      </c>
    </row>
    <row r="9" customFormat="false" ht="12.75" hidden="false" customHeight="false" outlineLevel="0" collapsed="false">
      <c r="A9" s="54"/>
      <c r="B9" s="55" t="s">
        <v>254</v>
      </c>
      <c r="C9" s="56" t="n">
        <v>113741.515979136</v>
      </c>
      <c r="D9" s="57" t="n">
        <v>133633.0876005</v>
      </c>
      <c r="E9" s="58" t="n">
        <v>247374.603579636</v>
      </c>
    </row>
    <row r="10" customFormat="false" ht="12.75" hidden="false" customHeight="false" outlineLevel="0" collapsed="false">
      <c r="A10" s="54"/>
      <c r="B10" s="55" t="s">
        <v>256</v>
      </c>
      <c r="C10" s="56" t="n">
        <v>128799.691859124</v>
      </c>
      <c r="D10" s="57" t="n">
        <v>132071.779279452</v>
      </c>
      <c r="E10" s="58" t="n">
        <v>260871.471138576</v>
      </c>
    </row>
    <row r="11" customFormat="false" ht="12.75" hidden="false" customHeight="false" outlineLevel="0" collapsed="false">
      <c r="A11" s="54"/>
      <c r="B11" s="55" t="s">
        <v>258</v>
      </c>
      <c r="C11" s="56" t="n">
        <v>242180.844186684</v>
      </c>
      <c r="D11" s="57" t="n">
        <v>218594.59689096</v>
      </c>
      <c r="E11" s="58" t="n">
        <v>460775.441077644</v>
      </c>
    </row>
    <row r="12" customFormat="false" ht="12.75" hidden="false" customHeight="false" outlineLevel="0" collapsed="false">
      <c r="A12" s="54"/>
      <c r="B12" s="55" t="s">
        <v>260</v>
      </c>
      <c r="C12" s="56" t="n">
        <v>80138.920900344</v>
      </c>
      <c r="D12" s="57" t="n">
        <v>123738.895062672</v>
      </c>
      <c r="E12" s="58" t="n">
        <v>203877.815963016</v>
      </c>
    </row>
    <row r="13" customFormat="false" ht="12.75" hidden="false" customHeight="false" outlineLevel="0" collapsed="false">
      <c r="A13" s="54"/>
      <c r="B13" s="55" t="s">
        <v>262</v>
      </c>
      <c r="C13" s="56" t="n">
        <v>4579.83748938</v>
      </c>
      <c r="D13" s="57" t="n">
        <v>15068.918879244</v>
      </c>
      <c r="E13" s="58" t="n">
        <v>19648.756368624</v>
      </c>
    </row>
    <row r="14" customFormat="false" ht="12.75" hidden="false" customHeight="false" outlineLevel="0" collapsed="false">
      <c r="A14" s="54"/>
      <c r="B14" s="55" t="s">
        <v>264</v>
      </c>
      <c r="C14" s="56" t="n">
        <v>788314.028770476</v>
      </c>
      <c r="D14" s="57" t="n">
        <v>1228616.42866026</v>
      </c>
      <c r="E14" s="58" t="n">
        <v>2016930.45743074</v>
      </c>
    </row>
    <row r="15" customFormat="false" ht="12.75" hidden="false" customHeight="false" outlineLevel="0" collapsed="false">
      <c r="A15" s="54"/>
      <c r="B15" s="55" t="s">
        <v>266</v>
      </c>
      <c r="C15" s="56" t="n">
        <v>134224.664217036</v>
      </c>
      <c r="D15" s="57" t="n">
        <v>126072.1056717</v>
      </c>
      <c r="E15" s="58" t="n">
        <v>260296.769888736</v>
      </c>
    </row>
    <row r="16" customFormat="false" ht="12.75" hidden="false" customHeight="false" outlineLevel="0" collapsed="false">
      <c r="A16" s="54"/>
      <c r="B16" s="55" t="s">
        <v>268</v>
      </c>
      <c r="C16" s="56" t="n">
        <v>112014.5050332</v>
      </c>
      <c r="D16" s="57" t="n">
        <v>117057.552032784</v>
      </c>
      <c r="E16" s="58" t="n">
        <v>229072.057065984</v>
      </c>
    </row>
    <row r="17" customFormat="false" ht="12.75" hidden="false" customHeight="false" outlineLevel="0" collapsed="false">
      <c r="A17" s="54"/>
      <c r="B17" s="55" t="s">
        <v>270</v>
      </c>
      <c r="C17" s="56" t="n">
        <v>201069.290096208</v>
      </c>
      <c r="D17" s="57" t="n">
        <v>179013.992117292</v>
      </c>
      <c r="E17" s="58" t="n">
        <v>380083.2822135</v>
      </c>
    </row>
    <row r="18" customFormat="false" ht="12.75" hidden="false" customHeight="false" outlineLevel="0" collapsed="false">
      <c r="A18" s="54"/>
      <c r="B18" s="55" t="s">
        <v>272</v>
      </c>
      <c r="C18" s="56" t="n">
        <v>265063.436387376</v>
      </c>
      <c r="D18" s="57" t="n">
        <v>408473.09620404</v>
      </c>
      <c r="E18" s="58" t="n">
        <v>673536.532591416</v>
      </c>
    </row>
    <row r="19" customFormat="false" ht="12.75" hidden="false" customHeight="false" outlineLevel="0" collapsed="false">
      <c r="A19" s="54"/>
      <c r="B19" s="55" t="s">
        <v>274</v>
      </c>
      <c r="C19" s="56" t="n">
        <v>39920.894385408</v>
      </c>
      <c r="D19" s="57" t="n">
        <v>32723.092454712</v>
      </c>
      <c r="E19" s="58" t="n">
        <v>72643.98684012</v>
      </c>
    </row>
    <row r="20" customFormat="false" ht="12.75" hidden="false" customHeight="false" outlineLevel="0" collapsed="false">
      <c r="A20" s="54"/>
      <c r="B20" s="55" t="s">
        <v>276</v>
      </c>
      <c r="C20" s="56" t="n">
        <v>36868.020174</v>
      </c>
      <c r="D20" s="57" t="n">
        <v>24213.387858</v>
      </c>
      <c r="E20" s="58" t="n">
        <v>61081.408032</v>
      </c>
    </row>
    <row r="21" customFormat="false" ht="12.75" hidden="false" customHeight="false" outlineLevel="0" collapsed="false">
      <c r="A21" s="54"/>
      <c r="B21" s="55" t="s">
        <v>278</v>
      </c>
      <c r="C21" s="56" t="n">
        <v>46706.305962</v>
      </c>
      <c r="D21" s="57" t="n">
        <v>35661.9879108</v>
      </c>
      <c r="E21" s="58" t="n">
        <v>82368.2938728</v>
      </c>
    </row>
    <row r="22" customFormat="false" ht="12.75" hidden="false" customHeight="false" outlineLevel="0" collapsed="false">
      <c r="A22" s="54"/>
      <c r="B22" s="55" t="s">
        <v>280</v>
      </c>
      <c r="C22" s="56" t="n">
        <v>28780.487436</v>
      </c>
      <c r="D22" s="57" t="n">
        <v>28277.02764</v>
      </c>
      <c r="E22" s="58" t="n">
        <v>57057.515076</v>
      </c>
    </row>
    <row r="23" customFormat="false" ht="12.75" hidden="false" customHeight="false" outlineLevel="0" collapsed="false">
      <c r="A23" s="54"/>
      <c r="B23" s="55" t="s">
        <v>282</v>
      </c>
      <c r="C23" s="56" t="n">
        <v>603558.047396508</v>
      </c>
      <c r="D23" s="57" t="n">
        <v>1036514.07550542</v>
      </c>
      <c r="E23" s="58" t="n">
        <v>1640072.12290193</v>
      </c>
    </row>
    <row r="24" customFormat="false" ht="12.75" hidden="false" customHeight="false" outlineLevel="0" collapsed="false">
      <c r="A24" s="54"/>
      <c r="B24" s="55" t="s">
        <v>284</v>
      </c>
      <c r="C24" s="56" t="n">
        <v>62984.7131856</v>
      </c>
      <c r="D24" s="57" t="n">
        <v>85732.790770872</v>
      </c>
      <c r="E24" s="58" t="n">
        <v>148717.503956472</v>
      </c>
    </row>
    <row r="25" customFormat="false" ht="12.75" hidden="false" customHeight="false" outlineLevel="0" collapsed="false">
      <c r="A25" s="54"/>
      <c r="B25" s="55" t="s">
        <v>288</v>
      </c>
      <c r="C25" s="56" t="n">
        <v>58550.773045524</v>
      </c>
      <c r="D25" s="57" t="n">
        <v>53372.280219168</v>
      </c>
      <c r="E25" s="58" t="n">
        <v>111923.053264692</v>
      </c>
    </row>
    <row r="26" customFormat="false" ht="12.75" hidden="false" customHeight="false" outlineLevel="0" collapsed="false">
      <c r="A26" s="54"/>
      <c r="B26" s="55" t="s">
        <v>290</v>
      </c>
      <c r="C26" s="56" t="n">
        <v>141199.653012</v>
      </c>
      <c r="D26" s="57" t="n">
        <v>203579.45736</v>
      </c>
      <c r="E26" s="58" t="n">
        <v>344779.110372</v>
      </c>
    </row>
    <row r="27" customFormat="false" ht="12.75" hidden="false" customHeight="false" outlineLevel="0" collapsed="false">
      <c r="A27" s="54"/>
      <c r="B27" s="55" t="s">
        <v>292</v>
      </c>
      <c r="C27" s="56" t="n">
        <v>2844.70872741</v>
      </c>
      <c r="D27" s="57" t="n">
        <v>9819.792157674</v>
      </c>
      <c r="E27" s="58" t="n">
        <v>12664.500885084</v>
      </c>
    </row>
    <row r="28" customFormat="false" ht="12.75" hidden="false" customHeight="false" outlineLevel="0" collapsed="false">
      <c r="A28" s="54"/>
      <c r="B28" s="55" t="s">
        <v>294</v>
      </c>
      <c r="C28" s="56" t="n">
        <v>2844.70872741</v>
      </c>
      <c r="D28" s="57" t="n">
        <v>9819.792157674</v>
      </c>
      <c r="E28" s="58" t="n">
        <v>12664.500885084</v>
      </c>
    </row>
    <row r="29" customFormat="false" ht="12.75" hidden="false" customHeight="false" outlineLevel="0" collapsed="false">
      <c r="A29" s="59"/>
      <c r="B29" s="60" t="s">
        <v>286</v>
      </c>
      <c r="C29" s="61" t="n">
        <v>154012.352776884</v>
      </c>
      <c r="D29" s="62" t="n">
        <v>135986.398747248</v>
      </c>
      <c r="E29" s="63" t="n">
        <v>289998.751524132</v>
      </c>
    </row>
    <row r="30" customFormat="false" ht="12.75" hidden="false" customHeight="false" outlineLevel="0" collapsed="false">
      <c r="A30" s="64" t="n">
        <v>2024</v>
      </c>
      <c r="B30" s="65" t="s">
        <v>297</v>
      </c>
      <c r="C30" s="66" t="n">
        <v>379547.91906</v>
      </c>
      <c r="D30" s="66" t="n">
        <v>803498.69742</v>
      </c>
      <c r="E30" s="67" t="n">
        <v>1183046.61648</v>
      </c>
    </row>
    <row r="31" customFormat="false" ht="12.8" hidden="false" customHeight="false" outlineLevel="0" collapsed="false">
      <c r="A31" s="64" t="n">
        <v>2025</v>
      </c>
      <c r="B31" s="65" t="s">
        <v>297</v>
      </c>
      <c r="C31" s="68" t="n">
        <v>381301.94935006</v>
      </c>
      <c r="D31" s="69" t="n">
        <v>755560.62479395</v>
      </c>
      <c r="E31" s="67" t="n">
        <v>1136862.57414401</v>
      </c>
    </row>
    <row r="32" customFormat="false" ht="12.8" hidden="false" customHeight="false" outlineLevel="0" collapsed="false">
      <c r="A32" s="70" t="s">
        <v>299</v>
      </c>
      <c r="B32" s="71"/>
      <c r="C32" s="72" t="n">
        <v>4378334.86350803</v>
      </c>
      <c r="D32" s="73" t="n">
        <v>6322506.52857479</v>
      </c>
      <c r="E32" s="74" t="n">
        <v>10700841.3920828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9"/>
  <sheetViews>
    <sheetView showFormulas="false" showGridLines="true" showRowColHeaders="true" showZeros="true" rightToLeft="false" tabSelected="false" showOutlineSymbols="true" defaultGridColor="true" view="normal" topLeftCell="A624" colorId="64" zoomScale="100" zoomScaleNormal="100" zoomScalePageLayoutView="100" workbookViewId="0">
      <selection pane="topLeft" activeCell="E649" activeCellId="0" sqref="E649"/>
    </sheetView>
  </sheetViews>
  <sheetFormatPr defaultColWidth="12.00390625" defaultRowHeight="12.8" zeroHeight="false" outlineLevelRow="0" outlineLevelCol="0"/>
  <cols>
    <col collapsed="false" customWidth="true" hidden="false" outlineLevel="0" max="1" min="1" style="1" width="4.42"/>
    <col collapsed="false" customWidth="true" hidden="false" outlineLevel="0" max="2" min="2" style="1" width="11.43"/>
    <col collapsed="false" customWidth="true" hidden="false" outlineLevel="0" max="3" min="3" style="1" width="18.14"/>
    <col collapsed="false" customWidth="true" hidden="false" outlineLevel="0" max="5" min="5" style="1" width="39.57"/>
    <col collapsed="false" customWidth="true" hidden="false" outlineLevel="0" max="6" min="6" style="1" width="14"/>
    <col collapsed="false" customWidth="true" hidden="false" outlineLevel="0" max="1021" min="1011" style="1" width="11.57"/>
    <col collapsed="false" customWidth="true" hidden="false" outlineLevel="0" max="16384" min="16382" style="1" width="11.53"/>
  </cols>
  <sheetData>
    <row r="1" customFormat="false" ht="13.8" hidden="false" customHeight="false" outlineLevel="0" collapsed="false">
      <c r="A1" s="37" t="s">
        <v>3</v>
      </c>
      <c r="B1" s="20" t="s">
        <v>236</v>
      </c>
      <c r="C1" s="20" t="s">
        <v>237</v>
      </c>
      <c r="D1" s="37" t="s">
        <v>238</v>
      </c>
      <c r="E1" s="37" t="s">
        <v>239</v>
      </c>
      <c r="F1" s="37" t="s">
        <v>240</v>
      </c>
      <c r="G1" s="37" t="s">
        <v>232</v>
      </c>
      <c r="H1" s="37" t="s">
        <v>300</v>
      </c>
      <c r="I1" s="4" t="s">
        <v>301</v>
      </c>
      <c r="J1" s="37" t="s">
        <v>241</v>
      </c>
      <c r="K1" s="4" t="s">
        <v>302</v>
      </c>
    </row>
    <row r="2" customFormat="false" ht="13.8" hidden="false" customHeight="false" outlineLevel="0" collapsed="false">
      <c r="A2" s="1" t="str">
        <f aca="false">IF(J2="DIESEL", "D", "G")</f>
        <v>D</v>
      </c>
      <c r="B2" s="1" t="n">
        <v>0.84</v>
      </c>
      <c r="C2" s="1" t="n">
        <f aca="false">F2*1000</f>
        <v>15560995.94136</v>
      </c>
      <c r="D2" s="37" t="s">
        <v>234</v>
      </c>
      <c r="E2" s="1" t="s">
        <v>245</v>
      </c>
      <c r="F2" s="1" t="n">
        <v>15560.99594136</v>
      </c>
      <c r="G2" s="37" t="n">
        <v>2019</v>
      </c>
      <c r="H2" s="1" t="n">
        <v>1</v>
      </c>
      <c r="I2" s="1" t="s">
        <v>303</v>
      </c>
      <c r="J2" s="1" t="s">
        <v>246</v>
      </c>
    </row>
    <row r="3" customFormat="false" ht="13.8" hidden="false" customHeight="false" outlineLevel="0" collapsed="false">
      <c r="A3" s="1" t="str">
        <f aca="false">IF(J3="DIESEL", "D", "G")</f>
        <v>D</v>
      </c>
      <c r="B3" s="1" t="n">
        <v>0.84</v>
      </c>
      <c r="C3" s="1" t="n">
        <f aca="false">F3*1000</f>
        <v>14089231.541172</v>
      </c>
      <c r="D3" s="37" t="s">
        <v>234</v>
      </c>
      <c r="E3" s="1" t="s">
        <v>245</v>
      </c>
      <c r="F3" s="1" t="n">
        <v>14089.231541172</v>
      </c>
      <c r="G3" s="37" t="n">
        <v>2019</v>
      </c>
      <c r="H3" s="1" t="n">
        <v>2</v>
      </c>
      <c r="I3" s="1" t="s">
        <v>304</v>
      </c>
      <c r="J3" s="1" t="s">
        <v>246</v>
      </c>
    </row>
    <row r="4" customFormat="false" ht="13.8" hidden="false" customHeight="false" outlineLevel="0" collapsed="false">
      <c r="A4" s="1" t="str">
        <f aca="false">IF(J4="DIESEL", "D", "G")</f>
        <v>D</v>
      </c>
      <c r="B4" s="1" t="n">
        <v>0.84</v>
      </c>
      <c r="C4" s="1" t="n">
        <f aca="false">F4*1000</f>
        <v>14526143.794212</v>
      </c>
      <c r="D4" s="37" t="s">
        <v>234</v>
      </c>
      <c r="E4" s="1" t="s">
        <v>245</v>
      </c>
      <c r="F4" s="1" t="n">
        <v>14526.143794212</v>
      </c>
      <c r="G4" s="37" t="n">
        <v>2019</v>
      </c>
      <c r="H4" s="1" t="n">
        <v>3</v>
      </c>
      <c r="I4" s="1" t="s">
        <v>305</v>
      </c>
      <c r="J4" s="1" t="s">
        <v>246</v>
      </c>
    </row>
    <row r="5" customFormat="false" ht="13.8" hidden="false" customHeight="false" outlineLevel="0" collapsed="false">
      <c r="A5" s="1" t="str">
        <f aca="false">IF(J5="DIESEL", "D", "G")</f>
        <v>D</v>
      </c>
      <c r="B5" s="1" t="n">
        <v>0.84</v>
      </c>
      <c r="C5" s="1" t="n">
        <f aca="false">F5*1000</f>
        <v>14952487.176948</v>
      </c>
      <c r="D5" s="37" t="s">
        <v>234</v>
      </c>
      <c r="E5" s="1" t="s">
        <v>245</v>
      </c>
      <c r="F5" s="1" t="n">
        <v>14952.487176948</v>
      </c>
      <c r="G5" s="37" t="n">
        <v>2019</v>
      </c>
      <c r="H5" s="1" t="n">
        <v>4</v>
      </c>
      <c r="I5" s="1" t="s">
        <v>306</v>
      </c>
      <c r="J5" s="1" t="s">
        <v>246</v>
      </c>
    </row>
    <row r="6" customFormat="false" ht="13.8" hidden="false" customHeight="false" outlineLevel="0" collapsed="false">
      <c r="A6" s="1" t="str">
        <f aca="false">IF(J6="DIESEL", "D", "G")</f>
        <v>D</v>
      </c>
      <c r="B6" s="1" t="n">
        <v>0.84</v>
      </c>
      <c r="C6" s="1" t="n">
        <f aca="false">F6*1000</f>
        <v>15557361.94584</v>
      </c>
      <c r="D6" s="37" t="s">
        <v>234</v>
      </c>
      <c r="E6" s="1" t="s">
        <v>245</v>
      </c>
      <c r="F6" s="1" t="n">
        <v>15557.36194584</v>
      </c>
      <c r="G6" s="37" t="n">
        <v>2019</v>
      </c>
      <c r="H6" s="1" t="n">
        <v>5</v>
      </c>
      <c r="I6" s="1" t="s">
        <v>307</v>
      </c>
      <c r="J6" s="1" t="s">
        <v>246</v>
      </c>
    </row>
    <row r="7" customFormat="false" ht="13.8" hidden="false" customHeight="false" outlineLevel="0" collapsed="false">
      <c r="A7" s="1" t="str">
        <f aca="false">IF(J7="DIESEL", "D", "G")</f>
        <v>D</v>
      </c>
      <c r="B7" s="1" t="n">
        <v>0.84</v>
      </c>
      <c r="C7" s="1" t="n">
        <f aca="false">F7*1000</f>
        <v>14332236.064512</v>
      </c>
      <c r="D7" s="37" t="s">
        <v>234</v>
      </c>
      <c r="E7" s="1" t="s">
        <v>245</v>
      </c>
      <c r="F7" s="1" t="n">
        <v>14332.236064512</v>
      </c>
      <c r="G7" s="37" t="n">
        <v>2019</v>
      </c>
      <c r="H7" s="1" t="n">
        <v>6</v>
      </c>
      <c r="I7" s="1" t="s">
        <v>308</v>
      </c>
      <c r="J7" s="1" t="s">
        <v>246</v>
      </c>
    </row>
    <row r="8" customFormat="false" ht="13.8" hidden="false" customHeight="false" outlineLevel="0" collapsed="false">
      <c r="A8" s="1" t="str">
        <f aca="false">IF(J8="DIESEL", "D", "G")</f>
        <v>D</v>
      </c>
      <c r="B8" s="1" t="n">
        <v>0.84</v>
      </c>
      <c r="C8" s="1" t="n">
        <f aca="false">F8*1000</f>
        <v>15592206.6633</v>
      </c>
      <c r="D8" s="37" t="s">
        <v>234</v>
      </c>
      <c r="E8" s="1" t="s">
        <v>245</v>
      </c>
      <c r="F8" s="1" t="n">
        <v>15592.2066633</v>
      </c>
      <c r="G8" s="37" t="n">
        <v>2019</v>
      </c>
      <c r="H8" s="1" t="n">
        <v>7</v>
      </c>
      <c r="I8" s="1" t="s">
        <v>309</v>
      </c>
      <c r="J8" s="1" t="s">
        <v>246</v>
      </c>
    </row>
    <row r="9" customFormat="false" ht="13.8" hidden="false" customHeight="false" outlineLevel="0" collapsed="false">
      <c r="A9" s="1" t="str">
        <f aca="false">IF(J9="DIESEL", "D", "G")</f>
        <v>D</v>
      </c>
      <c r="B9" s="1" t="n">
        <v>0.84</v>
      </c>
      <c r="C9" s="1" t="n">
        <f aca="false">F9*1000</f>
        <v>15595284.203256</v>
      </c>
      <c r="D9" s="37" t="s">
        <v>234</v>
      </c>
      <c r="E9" s="1" t="s">
        <v>245</v>
      </c>
      <c r="F9" s="1" t="n">
        <v>15595.284203256</v>
      </c>
      <c r="G9" s="37" t="n">
        <v>2019</v>
      </c>
      <c r="H9" s="1" t="n">
        <v>8</v>
      </c>
      <c r="I9" s="1" t="s">
        <v>310</v>
      </c>
      <c r="J9" s="1" t="s">
        <v>246</v>
      </c>
    </row>
    <row r="10" customFormat="false" ht="13.8" hidden="false" customHeight="false" outlineLevel="0" collapsed="false">
      <c r="A10" s="1" t="str">
        <f aca="false">IF(J10="DIESEL", "D", "G")</f>
        <v>D</v>
      </c>
      <c r="B10" s="1" t="n">
        <v>0.84</v>
      </c>
      <c r="C10" s="1" t="n">
        <f aca="false">F10*1000</f>
        <v>15221228.716476</v>
      </c>
      <c r="D10" s="37" t="s">
        <v>234</v>
      </c>
      <c r="E10" s="1" t="s">
        <v>245</v>
      </c>
      <c r="F10" s="1" t="n">
        <v>15221.228716476</v>
      </c>
      <c r="G10" s="37" t="n">
        <v>2019</v>
      </c>
      <c r="H10" s="1" t="n">
        <v>9</v>
      </c>
      <c r="I10" s="1" t="s">
        <v>311</v>
      </c>
      <c r="J10" s="1" t="s">
        <v>246</v>
      </c>
    </row>
    <row r="11" customFormat="false" ht="13.8" hidden="false" customHeight="false" outlineLevel="0" collapsed="false">
      <c r="A11" s="1" t="str">
        <f aca="false">IF(J11="DIESEL", "D", "G")</f>
        <v>D</v>
      </c>
      <c r="B11" s="1" t="n">
        <v>0.84</v>
      </c>
      <c r="C11" s="1" t="n">
        <f aca="false">F11*1000</f>
        <v>13205440.045296</v>
      </c>
      <c r="D11" s="37" t="s">
        <v>234</v>
      </c>
      <c r="E11" s="1" t="s">
        <v>245</v>
      </c>
      <c r="F11" s="1" t="n">
        <v>13205.440045296</v>
      </c>
      <c r="G11" s="37" t="n">
        <v>2019</v>
      </c>
      <c r="H11" s="1" t="n">
        <v>10</v>
      </c>
      <c r="I11" s="1" t="s">
        <v>312</v>
      </c>
      <c r="J11" s="1" t="s">
        <v>246</v>
      </c>
    </row>
    <row r="12" customFormat="false" ht="13.8" hidden="false" customHeight="false" outlineLevel="0" collapsed="false">
      <c r="A12" s="1" t="str">
        <f aca="false">IF(J12="DIESEL", "D", "G")</f>
        <v>D</v>
      </c>
      <c r="B12" s="1" t="n">
        <v>0.84</v>
      </c>
      <c r="C12" s="1" t="n">
        <f aca="false">F12*1000</f>
        <v>15174978.55266</v>
      </c>
      <c r="D12" s="37" t="s">
        <v>234</v>
      </c>
      <c r="E12" s="1" t="s">
        <v>245</v>
      </c>
      <c r="F12" s="1" t="n">
        <v>15174.97855266</v>
      </c>
      <c r="G12" s="37" t="n">
        <v>2019</v>
      </c>
      <c r="H12" s="1" t="n">
        <v>11</v>
      </c>
      <c r="I12" s="1" t="s">
        <v>313</v>
      </c>
      <c r="J12" s="1" t="s">
        <v>246</v>
      </c>
    </row>
    <row r="13" customFormat="false" ht="13.8" hidden="false" customHeight="false" outlineLevel="0" collapsed="false">
      <c r="A13" s="1" t="str">
        <f aca="false">IF(J13="DIESEL", "D", "G")</f>
        <v>D</v>
      </c>
      <c r="B13" s="1" t="n">
        <v>0.84</v>
      </c>
      <c r="C13" s="1" t="n">
        <f aca="false">F13*1000</f>
        <v>15155847.080412</v>
      </c>
      <c r="D13" s="37" t="s">
        <v>234</v>
      </c>
      <c r="E13" s="1" t="s">
        <v>245</v>
      </c>
      <c r="F13" s="1" t="n">
        <v>15155.847080412</v>
      </c>
      <c r="G13" s="37" t="n">
        <v>2019</v>
      </c>
      <c r="H13" s="1" t="n">
        <v>12</v>
      </c>
      <c r="I13" s="1" t="s">
        <v>314</v>
      </c>
      <c r="J13" s="1" t="s">
        <v>246</v>
      </c>
    </row>
    <row r="14" customFormat="false" ht="13.8" hidden="false" customHeight="false" outlineLevel="0" collapsed="false">
      <c r="A14" s="1" t="str">
        <f aca="false">IF(J14="DIESEL", "D", "G")</f>
        <v>D</v>
      </c>
      <c r="B14" s="1" t="n">
        <v>0.84</v>
      </c>
      <c r="C14" s="1" t="n">
        <f aca="false">F14*1000</f>
        <v>2895435.140916</v>
      </c>
      <c r="D14" s="37" t="s">
        <v>234</v>
      </c>
      <c r="E14" s="1" t="s">
        <v>248</v>
      </c>
      <c r="F14" s="1" t="n">
        <v>2895.435140916</v>
      </c>
      <c r="G14" s="37" t="n">
        <v>2019</v>
      </c>
      <c r="H14" s="1" t="n">
        <v>1</v>
      </c>
      <c r="I14" s="1" t="s">
        <v>303</v>
      </c>
      <c r="J14" s="1" t="s">
        <v>246</v>
      </c>
    </row>
    <row r="15" customFormat="false" ht="13.8" hidden="false" customHeight="false" outlineLevel="0" collapsed="false">
      <c r="A15" s="1" t="str">
        <f aca="false">IF(J15="DIESEL", "D", "G")</f>
        <v>D</v>
      </c>
      <c r="B15" s="1" t="n">
        <v>0.84</v>
      </c>
      <c r="C15" s="1" t="n">
        <f aca="false">F15*1000</f>
        <v>2710597.258368</v>
      </c>
      <c r="D15" s="37" t="s">
        <v>234</v>
      </c>
      <c r="E15" s="1" t="s">
        <v>248</v>
      </c>
      <c r="F15" s="1" t="n">
        <v>2710.597258368</v>
      </c>
      <c r="G15" s="37" t="n">
        <v>2019</v>
      </c>
      <c r="H15" s="1" t="n">
        <v>2</v>
      </c>
      <c r="I15" s="1" t="s">
        <v>304</v>
      </c>
      <c r="J15" s="1" t="s">
        <v>246</v>
      </c>
    </row>
    <row r="16" customFormat="false" ht="13.8" hidden="false" customHeight="false" outlineLevel="0" collapsed="false">
      <c r="A16" s="1" t="str">
        <f aca="false">IF(J16="DIESEL", "D", "G")</f>
        <v>D</v>
      </c>
      <c r="B16" s="1" t="n">
        <v>0.84</v>
      </c>
      <c r="C16" s="1" t="n">
        <f aca="false">F16*1000</f>
        <v>2780570.599188</v>
      </c>
      <c r="D16" s="37" t="s">
        <v>234</v>
      </c>
      <c r="E16" s="1" t="s">
        <v>248</v>
      </c>
      <c r="F16" s="1" t="n">
        <v>2780.570599188</v>
      </c>
      <c r="G16" s="37" t="n">
        <v>2019</v>
      </c>
      <c r="H16" s="1" t="n">
        <v>3</v>
      </c>
      <c r="I16" s="1" t="s">
        <v>305</v>
      </c>
      <c r="J16" s="1" t="s">
        <v>246</v>
      </c>
    </row>
    <row r="17" customFormat="false" ht="13.8" hidden="false" customHeight="false" outlineLevel="0" collapsed="false">
      <c r="A17" s="1" t="str">
        <f aca="false">IF(J17="DIESEL", "D", "G")</f>
        <v>D</v>
      </c>
      <c r="B17" s="1" t="n">
        <v>0.84</v>
      </c>
      <c r="C17" s="1" t="n">
        <f aca="false">F17*1000</f>
        <v>2774570.721168</v>
      </c>
      <c r="D17" s="37" t="s">
        <v>234</v>
      </c>
      <c r="E17" s="1" t="s">
        <v>248</v>
      </c>
      <c r="F17" s="1" t="n">
        <v>2774.570721168</v>
      </c>
      <c r="G17" s="37" t="n">
        <v>2019</v>
      </c>
      <c r="H17" s="1" t="n">
        <v>4</v>
      </c>
      <c r="I17" s="1" t="s">
        <v>306</v>
      </c>
      <c r="J17" s="1" t="s">
        <v>246</v>
      </c>
    </row>
    <row r="18" customFormat="false" ht="13.8" hidden="false" customHeight="false" outlineLevel="0" collapsed="false">
      <c r="A18" s="1" t="str">
        <f aca="false">IF(J18="DIESEL", "D", "G")</f>
        <v>D</v>
      </c>
      <c r="B18" s="1" t="n">
        <v>0.84</v>
      </c>
      <c r="C18" s="1" t="n">
        <f aca="false">F18*1000</f>
        <v>3044046.630624</v>
      </c>
      <c r="D18" s="37" t="s">
        <v>234</v>
      </c>
      <c r="E18" s="1" t="s">
        <v>248</v>
      </c>
      <c r="F18" s="1" t="n">
        <v>3044.046630624</v>
      </c>
      <c r="G18" s="37" t="n">
        <v>2019</v>
      </c>
      <c r="H18" s="1" t="n">
        <v>5</v>
      </c>
      <c r="I18" s="1" t="s">
        <v>307</v>
      </c>
      <c r="J18" s="1" t="s">
        <v>246</v>
      </c>
    </row>
    <row r="19" customFormat="false" ht="13.8" hidden="false" customHeight="false" outlineLevel="0" collapsed="false">
      <c r="A19" s="1" t="str">
        <f aca="false">IF(J19="DIESEL", "D", "G")</f>
        <v>D</v>
      </c>
      <c r="B19" s="1" t="n">
        <v>0.84</v>
      </c>
      <c r="C19" s="1" t="n">
        <f aca="false">F19*1000</f>
        <v>2937017.891736</v>
      </c>
      <c r="D19" s="37" t="s">
        <v>234</v>
      </c>
      <c r="E19" s="1" t="s">
        <v>248</v>
      </c>
      <c r="F19" s="1" t="n">
        <v>2937.017891736</v>
      </c>
      <c r="G19" s="37" t="n">
        <v>2019</v>
      </c>
      <c r="H19" s="1" t="n">
        <v>6</v>
      </c>
      <c r="I19" s="1" t="s">
        <v>308</v>
      </c>
      <c r="J19" s="1" t="s">
        <v>246</v>
      </c>
    </row>
    <row r="20" customFormat="false" ht="13.8" hidden="false" customHeight="false" outlineLevel="0" collapsed="false">
      <c r="A20" s="1" t="str">
        <f aca="false">IF(J20="DIESEL", "D", "G")</f>
        <v>D</v>
      </c>
      <c r="B20" s="1" t="n">
        <v>0.84</v>
      </c>
      <c r="C20" s="1" t="n">
        <f aca="false">F20*1000</f>
        <v>3240736.638144</v>
      </c>
      <c r="D20" s="37" t="s">
        <v>234</v>
      </c>
      <c r="E20" s="1" t="s">
        <v>248</v>
      </c>
      <c r="F20" s="1" t="n">
        <v>3240.736638144</v>
      </c>
      <c r="G20" s="37" t="n">
        <v>2019</v>
      </c>
      <c r="H20" s="1" t="n">
        <v>7</v>
      </c>
      <c r="I20" s="1" t="s">
        <v>309</v>
      </c>
      <c r="J20" s="1" t="s">
        <v>246</v>
      </c>
    </row>
    <row r="21" customFormat="false" ht="13.8" hidden="false" customHeight="false" outlineLevel="0" collapsed="false">
      <c r="A21" s="1" t="str">
        <f aca="false">IF(J21="DIESEL", "D", "G")</f>
        <v>D</v>
      </c>
      <c r="B21" s="1" t="n">
        <v>0.84</v>
      </c>
      <c r="C21" s="1" t="n">
        <f aca="false">F21*1000</f>
        <v>3447961.44726</v>
      </c>
      <c r="D21" s="37" t="s">
        <v>234</v>
      </c>
      <c r="E21" s="1" t="s">
        <v>248</v>
      </c>
      <c r="F21" s="1" t="n">
        <v>3447.96144726</v>
      </c>
      <c r="G21" s="37" t="n">
        <v>2019</v>
      </c>
      <c r="H21" s="1" t="n">
        <v>8</v>
      </c>
      <c r="I21" s="1" t="s">
        <v>310</v>
      </c>
      <c r="J21" s="1" t="s">
        <v>246</v>
      </c>
    </row>
    <row r="22" customFormat="false" ht="13.8" hidden="false" customHeight="false" outlineLevel="0" collapsed="false">
      <c r="A22" s="1" t="str">
        <f aca="false">IF(J22="DIESEL", "D", "G")</f>
        <v>D</v>
      </c>
      <c r="B22" s="1" t="n">
        <v>0.84</v>
      </c>
      <c r="C22" s="1" t="n">
        <f aca="false">F22*1000</f>
        <v>3304604.109408</v>
      </c>
      <c r="D22" s="37" t="s">
        <v>234</v>
      </c>
      <c r="E22" s="1" t="s">
        <v>248</v>
      </c>
      <c r="F22" s="1" t="n">
        <v>3304.604109408</v>
      </c>
      <c r="G22" s="37" t="n">
        <v>2019</v>
      </c>
      <c r="H22" s="1" t="n">
        <v>9</v>
      </c>
      <c r="I22" s="1" t="s">
        <v>311</v>
      </c>
      <c r="J22" s="1" t="s">
        <v>246</v>
      </c>
    </row>
    <row r="23" customFormat="false" ht="13.8" hidden="false" customHeight="false" outlineLevel="0" collapsed="false">
      <c r="A23" s="1" t="str">
        <f aca="false">IF(J23="DIESEL", "D", "G")</f>
        <v>D</v>
      </c>
      <c r="B23" s="1" t="n">
        <v>0.84</v>
      </c>
      <c r="C23" s="1" t="n">
        <f aca="false">F23*1000</f>
        <v>2619955.568028</v>
      </c>
      <c r="D23" s="37" t="s">
        <v>234</v>
      </c>
      <c r="E23" s="1" t="s">
        <v>248</v>
      </c>
      <c r="F23" s="1" t="n">
        <v>2619.955568028</v>
      </c>
      <c r="G23" s="37" t="n">
        <v>2019</v>
      </c>
      <c r="H23" s="1" t="n">
        <v>10</v>
      </c>
      <c r="I23" s="1" t="s">
        <v>312</v>
      </c>
      <c r="J23" s="1" t="s">
        <v>246</v>
      </c>
    </row>
    <row r="24" customFormat="false" ht="13.8" hidden="false" customHeight="false" outlineLevel="0" collapsed="false">
      <c r="A24" s="1" t="str">
        <f aca="false">IF(J24="DIESEL", "D", "G")</f>
        <v>D</v>
      </c>
      <c r="B24" s="1" t="n">
        <v>0.84</v>
      </c>
      <c r="C24" s="1" t="n">
        <f aca="false">F24*1000</f>
        <v>3458950.498296</v>
      </c>
      <c r="D24" s="37" t="s">
        <v>234</v>
      </c>
      <c r="E24" s="1" t="s">
        <v>248</v>
      </c>
      <c r="F24" s="1" t="n">
        <v>3458.950498296</v>
      </c>
      <c r="G24" s="37" t="n">
        <v>2019</v>
      </c>
      <c r="H24" s="1" t="n">
        <v>11</v>
      </c>
      <c r="I24" s="1" t="s">
        <v>313</v>
      </c>
      <c r="J24" s="1" t="s">
        <v>246</v>
      </c>
    </row>
    <row r="25" customFormat="false" ht="13.8" hidden="false" customHeight="false" outlineLevel="0" collapsed="false">
      <c r="A25" s="1" t="str">
        <f aca="false">IF(J25="DIESEL", "D", "G")</f>
        <v>D</v>
      </c>
      <c r="B25" s="1" t="n">
        <v>0.84</v>
      </c>
      <c r="C25" s="1" t="n">
        <f aca="false">F25*1000</f>
        <v>3361124.09598</v>
      </c>
      <c r="D25" s="37" t="s">
        <v>234</v>
      </c>
      <c r="E25" s="1" t="s">
        <v>248</v>
      </c>
      <c r="F25" s="1" t="n">
        <v>3361.12409598</v>
      </c>
      <c r="G25" s="37" t="n">
        <v>2019</v>
      </c>
      <c r="H25" s="1" t="n">
        <v>12</v>
      </c>
      <c r="I25" s="1" t="s">
        <v>314</v>
      </c>
      <c r="J25" s="1" t="s">
        <v>246</v>
      </c>
    </row>
    <row r="26" customFormat="false" ht="13.8" hidden="false" customHeight="false" outlineLevel="0" collapsed="false">
      <c r="A26" s="1" t="str">
        <f aca="false">IF(J26="DIESEL", "D", "G")</f>
        <v>D</v>
      </c>
      <c r="B26" s="1" t="n">
        <v>0.84</v>
      </c>
      <c r="C26" s="1" t="n">
        <f aca="false">F26*1000</f>
        <v>5168980.086</v>
      </c>
      <c r="D26" s="37" t="s">
        <v>234</v>
      </c>
      <c r="E26" s="1" t="s">
        <v>252</v>
      </c>
      <c r="F26" s="1" t="n">
        <v>5168.980086</v>
      </c>
      <c r="G26" s="37" t="n">
        <v>2019</v>
      </c>
      <c r="H26" s="1" t="n">
        <v>1</v>
      </c>
      <c r="I26" s="1" t="s">
        <v>303</v>
      </c>
      <c r="J26" s="1" t="s">
        <v>246</v>
      </c>
    </row>
    <row r="27" customFormat="false" ht="13.8" hidden="false" customHeight="false" outlineLevel="0" collapsed="false">
      <c r="A27" s="1" t="str">
        <f aca="false">IF(J27="DIESEL", "D", "G")</f>
        <v>D</v>
      </c>
      <c r="B27" s="1" t="n">
        <v>0.84</v>
      </c>
      <c r="C27" s="1" t="n">
        <f aca="false">F27*1000</f>
        <v>5278757.034</v>
      </c>
      <c r="D27" s="37" t="s">
        <v>234</v>
      </c>
      <c r="E27" s="1" t="s">
        <v>252</v>
      </c>
      <c r="F27" s="1" t="n">
        <v>5278.757034</v>
      </c>
      <c r="G27" s="37" t="n">
        <v>2019</v>
      </c>
      <c r="H27" s="1" t="n">
        <v>2</v>
      </c>
      <c r="I27" s="1" t="s">
        <v>304</v>
      </c>
      <c r="J27" s="1" t="s">
        <v>246</v>
      </c>
    </row>
    <row r="28" customFormat="false" ht="13.8" hidden="false" customHeight="false" outlineLevel="0" collapsed="false">
      <c r="A28" s="1" t="str">
        <f aca="false">IF(J28="DIESEL", "D", "G")</f>
        <v>D</v>
      </c>
      <c r="B28" s="1" t="n">
        <v>0.84</v>
      </c>
      <c r="C28" s="1" t="n">
        <f aca="false">F28*1000</f>
        <v>5935526.016</v>
      </c>
      <c r="D28" s="37" t="s">
        <v>234</v>
      </c>
      <c r="E28" s="1" t="s">
        <v>252</v>
      </c>
      <c r="F28" s="1" t="n">
        <v>5935.526016</v>
      </c>
      <c r="G28" s="37" t="n">
        <v>2019</v>
      </c>
      <c r="H28" s="1" t="n">
        <v>3</v>
      </c>
      <c r="I28" s="1" t="s">
        <v>305</v>
      </c>
      <c r="J28" s="1" t="s">
        <v>246</v>
      </c>
    </row>
    <row r="29" customFormat="false" ht="13.8" hidden="false" customHeight="false" outlineLevel="0" collapsed="false">
      <c r="A29" s="1" t="str">
        <f aca="false">IF(J29="DIESEL", "D", "G")</f>
        <v>D</v>
      </c>
      <c r="B29" s="1" t="n">
        <v>0.84</v>
      </c>
      <c r="C29" s="1" t="n">
        <f aca="false">F29*1000</f>
        <v>5307147.624</v>
      </c>
      <c r="D29" s="37" t="s">
        <v>234</v>
      </c>
      <c r="E29" s="1" t="s">
        <v>252</v>
      </c>
      <c r="F29" s="1" t="n">
        <v>5307.147624</v>
      </c>
      <c r="G29" s="37" t="n">
        <v>2019</v>
      </c>
      <c r="H29" s="1" t="n">
        <v>4</v>
      </c>
      <c r="I29" s="1" t="s">
        <v>306</v>
      </c>
      <c r="J29" s="1" t="s">
        <v>246</v>
      </c>
    </row>
    <row r="30" customFormat="false" ht="13.8" hidden="false" customHeight="false" outlineLevel="0" collapsed="false">
      <c r="A30" s="1" t="str">
        <f aca="false">IF(J30="DIESEL", "D", "G")</f>
        <v>D</v>
      </c>
      <c r="B30" s="1" t="n">
        <v>0.84</v>
      </c>
      <c r="C30" s="1" t="n">
        <f aca="false">F30*1000</f>
        <v>6115333.086</v>
      </c>
      <c r="D30" s="37" t="s">
        <v>234</v>
      </c>
      <c r="E30" s="1" t="s">
        <v>252</v>
      </c>
      <c r="F30" s="1" t="n">
        <v>6115.333086</v>
      </c>
      <c r="G30" s="37" t="n">
        <v>2019</v>
      </c>
      <c r="H30" s="1" t="n">
        <v>5</v>
      </c>
      <c r="I30" s="1" t="s">
        <v>307</v>
      </c>
      <c r="J30" s="1" t="s">
        <v>246</v>
      </c>
    </row>
    <row r="31" customFormat="false" ht="13.8" hidden="false" customHeight="false" outlineLevel="0" collapsed="false">
      <c r="A31" s="1" t="str">
        <f aca="false">IF(J31="DIESEL", "D", "G")</f>
        <v>D</v>
      </c>
      <c r="B31" s="1" t="n">
        <v>0.84</v>
      </c>
      <c r="C31" s="1" t="n">
        <f aca="false">F31*1000</f>
        <v>6037732.14</v>
      </c>
      <c r="D31" s="37" t="s">
        <v>234</v>
      </c>
      <c r="E31" s="1" t="s">
        <v>252</v>
      </c>
      <c r="F31" s="1" t="n">
        <v>6037.73214</v>
      </c>
      <c r="G31" s="37" t="n">
        <v>2019</v>
      </c>
      <c r="H31" s="1" t="n">
        <v>6</v>
      </c>
      <c r="I31" s="1" t="s">
        <v>308</v>
      </c>
      <c r="J31" s="1" t="s">
        <v>246</v>
      </c>
    </row>
    <row r="32" customFormat="false" ht="13.8" hidden="false" customHeight="false" outlineLevel="0" collapsed="false">
      <c r="A32" s="1" t="str">
        <f aca="false">IF(J32="DIESEL", "D", "G")</f>
        <v>D</v>
      </c>
      <c r="B32" s="1" t="n">
        <v>0.84</v>
      </c>
      <c r="C32" s="1" t="n">
        <f aca="false">F32*1000</f>
        <v>6461698.284</v>
      </c>
      <c r="D32" s="37" t="s">
        <v>234</v>
      </c>
      <c r="E32" s="1" t="s">
        <v>252</v>
      </c>
      <c r="F32" s="1" t="n">
        <v>6461.698284</v>
      </c>
      <c r="G32" s="37" t="n">
        <v>2019</v>
      </c>
      <c r="H32" s="1" t="n">
        <v>7</v>
      </c>
      <c r="I32" s="1" t="s">
        <v>309</v>
      </c>
      <c r="J32" s="1" t="s">
        <v>246</v>
      </c>
    </row>
    <row r="33" customFormat="false" ht="13.8" hidden="false" customHeight="false" outlineLevel="0" collapsed="false">
      <c r="A33" s="1" t="str">
        <f aca="false">IF(J33="DIESEL", "D", "G")</f>
        <v>D</v>
      </c>
      <c r="B33" s="1" t="n">
        <v>0.84</v>
      </c>
      <c r="C33" s="1" t="n">
        <f aca="false">F33*1000</f>
        <v>6989763.258</v>
      </c>
      <c r="D33" s="37" t="s">
        <v>234</v>
      </c>
      <c r="E33" s="1" t="s">
        <v>252</v>
      </c>
      <c r="F33" s="1" t="n">
        <v>6989.763258</v>
      </c>
      <c r="G33" s="37" t="n">
        <v>2019</v>
      </c>
      <c r="H33" s="1" t="n">
        <v>8</v>
      </c>
      <c r="I33" s="1" t="s">
        <v>310</v>
      </c>
      <c r="J33" s="1" t="s">
        <v>246</v>
      </c>
    </row>
    <row r="34" customFormat="false" ht="13.8" hidden="false" customHeight="false" outlineLevel="0" collapsed="false">
      <c r="A34" s="1" t="str">
        <f aca="false">IF(J34="DIESEL", "D", "G")</f>
        <v>D</v>
      </c>
      <c r="B34" s="1" t="n">
        <v>0.84</v>
      </c>
      <c r="C34" s="1" t="n">
        <f aca="false">F34*1000</f>
        <v>5621336.82</v>
      </c>
      <c r="D34" s="37" t="s">
        <v>234</v>
      </c>
      <c r="E34" s="1" t="s">
        <v>252</v>
      </c>
      <c r="F34" s="1" t="n">
        <v>5621.33682</v>
      </c>
      <c r="G34" s="37" t="n">
        <v>2019</v>
      </c>
      <c r="H34" s="1" t="n">
        <v>9</v>
      </c>
      <c r="I34" s="1" t="s">
        <v>311</v>
      </c>
      <c r="J34" s="1" t="s">
        <v>246</v>
      </c>
    </row>
    <row r="35" customFormat="false" ht="13.8" hidden="false" customHeight="false" outlineLevel="0" collapsed="false">
      <c r="A35" s="1" t="str">
        <f aca="false">IF(J35="DIESEL", "D", "G")</f>
        <v>D</v>
      </c>
      <c r="B35" s="1" t="n">
        <v>0.84</v>
      </c>
      <c r="C35" s="1" t="n">
        <f aca="false">F35*1000</f>
        <v>4312841.024784</v>
      </c>
      <c r="D35" s="37" t="s">
        <v>234</v>
      </c>
      <c r="E35" s="1" t="s">
        <v>252</v>
      </c>
      <c r="F35" s="1" t="n">
        <v>4312.841024784</v>
      </c>
      <c r="G35" s="37" t="n">
        <v>2019</v>
      </c>
      <c r="H35" s="1" t="n">
        <v>10</v>
      </c>
      <c r="I35" s="1" t="s">
        <v>312</v>
      </c>
      <c r="J35" s="1" t="s">
        <v>246</v>
      </c>
    </row>
    <row r="36" customFormat="false" ht="13.8" hidden="false" customHeight="false" outlineLevel="0" collapsed="false">
      <c r="A36" s="1" t="str">
        <f aca="false">IF(J36="DIESEL", "D", "G")</f>
        <v>D</v>
      </c>
      <c r="B36" s="1" t="n">
        <v>0.84</v>
      </c>
      <c r="C36" s="1" t="n">
        <f aca="false">F36*1000</f>
        <v>5380963.158</v>
      </c>
      <c r="D36" s="37" t="s">
        <v>234</v>
      </c>
      <c r="E36" s="1" t="s">
        <v>252</v>
      </c>
      <c r="F36" s="1" t="n">
        <v>5380.963158</v>
      </c>
      <c r="G36" s="37" t="n">
        <v>2019</v>
      </c>
      <c r="H36" s="1" t="n">
        <v>11</v>
      </c>
      <c r="I36" s="1" t="s">
        <v>313</v>
      </c>
      <c r="J36" s="1" t="s">
        <v>246</v>
      </c>
    </row>
    <row r="37" customFormat="false" ht="13.8" hidden="false" customHeight="false" outlineLevel="0" collapsed="false">
      <c r="A37" s="1" t="str">
        <f aca="false">IF(J37="DIESEL", "D", "G")</f>
        <v>D</v>
      </c>
      <c r="B37" s="1" t="n">
        <v>0.84</v>
      </c>
      <c r="C37" s="1" t="n">
        <f aca="false">F37*1000</f>
        <v>5835212.598</v>
      </c>
      <c r="D37" s="37" t="s">
        <v>234</v>
      </c>
      <c r="E37" s="1" t="s">
        <v>252</v>
      </c>
      <c r="F37" s="1" t="n">
        <v>5835.212598</v>
      </c>
      <c r="G37" s="37" t="n">
        <v>2019</v>
      </c>
      <c r="H37" s="1" t="n">
        <v>12</v>
      </c>
      <c r="I37" s="1" t="s">
        <v>314</v>
      </c>
      <c r="J37" s="1" t="s">
        <v>246</v>
      </c>
    </row>
    <row r="38" customFormat="false" ht="13.8" hidden="false" customHeight="false" outlineLevel="0" collapsed="false">
      <c r="A38" s="1" t="str">
        <f aca="false">IF(J38="DIESEL", "D", "G")</f>
        <v>D</v>
      </c>
      <c r="B38" s="1" t="n">
        <v>0.84</v>
      </c>
      <c r="C38" s="1" t="n">
        <f aca="false">F38*1000</f>
        <v>6041824.170372</v>
      </c>
      <c r="D38" s="37" t="s">
        <v>234</v>
      </c>
      <c r="E38" s="1" t="s">
        <v>250</v>
      </c>
      <c r="F38" s="1" t="n">
        <v>6041.824170372</v>
      </c>
      <c r="G38" s="37" t="n">
        <v>2019</v>
      </c>
      <c r="H38" s="1" t="n">
        <v>1</v>
      </c>
      <c r="I38" s="1" t="s">
        <v>303</v>
      </c>
      <c r="J38" s="1" t="s">
        <v>246</v>
      </c>
    </row>
    <row r="39" customFormat="false" ht="13.8" hidden="false" customHeight="false" outlineLevel="0" collapsed="false">
      <c r="A39" s="1" t="str">
        <f aca="false">IF(J39="DIESEL", "D", "G")</f>
        <v>D</v>
      </c>
      <c r="B39" s="1" t="n">
        <v>0.84</v>
      </c>
      <c r="C39" s="1" t="n">
        <f aca="false">F39*1000</f>
        <v>6041483.483292</v>
      </c>
      <c r="D39" s="37" t="s">
        <v>234</v>
      </c>
      <c r="E39" s="1" t="s">
        <v>250</v>
      </c>
      <c r="F39" s="1" t="n">
        <v>6041.483483292</v>
      </c>
      <c r="G39" s="37" t="n">
        <v>2019</v>
      </c>
      <c r="H39" s="1" t="n">
        <v>2</v>
      </c>
      <c r="I39" s="1" t="s">
        <v>304</v>
      </c>
      <c r="J39" s="1" t="s">
        <v>246</v>
      </c>
    </row>
    <row r="40" customFormat="false" ht="13.8" hidden="false" customHeight="false" outlineLevel="0" collapsed="false">
      <c r="A40" s="1" t="str">
        <f aca="false">IF(J40="DIESEL", "D", "G")</f>
        <v>D</v>
      </c>
      <c r="B40" s="1" t="n">
        <v>0.84</v>
      </c>
      <c r="C40" s="1" t="n">
        <f aca="false">F40*1000</f>
        <v>6147122.975976</v>
      </c>
      <c r="D40" s="37" t="s">
        <v>234</v>
      </c>
      <c r="E40" s="1" t="s">
        <v>250</v>
      </c>
      <c r="F40" s="1" t="n">
        <v>6147.122975976</v>
      </c>
      <c r="G40" s="37" t="n">
        <v>2019</v>
      </c>
      <c r="H40" s="1" t="n">
        <v>3</v>
      </c>
      <c r="I40" s="1" t="s">
        <v>305</v>
      </c>
      <c r="J40" s="1" t="s">
        <v>246</v>
      </c>
    </row>
    <row r="41" customFormat="false" ht="13.8" hidden="false" customHeight="false" outlineLevel="0" collapsed="false">
      <c r="A41" s="1" t="str">
        <f aca="false">IF(J41="DIESEL", "D", "G")</f>
        <v>D</v>
      </c>
      <c r="B41" s="1" t="n">
        <v>0.84</v>
      </c>
      <c r="C41" s="1" t="n">
        <f aca="false">F41*1000</f>
        <v>6474875.303172</v>
      </c>
      <c r="D41" s="37" t="s">
        <v>234</v>
      </c>
      <c r="E41" s="1" t="s">
        <v>250</v>
      </c>
      <c r="F41" s="1" t="n">
        <v>6474.875303172</v>
      </c>
      <c r="G41" s="37" t="n">
        <v>2019</v>
      </c>
      <c r="H41" s="1" t="n">
        <v>4</v>
      </c>
      <c r="I41" s="1" t="s">
        <v>306</v>
      </c>
      <c r="J41" s="1" t="s">
        <v>246</v>
      </c>
    </row>
    <row r="42" customFormat="false" ht="13.8" hidden="false" customHeight="false" outlineLevel="0" collapsed="false">
      <c r="A42" s="1" t="str">
        <f aca="false">IF(J42="DIESEL", "D", "G")</f>
        <v>D</v>
      </c>
      <c r="B42" s="1" t="n">
        <v>0.84</v>
      </c>
      <c r="C42" s="1" t="n">
        <f aca="false">F42*1000</f>
        <v>6699974.827752</v>
      </c>
      <c r="D42" s="37" t="s">
        <v>234</v>
      </c>
      <c r="E42" s="1" t="s">
        <v>250</v>
      </c>
      <c r="F42" s="1" t="n">
        <v>6699.974827752</v>
      </c>
      <c r="G42" s="37" t="n">
        <v>2019</v>
      </c>
      <c r="H42" s="1" t="n">
        <v>5</v>
      </c>
      <c r="I42" s="1" t="s">
        <v>307</v>
      </c>
      <c r="J42" s="1" t="s">
        <v>246</v>
      </c>
    </row>
    <row r="43" customFormat="false" ht="13.8" hidden="false" customHeight="false" outlineLevel="0" collapsed="false">
      <c r="A43" s="1" t="str">
        <f aca="false">IF(J43="DIESEL", "D", "G")</f>
        <v>D</v>
      </c>
      <c r="B43" s="1" t="n">
        <v>0.84</v>
      </c>
      <c r="C43" s="1" t="n">
        <f aca="false">F43*1000</f>
        <v>6634578.05004</v>
      </c>
      <c r="D43" s="37" t="s">
        <v>234</v>
      </c>
      <c r="E43" s="1" t="s">
        <v>250</v>
      </c>
      <c r="F43" s="1" t="n">
        <v>6634.57805004</v>
      </c>
      <c r="G43" s="37" t="n">
        <v>2019</v>
      </c>
      <c r="H43" s="1" t="n">
        <v>6</v>
      </c>
      <c r="I43" s="1" t="s">
        <v>308</v>
      </c>
      <c r="J43" s="1" t="s">
        <v>246</v>
      </c>
    </row>
    <row r="44" customFormat="false" ht="13.8" hidden="false" customHeight="false" outlineLevel="0" collapsed="false">
      <c r="A44" s="1" t="str">
        <f aca="false">IF(J44="DIESEL", "D", "G")</f>
        <v>D</v>
      </c>
      <c r="B44" s="1" t="n">
        <v>0.84</v>
      </c>
      <c r="C44" s="1" t="n">
        <f aca="false">F44*1000</f>
        <v>8088403.38276</v>
      </c>
      <c r="D44" s="37" t="s">
        <v>234</v>
      </c>
      <c r="E44" s="1" t="s">
        <v>250</v>
      </c>
      <c r="F44" s="1" t="n">
        <v>8088.40338276</v>
      </c>
      <c r="G44" s="37" t="n">
        <v>2019</v>
      </c>
      <c r="H44" s="1" t="n">
        <v>7</v>
      </c>
      <c r="I44" s="1" t="s">
        <v>309</v>
      </c>
      <c r="J44" s="1" t="s">
        <v>246</v>
      </c>
    </row>
    <row r="45" customFormat="false" ht="13.8" hidden="false" customHeight="false" outlineLevel="0" collapsed="false">
      <c r="A45" s="1" t="str">
        <f aca="false">IF(J45="DIESEL", "D", "G")</f>
        <v>D</v>
      </c>
      <c r="B45" s="1" t="n">
        <v>0.84</v>
      </c>
      <c r="C45" s="1" t="n">
        <f aca="false">F45*1000</f>
        <v>8522476.5768</v>
      </c>
      <c r="D45" s="37" t="s">
        <v>234</v>
      </c>
      <c r="E45" s="1" t="s">
        <v>250</v>
      </c>
      <c r="F45" s="1" t="n">
        <v>8522.4765768</v>
      </c>
      <c r="G45" s="37" t="n">
        <v>2019</v>
      </c>
      <c r="H45" s="1" t="n">
        <v>8</v>
      </c>
      <c r="I45" s="1" t="s">
        <v>310</v>
      </c>
      <c r="J45" s="1" t="s">
        <v>246</v>
      </c>
    </row>
    <row r="46" customFormat="false" ht="13.8" hidden="false" customHeight="false" outlineLevel="0" collapsed="false">
      <c r="A46" s="1" t="str">
        <f aca="false">IF(J46="DIESEL", "D", "G")</f>
        <v>D</v>
      </c>
      <c r="B46" s="1" t="n">
        <v>0.84</v>
      </c>
      <c r="C46" s="1" t="n">
        <f aca="false">F46*1000</f>
        <v>7923684.964992</v>
      </c>
      <c r="D46" s="37" t="s">
        <v>234</v>
      </c>
      <c r="E46" s="1" t="s">
        <v>250</v>
      </c>
      <c r="F46" s="1" t="n">
        <v>7923.684964992</v>
      </c>
      <c r="G46" s="37" t="n">
        <v>2019</v>
      </c>
      <c r="H46" s="1" t="n">
        <v>9</v>
      </c>
      <c r="I46" s="1" t="s">
        <v>311</v>
      </c>
      <c r="J46" s="1" t="s">
        <v>246</v>
      </c>
    </row>
    <row r="47" customFormat="false" ht="13.8" hidden="false" customHeight="false" outlineLevel="0" collapsed="false">
      <c r="A47" s="1" t="str">
        <f aca="false">IF(J47="DIESEL", "D", "G")</f>
        <v>D</v>
      </c>
      <c r="B47" s="1" t="n">
        <v>0.84</v>
      </c>
      <c r="C47" s="1" t="n">
        <f aca="false">F47*1000</f>
        <v>7340504.392272</v>
      </c>
      <c r="D47" s="37" t="s">
        <v>234</v>
      </c>
      <c r="E47" s="1" t="s">
        <v>250</v>
      </c>
      <c r="F47" s="1" t="n">
        <v>7340.504392272</v>
      </c>
      <c r="G47" s="37" t="n">
        <v>2019</v>
      </c>
      <c r="H47" s="1" t="n">
        <v>10</v>
      </c>
      <c r="I47" s="1" t="s">
        <v>312</v>
      </c>
      <c r="J47" s="1" t="s">
        <v>246</v>
      </c>
    </row>
    <row r="48" customFormat="false" ht="13.8" hidden="false" customHeight="false" outlineLevel="0" collapsed="false">
      <c r="A48" s="1" t="str">
        <f aca="false">IF(J48="DIESEL", "D", "G")</f>
        <v>D</v>
      </c>
      <c r="B48" s="1" t="n">
        <v>0.84</v>
      </c>
      <c r="C48" s="1" t="n">
        <f aca="false">F48*1000</f>
        <v>7499646.898164</v>
      </c>
      <c r="D48" s="37" t="s">
        <v>234</v>
      </c>
      <c r="E48" s="1" t="s">
        <v>250</v>
      </c>
      <c r="F48" s="1" t="n">
        <v>7499.646898164</v>
      </c>
      <c r="G48" s="37" t="n">
        <v>2019</v>
      </c>
      <c r="H48" s="1" t="n">
        <v>11</v>
      </c>
      <c r="I48" s="1" t="s">
        <v>313</v>
      </c>
      <c r="J48" s="1" t="s">
        <v>246</v>
      </c>
    </row>
    <row r="49" customFormat="false" ht="13.8" hidden="false" customHeight="false" outlineLevel="0" collapsed="false">
      <c r="A49" s="1" t="str">
        <f aca="false">IF(J49="DIESEL", "D", "G")</f>
        <v>D</v>
      </c>
      <c r="B49" s="1" t="n">
        <v>0.84</v>
      </c>
      <c r="C49" s="1" t="n">
        <f aca="false">F49*1000</f>
        <v>7688716.871328</v>
      </c>
      <c r="D49" s="37" t="s">
        <v>234</v>
      </c>
      <c r="E49" s="1" t="s">
        <v>250</v>
      </c>
      <c r="F49" s="1" t="n">
        <v>7688.716871328</v>
      </c>
      <c r="G49" s="37" t="n">
        <v>2019</v>
      </c>
      <c r="H49" s="1" t="n">
        <v>12</v>
      </c>
      <c r="I49" s="1" t="s">
        <v>314</v>
      </c>
      <c r="J49" s="1" t="s">
        <v>246</v>
      </c>
    </row>
    <row r="50" customFormat="false" ht="13.8" hidden="false" customHeight="false" outlineLevel="0" collapsed="false">
      <c r="A50" s="1" t="str">
        <f aca="false">IF(J50="DIESEL", "D", "G")</f>
        <v>D</v>
      </c>
      <c r="B50" s="1" t="n">
        <v>0.84</v>
      </c>
      <c r="C50" s="1" t="n">
        <f aca="false">F50*1000</f>
        <v>10038129.043716</v>
      </c>
      <c r="D50" s="37" t="s">
        <v>234</v>
      </c>
      <c r="E50" s="1" t="s">
        <v>254</v>
      </c>
      <c r="F50" s="1" t="n">
        <v>10038.129043716</v>
      </c>
      <c r="G50" s="37" t="n">
        <v>2019</v>
      </c>
      <c r="H50" s="1" t="n">
        <v>1</v>
      </c>
      <c r="I50" s="1" t="s">
        <v>303</v>
      </c>
      <c r="J50" s="1" t="s">
        <v>246</v>
      </c>
    </row>
    <row r="51" customFormat="false" ht="13.8" hidden="false" customHeight="false" outlineLevel="0" collapsed="false">
      <c r="A51" s="1" t="str">
        <f aca="false">IF(J51="DIESEL", "D", "G")</f>
        <v>D</v>
      </c>
      <c r="B51" s="1" t="n">
        <v>0.84</v>
      </c>
      <c r="C51" s="1" t="n">
        <f aca="false">F51*1000</f>
        <v>9046960.551048</v>
      </c>
      <c r="D51" s="37" t="s">
        <v>234</v>
      </c>
      <c r="E51" s="1" t="s">
        <v>254</v>
      </c>
      <c r="F51" s="1" t="n">
        <v>9046.960551048</v>
      </c>
      <c r="G51" s="37" t="n">
        <v>2019</v>
      </c>
      <c r="H51" s="1" t="n">
        <v>2</v>
      </c>
      <c r="I51" s="1" t="s">
        <v>304</v>
      </c>
      <c r="J51" s="1" t="s">
        <v>246</v>
      </c>
    </row>
    <row r="52" customFormat="false" ht="13.8" hidden="false" customHeight="false" outlineLevel="0" collapsed="false">
      <c r="A52" s="1" t="str">
        <f aca="false">IF(J52="DIESEL", "D", "G")</f>
        <v>D</v>
      </c>
      <c r="B52" s="1" t="n">
        <v>0.84</v>
      </c>
      <c r="C52" s="1" t="n">
        <f aca="false">F52*1000</f>
        <v>9239558.528196</v>
      </c>
      <c r="D52" s="37" t="s">
        <v>234</v>
      </c>
      <c r="E52" s="1" t="s">
        <v>254</v>
      </c>
      <c r="F52" s="1" t="n">
        <v>9239.558528196</v>
      </c>
      <c r="G52" s="37" t="n">
        <v>2019</v>
      </c>
      <c r="H52" s="1" t="n">
        <v>3</v>
      </c>
      <c r="I52" s="1" t="s">
        <v>305</v>
      </c>
      <c r="J52" s="1" t="s">
        <v>246</v>
      </c>
    </row>
    <row r="53" customFormat="false" ht="13.8" hidden="false" customHeight="false" outlineLevel="0" collapsed="false">
      <c r="A53" s="1" t="str">
        <f aca="false">IF(J53="DIESEL", "D", "G")</f>
        <v>D</v>
      </c>
      <c r="B53" s="1" t="n">
        <v>0.84</v>
      </c>
      <c r="C53" s="1" t="n">
        <f aca="false">F53*1000</f>
        <v>9762255.78798</v>
      </c>
      <c r="D53" s="37" t="s">
        <v>234</v>
      </c>
      <c r="E53" s="1" t="s">
        <v>254</v>
      </c>
      <c r="F53" s="1" t="n">
        <v>9762.25578798</v>
      </c>
      <c r="G53" s="37" t="n">
        <v>2019</v>
      </c>
      <c r="H53" s="1" t="n">
        <v>4</v>
      </c>
      <c r="I53" s="1" t="s">
        <v>306</v>
      </c>
      <c r="J53" s="1" t="s">
        <v>246</v>
      </c>
    </row>
    <row r="54" customFormat="false" ht="13.8" hidden="false" customHeight="false" outlineLevel="0" collapsed="false">
      <c r="A54" s="1" t="str">
        <f aca="false">IF(J54="DIESEL", "D", "G")</f>
        <v>D</v>
      </c>
      <c r="B54" s="1" t="n">
        <v>0.84</v>
      </c>
      <c r="C54" s="1" t="n">
        <f aca="false">F54*1000</f>
        <v>9984769.876164</v>
      </c>
      <c r="D54" s="37" t="s">
        <v>234</v>
      </c>
      <c r="E54" s="1" t="s">
        <v>254</v>
      </c>
      <c r="F54" s="1" t="n">
        <v>9984.769876164</v>
      </c>
      <c r="G54" s="37" t="n">
        <v>2019</v>
      </c>
      <c r="H54" s="1" t="n">
        <v>5</v>
      </c>
      <c r="I54" s="1" t="s">
        <v>307</v>
      </c>
      <c r="J54" s="1" t="s">
        <v>246</v>
      </c>
    </row>
    <row r="55" customFormat="false" ht="13.8" hidden="false" customHeight="false" outlineLevel="0" collapsed="false">
      <c r="A55" s="1" t="str">
        <f aca="false">IF(J55="DIESEL", "D", "G")</f>
        <v>D</v>
      </c>
      <c r="B55" s="1" t="n">
        <v>0.84</v>
      </c>
      <c r="C55" s="1" t="n">
        <f aca="false">F55*1000</f>
        <v>8773763.581596</v>
      </c>
      <c r="D55" s="37" t="s">
        <v>234</v>
      </c>
      <c r="E55" s="1" t="s">
        <v>254</v>
      </c>
      <c r="F55" s="1" t="n">
        <v>8773.763581596</v>
      </c>
      <c r="G55" s="37" t="n">
        <v>2019</v>
      </c>
      <c r="H55" s="1" t="n">
        <v>6</v>
      </c>
      <c r="I55" s="1" t="s">
        <v>308</v>
      </c>
      <c r="J55" s="1" t="s">
        <v>246</v>
      </c>
    </row>
    <row r="56" customFormat="false" ht="13.8" hidden="false" customHeight="false" outlineLevel="0" collapsed="false">
      <c r="A56" s="1" t="str">
        <f aca="false">IF(J56="DIESEL", "D", "G")</f>
        <v>D</v>
      </c>
      <c r="B56" s="1" t="n">
        <v>0.84</v>
      </c>
      <c r="C56" s="1" t="n">
        <f aca="false">F56*1000</f>
        <v>9920444.370048</v>
      </c>
      <c r="D56" s="37" t="s">
        <v>234</v>
      </c>
      <c r="E56" s="1" t="s">
        <v>254</v>
      </c>
      <c r="F56" s="1" t="n">
        <v>9920.444370048</v>
      </c>
      <c r="G56" s="37" t="n">
        <v>2019</v>
      </c>
      <c r="H56" s="1" t="n">
        <v>7</v>
      </c>
      <c r="I56" s="1" t="s">
        <v>309</v>
      </c>
      <c r="J56" s="1" t="s">
        <v>246</v>
      </c>
    </row>
    <row r="57" customFormat="false" ht="13.8" hidden="false" customHeight="false" outlineLevel="0" collapsed="false">
      <c r="A57" s="1" t="str">
        <f aca="false">IF(J57="DIESEL", "D", "G")</f>
        <v>D</v>
      </c>
      <c r="B57" s="1" t="n">
        <v>0.84</v>
      </c>
      <c r="C57" s="1" t="n">
        <f aca="false">F57*1000</f>
        <v>10002920.926704</v>
      </c>
      <c r="D57" s="37" t="s">
        <v>234</v>
      </c>
      <c r="E57" s="1" t="s">
        <v>254</v>
      </c>
      <c r="F57" s="1" t="n">
        <v>10002.920926704</v>
      </c>
      <c r="G57" s="37" t="n">
        <v>2019</v>
      </c>
      <c r="H57" s="1" t="n">
        <v>8</v>
      </c>
      <c r="I57" s="1" t="s">
        <v>310</v>
      </c>
      <c r="J57" s="1" t="s">
        <v>246</v>
      </c>
    </row>
    <row r="58" customFormat="false" ht="13.8" hidden="false" customHeight="false" outlineLevel="0" collapsed="false">
      <c r="A58" s="1" t="str">
        <f aca="false">IF(J58="DIESEL", "D", "G")</f>
        <v>D</v>
      </c>
      <c r="B58" s="1" t="n">
        <v>0.84</v>
      </c>
      <c r="C58" s="1" t="n">
        <f aca="false">F58*1000</f>
        <v>9265689.227232</v>
      </c>
      <c r="D58" s="37" t="s">
        <v>234</v>
      </c>
      <c r="E58" s="1" t="s">
        <v>254</v>
      </c>
      <c r="F58" s="1" t="n">
        <v>9265.689227232</v>
      </c>
      <c r="G58" s="37" t="n">
        <v>2019</v>
      </c>
      <c r="H58" s="1" t="n">
        <v>9</v>
      </c>
      <c r="I58" s="1" t="s">
        <v>311</v>
      </c>
      <c r="J58" s="1" t="s">
        <v>246</v>
      </c>
    </row>
    <row r="59" customFormat="false" ht="13.8" hidden="false" customHeight="false" outlineLevel="0" collapsed="false">
      <c r="A59" s="1" t="str">
        <f aca="false">IF(J59="DIESEL", "D", "G")</f>
        <v>D</v>
      </c>
      <c r="B59" s="1" t="n">
        <v>0.84</v>
      </c>
      <c r="C59" s="1" t="n">
        <f aca="false">F59*1000</f>
        <v>8002572.951072</v>
      </c>
      <c r="D59" s="37" t="s">
        <v>234</v>
      </c>
      <c r="E59" s="1" t="s">
        <v>254</v>
      </c>
      <c r="F59" s="1" t="n">
        <v>8002.572951072</v>
      </c>
      <c r="G59" s="37" t="n">
        <v>2019</v>
      </c>
      <c r="H59" s="1" t="n">
        <v>10</v>
      </c>
      <c r="I59" s="1" t="s">
        <v>312</v>
      </c>
      <c r="J59" s="1" t="s">
        <v>246</v>
      </c>
    </row>
    <row r="60" customFormat="false" ht="13.8" hidden="false" customHeight="false" outlineLevel="0" collapsed="false">
      <c r="A60" s="1" t="str">
        <f aca="false">IF(J60="DIESEL", "D", "G")</f>
        <v>D</v>
      </c>
      <c r="B60" s="1" t="n">
        <v>0.84</v>
      </c>
      <c r="C60" s="1" t="n">
        <f aca="false">F60*1000</f>
        <v>9837316.722528</v>
      </c>
      <c r="D60" s="37" t="s">
        <v>234</v>
      </c>
      <c r="E60" s="1" t="s">
        <v>254</v>
      </c>
      <c r="F60" s="1" t="n">
        <v>9837.316722528</v>
      </c>
      <c r="G60" s="37" t="n">
        <v>2019</v>
      </c>
      <c r="H60" s="1" t="n">
        <v>11</v>
      </c>
      <c r="I60" s="1" t="s">
        <v>313</v>
      </c>
      <c r="J60" s="1" t="s">
        <v>246</v>
      </c>
    </row>
    <row r="61" customFormat="false" ht="13.8" hidden="false" customHeight="false" outlineLevel="0" collapsed="false">
      <c r="A61" s="1" t="str">
        <f aca="false">IF(J61="DIESEL", "D", "G")</f>
        <v>D</v>
      </c>
      <c r="B61" s="1" t="n">
        <v>0.84</v>
      </c>
      <c r="C61" s="1" t="n">
        <f aca="false">F61*1000</f>
        <v>9867134.412852</v>
      </c>
      <c r="D61" s="37" t="s">
        <v>234</v>
      </c>
      <c r="E61" s="1" t="s">
        <v>254</v>
      </c>
      <c r="F61" s="1" t="n">
        <v>9867.134412852</v>
      </c>
      <c r="G61" s="37" t="n">
        <v>2019</v>
      </c>
      <c r="H61" s="1" t="n">
        <v>12</v>
      </c>
      <c r="I61" s="1" t="s">
        <v>314</v>
      </c>
      <c r="J61" s="1" t="s">
        <v>246</v>
      </c>
    </row>
    <row r="62" customFormat="false" ht="13.8" hidden="false" customHeight="false" outlineLevel="0" collapsed="false">
      <c r="A62" s="1" t="str">
        <f aca="false">IF(J62="DIESEL", "D", "G")</f>
        <v>D</v>
      </c>
      <c r="B62" s="1" t="n">
        <v>0.84</v>
      </c>
      <c r="C62" s="1" t="n">
        <f aca="false">F62*1000</f>
        <v>11001527.753952</v>
      </c>
      <c r="D62" s="37" t="s">
        <v>234</v>
      </c>
      <c r="E62" s="1" t="s">
        <v>256</v>
      </c>
      <c r="F62" s="1" t="n">
        <v>11001.527753952</v>
      </c>
      <c r="G62" s="37" t="n">
        <v>2019</v>
      </c>
      <c r="H62" s="1" t="n">
        <v>1</v>
      </c>
      <c r="I62" s="1" t="s">
        <v>303</v>
      </c>
      <c r="J62" s="1" t="s">
        <v>246</v>
      </c>
    </row>
    <row r="63" customFormat="false" ht="13.8" hidden="false" customHeight="false" outlineLevel="0" collapsed="false">
      <c r="A63" s="1" t="str">
        <f aca="false">IF(J63="DIESEL", "D", "G")</f>
        <v>D</v>
      </c>
      <c r="B63" s="1" t="n">
        <v>0.84</v>
      </c>
      <c r="C63" s="1" t="n">
        <f aca="false">F63*1000</f>
        <v>10314763.167264</v>
      </c>
      <c r="D63" s="37" t="s">
        <v>234</v>
      </c>
      <c r="E63" s="1" t="s">
        <v>256</v>
      </c>
      <c r="F63" s="1" t="n">
        <v>10314.763167264</v>
      </c>
      <c r="G63" s="37" t="n">
        <v>2019</v>
      </c>
      <c r="H63" s="1" t="n">
        <v>2</v>
      </c>
      <c r="I63" s="1" t="s">
        <v>304</v>
      </c>
      <c r="J63" s="1" t="s">
        <v>246</v>
      </c>
    </row>
    <row r="64" customFormat="false" ht="13.8" hidden="false" customHeight="false" outlineLevel="0" collapsed="false">
      <c r="A64" s="1" t="str">
        <f aca="false">IF(J64="DIESEL", "D", "G")</f>
        <v>D</v>
      </c>
      <c r="B64" s="1" t="n">
        <v>0.84</v>
      </c>
      <c r="C64" s="1" t="n">
        <f aca="false">F64*1000</f>
        <v>10472766.264144</v>
      </c>
      <c r="D64" s="37" t="s">
        <v>234</v>
      </c>
      <c r="E64" s="1" t="s">
        <v>256</v>
      </c>
      <c r="F64" s="1" t="n">
        <v>10472.766264144</v>
      </c>
      <c r="G64" s="37" t="n">
        <v>2019</v>
      </c>
      <c r="H64" s="1" t="n">
        <v>3</v>
      </c>
      <c r="I64" s="1" t="s">
        <v>305</v>
      </c>
      <c r="J64" s="1" t="s">
        <v>246</v>
      </c>
    </row>
    <row r="65" customFormat="false" ht="13.8" hidden="false" customHeight="false" outlineLevel="0" collapsed="false">
      <c r="A65" s="1" t="str">
        <f aca="false">IF(J65="DIESEL", "D", "G")</f>
        <v>D</v>
      </c>
      <c r="B65" s="1" t="n">
        <v>0.84</v>
      </c>
      <c r="C65" s="1" t="n">
        <f aca="false">F65*1000</f>
        <v>10503783.930072</v>
      </c>
      <c r="D65" s="37" t="s">
        <v>234</v>
      </c>
      <c r="E65" s="1" t="s">
        <v>256</v>
      </c>
      <c r="F65" s="1" t="n">
        <v>10503.783930072</v>
      </c>
      <c r="G65" s="37" t="n">
        <v>2019</v>
      </c>
      <c r="H65" s="1" t="n">
        <v>4</v>
      </c>
      <c r="I65" s="1" t="s">
        <v>306</v>
      </c>
      <c r="J65" s="1" t="s">
        <v>246</v>
      </c>
    </row>
    <row r="66" customFormat="false" ht="13.8" hidden="false" customHeight="false" outlineLevel="0" collapsed="false">
      <c r="A66" s="1" t="str">
        <f aca="false">IF(J66="DIESEL", "D", "G")</f>
        <v>D</v>
      </c>
      <c r="B66" s="1" t="n">
        <v>0.84</v>
      </c>
      <c r="C66" s="1" t="n">
        <f aca="false">F66*1000</f>
        <v>10909648.233888</v>
      </c>
      <c r="D66" s="37" t="s">
        <v>234</v>
      </c>
      <c r="E66" s="1" t="s">
        <v>256</v>
      </c>
      <c r="F66" s="1" t="n">
        <v>10909.648233888</v>
      </c>
      <c r="G66" s="37" t="n">
        <v>2019</v>
      </c>
      <c r="H66" s="1" t="n">
        <v>5</v>
      </c>
      <c r="I66" s="1" t="s">
        <v>307</v>
      </c>
      <c r="J66" s="1" t="s">
        <v>246</v>
      </c>
    </row>
    <row r="67" customFormat="false" ht="13.8" hidden="false" customHeight="false" outlineLevel="0" collapsed="false">
      <c r="A67" s="1" t="str">
        <f aca="false">IF(J67="DIESEL", "D", "G")</f>
        <v>D</v>
      </c>
      <c r="B67" s="1" t="n">
        <v>0.84</v>
      </c>
      <c r="C67" s="1" t="n">
        <f aca="false">F67*1000</f>
        <v>10239524.318352</v>
      </c>
      <c r="D67" s="37" t="s">
        <v>234</v>
      </c>
      <c r="E67" s="1" t="s">
        <v>256</v>
      </c>
      <c r="F67" s="1" t="n">
        <v>10239.524318352</v>
      </c>
      <c r="G67" s="37" t="n">
        <v>2019</v>
      </c>
      <c r="H67" s="1" t="n">
        <v>6</v>
      </c>
      <c r="I67" s="1" t="s">
        <v>308</v>
      </c>
      <c r="J67" s="1" t="s">
        <v>246</v>
      </c>
    </row>
    <row r="68" customFormat="false" ht="13.8" hidden="false" customHeight="false" outlineLevel="0" collapsed="false">
      <c r="A68" s="1" t="str">
        <f aca="false">IF(J68="DIESEL", "D", "G")</f>
        <v>D</v>
      </c>
      <c r="B68" s="1" t="n">
        <v>0.84</v>
      </c>
      <c r="C68" s="1" t="n">
        <f aca="false">F68*1000</f>
        <v>11375208.484944</v>
      </c>
      <c r="D68" s="37" t="s">
        <v>234</v>
      </c>
      <c r="E68" s="1" t="s">
        <v>256</v>
      </c>
      <c r="F68" s="1" t="n">
        <v>11375.208484944</v>
      </c>
      <c r="G68" s="37" t="n">
        <v>2019</v>
      </c>
      <c r="H68" s="1" t="n">
        <v>7</v>
      </c>
      <c r="I68" s="1" t="s">
        <v>309</v>
      </c>
      <c r="J68" s="1" t="s">
        <v>246</v>
      </c>
    </row>
    <row r="69" customFormat="false" ht="13.8" hidden="false" customHeight="false" outlineLevel="0" collapsed="false">
      <c r="A69" s="1" t="str">
        <f aca="false">IF(J69="DIESEL", "D", "G")</f>
        <v>D</v>
      </c>
      <c r="B69" s="1" t="n">
        <v>0.84</v>
      </c>
      <c r="C69" s="1" t="n">
        <f aca="false">F69*1000</f>
        <v>11558588.983872</v>
      </c>
      <c r="D69" s="37" t="s">
        <v>234</v>
      </c>
      <c r="E69" s="1" t="s">
        <v>256</v>
      </c>
      <c r="F69" s="1" t="n">
        <v>11558.588983872</v>
      </c>
      <c r="G69" s="37" t="n">
        <v>2019</v>
      </c>
      <c r="H69" s="1" t="n">
        <v>8</v>
      </c>
      <c r="I69" s="1" t="s">
        <v>310</v>
      </c>
      <c r="J69" s="1" t="s">
        <v>246</v>
      </c>
    </row>
    <row r="70" customFormat="false" ht="13.8" hidden="false" customHeight="false" outlineLevel="0" collapsed="false">
      <c r="A70" s="1" t="str">
        <f aca="false">IF(J70="DIESEL", "D", "G")</f>
        <v>D</v>
      </c>
      <c r="B70" s="1" t="n">
        <v>0.84</v>
      </c>
      <c r="C70" s="1" t="n">
        <f aca="false">F70*1000</f>
        <v>10859953.345152</v>
      </c>
      <c r="D70" s="37" t="s">
        <v>234</v>
      </c>
      <c r="E70" s="1" t="s">
        <v>256</v>
      </c>
      <c r="F70" s="1" t="n">
        <v>10859.953345152</v>
      </c>
      <c r="G70" s="37" t="n">
        <v>2019</v>
      </c>
      <c r="H70" s="1" t="n">
        <v>9</v>
      </c>
      <c r="I70" s="1" t="s">
        <v>311</v>
      </c>
      <c r="J70" s="1" t="s">
        <v>246</v>
      </c>
    </row>
    <row r="71" customFormat="false" ht="13.8" hidden="false" customHeight="false" outlineLevel="0" collapsed="false">
      <c r="A71" s="1" t="str">
        <f aca="false">IF(J71="DIESEL", "D", "G")</f>
        <v>D</v>
      </c>
      <c r="B71" s="1" t="n">
        <v>0.84</v>
      </c>
      <c r="C71" s="1" t="n">
        <f aca="false">F71*1000</f>
        <v>9431051.16504</v>
      </c>
      <c r="D71" s="37" t="s">
        <v>234</v>
      </c>
      <c r="E71" s="1" t="s">
        <v>256</v>
      </c>
      <c r="F71" s="1" t="n">
        <v>9431.05116504</v>
      </c>
      <c r="G71" s="37" t="n">
        <v>2019</v>
      </c>
      <c r="H71" s="1" t="n">
        <v>10</v>
      </c>
      <c r="I71" s="1" t="s">
        <v>312</v>
      </c>
      <c r="J71" s="1" t="s">
        <v>246</v>
      </c>
    </row>
    <row r="72" customFormat="false" ht="13.8" hidden="false" customHeight="false" outlineLevel="0" collapsed="false">
      <c r="A72" s="1" t="str">
        <f aca="false">IF(J72="DIESEL", "D", "G")</f>
        <v>D</v>
      </c>
      <c r="B72" s="1" t="n">
        <v>0.84</v>
      </c>
      <c r="C72" s="1" t="n">
        <f aca="false">F72*1000</f>
        <v>11067954.163728</v>
      </c>
      <c r="D72" s="37" t="s">
        <v>234</v>
      </c>
      <c r="E72" s="1" t="s">
        <v>256</v>
      </c>
      <c r="F72" s="1" t="n">
        <v>11067.954163728</v>
      </c>
      <c r="G72" s="37" t="n">
        <v>2019</v>
      </c>
      <c r="H72" s="1" t="n">
        <v>11</v>
      </c>
      <c r="I72" s="1" t="s">
        <v>313</v>
      </c>
      <c r="J72" s="1" t="s">
        <v>246</v>
      </c>
    </row>
    <row r="73" customFormat="false" ht="13.8" hidden="false" customHeight="false" outlineLevel="0" collapsed="false">
      <c r="A73" s="1" t="str">
        <f aca="false">IF(J73="DIESEL", "D", "G")</f>
        <v>D</v>
      </c>
      <c r="B73" s="1" t="n">
        <v>0.84</v>
      </c>
      <c r="C73" s="1" t="n">
        <f aca="false">F73*1000</f>
        <v>11064922.048716</v>
      </c>
      <c r="D73" s="37" t="s">
        <v>234</v>
      </c>
      <c r="E73" s="1" t="s">
        <v>256</v>
      </c>
      <c r="F73" s="1" t="n">
        <v>11064.922048716</v>
      </c>
      <c r="G73" s="37" t="n">
        <v>2019</v>
      </c>
      <c r="H73" s="1" t="n">
        <v>12</v>
      </c>
      <c r="I73" s="1" t="s">
        <v>314</v>
      </c>
      <c r="J73" s="1" t="s">
        <v>246</v>
      </c>
    </row>
    <row r="74" customFormat="false" ht="13.8" hidden="false" customHeight="false" outlineLevel="0" collapsed="false">
      <c r="A74" s="1" t="str">
        <f aca="false">IF(J74="DIESEL", "D", "G")</f>
        <v>D</v>
      </c>
      <c r="B74" s="1" t="n">
        <v>0.84</v>
      </c>
      <c r="C74" s="1" t="n">
        <f aca="false">F74*1000</f>
        <v>19510005.877176</v>
      </c>
      <c r="D74" s="37" t="s">
        <v>234</v>
      </c>
      <c r="E74" s="1" t="s">
        <v>258</v>
      </c>
      <c r="F74" s="1" t="n">
        <v>19510.005877176</v>
      </c>
      <c r="G74" s="37" t="n">
        <v>2019</v>
      </c>
      <c r="H74" s="1" t="n">
        <v>1</v>
      </c>
      <c r="I74" s="1" t="s">
        <v>303</v>
      </c>
      <c r="J74" s="1" t="s">
        <v>246</v>
      </c>
    </row>
    <row r="75" customFormat="false" ht="13.8" hidden="false" customHeight="false" outlineLevel="0" collapsed="false">
      <c r="A75" s="1" t="str">
        <f aca="false">IF(J75="DIESEL", "D", "G")</f>
        <v>D</v>
      </c>
      <c r="B75" s="1" t="n">
        <v>0.84</v>
      </c>
      <c r="C75" s="1" t="n">
        <f aca="false">F75*1000</f>
        <v>17422987.108392</v>
      </c>
      <c r="D75" s="37" t="s">
        <v>234</v>
      </c>
      <c r="E75" s="1" t="s">
        <v>258</v>
      </c>
      <c r="F75" s="1" t="n">
        <v>17422.987108392</v>
      </c>
      <c r="G75" s="37" t="n">
        <v>2019</v>
      </c>
      <c r="H75" s="1" t="n">
        <v>2</v>
      </c>
      <c r="I75" s="1" t="s">
        <v>304</v>
      </c>
      <c r="J75" s="1" t="s">
        <v>246</v>
      </c>
    </row>
    <row r="76" customFormat="false" ht="13.8" hidden="false" customHeight="false" outlineLevel="0" collapsed="false">
      <c r="A76" s="1" t="str">
        <f aca="false">IF(J76="DIESEL", "D", "G")</f>
        <v>D</v>
      </c>
      <c r="B76" s="1" t="n">
        <v>0.84</v>
      </c>
      <c r="C76" s="1" t="n">
        <f aca="false">F76*1000</f>
        <v>18465387.367068</v>
      </c>
      <c r="D76" s="37" t="s">
        <v>234</v>
      </c>
      <c r="E76" s="1" t="s">
        <v>258</v>
      </c>
      <c r="F76" s="1" t="n">
        <v>18465.387367068</v>
      </c>
      <c r="G76" s="37" t="n">
        <v>2019</v>
      </c>
      <c r="H76" s="1" t="n">
        <v>3</v>
      </c>
      <c r="I76" s="1" t="s">
        <v>305</v>
      </c>
      <c r="J76" s="1" t="s">
        <v>246</v>
      </c>
    </row>
    <row r="77" customFormat="false" ht="13.8" hidden="false" customHeight="false" outlineLevel="0" collapsed="false">
      <c r="A77" s="1" t="str">
        <f aca="false">IF(J77="DIESEL", "D", "G")</f>
        <v>D</v>
      </c>
      <c r="B77" s="1" t="n">
        <v>0.84</v>
      </c>
      <c r="C77" s="1" t="n">
        <f aca="false">F77*1000</f>
        <v>19148044.781736</v>
      </c>
      <c r="D77" s="37" t="s">
        <v>234</v>
      </c>
      <c r="E77" s="1" t="s">
        <v>258</v>
      </c>
      <c r="F77" s="1" t="n">
        <v>19148.044781736</v>
      </c>
      <c r="G77" s="37" t="n">
        <v>2019</v>
      </c>
      <c r="H77" s="1" t="n">
        <v>4</v>
      </c>
      <c r="I77" s="1" t="s">
        <v>306</v>
      </c>
      <c r="J77" s="1" t="s">
        <v>246</v>
      </c>
    </row>
    <row r="78" customFormat="false" ht="13.8" hidden="false" customHeight="false" outlineLevel="0" collapsed="false">
      <c r="A78" s="1" t="str">
        <f aca="false">IF(J78="DIESEL", "D", "G")</f>
        <v>D</v>
      </c>
      <c r="B78" s="1" t="n">
        <v>0.84</v>
      </c>
      <c r="C78" s="1" t="n">
        <f aca="false">F78*1000</f>
        <v>20971174.909176</v>
      </c>
      <c r="D78" s="37" t="s">
        <v>234</v>
      </c>
      <c r="E78" s="1" t="s">
        <v>258</v>
      </c>
      <c r="F78" s="1" t="n">
        <v>20971.174909176</v>
      </c>
      <c r="G78" s="37" t="n">
        <v>2019</v>
      </c>
      <c r="H78" s="1" t="n">
        <v>5</v>
      </c>
      <c r="I78" s="1" t="s">
        <v>307</v>
      </c>
      <c r="J78" s="1" t="s">
        <v>246</v>
      </c>
    </row>
    <row r="79" customFormat="false" ht="13.8" hidden="false" customHeight="false" outlineLevel="0" collapsed="false">
      <c r="A79" s="1" t="str">
        <f aca="false">IF(J79="DIESEL", "D", "G")</f>
        <v>D</v>
      </c>
      <c r="B79" s="1" t="n">
        <v>0.84</v>
      </c>
      <c r="C79" s="1" t="n">
        <f aca="false">F79*1000</f>
        <v>20075292.807372</v>
      </c>
      <c r="D79" s="37" t="s">
        <v>234</v>
      </c>
      <c r="E79" s="1" t="s">
        <v>258</v>
      </c>
      <c r="F79" s="1" t="n">
        <v>20075.292807372</v>
      </c>
      <c r="G79" s="37" t="n">
        <v>2019</v>
      </c>
      <c r="H79" s="1" t="n">
        <v>6</v>
      </c>
      <c r="I79" s="1" t="s">
        <v>308</v>
      </c>
      <c r="J79" s="1" t="s">
        <v>246</v>
      </c>
    </row>
    <row r="80" customFormat="false" ht="13.8" hidden="false" customHeight="false" outlineLevel="0" collapsed="false">
      <c r="A80" s="1" t="str">
        <f aca="false">IF(J80="DIESEL", "D", "G")</f>
        <v>D</v>
      </c>
      <c r="B80" s="1" t="n">
        <v>0.84</v>
      </c>
      <c r="C80" s="1" t="n">
        <f aca="false">F80*1000</f>
        <v>22073081.844492</v>
      </c>
      <c r="D80" s="37" t="s">
        <v>234</v>
      </c>
      <c r="E80" s="1" t="s">
        <v>258</v>
      </c>
      <c r="F80" s="1" t="n">
        <v>22073.081844492</v>
      </c>
      <c r="G80" s="37" t="n">
        <v>2019</v>
      </c>
      <c r="H80" s="1" t="n">
        <v>7</v>
      </c>
      <c r="I80" s="1" t="s">
        <v>309</v>
      </c>
      <c r="J80" s="1" t="s">
        <v>246</v>
      </c>
    </row>
    <row r="81" customFormat="false" ht="13.8" hidden="false" customHeight="false" outlineLevel="0" collapsed="false">
      <c r="A81" s="1" t="str">
        <f aca="false">IF(J81="DIESEL", "D", "G")</f>
        <v>D</v>
      </c>
      <c r="B81" s="1" t="n">
        <v>0.84</v>
      </c>
      <c r="C81" s="1" t="n">
        <f aca="false">F81*1000</f>
        <v>21833294.921352</v>
      </c>
      <c r="D81" s="37" t="s">
        <v>234</v>
      </c>
      <c r="E81" s="1" t="s">
        <v>258</v>
      </c>
      <c r="F81" s="1" t="n">
        <v>21833.294921352</v>
      </c>
      <c r="G81" s="37" t="n">
        <v>2019</v>
      </c>
      <c r="H81" s="1" t="n">
        <v>8</v>
      </c>
      <c r="I81" s="1" t="s">
        <v>310</v>
      </c>
      <c r="J81" s="1" t="s">
        <v>246</v>
      </c>
    </row>
    <row r="82" customFormat="false" ht="13.8" hidden="false" customHeight="false" outlineLevel="0" collapsed="false">
      <c r="A82" s="1" t="str">
        <f aca="false">IF(J82="DIESEL", "D", "G")</f>
        <v>D</v>
      </c>
      <c r="B82" s="1" t="n">
        <v>0.84</v>
      </c>
      <c r="C82" s="1" t="n">
        <f aca="false">F82*1000</f>
        <v>20661301.082856</v>
      </c>
      <c r="D82" s="37" t="s">
        <v>234</v>
      </c>
      <c r="E82" s="1" t="s">
        <v>258</v>
      </c>
      <c r="F82" s="1" t="n">
        <v>20661.301082856</v>
      </c>
      <c r="G82" s="37" t="n">
        <v>2019</v>
      </c>
      <c r="H82" s="1" t="n">
        <v>9</v>
      </c>
      <c r="I82" s="1" t="s">
        <v>311</v>
      </c>
      <c r="J82" s="1" t="s">
        <v>246</v>
      </c>
    </row>
    <row r="83" customFormat="false" ht="13.8" hidden="false" customHeight="false" outlineLevel="0" collapsed="false">
      <c r="A83" s="1" t="str">
        <f aca="false">IF(J83="DIESEL", "D", "G")</f>
        <v>D</v>
      </c>
      <c r="B83" s="1" t="n">
        <v>0.84</v>
      </c>
      <c r="C83" s="1" t="n">
        <f aca="false">F83*1000</f>
        <v>19318047.634656</v>
      </c>
      <c r="D83" s="37" t="s">
        <v>234</v>
      </c>
      <c r="E83" s="1" t="s">
        <v>258</v>
      </c>
      <c r="F83" s="1" t="n">
        <v>19318.047634656</v>
      </c>
      <c r="G83" s="37" t="n">
        <v>2019</v>
      </c>
      <c r="H83" s="1" t="n">
        <v>10</v>
      </c>
      <c r="I83" s="1" t="s">
        <v>312</v>
      </c>
      <c r="J83" s="1" t="s">
        <v>246</v>
      </c>
    </row>
    <row r="84" customFormat="false" ht="13.8" hidden="false" customHeight="false" outlineLevel="0" collapsed="false">
      <c r="A84" s="1" t="str">
        <f aca="false">IF(J84="DIESEL", "D", "G")</f>
        <v>D</v>
      </c>
      <c r="B84" s="1" t="n">
        <v>0.84</v>
      </c>
      <c r="C84" s="1" t="n">
        <f aca="false">F84*1000</f>
        <v>20551868.607348</v>
      </c>
      <c r="D84" s="37" t="s">
        <v>234</v>
      </c>
      <c r="E84" s="1" t="s">
        <v>258</v>
      </c>
      <c r="F84" s="1" t="n">
        <v>20551.868607348</v>
      </c>
      <c r="G84" s="37" t="n">
        <v>2019</v>
      </c>
      <c r="H84" s="1" t="n">
        <v>11</v>
      </c>
      <c r="I84" s="1" t="s">
        <v>313</v>
      </c>
      <c r="J84" s="1" t="s">
        <v>246</v>
      </c>
    </row>
    <row r="85" customFormat="false" ht="13.8" hidden="false" customHeight="false" outlineLevel="0" collapsed="false">
      <c r="A85" s="1" t="str">
        <f aca="false">IF(J85="DIESEL", "D", "G")</f>
        <v>D</v>
      </c>
      <c r="B85" s="1" t="n">
        <v>0.84</v>
      </c>
      <c r="C85" s="1" t="n">
        <f aca="false">F85*1000</f>
        <v>22150357.24506</v>
      </c>
      <c r="D85" s="37" t="s">
        <v>234</v>
      </c>
      <c r="E85" s="1" t="s">
        <v>258</v>
      </c>
      <c r="F85" s="1" t="n">
        <v>22150.35724506</v>
      </c>
      <c r="G85" s="37" t="n">
        <v>2019</v>
      </c>
      <c r="H85" s="1" t="n">
        <v>12</v>
      </c>
      <c r="I85" s="1" t="s">
        <v>314</v>
      </c>
      <c r="J85" s="1" t="s">
        <v>246</v>
      </c>
    </row>
    <row r="86" customFormat="false" ht="13.8" hidden="false" customHeight="false" outlineLevel="0" collapsed="false">
      <c r="A86" s="1" t="str">
        <f aca="false">IF(J86="DIESEL", "D", "G")</f>
        <v>D</v>
      </c>
      <c r="B86" s="1" t="n">
        <v>0.84</v>
      </c>
      <c r="C86" s="1" t="n">
        <f aca="false">F86*1000</f>
        <v>6324927.563028</v>
      </c>
      <c r="D86" s="37" t="s">
        <v>234</v>
      </c>
      <c r="E86" s="1" t="s">
        <v>260</v>
      </c>
      <c r="F86" s="1" t="n">
        <v>6324.927563028</v>
      </c>
      <c r="G86" s="37" t="n">
        <v>2019</v>
      </c>
      <c r="H86" s="1" t="n">
        <v>1</v>
      </c>
      <c r="I86" s="1" t="s">
        <v>303</v>
      </c>
      <c r="J86" s="1" t="s">
        <v>246</v>
      </c>
    </row>
    <row r="87" customFormat="false" ht="13.8" hidden="false" customHeight="false" outlineLevel="0" collapsed="false">
      <c r="A87" s="1" t="str">
        <f aca="false">IF(J87="DIESEL", "D", "G")</f>
        <v>D</v>
      </c>
      <c r="B87" s="1" t="n">
        <v>0.84</v>
      </c>
      <c r="C87" s="1" t="n">
        <f aca="false">F87*1000</f>
        <v>6026129.85222</v>
      </c>
      <c r="D87" s="37" t="s">
        <v>234</v>
      </c>
      <c r="E87" s="1" t="s">
        <v>260</v>
      </c>
      <c r="F87" s="1" t="n">
        <v>6026.12985222</v>
      </c>
      <c r="G87" s="37" t="n">
        <v>2019</v>
      </c>
      <c r="H87" s="1" t="n">
        <v>2</v>
      </c>
      <c r="I87" s="1" t="s">
        <v>304</v>
      </c>
      <c r="J87" s="1" t="s">
        <v>246</v>
      </c>
    </row>
    <row r="88" customFormat="false" ht="13.8" hidden="false" customHeight="false" outlineLevel="0" collapsed="false">
      <c r="A88" s="1" t="str">
        <f aca="false">IF(J88="DIESEL", "D", "G")</f>
        <v>D</v>
      </c>
      <c r="B88" s="1" t="n">
        <v>0.84</v>
      </c>
      <c r="C88" s="1" t="n">
        <f aca="false">F88*1000</f>
        <v>6530763.12594</v>
      </c>
      <c r="D88" s="37" t="s">
        <v>234</v>
      </c>
      <c r="E88" s="1" t="s">
        <v>260</v>
      </c>
      <c r="F88" s="1" t="n">
        <v>6530.76312594</v>
      </c>
      <c r="G88" s="37" t="n">
        <v>2019</v>
      </c>
      <c r="H88" s="1" t="n">
        <v>3</v>
      </c>
      <c r="I88" s="1" t="s">
        <v>305</v>
      </c>
      <c r="J88" s="1" t="s">
        <v>246</v>
      </c>
    </row>
    <row r="89" customFormat="false" ht="13.8" hidden="false" customHeight="false" outlineLevel="0" collapsed="false">
      <c r="A89" s="1" t="str">
        <f aca="false">IF(J89="DIESEL", "D", "G")</f>
        <v>D</v>
      </c>
      <c r="B89" s="1" t="n">
        <v>0.84</v>
      </c>
      <c r="C89" s="1" t="n">
        <f aca="false">F89*1000</f>
        <v>6350017.273764</v>
      </c>
      <c r="D89" s="37" t="s">
        <v>234</v>
      </c>
      <c r="E89" s="1" t="s">
        <v>260</v>
      </c>
      <c r="F89" s="1" t="n">
        <v>6350.017273764</v>
      </c>
      <c r="G89" s="37" t="n">
        <v>2019</v>
      </c>
      <c r="H89" s="1" t="n">
        <v>4</v>
      </c>
      <c r="I89" s="1" t="s">
        <v>306</v>
      </c>
      <c r="J89" s="1" t="s">
        <v>246</v>
      </c>
    </row>
    <row r="90" customFormat="false" ht="13.8" hidden="false" customHeight="false" outlineLevel="0" collapsed="false">
      <c r="A90" s="1" t="str">
        <f aca="false">IF(J90="DIESEL", "D", "G")</f>
        <v>D</v>
      </c>
      <c r="B90" s="1" t="n">
        <v>0.84</v>
      </c>
      <c r="C90" s="1" t="n">
        <f aca="false">F90*1000</f>
        <v>6514542.63552</v>
      </c>
      <c r="D90" s="37" t="s">
        <v>234</v>
      </c>
      <c r="E90" s="1" t="s">
        <v>260</v>
      </c>
      <c r="F90" s="1" t="n">
        <v>6514.54263552</v>
      </c>
      <c r="G90" s="37" t="n">
        <v>2019</v>
      </c>
      <c r="H90" s="1" t="n">
        <v>5</v>
      </c>
      <c r="I90" s="1" t="s">
        <v>307</v>
      </c>
      <c r="J90" s="1" t="s">
        <v>246</v>
      </c>
    </row>
    <row r="91" customFormat="false" ht="13.8" hidden="false" customHeight="false" outlineLevel="0" collapsed="false">
      <c r="A91" s="1" t="str">
        <f aca="false">IF(J91="DIESEL", "D", "G")</f>
        <v>D</v>
      </c>
      <c r="B91" s="1" t="n">
        <v>0.84</v>
      </c>
      <c r="C91" s="1" t="n">
        <f aca="false">F91*1000</f>
        <v>6186275.492292</v>
      </c>
      <c r="D91" s="37" t="s">
        <v>234</v>
      </c>
      <c r="E91" s="1" t="s">
        <v>260</v>
      </c>
      <c r="F91" s="1" t="n">
        <v>6186.275492292</v>
      </c>
      <c r="G91" s="37" t="n">
        <v>2019</v>
      </c>
      <c r="H91" s="1" t="n">
        <v>6</v>
      </c>
      <c r="I91" s="1" t="s">
        <v>308</v>
      </c>
      <c r="J91" s="1" t="s">
        <v>246</v>
      </c>
    </row>
    <row r="92" customFormat="false" ht="13.8" hidden="false" customHeight="false" outlineLevel="0" collapsed="false">
      <c r="A92" s="1" t="str">
        <f aca="false">IF(J92="DIESEL", "D", "G")</f>
        <v>D</v>
      </c>
      <c r="B92" s="1" t="n">
        <v>0.84</v>
      </c>
      <c r="C92" s="1" t="n">
        <f aca="false">F92*1000</f>
        <v>6948948.945816</v>
      </c>
      <c r="D92" s="37" t="s">
        <v>234</v>
      </c>
      <c r="E92" s="1" t="s">
        <v>260</v>
      </c>
      <c r="F92" s="1" t="n">
        <v>6948.948945816</v>
      </c>
      <c r="G92" s="37" t="n">
        <v>2019</v>
      </c>
      <c r="H92" s="1" t="n">
        <v>7</v>
      </c>
      <c r="I92" s="1" t="s">
        <v>309</v>
      </c>
      <c r="J92" s="1" t="s">
        <v>246</v>
      </c>
    </row>
    <row r="93" customFormat="false" ht="13.8" hidden="false" customHeight="false" outlineLevel="0" collapsed="false">
      <c r="A93" s="1" t="str">
        <f aca="false">IF(J93="DIESEL", "D", "G")</f>
        <v>D</v>
      </c>
      <c r="B93" s="1" t="n">
        <v>0.84</v>
      </c>
      <c r="C93" s="1" t="n">
        <f aca="false">F93*1000</f>
        <v>7599971.6724</v>
      </c>
      <c r="D93" s="37" t="s">
        <v>234</v>
      </c>
      <c r="E93" s="1" t="s">
        <v>260</v>
      </c>
      <c r="F93" s="1" t="n">
        <v>7599.9716724</v>
      </c>
      <c r="G93" s="37" t="n">
        <v>2019</v>
      </c>
      <c r="H93" s="1" t="n">
        <v>8</v>
      </c>
      <c r="I93" s="1" t="s">
        <v>310</v>
      </c>
      <c r="J93" s="1" t="s">
        <v>246</v>
      </c>
    </row>
    <row r="94" customFormat="false" ht="13.8" hidden="false" customHeight="false" outlineLevel="0" collapsed="false">
      <c r="A94" s="1" t="str">
        <f aca="false">IF(J94="DIESEL", "D", "G")</f>
        <v>D</v>
      </c>
      <c r="B94" s="1" t="n">
        <v>0.84</v>
      </c>
      <c r="C94" s="1" t="n">
        <f aca="false">F94*1000</f>
        <v>7007119.37202</v>
      </c>
      <c r="D94" s="37" t="s">
        <v>234</v>
      </c>
      <c r="E94" s="1" t="s">
        <v>260</v>
      </c>
      <c r="F94" s="1" t="n">
        <v>7007.11937202</v>
      </c>
      <c r="G94" s="37" t="n">
        <v>2019</v>
      </c>
      <c r="H94" s="1" t="n">
        <v>9</v>
      </c>
      <c r="I94" s="1" t="s">
        <v>311</v>
      </c>
      <c r="J94" s="1" t="s">
        <v>246</v>
      </c>
    </row>
    <row r="95" customFormat="false" ht="13.8" hidden="false" customHeight="false" outlineLevel="0" collapsed="false">
      <c r="A95" s="1" t="str">
        <f aca="false">IF(J95="DIESEL", "D", "G")</f>
        <v>D</v>
      </c>
      <c r="B95" s="1" t="n">
        <v>0.84</v>
      </c>
      <c r="C95" s="1" t="n">
        <f aca="false">F95*1000</f>
        <v>6363126.15552</v>
      </c>
      <c r="D95" s="37" t="s">
        <v>234</v>
      </c>
      <c r="E95" s="1" t="s">
        <v>260</v>
      </c>
      <c r="F95" s="1" t="n">
        <v>6363.12615552</v>
      </c>
      <c r="G95" s="37" t="n">
        <v>2019</v>
      </c>
      <c r="H95" s="1" t="n">
        <v>10</v>
      </c>
      <c r="I95" s="1" t="s">
        <v>312</v>
      </c>
      <c r="J95" s="1" t="s">
        <v>246</v>
      </c>
    </row>
    <row r="96" customFormat="false" ht="13.8" hidden="false" customHeight="false" outlineLevel="0" collapsed="false">
      <c r="A96" s="1" t="str">
        <f aca="false">IF(J96="DIESEL", "D", "G")</f>
        <v>D</v>
      </c>
      <c r="B96" s="1" t="n">
        <v>0.84</v>
      </c>
      <c r="C96" s="1" t="n">
        <f aca="false">F96*1000</f>
        <v>7228940.729808</v>
      </c>
      <c r="D96" s="37" t="s">
        <v>234</v>
      </c>
      <c r="E96" s="1" t="s">
        <v>260</v>
      </c>
      <c r="F96" s="1" t="n">
        <v>7228.940729808</v>
      </c>
      <c r="G96" s="37" t="n">
        <v>2019</v>
      </c>
      <c r="H96" s="1" t="n">
        <v>11</v>
      </c>
      <c r="I96" s="1" t="s">
        <v>313</v>
      </c>
      <c r="J96" s="1" t="s">
        <v>246</v>
      </c>
    </row>
    <row r="97" customFormat="false" ht="13.8" hidden="false" customHeight="false" outlineLevel="0" collapsed="false">
      <c r="A97" s="1" t="str">
        <f aca="false">IF(J97="DIESEL", "D", "G")</f>
        <v>D</v>
      </c>
      <c r="B97" s="1" t="n">
        <v>0.84</v>
      </c>
      <c r="C97" s="1" t="n">
        <f aca="false">F97*1000</f>
        <v>7058158.082016</v>
      </c>
      <c r="D97" s="37" t="s">
        <v>234</v>
      </c>
      <c r="E97" s="1" t="s">
        <v>260</v>
      </c>
      <c r="F97" s="1" t="n">
        <v>7058.158082016</v>
      </c>
      <c r="G97" s="37" t="n">
        <v>2019</v>
      </c>
      <c r="H97" s="1" t="n">
        <v>12</v>
      </c>
      <c r="I97" s="1" t="s">
        <v>314</v>
      </c>
      <c r="J97" s="1" t="s">
        <v>246</v>
      </c>
    </row>
    <row r="98" customFormat="false" ht="13.8" hidden="false" customHeight="false" outlineLevel="0" collapsed="false">
      <c r="A98" s="1" t="str">
        <f aca="false">IF(J98="DIESEL", "D", "G")</f>
        <v>D</v>
      </c>
      <c r="B98" s="1" t="n">
        <v>0.84</v>
      </c>
      <c r="C98" s="1" t="n">
        <f aca="false">F98*1000</f>
        <v>374680.07976</v>
      </c>
      <c r="D98" s="37" t="s">
        <v>234</v>
      </c>
      <c r="E98" s="1" t="s">
        <v>262</v>
      </c>
      <c r="F98" s="1" t="n">
        <v>374.68007976</v>
      </c>
      <c r="G98" s="37" t="n">
        <v>2019</v>
      </c>
      <c r="H98" s="1" t="n">
        <v>1</v>
      </c>
      <c r="I98" s="1" t="s">
        <v>303</v>
      </c>
      <c r="J98" s="1" t="s">
        <v>246</v>
      </c>
    </row>
    <row r="99" customFormat="false" ht="13.8" hidden="false" customHeight="false" outlineLevel="0" collapsed="false">
      <c r="A99" s="1" t="str">
        <f aca="false">IF(J99="DIESEL", "D", "G")</f>
        <v>D</v>
      </c>
      <c r="B99" s="1" t="n">
        <v>0.84</v>
      </c>
      <c r="C99" s="1" t="n">
        <f aca="false">F99*1000</f>
        <v>340270.68468</v>
      </c>
      <c r="D99" s="37" t="s">
        <v>234</v>
      </c>
      <c r="E99" s="1" t="s">
        <v>262</v>
      </c>
      <c r="F99" s="1" t="n">
        <v>340.27068468</v>
      </c>
      <c r="G99" s="37" t="n">
        <v>2019</v>
      </c>
      <c r="H99" s="1" t="n">
        <v>2</v>
      </c>
      <c r="I99" s="1" t="s">
        <v>304</v>
      </c>
      <c r="J99" s="1" t="s">
        <v>246</v>
      </c>
    </row>
    <row r="100" customFormat="false" ht="13.8" hidden="false" customHeight="false" outlineLevel="0" collapsed="false">
      <c r="A100" s="1" t="str">
        <f aca="false">IF(J100="DIESEL", "D", "G")</f>
        <v>D</v>
      </c>
      <c r="B100" s="1" t="n">
        <v>0.84</v>
      </c>
      <c r="C100" s="1" t="n">
        <f aca="false">F100*1000</f>
        <v>400591.2249</v>
      </c>
      <c r="D100" s="37" t="s">
        <v>234</v>
      </c>
      <c r="E100" s="1" t="s">
        <v>262</v>
      </c>
      <c r="F100" s="1" t="n">
        <v>400.5912249</v>
      </c>
      <c r="G100" s="37" t="n">
        <v>2019</v>
      </c>
      <c r="H100" s="1" t="n">
        <v>3</v>
      </c>
      <c r="I100" s="1" t="s">
        <v>305</v>
      </c>
      <c r="J100" s="1" t="s">
        <v>246</v>
      </c>
    </row>
    <row r="101" customFormat="false" ht="13.8" hidden="false" customHeight="false" outlineLevel="0" collapsed="false">
      <c r="A101" s="1" t="str">
        <f aca="false">IF(J101="DIESEL", "D", "G")</f>
        <v>D</v>
      </c>
      <c r="B101" s="1" t="n">
        <v>0.84</v>
      </c>
      <c r="C101" s="1" t="n">
        <f aca="false">F101*1000</f>
        <v>421543.48032</v>
      </c>
      <c r="D101" s="37" t="s">
        <v>234</v>
      </c>
      <c r="E101" s="1" t="s">
        <v>262</v>
      </c>
      <c r="F101" s="1" t="n">
        <v>421.54348032</v>
      </c>
      <c r="G101" s="37" t="n">
        <v>2019</v>
      </c>
      <c r="H101" s="1" t="n">
        <v>4</v>
      </c>
      <c r="I101" s="1" t="s">
        <v>306</v>
      </c>
      <c r="J101" s="1" t="s">
        <v>246</v>
      </c>
    </row>
    <row r="102" customFormat="false" ht="13.8" hidden="false" customHeight="false" outlineLevel="0" collapsed="false">
      <c r="A102" s="1" t="str">
        <f aca="false">IF(J102="DIESEL", "D", "G")</f>
        <v>D</v>
      </c>
      <c r="B102" s="1" t="n">
        <v>0.84</v>
      </c>
      <c r="C102" s="1" t="n">
        <f aca="false">F102*1000</f>
        <v>374528.66328</v>
      </c>
      <c r="D102" s="37" t="s">
        <v>234</v>
      </c>
      <c r="E102" s="1" t="s">
        <v>262</v>
      </c>
      <c r="F102" s="1" t="n">
        <v>374.52866328</v>
      </c>
      <c r="G102" s="37" t="n">
        <v>2019</v>
      </c>
      <c r="H102" s="1" t="n">
        <v>5</v>
      </c>
      <c r="I102" s="1" t="s">
        <v>307</v>
      </c>
      <c r="J102" s="1" t="s">
        <v>246</v>
      </c>
    </row>
    <row r="103" customFormat="false" ht="13.8" hidden="false" customHeight="false" outlineLevel="0" collapsed="false">
      <c r="A103" s="1" t="str">
        <f aca="false">IF(J103="DIESEL", "D", "G")</f>
        <v>D</v>
      </c>
      <c r="B103" s="1" t="n">
        <v>0.84</v>
      </c>
      <c r="C103" s="1" t="n">
        <f aca="false">F103*1000</f>
        <v>374339.39268</v>
      </c>
      <c r="D103" s="37" t="s">
        <v>234</v>
      </c>
      <c r="E103" s="1" t="s">
        <v>262</v>
      </c>
      <c r="F103" s="1" t="n">
        <v>374.33939268</v>
      </c>
      <c r="G103" s="37" t="n">
        <v>2019</v>
      </c>
      <c r="H103" s="1" t="n">
        <v>6</v>
      </c>
      <c r="I103" s="1" t="s">
        <v>308</v>
      </c>
      <c r="J103" s="1" t="s">
        <v>246</v>
      </c>
    </row>
    <row r="104" customFormat="false" ht="13.8" hidden="false" customHeight="false" outlineLevel="0" collapsed="false">
      <c r="A104" s="1" t="str">
        <f aca="false">IF(J104="DIESEL", "D", "G")</f>
        <v>D</v>
      </c>
      <c r="B104" s="1" t="n">
        <v>0.84</v>
      </c>
      <c r="C104" s="1" t="n">
        <f aca="false">F104*1000</f>
        <v>435057.40116</v>
      </c>
      <c r="D104" s="37" t="s">
        <v>234</v>
      </c>
      <c r="E104" s="1" t="s">
        <v>262</v>
      </c>
      <c r="F104" s="1" t="n">
        <v>435.05740116</v>
      </c>
      <c r="G104" s="37" t="n">
        <v>2019</v>
      </c>
      <c r="H104" s="1" t="n">
        <v>7</v>
      </c>
      <c r="I104" s="1" t="s">
        <v>309</v>
      </c>
      <c r="J104" s="1" t="s">
        <v>246</v>
      </c>
    </row>
    <row r="105" customFormat="false" ht="13.8" hidden="false" customHeight="false" outlineLevel="0" collapsed="false">
      <c r="A105" s="1" t="str">
        <f aca="false">IF(J105="DIESEL", "D", "G")</f>
        <v>D</v>
      </c>
      <c r="B105" s="1" t="n">
        <v>0.84</v>
      </c>
      <c r="C105" s="1" t="n">
        <f aca="false">F105*1000</f>
        <v>434830.27644</v>
      </c>
      <c r="D105" s="37" t="s">
        <v>234</v>
      </c>
      <c r="E105" s="1" t="s">
        <v>262</v>
      </c>
      <c r="F105" s="1" t="n">
        <v>434.83027644</v>
      </c>
      <c r="G105" s="37" t="n">
        <v>2019</v>
      </c>
      <c r="H105" s="1" t="n">
        <v>8</v>
      </c>
      <c r="I105" s="1" t="s">
        <v>310</v>
      </c>
      <c r="J105" s="1" t="s">
        <v>246</v>
      </c>
    </row>
    <row r="106" customFormat="false" ht="13.8" hidden="false" customHeight="false" outlineLevel="0" collapsed="false">
      <c r="A106" s="1" t="str">
        <f aca="false">IF(J106="DIESEL", "D", "G")</f>
        <v>D</v>
      </c>
      <c r="B106" s="1" t="n">
        <v>0.84</v>
      </c>
      <c r="C106" s="1" t="n">
        <f aca="false">F106*1000</f>
        <v>346175.9274</v>
      </c>
      <c r="D106" s="37" t="s">
        <v>234</v>
      </c>
      <c r="E106" s="1" t="s">
        <v>262</v>
      </c>
      <c r="F106" s="1" t="n">
        <v>346.1759274</v>
      </c>
      <c r="G106" s="37" t="n">
        <v>2019</v>
      </c>
      <c r="H106" s="1" t="n">
        <v>9</v>
      </c>
      <c r="I106" s="1" t="s">
        <v>311</v>
      </c>
      <c r="J106" s="1" t="s">
        <v>246</v>
      </c>
    </row>
    <row r="107" customFormat="false" ht="13.8" hidden="false" customHeight="false" outlineLevel="0" collapsed="false">
      <c r="A107" s="1" t="str">
        <f aca="false">IF(J107="DIESEL", "D", "G")</f>
        <v>D</v>
      </c>
      <c r="B107" s="1" t="n">
        <v>0.84</v>
      </c>
      <c r="C107" s="1" t="n">
        <f aca="false">F107*1000</f>
        <v>351778.33716</v>
      </c>
      <c r="D107" s="37" t="s">
        <v>234</v>
      </c>
      <c r="E107" s="1" t="s">
        <v>262</v>
      </c>
      <c r="F107" s="1" t="n">
        <v>351.77833716</v>
      </c>
      <c r="G107" s="37" t="n">
        <v>2019</v>
      </c>
      <c r="H107" s="1" t="n">
        <v>10</v>
      </c>
      <c r="I107" s="1" t="s">
        <v>312</v>
      </c>
      <c r="J107" s="1" t="s">
        <v>246</v>
      </c>
    </row>
    <row r="108" customFormat="false" ht="13.8" hidden="false" customHeight="false" outlineLevel="0" collapsed="false">
      <c r="A108" s="1" t="str">
        <f aca="false">IF(J108="DIESEL", "D", "G")</f>
        <v>D</v>
      </c>
      <c r="B108" s="1" t="n">
        <v>0.84</v>
      </c>
      <c r="C108" s="1" t="n">
        <f aca="false">F108*1000</f>
        <v>313924.21716</v>
      </c>
      <c r="D108" s="37" t="s">
        <v>234</v>
      </c>
      <c r="E108" s="1" t="s">
        <v>262</v>
      </c>
      <c r="F108" s="1" t="n">
        <v>313.92421716</v>
      </c>
      <c r="G108" s="37" t="n">
        <v>2019</v>
      </c>
      <c r="H108" s="1" t="n">
        <v>11</v>
      </c>
      <c r="I108" s="1" t="s">
        <v>313</v>
      </c>
      <c r="J108" s="1" t="s">
        <v>246</v>
      </c>
    </row>
    <row r="109" customFormat="false" ht="13.8" hidden="false" customHeight="false" outlineLevel="0" collapsed="false">
      <c r="A109" s="1" t="str">
        <f aca="false">IF(J109="DIESEL", "D", "G")</f>
        <v>D</v>
      </c>
      <c r="B109" s="1" t="n">
        <v>0.84</v>
      </c>
      <c r="C109" s="1" t="n">
        <f aca="false">F109*1000</f>
        <v>412117.80444</v>
      </c>
      <c r="D109" s="37" t="s">
        <v>234</v>
      </c>
      <c r="E109" s="1" t="s">
        <v>262</v>
      </c>
      <c r="F109" s="1" t="n">
        <v>412.11780444</v>
      </c>
      <c r="G109" s="37" t="n">
        <v>2019</v>
      </c>
      <c r="H109" s="1" t="n">
        <v>12</v>
      </c>
      <c r="I109" s="1" t="s">
        <v>314</v>
      </c>
      <c r="J109" s="1" t="s">
        <v>246</v>
      </c>
    </row>
    <row r="110" customFormat="false" ht="13.8" hidden="false" customHeight="false" outlineLevel="0" collapsed="false">
      <c r="A110" s="1" t="str">
        <f aca="false">IF(J110="DIESEL", "D", "G")</f>
        <v>D</v>
      </c>
      <c r="B110" s="1" t="n">
        <v>0.84</v>
      </c>
      <c r="C110" s="1" t="n">
        <f aca="false">F110*1000</f>
        <v>62761627.500204</v>
      </c>
      <c r="D110" s="37" t="s">
        <v>234</v>
      </c>
      <c r="E110" s="1" t="s">
        <v>264</v>
      </c>
      <c r="F110" s="1" t="n">
        <v>62761.627500204</v>
      </c>
      <c r="G110" s="37" t="n">
        <v>2019</v>
      </c>
      <c r="H110" s="1" t="n">
        <v>1</v>
      </c>
      <c r="I110" s="1" t="s">
        <v>303</v>
      </c>
      <c r="J110" s="1" t="s">
        <v>246</v>
      </c>
    </row>
    <row r="111" customFormat="false" ht="13.8" hidden="false" customHeight="false" outlineLevel="0" collapsed="false">
      <c r="A111" s="1" t="str">
        <f aca="false">IF(J111="DIESEL", "D", "G")</f>
        <v>D</v>
      </c>
      <c r="B111" s="1" t="n">
        <v>0.84</v>
      </c>
      <c r="C111" s="1" t="n">
        <f aca="false">F111*1000</f>
        <v>55073675.2821</v>
      </c>
      <c r="D111" s="37" t="s">
        <v>234</v>
      </c>
      <c r="E111" s="1" t="s">
        <v>264</v>
      </c>
      <c r="F111" s="1" t="n">
        <v>55073.6752821</v>
      </c>
      <c r="G111" s="37" t="n">
        <v>2019</v>
      </c>
      <c r="H111" s="1" t="n">
        <v>2</v>
      </c>
      <c r="I111" s="1" t="s">
        <v>304</v>
      </c>
      <c r="J111" s="1" t="s">
        <v>246</v>
      </c>
    </row>
    <row r="112" customFormat="false" ht="13.8" hidden="false" customHeight="false" outlineLevel="0" collapsed="false">
      <c r="A112" s="1" t="str">
        <f aca="false">IF(J112="DIESEL", "D", "G")</f>
        <v>D</v>
      </c>
      <c r="B112" s="1" t="n">
        <v>0.84</v>
      </c>
      <c r="C112" s="1" t="n">
        <f aca="false">F112*1000</f>
        <v>58455062.688516</v>
      </c>
      <c r="D112" s="37" t="s">
        <v>234</v>
      </c>
      <c r="E112" s="1" t="s">
        <v>264</v>
      </c>
      <c r="F112" s="1" t="n">
        <v>58455.062688516</v>
      </c>
      <c r="G112" s="37" t="n">
        <v>2019</v>
      </c>
      <c r="H112" s="1" t="n">
        <v>3</v>
      </c>
      <c r="I112" s="1" t="s">
        <v>305</v>
      </c>
      <c r="J112" s="1" t="s">
        <v>246</v>
      </c>
    </row>
    <row r="113" customFormat="false" ht="13.8" hidden="false" customHeight="false" outlineLevel="0" collapsed="false">
      <c r="A113" s="1" t="str">
        <f aca="false">IF(J113="DIESEL", "D", "G")</f>
        <v>D</v>
      </c>
      <c r="B113" s="1" t="n">
        <v>0.84</v>
      </c>
      <c r="C113" s="1" t="n">
        <f aca="false">F113*1000</f>
        <v>60420482.667624</v>
      </c>
      <c r="D113" s="37" t="s">
        <v>234</v>
      </c>
      <c r="E113" s="1" t="s">
        <v>264</v>
      </c>
      <c r="F113" s="1" t="n">
        <v>60420.482667624</v>
      </c>
      <c r="G113" s="37" t="n">
        <v>2019</v>
      </c>
      <c r="H113" s="1" t="n">
        <v>4</v>
      </c>
      <c r="I113" s="1" t="s">
        <v>306</v>
      </c>
      <c r="J113" s="1" t="s">
        <v>246</v>
      </c>
    </row>
    <row r="114" customFormat="false" ht="13.8" hidden="false" customHeight="false" outlineLevel="0" collapsed="false">
      <c r="A114" s="1" t="str">
        <f aca="false">IF(J114="DIESEL", "D", "G")</f>
        <v>D</v>
      </c>
      <c r="B114" s="1" t="n">
        <v>0.84</v>
      </c>
      <c r="C114" s="1" t="n">
        <f aca="false">F114*1000</f>
        <v>64566432.448152</v>
      </c>
      <c r="D114" s="37" t="s">
        <v>234</v>
      </c>
      <c r="E114" s="1" t="s">
        <v>264</v>
      </c>
      <c r="F114" s="1" t="n">
        <v>64566.432448152</v>
      </c>
      <c r="G114" s="37" t="n">
        <v>2019</v>
      </c>
      <c r="H114" s="1" t="n">
        <v>5</v>
      </c>
      <c r="I114" s="1" t="s">
        <v>307</v>
      </c>
      <c r="J114" s="1" t="s">
        <v>246</v>
      </c>
    </row>
    <row r="115" customFormat="false" ht="13.8" hidden="false" customHeight="false" outlineLevel="0" collapsed="false">
      <c r="A115" s="1" t="str">
        <f aca="false">IF(J115="DIESEL", "D", "G")</f>
        <v>D</v>
      </c>
      <c r="B115" s="1" t="n">
        <v>0.84</v>
      </c>
      <c r="C115" s="1" t="n">
        <f aca="false">F115*1000</f>
        <v>63817810.443972</v>
      </c>
      <c r="D115" s="37" t="s">
        <v>234</v>
      </c>
      <c r="E115" s="1" t="s">
        <v>264</v>
      </c>
      <c r="F115" s="1" t="n">
        <v>63817.810443972</v>
      </c>
      <c r="G115" s="37" t="n">
        <v>2019</v>
      </c>
      <c r="H115" s="1" t="n">
        <v>6</v>
      </c>
      <c r="I115" s="1" t="s">
        <v>308</v>
      </c>
      <c r="J115" s="1" t="s">
        <v>246</v>
      </c>
    </row>
    <row r="116" customFormat="false" ht="13.8" hidden="false" customHeight="false" outlineLevel="0" collapsed="false">
      <c r="A116" s="1" t="str">
        <f aca="false">IF(J116="DIESEL", "D", "G")</f>
        <v>D</v>
      </c>
      <c r="B116" s="1" t="n">
        <v>0.84</v>
      </c>
      <c r="C116" s="1" t="n">
        <f aca="false">F116*1000</f>
        <v>69822242.314608</v>
      </c>
      <c r="D116" s="37" t="s">
        <v>234</v>
      </c>
      <c r="E116" s="1" t="s">
        <v>264</v>
      </c>
      <c r="F116" s="1" t="n">
        <v>69822.242314608</v>
      </c>
      <c r="G116" s="37" t="n">
        <v>2019</v>
      </c>
      <c r="H116" s="1" t="n">
        <v>7</v>
      </c>
      <c r="I116" s="1" t="s">
        <v>309</v>
      </c>
      <c r="J116" s="1" t="s">
        <v>246</v>
      </c>
    </row>
    <row r="117" customFormat="false" ht="13.8" hidden="false" customHeight="false" outlineLevel="0" collapsed="false">
      <c r="A117" s="1" t="str">
        <f aca="false">IF(J117="DIESEL", "D", "G")</f>
        <v>D</v>
      </c>
      <c r="B117" s="1" t="n">
        <v>0.84</v>
      </c>
      <c r="C117" s="1" t="n">
        <f aca="false">F117*1000</f>
        <v>72089821.45038</v>
      </c>
      <c r="D117" s="37" t="s">
        <v>234</v>
      </c>
      <c r="E117" s="1" t="s">
        <v>264</v>
      </c>
      <c r="F117" s="1" t="n">
        <v>72089.82145038</v>
      </c>
      <c r="G117" s="37" t="n">
        <v>2019</v>
      </c>
      <c r="H117" s="1" t="n">
        <v>8</v>
      </c>
      <c r="I117" s="1" t="s">
        <v>310</v>
      </c>
      <c r="J117" s="1" t="s">
        <v>246</v>
      </c>
    </row>
    <row r="118" customFormat="false" ht="13.8" hidden="false" customHeight="false" outlineLevel="0" collapsed="false">
      <c r="A118" s="1" t="str">
        <f aca="false">IF(J118="DIESEL", "D", "G")</f>
        <v>D</v>
      </c>
      <c r="B118" s="1" t="n">
        <v>0.84</v>
      </c>
      <c r="C118" s="1" t="n">
        <f aca="false">F118*1000</f>
        <v>68885360.415432</v>
      </c>
      <c r="D118" s="37" t="s">
        <v>234</v>
      </c>
      <c r="E118" s="1" t="s">
        <v>264</v>
      </c>
      <c r="F118" s="1" t="n">
        <v>68885.360415432</v>
      </c>
      <c r="G118" s="37" t="n">
        <v>2019</v>
      </c>
      <c r="H118" s="1" t="n">
        <v>9</v>
      </c>
      <c r="I118" s="1" t="s">
        <v>311</v>
      </c>
      <c r="J118" s="1" t="s">
        <v>246</v>
      </c>
    </row>
    <row r="119" customFormat="false" ht="13.8" hidden="false" customHeight="false" outlineLevel="0" collapsed="false">
      <c r="A119" s="1" t="str">
        <f aca="false">IF(J119="DIESEL", "D", "G")</f>
        <v>D</v>
      </c>
      <c r="B119" s="1" t="n">
        <v>0.84</v>
      </c>
      <c r="C119" s="1" t="n">
        <f aca="false">F119*1000</f>
        <v>66448804.273392</v>
      </c>
      <c r="D119" s="37" t="s">
        <v>234</v>
      </c>
      <c r="E119" s="1" t="s">
        <v>264</v>
      </c>
      <c r="F119" s="1" t="n">
        <v>66448.804273392</v>
      </c>
      <c r="G119" s="37" t="n">
        <v>2019</v>
      </c>
      <c r="H119" s="1" t="n">
        <v>10</v>
      </c>
      <c r="I119" s="1" t="s">
        <v>312</v>
      </c>
      <c r="J119" s="1" t="s">
        <v>246</v>
      </c>
    </row>
    <row r="120" customFormat="false" ht="13.8" hidden="false" customHeight="false" outlineLevel="0" collapsed="false">
      <c r="A120" s="1" t="str">
        <f aca="false">IF(J120="DIESEL", "D", "G")</f>
        <v>D</v>
      </c>
      <c r="B120" s="1" t="n">
        <v>0.84</v>
      </c>
      <c r="C120" s="1" t="n">
        <f aca="false">F120*1000</f>
        <v>71641223.630496</v>
      </c>
      <c r="D120" s="37" t="s">
        <v>234</v>
      </c>
      <c r="E120" s="1" t="s">
        <v>264</v>
      </c>
      <c r="F120" s="1" t="n">
        <v>71641.223630496</v>
      </c>
      <c r="G120" s="37" t="n">
        <v>2019</v>
      </c>
      <c r="H120" s="1" t="n">
        <v>11</v>
      </c>
      <c r="I120" s="1" t="s">
        <v>313</v>
      </c>
      <c r="J120" s="1" t="s">
        <v>246</v>
      </c>
    </row>
    <row r="121" customFormat="false" ht="13.8" hidden="false" customHeight="false" outlineLevel="0" collapsed="false">
      <c r="A121" s="1" t="str">
        <f aca="false">IF(J121="DIESEL", "D", "G")</f>
        <v>D</v>
      </c>
      <c r="B121" s="1" t="n">
        <v>0.84</v>
      </c>
      <c r="C121" s="1" t="n">
        <f aca="false">F121*1000</f>
        <v>74331485.6556</v>
      </c>
      <c r="D121" s="37" t="s">
        <v>234</v>
      </c>
      <c r="E121" s="1" t="s">
        <v>264</v>
      </c>
      <c r="F121" s="1" t="n">
        <v>74331.4856556</v>
      </c>
      <c r="G121" s="37" t="n">
        <v>2019</v>
      </c>
      <c r="H121" s="1" t="n">
        <v>12</v>
      </c>
      <c r="I121" s="1" t="s">
        <v>314</v>
      </c>
      <c r="J121" s="1" t="s">
        <v>246</v>
      </c>
    </row>
    <row r="122" customFormat="false" ht="13.8" hidden="false" customHeight="false" outlineLevel="0" collapsed="false">
      <c r="A122" s="1" t="str">
        <f aca="false">IF(J122="DIESEL", "D", "G")</f>
        <v>D</v>
      </c>
      <c r="B122" s="1" t="n">
        <v>0.84</v>
      </c>
      <c r="C122" s="1" t="n">
        <f aca="false">F122*1000</f>
        <v>11316303.688812</v>
      </c>
      <c r="D122" s="37" t="s">
        <v>234</v>
      </c>
      <c r="E122" s="1" t="s">
        <v>266</v>
      </c>
      <c r="F122" s="1" t="n">
        <v>11316.303688812</v>
      </c>
      <c r="G122" s="37" t="n">
        <v>2019</v>
      </c>
      <c r="H122" s="1" t="n">
        <v>1</v>
      </c>
      <c r="I122" s="1" t="s">
        <v>303</v>
      </c>
      <c r="J122" s="1" t="s">
        <v>246</v>
      </c>
    </row>
    <row r="123" customFormat="false" ht="13.8" hidden="false" customHeight="false" outlineLevel="0" collapsed="false">
      <c r="A123" s="1" t="str">
        <f aca="false">IF(J123="DIESEL", "D", "G")</f>
        <v>D</v>
      </c>
      <c r="B123" s="1" t="n">
        <v>0.84</v>
      </c>
      <c r="C123" s="1" t="n">
        <f aca="false">F123*1000</f>
        <v>10993748.732292</v>
      </c>
      <c r="D123" s="37" t="s">
        <v>234</v>
      </c>
      <c r="E123" s="1" t="s">
        <v>266</v>
      </c>
      <c r="F123" s="1" t="n">
        <v>10993.748732292</v>
      </c>
      <c r="G123" s="37" t="n">
        <v>2019</v>
      </c>
      <c r="H123" s="1" t="n">
        <v>2</v>
      </c>
      <c r="I123" s="1" t="s">
        <v>304</v>
      </c>
      <c r="J123" s="1" t="s">
        <v>246</v>
      </c>
    </row>
    <row r="124" customFormat="false" ht="13.8" hidden="false" customHeight="false" outlineLevel="0" collapsed="false">
      <c r="A124" s="1" t="str">
        <f aca="false">IF(J124="DIESEL", "D", "G")</f>
        <v>D</v>
      </c>
      <c r="B124" s="1" t="n">
        <v>0.84</v>
      </c>
      <c r="C124" s="1" t="n">
        <f aca="false">F124*1000</f>
        <v>11341321.47672</v>
      </c>
      <c r="D124" s="37" t="s">
        <v>234</v>
      </c>
      <c r="E124" s="1" t="s">
        <v>266</v>
      </c>
      <c r="F124" s="1" t="n">
        <v>11341.32147672</v>
      </c>
      <c r="G124" s="37" t="n">
        <v>2019</v>
      </c>
      <c r="H124" s="1" t="n">
        <v>3</v>
      </c>
      <c r="I124" s="1" t="s">
        <v>305</v>
      </c>
      <c r="J124" s="1" t="s">
        <v>246</v>
      </c>
    </row>
    <row r="125" customFormat="false" ht="13.8" hidden="false" customHeight="false" outlineLevel="0" collapsed="false">
      <c r="A125" s="1" t="str">
        <f aca="false">IF(J125="DIESEL", "D", "G")</f>
        <v>D</v>
      </c>
      <c r="B125" s="1" t="n">
        <v>0.84</v>
      </c>
      <c r="C125" s="1" t="n">
        <f aca="false">F125*1000</f>
        <v>11036152.917516</v>
      </c>
      <c r="D125" s="37" t="s">
        <v>234</v>
      </c>
      <c r="E125" s="1" t="s">
        <v>266</v>
      </c>
      <c r="F125" s="1" t="n">
        <v>11036.152917516</v>
      </c>
      <c r="G125" s="37" t="n">
        <v>2019</v>
      </c>
      <c r="H125" s="1" t="n">
        <v>4</v>
      </c>
      <c r="I125" s="1" t="s">
        <v>306</v>
      </c>
      <c r="J125" s="1" t="s">
        <v>246</v>
      </c>
    </row>
    <row r="126" customFormat="false" ht="13.8" hidden="false" customHeight="false" outlineLevel="0" collapsed="false">
      <c r="A126" s="1" t="str">
        <f aca="false">IF(J126="DIESEL", "D", "G")</f>
        <v>D</v>
      </c>
      <c r="B126" s="1" t="n">
        <v>0.84</v>
      </c>
      <c r="C126" s="1" t="n">
        <f aca="false">F126*1000</f>
        <v>11433204.782196</v>
      </c>
      <c r="D126" s="37" t="s">
        <v>234</v>
      </c>
      <c r="E126" s="1" t="s">
        <v>266</v>
      </c>
      <c r="F126" s="1" t="n">
        <v>11433.204782196</v>
      </c>
      <c r="G126" s="37" t="n">
        <v>2019</v>
      </c>
      <c r="H126" s="1" t="n">
        <v>5</v>
      </c>
      <c r="I126" s="1" t="s">
        <v>307</v>
      </c>
      <c r="J126" s="1" t="s">
        <v>246</v>
      </c>
    </row>
    <row r="127" customFormat="false" ht="13.8" hidden="false" customHeight="false" outlineLevel="0" collapsed="false">
      <c r="A127" s="1" t="str">
        <f aca="false">IF(J127="DIESEL", "D", "G")</f>
        <v>D</v>
      </c>
      <c r="B127" s="1" t="n">
        <v>0.84</v>
      </c>
      <c r="C127" s="1" t="n">
        <f aca="false">F127*1000</f>
        <v>11134448.71092</v>
      </c>
      <c r="D127" s="37" t="s">
        <v>234</v>
      </c>
      <c r="E127" s="1" t="s">
        <v>266</v>
      </c>
      <c r="F127" s="1" t="n">
        <v>11134.44871092</v>
      </c>
      <c r="G127" s="37" t="n">
        <v>2019</v>
      </c>
      <c r="H127" s="1" t="n">
        <v>6</v>
      </c>
      <c r="I127" s="1" t="s">
        <v>308</v>
      </c>
      <c r="J127" s="1" t="s">
        <v>246</v>
      </c>
    </row>
    <row r="128" customFormat="false" ht="13.8" hidden="false" customHeight="false" outlineLevel="0" collapsed="false">
      <c r="A128" s="1" t="str">
        <f aca="false">IF(J128="DIESEL", "D", "G")</f>
        <v>D</v>
      </c>
      <c r="B128" s="1" t="n">
        <v>0.84</v>
      </c>
      <c r="C128" s="1" t="n">
        <f aca="false">F128*1000</f>
        <v>11892458.53686</v>
      </c>
      <c r="D128" s="37" t="s">
        <v>234</v>
      </c>
      <c r="E128" s="1" t="s">
        <v>266</v>
      </c>
      <c r="F128" s="1" t="n">
        <v>11892.45853686</v>
      </c>
      <c r="G128" s="37" t="n">
        <v>2019</v>
      </c>
      <c r="H128" s="1" t="n">
        <v>7</v>
      </c>
      <c r="I128" s="1" t="s">
        <v>309</v>
      </c>
      <c r="J128" s="1" t="s">
        <v>246</v>
      </c>
    </row>
    <row r="129" customFormat="false" ht="13.8" hidden="false" customHeight="false" outlineLevel="0" collapsed="false">
      <c r="A129" s="1" t="str">
        <f aca="false">IF(J129="DIESEL", "D", "G")</f>
        <v>D</v>
      </c>
      <c r="B129" s="1" t="n">
        <v>0.84</v>
      </c>
      <c r="C129" s="1" t="n">
        <f aca="false">F129*1000</f>
        <v>11928718.998408</v>
      </c>
      <c r="D129" s="37" t="s">
        <v>234</v>
      </c>
      <c r="E129" s="1" t="s">
        <v>266</v>
      </c>
      <c r="F129" s="1" t="n">
        <v>11928.718998408</v>
      </c>
      <c r="G129" s="37" t="n">
        <v>2019</v>
      </c>
      <c r="H129" s="1" t="n">
        <v>8</v>
      </c>
      <c r="I129" s="1" t="s">
        <v>310</v>
      </c>
      <c r="J129" s="1" t="s">
        <v>246</v>
      </c>
    </row>
    <row r="130" customFormat="false" ht="13.8" hidden="false" customHeight="false" outlineLevel="0" collapsed="false">
      <c r="A130" s="1" t="str">
        <f aca="false">IF(J130="DIESEL", "D", "G")</f>
        <v>D</v>
      </c>
      <c r="B130" s="1" t="n">
        <v>0.84</v>
      </c>
      <c r="C130" s="1" t="n">
        <f aca="false">F130*1000</f>
        <v>10453789.993788</v>
      </c>
      <c r="D130" s="37" t="s">
        <v>234</v>
      </c>
      <c r="E130" s="1" t="s">
        <v>266</v>
      </c>
      <c r="F130" s="1" t="n">
        <v>10453.789993788</v>
      </c>
      <c r="G130" s="37" t="n">
        <v>2019</v>
      </c>
      <c r="H130" s="1" t="n">
        <v>9</v>
      </c>
      <c r="I130" s="1" t="s">
        <v>311</v>
      </c>
      <c r="J130" s="1" t="s">
        <v>246</v>
      </c>
    </row>
    <row r="131" customFormat="false" ht="13.8" hidden="false" customHeight="false" outlineLevel="0" collapsed="false">
      <c r="A131" s="1" t="str">
        <f aca="false">IF(J131="DIESEL", "D", "G")</f>
        <v>D</v>
      </c>
      <c r="B131" s="1" t="n">
        <v>0.84</v>
      </c>
      <c r="C131" s="1" t="n">
        <f aca="false">F131*1000</f>
        <v>9111335.26752</v>
      </c>
      <c r="D131" s="37" t="s">
        <v>234</v>
      </c>
      <c r="E131" s="1" t="s">
        <v>266</v>
      </c>
      <c r="F131" s="1" t="n">
        <v>9111.33526752</v>
      </c>
      <c r="G131" s="37" t="n">
        <v>2019</v>
      </c>
      <c r="H131" s="1" t="n">
        <v>10</v>
      </c>
      <c r="I131" s="1" t="s">
        <v>312</v>
      </c>
      <c r="J131" s="1" t="s">
        <v>246</v>
      </c>
    </row>
    <row r="132" customFormat="false" ht="13.8" hidden="false" customHeight="false" outlineLevel="0" collapsed="false">
      <c r="A132" s="1" t="str">
        <f aca="false">IF(J132="DIESEL", "D", "G")</f>
        <v>D</v>
      </c>
      <c r="B132" s="1" t="n">
        <v>0.84</v>
      </c>
      <c r="C132" s="1" t="n">
        <f aca="false">F132*1000</f>
        <v>11384501.671404</v>
      </c>
      <c r="D132" s="37" t="s">
        <v>234</v>
      </c>
      <c r="E132" s="1" t="s">
        <v>266</v>
      </c>
      <c r="F132" s="1" t="n">
        <v>11384.501671404</v>
      </c>
      <c r="G132" s="37" t="n">
        <v>2019</v>
      </c>
      <c r="H132" s="1" t="n">
        <v>11</v>
      </c>
      <c r="I132" s="1" t="s">
        <v>313</v>
      </c>
      <c r="J132" s="1" t="s">
        <v>246</v>
      </c>
    </row>
    <row r="133" customFormat="false" ht="13.8" hidden="false" customHeight="false" outlineLevel="0" collapsed="false">
      <c r="A133" s="1" t="str">
        <f aca="false">IF(J133="DIESEL", "D", "G")</f>
        <v>D</v>
      </c>
      <c r="B133" s="1" t="n">
        <v>0.84</v>
      </c>
      <c r="C133" s="1" t="n">
        <f aca="false">F133*1000</f>
        <v>12198679.4406</v>
      </c>
      <c r="D133" s="37" t="s">
        <v>234</v>
      </c>
      <c r="E133" s="1" t="s">
        <v>266</v>
      </c>
      <c r="F133" s="1" t="n">
        <v>12198.6794406</v>
      </c>
      <c r="G133" s="37" t="n">
        <v>2019</v>
      </c>
      <c r="H133" s="1" t="n">
        <v>12</v>
      </c>
      <c r="I133" s="1" t="s">
        <v>314</v>
      </c>
      <c r="J133" s="1" t="s">
        <v>246</v>
      </c>
    </row>
    <row r="134" customFormat="false" ht="13.8" hidden="false" customHeight="false" outlineLevel="0" collapsed="false">
      <c r="A134" s="1" t="str">
        <f aca="false">IF(J134="DIESEL", "D", "G")</f>
        <v>D</v>
      </c>
      <c r="B134" s="1" t="n">
        <v>0.84</v>
      </c>
      <c r="C134" s="1" t="n">
        <f aca="false">F134*1000</f>
        <v>9588126.83598</v>
      </c>
      <c r="D134" s="37" t="s">
        <v>234</v>
      </c>
      <c r="E134" s="1" t="s">
        <v>268</v>
      </c>
      <c r="F134" s="1" t="n">
        <v>9588.12683598</v>
      </c>
      <c r="G134" s="37" t="n">
        <v>2019</v>
      </c>
      <c r="H134" s="1" t="n">
        <v>1</v>
      </c>
      <c r="I134" s="1" t="s">
        <v>303</v>
      </c>
      <c r="J134" s="1" t="s">
        <v>246</v>
      </c>
    </row>
    <row r="135" customFormat="false" ht="13.8" hidden="false" customHeight="false" outlineLevel="0" collapsed="false">
      <c r="A135" s="1" t="str">
        <f aca="false">IF(J135="DIESEL", "D", "G")</f>
        <v>D</v>
      </c>
      <c r="B135" s="1" t="n">
        <v>0.84</v>
      </c>
      <c r="C135" s="1" t="n">
        <f aca="false">F135*1000</f>
        <v>8351432.73558</v>
      </c>
      <c r="D135" s="37" t="s">
        <v>234</v>
      </c>
      <c r="E135" s="1" t="s">
        <v>268</v>
      </c>
      <c r="F135" s="1" t="n">
        <v>8351.43273558</v>
      </c>
      <c r="G135" s="37" t="n">
        <v>2019</v>
      </c>
      <c r="H135" s="1" t="n">
        <v>2</v>
      </c>
      <c r="I135" s="1" t="s">
        <v>304</v>
      </c>
      <c r="J135" s="1" t="s">
        <v>246</v>
      </c>
    </row>
    <row r="136" customFormat="false" ht="13.8" hidden="false" customHeight="false" outlineLevel="0" collapsed="false">
      <c r="A136" s="1" t="str">
        <f aca="false">IF(J136="DIESEL", "D", "G")</f>
        <v>D</v>
      </c>
      <c r="B136" s="1" t="n">
        <v>0.84</v>
      </c>
      <c r="C136" s="1" t="n">
        <f aca="false">F136*1000</f>
        <v>8934177.98592</v>
      </c>
      <c r="D136" s="37" t="s">
        <v>234</v>
      </c>
      <c r="E136" s="1" t="s">
        <v>268</v>
      </c>
      <c r="F136" s="1" t="n">
        <v>8934.17798592</v>
      </c>
      <c r="G136" s="37" t="n">
        <v>2019</v>
      </c>
      <c r="H136" s="1" t="n">
        <v>3</v>
      </c>
      <c r="I136" s="1" t="s">
        <v>305</v>
      </c>
      <c r="J136" s="1" t="s">
        <v>246</v>
      </c>
    </row>
    <row r="137" customFormat="false" ht="13.8" hidden="false" customHeight="false" outlineLevel="0" collapsed="false">
      <c r="A137" s="1" t="str">
        <f aca="false">IF(J137="DIESEL", "D", "G")</f>
        <v>D</v>
      </c>
      <c r="B137" s="1" t="n">
        <v>0.84</v>
      </c>
      <c r="C137" s="1" t="n">
        <f aca="false">F137*1000</f>
        <v>8979148.68048</v>
      </c>
      <c r="D137" s="37" t="s">
        <v>234</v>
      </c>
      <c r="E137" s="1" t="s">
        <v>268</v>
      </c>
      <c r="F137" s="1" t="n">
        <v>8979.14868048</v>
      </c>
      <c r="G137" s="37" t="n">
        <v>2019</v>
      </c>
      <c r="H137" s="1" t="n">
        <v>4</v>
      </c>
      <c r="I137" s="1" t="s">
        <v>306</v>
      </c>
      <c r="J137" s="1" t="s">
        <v>246</v>
      </c>
    </row>
    <row r="138" customFormat="false" ht="13.8" hidden="false" customHeight="false" outlineLevel="0" collapsed="false">
      <c r="A138" s="1" t="str">
        <f aca="false">IF(J138="DIESEL", "D", "G")</f>
        <v>D</v>
      </c>
      <c r="B138" s="1" t="n">
        <v>0.84</v>
      </c>
      <c r="C138" s="1" t="n">
        <f aca="false">F138*1000</f>
        <v>9239603.95314</v>
      </c>
      <c r="D138" s="37" t="s">
        <v>234</v>
      </c>
      <c r="E138" s="1" t="s">
        <v>268</v>
      </c>
      <c r="F138" s="1" t="n">
        <v>9239.60395314</v>
      </c>
      <c r="G138" s="37" t="n">
        <v>2019</v>
      </c>
      <c r="H138" s="1" t="n">
        <v>5</v>
      </c>
      <c r="I138" s="1" t="s">
        <v>307</v>
      </c>
      <c r="J138" s="1" t="s">
        <v>246</v>
      </c>
    </row>
    <row r="139" customFormat="false" ht="13.8" hidden="false" customHeight="false" outlineLevel="0" collapsed="false">
      <c r="A139" s="1" t="str">
        <f aca="false">IF(J139="DIESEL", "D", "G")</f>
        <v>D</v>
      </c>
      <c r="B139" s="1" t="n">
        <v>0.84</v>
      </c>
      <c r="C139" s="1" t="n">
        <f aca="false">F139*1000</f>
        <v>9065342.51172</v>
      </c>
      <c r="D139" s="37" t="s">
        <v>234</v>
      </c>
      <c r="E139" s="1" t="s">
        <v>268</v>
      </c>
      <c r="F139" s="1" t="n">
        <v>9065.34251172</v>
      </c>
      <c r="G139" s="37" t="n">
        <v>2019</v>
      </c>
      <c r="H139" s="1" t="n">
        <v>6</v>
      </c>
      <c r="I139" s="1" t="s">
        <v>308</v>
      </c>
      <c r="J139" s="1" t="s">
        <v>246</v>
      </c>
    </row>
    <row r="140" customFormat="false" ht="13.8" hidden="false" customHeight="false" outlineLevel="0" collapsed="false">
      <c r="A140" s="1" t="str">
        <f aca="false">IF(J140="DIESEL", "D", "G")</f>
        <v>D</v>
      </c>
      <c r="B140" s="1" t="n">
        <v>0.84</v>
      </c>
      <c r="C140" s="1" t="n">
        <f aca="false">F140*1000</f>
        <v>9886057.68744</v>
      </c>
      <c r="D140" s="37" t="s">
        <v>234</v>
      </c>
      <c r="E140" s="1" t="s">
        <v>268</v>
      </c>
      <c r="F140" s="1" t="n">
        <v>9886.05768744</v>
      </c>
      <c r="G140" s="37" t="n">
        <v>2019</v>
      </c>
      <c r="H140" s="1" t="n">
        <v>7</v>
      </c>
      <c r="I140" s="1" t="s">
        <v>309</v>
      </c>
      <c r="J140" s="1" t="s">
        <v>246</v>
      </c>
    </row>
    <row r="141" customFormat="false" ht="13.8" hidden="false" customHeight="false" outlineLevel="0" collapsed="false">
      <c r="A141" s="1" t="str">
        <f aca="false">IF(J141="DIESEL", "D", "G")</f>
        <v>D</v>
      </c>
      <c r="B141" s="1" t="n">
        <v>0.84</v>
      </c>
      <c r="C141" s="1" t="n">
        <f aca="false">F141*1000</f>
        <v>10487540.72718</v>
      </c>
      <c r="D141" s="37" t="s">
        <v>234</v>
      </c>
      <c r="E141" s="1" t="s">
        <v>268</v>
      </c>
      <c r="F141" s="1" t="n">
        <v>10487.54072718</v>
      </c>
      <c r="G141" s="37" t="n">
        <v>2019</v>
      </c>
      <c r="H141" s="1" t="n">
        <v>8</v>
      </c>
      <c r="I141" s="1" t="s">
        <v>310</v>
      </c>
      <c r="J141" s="1" t="s">
        <v>246</v>
      </c>
    </row>
    <row r="142" customFormat="false" ht="13.8" hidden="false" customHeight="false" outlineLevel="0" collapsed="false">
      <c r="A142" s="1" t="str">
        <f aca="false">IF(J142="DIESEL", "D", "G")</f>
        <v>D</v>
      </c>
      <c r="B142" s="1" t="n">
        <v>0.84</v>
      </c>
      <c r="C142" s="1" t="n">
        <f aca="false">F142*1000</f>
        <v>9612485.9622</v>
      </c>
      <c r="D142" s="37" t="s">
        <v>234</v>
      </c>
      <c r="E142" s="1" t="s">
        <v>268</v>
      </c>
      <c r="F142" s="1" t="n">
        <v>9612.4859622</v>
      </c>
      <c r="G142" s="37" t="n">
        <v>2019</v>
      </c>
      <c r="H142" s="1" t="n">
        <v>9</v>
      </c>
      <c r="I142" s="1" t="s">
        <v>311</v>
      </c>
      <c r="J142" s="1" t="s">
        <v>246</v>
      </c>
    </row>
    <row r="143" customFormat="false" ht="13.8" hidden="false" customHeight="false" outlineLevel="0" collapsed="false">
      <c r="A143" s="1" t="str">
        <f aca="false">IF(J143="DIESEL", "D", "G")</f>
        <v>D</v>
      </c>
      <c r="B143" s="1" t="n">
        <v>0.84</v>
      </c>
      <c r="C143" s="1" t="n">
        <f aca="false">F143*1000</f>
        <v>8669975.15538</v>
      </c>
      <c r="D143" s="37" t="s">
        <v>234</v>
      </c>
      <c r="E143" s="1" t="s">
        <v>268</v>
      </c>
      <c r="F143" s="1" t="n">
        <v>8669.97515538</v>
      </c>
      <c r="G143" s="37" t="n">
        <v>2019</v>
      </c>
      <c r="H143" s="1" t="n">
        <v>10</v>
      </c>
      <c r="I143" s="1" t="s">
        <v>312</v>
      </c>
      <c r="J143" s="1" t="s">
        <v>246</v>
      </c>
    </row>
    <row r="144" customFormat="false" ht="13.8" hidden="false" customHeight="false" outlineLevel="0" collapsed="false">
      <c r="A144" s="1" t="str">
        <f aca="false">IF(J144="DIESEL", "D", "G")</f>
        <v>D</v>
      </c>
      <c r="B144" s="1" t="n">
        <v>0.84</v>
      </c>
      <c r="C144" s="1" t="n">
        <f aca="false">F144*1000</f>
        <v>9417612.95244</v>
      </c>
      <c r="D144" s="37" t="s">
        <v>234</v>
      </c>
      <c r="E144" s="1" t="s">
        <v>268</v>
      </c>
      <c r="F144" s="1" t="n">
        <v>9417.61295244</v>
      </c>
      <c r="G144" s="37" t="n">
        <v>2019</v>
      </c>
      <c r="H144" s="1" t="n">
        <v>11</v>
      </c>
      <c r="I144" s="1" t="s">
        <v>313</v>
      </c>
      <c r="J144" s="1" t="s">
        <v>246</v>
      </c>
    </row>
    <row r="145" customFormat="false" ht="13.8" hidden="false" customHeight="false" outlineLevel="0" collapsed="false">
      <c r="A145" s="1" t="str">
        <f aca="false">IF(J145="DIESEL", "D", "G")</f>
        <v>D</v>
      </c>
      <c r="B145" s="1" t="n">
        <v>0.84</v>
      </c>
      <c r="C145" s="1" t="n">
        <f aca="false">F145*1000</f>
        <v>9782999.84574</v>
      </c>
      <c r="D145" s="37" t="s">
        <v>234</v>
      </c>
      <c r="E145" s="1" t="s">
        <v>268</v>
      </c>
      <c r="F145" s="1" t="n">
        <v>9782.99984574</v>
      </c>
      <c r="G145" s="37" t="n">
        <v>2019</v>
      </c>
      <c r="H145" s="1" t="n">
        <v>12</v>
      </c>
      <c r="I145" s="1" t="s">
        <v>314</v>
      </c>
      <c r="J145" s="1" t="s">
        <v>246</v>
      </c>
    </row>
    <row r="146" customFormat="false" ht="13.8" hidden="false" customHeight="false" outlineLevel="0" collapsed="false">
      <c r="A146" s="1" t="str">
        <f aca="false">IF(J146="DIESEL", "D", "G")</f>
        <v>D</v>
      </c>
      <c r="B146" s="1" t="n">
        <v>0.84</v>
      </c>
      <c r="C146" s="1" t="n">
        <f aca="false">F146*1000</f>
        <v>14632593.365064</v>
      </c>
      <c r="D146" s="37" t="s">
        <v>234</v>
      </c>
      <c r="E146" s="1" t="s">
        <v>270</v>
      </c>
      <c r="F146" s="1" t="n">
        <v>14632.593365064</v>
      </c>
      <c r="G146" s="37" t="n">
        <v>2019</v>
      </c>
      <c r="H146" s="1" t="n">
        <v>1</v>
      </c>
      <c r="I146" s="1" t="s">
        <v>303</v>
      </c>
      <c r="J146" s="1" t="s">
        <v>246</v>
      </c>
    </row>
    <row r="147" customFormat="false" ht="13.8" hidden="false" customHeight="false" outlineLevel="0" collapsed="false">
      <c r="A147" s="1" t="str">
        <f aca="false">IF(J147="DIESEL", "D", "G")</f>
        <v>D</v>
      </c>
      <c r="B147" s="1" t="n">
        <v>0.84</v>
      </c>
      <c r="C147" s="1" t="n">
        <f aca="false">F147*1000</f>
        <v>13107401.659908</v>
      </c>
      <c r="D147" s="37" t="s">
        <v>234</v>
      </c>
      <c r="E147" s="1" t="s">
        <v>270</v>
      </c>
      <c r="F147" s="1" t="n">
        <v>13107.401659908</v>
      </c>
      <c r="G147" s="37" t="n">
        <v>2019</v>
      </c>
      <c r="H147" s="1" t="n">
        <v>2</v>
      </c>
      <c r="I147" s="1" t="s">
        <v>304</v>
      </c>
      <c r="J147" s="1" t="s">
        <v>246</v>
      </c>
    </row>
    <row r="148" customFormat="false" ht="13.8" hidden="false" customHeight="false" outlineLevel="0" collapsed="false">
      <c r="A148" s="1" t="str">
        <f aca="false">IF(J148="DIESEL", "D", "G")</f>
        <v>D</v>
      </c>
      <c r="B148" s="1" t="n">
        <v>0.84</v>
      </c>
      <c r="C148" s="1" t="n">
        <f aca="false">F148*1000</f>
        <v>13731260.26998</v>
      </c>
      <c r="D148" s="37" t="s">
        <v>234</v>
      </c>
      <c r="E148" s="1" t="s">
        <v>270</v>
      </c>
      <c r="F148" s="1" t="n">
        <v>13731.26026998</v>
      </c>
      <c r="G148" s="37" t="n">
        <v>2019</v>
      </c>
      <c r="H148" s="1" t="n">
        <v>3</v>
      </c>
      <c r="I148" s="1" t="s">
        <v>305</v>
      </c>
      <c r="J148" s="1" t="s">
        <v>246</v>
      </c>
    </row>
    <row r="149" customFormat="false" ht="13.8" hidden="false" customHeight="false" outlineLevel="0" collapsed="false">
      <c r="A149" s="1" t="str">
        <f aca="false">IF(J149="DIESEL", "D", "G")</f>
        <v>D</v>
      </c>
      <c r="B149" s="1" t="n">
        <v>0.84</v>
      </c>
      <c r="C149" s="1" t="n">
        <f aca="false">F149*1000</f>
        <v>14820152.95884</v>
      </c>
      <c r="D149" s="37" t="s">
        <v>234</v>
      </c>
      <c r="E149" s="1" t="s">
        <v>270</v>
      </c>
      <c r="F149" s="1" t="n">
        <v>14820.15295884</v>
      </c>
      <c r="G149" s="37" t="n">
        <v>2019</v>
      </c>
      <c r="H149" s="1" t="n">
        <v>4</v>
      </c>
      <c r="I149" s="1" t="s">
        <v>306</v>
      </c>
      <c r="J149" s="1" t="s">
        <v>246</v>
      </c>
    </row>
    <row r="150" customFormat="false" ht="13.8" hidden="false" customHeight="false" outlineLevel="0" collapsed="false">
      <c r="A150" s="1" t="str">
        <f aca="false">IF(J150="DIESEL", "D", "G")</f>
        <v>D</v>
      </c>
      <c r="B150" s="1" t="n">
        <v>0.84</v>
      </c>
      <c r="C150" s="1" t="n">
        <f aca="false">F150*1000</f>
        <v>16737252.153768</v>
      </c>
      <c r="D150" s="37" t="s">
        <v>234</v>
      </c>
      <c r="E150" s="1" t="s">
        <v>270</v>
      </c>
      <c r="F150" s="1" t="n">
        <v>16737.252153768</v>
      </c>
      <c r="G150" s="37" t="n">
        <v>2019</v>
      </c>
      <c r="H150" s="1" t="n">
        <v>5</v>
      </c>
      <c r="I150" s="1" t="s">
        <v>307</v>
      </c>
      <c r="J150" s="1" t="s">
        <v>246</v>
      </c>
    </row>
    <row r="151" customFormat="false" ht="13.8" hidden="false" customHeight="false" outlineLevel="0" collapsed="false">
      <c r="A151" s="1" t="str">
        <f aca="false">IF(J151="DIESEL", "D", "G")</f>
        <v>D</v>
      </c>
      <c r="B151" s="1" t="n">
        <v>0.84</v>
      </c>
      <c r="C151" s="1" t="n">
        <f aca="false">F151*1000</f>
        <v>16618030.602828</v>
      </c>
      <c r="D151" s="37" t="s">
        <v>234</v>
      </c>
      <c r="E151" s="1" t="s">
        <v>270</v>
      </c>
      <c r="F151" s="1" t="n">
        <v>16618.030602828</v>
      </c>
      <c r="G151" s="37" t="n">
        <v>2019</v>
      </c>
      <c r="H151" s="1" t="n">
        <v>6</v>
      </c>
      <c r="I151" s="1" t="s">
        <v>308</v>
      </c>
      <c r="J151" s="1" t="s">
        <v>246</v>
      </c>
    </row>
    <row r="152" customFormat="false" ht="13.8" hidden="false" customHeight="false" outlineLevel="0" collapsed="false">
      <c r="A152" s="1" t="str">
        <f aca="false">IF(J152="DIESEL", "D", "G")</f>
        <v>D</v>
      </c>
      <c r="B152" s="1" t="n">
        <v>0.84</v>
      </c>
      <c r="C152" s="1" t="n">
        <f aca="false">F152*1000</f>
        <v>17943390.408504</v>
      </c>
      <c r="D152" s="37" t="s">
        <v>234</v>
      </c>
      <c r="E152" s="1" t="s">
        <v>270</v>
      </c>
      <c r="F152" s="1" t="n">
        <v>17943.390408504</v>
      </c>
      <c r="G152" s="37" t="n">
        <v>2019</v>
      </c>
      <c r="H152" s="1" t="n">
        <v>7</v>
      </c>
      <c r="I152" s="1" t="s">
        <v>309</v>
      </c>
      <c r="J152" s="1" t="s">
        <v>246</v>
      </c>
    </row>
    <row r="153" customFormat="false" ht="13.8" hidden="false" customHeight="false" outlineLevel="0" collapsed="false">
      <c r="A153" s="1" t="str">
        <f aca="false">IF(J153="DIESEL", "D", "G")</f>
        <v>D</v>
      </c>
      <c r="B153" s="1" t="n">
        <v>0.84</v>
      </c>
      <c r="C153" s="1" t="n">
        <f aca="false">F153*1000</f>
        <v>18466409.428308</v>
      </c>
      <c r="D153" s="37" t="s">
        <v>234</v>
      </c>
      <c r="E153" s="1" t="s">
        <v>270</v>
      </c>
      <c r="F153" s="1" t="n">
        <v>18466.409428308</v>
      </c>
      <c r="G153" s="37" t="n">
        <v>2019</v>
      </c>
      <c r="H153" s="1" t="n">
        <v>8</v>
      </c>
      <c r="I153" s="1" t="s">
        <v>310</v>
      </c>
      <c r="J153" s="1" t="s">
        <v>246</v>
      </c>
    </row>
    <row r="154" customFormat="false" ht="13.8" hidden="false" customHeight="false" outlineLevel="0" collapsed="false">
      <c r="A154" s="1" t="str">
        <f aca="false">IF(J154="DIESEL", "D", "G")</f>
        <v>D</v>
      </c>
      <c r="B154" s="1" t="n">
        <v>0.84</v>
      </c>
      <c r="C154" s="1" t="n">
        <f aca="false">F154*1000</f>
        <v>18427510.534596</v>
      </c>
      <c r="D154" s="37" t="s">
        <v>234</v>
      </c>
      <c r="E154" s="1" t="s">
        <v>270</v>
      </c>
      <c r="F154" s="1" t="n">
        <v>18427.510534596</v>
      </c>
      <c r="G154" s="37" t="n">
        <v>2019</v>
      </c>
      <c r="H154" s="1" t="n">
        <v>9</v>
      </c>
      <c r="I154" s="1" t="s">
        <v>311</v>
      </c>
      <c r="J154" s="1" t="s">
        <v>246</v>
      </c>
    </row>
    <row r="155" customFormat="false" ht="13.8" hidden="false" customHeight="false" outlineLevel="0" collapsed="false">
      <c r="A155" s="1" t="str">
        <f aca="false">IF(J155="DIESEL", "D", "G")</f>
        <v>D</v>
      </c>
      <c r="B155" s="1" t="n">
        <v>0.84</v>
      </c>
      <c r="C155" s="1" t="n">
        <f aca="false">F155*1000</f>
        <v>18257034.505176</v>
      </c>
      <c r="D155" s="37" t="s">
        <v>234</v>
      </c>
      <c r="E155" s="1" t="s">
        <v>270</v>
      </c>
      <c r="F155" s="1" t="n">
        <v>18257.034505176</v>
      </c>
      <c r="G155" s="37" t="n">
        <v>2019</v>
      </c>
      <c r="H155" s="1" t="n">
        <v>10</v>
      </c>
      <c r="I155" s="1" t="s">
        <v>312</v>
      </c>
      <c r="J155" s="1" t="s">
        <v>246</v>
      </c>
    </row>
    <row r="156" customFormat="false" ht="13.8" hidden="false" customHeight="false" outlineLevel="0" collapsed="false">
      <c r="A156" s="1" t="str">
        <f aca="false">IF(J156="DIESEL", "D", "G")</f>
        <v>D</v>
      </c>
      <c r="B156" s="1" t="n">
        <v>0.84</v>
      </c>
      <c r="C156" s="1" t="n">
        <f aca="false">F156*1000</f>
        <v>19188904.518864</v>
      </c>
      <c r="D156" s="37" t="s">
        <v>234</v>
      </c>
      <c r="E156" s="1" t="s">
        <v>270</v>
      </c>
      <c r="F156" s="1" t="n">
        <v>19188.904518864</v>
      </c>
      <c r="G156" s="37" t="n">
        <v>2019</v>
      </c>
      <c r="H156" s="1" t="n">
        <v>11</v>
      </c>
      <c r="I156" s="1" t="s">
        <v>313</v>
      </c>
      <c r="J156" s="1" t="s">
        <v>246</v>
      </c>
    </row>
    <row r="157" customFormat="false" ht="13.8" hidden="false" customHeight="false" outlineLevel="0" collapsed="false">
      <c r="A157" s="1" t="str">
        <f aca="false">IF(J157="DIESEL", "D", "G")</f>
        <v>D</v>
      </c>
      <c r="B157" s="1" t="n">
        <v>0.84</v>
      </c>
      <c r="C157" s="1" t="n">
        <f aca="false">F157*1000</f>
        <v>19139349.690372</v>
      </c>
      <c r="D157" s="37" t="s">
        <v>234</v>
      </c>
      <c r="E157" s="1" t="s">
        <v>270</v>
      </c>
      <c r="F157" s="1" t="n">
        <v>19139.349690372</v>
      </c>
      <c r="G157" s="37" t="n">
        <v>2019</v>
      </c>
      <c r="H157" s="1" t="n">
        <v>12</v>
      </c>
      <c r="I157" s="1" t="s">
        <v>314</v>
      </c>
      <c r="J157" s="1" t="s">
        <v>246</v>
      </c>
    </row>
    <row r="158" customFormat="false" ht="13.8" hidden="false" customHeight="false" outlineLevel="0" collapsed="false">
      <c r="A158" s="1" t="str">
        <f aca="false">IF(J158="DIESEL", "D", "G")</f>
        <v>D</v>
      </c>
      <c r="B158" s="1" t="n">
        <v>0.84</v>
      </c>
      <c r="C158" s="1" t="n">
        <f aca="false">F158*1000</f>
        <v>21932192.595264</v>
      </c>
      <c r="D158" s="37" t="s">
        <v>234</v>
      </c>
      <c r="E158" s="1" t="s">
        <v>272</v>
      </c>
      <c r="F158" s="1" t="n">
        <v>21932.192595264</v>
      </c>
      <c r="G158" s="37" t="n">
        <v>2019</v>
      </c>
      <c r="H158" s="1" t="n">
        <v>1</v>
      </c>
      <c r="I158" s="1" t="s">
        <v>303</v>
      </c>
      <c r="J158" s="1" t="s">
        <v>246</v>
      </c>
    </row>
    <row r="159" customFormat="false" ht="13.8" hidden="false" customHeight="false" outlineLevel="0" collapsed="false">
      <c r="A159" s="1" t="str">
        <f aca="false">IF(J159="DIESEL", "D", "G")</f>
        <v>D</v>
      </c>
      <c r="B159" s="1" t="n">
        <v>0.84</v>
      </c>
      <c r="C159" s="1" t="n">
        <f aca="false">F159*1000</f>
        <v>19789066.449816</v>
      </c>
      <c r="D159" s="37" t="s">
        <v>234</v>
      </c>
      <c r="E159" s="1" t="s">
        <v>272</v>
      </c>
      <c r="F159" s="1" t="n">
        <v>19789.066449816</v>
      </c>
      <c r="G159" s="37" t="n">
        <v>2019</v>
      </c>
      <c r="H159" s="1" t="n">
        <v>2</v>
      </c>
      <c r="I159" s="1" t="s">
        <v>304</v>
      </c>
      <c r="J159" s="1" t="s">
        <v>246</v>
      </c>
    </row>
    <row r="160" customFormat="false" ht="13.8" hidden="false" customHeight="false" outlineLevel="0" collapsed="false">
      <c r="A160" s="1" t="str">
        <f aca="false">IF(J160="DIESEL", "D", "G")</f>
        <v>D</v>
      </c>
      <c r="B160" s="1" t="n">
        <v>0.84</v>
      </c>
      <c r="C160" s="1" t="n">
        <f aca="false">F160*1000</f>
        <v>21317725.592364</v>
      </c>
      <c r="D160" s="37" t="s">
        <v>234</v>
      </c>
      <c r="E160" s="1" t="s">
        <v>272</v>
      </c>
      <c r="F160" s="1" t="n">
        <v>21317.725592364</v>
      </c>
      <c r="G160" s="37" t="n">
        <v>2019</v>
      </c>
      <c r="H160" s="1" t="n">
        <v>3</v>
      </c>
      <c r="I160" s="1" t="s">
        <v>305</v>
      </c>
      <c r="J160" s="1" t="s">
        <v>246</v>
      </c>
    </row>
    <row r="161" customFormat="false" ht="13.8" hidden="false" customHeight="false" outlineLevel="0" collapsed="false">
      <c r="A161" s="1" t="str">
        <f aca="false">IF(J161="DIESEL", "D", "G")</f>
        <v>D</v>
      </c>
      <c r="B161" s="1" t="n">
        <v>0.84</v>
      </c>
      <c r="C161" s="1" t="n">
        <f aca="false">F161*1000</f>
        <v>21437003.924484</v>
      </c>
      <c r="D161" s="37" t="s">
        <v>234</v>
      </c>
      <c r="E161" s="1" t="s">
        <v>272</v>
      </c>
      <c r="F161" s="1" t="n">
        <v>21437.003924484</v>
      </c>
      <c r="G161" s="37" t="n">
        <v>2019</v>
      </c>
      <c r="H161" s="1" t="n">
        <v>4</v>
      </c>
      <c r="I161" s="1" t="s">
        <v>306</v>
      </c>
      <c r="J161" s="1" t="s">
        <v>246</v>
      </c>
    </row>
    <row r="162" customFormat="false" ht="13.8" hidden="false" customHeight="false" outlineLevel="0" collapsed="false">
      <c r="A162" s="1" t="str">
        <f aca="false">IF(J162="DIESEL", "D", "G")</f>
        <v>D</v>
      </c>
      <c r="B162" s="1" t="n">
        <v>0.84</v>
      </c>
      <c r="C162" s="1" t="n">
        <f aca="false">F162*1000</f>
        <v>22689100.866312</v>
      </c>
      <c r="D162" s="37" t="s">
        <v>234</v>
      </c>
      <c r="E162" s="1" t="s">
        <v>272</v>
      </c>
      <c r="F162" s="1" t="n">
        <v>22689.100866312</v>
      </c>
      <c r="G162" s="37" t="n">
        <v>2019</v>
      </c>
      <c r="H162" s="1" t="n">
        <v>5</v>
      </c>
      <c r="I162" s="1" t="s">
        <v>307</v>
      </c>
      <c r="J162" s="1" t="s">
        <v>246</v>
      </c>
    </row>
    <row r="163" customFormat="false" ht="13.8" hidden="false" customHeight="false" outlineLevel="0" collapsed="false">
      <c r="A163" s="1" t="str">
        <f aca="false">IF(J163="DIESEL", "D", "G")</f>
        <v>D</v>
      </c>
      <c r="B163" s="1" t="n">
        <v>0.84</v>
      </c>
      <c r="C163" s="1" t="n">
        <f aca="false">F163*1000</f>
        <v>21398581.992684</v>
      </c>
      <c r="D163" s="37" t="s">
        <v>234</v>
      </c>
      <c r="E163" s="1" t="s">
        <v>272</v>
      </c>
      <c r="F163" s="1" t="n">
        <v>21398.581992684</v>
      </c>
      <c r="G163" s="37" t="n">
        <v>2019</v>
      </c>
      <c r="H163" s="1" t="n">
        <v>6</v>
      </c>
      <c r="I163" s="1" t="s">
        <v>308</v>
      </c>
      <c r="J163" s="1" t="s">
        <v>246</v>
      </c>
    </row>
    <row r="164" customFormat="false" ht="13.8" hidden="false" customHeight="false" outlineLevel="0" collapsed="false">
      <c r="A164" s="1" t="str">
        <f aca="false">IF(J164="DIESEL", "D", "G")</f>
        <v>D</v>
      </c>
      <c r="B164" s="1" t="n">
        <v>0.84</v>
      </c>
      <c r="C164" s="1" t="n">
        <f aca="false">F164*1000</f>
        <v>23833957.08618</v>
      </c>
      <c r="D164" s="37" t="s">
        <v>234</v>
      </c>
      <c r="E164" s="1" t="s">
        <v>272</v>
      </c>
      <c r="F164" s="1" t="n">
        <v>23833.95708618</v>
      </c>
      <c r="G164" s="37" t="n">
        <v>2019</v>
      </c>
      <c r="H164" s="1" t="n">
        <v>7</v>
      </c>
      <c r="I164" s="1" t="s">
        <v>309</v>
      </c>
      <c r="J164" s="1" t="s">
        <v>246</v>
      </c>
    </row>
    <row r="165" customFormat="false" ht="13.8" hidden="false" customHeight="false" outlineLevel="0" collapsed="false">
      <c r="A165" s="1" t="str">
        <f aca="false">IF(J165="DIESEL", "D", "G")</f>
        <v>D</v>
      </c>
      <c r="B165" s="1" t="n">
        <v>0.84</v>
      </c>
      <c r="C165" s="1" t="n">
        <f aca="false">F165*1000</f>
        <v>24074001.417336</v>
      </c>
      <c r="D165" s="37" t="s">
        <v>234</v>
      </c>
      <c r="E165" s="1" t="s">
        <v>272</v>
      </c>
      <c r="F165" s="1" t="n">
        <v>24074.001417336</v>
      </c>
      <c r="G165" s="37" t="n">
        <v>2019</v>
      </c>
      <c r="H165" s="1" t="n">
        <v>8</v>
      </c>
      <c r="I165" s="1" t="s">
        <v>310</v>
      </c>
      <c r="J165" s="1" t="s">
        <v>246</v>
      </c>
    </row>
    <row r="166" customFormat="false" ht="13.8" hidden="false" customHeight="false" outlineLevel="0" collapsed="false">
      <c r="A166" s="1" t="str">
        <f aca="false">IF(J166="DIESEL", "D", "G")</f>
        <v>D</v>
      </c>
      <c r="B166" s="1" t="n">
        <v>0.84</v>
      </c>
      <c r="C166" s="1" t="n">
        <f aca="false">F166*1000</f>
        <v>22173452.043672</v>
      </c>
      <c r="D166" s="37" t="s">
        <v>234</v>
      </c>
      <c r="E166" s="1" t="s">
        <v>272</v>
      </c>
      <c r="F166" s="1" t="n">
        <v>22173.452043672</v>
      </c>
      <c r="G166" s="37" t="n">
        <v>2019</v>
      </c>
      <c r="H166" s="1" t="n">
        <v>9</v>
      </c>
      <c r="I166" s="1" t="s">
        <v>311</v>
      </c>
      <c r="J166" s="1" t="s">
        <v>246</v>
      </c>
    </row>
    <row r="167" customFormat="false" ht="13.8" hidden="false" customHeight="false" outlineLevel="0" collapsed="false">
      <c r="A167" s="1" t="str">
        <f aca="false">IF(J167="DIESEL", "D", "G")</f>
        <v>D</v>
      </c>
      <c r="B167" s="1" t="n">
        <v>0.84</v>
      </c>
      <c r="C167" s="1" t="n">
        <f aca="false">F167*1000</f>
        <v>20395886.920476</v>
      </c>
      <c r="D167" s="37" t="s">
        <v>234</v>
      </c>
      <c r="E167" s="1" t="s">
        <v>272</v>
      </c>
      <c r="F167" s="1" t="n">
        <v>20395.886920476</v>
      </c>
      <c r="G167" s="37" t="n">
        <v>2019</v>
      </c>
      <c r="H167" s="1" t="n">
        <v>10</v>
      </c>
      <c r="I167" s="1" t="s">
        <v>312</v>
      </c>
      <c r="J167" s="1" t="s">
        <v>246</v>
      </c>
    </row>
    <row r="168" customFormat="false" ht="13.8" hidden="false" customHeight="false" outlineLevel="0" collapsed="false">
      <c r="A168" s="1" t="str">
        <f aca="false">IF(J168="DIESEL", "D", "G")</f>
        <v>D</v>
      </c>
      <c r="B168" s="1" t="n">
        <v>0.84</v>
      </c>
      <c r="C168" s="1" t="n">
        <f aca="false">F168*1000</f>
        <v>22548945.987012</v>
      </c>
      <c r="D168" s="37" t="s">
        <v>234</v>
      </c>
      <c r="E168" s="1" t="s">
        <v>272</v>
      </c>
      <c r="F168" s="1" t="n">
        <v>22548.945987012</v>
      </c>
      <c r="G168" s="37" t="n">
        <v>2019</v>
      </c>
      <c r="H168" s="1" t="n">
        <v>11</v>
      </c>
      <c r="I168" s="1" t="s">
        <v>313</v>
      </c>
      <c r="J168" s="1" t="s">
        <v>246</v>
      </c>
    </row>
    <row r="169" customFormat="false" ht="13.8" hidden="false" customHeight="false" outlineLevel="0" collapsed="false">
      <c r="A169" s="1" t="str">
        <f aca="false">IF(J169="DIESEL", "D", "G")</f>
        <v>D</v>
      </c>
      <c r="B169" s="1" t="n">
        <v>0.84</v>
      </c>
      <c r="C169" s="1" t="n">
        <f aca="false">F169*1000</f>
        <v>23473521.511776</v>
      </c>
      <c r="D169" s="37" t="s">
        <v>234</v>
      </c>
      <c r="E169" s="1" t="s">
        <v>272</v>
      </c>
      <c r="F169" s="1" t="n">
        <v>23473.521511776</v>
      </c>
      <c r="G169" s="37" t="n">
        <v>2019</v>
      </c>
      <c r="H169" s="1" t="n">
        <v>12</v>
      </c>
      <c r="I169" s="1" t="s">
        <v>314</v>
      </c>
      <c r="J169" s="1" t="s">
        <v>246</v>
      </c>
    </row>
    <row r="170" customFormat="false" ht="13.8" hidden="false" customHeight="false" outlineLevel="0" collapsed="false">
      <c r="A170" s="1" t="str">
        <f aca="false">IF(J170="DIESEL", "D", "G")</f>
        <v>D</v>
      </c>
      <c r="B170" s="1" t="n">
        <v>0.84</v>
      </c>
      <c r="C170" s="1" t="n">
        <f aca="false">F170*1000</f>
        <v>3453609.281964</v>
      </c>
      <c r="D170" s="37" t="s">
        <v>234</v>
      </c>
      <c r="E170" s="1" t="s">
        <v>274</v>
      </c>
      <c r="F170" s="1" t="n">
        <v>3453.609281964</v>
      </c>
      <c r="G170" s="37" t="n">
        <v>2019</v>
      </c>
      <c r="H170" s="1" t="n">
        <v>1</v>
      </c>
      <c r="I170" s="1" t="s">
        <v>303</v>
      </c>
      <c r="J170" s="1" t="s">
        <v>246</v>
      </c>
    </row>
    <row r="171" customFormat="false" ht="13.8" hidden="false" customHeight="false" outlineLevel="0" collapsed="false">
      <c r="A171" s="1" t="str">
        <f aca="false">IF(J171="DIESEL", "D", "G")</f>
        <v>D</v>
      </c>
      <c r="B171" s="1" t="n">
        <v>0.84</v>
      </c>
      <c r="C171" s="1" t="n">
        <f aca="false">F171*1000</f>
        <v>3100263.784236</v>
      </c>
      <c r="D171" s="37" t="s">
        <v>234</v>
      </c>
      <c r="E171" s="1" t="s">
        <v>274</v>
      </c>
      <c r="F171" s="1" t="n">
        <v>3100.263784236</v>
      </c>
      <c r="G171" s="37" t="n">
        <v>2019</v>
      </c>
      <c r="H171" s="1" t="n">
        <v>2</v>
      </c>
      <c r="I171" s="1" t="s">
        <v>304</v>
      </c>
      <c r="J171" s="1" t="s">
        <v>246</v>
      </c>
    </row>
    <row r="172" customFormat="false" ht="13.8" hidden="false" customHeight="false" outlineLevel="0" collapsed="false">
      <c r="A172" s="1" t="str">
        <f aca="false">IF(J172="DIESEL", "D", "G")</f>
        <v>D</v>
      </c>
      <c r="B172" s="1" t="n">
        <v>0.84</v>
      </c>
      <c r="C172" s="1" t="n">
        <f aca="false">F172*1000</f>
        <v>3258645.422316</v>
      </c>
      <c r="D172" s="37" t="s">
        <v>234</v>
      </c>
      <c r="E172" s="1" t="s">
        <v>274</v>
      </c>
      <c r="F172" s="1" t="n">
        <v>3258.645422316</v>
      </c>
      <c r="G172" s="37" t="n">
        <v>2019</v>
      </c>
      <c r="H172" s="1" t="n">
        <v>3</v>
      </c>
      <c r="I172" s="1" t="s">
        <v>305</v>
      </c>
      <c r="J172" s="1" t="s">
        <v>246</v>
      </c>
    </row>
    <row r="173" customFormat="false" ht="13.8" hidden="false" customHeight="false" outlineLevel="0" collapsed="false">
      <c r="A173" s="1" t="str">
        <f aca="false">IF(J173="DIESEL", "D", "G")</f>
        <v>D</v>
      </c>
      <c r="B173" s="1" t="n">
        <v>0.84</v>
      </c>
      <c r="C173" s="1" t="n">
        <f aca="false">F173*1000</f>
        <v>3406261.348668</v>
      </c>
      <c r="D173" s="37" t="s">
        <v>234</v>
      </c>
      <c r="E173" s="1" t="s">
        <v>274</v>
      </c>
      <c r="F173" s="1" t="n">
        <v>3406.261348668</v>
      </c>
      <c r="G173" s="37" t="n">
        <v>2019</v>
      </c>
      <c r="H173" s="1" t="n">
        <v>4</v>
      </c>
      <c r="I173" s="1" t="s">
        <v>306</v>
      </c>
      <c r="J173" s="1" t="s">
        <v>246</v>
      </c>
    </row>
    <row r="174" customFormat="false" ht="13.8" hidden="false" customHeight="false" outlineLevel="0" collapsed="false">
      <c r="A174" s="1" t="str">
        <f aca="false">IF(J174="DIESEL", "D", "G")</f>
        <v>D</v>
      </c>
      <c r="B174" s="1" t="n">
        <v>0.84</v>
      </c>
      <c r="C174" s="1" t="n">
        <f aca="false">F174*1000</f>
        <v>3345577.408896</v>
      </c>
      <c r="D174" s="37" t="s">
        <v>234</v>
      </c>
      <c r="E174" s="1" t="s">
        <v>274</v>
      </c>
      <c r="F174" s="1" t="n">
        <v>3345.577408896</v>
      </c>
      <c r="G174" s="37" t="n">
        <v>2019</v>
      </c>
      <c r="H174" s="1" t="n">
        <v>5</v>
      </c>
      <c r="I174" s="1" t="s">
        <v>307</v>
      </c>
      <c r="J174" s="1" t="s">
        <v>246</v>
      </c>
    </row>
    <row r="175" customFormat="false" ht="13.8" hidden="false" customHeight="false" outlineLevel="0" collapsed="false">
      <c r="A175" s="1" t="str">
        <f aca="false">IF(J175="DIESEL", "D", "G")</f>
        <v>D</v>
      </c>
      <c r="B175" s="1" t="n">
        <v>0.84</v>
      </c>
      <c r="C175" s="1" t="n">
        <f aca="false">F175*1000</f>
        <v>3232211.89032</v>
      </c>
      <c r="D175" s="37" t="s">
        <v>234</v>
      </c>
      <c r="E175" s="1" t="s">
        <v>274</v>
      </c>
      <c r="F175" s="1" t="n">
        <v>3232.21189032</v>
      </c>
      <c r="G175" s="37" t="n">
        <v>2019</v>
      </c>
      <c r="H175" s="1" t="n">
        <v>6</v>
      </c>
      <c r="I175" s="1" t="s">
        <v>308</v>
      </c>
      <c r="J175" s="1" t="s">
        <v>246</v>
      </c>
    </row>
    <row r="176" customFormat="false" ht="13.8" hidden="false" customHeight="false" outlineLevel="0" collapsed="false">
      <c r="A176" s="1" t="str">
        <f aca="false">IF(J176="DIESEL", "D", "G")</f>
        <v>D</v>
      </c>
      <c r="B176" s="1" t="n">
        <v>0.84</v>
      </c>
      <c r="C176" s="1" t="n">
        <f aca="false">F176*1000</f>
        <v>3389181.569724</v>
      </c>
      <c r="D176" s="37" t="s">
        <v>234</v>
      </c>
      <c r="E176" s="1" t="s">
        <v>274</v>
      </c>
      <c r="F176" s="1" t="n">
        <v>3389.181569724</v>
      </c>
      <c r="G176" s="37" t="n">
        <v>2019</v>
      </c>
      <c r="H176" s="1" t="n">
        <v>7</v>
      </c>
      <c r="I176" s="1" t="s">
        <v>309</v>
      </c>
      <c r="J176" s="1" t="s">
        <v>246</v>
      </c>
    </row>
    <row r="177" customFormat="false" ht="13.8" hidden="false" customHeight="false" outlineLevel="0" collapsed="false">
      <c r="A177" s="1" t="str">
        <f aca="false">IF(J177="DIESEL", "D", "G")</f>
        <v>D</v>
      </c>
      <c r="B177" s="1" t="n">
        <v>0.84</v>
      </c>
      <c r="C177" s="1" t="n">
        <f aca="false">F177*1000</f>
        <v>3551942.929488</v>
      </c>
      <c r="D177" s="37" t="s">
        <v>234</v>
      </c>
      <c r="E177" s="1" t="s">
        <v>274</v>
      </c>
      <c r="F177" s="1" t="n">
        <v>3551.942929488</v>
      </c>
      <c r="G177" s="37" t="n">
        <v>2019</v>
      </c>
      <c r="H177" s="1" t="n">
        <v>8</v>
      </c>
      <c r="I177" s="1" t="s">
        <v>310</v>
      </c>
      <c r="J177" s="1" t="s">
        <v>246</v>
      </c>
    </row>
    <row r="178" customFormat="false" ht="13.8" hidden="false" customHeight="false" outlineLevel="0" collapsed="false">
      <c r="A178" s="1" t="str">
        <f aca="false">IF(J178="DIESEL", "D", "G")</f>
        <v>D</v>
      </c>
      <c r="B178" s="1" t="n">
        <v>0.84</v>
      </c>
      <c r="C178" s="1" t="n">
        <f aca="false">F178*1000</f>
        <v>3529166.105484</v>
      </c>
      <c r="D178" s="37" t="s">
        <v>234</v>
      </c>
      <c r="E178" s="1" t="s">
        <v>274</v>
      </c>
      <c r="F178" s="1" t="n">
        <v>3529.166105484</v>
      </c>
      <c r="G178" s="37" t="n">
        <v>2019</v>
      </c>
      <c r="H178" s="1" t="n">
        <v>9</v>
      </c>
      <c r="I178" s="1" t="s">
        <v>311</v>
      </c>
      <c r="J178" s="1" t="s">
        <v>246</v>
      </c>
    </row>
    <row r="179" customFormat="false" ht="13.8" hidden="false" customHeight="false" outlineLevel="0" collapsed="false">
      <c r="A179" s="1" t="str">
        <f aca="false">IF(J179="DIESEL", "D", "G")</f>
        <v>D</v>
      </c>
      <c r="B179" s="1" t="n">
        <v>0.84</v>
      </c>
      <c r="C179" s="1" t="n">
        <f aca="false">F179*1000</f>
        <v>2956202.359752</v>
      </c>
      <c r="D179" s="37" t="s">
        <v>234</v>
      </c>
      <c r="E179" s="1" t="s">
        <v>274</v>
      </c>
      <c r="F179" s="1" t="n">
        <v>2956.202359752</v>
      </c>
      <c r="G179" s="37" t="n">
        <v>2019</v>
      </c>
      <c r="H179" s="1" t="n">
        <v>10</v>
      </c>
      <c r="I179" s="1" t="s">
        <v>312</v>
      </c>
      <c r="J179" s="1" t="s">
        <v>246</v>
      </c>
    </row>
    <row r="180" customFormat="false" ht="13.8" hidden="false" customHeight="false" outlineLevel="0" collapsed="false">
      <c r="A180" s="1" t="str">
        <f aca="false">IF(J180="DIESEL", "D", "G")</f>
        <v>D</v>
      </c>
      <c r="B180" s="1" t="n">
        <v>0.84</v>
      </c>
      <c r="C180" s="1" t="n">
        <f aca="false">F180*1000</f>
        <v>3277928.311044</v>
      </c>
      <c r="D180" s="37" t="s">
        <v>234</v>
      </c>
      <c r="E180" s="1" t="s">
        <v>274</v>
      </c>
      <c r="F180" s="1" t="n">
        <v>3277.928311044</v>
      </c>
      <c r="G180" s="37" t="n">
        <v>2019</v>
      </c>
      <c r="H180" s="1" t="n">
        <v>11</v>
      </c>
      <c r="I180" s="1" t="s">
        <v>313</v>
      </c>
      <c r="J180" s="1" t="s">
        <v>246</v>
      </c>
    </row>
    <row r="181" customFormat="false" ht="13.8" hidden="false" customHeight="false" outlineLevel="0" collapsed="false">
      <c r="A181" s="1" t="str">
        <f aca="false">IF(J181="DIESEL", "D", "G")</f>
        <v>D</v>
      </c>
      <c r="B181" s="1" t="n">
        <v>0.84</v>
      </c>
      <c r="C181" s="1" t="n">
        <f aca="false">F181*1000</f>
        <v>3419903.973516</v>
      </c>
      <c r="D181" s="37" t="s">
        <v>234</v>
      </c>
      <c r="E181" s="1" t="s">
        <v>274</v>
      </c>
      <c r="F181" s="1" t="n">
        <v>3419.903973516</v>
      </c>
      <c r="G181" s="37" t="n">
        <v>2019</v>
      </c>
      <c r="H181" s="1" t="n">
        <v>12</v>
      </c>
      <c r="I181" s="1" t="s">
        <v>314</v>
      </c>
      <c r="J181" s="1" t="s">
        <v>246</v>
      </c>
    </row>
    <row r="182" customFormat="false" ht="13.8" hidden="false" customHeight="false" outlineLevel="0" collapsed="false">
      <c r="A182" s="1" t="str">
        <f aca="false">IF(J182="DIESEL", "D", "G")</f>
        <v>D</v>
      </c>
      <c r="B182" s="1" t="n">
        <v>0.84</v>
      </c>
      <c r="C182" s="1" t="n">
        <f aca="false">F182*1000</f>
        <v>2859878.766</v>
      </c>
      <c r="D182" s="37" t="s">
        <v>234</v>
      </c>
      <c r="E182" s="1" t="s">
        <v>276</v>
      </c>
      <c r="F182" s="1" t="n">
        <v>2859.878766</v>
      </c>
      <c r="G182" s="37" t="n">
        <v>2019</v>
      </c>
      <c r="H182" s="1" t="n">
        <v>1</v>
      </c>
      <c r="I182" s="1" t="s">
        <v>303</v>
      </c>
      <c r="J182" s="1" t="s">
        <v>246</v>
      </c>
    </row>
    <row r="183" customFormat="false" ht="13.8" hidden="false" customHeight="false" outlineLevel="0" collapsed="false">
      <c r="A183" s="1" t="str">
        <f aca="false">IF(J183="DIESEL", "D", "G")</f>
        <v>D</v>
      </c>
      <c r="B183" s="1" t="n">
        <v>0.84</v>
      </c>
      <c r="C183" s="1" t="n">
        <f aca="false">F183*1000</f>
        <v>2687642.52</v>
      </c>
      <c r="D183" s="37" t="s">
        <v>234</v>
      </c>
      <c r="E183" s="1" t="s">
        <v>276</v>
      </c>
      <c r="F183" s="1" t="n">
        <v>2687.64252</v>
      </c>
      <c r="G183" s="37" t="n">
        <v>2019</v>
      </c>
      <c r="H183" s="1" t="n">
        <v>2</v>
      </c>
      <c r="I183" s="1" t="s">
        <v>304</v>
      </c>
      <c r="J183" s="1" t="s">
        <v>246</v>
      </c>
    </row>
    <row r="184" customFormat="false" ht="13.8" hidden="false" customHeight="false" outlineLevel="0" collapsed="false">
      <c r="A184" s="1" t="str">
        <f aca="false">IF(J184="DIESEL", "D", "G")</f>
        <v>D</v>
      </c>
      <c r="B184" s="1" t="n">
        <v>0.84</v>
      </c>
      <c r="C184" s="1" t="n">
        <f aca="false">F184*1000</f>
        <v>3440939.508</v>
      </c>
      <c r="D184" s="37" t="s">
        <v>234</v>
      </c>
      <c r="E184" s="1" t="s">
        <v>276</v>
      </c>
      <c r="F184" s="1" t="n">
        <v>3440.939508</v>
      </c>
      <c r="G184" s="37" t="n">
        <v>2019</v>
      </c>
      <c r="H184" s="1" t="n">
        <v>3</v>
      </c>
      <c r="I184" s="1" t="s">
        <v>305</v>
      </c>
      <c r="J184" s="1" t="s">
        <v>246</v>
      </c>
    </row>
    <row r="185" customFormat="false" ht="13.8" hidden="false" customHeight="false" outlineLevel="0" collapsed="false">
      <c r="A185" s="1" t="str">
        <f aca="false">IF(J185="DIESEL", "D", "G")</f>
        <v>D</v>
      </c>
      <c r="B185" s="1" t="n">
        <v>0.84</v>
      </c>
      <c r="C185" s="1" t="n">
        <f aca="false">F185*1000</f>
        <v>3255454.32</v>
      </c>
      <c r="D185" s="37" t="s">
        <v>234</v>
      </c>
      <c r="E185" s="1" t="s">
        <v>276</v>
      </c>
      <c r="F185" s="1" t="n">
        <v>3255.45432</v>
      </c>
      <c r="G185" s="37" t="n">
        <v>2019</v>
      </c>
      <c r="H185" s="1" t="n">
        <v>4</v>
      </c>
      <c r="I185" s="1" t="s">
        <v>306</v>
      </c>
      <c r="J185" s="1" t="s">
        <v>246</v>
      </c>
    </row>
    <row r="186" customFormat="false" ht="13.8" hidden="false" customHeight="false" outlineLevel="0" collapsed="false">
      <c r="A186" s="1" t="str">
        <f aca="false">IF(J186="DIESEL", "D", "G")</f>
        <v>D</v>
      </c>
      <c r="B186" s="1" t="n">
        <v>0.84</v>
      </c>
      <c r="C186" s="1" t="n">
        <f aca="false">F186*1000</f>
        <v>3206243.964</v>
      </c>
      <c r="D186" s="37" t="s">
        <v>234</v>
      </c>
      <c r="E186" s="1" t="s">
        <v>276</v>
      </c>
      <c r="F186" s="1" t="n">
        <v>3206.243964</v>
      </c>
      <c r="G186" s="37" t="n">
        <v>2019</v>
      </c>
      <c r="H186" s="1" t="n">
        <v>5</v>
      </c>
      <c r="I186" s="1" t="s">
        <v>307</v>
      </c>
      <c r="J186" s="1" t="s">
        <v>246</v>
      </c>
    </row>
    <row r="187" customFormat="false" ht="13.8" hidden="false" customHeight="false" outlineLevel="0" collapsed="false">
      <c r="A187" s="1" t="str">
        <f aca="false">IF(J187="DIESEL", "D", "G")</f>
        <v>D</v>
      </c>
      <c r="B187" s="1" t="n">
        <v>0.84</v>
      </c>
      <c r="C187" s="1" t="n">
        <f aca="false">F187*1000</f>
        <v>2712247.698</v>
      </c>
      <c r="D187" s="37" t="s">
        <v>234</v>
      </c>
      <c r="E187" s="1" t="s">
        <v>276</v>
      </c>
      <c r="F187" s="1" t="n">
        <v>2712.247698</v>
      </c>
      <c r="G187" s="37" t="n">
        <v>2019</v>
      </c>
      <c r="H187" s="1" t="n">
        <v>6</v>
      </c>
      <c r="I187" s="1" t="s">
        <v>308</v>
      </c>
      <c r="J187" s="1" t="s">
        <v>246</v>
      </c>
    </row>
    <row r="188" customFormat="false" ht="13.8" hidden="false" customHeight="false" outlineLevel="0" collapsed="false">
      <c r="A188" s="1" t="str">
        <f aca="false">IF(J188="DIESEL", "D", "G")</f>
        <v>D</v>
      </c>
      <c r="B188" s="1" t="n">
        <v>0.84</v>
      </c>
      <c r="C188" s="1" t="n">
        <f aca="false">F188*1000</f>
        <v>2602470.75</v>
      </c>
      <c r="D188" s="37" t="s">
        <v>234</v>
      </c>
      <c r="E188" s="1" t="s">
        <v>276</v>
      </c>
      <c r="F188" s="1" t="n">
        <v>2602.47075</v>
      </c>
      <c r="G188" s="37" t="n">
        <v>2019</v>
      </c>
      <c r="H188" s="1" t="n">
        <v>7</v>
      </c>
      <c r="I188" s="1" t="s">
        <v>309</v>
      </c>
      <c r="J188" s="1" t="s">
        <v>246</v>
      </c>
    </row>
    <row r="189" customFormat="false" ht="13.8" hidden="false" customHeight="false" outlineLevel="0" collapsed="false">
      <c r="A189" s="1" t="str">
        <f aca="false">IF(J189="DIESEL", "D", "G")</f>
        <v>D</v>
      </c>
      <c r="B189" s="1" t="n">
        <v>0.84</v>
      </c>
      <c r="C189" s="1" t="n">
        <f aca="false">F189*1000</f>
        <v>3174067.962</v>
      </c>
      <c r="D189" s="37" t="s">
        <v>234</v>
      </c>
      <c r="E189" s="1" t="s">
        <v>276</v>
      </c>
      <c r="F189" s="1" t="n">
        <v>3174.067962</v>
      </c>
      <c r="G189" s="37" t="n">
        <v>2019</v>
      </c>
      <c r="H189" s="1" t="n">
        <v>8</v>
      </c>
      <c r="I189" s="1" t="s">
        <v>310</v>
      </c>
      <c r="J189" s="1" t="s">
        <v>246</v>
      </c>
    </row>
    <row r="190" customFormat="false" ht="13.8" hidden="false" customHeight="false" outlineLevel="0" collapsed="false">
      <c r="A190" s="1" t="str">
        <f aca="false">IF(J190="DIESEL", "D", "G")</f>
        <v>D</v>
      </c>
      <c r="B190" s="1" t="n">
        <v>0.84</v>
      </c>
      <c r="C190" s="1" t="n">
        <f aca="false">F190*1000</f>
        <v>3285737.616</v>
      </c>
      <c r="D190" s="37" t="s">
        <v>234</v>
      </c>
      <c r="E190" s="1" t="s">
        <v>276</v>
      </c>
      <c r="F190" s="1" t="n">
        <v>3285.737616</v>
      </c>
      <c r="G190" s="37" t="n">
        <v>2019</v>
      </c>
      <c r="H190" s="1" t="n">
        <v>9</v>
      </c>
      <c r="I190" s="1" t="s">
        <v>311</v>
      </c>
      <c r="J190" s="1" t="s">
        <v>246</v>
      </c>
    </row>
    <row r="191" customFormat="false" ht="13.8" hidden="false" customHeight="false" outlineLevel="0" collapsed="false">
      <c r="A191" s="1" t="str">
        <f aca="false">IF(J191="DIESEL", "D", "G")</f>
        <v>D</v>
      </c>
      <c r="B191" s="1" t="n">
        <v>0.84</v>
      </c>
      <c r="C191" s="1" t="n">
        <f aca="false">F191*1000</f>
        <v>2803097.586</v>
      </c>
      <c r="D191" s="37" t="s">
        <v>234</v>
      </c>
      <c r="E191" s="1" t="s">
        <v>276</v>
      </c>
      <c r="F191" s="1" t="n">
        <v>2803.097586</v>
      </c>
      <c r="G191" s="37" t="n">
        <v>2019</v>
      </c>
      <c r="H191" s="1" t="n">
        <v>10</v>
      </c>
      <c r="I191" s="1" t="s">
        <v>312</v>
      </c>
      <c r="J191" s="1" t="s">
        <v>246</v>
      </c>
    </row>
    <row r="192" customFormat="false" ht="13.8" hidden="false" customHeight="false" outlineLevel="0" collapsed="false">
      <c r="A192" s="1" t="str">
        <f aca="false">IF(J192="DIESEL", "D", "G")</f>
        <v>D</v>
      </c>
      <c r="B192" s="1" t="n">
        <v>0.84</v>
      </c>
      <c r="C192" s="1" t="n">
        <f aca="false">F192*1000</f>
        <v>3321699.03</v>
      </c>
      <c r="D192" s="37" t="s">
        <v>234</v>
      </c>
      <c r="E192" s="1" t="s">
        <v>276</v>
      </c>
      <c r="F192" s="1" t="n">
        <v>3321.69903</v>
      </c>
      <c r="G192" s="37" t="n">
        <v>2019</v>
      </c>
      <c r="H192" s="1" t="n">
        <v>11</v>
      </c>
      <c r="I192" s="1" t="s">
        <v>313</v>
      </c>
      <c r="J192" s="1" t="s">
        <v>246</v>
      </c>
    </row>
    <row r="193" customFormat="false" ht="13.8" hidden="false" customHeight="false" outlineLevel="0" collapsed="false">
      <c r="A193" s="1" t="str">
        <f aca="false">IF(J193="DIESEL", "D", "G")</f>
        <v>D</v>
      </c>
      <c r="B193" s="1" t="n">
        <v>0.84</v>
      </c>
      <c r="C193" s="1" t="n">
        <f aca="false">F193*1000</f>
        <v>3518540.454</v>
      </c>
      <c r="D193" s="37" t="s">
        <v>234</v>
      </c>
      <c r="E193" s="1" t="s">
        <v>276</v>
      </c>
      <c r="F193" s="1" t="n">
        <v>3518.540454</v>
      </c>
      <c r="G193" s="37" t="n">
        <v>2019</v>
      </c>
      <c r="H193" s="1" t="n">
        <v>12</v>
      </c>
      <c r="I193" s="1" t="s">
        <v>314</v>
      </c>
      <c r="J193" s="1" t="s">
        <v>246</v>
      </c>
    </row>
    <row r="194" customFormat="false" ht="13.8" hidden="false" customHeight="false" outlineLevel="0" collapsed="false">
      <c r="A194" s="1" t="str">
        <f aca="false">IF(J194="DIESEL", "D", "G")</f>
        <v>D</v>
      </c>
      <c r="B194" s="1" t="n">
        <v>0.84</v>
      </c>
      <c r="C194" s="1" t="n">
        <f aca="false">F194*1000</f>
        <v>3764213.6928</v>
      </c>
      <c r="D194" s="37" t="s">
        <v>234</v>
      </c>
      <c r="E194" s="1" t="s">
        <v>278</v>
      </c>
      <c r="F194" s="1" t="n">
        <v>3764.2136928</v>
      </c>
      <c r="G194" s="37" t="n">
        <v>2019</v>
      </c>
      <c r="H194" s="1" t="n">
        <v>1</v>
      </c>
      <c r="I194" s="1" t="s">
        <v>303</v>
      </c>
      <c r="J194" s="1" t="s">
        <v>246</v>
      </c>
    </row>
    <row r="195" customFormat="false" ht="13.8" hidden="false" customHeight="false" outlineLevel="0" collapsed="false">
      <c r="A195" s="1" t="str">
        <f aca="false">IF(J195="DIESEL", "D", "G")</f>
        <v>D</v>
      </c>
      <c r="B195" s="1" t="n">
        <v>0.84</v>
      </c>
      <c r="C195" s="1" t="n">
        <f aca="false">F195*1000</f>
        <v>3776327.0112</v>
      </c>
      <c r="D195" s="37" t="s">
        <v>234</v>
      </c>
      <c r="E195" s="1" t="s">
        <v>278</v>
      </c>
      <c r="F195" s="1" t="n">
        <v>3776.3270112</v>
      </c>
      <c r="G195" s="37" t="n">
        <v>2019</v>
      </c>
      <c r="H195" s="1" t="n">
        <v>2</v>
      </c>
      <c r="I195" s="1" t="s">
        <v>304</v>
      </c>
      <c r="J195" s="1" t="s">
        <v>246</v>
      </c>
    </row>
    <row r="196" customFormat="false" ht="13.8" hidden="false" customHeight="false" outlineLevel="0" collapsed="false">
      <c r="A196" s="1" t="str">
        <f aca="false">IF(J196="DIESEL", "D", "G")</f>
        <v>D</v>
      </c>
      <c r="B196" s="1" t="n">
        <v>0.84</v>
      </c>
      <c r="C196" s="1" t="n">
        <f aca="false">F196*1000</f>
        <v>3985660.2948</v>
      </c>
      <c r="D196" s="37" t="s">
        <v>234</v>
      </c>
      <c r="E196" s="1" t="s">
        <v>278</v>
      </c>
      <c r="F196" s="1" t="n">
        <v>3985.6602948</v>
      </c>
      <c r="G196" s="37" t="n">
        <v>2019</v>
      </c>
      <c r="H196" s="1" t="n">
        <v>3</v>
      </c>
      <c r="I196" s="1" t="s">
        <v>305</v>
      </c>
      <c r="J196" s="1" t="s">
        <v>246</v>
      </c>
    </row>
    <row r="197" customFormat="false" ht="13.8" hidden="false" customHeight="false" outlineLevel="0" collapsed="false">
      <c r="A197" s="1" t="str">
        <f aca="false">IF(J197="DIESEL", "D", "G")</f>
        <v>D</v>
      </c>
      <c r="B197" s="1" t="n">
        <v>0.84</v>
      </c>
      <c r="C197" s="1" t="n">
        <f aca="false">F197*1000</f>
        <v>3913737.4668</v>
      </c>
      <c r="D197" s="37" t="s">
        <v>234</v>
      </c>
      <c r="E197" s="1" t="s">
        <v>278</v>
      </c>
      <c r="F197" s="1" t="n">
        <v>3913.7374668</v>
      </c>
      <c r="G197" s="37" t="n">
        <v>2019</v>
      </c>
      <c r="H197" s="1" t="n">
        <v>4</v>
      </c>
      <c r="I197" s="1" t="s">
        <v>306</v>
      </c>
      <c r="J197" s="1" t="s">
        <v>246</v>
      </c>
    </row>
    <row r="198" customFormat="false" ht="13.8" hidden="false" customHeight="false" outlineLevel="0" collapsed="false">
      <c r="A198" s="1" t="str">
        <f aca="false">IF(J198="DIESEL", "D", "G")</f>
        <v>D</v>
      </c>
      <c r="B198" s="1" t="n">
        <v>0.84</v>
      </c>
      <c r="C198" s="1" t="n">
        <f aca="false">F198*1000</f>
        <v>3845221.5096</v>
      </c>
      <c r="D198" s="37" t="s">
        <v>234</v>
      </c>
      <c r="E198" s="1" t="s">
        <v>278</v>
      </c>
      <c r="F198" s="1" t="n">
        <v>3845.2215096</v>
      </c>
      <c r="G198" s="37" t="n">
        <v>2019</v>
      </c>
      <c r="H198" s="1" t="n">
        <v>5</v>
      </c>
      <c r="I198" s="1" t="s">
        <v>307</v>
      </c>
      <c r="J198" s="1" t="s">
        <v>246</v>
      </c>
    </row>
    <row r="199" customFormat="false" ht="13.8" hidden="false" customHeight="false" outlineLevel="0" collapsed="false">
      <c r="A199" s="1" t="str">
        <f aca="false">IF(J199="DIESEL", "D", "G")</f>
        <v>D</v>
      </c>
      <c r="B199" s="1" t="n">
        <v>0.84</v>
      </c>
      <c r="C199" s="1" t="n">
        <f aca="false">F199*1000</f>
        <v>3926986.4088</v>
      </c>
      <c r="D199" s="37" t="s">
        <v>234</v>
      </c>
      <c r="E199" s="1" t="s">
        <v>278</v>
      </c>
      <c r="F199" s="1" t="n">
        <v>3926.9864088</v>
      </c>
      <c r="G199" s="37" t="n">
        <v>2019</v>
      </c>
      <c r="H199" s="1" t="n">
        <v>6</v>
      </c>
      <c r="I199" s="1" t="s">
        <v>308</v>
      </c>
      <c r="J199" s="1" t="s">
        <v>246</v>
      </c>
    </row>
    <row r="200" customFormat="false" ht="13.8" hidden="false" customHeight="false" outlineLevel="0" collapsed="false">
      <c r="A200" s="1" t="str">
        <f aca="false">IF(J200="DIESEL", "D", "G")</f>
        <v>D</v>
      </c>
      <c r="B200" s="1" t="n">
        <v>0.84</v>
      </c>
      <c r="C200" s="1" t="n">
        <f aca="false">F200*1000</f>
        <v>4139348.022</v>
      </c>
      <c r="D200" s="37" t="s">
        <v>234</v>
      </c>
      <c r="E200" s="1" t="s">
        <v>278</v>
      </c>
      <c r="F200" s="1" t="n">
        <v>4139.348022</v>
      </c>
      <c r="G200" s="37" t="n">
        <v>2019</v>
      </c>
      <c r="H200" s="1" t="n">
        <v>7</v>
      </c>
      <c r="I200" s="1" t="s">
        <v>309</v>
      </c>
      <c r="J200" s="1" t="s">
        <v>246</v>
      </c>
    </row>
    <row r="201" customFormat="false" ht="13.8" hidden="false" customHeight="false" outlineLevel="0" collapsed="false">
      <c r="A201" s="1" t="str">
        <f aca="false">IF(J201="DIESEL", "D", "G")</f>
        <v>D</v>
      </c>
      <c r="B201" s="1" t="n">
        <v>0.84</v>
      </c>
      <c r="C201" s="1" t="n">
        <f aca="false">F201*1000</f>
        <v>4040927.31</v>
      </c>
      <c r="D201" s="37" t="s">
        <v>234</v>
      </c>
      <c r="E201" s="1" t="s">
        <v>278</v>
      </c>
      <c r="F201" s="1" t="n">
        <v>4040.92731</v>
      </c>
      <c r="G201" s="37" t="n">
        <v>2019</v>
      </c>
      <c r="H201" s="1" t="n">
        <v>8</v>
      </c>
      <c r="I201" s="1" t="s">
        <v>310</v>
      </c>
      <c r="J201" s="1" t="s">
        <v>246</v>
      </c>
    </row>
    <row r="202" customFormat="false" ht="13.8" hidden="false" customHeight="false" outlineLevel="0" collapsed="false">
      <c r="A202" s="1" t="str">
        <f aca="false">IF(J202="DIESEL", "D", "G")</f>
        <v>D</v>
      </c>
      <c r="B202" s="1" t="n">
        <v>0.84</v>
      </c>
      <c r="C202" s="1" t="n">
        <f aca="false">F202*1000</f>
        <v>4015943.5908</v>
      </c>
      <c r="D202" s="37" t="s">
        <v>234</v>
      </c>
      <c r="E202" s="1" t="s">
        <v>278</v>
      </c>
      <c r="F202" s="1" t="n">
        <v>4015.9435908</v>
      </c>
      <c r="G202" s="37" t="n">
        <v>2019</v>
      </c>
      <c r="H202" s="1" t="n">
        <v>9</v>
      </c>
      <c r="I202" s="1" t="s">
        <v>311</v>
      </c>
      <c r="J202" s="1" t="s">
        <v>246</v>
      </c>
    </row>
    <row r="203" customFormat="false" ht="13.8" hidden="false" customHeight="false" outlineLevel="0" collapsed="false">
      <c r="A203" s="1" t="str">
        <f aca="false">IF(J203="DIESEL", "D", "G")</f>
        <v>D</v>
      </c>
      <c r="B203" s="1" t="n">
        <v>0.84</v>
      </c>
      <c r="C203" s="1" t="n">
        <f aca="false">F203*1000</f>
        <v>3189588.1512</v>
      </c>
      <c r="D203" s="37" t="s">
        <v>234</v>
      </c>
      <c r="E203" s="1" t="s">
        <v>278</v>
      </c>
      <c r="F203" s="1" t="n">
        <v>3189.5881512</v>
      </c>
      <c r="G203" s="37" t="n">
        <v>2019</v>
      </c>
      <c r="H203" s="1" t="n">
        <v>10</v>
      </c>
      <c r="I203" s="1" t="s">
        <v>312</v>
      </c>
      <c r="J203" s="1" t="s">
        <v>246</v>
      </c>
    </row>
    <row r="204" customFormat="false" ht="13.8" hidden="false" customHeight="false" outlineLevel="0" collapsed="false">
      <c r="A204" s="1" t="str">
        <f aca="false">IF(J204="DIESEL", "D", "G")</f>
        <v>D</v>
      </c>
      <c r="B204" s="1" t="n">
        <v>0.84</v>
      </c>
      <c r="C204" s="1" t="n">
        <f aca="false">F204*1000</f>
        <v>4012158.1788</v>
      </c>
      <c r="D204" s="37" t="s">
        <v>234</v>
      </c>
      <c r="E204" s="1" t="s">
        <v>278</v>
      </c>
      <c r="F204" s="1" t="n">
        <v>4012.1581788</v>
      </c>
      <c r="G204" s="37" t="n">
        <v>2019</v>
      </c>
      <c r="H204" s="1" t="n">
        <v>11</v>
      </c>
      <c r="I204" s="1" t="s">
        <v>313</v>
      </c>
      <c r="J204" s="1" t="s">
        <v>246</v>
      </c>
    </row>
    <row r="205" customFormat="false" ht="13.8" hidden="false" customHeight="false" outlineLevel="0" collapsed="false">
      <c r="A205" s="1" t="str">
        <f aca="false">IF(J205="DIESEL", "D", "G")</f>
        <v>D</v>
      </c>
      <c r="B205" s="1" t="n">
        <v>0.84</v>
      </c>
      <c r="C205" s="1" t="n">
        <f aca="false">F205*1000</f>
        <v>4096194.3252</v>
      </c>
      <c r="D205" s="37" t="s">
        <v>234</v>
      </c>
      <c r="E205" s="1" t="s">
        <v>278</v>
      </c>
      <c r="F205" s="1" t="n">
        <v>4096.1943252</v>
      </c>
      <c r="G205" s="37" t="n">
        <v>2019</v>
      </c>
      <c r="H205" s="1" t="n">
        <v>12</v>
      </c>
      <c r="I205" s="1" t="s">
        <v>314</v>
      </c>
      <c r="J205" s="1" t="s">
        <v>246</v>
      </c>
    </row>
    <row r="206" customFormat="false" ht="13.8" hidden="false" customHeight="false" outlineLevel="0" collapsed="false">
      <c r="A206" s="1" t="str">
        <f aca="false">IF(J206="DIESEL", "D", "G")</f>
        <v>D</v>
      </c>
      <c r="B206" s="1" t="n">
        <v>0.84</v>
      </c>
      <c r="C206" s="1" t="n">
        <f aca="false">F206*1000</f>
        <v>2259890.964</v>
      </c>
      <c r="D206" s="37" t="s">
        <v>234</v>
      </c>
      <c r="E206" s="1" t="s">
        <v>280</v>
      </c>
      <c r="F206" s="1" t="n">
        <v>2259.890964</v>
      </c>
      <c r="G206" s="37" t="n">
        <v>2019</v>
      </c>
      <c r="H206" s="1" t="n">
        <v>1</v>
      </c>
      <c r="I206" s="1" t="s">
        <v>303</v>
      </c>
      <c r="J206" s="1" t="s">
        <v>246</v>
      </c>
    </row>
    <row r="207" customFormat="false" ht="13.8" hidden="false" customHeight="false" outlineLevel="0" collapsed="false">
      <c r="A207" s="1" t="str">
        <f aca="false">IF(J207="DIESEL", "D", "G")</f>
        <v>D</v>
      </c>
      <c r="B207" s="1" t="n">
        <v>0.84</v>
      </c>
      <c r="C207" s="1" t="n">
        <f aca="false">F207*1000</f>
        <v>2320457.556</v>
      </c>
      <c r="D207" s="37" t="s">
        <v>234</v>
      </c>
      <c r="E207" s="1" t="s">
        <v>280</v>
      </c>
      <c r="F207" s="1" t="n">
        <v>2320.457556</v>
      </c>
      <c r="G207" s="37" t="n">
        <v>2019</v>
      </c>
      <c r="H207" s="1" t="n">
        <v>2</v>
      </c>
      <c r="I207" s="1" t="s">
        <v>304</v>
      </c>
      <c r="J207" s="1" t="s">
        <v>246</v>
      </c>
    </row>
    <row r="208" customFormat="false" ht="13.8" hidden="false" customHeight="false" outlineLevel="0" collapsed="false">
      <c r="A208" s="1" t="str">
        <f aca="false">IF(J208="DIESEL", "D", "G")</f>
        <v>D</v>
      </c>
      <c r="B208" s="1" t="n">
        <v>0.84</v>
      </c>
      <c r="C208" s="1" t="n">
        <f aca="false">F208*1000</f>
        <v>2363989.794</v>
      </c>
      <c r="D208" s="37" t="s">
        <v>234</v>
      </c>
      <c r="E208" s="1" t="s">
        <v>280</v>
      </c>
      <c r="F208" s="1" t="n">
        <v>2363.989794</v>
      </c>
      <c r="G208" s="37" t="n">
        <v>2019</v>
      </c>
      <c r="H208" s="1" t="n">
        <v>3</v>
      </c>
      <c r="I208" s="1" t="s">
        <v>305</v>
      </c>
      <c r="J208" s="1" t="s">
        <v>246</v>
      </c>
    </row>
    <row r="209" customFormat="false" ht="13.8" hidden="false" customHeight="false" outlineLevel="0" collapsed="false">
      <c r="A209" s="1" t="str">
        <f aca="false">IF(J209="DIESEL", "D", "G")</f>
        <v>D</v>
      </c>
      <c r="B209" s="1" t="n">
        <v>0.84</v>
      </c>
      <c r="C209" s="1" t="n">
        <f aca="false">F209*1000</f>
        <v>2466195.918</v>
      </c>
      <c r="D209" s="37" t="s">
        <v>234</v>
      </c>
      <c r="E209" s="1" t="s">
        <v>280</v>
      </c>
      <c r="F209" s="1" t="n">
        <v>2466.195918</v>
      </c>
      <c r="G209" s="37" t="n">
        <v>2019</v>
      </c>
      <c r="H209" s="1" t="n">
        <v>4</v>
      </c>
      <c r="I209" s="1" t="s">
        <v>306</v>
      </c>
      <c r="J209" s="1" t="s">
        <v>246</v>
      </c>
    </row>
    <row r="210" customFormat="false" ht="13.8" hidden="false" customHeight="false" outlineLevel="0" collapsed="false">
      <c r="A210" s="1" t="str">
        <f aca="false">IF(J210="DIESEL", "D", "G")</f>
        <v>D</v>
      </c>
      <c r="B210" s="1" t="n">
        <v>0.84</v>
      </c>
      <c r="C210" s="1" t="n">
        <f aca="false">F210*1000</f>
        <v>2458625.094</v>
      </c>
      <c r="D210" s="37" t="s">
        <v>234</v>
      </c>
      <c r="E210" s="1" t="s">
        <v>280</v>
      </c>
      <c r="F210" s="1" t="n">
        <v>2458.625094</v>
      </c>
      <c r="G210" s="37" t="n">
        <v>2019</v>
      </c>
      <c r="H210" s="1" t="n">
        <v>5</v>
      </c>
      <c r="I210" s="1" t="s">
        <v>307</v>
      </c>
      <c r="J210" s="1" t="s">
        <v>246</v>
      </c>
    </row>
    <row r="211" customFormat="false" ht="13.8" hidden="false" customHeight="false" outlineLevel="0" collapsed="false">
      <c r="A211" s="1" t="str">
        <f aca="false">IF(J211="DIESEL", "D", "G")</f>
        <v>D</v>
      </c>
      <c r="B211" s="1" t="n">
        <v>0.84</v>
      </c>
      <c r="C211" s="1" t="n">
        <f aca="false">F211*1000</f>
        <v>2473766.742</v>
      </c>
      <c r="D211" s="37" t="s">
        <v>234</v>
      </c>
      <c r="E211" s="1" t="s">
        <v>280</v>
      </c>
      <c r="F211" s="1" t="n">
        <v>2473.766742</v>
      </c>
      <c r="G211" s="37" t="n">
        <v>2019</v>
      </c>
      <c r="H211" s="1" t="n">
        <v>6</v>
      </c>
      <c r="I211" s="1" t="s">
        <v>308</v>
      </c>
      <c r="J211" s="1" t="s">
        <v>246</v>
      </c>
    </row>
    <row r="212" customFormat="false" ht="13.8" hidden="false" customHeight="false" outlineLevel="0" collapsed="false">
      <c r="A212" s="1" t="str">
        <f aca="false">IF(J212="DIESEL", "D", "G")</f>
        <v>D</v>
      </c>
      <c r="B212" s="1" t="n">
        <v>0.84</v>
      </c>
      <c r="C212" s="1" t="n">
        <f aca="false">F212*1000</f>
        <v>2910981.828</v>
      </c>
      <c r="D212" s="37" t="s">
        <v>234</v>
      </c>
      <c r="E212" s="1" t="s">
        <v>280</v>
      </c>
      <c r="F212" s="1" t="n">
        <v>2910.981828</v>
      </c>
      <c r="G212" s="37" t="n">
        <v>2019</v>
      </c>
      <c r="H212" s="1" t="n">
        <v>7</v>
      </c>
      <c r="I212" s="1" t="s">
        <v>309</v>
      </c>
      <c r="J212" s="1" t="s">
        <v>246</v>
      </c>
    </row>
    <row r="213" customFormat="false" ht="13.8" hidden="false" customHeight="false" outlineLevel="0" collapsed="false">
      <c r="A213" s="1" t="str">
        <f aca="false">IF(J213="DIESEL", "D", "G")</f>
        <v>D</v>
      </c>
      <c r="B213" s="1" t="n">
        <v>0.84</v>
      </c>
      <c r="C213" s="1" t="n">
        <f aca="false">F213*1000</f>
        <v>2738745.582</v>
      </c>
      <c r="D213" s="37" t="s">
        <v>234</v>
      </c>
      <c r="E213" s="1" t="s">
        <v>280</v>
      </c>
      <c r="F213" s="1" t="n">
        <v>2738.745582</v>
      </c>
      <c r="G213" s="37" t="n">
        <v>2019</v>
      </c>
      <c r="H213" s="1" t="n">
        <v>8</v>
      </c>
      <c r="I213" s="1" t="s">
        <v>310</v>
      </c>
      <c r="J213" s="1" t="s">
        <v>246</v>
      </c>
    </row>
    <row r="214" customFormat="false" ht="13.8" hidden="false" customHeight="false" outlineLevel="0" collapsed="false">
      <c r="A214" s="1" t="str">
        <f aca="false">IF(J214="DIESEL", "D", "G")</f>
        <v>D</v>
      </c>
      <c r="B214" s="1" t="n">
        <v>0.84</v>
      </c>
      <c r="C214" s="1" t="n">
        <f aca="false">F214*1000</f>
        <v>2269354.494</v>
      </c>
      <c r="D214" s="37" t="s">
        <v>234</v>
      </c>
      <c r="E214" s="1" t="s">
        <v>280</v>
      </c>
      <c r="F214" s="1" t="n">
        <v>2269.354494</v>
      </c>
      <c r="G214" s="37" t="n">
        <v>2019</v>
      </c>
      <c r="H214" s="1" t="n">
        <v>9</v>
      </c>
      <c r="I214" s="1" t="s">
        <v>311</v>
      </c>
      <c r="J214" s="1" t="s">
        <v>246</v>
      </c>
    </row>
    <row r="215" customFormat="false" ht="13.8" hidden="false" customHeight="false" outlineLevel="0" collapsed="false">
      <c r="A215" s="1" t="str">
        <f aca="false">IF(J215="DIESEL", "D", "G")</f>
        <v>D</v>
      </c>
      <c r="B215" s="1" t="n">
        <v>0.84</v>
      </c>
      <c r="C215" s="1" t="n">
        <f aca="false">F215*1000</f>
        <v>1958950.71</v>
      </c>
      <c r="D215" s="37" t="s">
        <v>234</v>
      </c>
      <c r="E215" s="1" t="s">
        <v>280</v>
      </c>
      <c r="F215" s="1" t="n">
        <v>1958.95071</v>
      </c>
      <c r="G215" s="37" t="n">
        <v>2019</v>
      </c>
      <c r="H215" s="1" t="n">
        <v>10</v>
      </c>
      <c r="I215" s="1" t="s">
        <v>312</v>
      </c>
      <c r="J215" s="1" t="s">
        <v>246</v>
      </c>
    </row>
    <row r="216" customFormat="false" ht="13.8" hidden="false" customHeight="false" outlineLevel="0" collapsed="false">
      <c r="A216" s="1" t="str">
        <f aca="false">IF(J216="DIESEL", "D", "G")</f>
        <v>D</v>
      </c>
      <c r="B216" s="1" t="n">
        <v>0.84</v>
      </c>
      <c r="C216" s="1" t="n">
        <f aca="false">F216*1000</f>
        <v>2312886.732</v>
      </c>
      <c r="D216" s="37" t="s">
        <v>234</v>
      </c>
      <c r="E216" s="1" t="s">
        <v>280</v>
      </c>
      <c r="F216" s="1" t="n">
        <v>2312.886732</v>
      </c>
      <c r="G216" s="37" t="n">
        <v>2019</v>
      </c>
      <c r="H216" s="1" t="n">
        <v>11</v>
      </c>
      <c r="I216" s="1" t="s">
        <v>313</v>
      </c>
      <c r="J216" s="1" t="s">
        <v>246</v>
      </c>
    </row>
    <row r="217" customFormat="false" ht="13.8" hidden="false" customHeight="false" outlineLevel="0" collapsed="false">
      <c r="A217" s="1" t="str">
        <f aca="false">IF(J217="DIESEL", "D", "G")</f>
        <v>D</v>
      </c>
      <c r="B217" s="1" t="n">
        <v>0.84</v>
      </c>
      <c r="C217" s="1" t="n">
        <f aca="false">F217*1000</f>
        <v>2246642.022</v>
      </c>
      <c r="D217" s="37" t="s">
        <v>234</v>
      </c>
      <c r="E217" s="1" t="s">
        <v>280</v>
      </c>
      <c r="F217" s="1" t="n">
        <v>2246.642022</v>
      </c>
      <c r="G217" s="37" t="n">
        <v>2019</v>
      </c>
      <c r="H217" s="1" t="n">
        <v>12</v>
      </c>
      <c r="I217" s="1" t="s">
        <v>314</v>
      </c>
      <c r="J217" s="1" t="s">
        <v>246</v>
      </c>
    </row>
    <row r="218" customFormat="false" ht="13.8" hidden="false" customHeight="false" outlineLevel="0" collapsed="false">
      <c r="A218" s="1" t="str">
        <f aca="false">IF(J218="DIESEL", "D", "G")</f>
        <v>D</v>
      </c>
      <c r="B218" s="1" t="n">
        <v>0.84</v>
      </c>
      <c r="C218" s="1" t="n">
        <f aca="false">F218*1000</f>
        <v>50645110.427064</v>
      </c>
      <c r="D218" s="37" t="s">
        <v>234</v>
      </c>
      <c r="E218" s="1" t="s">
        <v>282</v>
      </c>
      <c r="F218" s="1" t="n">
        <v>50645.110427064</v>
      </c>
      <c r="G218" s="37" t="n">
        <v>2019</v>
      </c>
      <c r="H218" s="1" t="n">
        <v>1</v>
      </c>
      <c r="I218" s="1" t="s">
        <v>303</v>
      </c>
      <c r="J218" s="1" t="s">
        <v>246</v>
      </c>
    </row>
    <row r="219" customFormat="false" ht="13.8" hidden="false" customHeight="false" outlineLevel="0" collapsed="false">
      <c r="A219" s="1" t="str">
        <f aca="false">IF(J219="DIESEL", "D", "G")</f>
        <v>D</v>
      </c>
      <c r="B219" s="1" t="n">
        <v>0.84</v>
      </c>
      <c r="C219" s="1" t="n">
        <f aca="false">F219*1000</f>
        <v>47289092.851872</v>
      </c>
      <c r="D219" s="37" t="s">
        <v>234</v>
      </c>
      <c r="E219" s="1" t="s">
        <v>282</v>
      </c>
      <c r="F219" s="1" t="n">
        <v>47289.092851872</v>
      </c>
      <c r="G219" s="37" t="n">
        <v>2019</v>
      </c>
      <c r="H219" s="1" t="n">
        <v>2</v>
      </c>
      <c r="I219" s="1" t="s">
        <v>304</v>
      </c>
      <c r="J219" s="1" t="s">
        <v>246</v>
      </c>
    </row>
    <row r="220" customFormat="false" ht="13.8" hidden="false" customHeight="false" outlineLevel="0" collapsed="false">
      <c r="A220" s="1" t="str">
        <f aca="false">IF(J220="DIESEL", "D", "G")</f>
        <v>D</v>
      </c>
      <c r="B220" s="1" t="n">
        <v>0.84</v>
      </c>
      <c r="C220" s="1" t="n">
        <f aca="false">F220*1000</f>
        <v>50555714.137272</v>
      </c>
      <c r="D220" s="37" t="s">
        <v>234</v>
      </c>
      <c r="E220" s="1" t="s">
        <v>282</v>
      </c>
      <c r="F220" s="1" t="n">
        <v>50555.714137272</v>
      </c>
      <c r="G220" s="37" t="n">
        <v>2019</v>
      </c>
      <c r="H220" s="1" t="n">
        <v>3</v>
      </c>
      <c r="I220" s="1" t="s">
        <v>305</v>
      </c>
      <c r="J220" s="1" t="s">
        <v>246</v>
      </c>
    </row>
    <row r="221" customFormat="false" ht="13.8" hidden="false" customHeight="false" outlineLevel="0" collapsed="false">
      <c r="A221" s="1" t="str">
        <f aca="false">IF(J221="DIESEL", "D", "G")</f>
        <v>D</v>
      </c>
      <c r="B221" s="1" t="n">
        <v>0.84</v>
      </c>
      <c r="C221" s="1" t="n">
        <f aca="false">F221*1000</f>
        <v>50831292.130872</v>
      </c>
      <c r="D221" s="37" t="s">
        <v>234</v>
      </c>
      <c r="E221" s="1" t="s">
        <v>282</v>
      </c>
      <c r="F221" s="1" t="n">
        <v>50831.292130872</v>
      </c>
      <c r="G221" s="37" t="n">
        <v>2019</v>
      </c>
      <c r="H221" s="1" t="n">
        <v>4</v>
      </c>
      <c r="I221" s="1" t="s">
        <v>306</v>
      </c>
      <c r="J221" s="1" t="s">
        <v>246</v>
      </c>
    </row>
    <row r="222" customFormat="false" ht="13.8" hidden="false" customHeight="false" outlineLevel="0" collapsed="false">
      <c r="A222" s="1" t="str">
        <f aca="false">IF(J222="DIESEL", "D", "G")</f>
        <v>D</v>
      </c>
      <c r="B222" s="1" t="n">
        <v>0.84</v>
      </c>
      <c r="C222" s="1" t="n">
        <f aca="false">F222*1000</f>
        <v>52464205.305312</v>
      </c>
      <c r="D222" s="37" t="s">
        <v>234</v>
      </c>
      <c r="E222" s="1" t="s">
        <v>282</v>
      </c>
      <c r="F222" s="1" t="n">
        <v>52464.205305312</v>
      </c>
      <c r="G222" s="37" t="n">
        <v>2019</v>
      </c>
      <c r="H222" s="1" t="n">
        <v>5</v>
      </c>
      <c r="I222" s="1" t="s">
        <v>307</v>
      </c>
      <c r="J222" s="1" t="s">
        <v>246</v>
      </c>
    </row>
    <row r="223" customFormat="false" ht="13.8" hidden="false" customHeight="false" outlineLevel="0" collapsed="false">
      <c r="A223" s="1" t="str">
        <f aca="false">IF(J223="DIESEL", "D", "G")</f>
        <v>D</v>
      </c>
      <c r="B223" s="1" t="n">
        <v>0.84</v>
      </c>
      <c r="C223" s="1" t="n">
        <f aca="false">F223*1000</f>
        <v>49923345.921024</v>
      </c>
      <c r="D223" s="37" t="s">
        <v>234</v>
      </c>
      <c r="E223" s="1" t="s">
        <v>282</v>
      </c>
      <c r="F223" s="1" t="n">
        <v>49923.345921024</v>
      </c>
      <c r="G223" s="37" t="n">
        <v>2019</v>
      </c>
      <c r="H223" s="1" t="n">
        <v>6</v>
      </c>
      <c r="I223" s="1" t="s">
        <v>308</v>
      </c>
      <c r="J223" s="1" t="s">
        <v>246</v>
      </c>
    </row>
    <row r="224" customFormat="false" ht="13.8" hidden="false" customHeight="false" outlineLevel="0" collapsed="false">
      <c r="A224" s="1" t="str">
        <f aca="false">IF(J224="DIESEL", "D", "G")</f>
        <v>D</v>
      </c>
      <c r="B224" s="1" t="n">
        <v>0.84</v>
      </c>
      <c r="C224" s="1" t="n">
        <f aca="false">F224*1000</f>
        <v>52095786.297</v>
      </c>
      <c r="D224" s="37" t="s">
        <v>234</v>
      </c>
      <c r="E224" s="1" t="s">
        <v>282</v>
      </c>
      <c r="F224" s="1" t="n">
        <v>52095.786297</v>
      </c>
      <c r="G224" s="37" t="n">
        <v>2019</v>
      </c>
      <c r="H224" s="1" t="n">
        <v>7</v>
      </c>
      <c r="I224" s="1" t="s">
        <v>309</v>
      </c>
      <c r="J224" s="1" t="s">
        <v>246</v>
      </c>
    </row>
    <row r="225" customFormat="false" ht="13.8" hidden="false" customHeight="false" outlineLevel="0" collapsed="false">
      <c r="A225" s="1" t="str">
        <f aca="false">IF(J225="DIESEL", "D", "G")</f>
        <v>D</v>
      </c>
      <c r="B225" s="1" t="n">
        <v>0.84</v>
      </c>
      <c r="C225" s="1" t="n">
        <f aca="false">F225*1000</f>
        <v>51280056.508884</v>
      </c>
      <c r="D225" s="37" t="s">
        <v>234</v>
      </c>
      <c r="E225" s="1" t="s">
        <v>282</v>
      </c>
      <c r="F225" s="1" t="n">
        <v>51280.056508884</v>
      </c>
      <c r="G225" s="37" t="n">
        <v>2019</v>
      </c>
      <c r="H225" s="1" t="n">
        <v>8</v>
      </c>
      <c r="I225" s="1" t="s">
        <v>310</v>
      </c>
      <c r="J225" s="1" t="s">
        <v>246</v>
      </c>
    </row>
    <row r="226" customFormat="false" ht="13.8" hidden="false" customHeight="false" outlineLevel="0" collapsed="false">
      <c r="A226" s="1" t="str">
        <f aca="false">IF(J226="DIESEL", "D", "G")</f>
        <v>D</v>
      </c>
      <c r="B226" s="1" t="n">
        <v>0.84</v>
      </c>
      <c r="C226" s="1" t="n">
        <f aca="false">F226*1000</f>
        <v>50622799.208736</v>
      </c>
      <c r="D226" s="37" t="s">
        <v>234</v>
      </c>
      <c r="E226" s="1" t="s">
        <v>282</v>
      </c>
      <c r="F226" s="1" t="n">
        <v>50622.799208736</v>
      </c>
      <c r="G226" s="37" t="n">
        <v>2019</v>
      </c>
      <c r="H226" s="1" t="n">
        <v>9</v>
      </c>
      <c r="I226" s="1" t="s">
        <v>311</v>
      </c>
      <c r="J226" s="1" t="s">
        <v>246</v>
      </c>
    </row>
    <row r="227" customFormat="false" ht="13.8" hidden="false" customHeight="false" outlineLevel="0" collapsed="false">
      <c r="A227" s="1" t="str">
        <f aca="false">IF(J227="DIESEL", "D", "G")</f>
        <v>D</v>
      </c>
      <c r="B227" s="1" t="n">
        <v>0.84</v>
      </c>
      <c r="C227" s="1" t="n">
        <f aca="false">F227*1000</f>
        <v>44818642.130784</v>
      </c>
      <c r="D227" s="37" t="s">
        <v>234</v>
      </c>
      <c r="E227" s="1" t="s">
        <v>282</v>
      </c>
      <c r="F227" s="1" t="n">
        <v>44818.642130784</v>
      </c>
      <c r="G227" s="37" t="n">
        <v>2019</v>
      </c>
      <c r="H227" s="1" t="n">
        <v>10</v>
      </c>
      <c r="I227" s="1" t="s">
        <v>312</v>
      </c>
      <c r="J227" s="1" t="s">
        <v>246</v>
      </c>
    </row>
    <row r="228" customFormat="false" ht="13.8" hidden="false" customHeight="false" outlineLevel="0" collapsed="false">
      <c r="A228" s="1" t="str">
        <f aca="false">IF(J228="DIESEL", "D", "G")</f>
        <v>D</v>
      </c>
      <c r="B228" s="1" t="n">
        <v>0.84</v>
      </c>
      <c r="C228" s="1" t="n">
        <f aca="false">F228*1000</f>
        <v>51110890.232016</v>
      </c>
      <c r="D228" s="37" t="s">
        <v>234</v>
      </c>
      <c r="E228" s="1" t="s">
        <v>282</v>
      </c>
      <c r="F228" s="1" t="n">
        <v>51110.890232016</v>
      </c>
      <c r="G228" s="37" t="n">
        <v>2019</v>
      </c>
      <c r="H228" s="1" t="n">
        <v>11</v>
      </c>
      <c r="I228" s="1" t="s">
        <v>313</v>
      </c>
      <c r="J228" s="1" t="s">
        <v>246</v>
      </c>
    </row>
    <row r="229" customFormat="false" ht="13.8" hidden="false" customHeight="false" outlineLevel="0" collapsed="false">
      <c r="A229" s="1" t="str">
        <f aca="false">IF(J229="DIESEL", "D", "G")</f>
        <v>D</v>
      </c>
      <c r="B229" s="1" t="n">
        <v>0.84</v>
      </c>
      <c r="C229" s="1" t="n">
        <f aca="false">F229*1000</f>
        <v>51921112.245672</v>
      </c>
      <c r="D229" s="37" t="s">
        <v>234</v>
      </c>
      <c r="E229" s="1" t="s">
        <v>282</v>
      </c>
      <c r="F229" s="1" t="n">
        <v>51921.112245672</v>
      </c>
      <c r="G229" s="37" t="n">
        <v>2019</v>
      </c>
      <c r="H229" s="1" t="n">
        <v>12</v>
      </c>
      <c r="I229" s="1" t="s">
        <v>314</v>
      </c>
      <c r="J229" s="1" t="s">
        <v>246</v>
      </c>
    </row>
    <row r="230" customFormat="false" ht="13.8" hidden="false" customHeight="false" outlineLevel="0" collapsed="false">
      <c r="A230" s="1" t="str">
        <f aca="false">IF(J230="DIESEL", "D", "G")</f>
        <v>D</v>
      </c>
      <c r="B230" s="1" t="n">
        <v>0.84</v>
      </c>
      <c r="C230" s="1" t="n">
        <f aca="false">F230*1000</f>
        <v>5247815.076312</v>
      </c>
      <c r="D230" s="37" t="s">
        <v>234</v>
      </c>
      <c r="E230" s="1" t="s">
        <v>284</v>
      </c>
      <c r="F230" s="1" t="n">
        <v>5247.815076312</v>
      </c>
      <c r="G230" s="37" t="n">
        <v>2019</v>
      </c>
      <c r="H230" s="1" t="n">
        <v>1</v>
      </c>
      <c r="I230" s="1" t="s">
        <v>303</v>
      </c>
      <c r="J230" s="1" t="s">
        <v>246</v>
      </c>
    </row>
    <row r="231" customFormat="false" ht="13.8" hidden="false" customHeight="false" outlineLevel="0" collapsed="false">
      <c r="A231" s="1" t="str">
        <f aca="false">IF(J231="DIESEL", "D", "G")</f>
        <v>D</v>
      </c>
      <c r="B231" s="1" t="n">
        <v>0.84</v>
      </c>
      <c r="C231" s="1" t="n">
        <f aca="false">F231*1000</f>
        <v>4723262.964648</v>
      </c>
      <c r="D231" s="37" t="s">
        <v>234</v>
      </c>
      <c r="E231" s="1" t="s">
        <v>284</v>
      </c>
      <c r="F231" s="1" t="n">
        <v>4723.262964648</v>
      </c>
      <c r="G231" s="37" t="n">
        <v>2019</v>
      </c>
      <c r="H231" s="1" t="n">
        <v>2</v>
      </c>
      <c r="I231" s="1" t="s">
        <v>304</v>
      </c>
      <c r="J231" s="1" t="s">
        <v>246</v>
      </c>
    </row>
    <row r="232" customFormat="false" ht="13.8" hidden="false" customHeight="false" outlineLevel="0" collapsed="false">
      <c r="A232" s="1" t="str">
        <f aca="false">IF(J232="DIESEL", "D", "G")</f>
        <v>D</v>
      </c>
      <c r="B232" s="1" t="n">
        <v>0.84</v>
      </c>
      <c r="C232" s="1" t="n">
        <f aca="false">F232*1000</f>
        <v>4915773.87732</v>
      </c>
      <c r="D232" s="37" t="s">
        <v>234</v>
      </c>
      <c r="E232" s="1" t="s">
        <v>284</v>
      </c>
      <c r="F232" s="1" t="n">
        <v>4915.77387732</v>
      </c>
      <c r="G232" s="37" t="n">
        <v>2019</v>
      </c>
      <c r="H232" s="1" t="n">
        <v>3</v>
      </c>
      <c r="I232" s="1" t="s">
        <v>305</v>
      </c>
      <c r="J232" s="1" t="s">
        <v>246</v>
      </c>
    </row>
    <row r="233" customFormat="false" ht="13.8" hidden="false" customHeight="false" outlineLevel="0" collapsed="false">
      <c r="A233" s="1" t="str">
        <f aca="false">IF(J233="DIESEL", "D", "G")</f>
        <v>D</v>
      </c>
      <c r="B233" s="1" t="n">
        <v>0.84</v>
      </c>
      <c r="C233" s="1" t="n">
        <f aca="false">F233*1000</f>
        <v>5460926.201088</v>
      </c>
      <c r="D233" s="37" t="s">
        <v>234</v>
      </c>
      <c r="E233" s="1" t="s">
        <v>284</v>
      </c>
      <c r="F233" s="1" t="n">
        <v>5460.926201088</v>
      </c>
      <c r="G233" s="37" t="n">
        <v>2019</v>
      </c>
      <c r="H233" s="1" t="n">
        <v>4</v>
      </c>
      <c r="I233" s="1" t="s">
        <v>306</v>
      </c>
      <c r="J233" s="1" t="s">
        <v>246</v>
      </c>
    </row>
    <row r="234" customFormat="false" ht="13.8" hidden="false" customHeight="false" outlineLevel="0" collapsed="false">
      <c r="A234" s="1" t="str">
        <f aca="false">IF(J234="DIESEL", "D", "G")</f>
        <v>D</v>
      </c>
      <c r="B234" s="1" t="n">
        <v>0.84</v>
      </c>
      <c r="C234" s="1" t="n">
        <f aca="false">F234*1000</f>
        <v>5736810.81306</v>
      </c>
      <c r="D234" s="37" t="s">
        <v>234</v>
      </c>
      <c r="E234" s="1" t="s">
        <v>284</v>
      </c>
      <c r="F234" s="1" t="n">
        <v>5736.81081306</v>
      </c>
      <c r="G234" s="37" t="n">
        <v>2019</v>
      </c>
      <c r="H234" s="1" t="n">
        <v>5</v>
      </c>
      <c r="I234" s="1" t="s">
        <v>307</v>
      </c>
      <c r="J234" s="1" t="s">
        <v>246</v>
      </c>
    </row>
    <row r="235" customFormat="false" ht="13.8" hidden="false" customHeight="false" outlineLevel="0" collapsed="false">
      <c r="A235" s="1" t="str">
        <f aca="false">IF(J235="DIESEL", "D", "G")</f>
        <v>D</v>
      </c>
      <c r="B235" s="1" t="n">
        <v>0.84</v>
      </c>
      <c r="C235" s="1" t="n">
        <f aca="false">F235*1000</f>
        <v>4930605.121536</v>
      </c>
      <c r="D235" s="37" t="s">
        <v>234</v>
      </c>
      <c r="E235" s="1" t="s">
        <v>284</v>
      </c>
      <c r="F235" s="1" t="n">
        <v>4930.605121536</v>
      </c>
      <c r="G235" s="37" t="n">
        <v>2019</v>
      </c>
      <c r="H235" s="1" t="n">
        <v>6</v>
      </c>
      <c r="I235" s="1" t="s">
        <v>308</v>
      </c>
      <c r="J235" s="1" t="s">
        <v>246</v>
      </c>
    </row>
    <row r="236" customFormat="false" ht="13.8" hidden="false" customHeight="false" outlineLevel="0" collapsed="false">
      <c r="A236" s="1" t="str">
        <f aca="false">IF(J236="DIESEL", "D", "G")</f>
        <v>D</v>
      </c>
      <c r="B236" s="1" t="n">
        <v>0.84</v>
      </c>
      <c r="C236" s="1" t="n">
        <f aca="false">F236*1000</f>
        <v>5934318.469572</v>
      </c>
      <c r="D236" s="37" t="s">
        <v>234</v>
      </c>
      <c r="E236" s="1" t="s">
        <v>284</v>
      </c>
      <c r="F236" s="1" t="n">
        <v>5934.318469572</v>
      </c>
      <c r="G236" s="37" t="n">
        <v>2019</v>
      </c>
      <c r="H236" s="1" t="n">
        <v>7</v>
      </c>
      <c r="I236" s="1" t="s">
        <v>309</v>
      </c>
      <c r="J236" s="1" t="s">
        <v>246</v>
      </c>
    </row>
    <row r="237" customFormat="false" ht="13.8" hidden="false" customHeight="false" outlineLevel="0" collapsed="false">
      <c r="A237" s="1" t="str">
        <f aca="false">IF(J237="DIESEL", "D", "G")</f>
        <v>D</v>
      </c>
      <c r="B237" s="1" t="n">
        <v>0.84</v>
      </c>
      <c r="C237" s="1" t="n">
        <f aca="false">F237*1000</f>
        <v>5784594.068736</v>
      </c>
      <c r="D237" s="37" t="s">
        <v>234</v>
      </c>
      <c r="E237" s="1" t="s">
        <v>284</v>
      </c>
      <c r="F237" s="1" t="n">
        <v>5784.594068736</v>
      </c>
      <c r="G237" s="37" t="n">
        <v>2019</v>
      </c>
      <c r="H237" s="1" t="n">
        <v>8</v>
      </c>
      <c r="I237" s="1" t="s">
        <v>310</v>
      </c>
      <c r="J237" s="1" t="s">
        <v>246</v>
      </c>
    </row>
    <row r="238" customFormat="false" ht="13.8" hidden="false" customHeight="false" outlineLevel="0" collapsed="false">
      <c r="A238" s="1" t="str">
        <f aca="false">IF(J238="DIESEL", "D", "G")</f>
        <v>D</v>
      </c>
      <c r="B238" s="1" t="n">
        <v>0.84</v>
      </c>
      <c r="C238" s="1" t="n">
        <f aca="false">F238*1000</f>
        <v>5490054.946428</v>
      </c>
      <c r="D238" s="37" t="s">
        <v>234</v>
      </c>
      <c r="E238" s="1" t="s">
        <v>284</v>
      </c>
      <c r="F238" s="1" t="n">
        <v>5490.054946428</v>
      </c>
      <c r="G238" s="37" t="n">
        <v>2019</v>
      </c>
      <c r="H238" s="1" t="n">
        <v>9</v>
      </c>
      <c r="I238" s="1" t="s">
        <v>311</v>
      </c>
      <c r="J238" s="1" t="s">
        <v>246</v>
      </c>
    </row>
    <row r="239" customFormat="false" ht="13.8" hidden="false" customHeight="false" outlineLevel="0" collapsed="false">
      <c r="A239" s="1" t="str">
        <f aca="false">IF(J239="DIESEL", "D", "G")</f>
        <v>D</v>
      </c>
      <c r="B239" s="1" t="n">
        <v>0.84</v>
      </c>
      <c r="C239" s="1" t="n">
        <f aca="false">F239*1000</f>
        <v>4707920.689812</v>
      </c>
      <c r="D239" s="37" t="s">
        <v>234</v>
      </c>
      <c r="E239" s="1" t="s">
        <v>284</v>
      </c>
      <c r="F239" s="1" t="n">
        <v>4707.920689812</v>
      </c>
      <c r="G239" s="37" t="n">
        <v>2019</v>
      </c>
      <c r="H239" s="1" t="n">
        <v>10</v>
      </c>
      <c r="I239" s="1" t="s">
        <v>312</v>
      </c>
      <c r="J239" s="1" t="s">
        <v>246</v>
      </c>
    </row>
    <row r="240" customFormat="false" ht="13.8" hidden="false" customHeight="false" outlineLevel="0" collapsed="false">
      <c r="A240" s="1" t="str">
        <f aca="false">IF(J240="DIESEL", "D", "G")</f>
        <v>D</v>
      </c>
      <c r="B240" s="1" t="n">
        <v>0.84</v>
      </c>
      <c r="C240" s="1" t="n">
        <f aca="false">F240*1000</f>
        <v>4788796.017192</v>
      </c>
      <c r="D240" s="37" t="s">
        <v>234</v>
      </c>
      <c r="E240" s="1" t="s">
        <v>284</v>
      </c>
      <c r="F240" s="1" t="n">
        <v>4788.796017192</v>
      </c>
      <c r="G240" s="37" t="n">
        <v>2019</v>
      </c>
      <c r="H240" s="1" t="n">
        <v>11</v>
      </c>
      <c r="I240" s="1" t="s">
        <v>313</v>
      </c>
      <c r="J240" s="1" t="s">
        <v>246</v>
      </c>
    </row>
    <row r="241" customFormat="false" ht="13.8" hidden="false" customHeight="false" outlineLevel="0" collapsed="false">
      <c r="A241" s="1" t="str">
        <f aca="false">IF(J241="DIESEL", "D", "G")</f>
        <v>D</v>
      </c>
      <c r="B241" s="1" t="n">
        <v>0.84</v>
      </c>
      <c r="C241" s="1" t="n">
        <f aca="false">F241*1000</f>
        <v>5263834.939896</v>
      </c>
      <c r="D241" s="37" t="s">
        <v>234</v>
      </c>
      <c r="E241" s="1" t="s">
        <v>284</v>
      </c>
      <c r="F241" s="1" t="n">
        <v>5263.834939896</v>
      </c>
      <c r="G241" s="37" t="n">
        <v>2019</v>
      </c>
      <c r="H241" s="1" t="n">
        <v>12</v>
      </c>
      <c r="I241" s="1" t="s">
        <v>314</v>
      </c>
      <c r="J241" s="1" t="s">
        <v>246</v>
      </c>
    </row>
    <row r="242" customFormat="false" ht="13.8" hidden="false" customHeight="false" outlineLevel="0" collapsed="false">
      <c r="A242" s="1" t="str">
        <f aca="false">IF(J242="DIESEL", "D", "G")</f>
        <v>D</v>
      </c>
      <c r="B242" s="1" t="n">
        <v>0.84</v>
      </c>
      <c r="C242" s="1" t="n">
        <f aca="false">F242*1000</f>
        <v>12567677.616948</v>
      </c>
      <c r="D242" s="37" t="s">
        <v>234</v>
      </c>
      <c r="E242" s="1" t="s">
        <v>286</v>
      </c>
      <c r="F242" s="1" t="n">
        <v>12567.677616948</v>
      </c>
      <c r="G242" s="37" t="n">
        <v>2019</v>
      </c>
      <c r="H242" s="1" t="n">
        <v>1</v>
      </c>
      <c r="I242" s="1" t="s">
        <v>303</v>
      </c>
      <c r="J242" s="1" t="s">
        <v>246</v>
      </c>
    </row>
    <row r="243" customFormat="false" ht="13.8" hidden="false" customHeight="false" outlineLevel="0" collapsed="false">
      <c r="A243" s="1" t="str">
        <f aca="false">IF(J243="DIESEL", "D", "G")</f>
        <v>D</v>
      </c>
      <c r="B243" s="1" t="n">
        <v>0.84</v>
      </c>
      <c r="C243" s="1" t="n">
        <f aca="false">F243*1000</f>
        <v>11608253.589312</v>
      </c>
      <c r="D243" s="37" t="s">
        <v>234</v>
      </c>
      <c r="E243" s="1" t="s">
        <v>286</v>
      </c>
      <c r="F243" s="1" t="n">
        <v>11608.253589312</v>
      </c>
      <c r="G243" s="37" t="n">
        <v>2019</v>
      </c>
      <c r="H243" s="1" t="n">
        <v>2</v>
      </c>
      <c r="I243" s="1" t="s">
        <v>304</v>
      </c>
      <c r="J243" s="1" t="s">
        <v>246</v>
      </c>
    </row>
    <row r="244" customFormat="false" ht="13.8" hidden="false" customHeight="false" outlineLevel="0" collapsed="false">
      <c r="A244" s="1" t="str">
        <f aca="false">IF(J244="DIESEL", "D", "G")</f>
        <v>D</v>
      </c>
      <c r="B244" s="1" t="n">
        <v>0.84</v>
      </c>
      <c r="C244" s="1" t="n">
        <f aca="false">F244*1000</f>
        <v>12296933.594472</v>
      </c>
      <c r="D244" s="37" t="s">
        <v>234</v>
      </c>
      <c r="E244" s="1" t="s">
        <v>286</v>
      </c>
      <c r="F244" s="1" t="n">
        <v>12296.933594472</v>
      </c>
      <c r="G244" s="37" t="n">
        <v>2019</v>
      </c>
      <c r="H244" s="1" t="n">
        <v>3</v>
      </c>
      <c r="I244" s="1" t="s">
        <v>305</v>
      </c>
      <c r="J244" s="1" t="s">
        <v>246</v>
      </c>
    </row>
    <row r="245" customFormat="false" ht="13.8" hidden="false" customHeight="false" outlineLevel="0" collapsed="false">
      <c r="A245" s="1" t="str">
        <f aca="false">IF(J245="DIESEL", "D", "G")</f>
        <v>D</v>
      </c>
      <c r="B245" s="1" t="n">
        <v>0.84</v>
      </c>
      <c r="C245" s="1" t="n">
        <f aca="false">F245*1000</f>
        <v>12275542.23126</v>
      </c>
      <c r="D245" s="37" t="s">
        <v>234</v>
      </c>
      <c r="E245" s="1" t="s">
        <v>286</v>
      </c>
      <c r="F245" s="1" t="n">
        <v>12275.54223126</v>
      </c>
      <c r="G245" s="37" t="n">
        <v>2019</v>
      </c>
      <c r="H245" s="1" t="n">
        <v>4</v>
      </c>
      <c r="I245" s="1" t="s">
        <v>306</v>
      </c>
      <c r="J245" s="1" t="s">
        <v>246</v>
      </c>
    </row>
    <row r="246" customFormat="false" ht="13.8" hidden="false" customHeight="false" outlineLevel="0" collapsed="false">
      <c r="A246" s="1" t="str">
        <f aca="false">IF(J246="DIESEL", "D", "G")</f>
        <v>D</v>
      </c>
      <c r="B246" s="1" t="n">
        <v>0.84</v>
      </c>
      <c r="C246" s="1" t="n">
        <f aca="false">F246*1000</f>
        <v>13120434.833424</v>
      </c>
      <c r="D246" s="37" t="s">
        <v>234</v>
      </c>
      <c r="E246" s="1" t="s">
        <v>286</v>
      </c>
      <c r="F246" s="1" t="n">
        <v>13120.434833424</v>
      </c>
      <c r="G246" s="37" t="n">
        <v>2019</v>
      </c>
      <c r="H246" s="1" t="n">
        <v>5</v>
      </c>
      <c r="I246" s="1" t="s">
        <v>307</v>
      </c>
      <c r="J246" s="1" t="s">
        <v>246</v>
      </c>
    </row>
    <row r="247" customFormat="false" ht="13.8" hidden="false" customHeight="false" outlineLevel="0" collapsed="false">
      <c r="A247" s="1" t="str">
        <f aca="false">IF(J247="DIESEL", "D", "G")</f>
        <v>D</v>
      </c>
      <c r="B247" s="1" t="n">
        <v>0.84</v>
      </c>
      <c r="C247" s="1" t="n">
        <f aca="false">F247*1000</f>
        <v>12644294.355828</v>
      </c>
      <c r="D247" s="37" t="s">
        <v>234</v>
      </c>
      <c r="E247" s="1" t="s">
        <v>286</v>
      </c>
      <c r="F247" s="1" t="n">
        <v>12644.294355828</v>
      </c>
      <c r="G247" s="37" t="n">
        <v>2019</v>
      </c>
      <c r="H247" s="1" t="n">
        <v>6</v>
      </c>
      <c r="I247" s="1" t="s">
        <v>308</v>
      </c>
      <c r="J247" s="1" t="s">
        <v>246</v>
      </c>
    </row>
    <row r="248" customFormat="false" ht="13.8" hidden="false" customHeight="false" outlineLevel="0" collapsed="false">
      <c r="A248" s="1" t="str">
        <f aca="false">IF(J248="DIESEL", "D", "G")</f>
        <v>D</v>
      </c>
      <c r="B248" s="1" t="n">
        <v>0.84</v>
      </c>
      <c r="C248" s="1" t="n">
        <f aca="false">F248*1000</f>
        <v>13700227.462404</v>
      </c>
      <c r="D248" s="37" t="s">
        <v>234</v>
      </c>
      <c r="E248" s="1" t="s">
        <v>286</v>
      </c>
      <c r="F248" s="1" t="n">
        <v>13700.227462404</v>
      </c>
      <c r="G248" s="37" t="n">
        <v>2019</v>
      </c>
      <c r="H248" s="1" t="n">
        <v>7</v>
      </c>
      <c r="I248" s="1" t="s">
        <v>309</v>
      </c>
      <c r="J248" s="1" t="s">
        <v>246</v>
      </c>
    </row>
    <row r="249" customFormat="false" ht="13.8" hidden="false" customHeight="false" outlineLevel="0" collapsed="false">
      <c r="A249" s="1" t="str">
        <f aca="false">IF(J249="DIESEL", "D", "G")</f>
        <v>D</v>
      </c>
      <c r="B249" s="1" t="n">
        <v>0.84</v>
      </c>
      <c r="C249" s="1" t="n">
        <f aca="false">F249*1000</f>
        <v>13873364.63646</v>
      </c>
      <c r="D249" s="37" t="s">
        <v>234</v>
      </c>
      <c r="E249" s="1" t="s">
        <v>286</v>
      </c>
      <c r="F249" s="1" t="n">
        <v>13873.36463646</v>
      </c>
      <c r="G249" s="37" t="n">
        <v>2019</v>
      </c>
      <c r="H249" s="1" t="n">
        <v>8</v>
      </c>
      <c r="I249" s="1" t="s">
        <v>310</v>
      </c>
      <c r="J249" s="1" t="s">
        <v>246</v>
      </c>
    </row>
    <row r="250" customFormat="false" ht="13.8" hidden="false" customHeight="false" outlineLevel="0" collapsed="false">
      <c r="A250" s="1" t="str">
        <f aca="false">IF(J250="DIESEL", "D", "G")</f>
        <v>D</v>
      </c>
      <c r="B250" s="1" t="n">
        <v>0.84</v>
      </c>
      <c r="C250" s="1" t="n">
        <f aca="false">F250*1000</f>
        <v>12949591.61904</v>
      </c>
      <c r="D250" s="37" t="s">
        <v>234</v>
      </c>
      <c r="E250" s="1" t="s">
        <v>286</v>
      </c>
      <c r="F250" s="1" t="n">
        <v>12949.59161904</v>
      </c>
      <c r="G250" s="37" t="n">
        <v>2019</v>
      </c>
      <c r="H250" s="1" t="n">
        <v>9</v>
      </c>
      <c r="I250" s="1" t="s">
        <v>311</v>
      </c>
      <c r="J250" s="1" t="s">
        <v>246</v>
      </c>
    </row>
    <row r="251" customFormat="false" ht="13.8" hidden="false" customHeight="false" outlineLevel="0" collapsed="false">
      <c r="A251" s="1" t="str">
        <f aca="false">IF(J251="DIESEL", "D", "G")</f>
        <v>D</v>
      </c>
      <c r="B251" s="1" t="n">
        <v>0.84</v>
      </c>
      <c r="C251" s="1" t="n">
        <f aca="false">F251*1000</f>
        <v>12422730.406056</v>
      </c>
      <c r="D251" s="37" t="s">
        <v>234</v>
      </c>
      <c r="E251" s="1" t="s">
        <v>286</v>
      </c>
      <c r="F251" s="1" t="n">
        <v>12422.730406056</v>
      </c>
      <c r="G251" s="37" t="n">
        <v>2019</v>
      </c>
      <c r="H251" s="1" t="n">
        <v>10</v>
      </c>
      <c r="I251" s="1" t="s">
        <v>312</v>
      </c>
      <c r="J251" s="1" t="s">
        <v>246</v>
      </c>
    </row>
    <row r="252" customFormat="false" ht="13.8" hidden="false" customHeight="false" outlineLevel="0" collapsed="false">
      <c r="A252" s="1" t="str">
        <f aca="false">IF(J252="DIESEL", "D", "G")</f>
        <v>D</v>
      </c>
      <c r="B252" s="1" t="n">
        <v>0.84</v>
      </c>
      <c r="C252" s="1" t="n">
        <f aca="false">F252*1000</f>
        <v>12929657.639448</v>
      </c>
      <c r="D252" s="37" t="s">
        <v>234</v>
      </c>
      <c r="E252" s="1" t="s">
        <v>286</v>
      </c>
      <c r="F252" s="1" t="n">
        <v>12929.657639448</v>
      </c>
      <c r="G252" s="37" t="n">
        <v>2019</v>
      </c>
      <c r="H252" s="1" t="n">
        <v>11</v>
      </c>
      <c r="I252" s="1" t="s">
        <v>313</v>
      </c>
      <c r="J252" s="1" t="s">
        <v>246</v>
      </c>
    </row>
    <row r="253" customFormat="false" ht="13.8" hidden="false" customHeight="false" outlineLevel="0" collapsed="false">
      <c r="A253" s="1" t="str">
        <f aca="false">IF(J253="DIESEL", "D", "G")</f>
        <v>D</v>
      </c>
      <c r="B253" s="1" t="n">
        <v>0.84</v>
      </c>
      <c r="C253" s="1" t="n">
        <f aca="false">F253*1000</f>
        <v>13623644.792232</v>
      </c>
      <c r="D253" s="37" t="s">
        <v>234</v>
      </c>
      <c r="E253" s="1" t="s">
        <v>286</v>
      </c>
      <c r="F253" s="1" t="n">
        <v>13623.644792232</v>
      </c>
      <c r="G253" s="37" t="n">
        <v>2019</v>
      </c>
      <c r="H253" s="1" t="n">
        <v>12</v>
      </c>
      <c r="I253" s="1" t="s">
        <v>314</v>
      </c>
      <c r="J253" s="1" t="s">
        <v>246</v>
      </c>
    </row>
    <row r="254" customFormat="false" ht="13.8" hidden="false" customHeight="false" outlineLevel="0" collapsed="false">
      <c r="A254" s="1" t="str">
        <f aca="false">IF(J254="DIESEL", "D", "G")</f>
        <v>D</v>
      </c>
      <c r="B254" s="1" t="n">
        <v>0.84</v>
      </c>
      <c r="C254" s="1" t="n">
        <f aca="false">F254*1000</f>
        <v>4833971.124</v>
      </c>
      <c r="D254" s="37" t="s">
        <v>234</v>
      </c>
      <c r="E254" s="1" t="s">
        <v>288</v>
      </c>
      <c r="F254" s="1" t="n">
        <v>4833.971124</v>
      </c>
      <c r="G254" s="37" t="n">
        <v>2019</v>
      </c>
      <c r="H254" s="1" t="n">
        <v>1</v>
      </c>
      <c r="I254" s="1" t="s">
        <v>303</v>
      </c>
      <c r="J254" s="1" t="s">
        <v>246</v>
      </c>
    </row>
    <row r="255" customFormat="false" ht="13.8" hidden="false" customHeight="false" outlineLevel="0" collapsed="false">
      <c r="A255" s="1" t="str">
        <f aca="false">IF(J255="DIESEL", "D", "G")</f>
        <v>D</v>
      </c>
      <c r="B255" s="1" t="n">
        <v>0.84</v>
      </c>
      <c r="C255" s="1" t="n">
        <f aca="false">F255*1000</f>
        <v>4767631.7787</v>
      </c>
      <c r="D255" s="37" t="s">
        <v>234</v>
      </c>
      <c r="E255" s="1" t="s">
        <v>288</v>
      </c>
      <c r="F255" s="1" t="n">
        <v>4767.6317787</v>
      </c>
      <c r="G255" s="37" t="n">
        <v>2019</v>
      </c>
      <c r="H255" s="1" t="n">
        <v>2</v>
      </c>
      <c r="I255" s="1" t="s">
        <v>304</v>
      </c>
      <c r="J255" s="1" t="s">
        <v>246</v>
      </c>
    </row>
    <row r="256" customFormat="false" ht="13.8" hidden="false" customHeight="false" outlineLevel="0" collapsed="false">
      <c r="A256" s="1" t="str">
        <f aca="false">IF(J256="DIESEL", "D", "G")</f>
        <v>D</v>
      </c>
      <c r="B256" s="1" t="n">
        <v>0.84</v>
      </c>
      <c r="C256" s="1" t="n">
        <f aca="false">F256*1000</f>
        <v>5017563.606</v>
      </c>
      <c r="D256" s="37" t="s">
        <v>234</v>
      </c>
      <c r="E256" s="1" t="s">
        <v>288</v>
      </c>
      <c r="F256" s="1" t="n">
        <v>5017.563606</v>
      </c>
      <c r="G256" s="37" t="n">
        <v>2019</v>
      </c>
      <c r="H256" s="1" t="n">
        <v>3</v>
      </c>
      <c r="I256" s="1" t="s">
        <v>305</v>
      </c>
      <c r="J256" s="1" t="s">
        <v>246</v>
      </c>
    </row>
    <row r="257" customFormat="false" ht="13.8" hidden="false" customHeight="false" outlineLevel="0" collapsed="false">
      <c r="A257" s="1" t="str">
        <f aca="false">IF(J257="DIESEL", "D", "G")</f>
        <v>D</v>
      </c>
      <c r="B257" s="1" t="n">
        <v>0.84</v>
      </c>
      <c r="C257" s="1" t="n">
        <f aca="false">F257*1000</f>
        <v>4938077.524824</v>
      </c>
      <c r="D257" s="37" t="s">
        <v>234</v>
      </c>
      <c r="E257" s="1" t="s">
        <v>288</v>
      </c>
      <c r="F257" s="1" t="n">
        <v>4938.077524824</v>
      </c>
      <c r="G257" s="37" t="n">
        <v>2019</v>
      </c>
      <c r="H257" s="1" t="n">
        <v>4</v>
      </c>
      <c r="I257" s="1" t="s">
        <v>306</v>
      </c>
      <c r="J257" s="1" t="s">
        <v>246</v>
      </c>
    </row>
    <row r="258" customFormat="false" ht="13.8" hidden="false" customHeight="false" outlineLevel="0" collapsed="false">
      <c r="A258" s="1" t="str">
        <f aca="false">IF(J258="DIESEL", "D", "G")</f>
        <v>D</v>
      </c>
      <c r="B258" s="1" t="n">
        <v>0.84</v>
      </c>
      <c r="C258" s="1" t="n">
        <f aca="false">F258*1000</f>
        <v>4811258.652</v>
      </c>
      <c r="D258" s="37" t="s">
        <v>234</v>
      </c>
      <c r="E258" s="1" t="s">
        <v>288</v>
      </c>
      <c r="F258" s="1" t="n">
        <v>4811.258652</v>
      </c>
      <c r="G258" s="37" t="n">
        <v>2019</v>
      </c>
      <c r="H258" s="1" t="n">
        <v>5</v>
      </c>
      <c r="I258" s="1" t="s">
        <v>307</v>
      </c>
      <c r="J258" s="1" t="s">
        <v>246</v>
      </c>
    </row>
    <row r="259" customFormat="false" ht="13.8" hidden="false" customHeight="false" outlineLevel="0" collapsed="false">
      <c r="A259" s="1" t="str">
        <f aca="false">IF(J259="DIESEL", "D", "G")</f>
        <v>D</v>
      </c>
      <c r="B259" s="1" t="n">
        <v>0.84</v>
      </c>
      <c r="C259" s="1" t="n">
        <f aca="false">F259*1000</f>
        <v>4807473.24</v>
      </c>
      <c r="D259" s="37" t="s">
        <v>234</v>
      </c>
      <c r="E259" s="1" t="s">
        <v>288</v>
      </c>
      <c r="F259" s="1" t="n">
        <v>4807.47324</v>
      </c>
      <c r="G259" s="37" t="n">
        <v>2019</v>
      </c>
      <c r="H259" s="1" t="n">
        <v>6</v>
      </c>
      <c r="I259" s="1" t="s">
        <v>308</v>
      </c>
      <c r="J259" s="1" t="s">
        <v>246</v>
      </c>
    </row>
    <row r="260" customFormat="false" ht="13.8" hidden="false" customHeight="false" outlineLevel="0" collapsed="false">
      <c r="A260" s="1" t="str">
        <f aca="false">IF(J260="DIESEL", "D", "G")</f>
        <v>D</v>
      </c>
      <c r="B260" s="1" t="n">
        <v>0.84</v>
      </c>
      <c r="C260" s="1" t="n">
        <f aca="false">F260*1000</f>
        <v>4913464.776</v>
      </c>
      <c r="D260" s="37" t="s">
        <v>234</v>
      </c>
      <c r="E260" s="1" t="s">
        <v>288</v>
      </c>
      <c r="F260" s="1" t="n">
        <v>4913.464776</v>
      </c>
      <c r="G260" s="37" t="n">
        <v>2019</v>
      </c>
      <c r="H260" s="1" t="n">
        <v>7</v>
      </c>
      <c r="I260" s="1" t="s">
        <v>309</v>
      </c>
      <c r="J260" s="1" t="s">
        <v>246</v>
      </c>
    </row>
    <row r="261" customFormat="false" ht="13.8" hidden="false" customHeight="false" outlineLevel="0" collapsed="false">
      <c r="A261" s="1" t="str">
        <f aca="false">IF(J261="DIESEL", "D", "G")</f>
        <v>D</v>
      </c>
      <c r="B261" s="1" t="n">
        <v>0.84</v>
      </c>
      <c r="C261" s="1" t="n">
        <f aca="false">F261*1000</f>
        <v>4820722.182</v>
      </c>
      <c r="D261" s="37" t="s">
        <v>234</v>
      </c>
      <c r="E261" s="1" t="s">
        <v>288</v>
      </c>
      <c r="F261" s="1" t="n">
        <v>4820.722182</v>
      </c>
      <c r="G261" s="37" t="n">
        <v>2019</v>
      </c>
      <c r="H261" s="1" t="n">
        <v>8</v>
      </c>
      <c r="I261" s="1" t="s">
        <v>310</v>
      </c>
      <c r="J261" s="1" t="s">
        <v>246</v>
      </c>
    </row>
    <row r="262" customFormat="false" ht="13.8" hidden="false" customHeight="false" outlineLevel="0" collapsed="false">
      <c r="A262" s="1" t="str">
        <f aca="false">IF(J262="DIESEL", "D", "G")</f>
        <v>D</v>
      </c>
      <c r="B262" s="1" t="n">
        <v>0.84</v>
      </c>
      <c r="C262" s="1" t="n">
        <f aca="false">F262*1000</f>
        <v>4902108.54</v>
      </c>
      <c r="D262" s="37" t="s">
        <v>234</v>
      </c>
      <c r="E262" s="1" t="s">
        <v>288</v>
      </c>
      <c r="F262" s="1" t="n">
        <v>4902.10854</v>
      </c>
      <c r="G262" s="37" t="n">
        <v>2019</v>
      </c>
      <c r="H262" s="1" t="n">
        <v>9</v>
      </c>
      <c r="I262" s="1" t="s">
        <v>311</v>
      </c>
      <c r="J262" s="1" t="s">
        <v>246</v>
      </c>
    </row>
    <row r="263" customFormat="false" ht="13.8" hidden="false" customHeight="false" outlineLevel="0" collapsed="false">
      <c r="A263" s="1" t="str">
        <f aca="false">IF(J263="DIESEL", "D", "G")</f>
        <v>D</v>
      </c>
      <c r="B263" s="1" t="n">
        <v>0.84</v>
      </c>
      <c r="C263" s="1" t="n">
        <f aca="false">F263*1000</f>
        <v>3938721.186</v>
      </c>
      <c r="D263" s="37" t="s">
        <v>234</v>
      </c>
      <c r="E263" s="1" t="s">
        <v>288</v>
      </c>
      <c r="F263" s="1" t="n">
        <v>3938.721186</v>
      </c>
      <c r="G263" s="37" t="n">
        <v>2019</v>
      </c>
      <c r="H263" s="1" t="n">
        <v>10</v>
      </c>
      <c r="I263" s="1" t="s">
        <v>312</v>
      </c>
      <c r="J263" s="1" t="s">
        <v>246</v>
      </c>
    </row>
    <row r="264" customFormat="false" ht="13.8" hidden="false" customHeight="false" outlineLevel="0" collapsed="false">
      <c r="A264" s="1" t="str">
        <f aca="false">IF(J264="DIESEL", "D", "G")</f>
        <v>D</v>
      </c>
      <c r="B264" s="1" t="n">
        <v>0.84</v>
      </c>
      <c r="C264" s="1" t="n">
        <f aca="false">F264*1000</f>
        <v>5197370.676</v>
      </c>
      <c r="D264" s="37" t="s">
        <v>234</v>
      </c>
      <c r="E264" s="1" t="s">
        <v>288</v>
      </c>
      <c r="F264" s="1" t="n">
        <v>5197.370676</v>
      </c>
      <c r="G264" s="37" t="n">
        <v>2019</v>
      </c>
      <c r="H264" s="1" t="n">
        <v>11</v>
      </c>
      <c r="I264" s="1" t="s">
        <v>313</v>
      </c>
      <c r="J264" s="1" t="s">
        <v>246</v>
      </c>
    </row>
    <row r="265" customFormat="false" ht="13.8" hidden="false" customHeight="false" outlineLevel="0" collapsed="false">
      <c r="A265" s="1" t="str">
        <f aca="false">IF(J265="DIESEL", "D", "G")</f>
        <v>D</v>
      </c>
      <c r="B265" s="1" t="n">
        <v>0.84</v>
      </c>
      <c r="C265" s="1" t="n">
        <f aca="false">F265*1000</f>
        <v>5602409.76</v>
      </c>
      <c r="D265" s="37" t="s">
        <v>234</v>
      </c>
      <c r="E265" s="1" t="s">
        <v>288</v>
      </c>
      <c r="F265" s="1" t="n">
        <v>5602.40976</v>
      </c>
      <c r="G265" s="37" t="n">
        <v>2019</v>
      </c>
      <c r="H265" s="1" t="n">
        <v>12</v>
      </c>
      <c r="I265" s="1" t="s">
        <v>314</v>
      </c>
      <c r="J265" s="1" t="s">
        <v>246</v>
      </c>
    </row>
    <row r="266" customFormat="false" ht="13.8" hidden="false" customHeight="false" outlineLevel="0" collapsed="false">
      <c r="A266" s="1" t="str">
        <f aca="false">IF(J266="DIESEL", "D", "G")</f>
        <v>D</v>
      </c>
      <c r="B266" s="1" t="n">
        <v>0.84</v>
      </c>
      <c r="C266" s="1" t="n">
        <f aca="false">F266*1000</f>
        <v>11403553.65</v>
      </c>
      <c r="D266" s="37" t="s">
        <v>234</v>
      </c>
      <c r="E266" s="1" t="s">
        <v>290</v>
      </c>
      <c r="F266" s="1" t="n">
        <v>11403.55365</v>
      </c>
      <c r="G266" s="37" t="n">
        <v>2019</v>
      </c>
      <c r="H266" s="1" t="n">
        <v>1</v>
      </c>
      <c r="I266" s="1" t="s">
        <v>303</v>
      </c>
      <c r="J266" s="1" t="s">
        <v>246</v>
      </c>
    </row>
    <row r="267" customFormat="false" ht="13.8" hidden="false" customHeight="false" outlineLevel="0" collapsed="false">
      <c r="A267" s="1" t="str">
        <f aca="false">IF(J267="DIESEL", "D", "G")</f>
        <v>D</v>
      </c>
      <c r="B267" s="1" t="n">
        <v>0.84</v>
      </c>
      <c r="C267" s="1" t="n">
        <f aca="false">F267*1000</f>
        <v>11036368.686</v>
      </c>
      <c r="D267" s="37" t="s">
        <v>234</v>
      </c>
      <c r="E267" s="1" t="s">
        <v>290</v>
      </c>
      <c r="F267" s="1" t="n">
        <v>11036.368686</v>
      </c>
      <c r="G267" s="37" t="n">
        <v>2019</v>
      </c>
      <c r="H267" s="1" t="n">
        <v>2</v>
      </c>
      <c r="I267" s="1" t="s">
        <v>304</v>
      </c>
      <c r="J267" s="1" t="s">
        <v>246</v>
      </c>
    </row>
    <row r="268" customFormat="false" ht="13.8" hidden="false" customHeight="false" outlineLevel="0" collapsed="false">
      <c r="A268" s="1" t="str">
        <f aca="false">IF(J268="DIESEL", "D", "G")</f>
        <v>D</v>
      </c>
      <c r="B268" s="1" t="n">
        <v>0.84</v>
      </c>
      <c r="C268" s="1" t="n">
        <f aca="false">F268*1000</f>
        <v>11795343.792</v>
      </c>
      <c r="D268" s="37" t="s">
        <v>234</v>
      </c>
      <c r="E268" s="1" t="s">
        <v>290</v>
      </c>
      <c r="F268" s="1" t="n">
        <v>11795.343792</v>
      </c>
      <c r="G268" s="37" t="n">
        <v>2019</v>
      </c>
      <c r="H268" s="1" t="n">
        <v>3</v>
      </c>
      <c r="I268" s="1" t="s">
        <v>305</v>
      </c>
      <c r="J268" s="1" t="s">
        <v>246</v>
      </c>
    </row>
    <row r="269" customFormat="false" ht="13.8" hidden="false" customHeight="false" outlineLevel="0" collapsed="false">
      <c r="A269" s="1" t="str">
        <f aca="false">IF(J269="DIESEL", "D", "G")</f>
        <v>D</v>
      </c>
      <c r="B269" s="1" t="n">
        <v>0.84</v>
      </c>
      <c r="C269" s="1" t="n">
        <f aca="false">F269*1000</f>
        <v>11854017.678</v>
      </c>
      <c r="D269" s="37" t="s">
        <v>234</v>
      </c>
      <c r="E269" s="1" t="s">
        <v>290</v>
      </c>
      <c r="F269" s="1" t="n">
        <v>11854.017678</v>
      </c>
      <c r="G269" s="37" t="n">
        <v>2019</v>
      </c>
      <c r="H269" s="1" t="n">
        <v>4</v>
      </c>
      <c r="I269" s="1" t="s">
        <v>306</v>
      </c>
      <c r="J269" s="1" t="s">
        <v>246</v>
      </c>
    </row>
    <row r="270" customFormat="false" ht="13.8" hidden="false" customHeight="false" outlineLevel="0" collapsed="false">
      <c r="A270" s="1" t="str">
        <f aca="false">IF(J270="DIESEL", "D", "G")</f>
        <v>D</v>
      </c>
      <c r="B270" s="1" t="n">
        <v>0.84</v>
      </c>
      <c r="C270" s="1" t="n">
        <f aca="false">F270*1000</f>
        <v>12380189.946</v>
      </c>
      <c r="D270" s="37" t="s">
        <v>234</v>
      </c>
      <c r="E270" s="1" t="s">
        <v>290</v>
      </c>
      <c r="F270" s="1" t="n">
        <v>12380.189946</v>
      </c>
      <c r="G270" s="37" t="n">
        <v>2019</v>
      </c>
      <c r="H270" s="1" t="n">
        <v>5</v>
      </c>
      <c r="I270" s="1" t="s">
        <v>307</v>
      </c>
      <c r="J270" s="1" t="s">
        <v>246</v>
      </c>
    </row>
    <row r="271" customFormat="false" ht="13.8" hidden="false" customHeight="false" outlineLevel="0" collapsed="false">
      <c r="A271" s="1" t="str">
        <f aca="false">IF(J271="DIESEL", "D", "G")</f>
        <v>D</v>
      </c>
      <c r="B271" s="1" t="n">
        <v>0.84</v>
      </c>
      <c r="C271" s="1" t="n">
        <f aca="false">F271*1000</f>
        <v>11679888.726</v>
      </c>
      <c r="D271" s="37" t="s">
        <v>234</v>
      </c>
      <c r="E271" s="1" t="s">
        <v>290</v>
      </c>
      <c r="F271" s="1" t="n">
        <v>11679.888726</v>
      </c>
      <c r="G271" s="37" t="n">
        <v>2019</v>
      </c>
      <c r="H271" s="1" t="n">
        <v>6</v>
      </c>
      <c r="I271" s="1" t="s">
        <v>308</v>
      </c>
      <c r="J271" s="1" t="s">
        <v>246</v>
      </c>
    </row>
    <row r="272" customFormat="false" ht="13.8" hidden="false" customHeight="false" outlineLevel="0" collapsed="false">
      <c r="A272" s="1" t="str">
        <f aca="false">IF(J272="DIESEL", "D", "G")</f>
        <v>D</v>
      </c>
      <c r="B272" s="1" t="n">
        <v>0.84</v>
      </c>
      <c r="C272" s="1" t="n">
        <f aca="false">F272*1000</f>
        <v>13063456.812</v>
      </c>
      <c r="D272" s="37" t="s">
        <v>234</v>
      </c>
      <c r="E272" s="1" t="s">
        <v>290</v>
      </c>
      <c r="F272" s="1" t="n">
        <v>13063.456812</v>
      </c>
      <c r="G272" s="37" t="n">
        <v>2019</v>
      </c>
      <c r="H272" s="1" t="n">
        <v>7</v>
      </c>
      <c r="I272" s="1" t="s">
        <v>309</v>
      </c>
      <c r="J272" s="1" t="s">
        <v>246</v>
      </c>
    </row>
    <row r="273" customFormat="false" ht="13.8" hidden="false" customHeight="false" outlineLevel="0" collapsed="false">
      <c r="A273" s="1" t="str">
        <f aca="false">IF(J273="DIESEL", "D", "G")</f>
        <v>D</v>
      </c>
      <c r="B273" s="1" t="n">
        <v>0.84</v>
      </c>
      <c r="C273" s="1" t="n">
        <f aca="false">F273*1000</f>
        <v>12454005.48</v>
      </c>
      <c r="D273" s="37" t="s">
        <v>234</v>
      </c>
      <c r="E273" s="1" t="s">
        <v>290</v>
      </c>
      <c r="F273" s="1" t="n">
        <v>12454.00548</v>
      </c>
      <c r="G273" s="37" t="n">
        <v>2019</v>
      </c>
      <c r="H273" s="1" t="n">
        <v>8</v>
      </c>
      <c r="I273" s="1" t="s">
        <v>310</v>
      </c>
      <c r="J273" s="1" t="s">
        <v>246</v>
      </c>
    </row>
    <row r="274" customFormat="false" ht="13.8" hidden="false" customHeight="false" outlineLevel="0" collapsed="false">
      <c r="A274" s="1" t="str">
        <f aca="false">IF(J274="DIESEL", "D", "G")</f>
        <v>D</v>
      </c>
      <c r="B274" s="1" t="n">
        <v>0.84</v>
      </c>
      <c r="C274" s="1" t="n">
        <f aca="false">F274*1000</f>
        <v>11683674.138</v>
      </c>
      <c r="D274" s="37" t="s">
        <v>234</v>
      </c>
      <c r="E274" s="1" t="s">
        <v>290</v>
      </c>
      <c r="F274" s="1" t="n">
        <v>11683.674138</v>
      </c>
      <c r="G274" s="37" t="n">
        <v>2019</v>
      </c>
      <c r="H274" s="1" t="n">
        <v>9</v>
      </c>
      <c r="I274" s="1" t="s">
        <v>311</v>
      </c>
      <c r="J274" s="1" t="s">
        <v>246</v>
      </c>
    </row>
    <row r="275" customFormat="false" ht="13.8" hidden="false" customHeight="false" outlineLevel="0" collapsed="false">
      <c r="A275" s="1" t="str">
        <f aca="false">IF(J275="DIESEL", "D", "G")</f>
        <v>D</v>
      </c>
      <c r="B275" s="1" t="n">
        <v>0.84</v>
      </c>
      <c r="C275" s="1" t="n">
        <f aca="false">F275*1000</f>
        <v>9828822.258</v>
      </c>
      <c r="D275" s="37" t="s">
        <v>234</v>
      </c>
      <c r="E275" s="1" t="s">
        <v>290</v>
      </c>
      <c r="F275" s="1" t="n">
        <v>9828.822258</v>
      </c>
      <c r="G275" s="37" t="n">
        <v>2019</v>
      </c>
      <c r="H275" s="1" t="n">
        <v>10</v>
      </c>
      <c r="I275" s="1" t="s">
        <v>312</v>
      </c>
      <c r="J275" s="1" t="s">
        <v>246</v>
      </c>
    </row>
    <row r="276" customFormat="false" ht="13.8" hidden="false" customHeight="false" outlineLevel="0" collapsed="false">
      <c r="A276" s="1" t="str">
        <f aca="false">IF(J276="DIESEL", "D", "G")</f>
        <v>D</v>
      </c>
      <c r="B276" s="1" t="n">
        <v>0.84</v>
      </c>
      <c r="C276" s="1" t="n">
        <f aca="false">F276*1000</f>
        <v>11916476.976</v>
      </c>
      <c r="D276" s="37" t="s">
        <v>234</v>
      </c>
      <c r="E276" s="1" t="s">
        <v>290</v>
      </c>
      <c r="F276" s="1" t="n">
        <v>11916.476976</v>
      </c>
      <c r="G276" s="37" t="n">
        <v>2019</v>
      </c>
      <c r="H276" s="1" t="n">
        <v>11</v>
      </c>
      <c r="I276" s="1" t="s">
        <v>313</v>
      </c>
      <c r="J276" s="1" t="s">
        <v>246</v>
      </c>
    </row>
    <row r="277" customFormat="false" ht="13.8" hidden="false" customHeight="false" outlineLevel="0" collapsed="false">
      <c r="A277" s="1" t="str">
        <f aca="false">IF(J277="DIESEL", "D", "G")</f>
        <v>D</v>
      </c>
      <c r="B277" s="1" t="n">
        <v>0.84</v>
      </c>
      <c r="C277" s="1" t="n">
        <f aca="false">F277*1000</f>
        <v>12103854.87</v>
      </c>
      <c r="D277" s="37" t="s">
        <v>234</v>
      </c>
      <c r="E277" s="1" t="s">
        <v>290</v>
      </c>
      <c r="F277" s="1" t="n">
        <v>12103.85487</v>
      </c>
      <c r="G277" s="37" t="n">
        <v>2019</v>
      </c>
      <c r="H277" s="1" t="n">
        <v>12</v>
      </c>
      <c r="I277" s="1" t="s">
        <v>314</v>
      </c>
      <c r="J277" s="1" t="s">
        <v>246</v>
      </c>
    </row>
    <row r="278" customFormat="false" ht="13.8" hidden="false" customHeight="false" outlineLevel="0" collapsed="false">
      <c r="A278" s="1" t="str">
        <f aca="false">IF(J278="DIESEL", "D", "G")</f>
        <v>D</v>
      </c>
      <c r="B278" s="1" t="n">
        <v>0.84</v>
      </c>
      <c r="C278" s="1" t="n">
        <f aca="false">F278*1000</f>
        <v>195185.30625</v>
      </c>
      <c r="D278" s="37" t="s">
        <v>234</v>
      </c>
      <c r="E278" s="1" t="s">
        <v>292</v>
      </c>
      <c r="F278" s="1" t="n">
        <v>195.18530625</v>
      </c>
      <c r="G278" s="37" t="n">
        <v>2019</v>
      </c>
      <c r="H278" s="1" t="n">
        <v>1</v>
      </c>
      <c r="I278" s="1" t="s">
        <v>303</v>
      </c>
      <c r="J278" s="1" t="s">
        <v>246</v>
      </c>
    </row>
    <row r="279" customFormat="false" ht="13.8" hidden="false" customHeight="false" outlineLevel="0" collapsed="false">
      <c r="A279" s="1" t="str">
        <f aca="false">IF(J279="DIESEL", "D", "G")</f>
        <v>D</v>
      </c>
      <c r="B279" s="1" t="n">
        <v>0.84</v>
      </c>
      <c r="C279" s="1" t="n">
        <f aca="false">F279*1000</f>
        <v>196434.49221</v>
      </c>
      <c r="D279" s="37" t="s">
        <v>234</v>
      </c>
      <c r="E279" s="1" t="s">
        <v>292</v>
      </c>
      <c r="F279" s="1" t="n">
        <v>196.43449221</v>
      </c>
      <c r="G279" s="37" t="n">
        <v>2019</v>
      </c>
      <c r="H279" s="1" t="n">
        <v>2</v>
      </c>
      <c r="I279" s="1" t="s">
        <v>304</v>
      </c>
      <c r="J279" s="1" t="s">
        <v>246</v>
      </c>
    </row>
    <row r="280" customFormat="false" ht="13.8" hidden="false" customHeight="false" outlineLevel="0" collapsed="false">
      <c r="A280" s="1" t="str">
        <f aca="false">IF(J280="DIESEL", "D", "G")</f>
        <v>D</v>
      </c>
      <c r="B280" s="1" t="n">
        <v>0.84</v>
      </c>
      <c r="C280" s="1" t="n">
        <f aca="false">F280*1000</f>
        <v>213454.650915</v>
      </c>
      <c r="D280" s="37" t="s">
        <v>234</v>
      </c>
      <c r="E280" s="1" t="s">
        <v>292</v>
      </c>
      <c r="F280" s="1" t="n">
        <v>213.454650915</v>
      </c>
      <c r="G280" s="37" t="n">
        <v>2019</v>
      </c>
      <c r="H280" s="1" t="n">
        <v>3</v>
      </c>
      <c r="I280" s="1" t="s">
        <v>305</v>
      </c>
      <c r="J280" s="1" t="s">
        <v>246</v>
      </c>
    </row>
    <row r="281" customFormat="false" ht="13.8" hidden="false" customHeight="false" outlineLevel="0" collapsed="false">
      <c r="A281" s="1" t="str">
        <f aca="false">IF(J281="DIESEL", "D", "G")</f>
        <v>D</v>
      </c>
      <c r="B281" s="1" t="n">
        <v>0.84</v>
      </c>
      <c r="C281" s="1" t="n">
        <f aca="false">F281*1000</f>
        <v>233285.47803</v>
      </c>
      <c r="D281" s="37" t="s">
        <v>234</v>
      </c>
      <c r="E281" s="1" t="s">
        <v>292</v>
      </c>
      <c r="F281" s="1" t="n">
        <v>233.28547803</v>
      </c>
      <c r="G281" s="37" t="n">
        <v>2019</v>
      </c>
      <c r="H281" s="1" t="n">
        <v>4</v>
      </c>
      <c r="I281" s="1" t="s">
        <v>306</v>
      </c>
      <c r="J281" s="1" t="s">
        <v>246</v>
      </c>
    </row>
    <row r="282" customFormat="false" ht="13.8" hidden="false" customHeight="false" outlineLevel="0" collapsed="false">
      <c r="A282" s="1" t="str">
        <f aca="false">IF(J282="DIESEL", "D", "G")</f>
        <v>D</v>
      </c>
      <c r="B282" s="1" t="n">
        <v>0.84</v>
      </c>
      <c r="C282" s="1" t="n">
        <f aca="false">F282*1000</f>
        <v>239062.963095</v>
      </c>
      <c r="D282" s="37" t="s">
        <v>234</v>
      </c>
      <c r="E282" s="1" t="s">
        <v>292</v>
      </c>
      <c r="F282" s="1" t="n">
        <v>239.062963095</v>
      </c>
      <c r="G282" s="37" t="n">
        <v>2019</v>
      </c>
      <c r="H282" s="1" t="n">
        <v>5</v>
      </c>
      <c r="I282" s="1" t="s">
        <v>307</v>
      </c>
      <c r="J282" s="1" t="s">
        <v>246</v>
      </c>
    </row>
    <row r="283" customFormat="false" ht="13.8" hidden="false" customHeight="false" outlineLevel="0" collapsed="false">
      <c r="A283" s="1" t="str">
        <f aca="false">IF(J283="DIESEL", "D", "G")</f>
        <v>D</v>
      </c>
      <c r="B283" s="1" t="n">
        <v>0.84</v>
      </c>
      <c r="C283" s="1" t="n">
        <f aca="false">F283*1000</f>
        <v>237345.3324</v>
      </c>
      <c r="D283" s="37" t="s">
        <v>234</v>
      </c>
      <c r="E283" s="1" t="s">
        <v>292</v>
      </c>
      <c r="F283" s="1" t="n">
        <v>237.3453324</v>
      </c>
      <c r="G283" s="37" t="n">
        <v>2019</v>
      </c>
      <c r="H283" s="1" t="n">
        <v>6</v>
      </c>
      <c r="I283" s="1" t="s">
        <v>308</v>
      </c>
      <c r="J283" s="1" t="s">
        <v>246</v>
      </c>
    </row>
    <row r="284" customFormat="false" ht="13.8" hidden="false" customHeight="false" outlineLevel="0" collapsed="false">
      <c r="A284" s="1" t="str">
        <f aca="false">IF(J284="DIESEL", "D", "G")</f>
        <v>D</v>
      </c>
      <c r="B284" s="1" t="n">
        <v>0.84</v>
      </c>
      <c r="C284" s="1" t="n">
        <f aca="false">F284*1000</f>
        <v>244840.44816</v>
      </c>
      <c r="D284" s="37" t="s">
        <v>234</v>
      </c>
      <c r="E284" s="1" t="s">
        <v>292</v>
      </c>
      <c r="F284" s="1" t="n">
        <v>244.84044816</v>
      </c>
      <c r="G284" s="37" t="n">
        <v>2019</v>
      </c>
      <c r="H284" s="1" t="n">
        <v>7</v>
      </c>
      <c r="I284" s="1" t="s">
        <v>309</v>
      </c>
      <c r="J284" s="1" t="s">
        <v>246</v>
      </c>
    </row>
    <row r="285" customFormat="false" ht="13.8" hidden="false" customHeight="false" outlineLevel="0" collapsed="false">
      <c r="A285" s="1" t="str">
        <f aca="false">IF(J285="DIESEL", "D", "G")</f>
        <v>D</v>
      </c>
      <c r="B285" s="1" t="n">
        <v>0.84</v>
      </c>
      <c r="C285" s="1" t="n">
        <f aca="false">F285*1000</f>
        <v>258737.641965</v>
      </c>
      <c r="D285" s="37" t="s">
        <v>234</v>
      </c>
      <c r="E285" s="1" t="s">
        <v>292</v>
      </c>
      <c r="F285" s="1" t="n">
        <v>258.737641965</v>
      </c>
      <c r="G285" s="37" t="n">
        <v>2019</v>
      </c>
      <c r="H285" s="1" t="n">
        <v>8</v>
      </c>
      <c r="I285" s="1" t="s">
        <v>310</v>
      </c>
      <c r="J285" s="1" t="s">
        <v>246</v>
      </c>
    </row>
    <row r="286" customFormat="false" ht="13.8" hidden="false" customHeight="false" outlineLevel="0" collapsed="false">
      <c r="A286" s="1" t="str">
        <f aca="false">IF(J286="DIESEL", "D", "G")</f>
        <v>D</v>
      </c>
      <c r="B286" s="1" t="n">
        <v>0.84</v>
      </c>
      <c r="C286" s="1" t="n">
        <f aca="false">F286*1000</f>
        <v>258893.79021</v>
      </c>
      <c r="D286" s="37" t="s">
        <v>234</v>
      </c>
      <c r="E286" s="1" t="s">
        <v>292</v>
      </c>
      <c r="F286" s="1" t="n">
        <v>258.89379021</v>
      </c>
      <c r="G286" s="37" t="n">
        <v>2019</v>
      </c>
      <c r="H286" s="1" t="n">
        <v>9</v>
      </c>
      <c r="I286" s="1" t="s">
        <v>311</v>
      </c>
      <c r="J286" s="1" t="s">
        <v>246</v>
      </c>
    </row>
    <row r="287" customFormat="false" ht="13.8" hidden="false" customHeight="false" outlineLevel="0" collapsed="false">
      <c r="A287" s="1" t="str">
        <f aca="false">IF(J287="DIESEL", "D", "G")</f>
        <v>D</v>
      </c>
      <c r="B287" s="1" t="n">
        <v>0.84</v>
      </c>
      <c r="C287" s="1" t="n">
        <f aca="false">F287*1000</f>
        <v>234846.96048</v>
      </c>
      <c r="D287" s="37" t="s">
        <v>234</v>
      </c>
      <c r="E287" s="1" t="s">
        <v>292</v>
      </c>
      <c r="F287" s="1" t="n">
        <v>234.84696048</v>
      </c>
      <c r="G287" s="37" t="n">
        <v>2019</v>
      </c>
      <c r="H287" s="1" t="n">
        <v>10</v>
      </c>
      <c r="I287" s="1" t="s">
        <v>312</v>
      </c>
      <c r="J287" s="1" t="s">
        <v>246</v>
      </c>
    </row>
    <row r="288" customFormat="false" ht="13.8" hidden="false" customHeight="false" outlineLevel="0" collapsed="false">
      <c r="A288" s="1" t="str">
        <f aca="false">IF(J288="DIESEL", "D", "G")</f>
        <v>D</v>
      </c>
      <c r="B288" s="1" t="n">
        <v>0.84</v>
      </c>
      <c r="C288" s="1" t="n">
        <f aca="false">F288*1000</f>
        <v>266232.757725</v>
      </c>
      <c r="D288" s="37" t="s">
        <v>234</v>
      </c>
      <c r="E288" s="1" t="s">
        <v>292</v>
      </c>
      <c r="F288" s="1" t="n">
        <v>266.232757725</v>
      </c>
      <c r="G288" s="37" t="n">
        <v>2019</v>
      </c>
      <c r="H288" s="1" t="n">
        <v>11</v>
      </c>
      <c r="I288" s="1" t="s">
        <v>313</v>
      </c>
      <c r="J288" s="1" t="s">
        <v>246</v>
      </c>
    </row>
    <row r="289" customFormat="false" ht="13.8" hidden="false" customHeight="false" outlineLevel="0" collapsed="false">
      <c r="A289" s="1" t="str">
        <f aca="false">IF(J289="DIESEL", "D", "G")</f>
        <v>D</v>
      </c>
      <c r="B289" s="1" t="n">
        <v>0.84</v>
      </c>
      <c r="C289" s="1" t="n">
        <f aca="false">F289*1000</f>
        <v>266388.90597</v>
      </c>
      <c r="D289" s="37" t="s">
        <v>234</v>
      </c>
      <c r="E289" s="1" t="s">
        <v>292</v>
      </c>
      <c r="F289" s="1" t="n">
        <v>266.38890597</v>
      </c>
      <c r="G289" s="37" t="n">
        <v>2019</v>
      </c>
      <c r="H289" s="1" t="n">
        <v>12</v>
      </c>
      <c r="I289" s="1" t="s">
        <v>314</v>
      </c>
      <c r="J289" s="1" t="s">
        <v>246</v>
      </c>
    </row>
    <row r="290" customFormat="false" ht="13.8" hidden="false" customHeight="false" outlineLevel="0" collapsed="false">
      <c r="A290" s="1" t="str">
        <f aca="false">IF(J290="DIESEL", "D", "G")</f>
        <v>D</v>
      </c>
      <c r="B290" s="1" t="n">
        <v>0.84</v>
      </c>
      <c r="C290" s="1" t="n">
        <f aca="false">F290*1000</f>
        <v>195185.30625</v>
      </c>
      <c r="D290" s="37" t="s">
        <v>234</v>
      </c>
      <c r="E290" s="1" t="s">
        <v>294</v>
      </c>
      <c r="F290" s="1" t="n">
        <v>195.18530625</v>
      </c>
      <c r="G290" s="37" t="n">
        <v>2019</v>
      </c>
      <c r="H290" s="1" t="n">
        <v>1</v>
      </c>
      <c r="I290" s="1" t="s">
        <v>303</v>
      </c>
      <c r="J290" s="1" t="s">
        <v>246</v>
      </c>
    </row>
    <row r="291" customFormat="false" ht="13.8" hidden="false" customHeight="false" outlineLevel="0" collapsed="false">
      <c r="A291" s="1" t="str">
        <f aca="false">IF(J291="DIESEL", "D", "G")</f>
        <v>D</v>
      </c>
      <c r="B291" s="1" t="n">
        <v>0.84</v>
      </c>
      <c r="C291" s="1" t="n">
        <f aca="false">F291*1000</f>
        <v>196434.49221</v>
      </c>
      <c r="D291" s="37" t="s">
        <v>234</v>
      </c>
      <c r="E291" s="1" t="s">
        <v>294</v>
      </c>
      <c r="F291" s="1" t="n">
        <v>196.43449221</v>
      </c>
      <c r="G291" s="37" t="n">
        <v>2019</v>
      </c>
      <c r="H291" s="1" t="n">
        <v>2</v>
      </c>
      <c r="I291" s="1" t="s">
        <v>304</v>
      </c>
      <c r="J291" s="1" t="s">
        <v>246</v>
      </c>
    </row>
    <row r="292" customFormat="false" ht="13.8" hidden="false" customHeight="false" outlineLevel="0" collapsed="false">
      <c r="A292" s="1" t="str">
        <f aca="false">IF(J292="DIESEL", "D", "G")</f>
        <v>D</v>
      </c>
      <c r="B292" s="1" t="n">
        <v>0.84</v>
      </c>
      <c r="C292" s="1" t="n">
        <f aca="false">F292*1000</f>
        <v>213454.650915</v>
      </c>
      <c r="D292" s="37" t="s">
        <v>234</v>
      </c>
      <c r="E292" s="1" t="s">
        <v>294</v>
      </c>
      <c r="F292" s="1" t="n">
        <v>213.454650915</v>
      </c>
      <c r="G292" s="37" t="n">
        <v>2019</v>
      </c>
      <c r="H292" s="1" t="n">
        <v>3</v>
      </c>
      <c r="I292" s="1" t="s">
        <v>305</v>
      </c>
      <c r="J292" s="1" t="s">
        <v>246</v>
      </c>
    </row>
    <row r="293" customFormat="false" ht="13.8" hidden="false" customHeight="false" outlineLevel="0" collapsed="false">
      <c r="A293" s="1" t="str">
        <f aca="false">IF(J293="DIESEL", "D", "G")</f>
        <v>D</v>
      </c>
      <c r="B293" s="1" t="n">
        <v>0.84</v>
      </c>
      <c r="C293" s="1" t="n">
        <f aca="false">F293*1000</f>
        <v>233285.47803</v>
      </c>
      <c r="D293" s="37" t="s">
        <v>234</v>
      </c>
      <c r="E293" s="1" t="s">
        <v>294</v>
      </c>
      <c r="F293" s="1" t="n">
        <v>233.28547803</v>
      </c>
      <c r="G293" s="37" t="n">
        <v>2019</v>
      </c>
      <c r="H293" s="1" t="n">
        <v>4</v>
      </c>
      <c r="I293" s="1" t="s">
        <v>306</v>
      </c>
      <c r="J293" s="1" t="s">
        <v>246</v>
      </c>
    </row>
    <row r="294" customFormat="false" ht="13.8" hidden="false" customHeight="false" outlineLevel="0" collapsed="false">
      <c r="A294" s="1" t="str">
        <f aca="false">IF(J294="DIESEL", "D", "G")</f>
        <v>D</v>
      </c>
      <c r="B294" s="1" t="n">
        <v>0.84</v>
      </c>
      <c r="C294" s="1" t="n">
        <f aca="false">F294*1000</f>
        <v>239062.963095</v>
      </c>
      <c r="D294" s="37" t="s">
        <v>234</v>
      </c>
      <c r="E294" s="1" t="s">
        <v>294</v>
      </c>
      <c r="F294" s="1" t="n">
        <v>239.062963095</v>
      </c>
      <c r="G294" s="37" t="n">
        <v>2019</v>
      </c>
      <c r="H294" s="1" t="n">
        <v>5</v>
      </c>
      <c r="I294" s="1" t="s">
        <v>307</v>
      </c>
      <c r="J294" s="1" t="s">
        <v>246</v>
      </c>
    </row>
    <row r="295" customFormat="false" ht="13.8" hidden="false" customHeight="false" outlineLevel="0" collapsed="false">
      <c r="A295" s="1" t="str">
        <f aca="false">IF(J295="DIESEL", "D", "G")</f>
        <v>D</v>
      </c>
      <c r="B295" s="1" t="n">
        <v>0.84</v>
      </c>
      <c r="C295" s="1" t="n">
        <f aca="false">F295*1000</f>
        <v>237345.3324</v>
      </c>
      <c r="D295" s="37" t="s">
        <v>234</v>
      </c>
      <c r="E295" s="1" t="s">
        <v>294</v>
      </c>
      <c r="F295" s="1" t="n">
        <v>237.3453324</v>
      </c>
      <c r="G295" s="37" t="n">
        <v>2019</v>
      </c>
      <c r="H295" s="1" t="n">
        <v>6</v>
      </c>
      <c r="I295" s="1" t="s">
        <v>308</v>
      </c>
      <c r="J295" s="1" t="s">
        <v>246</v>
      </c>
    </row>
    <row r="296" customFormat="false" ht="13.8" hidden="false" customHeight="false" outlineLevel="0" collapsed="false">
      <c r="A296" s="1" t="str">
        <f aca="false">IF(J296="DIESEL", "D", "G")</f>
        <v>D</v>
      </c>
      <c r="B296" s="1" t="n">
        <v>0.84</v>
      </c>
      <c r="C296" s="1" t="n">
        <f aca="false">F296*1000</f>
        <v>244840.44816</v>
      </c>
      <c r="D296" s="37" t="s">
        <v>234</v>
      </c>
      <c r="E296" s="1" t="s">
        <v>294</v>
      </c>
      <c r="F296" s="1" t="n">
        <v>244.84044816</v>
      </c>
      <c r="G296" s="37" t="n">
        <v>2019</v>
      </c>
      <c r="H296" s="1" t="n">
        <v>7</v>
      </c>
      <c r="I296" s="1" t="s">
        <v>309</v>
      </c>
      <c r="J296" s="1" t="s">
        <v>246</v>
      </c>
    </row>
    <row r="297" customFormat="false" ht="13.8" hidden="false" customHeight="false" outlineLevel="0" collapsed="false">
      <c r="A297" s="1" t="str">
        <f aca="false">IF(J297="DIESEL", "D", "G")</f>
        <v>D</v>
      </c>
      <c r="B297" s="1" t="n">
        <v>0.84</v>
      </c>
      <c r="C297" s="1" t="n">
        <f aca="false">F297*1000</f>
        <v>258737.641965</v>
      </c>
      <c r="D297" s="37" t="s">
        <v>234</v>
      </c>
      <c r="E297" s="1" t="s">
        <v>294</v>
      </c>
      <c r="F297" s="1" t="n">
        <v>258.737641965</v>
      </c>
      <c r="G297" s="37" t="n">
        <v>2019</v>
      </c>
      <c r="H297" s="1" t="n">
        <v>8</v>
      </c>
      <c r="I297" s="1" t="s">
        <v>310</v>
      </c>
      <c r="J297" s="1" t="s">
        <v>246</v>
      </c>
    </row>
    <row r="298" customFormat="false" ht="13.8" hidden="false" customHeight="false" outlineLevel="0" collapsed="false">
      <c r="A298" s="1" t="str">
        <f aca="false">IF(J298="DIESEL", "D", "G")</f>
        <v>D</v>
      </c>
      <c r="B298" s="1" t="n">
        <v>0.84</v>
      </c>
      <c r="C298" s="1" t="n">
        <f aca="false">F298*1000</f>
        <v>258893.79021</v>
      </c>
      <c r="D298" s="37" t="s">
        <v>234</v>
      </c>
      <c r="E298" s="1" t="s">
        <v>294</v>
      </c>
      <c r="F298" s="1" t="n">
        <v>258.89379021</v>
      </c>
      <c r="G298" s="37" t="n">
        <v>2019</v>
      </c>
      <c r="H298" s="1" t="n">
        <v>9</v>
      </c>
      <c r="I298" s="1" t="s">
        <v>311</v>
      </c>
      <c r="J298" s="1" t="s">
        <v>246</v>
      </c>
    </row>
    <row r="299" customFormat="false" ht="13.8" hidden="false" customHeight="false" outlineLevel="0" collapsed="false">
      <c r="A299" s="1" t="str">
        <f aca="false">IF(J299="DIESEL", "D", "G")</f>
        <v>D</v>
      </c>
      <c r="B299" s="1" t="n">
        <v>0.84</v>
      </c>
      <c r="C299" s="1" t="n">
        <f aca="false">F299*1000</f>
        <v>234846.96048</v>
      </c>
      <c r="D299" s="37" t="s">
        <v>234</v>
      </c>
      <c r="E299" s="1" t="s">
        <v>294</v>
      </c>
      <c r="F299" s="1" t="n">
        <v>234.84696048</v>
      </c>
      <c r="G299" s="37" t="n">
        <v>2019</v>
      </c>
      <c r="H299" s="1" t="n">
        <v>10</v>
      </c>
      <c r="I299" s="1" t="s">
        <v>312</v>
      </c>
      <c r="J299" s="1" t="s">
        <v>246</v>
      </c>
    </row>
    <row r="300" customFormat="false" ht="13.8" hidden="false" customHeight="false" outlineLevel="0" collapsed="false">
      <c r="A300" s="1" t="str">
        <f aca="false">IF(J300="DIESEL", "D", "G")</f>
        <v>D</v>
      </c>
      <c r="B300" s="1" t="n">
        <v>0.84</v>
      </c>
      <c r="C300" s="1" t="n">
        <f aca="false">F300*1000</f>
        <v>266232.757725</v>
      </c>
      <c r="D300" s="37" t="s">
        <v>234</v>
      </c>
      <c r="E300" s="1" t="s">
        <v>294</v>
      </c>
      <c r="F300" s="1" t="n">
        <v>266.232757725</v>
      </c>
      <c r="G300" s="37" t="n">
        <v>2019</v>
      </c>
      <c r="H300" s="1" t="n">
        <v>11</v>
      </c>
      <c r="I300" s="1" t="s">
        <v>313</v>
      </c>
      <c r="J300" s="1" t="s">
        <v>246</v>
      </c>
    </row>
    <row r="301" customFormat="false" ht="13.8" hidden="false" customHeight="false" outlineLevel="0" collapsed="false">
      <c r="A301" s="1" t="str">
        <f aca="false">IF(J301="DIESEL", "D", "G")</f>
        <v>D</v>
      </c>
      <c r="B301" s="1" t="n">
        <v>0.84</v>
      </c>
      <c r="C301" s="1" t="n">
        <f aca="false">F301*1000</f>
        <v>266388.90597</v>
      </c>
      <c r="D301" s="37" t="s">
        <v>234</v>
      </c>
      <c r="E301" s="1" t="s">
        <v>294</v>
      </c>
      <c r="F301" s="1" t="n">
        <v>266.38890597</v>
      </c>
      <c r="G301" s="37" t="n">
        <v>2019</v>
      </c>
      <c r="H301" s="1" t="n">
        <v>12</v>
      </c>
      <c r="I301" s="1" t="s">
        <v>314</v>
      </c>
      <c r="J301" s="1" t="s">
        <v>246</v>
      </c>
    </row>
    <row r="302" customFormat="false" ht="13.8" hidden="false" customHeight="false" outlineLevel="0" collapsed="false">
      <c r="A302" s="1" t="str">
        <f aca="false">IF(J302="DIESEL", "D", "G")</f>
        <v>G</v>
      </c>
      <c r="B302" s="1" t="n">
        <v>0.75425</v>
      </c>
      <c r="C302" s="1" t="n">
        <f aca="false">F302*1000</f>
        <v>22174792.07952</v>
      </c>
      <c r="D302" s="37" t="s">
        <v>234</v>
      </c>
      <c r="E302" s="1" t="s">
        <v>245</v>
      </c>
      <c r="F302" s="1" t="n">
        <v>22174.79207952</v>
      </c>
      <c r="G302" s="37" t="n">
        <v>2019</v>
      </c>
      <c r="H302" s="1" t="n">
        <v>1</v>
      </c>
      <c r="I302" s="1" t="s">
        <v>303</v>
      </c>
      <c r="J302" s="1" t="s">
        <v>295</v>
      </c>
    </row>
    <row r="303" customFormat="false" ht="13.8" hidden="false" customHeight="false" outlineLevel="0" collapsed="false">
      <c r="A303" s="1" t="str">
        <f aca="false">IF(J303="DIESEL", "D", "G")</f>
        <v>G</v>
      </c>
      <c r="B303" s="1" t="n">
        <v>0.75425</v>
      </c>
      <c r="C303" s="1" t="n">
        <f aca="false">F303*1000</f>
        <v>21040603.150668</v>
      </c>
      <c r="D303" s="37" t="s">
        <v>234</v>
      </c>
      <c r="E303" s="1" t="s">
        <v>245</v>
      </c>
      <c r="F303" s="1" t="n">
        <v>21040.603150668</v>
      </c>
      <c r="G303" s="37" t="n">
        <v>2019</v>
      </c>
      <c r="H303" s="1" t="n">
        <v>2</v>
      </c>
      <c r="I303" s="1" t="s">
        <v>304</v>
      </c>
      <c r="J303" s="1" t="s">
        <v>295</v>
      </c>
    </row>
    <row r="304" customFormat="false" ht="13.8" hidden="false" customHeight="false" outlineLevel="0" collapsed="false">
      <c r="A304" s="1" t="str">
        <f aca="false">IF(J304="DIESEL", "D", "G")</f>
        <v>G</v>
      </c>
      <c r="B304" s="1" t="n">
        <v>0.75425</v>
      </c>
      <c r="C304" s="1" t="n">
        <f aca="false">F304*1000</f>
        <v>22837576.081188</v>
      </c>
      <c r="D304" s="37" t="s">
        <v>234</v>
      </c>
      <c r="E304" s="1" t="s">
        <v>245</v>
      </c>
      <c r="F304" s="1" t="n">
        <v>22837.576081188</v>
      </c>
      <c r="G304" s="37" t="n">
        <v>2019</v>
      </c>
      <c r="H304" s="1" t="n">
        <v>3</v>
      </c>
      <c r="I304" s="1" t="s">
        <v>305</v>
      </c>
      <c r="J304" s="1" t="s">
        <v>295</v>
      </c>
    </row>
    <row r="305" customFormat="false" ht="13.8" hidden="false" customHeight="false" outlineLevel="0" collapsed="false">
      <c r="A305" s="1" t="str">
        <f aca="false">IF(J305="DIESEL", "D", "G")</f>
        <v>G</v>
      </c>
      <c r="B305" s="1" t="n">
        <v>0.75425</v>
      </c>
      <c r="C305" s="1" t="n">
        <f aca="false">F305*1000</f>
        <v>22644921.32286</v>
      </c>
      <c r="D305" s="37" t="s">
        <v>234</v>
      </c>
      <c r="E305" s="1" t="s">
        <v>245</v>
      </c>
      <c r="F305" s="1" t="n">
        <v>22644.92132286</v>
      </c>
      <c r="G305" s="37" t="n">
        <v>2019</v>
      </c>
      <c r="H305" s="1" t="n">
        <v>4</v>
      </c>
      <c r="I305" s="1" t="s">
        <v>306</v>
      </c>
      <c r="J305" s="1" t="s">
        <v>295</v>
      </c>
    </row>
    <row r="306" customFormat="false" ht="13.8" hidden="false" customHeight="false" outlineLevel="0" collapsed="false">
      <c r="A306" s="1" t="str">
        <f aca="false">IF(J306="DIESEL", "D", "G")</f>
        <v>G</v>
      </c>
      <c r="B306" s="1" t="n">
        <v>0.75425</v>
      </c>
      <c r="C306" s="1" t="n">
        <f aca="false">F306*1000</f>
        <v>23569023.671124</v>
      </c>
      <c r="D306" s="37" t="s">
        <v>234</v>
      </c>
      <c r="E306" s="1" t="s">
        <v>245</v>
      </c>
      <c r="F306" s="1" t="n">
        <v>23569.023671124</v>
      </c>
      <c r="G306" s="37" t="n">
        <v>2019</v>
      </c>
      <c r="H306" s="1" t="n">
        <v>5</v>
      </c>
      <c r="I306" s="1" t="s">
        <v>307</v>
      </c>
      <c r="J306" s="1" t="s">
        <v>295</v>
      </c>
    </row>
    <row r="307" customFormat="false" ht="13.8" hidden="false" customHeight="false" outlineLevel="0" collapsed="false">
      <c r="A307" s="1" t="str">
        <f aca="false">IF(J307="DIESEL", "D", "G")</f>
        <v>G</v>
      </c>
      <c r="B307" s="1" t="n">
        <v>0.75425</v>
      </c>
      <c r="C307" s="1" t="n">
        <f aca="false">F307*1000</f>
        <v>21724646.026128</v>
      </c>
      <c r="D307" s="37" t="s">
        <v>234</v>
      </c>
      <c r="E307" s="1" t="s">
        <v>245</v>
      </c>
      <c r="F307" s="1" t="n">
        <v>21724.646026128</v>
      </c>
      <c r="G307" s="37" t="n">
        <v>2019</v>
      </c>
      <c r="H307" s="1" t="n">
        <v>6</v>
      </c>
      <c r="I307" s="1" t="s">
        <v>308</v>
      </c>
      <c r="J307" s="1" t="s">
        <v>295</v>
      </c>
    </row>
    <row r="308" customFormat="false" ht="13.8" hidden="false" customHeight="false" outlineLevel="0" collapsed="false">
      <c r="A308" s="1" t="str">
        <f aca="false">IF(J308="DIESEL", "D", "G")</f>
        <v>G</v>
      </c>
      <c r="B308" s="1" t="n">
        <v>0.75425</v>
      </c>
      <c r="C308" s="1" t="n">
        <f aca="false">F308*1000</f>
        <v>23047212.197748</v>
      </c>
      <c r="D308" s="37" t="s">
        <v>234</v>
      </c>
      <c r="E308" s="1" t="s">
        <v>245</v>
      </c>
      <c r="F308" s="1" t="n">
        <v>23047.212197748</v>
      </c>
      <c r="G308" s="37" t="n">
        <v>2019</v>
      </c>
      <c r="H308" s="1" t="n">
        <v>7</v>
      </c>
      <c r="I308" s="1" t="s">
        <v>309</v>
      </c>
      <c r="J308" s="1" t="s">
        <v>295</v>
      </c>
    </row>
    <row r="309" customFormat="false" ht="13.8" hidden="false" customHeight="false" outlineLevel="0" collapsed="false">
      <c r="A309" s="1" t="str">
        <f aca="false">IF(J309="DIESEL", "D", "G")</f>
        <v>G</v>
      </c>
      <c r="B309" s="1" t="n">
        <v>0.75425</v>
      </c>
      <c r="C309" s="1" t="n">
        <f aca="false">F309*1000</f>
        <v>22967321.077488</v>
      </c>
      <c r="D309" s="37" t="s">
        <v>234</v>
      </c>
      <c r="E309" s="1" t="s">
        <v>245</v>
      </c>
      <c r="F309" s="1" t="n">
        <v>22967.321077488</v>
      </c>
      <c r="G309" s="37" t="n">
        <v>2019</v>
      </c>
      <c r="H309" s="1" t="n">
        <v>8</v>
      </c>
      <c r="I309" s="1" t="s">
        <v>310</v>
      </c>
      <c r="J309" s="1" t="s">
        <v>295</v>
      </c>
    </row>
    <row r="310" customFormat="false" ht="13.8" hidden="false" customHeight="false" outlineLevel="0" collapsed="false">
      <c r="A310" s="1" t="str">
        <f aca="false">IF(J310="DIESEL", "D", "G")</f>
        <v>G</v>
      </c>
      <c r="B310" s="1" t="n">
        <v>0.75425</v>
      </c>
      <c r="C310" s="1" t="n">
        <f aca="false">F310*1000</f>
        <v>22186212.667524</v>
      </c>
      <c r="D310" s="37" t="s">
        <v>234</v>
      </c>
      <c r="E310" s="1" t="s">
        <v>245</v>
      </c>
      <c r="F310" s="1" t="n">
        <v>22186.212667524</v>
      </c>
      <c r="G310" s="37" t="n">
        <v>2019</v>
      </c>
      <c r="H310" s="1" t="n">
        <v>9</v>
      </c>
      <c r="I310" s="1" t="s">
        <v>311</v>
      </c>
      <c r="J310" s="1" t="s">
        <v>295</v>
      </c>
    </row>
    <row r="311" customFormat="false" ht="13.8" hidden="false" customHeight="false" outlineLevel="0" collapsed="false">
      <c r="A311" s="1" t="str">
        <f aca="false">IF(J311="DIESEL", "D", "G")</f>
        <v>G</v>
      </c>
      <c r="B311" s="1" t="n">
        <v>0.75425</v>
      </c>
      <c r="C311" s="1" t="n">
        <f aca="false">F311*1000</f>
        <v>20841781.956192</v>
      </c>
      <c r="D311" s="37" t="s">
        <v>234</v>
      </c>
      <c r="E311" s="1" t="s">
        <v>245</v>
      </c>
      <c r="F311" s="1" t="n">
        <v>20841.781956192</v>
      </c>
      <c r="G311" s="37" t="n">
        <v>2019</v>
      </c>
      <c r="H311" s="1" t="n">
        <v>10</v>
      </c>
      <c r="I311" s="1" t="s">
        <v>312</v>
      </c>
      <c r="J311" s="1" t="s">
        <v>295</v>
      </c>
    </row>
    <row r="312" customFormat="false" ht="13.8" hidden="false" customHeight="false" outlineLevel="0" collapsed="false">
      <c r="A312" s="1" t="str">
        <f aca="false">IF(J312="DIESEL", "D", "G")</f>
        <v>G</v>
      </c>
      <c r="B312" s="1" t="n">
        <v>0.75425</v>
      </c>
      <c r="C312" s="1" t="n">
        <f aca="false">F312*1000</f>
        <v>22625172.828456</v>
      </c>
      <c r="D312" s="37" t="s">
        <v>234</v>
      </c>
      <c r="E312" s="1" t="s">
        <v>245</v>
      </c>
      <c r="F312" s="1" t="n">
        <v>22625.172828456</v>
      </c>
      <c r="G312" s="37" t="n">
        <v>2019</v>
      </c>
      <c r="H312" s="1" t="n">
        <v>11</v>
      </c>
      <c r="I312" s="1" t="s">
        <v>313</v>
      </c>
      <c r="J312" s="1" t="s">
        <v>295</v>
      </c>
    </row>
    <row r="313" customFormat="false" ht="13.8" hidden="false" customHeight="false" outlineLevel="0" collapsed="false">
      <c r="A313" s="1" t="str">
        <f aca="false">IF(J313="DIESEL", "D", "G")</f>
        <v>G</v>
      </c>
      <c r="B313" s="1" t="n">
        <v>0.75425</v>
      </c>
      <c r="C313" s="1" t="n">
        <f aca="false">F313*1000</f>
        <v>24077741.404392</v>
      </c>
      <c r="D313" s="37" t="s">
        <v>234</v>
      </c>
      <c r="E313" s="1" t="s">
        <v>245</v>
      </c>
      <c r="F313" s="1" t="n">
        <v>24077.741404392</v>
      </c>
      <c r="G313" s="37" t="n">
        <v>2019</v>
      </c>
      <c r="H313" s="1" t="n">
        <v>12</v>
      </c>
      <c r="I313" s="1" t="s">
        <v>314</v>
      </c>
      <c r="J313" s="1" t="s">
        <v>295</v>
      </c>
    </row>
    <row r="314" customFormat="false" ht="13.8" hidden="false" customHeight="false" outlineLevel="0" collapsed="false">
      <c r="A314" s="1" t="str">
        <f aca="false">IF(J314="DIESEL", "D", "G")</f>
        <v>G</v>
      </c>
      <c r="B314" s="1" t="n">
        <v>0.75425</v>
      </c>
      <c r="C314" s="1" t="n">
        <f aca="false">F314*1000</f>
        <v>3230992.987656</v>
      </c>
      <c r="D314" s="37" t="s">
        <v>234</v>
      </c>
      <c r="E314" s="1" t="s">
        <v>248</v>
      </c>
      <c r="F314" s="1" t="n">
        <v>3230.992987656</v>
      </c>
      <c r="G314" s="37" t="n">
        <v>2019</v>
      </c>
      <c r="H314" s="1" t="n">
        <v>1</v>
      </c>
      <c r="I314" s="1" t="s">
        <v>303</v>
      </c>
      <c r="J314" s="1" t="s">
        <v>295</v>
      </c>
    </row>
    <row r="315" customFormat="false" ht="13.8" hidden="false" customHeight="false" outlineLevel="0" collapsed="false">
      <c r="A315" s="1" t="str">
        <f aca="false">IF(J315="DIESEL", "D", "G")</f>
        <v>G</v>
      </c>
      <c r="B315" s="1" t="n">
        <v>0.75425</v>
      </c>
      <c r="C315" s="1" t="n">
        <f aca="false">F315*1000</f>
        <v>3171066.130284</v>
      </c>
      <c r="D315" s="37" t="s">
        <v>234</v>
      </c>
      <c r="E315" s="1" t="s">
        <v>248</v>
      </c>
      <c r="F315" s="1" t="n">
        <v>3171.066130284</v>
      </c>
      <c r="G315" s="37" t="n">
        <v>2019</v>
      </c>
      <c r="H315" s="1" t="n">
        <v>2</v>
      </c>
      <c r="I315" s="1" t="s">
        <v>304</v>
      </c>
      <c r="J315" s="1" t="s">
        <v>295</v>
      </c>
    </row>
    <row r="316" customFormat="false" ht="13.8" hidden="false" customHeight="false" outlineLevel="0" collapsed="false">
      <c r="A316" s="1" t="str">
        <f aca="false">IF(J316="DIESEL", "D", "G")</f>
        <v>G</v>
      </c>
      <c r="B316" s="1" t="n">
        <v>0.75425</v>
      </c>
      <c r="C316" s="1" t="n">
        <f aca="false">F316*1000</f>
        <v>3663249.183936</v>
      </c>
      <c r="D316" s="37" t="s">
        <v>234</v>
      </c>
      <c r="E316" s="1" t="s">
        <v>248</v>
      </c>
      <c r="F316" s="1" t="n">
        <v>3663.249183936</v>
      </c>
      <c r="G316" s="37" t="n">
        <v>2019</v>
      </c>
      <c r="H316" s="1" t="n">
        <v>3</v>
      </c>
      <c r="I316" s="1" t="s">
        <v>305</v>
      </c>
      <c r="J316" s="1" t="s">
        <v>295</v>
      </c>
    </row>
    <row r="317" customFormat="false" ht="13.8" hidden="false" customHeight="false" outlineLevel="0" collapsed="false">
      <c r="A317" s="1" t="str">
        <f aca="false">IF(J317="DIESEL", "D", "G")</f>
        <v>G</v>
      </c>
      <c r="B317" s="1" t="n">
        <v>0.75425</v>
      </c>
      <c r="C317" s="1" t="n">
        <f aca="false">F317*1000</f>
        <v>3178318.979676</v>
      </c>
      <c r="D317" s="37" t="s">
        <v>234</v>
      </c>
      <c r="E317" s="1" t="s">
        <v>248</v>
      </c>
      <c r="F317" s="1" t="n">
        <v>3178.318979676</v>
      </c>
      <c r="G317" s="37" t="n">
        <v>2019</v>
      </c>
      <c r="H317" s="1" t="n">
        <v>4</v>
      </c>
      <c r="I317" s="1" t="s">
        <v>306</v>
      </c>
      <c r="J317" s="1" t="s">
        <v>295</v>
      </c>
    </row>
    <row r="318" customFormat="false" ht="13.8" hidden="false" customHeight="false" outlineLevel="0" collapsed="false">
      <c r="A318" s="1" t="str">
        <f aca="false">IF(J318="DIESEL", "D", "G")</f>
        <v>G</v>
      </c>
      <c r="B318" s="1" t="n">
        <v>0.75425</v>
      </c>
      <c r="C318" s="1" t="n">
        <f aca="false">F318*1000</f>
        <v>3444577.288932</v>
      </c>
      <c r="D318" s="37" t="s">
        <v>234</v>
      </c>
      <c r="E318" s="1" t="s">
        <v>248</v>
      </c>
      <c r="F318" s="1" t="n">
        <v>3444.577288932</v>
      </c>
      <c r="G318" s="37" t="n">
        <v>2019</v>
      </c>
      <c r="H318" s="1" t="n">
        <v>5</v>
      </c>
      <c r="I318" s="1" t="s">
        <v>307</v>
      </c>
      <c r="J318" s="1" t="s">
        <v>295</v>
      </c>
    </row>
    <row r="319" customFormat="false" ht="13.8" hidden="false" customHeight="false" outlineLevel="0" collapsed="false">
      <c r="A319" s="1" t="str">
        <f aca="false">IF(J319="DIESEL", "D", "G")</f>
        <v>G</v>
      </c>
      <c r="B319" s="1" t="n">
        <v>0.75425</v>
      </c>
      <c r="C319" s="1" t="n">
        <f aca="false">F319*1000</f>
        <v>3114099.465096</v>
      </c>
      <c r="D319" s="37" t="s">
        <v>234</v>
      </c>
      <c r="E319" s="1" t="s">
        <v>248</v>
      </c>
      <c r="F319" s="1" t="n">
        <v>3114.099465096</v>
      </c>
      <c r="G319" s="37" t="n">
        <v>2019</v>
      </c>
      <c r="H319" s="1" t="n">
        <v>6</v>
      </c>
      <c r="I319" s="1" t="s">
        <v>308</v>
      </c>
      <c r="J319" s="1" t="s">
        <v>295</v>
      </c>
    </row>
    <row r="320" customFormat="false" ht="13.8" hidden="false" customHeight="false" outlineLevel="0" collapsed="false">
      <c r="A320" s="1" t="str">
        <f aca="false">IF(J320="DIESEL", "D", "G")</f>
        <v>G</v>
      </c>
      <c r="B320" s="1" t="n">
        <v>0.75425</v>
      </c>
      <c r="C320" s="1" t="n">
        <f aca="false">F320*1000</f>
        <v>3572138.102508</v>
      </c>
      <c r="D320" s="37" t="s">
        <v>234</v>
      </c>
      <c r="E320" s="1" t="s">
        <v>248</v>
      </c>
      <c r="F320" s="1" t="n">
        <v>3572.138102508</v>
      </c>
      <c r="G320" s="37" t="n">
        <v>2019</v>
      </c>
      <c r="H320" s="1" t="n">
        <v>7</v>
      </c>
      <c r="I320" s="1" t="s">
        <v>309</v>
      </c>
      <c r="J320" s="1" t="s">
        <v>295</v>
      </c>
    </row>
    <row r="321" customFormat="false" ht="13.8" hidden="false" customHeight="false" outlineLevel="0" collapsed="false">
      <c r="A321" s="1" t="str">
        <f aca="false">IF(J321="DIESEL", "D", "G")</f>
        <v>G</v>
      </c>
      <c r="B321" s="1" t="n">
        <v>0.75425</v>
      </c>
      <c r="C321" s="1" t="n">
        <f aca="false">F321*1000</f>
        <v>3764334.825984</v>
      </c>
      <c r="D321" s="37" t="s">
        <v>234</v>
      </c>
      <c r="E321" s="1" t="s">
        <v>248</v>
      </c>
      <c r="F321" s="1" t="n">
        <v>3764.334825984</v>
      </c>
      <c r="G321" s="37" t="n">
        <v>2019</v>
      </c>
      <c r="H321" s="1" t="n">
        <v>8</v>
      </c>
      <c r="I321" s="1" t="s">
        <v>310</v>
      </c>
      <c r="J321" s="1" t="s">
        <v>295</v>
      </c>
    </row>
    <row r="322" customFormat="false" ht="13.8" hidden="false" customHeight="false" outlineLevel="0" collapsed="false">
      <c r="A322" s="1" t="str">
        <f aca="false">IF(J322="DIESEL", "D", "G")</f>
        <v>G</v>
      </c>
      <c r="B322" s="1" t="n">
        <v>0.75425</v>
      </c>
      <c r="C322" s="1" t="n">
        <f aca="false">F322*1000</f>
        <v>3500188.776624</v>
      </c>
      <c r="D322" s="37" t="s">
        <v>234</v>
      </c>
      <c r="E322" s="1" t="s">
        <v>248</v>
      </c>
      <c r="F322" s="1" t="n">
        <v>3500.188776624</v>
      </c>
      <c r="G322" s="37" t="n">
        <v>2019</v>
      </c>
      <c r="H322" s="1" t="n">
        <v>9</v>
      </c>
      <c r="I322" s="1" t="s">
        <v>311</v>
      </c>
      <c r="J322" s="1" t="s">
        <v>295</v>
      </c>
    </row>
    <row r="323" customFormat="false" ht="13.8" hidden="false" customHeight="false" outlineLevel="0" collapsed="false">
      <c r="A323" s="1" t="str">
        <f aca="false">IF(J323="DIESEL", "D", "G")</f>
        <v>G</v>
      </c>
      <c r="B323" s="1" t="n">
        <v>0.75425</v>
      </c>
      <c r="C323" s="1" t="n">
        <f aca="false">F323*1000</f>
        <v>2784268.946712</v>
      </c>
      <c r="D323" s="37" t="s">
        <v>234</v>
      </c>
      <c r="E323" s="1" t="s">
        <v>248</v>
      </c>
      <c r="F323" s="1" t="n">
        <v>2784.268946712</v>
      </c>
      <c r="G323" s="37" t="n">
        <v>2019</v>
      </c>
      <c r="H323" s="1" t="n">
        <v>10</v>
      </c>
      <c r="I323" s="1" t="s">
        <v>312</v>
      </c>
      <c r="J323" s="1" t="s">
        <v>295</v>
      </c>
    </row>
    <row r="324" customFormat="false" ht="13.8" hidden="false" customHeight="false" outlineLevel="0" collapsed="false">
      <c r="A324" s="1" t="str">
        <f aca="false">IF(J324="DIESEL", "D", "G")</f>
        <v>G</v>
      </c>
      <c r="B324" s="1" t="n">
        <v>0.75425</v>
      </c>
      <c r="C324" s="1" t="n">
        <f aca="false">F324*1000</f>
        <v>3530385.008148</v>
      </c>
      <c r="D324" s="37" t="s">
        <v>234</v>
      </c>
      <c r="E324" s="1" t="s">
        <v>248</v>
      </c>
      <c r="F324" s="1" t="n">
        <v>3530.385008148</v>
      </c>
      <c r="G324" s="37" t="n">
        <v>2019</v>
      </c>
      <c r="H324" s="1" t="n">
        <v>11</v>
      </c>
      <c r="I324" s="1" t="s">
        <v>313</v>
      </c>
      <c r="J324" s="1" t="s">
        <v>295</v>
      </c>
    </row>
    <row r="325" customFormat="false" ht="13.8" hidden="false" customHeight="false" outlineLevel="0" collapsed="false">
      <c r="A325" s="1" t="str">
        <f aca="false">IF(J325="DIESEL", "D", "G")</f>
        <v>G</v>
      </c>
      <c r="B325" s="1" t="n">
        <v>0.75425</v>
      </c>
      <c r="C325" s="1" t="n">
        <f aca="false">F325*1000</f>
        <v>3811232.295252</v>
      </c>
      <c r="D325" s="37" t="s">
        <v>234</v>
      </c>
      <c r="E325" s="1" t="s">
        <v>248</v>
      </c>
      <c r="F325" s="1" t="n">
        <v>3811.232295252</v>
      </c>
      <c r="G325" s="37" t="n">
        <v>2019</v>
      </c>
      <c r="H325" s="1" t="n">
        <v>12</v>
      </c>
      <c r="I325" s="1" t="s">
        <v>314</v>
      </c>
      <c r="J325" s="1" t="s">
        <v>295</v>
      </c>
    </row>
    <row r="326" customFormat="false" ht="13.8" hidden="false" customHeight="false" outlineLevel="0" collapsed="false">
      <c r="A326" s="1" t="str">
        <f aca="false">IF(J326="DIESEL", "D", "G")</f>
        <v>G</v>
      </c>
      <c r="B326" s="1" t="n">
        <v>0.75425</v>
      </c>
      <c r="C326" s="1" t="n">
        <f aca="false">F326*1000</f>
        <v>4196129.202</v>
      </c>
      <c r="D326" s="37" t="s">
        <v>234</v>
      </c>
      <c r="E326" s="1" t="s">
        <v>252</v>
      </c>
      <c r="F326" s="1" t="n">
        <v>4196.129202</v>
      </c>
      <c r="G326" s="37" t="n">
        <v>2019</v>
      </c>
      <c r="H326" s="1" t="n">
        <v>1</v>
      </c>
      <c r="I326" s="1" t="s">
        <v>303</v>
      </c>
      <c r="J326" s="1" t="s">
        <v>295</v>
      </c>
    </row>
    <row r="327" customFormat="false" ht="13.8" hidden="false" customHeight="false" outlineLevel="0" collapsed="false">
      <c r="A327" s="1" t="str">
        <f aca="false">IF(J327="DIESEL", "D", "G")</f>
        <v>G</v>
      </c>
      <c r="B327" s="1" t="n">
        <v>0.75425</v>
      </c>
      <c r="C327" s="1" t="n">
        <f aca="false">F327*1000</f>
        <v>3927364.95</v>
      </c>
      <c r="D327" s="37" t="s">
        <v>234</v>
      </c>
      <c r="E327" s="1" t="s">
        <v>252</v>
      </c>
      <c r="F327" s="1" t="n">
        <v>3927.36495</v>
      </c>
      <c r="G327" s="37" t="n">
        <v>2019</v>
      </c>
      <c r="H327" s="1" t="n">
        <v>2</v>
      </c>
      <c r="I327" s="1" t="s">
        <v>304</v>
      </c>
      <c r="J327" s="1" t="s">
        <v>295</v>
      </c>
    </row>
    <row r="328" customFormat="false" ht="13.8" hidden="false" customHeight="false" outlineLevel="0" collapsed="false">
      <c r="A328" s="1" t="str">
        <f aca="false">IF(J328="DIESEL", "D", "G")</f>
        <v>G</v>
      </c>
      <c r="B328" s="1" t="n">
        <v>0.75425</v>
      </c>
      <c r="C328" s="1" t="n">
        <f aca="false">F328*1000</f>
        <v>5345001.744</v>
      </c>
      <c r="D328" s="37" t="s">
        <v>234</v>
      </c>
      <c r="E328" s="1" t="s">
        <v>252</v>
      </c>
      <c r="F328" s="1" t="n">
        <v>5345.001744</v>
      </c>
      <c r="G328" s="37" t="n">
        <v>2019</v>
      </c>
      <c r="H328" s="1" t="n">
        <v>3</v>
      </c>
      <c r="I328" s="1" t="s">
        <v>305</v>
      </c>
      <c r="J328" s="1" t="s">
        <v>295</v>
      </c>
    </row>
    <row r="329" customFormat="false" ht="13.8" hidden="false" customHeight="false" outlineLevel="0" collapsed="false">
      <c r="A329" s="1" t="str">
        <f aca="false">IF(J329="DIESEL", "D", "G")</f>
        <v>G</v>
      </c>
      <c r="B329" s="1" t="n">
        <v>0.75425</v>
      </c>
      <c r="C329" s="1" t="n">
        <f aca="false">F329*1000</f>
        <v>4209378.144</v>
      </c>
      <c r="D329" s="37" t="s">
        <v>234</v>
      </c>
      <c r="E329" s="1" t="s">
        <v>252</v>
      </c>
      <c r="F329" s="1" t="n">
        <v>4209.378144</v>
      </c>
      <c r="G329" s="37" t="n">
        <v>2019</v>
      </c>
      <c r="H329" s="1" t="n">
        <v>4</v>
      </c>
      <c r="I329" s="1" t="s">
        <v>306</v>
      </c>
      <c r="J329" s="1" t="s">
        <v>295</v>
      </c>
    </row>
    <row r="330" customFormat="false" ht="13.8" hidden="false" customHeight="false" outlineLevel="0" collapsed="false">
      <c r="A330" s="1" t="str">
        <f aca="false">IF(J330="DIESEL", "D", "G")</f>
        <v>G</v>
      </c>
      <c r="B330" s="1" t="n">
        <v>0.75425</v>
      </c>
      <c r="C330" s="1" t="n">
        <f aca="false">F330*1000</f>
        <v>4228305.204</v>
      </c>
      <c r="D330" s="37" t="s">
        <v>234</v>
      </c>
      <c r="E330" s="1" t="s">
        <v>252</v>
      </c>
      <c r="F330" s="1" t="n">
        <v>4228.305204</v>
      </c>
      <c r="G330" s="37" t="n">
        <v>2019</v>
      </c>
      <c r="H330" s="1" t="n">
        <v>5</v>
      </c>
      <c r="I330" s="1" t="s">
        <v>307</v>
      </c>
      <c r="J330" s="1" t="s">
        <v>295</v>
      </c>
    </row>
    <row r="331" customFormat="false" ht="13.8" hidden="false" customHeight="false" outlineLevel="0" collapsed="false">
      <c r="A331" s="1" t="str">
        <f aca="false">IF(J331="DIESEL", "D", "G")</f>
        <v>G</v>
      </c>
      <c r="B331" s="1" t="n">
        <v>0.75425</v>
      </c>
      <c r="C331" s="1" t="n">
        <f aca="false">F331*1000</f>
        <v>4122313.668</v>
      </c>
      <c r="D331" s="37" t="s">
        <v>234</v>
      </c>
      <c r="E331" s="1" t="s">
        <v>252</v>
      </c>
      <c r="F331" s="1" t="n">
        <v>4122.313668</v>
      </c>
      <c r="G331" s="37" t="n">
        <v>2019</v>
      </c>
      <c r="H331" s="1" t="n">
        <v>6</v>
      </c>
      <c r="I331" s="1" t="s">
        <v>308</v>
      </c>
      <c r="J331" s="1" t="s">
        <v>295</v>
      </c>
    </row>
    <row r="332" customFormat="false" ht="13.8" hidden="false" customHeight="false" outlineLevel="0" collapsed="false">
      <c r="A332" s="1" t="str">
        <f aca="false">IF(J332="DIESEL", "D", "G")</f>
        <v>G</v>
      </c>
      <c r="B332" s="1" t="n">
        <v>0.75425</v>
      </c>
      <c r="C332" s="1" t="n">
        <f aca="false">F332*1000</f>
        <v>4385399.802</v>
      </c>
      <c r="D332" s="37" t="s">
        <v>234</v>
      </c>
      <c r="E332" s="1" t="s">
        <v>252</v>
      </c>
      <c r="F332" s="1" t="n">
        <v>4385.399802</v>
      </c>
      <c r="G332" s="37" t="n">
        <v>2019</v>
      </c>
      <c r="H332" s="1" t="n">
        <v>7</v>
      </c>
      <c r="I332" s="1" t="s">
        <v>309</v>
      </c>
      <c r="J332" s="1" t="s">
        <v>295</v>
      </c>
    </row>
    <row r="333" customFormat="false" ht="13.8" hidden="false" customHeight="false" outlineLevel="0" collapsed="false">
      <c r="A333" s="1" t="str">
        <f aca="false">IF(J333="DIESEL", "D", "G")</f>
        <v>G</v>
      </c>
      <c r="B333" s="1" t="n">
        <v>0.75425</v>
      </c>
      <c r="C333" s="1" t="n">
        <f aca="false">F333*1000</f>
        <v>4487605.926</v>
      </c>
      <c r="D333" s="37" t="s">
        <v>234</v>
      </c>
      <c r="E333" s="1" t="s">
        <v>252</v>
      </c>
      <c r="F333" s="1" t="n">
        <v>4487.605926</v>
      </c>
      <c r="G333" s="37" t="n">
        <v>2019</v>
      </c>
      <c r="H333" s="1" t="n">
        <v>8</v>
      </c>
      <c r="I333" s="1" t="s">
        <v>310</v>
      </c>
      <c r="J333" s="1" t="s">
        <v>295</v>
      </c>
    </row>
    <row r="334" customFormat="false" ht="13.8" hidden="false" customHeight="false" outlineLevel="0" collapsed="false">
      <c r="A334" s="1" t="str">
        <f aca="false">IF(J334="DIESEL", "D", "G")</f>
        <v>G</v>
      </c>
      <c r="B334" s="1" t="n">
        <v>0.75425</v>
      </c>
      <c r="C334" s="1" t="n">
        <f aca="false">F334*1000</f>
        <v>3569643.516</v>
      </c>
      <c r="D334" s="37" t="s">
        <v>234</v>
      </c>
      <c r="E334" s="1" t="s">
        <v>252</v>
      </c>
      <c r="F334" s="1" t="n">
        <v>3569.643516</v>
      </c>
      <c r="G334" s="37" t="n">
        <v>2019</v>
      </c>
      <c r="H334" s="1" t="n">
        <v>9</v>
      </c>
      <c r="I334" s="1" t="s">
        <v>311</v>
      </c>
      <c r="J334" s="1" t="s">
        <v>295</v>
      </c>
    </row>
    <row r="335" customFormat="false" ht="13.8" hidden="false" customHeight="false" outlineLevel="0" collapsed="false">
      <c r="A335" s="1" t="str">
        <f aca="false">IF(J335="DIESEL", "D", "G")</f>
        <v>G</v>
      </c>
      <c r="B335" s="1" t="n">
        <v>0.75425</v>
      </c>
      <c r="C335" s="1" t="n">
        <f aca="false">F335*1000</f>
        <v>3395018.675028</v>
      </c>
      <c r="D335" s="37" t="s">
        <v>234</v>
      </c>
      <c r="E335" s="1" t="s">
        <v>252</v>
      </c>
      <c r="F335" s="1" t="n">
        <v>3395.018675028</v>
      </c>
      <c r="G335" s="37" t="n">
        <v>2019</v>
      </c>
      <c r="H335" s="1" t="n">
        <v>10</v>
      </c>
      <c r="I335" s="1" t="s">
        <v>312</v>
      </c>
      <c r="J335" s="1" t="s">
        <v>295</v>
      </c>
    </row>
    <row r="336" customFormat="false" ht="13.8" hidden="false" customHeight="false" outlineLevel="0" collapsed="false">
      <c r="A336" s="1" t="str">
        <f aca="false">IF(J336="DIESEL", "D", "G")</f>
        <v>G</v>
      </c>
      <c r="B336" s="1" t="n">
        <v>0.75425</v>
      </c>
      <c r="C336" s="1" t="n">
        <f aca="false">F336*1000</f>
        <v>3741879.762</v>
      </c>
      <c r="D336" s="37" t="s">
        <v>234</v>
      </c>
      <c r="E336" s="1" t="s">
        <v>252</v>
      </c>
      <c r="F336" s="1" t="n">
        <v>3741.879762</v>
      </c>
      <c r="G336" s="37" t="n">
        <v>2019</v>
      </c>
      <c r="H336" s="1" t="n">
        <v>11</v>
      </c>
      <c r="I336" s="1" t="s">
        <v>313</v>
      </c>
      <c r="J336" s="1" t="s">
        <v>295</v>
      </c>
    </row>
    <row r="337" customFormat="false" ht="13.8" hidden="false" customHeight="false" outlineLevel="0" collapsed="false">
      <c r="A337" s="1" t="str">
        <f aca="false">IF(J337="DIESEL", "D", "G")</f>
        <v>G</v>
      </c>
      <c r="B337" s="1" t="n">
        <v>0.75425</v>
      </c>
      <c r="C337" s="1" t="n">
        <f aca="false">F337*1000</f>
        <v>4218841.674</v>
      </c>
      <c r="D337" s="37" t="s">
        <v>234</v>
      </c>
      <c r="E337" s="1" t="s">
        <v>252</v>
      </c>
      <c r="F337" s="1" t="n">
        <v>4218.841674</v>
      </c>
      <c r="G337" s="37" t="n">
        <v>2019</v>
      </c>
      <c r="H337" s="1" t="n">
        <v>12</v>
      </c>
      <c r="I337" s="1" t="s">
        <v>314</v>
      </c>
      <c r="J337" s="1" t="s">
        <v>295</v>
      </c>
    </row>
    <row r="338" customFormat="false" ht="13.8" hidden="false" customHeight="false" outlineLevel="0" collapsed="false">
      <c r="A338" s="1" t="str">
        <f aca="false">IF(J338="DIESEL", "D", "G")</f>
        <v>G</v>
      </c>
      <c r="B338" s="1" t="n">
        <v>0.75425</v>
      </c>
      <c r="C338" s="1" t="n">
        <f aca="false">F338*1000</f>
        <v>5333123.121144</v>
      </c>
      <c r="D338" s="37" t="s">
        <v>234</v>
      </c>
      <c r="E338" s="1" t="s">
        <v>250</v>
      </c>
      <c r="F338" s="1" t="n">
        <v>5333.123121144</v>
      </c>
      <c r="G338" s="37" t="n">
        <v>2019</v>
      </c>
      <c r="H338" s="1" t="n">
        <v>1</v>
      </c>
      <c r="I338" s="1" t="s">
        <v>303</v>
      </c>
      <c r="J338" s="1" t="s">
        <v>295</v>
      </c>
    </row>
    <row r="339" customFormat="false" ht="13.8" hidden="false" customHeight="false" outlineLevel="0" collapsed="false">
      <c r="A339" s="1" t="str">
        <f aca="false">IF(J339="DIESEL", "D", "G")</f>
        <v>G</v>
      </c>
      <c r="B339" s="1" t="n">
        <v>0.75425</v>
      </c>
      <c r="C339" s="1" t="n">
        <f aca="false">F339*1000</f>
        <v>5006953.096164</v>
      </c>
      <c r="D339" s="37" t="s">
        <v>234</v>
      </c>
      <c r="E339" s="1" t="s">
        <v>250</v>
      </c>
      <c r="F339" s="1" t="n">
        <v>5006.953096164</v>
      </c>
      <c r="G339" s="37" t="n">
        <v>2019</v>
      </c>
      <c r="H339" s="1" t="n">
        <v>2</v>
      </c>
      <c r="I339" s="1" t="s">
        <v>304</v>
      </c>
      <c r="J339" s="1" t="s">
        <v>295</v>
      </c>
    </row>
    <row r="340" customFormat="false" ht="13.8" hidden="false" customHeight="false" outlineLevel="0" collapsed="false">
      <c r="A340" s="1" t="str">
        <f aca="false">IF(J340="DIESEL", "D", "G")</f>
        <v>G</v>
      </c>
      <c r="B340" s="1" t="n">
        <v>0.75425</v>
      </c>
      <c r="C340" s="1" t="n">
        <f aca="false">F340*1000</f>
        <v>5561902.066188</v>
      </c>
      <c r="D340" s="37" t="s">
        <v>234</v>
      </c>
      <c r="E340" s="1" t="s">
        <v>250</v>
      </c>
      <c r="F340" s="1" t="n">
        <v>5561.902066188</v>
      </c>
      <c r="G340" s="37" t="n">
        <v>2019</v>
      </c>
      <c r="H340" s="1" t="n">
        <v>3</v>
      </c>
      <c r="I340" s="1" t="s">
        <v>305</v>
      </c>
      <c r="J340" s="1" t="s">
        <v>295</v>
      </c>
    </row>
    <row r="341" customFormat="false" ht="13.8" hidden="false" customHeight="false" outlineLevel="0" collapsed="false">
      <c r="A341" s="1" t="str">
        <f aca="false">IF(J341="DIESEL", "D", "G")</f>
        <v>G</v>
      </c>
      <c r="B341" s="1" t="n">
        <v>0.75425</v>
      </c>
      <c r="C341" s="1" t="n">
        <f aca="false">F341*1000</f>
        <v>5393738.9235</v>
      </c>
      <c r="D341" s="37" t="s">
        <v>234</v>
      </c>
      <c r="E341" s="1" t="s">
        <v>250</v>
      </c>
      <c r="F341" s="1" t="n">
        <v>5393.7389235</v>
      </c>
      <c r="G341" s="37" t="n">
        <v>2019</v>
      </c>
      <c r="H341" s="1" t="n">
        <v>4</v>
      </c>
      <c r="I341" s="1" t="s">
        <v>306</v>
      </c>
      <c r="J341" s="1" t="s">
        <v>295</v>
      </c>
    </row>
    <row r="342" customFormat="false" ht="13.8" hidden="false" customHeight="false" outlineLevel="0" collapsed="false">
      <c r="A342" s="1" t="str">
        <f aca="false">IF(J342="DIESEL", "D", "G")</f>
        <v>G</v>
      </c>
      <c r="B342" s="1" t="n">
        <v>0.75425</v>
      </c>
      <c r="C342" s="1" t="n">
        <f aca="false">F342*1000</f>
        <v>5534306.412708</v>
      </c>
      <c r="D342" s="37" t="s">
        <v>234</v>
      </c>
      <c r="E342" s="1" t="s">
        <v>250</v>
      </c>
      <c r="F342" s="1" t="n">
        <v>5534.306412708</v>
      </c>
      <c r="G342" s="37" t="n">
        <v>2019</v>
      </c>
      <c r="H342" s="1" t="n">
        <v>5</v>
      </c>
      <c r="I342" s="1" t="s">
        <v>307</v>
      </c>
      <c r="J342" s="1" t="s">
        <v>295</v>
      </c>
    </row>
    <row r="343" customFormat="false" ht="13.8" hidden="false" customHeight="false" outlineLevel="0" collapsed="false">
      <c r="A343" s="1" t="str">
        <f aca="false">IF(J343="DIESEL", "D", "G")</f>
        <v>G</v>
      </c>
      <c r="B343" s="1" t="n">
        <v>0.75425</v>
      </c>
      <c r="C343" s="1" t="n">
        <f aca="false">F343*1000</f>
        <v>5204627.310804</v>
      </c>
      <c r="D343" s="37" t="s">
        <v>234</v>
      </c>
      <c r="E343" s="1" t="s">
        <v>250</v>
      </c>
      <c r="F343" s="1" t="n">
        <v>5204.627310804</v>
      </c>
      <c r="G343" s="37" t="n">
        <v>2019</v>
      </c>
      <c r="H343" s="1" t="n">
        <v>6</v>
      </c>
      <c r="I343" s="1" t="s">
        <v>308</v>
      </c>
      <c r="J343" s="1" t="s">
        <v>295</v>
      </c>
    </row>
    <row r="344" customFormat="false" ht="13.8" hidden="false" customHeight="false" outlineLevel="0" collapsed="false">
      <c r="A344" s="1" t="str">
        <f aca="false">IF(J344="DIESEL", "D", "G")</f>
        <v>G</v>
      </c>
      <c r="B344" s="1" t="n">
        <v>0.75425</v>
      </c>
      <c r="C344" s="1" t="n">
        <f aca="false">F344*1000</f>
        <v>5566259.0754</v>
      </c>
      <c r="D344" s="37" t="s">
        <v>234</v>
      </c>
      <c r="E344" s="1" t="s">
        <v>250</v>
      </c>
      <c r="F344" s="1" t="n">
        <v>5566.2590754</v>
      </c>
      <c r="G344" s="37" t="n">
        <v>2019</v>
      </c>
      <c r="H344" s="1" t="n">
        <v>7</v>
      </c>
      <c r="I344" s="1" t="s">
        <v>309</v>
      </c>
      <c r="J344" s="1" t="s">
        <v>295</v>
      </c>
    </row>
    <row r="345" customFormat="false" ht="13.8" hidden="false" customHeight="false" outlineLevel="0" collapsed="false">
      <c r="A345" s="1" t="str">
        <f aca="false">IF(J345="DIESEL", "D", "G")</f>
        <v>G</v>
      </c>
      <c r="B345" s="1" t="n">
        <v>0.75425</v>
      </c>
      <c r="C345" s="1" t="n">
        <f aca="false">F345*1000</f>
        <v>5967732.301296</v>
      </c>
      <c r="D345" s="37" t="s">
        <v>234</v>
      </c>
      <c r="E345" s="1" t="s">
        <v>250</v>
      </c>
      <c r="F345" s="1" t="n">
        <v>5967.732301296</v>
      </c>
      <c r="G345" s="37" t="n">
        <v>2019</v>
      </c>
      <c r="H345" s="1" t="n">
        <v>8</v>
      </c>
      <c r="I345" s="1" t="s">
        <v>310</v>
      </c>
      <c r="J345" s="1" t="s">
        <v>295</v>
      </c>
    </row>
    <row r="346" customFormat="false" ht="13.8" hidden="false" customHeight="false" outlineLevel="0" collapsed="false">
      <c r="A346" s="1" t="str">
        <f aca="false">IF(J346="DIESEL", "D", "G")</f>
        <v>G</v>
      </c>
      <c r="B346" s="1" t="n">
        <v>0.75425</v>
      </c>
      <c r="C346" s="1" t="n">
        <f aca="false">F346*1000</f>
        <v>5326581.929208</v>
      </c>
      <c r="D346" s="37" t="s">
        <v>234</v>
      </c>
      <c r="E346" s="1" t="s">
        <v>250</v>
      </c>
      <c r="F346" s="1" t="n">
        <v>5326.581929208</v>
      </c>
      <c r="G346" s="37" t="n">
        <v>2019</v>
      </c>
      <c r="H346" s="1" t="n">
        <v>9</v>
      </c>
      <c r="I346" s="1" t="s">
        <v>311</v>
      </c>
      <c r="J346" s="1" t="s">
        <v>295</v>
      </c>
    </row>
    <row r="347" customFormat="false" ht="13.8" hidden="false" customHeight="false" outlineLevel="0" collapsed="false">
      <c r="A347" s="1" t="str">
        <f aca="false">IF(J347="DIESEL", "D", "G")</f>
        <v>G</v>
      </c>
      <c r="B347" s="1" t="n">
        <v>0.75425</v>
      </c>
      <c r="C347" s="1" t="n">
        <f aca="false">F347*1000</f>
        <v>5055625.92366</v>
      </c>
      <c r="D347" s="37" t="s">
        <v>234</v>
      </c>
      <c r="E347" s="1" t="s">
        <v>250</v>
      </c>
      <c r="F347" s="1" t="n">
        <v>5055.62592366</v>
      </c>
      <c r="G347" s="37" t="n">
        <v>2019</v>
      </c>
      <c r="H347" s="1" t="n">
        <v>10</v>
      </c>
      <c r="I347" s="1" t="s">
        <v>312</v>
      </c>
      <c r="J347" s="1" t="s">
        <v>295</v>
      </c>
    </row>
    <row r="348" customFormat="false" ht="13.8" hidden="false" customHeight="false" outlineLevel="0" collapsed="false">
      <c r="A348" s="1" t="str">
        <f aca="false">IF(J348="DIESEL", "D", "G")</f>
        <v>G</v>
      </c>
      <c r="B348" s="1" t="n">
        <v>0.75425</v>
      </c>
      <c r="C348" s="1" t="n">
        <f aca="false">F348*1000</f>
        <v>5286146.158224</v>
      </c>
      <c r="D348" s="37" t="s">
        <v>234</v>
      </c>
      <c r="E348" s="1" t="s">
        <v>250</v>
      </c>
      <c r="F348" s="1" t="n">
        <v>5286.146158224</v>
      </c>
      <c r="G348" s="37" t="n">
        <v>2019</v>
      </c>
      <c r="H348" s="1" t="n">
        <v>11</v>
      </c>
      <c r="I348" s="1" t="s">
        <v>313</v>
      </c>
      <c r="J348" s="1" t="s">
        <v>295</v>
      </c>
    </row>
    <row r="349" customFormat="false" ht="13.8" hidden="false" customHeight="false" outlineLevel="0" collapsed="false">
      <c r="A349" s="1" t="str">
        <f aca="false">IF(J349="DIESEL", "D", "G")</f>
        <v>G</v>
      </c>
      <c r="B349" s="1" t="n">
        <v>0.75425</v>
      </c>
      <c r="C349" s="1" t="n">
        <f aca="false">F349*1000</f>
        <v>5840936.140944</v>
      </c>
      <c r="D349" s="37" t="s">
        <v>234</v>
      </c>
      <c r="E349" s="1" t="s">
        <v>250</v>
      </c>
      <c r="F349" s="1" t="n">
        <v>5840.936140944</v>
      </c>
      <c r="G349" s="37" t="n">
        <v>2019</v>
      </c>
      <c r="H349" s="1" t="n">
        <v>12</v>
      </c>
      <c r="I349" s="1" t="s">
        <v>314</v>
      </c>
      <c r="J349" s="1" t="s">
        <v>295</v>
      </c>
    </row>
    <row r="350" customFormat="false" ht="13.8" hidden="false" customHeight="false" outlineLevel="0" collapsed="false">
      <c r="A350" s="1" t="str">
        <f aca="false">IF(J350="DIESEL", "D", "G")</f>
        <v>G</v>
      </c>
      <c r="B350" s="1" t="n">
        <v>0.75425</v>
      </c>
      <c r="C350" s="1" t="n">
        <f aca="false">F350*1000</f>
        <v>10860400.023768</v>
      </c>
      <c r="D350" s="37" t="s">
        <v>234</v>
      </c>
      <c r="E350" s="1" t="s">
        <v>254</v>
      </c>
      <c r="F350" s="1" t="n">
        <v>10860.400023768</v>
      </c>
      <c r="G350" s="37" t="n">
        <v>2019</v>
      </c>
      <c r="H350" s="1" t="n">
        <v>1</v>
      </c>
      <c r="I350" s="1" t="s">
        <v>303</v>
      </c>
      <c r="J350" s="1" t="s">
        <v>295</v>
      </c>
    </row>
    <row r="351" customFormat="false" ht="13.8" hidden="false" customHeight="false" outlineLevel="0" collapsed="false">
      <c r="A351" s="1" t="str">
        <f aca="false">IF(J351="DIESEL", "D", "G")</f>
        <v>G</v>
      </c>
      <c r="B351" s="1" t="n">
        <v>0.75425</v>
      </c>
      <c r="C351" s="1" t="n">
        <f aca="false">F351*1000</f>
        <v>10280898.871512</v>
      </c>
      <c r="D351" s="37" t="s">
        <v>234</v>
      </c>
      <c r="E351" s="1" t="s">
        <v>254</v>
      </c>
      <c r="F351" s="1" t="n">
        <v>10280.898871512</v>
      </c>
      <c r="G351" s="37" t="n">
        <v>2019</v>
      </c>
      <c r="H351" s="1" t="n">
        <v>2</v>
      </c>
      <c r="I351" s="1" t="s">
        <v>304</v>
      </c>
      <c r="J351" s="1" t="s">
        <v>295</v>
      </c>
    </row>
    <row r="352" customFormat="false" ht="13.8" hidden="false" customHeight="false" outlineLevel="0" collapsed="false">
      <c r="A352" s="1" t="str">
        <f aca="false">IF(J352="DIESEL", "D", "G")</f>
        <v>G</v>
      </c>
      <c r="B352" s="1" t="n">
        <v>0.75425</v>
      </c>
      <c r="C352" s="1" t="n">
        <f aca="false">F352*1000</f>
        <v>12002504.249112</v>
      </c>
      <c r="D352" s="37" t="s">
        <v>234</v>
      </c>
      <c r="E352" s="1" t="s">
        <v>254</v>
      </c>
      <c r="F352" s="1" t="n">
        <v>12002.504249112</v>
      </c>
      <c r="G352" s="37" t="n">
        <v>2019</v>
      </c>
      <c r="H352" s="1" t="n">
        <v>3</v>
      </c>
      <c r="I352" s="1" t="s">
        <v>305</v>
      </c>
      <c r="J352" s="1" t="s">
        <v>295</v>
      </c>
    </row>
    <row r="353" customFormat="false" ht="13.8" hidden="false" customHeight="false" outlineLevel="0" collapsed="false">
      <c r="A353" s="1" t="str">
        <f aca="false">IF(J353="DIESEL", "D", "G")</f>
        <v>G</v>
      </c>
      <c r="B353" s="1" t="n">
        <v>0.75425</v>
      </c>
      <c r="C353" s="1" t="n">
        <f aca="false">F353*1000</f>
        <v>11363045.956188</v>
      </c>
      <c r="D353" s="37" t="s">
        <v>234</v>
      </c>
      <c r="E353" s="1" t="s">
        <v>254</v>
      </c>
      <c r="F353" s="1" t="n">
        <v>11363.045956188</v>
      </c>
      <c r="G353" s="37" t="n">
        <v>2019</v>
      </c>
      <c r="H353" s="1" t="n">
        <v>4</v>
      </c>
      <c r="I353" s="1" t="s">
        <v>306</v>
      </c>
      <c r="J353" s="1" t="s">
        <v>295</v>
      </c>
    </row>
    <row r="354" customFormat="false" ht="13.8" hidden="false" customHeight="false" outlineLevel="0" collapsed="false">
      <c r="A354" s="1" t="str">
        <f aca="false">IF(J354="DIESEL", "D", "G")</f>
        <v>G</v>
      </c>
      <c r="B354" s="1" t="n">
        <v>0.75425</v>
      </c>
      <c r="C354" s="1" t="n">
        <f aca="false">F354*1000</f>
        <v>11526462.192228</v>
      </c>
      <c r="D354" s="37" t="s">
        <v>234</v>
      </c>
      <c r="E354" s="1" t="s">
        <v>254</v>
      </c>
      <c r="F354" s="1" t="n">
        <v>11526.462192228</v>
      </c>
      <c r="G354" s="37" t="n">
        <v>2019</v>
      </c>
      <c r="H354" s="1" t="n">
        <v>5</v>
      </c>
      <c r="I354" s="1" t="s">
        <v>307</v>
      </c>
      <c r="J354" s="1" t="s">
        <v>295</v>
      </c>
    </row>
    <row r="355" customFormat="false" ht="13.8" hidden="false" customHeight="false" outlineLevel="0" collapsed="false">
      <c r="A355" s="1" t="str">
        <f aca="false">IF(J355="DIESEL", "D", "G")</f>
        <v>G</v>
      </c>
      <c r="B355" s="1" t="n">
        <v>0.75425</v>
      </c>
      <c r="C355" s="1" t="n">
        <f aca="false">F355*1000</f>
        <v>10443444.462792</v>
      </c>
      <c r="D355" s="37" t="s">
        <v>234</v>
      </c>
      <c r="E355" s="1" t="s">
        <v>254</v>
      </c>
      <c r="F355" s="1" t="n">
        <v>10443.444462792</v>
      </c>
      <c r="G355" s="37" t="n">
        <v>2019</v>
      </c>
      <c r="H355" s="1" t="n">
        <v>6</v>
      </c>
      <c r="I355" s="1" t="s">
        <v>308</v>
      </c>
      <c r="J355" s="1" t="s">
        <v>295</v>
      </c>
    </row>
    <row r="356" customFormat="false" ht="13.8" hidden="false" customHeight="false" outlineLevel="0" collapsed="false">
      <c r="A356" s="1" t="str">
        <f aca="false">IF(J356="DIESEL", "D", "G")</f>
        <v>G</v>
      </c>
      <c r="B356" s="1" t="n">
        <v>0.75425</v>
      </c>
      <c r="C356" s="1" t="n">
        <f aca="false">F356*1000</f>
        <v>11552195.423004</v>
      </c>
      <c r="D356" s="37" t="s">
        <v>234</v>
      </c>
      <c r="E356" s="1" t="s">
        <v>254</v>
      </c>
      <c r="F356" s="1" t="n">
        <v>11552.195423004</v>
      </c>
      <c r="G356" s="37" t="n">
        <v>2019</v>
      </c>
      <c r="H356" s="1" t="n">
        <v>7</v>
      </c>
      <c r="I356" s="1" t="s">
        <v>309</v>
      </c>
      <c r="J356" s="1" t="s">
        <v>295</v>
      </c>
    </row>
    <row r="357" customFormat="false" ht="13.8" hidden="false" customHeight="false" outlineLevel="0" collapsed="false">
      <c r="A357" s="1" t="str">
        <f aca="false">IF(J357="DIESEL", "D", "G")</f>
        <v>G</v>
      </c>
      <c r="B357" s="1" t="n">
        <v>0.75425</v>
      </c>
      <c r="C357" s="1" t="n">
        <f aca="false">F357*1000</f>
        <v>11703778.461132</v>
      </c>
      <c r="D357" s="37" t="s">
        <v>234</v>
      </c>
      <c r="E357" s="1" t="s">
        <v>254</v>
      </c>
      <c r="F357" s="1" t="n">
        <v>11703.778461132</v>
      </c>
      <c r="G357" s="37" t="n">
        <v>2019</v>
      </c>
      <c r="H357" s="1" t="n">
        <v>8</v>
      </c>
      <c r="I357" s="1" t="s">
        <v>310</v>
      </c>
      <c r="J357" s="1" t="s">
        <v>295</v>
      </c>
    </row>
    <row r="358" customFormat="false" ht="13.8" hidden="false" customHeight="false" outlineLevel="0" collapsed="false">
      <c r="A358" s="1" t="str">
        <f aca="false">IF(J358="DIESEL", "D", "G")</f>
        <v>G</v>
      </c>
      <c r="B358" s="1" t="n">
        <v>0.75425</v>
      </c>
      <c r="C358" s="1" t="n">
        <f aca="false">F358*1000</f>
        <v>11003329.610064</v>
      </c>
      <c r="D358" s="37" t="s">
        <v>234</v>
      </c>
      <c r="E358" s="1" t="s">
        <v>254</v>
      </c>
      <c r="F358" s="1" t="n">
        <v>11003.329610064</v>
      </c>
      <c r="G358" s="37" t="n">
        <v>2019</v>
      </c>
      <c r="H358" s="1" t="n">
        <v>9</v>
      </c>
      <c r="I358" s="1" t="s">
        <v>311</v>
      </c>
      <c r="J358" s="1" t="s">
        <v>295</v>
      </c>
    </row>
    <row r="359" customFormat="false" ht="13.8" hidden="false" customHeight="false" outlineLevel="0" collapsed="false">
      <c r="A359" s="1" t="str">
        <f aca="false">IF(J359="DIESEL", "D", "G")</f>
        <v>G</v>
      </c>
      <c r="B359" s="1" t="n">
        <v>0.75425</v>
      </c>
      <c r="C359" s="1" t="n">
        <f aca="false">F359*1000</f>
        <v>9686558.904216</v>
      </c>
      <c r="D359" s="37" t="s">
        <v>234</v>
      </c>
      <c r="E359" s="1" t="s">
        <v>254</v>
      </c>
      <c r="F359" s="1" t="n">
        <v>9686.558904216</v>
      </c>
      <c r="G359" s="37" t="n">
        <v>2019</v>
      </c>
      <c r="H359" s="1" t="n">
        <v>10</v>
      </c>
      <c r="I359" s="1" t="s">
        <v>312</v>
      </c>
      <c r="J359" s="1" t="s">
        <v>295</v>
      </c>
    </row>
    <row r="360" customFormat="false" ht="13.8" hidden="false" customHeight="false" outlineLevel="0" collapsed="false">
      <c r="A360" s="1" t="str">
        <f aca="false">IF(J360="DIESEL", "D", "G")</f>
        <v>G</v>
      </c>
      <c r="B360" s="1" t="n">
        <v>0.75425</v>
      </c>
      <c r="C360" s="1" t="n">
        <f aca="false">F360*1000</f>
        <v>11007387.571728</v>
      </c>
      <c r="D360" s="37" t="s">
        <v>234</v>
      </c>
      <c r="E360" s="1" t="s">
        <v>254</v>
      </c>
      <c r="F360" s="1" t="n">
        <v>11007.387571728</v>
      </c>
      <c r="G360" s="37" t="n">
        <v>2019</v>
      </c>
      <c r="H360" s="1" t="n">
        <v>11</v>
      </c>
      <c r="I360" s="1" t="s">
        <v>313</v>
      </c>
      <c r="J360" s="1" t="s">
        <v>295</v>
      </c>
    </row>
    <row r="361" customFormat="false" ht="13.8" hidden="false" customHeight="false" outlineLevel="0" collapsed="false">
      <c r="A361" s="1" t="str">
        <f aca="false">IF(J361="DIESEL", "D", "G")</f>
        <v>G</v>
      </c>
      <c r="B361" s="1" t="n">
        <v>0.75425</v>
      </c>
      <c r="C361" s="1" t="n">
        <f aca="false">F361*1000</f>
        <v>12203081.874756</v>
      </c>
      <c r="D361" s="37" t="s">
        <v>234</v>
      </c>
      <c r="E361" s="1" t="s">
        <v>254</v>
      </c>
      <c r="F361" s="1" t="n">
        <v>12203.081874756</v>
      </c>
      <c r="G361" s="37" t="n">
        <v>2019</v>
      </c>
      <c r="H361" s="1" t="n">
        <v>12</v>
      </c>
      <c r="I361" s="1" t="s">
        <v>314</v>
      </c>
      <c r="J361" s="1" t="s">
        <v>295</v>
      </c>
    </row>
    <row r="362" customFormat="false" ht="13.8" hidden="false" customHeight="false" outlineLevel="0" collapsed="false">
      <c r="A362" s="1" t="str">
        <f aca="false">IF(J362="DIESEL", "D", "G")</f>
        <v>G</v>
      </c>
      <c r="B362" s="1" t="n">
        <v>0.75425</v>
      </c>
      <c r="C362" s="1" t="n">
        <f aca="false">F362*1000</f>
        <v>10970748.56898</v>
      </c>
      <c r="D362" s="37" t="s">
        <v>234</v>
      </c>
      <c r="E362" s="1" t="s">
        <v>256</v>
      </c>
      <c r="F362" s="1" t="n">
        <v>10970.74856898</v>
      </c>
      <c r="G362" s="37" t="n">
        <v>2019</v>
      </c>
      <c r="H362" s="1" t="n">
        <v>1</v>
      </c>
      <c r="I362" s="1" t="s">
        <v>303</v>
      </c>
      <c r="J362" s="1" t="s">
        <v>295</v>
      </c>
    </row>
    <row r="363" customFormat="false" ht="13.8" hidden="false" customHeight="false" outlineLevel="0" collapsed="false">
      <c r="A363" s="1" t="str">
        <f aca="false">IF(J363="DIESEL", "D", "G")</f>
        <v>G</v>
      </c>
      <c r="B363" s="1" t="n">
        <v>0.75425</v>
      </c>
      <c r="C363" s="1" t="n">
        <f aca="false">F363*1000</f>
        <v>10272888.93972</v>
      </c>
      <c r="D363" s="37" t="s">
        <v>234</v>
      </c>
      <c r="E363" s="1" t="s">
        <v>256</v>
      </c>
      <c r="F363" s="1" t="n">
        <v>10272.88893972</v>
      </c>
      <c r="G363" s="37" t="n">
        <v>2019</v>
      </c>
      <c r="H363" s="1" t="n">
        <v>2</v>
      </c>
      <c r="I363" s="1" t="s">
        <v>304</v>
      </c>
      <c r="J363" s="1" t="s">
        <v>295</v>
      </c>
    </row>
    <row r="364" customFormat="false" ht="13.8" hidden="false" customHeight="false" outlineLevel="0" collapsed="false">
      <c r="A364" s="1" t="str">
        <f aca="false">IF(J364="DIESEL", "D", "G")</f>
        <v>G</v>
      </c>
      <c r="B364" s="1" t="n">
        <v>0.75425</v>
      </c>
      <c r="C364" s="1" t="n">
        <f aca="false">F364*1000</f>
        <v>11331551.328348</v>
      </c>
      <c r="D364" s="37" t="s">
        <v>234</v>
      </c>
      <c r="E364" s="1" t="s">
        <v>256</v>
      </c>
      <c r="F364" s="1" t="n">
        <v>11331.551328348</v>
      </c>
      <c r="G364" s="37" t="n">
        <v>2019</v>
      </c>
      <c r="H364" s="1" t="n">
        <v>3</v>
      </c>
      <c r="I364" s="1" t="s">
        <v>305</v>
      </c>
      <c r="J364" s="1" t="s">
        <v>295</v>
      </c>
    </row>
    <row r="365" customFormat="false" ht="13.8" hidden="false" customHeight="false" outlineLevel="0" collapsed="false">
      <c r="A365" s="1" t="str">
        <f aca="false">IF(J365="DIESEL", "D", "G")</f>
        <v>G</v>
      </c>
      <c r="B365" s="1" t="n">
        <v>0.75425</v>
      </c>
      <c r="C365" s="1" t="n">
        <f aca="false">F365*1000</f>
        <v>10982275.14852</v>
      </c>
      <c r="D365" s="37" t="s">
        <v>234</v>
      </c>
      <c r="E365" s="1" t="s">
        <v>256</v>
      </c>
      <c r="F365" s="1" t="n">
        <v>10982.27514852</v>
      </c>
      <c r="G365" s="37" t="n">
        <v>2019</v>
      </c>
      <c r="H365" s="1" t="n">
        <v>4</v>
      </c>
      <c r="I365" s="1" t="s">
        <v>306</v>
      </c>
      <c r="J365" s="1" t="s">
        <v>295</v>
      </c>
    </row>
    <row r="366" customFormat="false" ht="13.8" hidden="false" customHeight="false" outlineLevel="0" collapsed="false">
      <c r="A366" s="1" t="str">
        <f aca="false">IF(J366="DIESEL", "D", "G")</f>
        <v>G</v>
      </c>
      <c r="B366" s="1" t="n">
        <v>0.75425</v>
      </c>
      <c r="C366" s="1" t="n">
        <f aca="false">F366*1000</f>
        <v>11437205.96268</v>
      </c>
      <c r="D366" s="37" t="s">
        <v>234</v>
      </c>
      <c r="E366" s="1" t="s">
        <v>256</v>
      </c>
      <c r="F366" s="1" t="n">
        <v>11437.20596268</v>
      </c>
      <c r="G366" s="37" t="n">
        <v>2019</v>
      </c>
      <c r="H366" s="1" t="n">
        <v>5</v>
      </c>
      <c r="I366" s="1" t="s">
        <v>307</v>
      </c>
      <c r="J366" s="1" t="s">
        <v>295</v>
      </c>
    </row>
    <row r="367" customFormat="false" ht="13.8" hidden="false" customHeight="false" outlineLevel="0" collapsed="false">
      <c r="A367" s="1" t="str">
        <f aca="false">IF(J367="DIESEL", "D", "G")</f>
        <v>G</v>
      </c>
      <c r="B367" s="1" t="n">
        <v>0.75425</v>
      </c>
      <c r="C367" s="1" t="n">
        <f aca="false">F367*1000</f>
        <v>10687126.57488</v>
      </c>
      <c r="D367" s="37" t="s">
        <v>234</v>
      </c>
      <c r="E367" s="1" t="s">
        <v>256</v>
      </c>
      <c r="F367" s="1" t="n">
        <v>10687.12657488</v>
      </c>
      <c r="G367" s="37" t="n">
        <v>2019</v>
      </c>
      <c r="H367" s="1" t="n">
        <v>6</v>
      </c>
      <c r="I367" s="1" t="s">
        <v>308</v>
      </c>
      <c r="J367" s="1" t="s">
        <v>295</v>
      </c>
    </row>
    <row r="368" customFormat="false" ht="13.8" hidden="false" customHeight="false" outlineLevel="0" collapsed="false">
      <c r="A368" s="1" t="str">
        <f aca="false">IF(J368="DIESEL", "D", "G")</f>
        <v>G</v>
      </c>
      <c r="B368" s="1" t="n">
        <v>0.75425</v>
      </c>
      <c r="C368" s="1" t="n">
        <f aca="false">F368*1000</f>
        <v>11441199.57234</v>
      </c>
      <c r="D368" s="37" t="s">
        <v>234</v>
      </c>
      <c r="E368" s="1" t="s">
        <v>256</v>
      </c>
      <c r="F368" s="1" t="n">
        <v>11441.19957234</v>
      </c>
      <c r="G368" s="37" t="n">
        <v>2019</v>
      </c>
      <c r="H368" s="1" t="n">
        <v>7</v>
      </c>
      <c r="I368" s="1" t="s">
        <v>309</v>
      </c>
      <c r="J368" s="1" t="s">
        <v>295</v>
      </c>
    </row>
    <row r="369" customFormat="false" ht="13.8" hidden="false" customHeight="false" outlineLevel="0" collapsed="false">
      <c r="A369" s="1" t="str">
        <f aca="false">IF(J369="DIESEL", "D", "G")</f>
        <v>G</v>
      </c>
      <c r="B369" s="1" t="n">
        <v>0.75425</v>
      </c>
      <c r="C369" s="1" t="n">
        <f aca="false">F369*1000</f>
        <v>11670652.32072</v>
      </c>
      <c r="D369" s="37" t="s">
        <v>234</v>
      </c>
      <c r="E369" s="1" t="s">
        <v>256</v>
      </c>
      <c r="F369" s="1" t="n">
        <v>11670.65232072</v>
      </c>
      <c r="G369" s="37" t="n">
        <v>2019</v>
      </c>
      <c r="H369" s="1" t="n">
        <v>8</v>
      </c>
      <c r="I369" s="1" t="s">
        <v>310</v>
      </c>
      <c r="J369" s="1" t="s">
        <v>295</v>
      </c>
    </row>
    <row r="370" customFormat="false" ht="13.8" hidden="false" customHeight="false" outlineLevel="0" collapsed="false">
      <c r="A370" s="1" t="str">
        <f aca="false">IF(J370="DIESEL", "D", "G")</f>
        <v>G</v>
      </c>
      <c r="B370" s="1" t="n">
        <v>0.75425</v>
      </c>
      <c r="C370" s="1" t="n">
        <f aca="false">F370*1000</f>
        <v>11035414.762176</v>
      </c>
      <c r="D370" s="37" t="s">
        <v>234</v>
      </c>
      <c r="E370" s="1" t="s">
        <v>256</v>
      </c>
      <c r="F370" s="1" t="n">
        <v>11035.414762176</v>
      </c>
      <c r="G370" s="37" t="n">
        <v>2019</v>
      </c>
      <c r="H370" s="1" t="n">
        <v>9</v>
      </c>
      <c r="I370" s="1" t="s">
        <v>311</v>
      </c>
      <c r="J370" s="1" t="s">
        <v>295</v>
      </c>
    </row>
    <row r="371" customFormat="false" ht="13.8" hidden="false" customHeight="false" outlineLevel="0" collapsed="false">
      <c r="A371" s="1" t="str">
        <f aca="false">IF(J371="DIESEL", "D", "G")</f>
        <v>G</v>
      </c>
      <c r="B371" s="1" t="n">
        <v>0.75425</v>
      </c>
      <c r="C371" s="1" t="n">
        <f aca="false">F371*1000</f>
        <v>9387443.2188</v>
      </c>
      <c r="D371" s="37" t="s">
        <v>234</v>
      </c>
      <c r="E371" s="1" t="s">
        <v>256</v>
      </c>
      <c r="F371" s="1" t="n">
        <v>9387.4432188</v>
      </c>
      <c r="G371" s="37" t="n">
        <v>2019</v>
      </c>
      <c r="H371" s="1" t="n">
        <v>10</v>
      </c>
      <c r="I371" s="1" t="s">
        <v>312</v>
      </c>
      <c r="J371" s="1" t="s">
        <v>295</v>
      </c>
    </row>
    <row r="372" customFormat="false" ht="13.8" hidden="false" customHeight="false" outlineLevel="0" collapsed="false">
      <c r="A372" s="1" t="str">
        <f aca="false">IF(J372="DIESEL", "D", "G")</f>
        <v>G</v>
      </c>
      <c r="B372" s="1" t="n">
        <v>0.75425</v>
      </c>
      <c r="C372" s="1" t="n">
        <f aca="false">F372*1000</f>
        <v>10960391.681748</v>
      </c>
      <c r="D372" s="37" t="s">
        <v>234</v>
      </c>
      <c r="E372" s="1" t="s">
        <v>256</v>
      </c>
      <c r="F372" s="1" t="n">
        <v>10960.391681748</v>
      </c>
      <c r="G372" s="37" t="n">
        <v>2019</v>
      </c>
      <c r="H372" s="1" t="n">
        <v>11</v>
      </c>
      <c r="I372" s="1" t="s">
        <v>313</v>
      </c>
      <c r="J372" s="1" t="s">
        <v>295</v>
      </c>
    </row>
    <row r="373" customFormat="false" ht="13.8" hidden="false" customHeight="false" outlineLevel="0" collapsed="false">
      <c r="A373" s="1" t="str">
        <f aca="false">IF(J373="DIESEL", "D", "G")</f>
        <v>G</v>
      </c>
      <c r="B373" s="1" t="n">
        <v>0.75425</v>
      </c>
      <c r="C373" s="1" t="n">
        <f aca="false">F373*1000</f>
        <v>11894881.20054</v>
      </c>
      <c r="D373" s="37" t="s">
        <v>234</v>
      </c>
      <c r="E373" s="1" t="s">
        <v>256</v>
      </c>
      <c r="F373" s="1" t="n">
        <v>11894.88120054</v>
      </c>
      <c r="G373" s="37" t="n">
        <v>2019</v>
      </c>
      <c r="H373" s="1" t="n">
        <v>12</v>
      </c>
      <c r="I373" s="1" t="s">
        <v>314</v>
      </c>
      <c r="J373" s="1" t="s">
        <v>295</v>
      </c>
    </row>
    <row r="374" customFormat="false" ht="13.8" hidden="false" customHeight="false" outlineLevel="0" collapsed="false">
      <c r="A374" s="1" t="str">
        <f aca="false">IF(J374="DIESEL", "D", "G")</f>
        <v>G</v>
      </c>
      <c r="B374" s="1" t="n">
        <v>0.75425</v>
      </c>
      <c r="C374" s="1" t="n">
        <f aca="false">F374*1000</f>
        <v>18302709.286368</v>
      </c>
      <c r="D374" s="37" t="s">
        <v>234</v>
      </c>
      <c r="E374" s="1" t="s">
        <v>258</v>
      </c>
      <c r="F374" s="1" t="n">
        <v>18302.709286368</v>
      </c>
      <c r="G374" s="37" t="n">
        <v>2019</v>
      </c>
      <c r="H374" s="1" t="n">
        <v>1</v>
      </c>
      <c r="I374" s="1" t="s">
        <v>303</v>
      </c>
      <c r="J374" s="1" t="s">
        <v>295</v>
      </c>
    </row>
    <row r="375" customFormat="false" ht="13.8" hidden="false" customHeight="false" outlineLevel="0" collapsed="false">
      <c r="A375" s="1" t="str">
        <f aca="false">IF(J375="DIESEL", "D", "G")</f>
        <v>G</v>
      </c>
      <c r="B375" s="1" t="n">
        <v>0.75425</v>
      </c>
      <c r="C375" s="1" t="n">
        <f aca="false">F375*1000</f>
        <v>16657894.7766</v>
      </c>
      <c r="D375" s="37" t="s">
        <v>234</v>
      </c>
      <c r="E375" s="1" t="s">
        <v>258</v>
      </c>
      <c r="F375" s="1" t="n">
        <v>16657.8947766</v>
      </c>
      <c r="G375" s="37" t="n">
        <v>2019</v>
      </c>
      <c r="H375" s="1" t="n">
        <v>2</v>
      </c>
      <c r="I375" s="1" t="s">
        <v>304</v>
      </c>
      <c r="J375" s="1" t="s">
        <v>295</v>
      </c>
    </row>
    <row r="376" customFormat="false" ht="13.8" hidden="false" customHeight="false" outlineLevel="0" collapsed="false">
      <c r="A376" s="1" t="str">
        <f aca="false">IF(J376="DIESEL", "D", "G")</f>
        <v>G</v>
      </c>
      <c r="B376" s="1" t="n">
        <v>0.75425</v>
      </c>
      <c r="C376" s="1" t="n">
        <f aca="false">F376*1000</f>
        <v>18260676.07152</v>
      </c>
      <c r="D376" s="37" t="s">
        <v>234</v>
      </c>
      <c r="E376" s="1" t="s">
        <v>258</v>
      </c>
      <c r="F376" s="1" t="n">
        <v>18260.67607152</v>
      </c>
      <c r="G376" s="37" t="n">
        <v>2019</v>
      </c>
      <c r="H376" s="1" t="n">
        <v>3</v>
      </c>
      <c r="I376" s="1" t="s">
        <v>305</v>
      </c>
      <c r="J376" s="1" t="s">
        <v>295</v>
      </c>
    </row>
    <row r="377" customFormat="false" ht="13.8" hidden="false" customHeight="false" outlineLevel="0" collapsed="false">
      <c r="A377" s="1" t="str">
        <f aca="false">IF(J377="DIESEL", "D", "G")</f>
        <v>G</v>
      </c>
      <c r="B377" s="1" t="n">
        <v>0.75425</v>
      </c>
      <c r="C377" s="1" t="n">
        <f aca="false">F377*1000</f>
        <v>18439044.68496</v>
      </c>
      <c r="D377" s="37" t="s">
        <v>234</v>
      </c>
      <c r="E377" s="1" t="s">
        <v>258</v>
      </c>
      <c r="F377" s="1" t="n">
        <v>18439.04468496</v>
      </c>
      <c r="G377" s="37" t="n">
        <v>2019</v>
      </c>
      <c r="H377" s="1" t="n">
        <v>4</v>
      </c>
      <c r="I377" s="1" t="s">
        <v>306</v>
      </c>
      <c r="J377" s="1" t="s">
        <v>295</v>
      </c>
    </row>
    <row r="378" customFormat="false" ht="13.8" hidden="false" customHeight="false" outlineLevel="0" collapsed="false">
      <c r="A378" s="1" t="str">
        <f aca="false">IF(J378="DIESEL", "D", "G")</f>
        <v>G</v>
      </c>
      <c r="B378" s="1" t="n">
        <v>0.75425</v>
      </c>
      <c r="C378" s="1" t="n">
        <f aca="false">F378*1000</f>
        <v>19142351.522088</v>
      </c>
      <c r="D378" s="37" t="s">
        <v>234</v>
      </c>
      <c r="E378" s="1" t="s">
        <v>258</v>
      </c>
      <c r="F378" s="1" t="n">
        <v>19142.351522088</v>
      </c>
      <c r="G378" s="37" t="n">
        <v>2019</v>
      </c>
      <c r="H378" s="1" t="n">
        <v>5</v>
      </c>
      <c r="I378" s="1" t="s">
        <v>307</v>
      </c>
      <c r="J378" s="1" t="s">
        <v>295</v>
      </c>
    </row>
    <row r="379" customFormat="false" ht="13.8" hidden="false" customHeight="false" outlineLevel="0" collapsed="false">
      <c r="A379" s="1" t="str">
        <f aca="false">IF(J379="DIESEL", "D", "G")</f>
        <v>G</v>
      </c>
      <c r="B379" s="1" t="n">
        <v>0.75425</v>
      </c>
      <c r="C379" s="1" t="n">
        <f aca="false">F379*1000</f>
        <v>17776775.499324</v>
      </c>
      <c r="D379" s="37" t="s">
        <v>234</v>
      </c>
      <c r="E379" s="1" t="s">
        <v>258</v>
      </c>
      <c r="F379" s="1" t="n">
        <v>17776.775499324</v>
      </c>
      <c r="G379" s="37" t="n">
        <v>2019</v>
      </c>
      <c r="H379" s="1" t="n">
        <v>6</v>
      </c>
      <c r="I379" s="1" t="s">
        <v>308</v>
      </c>
      <c r="J379" s="1" t="s">
        <v>295</v>
      </c>
    </row>
    <row r="380" customFormat="false" ht="13.8" hidden="false" customHeight="false" outlineLevel="0" collapsed="false">
      <c r="A380" s="1" t="str">
        <f aca="false">IF(J380="DIESEL", "D", "G")</f>
        <v>G</v>
      </c>
      <c r="B380" s="1" t="n">
        <v>0.75425</v>
      </c>
      <c r="C380" s="1" t="n">
        <f aca="false">F380*1000</f>
        <v>18643093.533408</v>
      </c>
      <c r="D380" s="37" t="s">
        <v>234</v>
      </c>
      <c r="E380" s="1" t="s">
        <v>258</v>
      </c>
      <c r="F380" s="1" t="n">
        <v>18643.093533408</v>
      </c>
      <c r="G380" s="37" t="n">
        <v>2019</v>
      </c>
      <c r="H380" s="1" t="n">
        <v>7</v>
      </c>
      <c r="I380" s="1" t="s">
        <v>309</v>
      </c>
      <c r="J380" s="1" t="s">
        <v>295</v>
      </c>
    </row>
    <row r="381" customFormat="false" ht="13.8" hidden="false" customHeight="false" outlineLevel="0" collapsed="false">
      <c r="A381" s="1" t="str">
        <f aca="false">IF(J381="DIESEL", "D", "G")</f>
        <v>G</v>
      </c>
      <c r="B381" s="1" t="n">
        <v>0.75425</v>
      </c>
      <c r="C381" s="1" t="n">
        <f aca="false">F381*1000</f>
        <v>19254971.3145</v>
      </c>
      <c r="D381" s="37" t="s">
        <v>234</v>
      </c>
      <c r="E381" s="1" t="s">
        <v>258</v>
      </c>
      <c r="F381" s="1" t="n">
        <v>19254.9713145</v>
      </c>
      <c r="G381" s="37" t="n">
        <v>2019</v>
      </c>
      <c r="H381" s="1" t="n">
        <v>8</v>
      </c>
      <c r="I381" s="1" t="s">
        <v>310</v>
      </c>
      <c r="J381" s="1" t="s">
        <v>295</v>
      </c>
    </row>
    <row r="382" customFormat="false" ht="13.8" hidden="false" customHeight="false" outlineLevel="0" collapsed="false">
      <c r="A382" s="1" t="str">
        <f aca="false">IF(J382="DIESEL", "D", "G")</f>
        <v>G</v>
      </c>
      <c r="B382" s="1" t="n">
        <v>0.75425</v>
      </c>
      <c r="C382" s="1" t="n">
        <f aca="false">F382*1000</f>
        <v>17642064.04248</v>
      </c>
      <c r="D382" s="37" t="s">
        <v>234</v>
      </c>
      <c r="E382" s="1" t="s">
        <v>258</v>
      </c>
      <c r="F382" s="1" t="n">
        <v>17642.06404248</v>
      </c>
      <c r="G382" s="37" t="n">
        <v>2019</v>
      </c>
      <c r="H382" s="1" t="n">
        <v>9</v>
      </c>
      <c r="I382" s="1" t="s">
        <v>311</v>
      </c>
      <c r="J382" s="1" t="s">
        <v>295</v>
      </c>
    </row>
    <row r="383" customFormat="false" ht="13.8" hidden="false" customHeight="false" outlineLevel="0" collapsed="false">
      <c r="A383" s="1" t="str">
        <f aca="false">IF(J383="DIESEL", "D", "G")</f>
        <v>G</v>
      </c>
      <c r="B383" s="1" t="n">
        <v>0.75425</v>
      </c>
      <c r="C383" s="1" t="n">
        <f aca="false">F383*1000</f>
        <v>16845223.460244</v>
      </c>
      <c r="D383" s="37" t="s">
        <v>234</v>
      </c>
      <c r="E383" s="1" t="s">
        <v>258</v>
      </c>
      <c r="F383" s="1" t="n">
        <v>16845.223460244</v>
      </c>
      <c r="G383" s="37" t="n">
        <v>2019</v>
      </c>
      <c r="H383" s="1" t="n">
        <v>10</v>
      </c>
      <c r="I383" s="1" t="s">
        <v>312</v>
      </c>
      <c r="J383" s="1" t="s">
        <v>295</v>
      </c>
    </row>
    <row r="384" customFormat="false" ht="13.8" hidden="false" customHeight="false" outlineLevel="0" collapsed="false">
      <c r="A384" s="1" t="str">
        <f aca="false">IF(J384="DIESEL", "D", "G")</f>
        <v>G</v>
      </c>
      <c r="B384" s="1" t="n">
        <v>0.75425</v>
      </c>
      <c r="C384" s="1" t="n">
        <f aca="false">F384*1000</f>
        <v>17769670.281</v>
      </c>
      <c r="D384" s="37" t="s">
        <v>234</v>
      </c>
      <c r="E384" s="1" t="s">
        <v>258</v>
      </c>
      <c r="F384" s="1" t="n">
        <v>17769.670281</v>
      </c>
      <c r="G384" s="37" t="n">
        <v>2019</v>
      </c>
      <c r="H384" s="1" t="n">
        <v>11</v>
      </c>
      <c r="I384" s="1" t="s">
        <v>313</v>
      </c>
      <c r="J384" s="1" t="s">
        <v>295</v>
      </c>
    </row>
    <row r="385" customFormat="false" ht="13.8" hidden="false" customHeight="false" outlineLevel="0" collapsed="false">
      <c r="A385" s="1" t="str">
        <f aca="false">IF(J385="DIESEL", "D", "G")</f>
        <v>G</v>
      </c>
      <c r="B385" s="1" t="n">
        <v>0.75425</v>
      </c>
      <c r="C385" s="1" t="n">
        <f aca="false">F385*1000</f>
        <v>19860122.418468</v>
      </c>
      <c r="D385" s="37" t="s">
        <v>234</v>
      </c>
      <c r="E385" s="1" t="s">
        <v>258</v>
      </c>
      <c r="F385" s="1" t="n">
        <v>19860.122418468</v>
      </c>
      <c r="G385" s="37" t="n">
        <v>2019</v>
      </c>
      <c r="H385" s="1" t="n">
        <v>12</v>
      </c>
      <c r="I385" s="1" t="s">
        <v>314</v>
      </c>
      <c r="J385" s="1" t="s">
        <v>295</v>
      </c>
    </row>
    <row r="386" customFormat="false" ht="13.8" hidden="false" customHeight="false" outlineLevel="0" collapsed="false">
      <c r="A386" s="1" t="str">
        <f aca="false">IF(J386="DIESEL", "D", "G")</f>
        <v>G</v>
      </c>
      <c r="B386" s="1" t="n">
        <v>0.75425</v>
      </c>
      <c r="C386" s="1" t="n">
        <f aca="false">F386*1000</f>
        <v>9685745.040636</v>
      </c>
      <c r="D386" s="37" t="s">
        <v>234</v>
      </c>
      <c r="E386" s="1" t="s">
        <v>260</v>
      </c>
      <c r="F386" s="1" t="n">
        <v>9685.745040636</v>
      </c>
      <c r="G386" s="37" t="n">
        <v>2019</v>
      </c>
      <c r="H386" s="1" t="n">
        <v>1</v>
      </c>
      <c r="I386" s="1" t="s">
        <v>303</v>
      </c>
      <c r="J386" s="1" t="s">
        <v>295</v>
      </c>
    </row>
    <row r="387" customFormat="false" ht="13.8" hidden="false" customHeight="false" outlineLevel="0" collapsed="false">
      <c r="A387" s="1" t="str">
        <f aca="false">IF(J387="DIESEL", "D", "G")</f>
        <v>G</v>
      </c>
      <c r="B387" s="1" t="n">
        <v>0.75425</v>
      </c>
      <c r="C387" s="1" t="n">
        <f aca="false">F387*1000</f>
        <v>9143193.294912</v>
      </c>
      <c r="D387" s="37" t="s">
        <v>234</v>
      </c>
      <c r="E387" s="1" t="s">
        <v>260</v>
      </c>
      <c r="F387" s="1" t="n">
        <v>9143.193294912</v>
      </c>
      <c r="G387" s="37" t="n">
        <v>2019</v>
      </c>
      <c r="H387" s="1" t="n">
        <v>2</v>
      </c>
      <c r="I387" s="1" t="s">
        <v>304</v>
      </c>
      <c r="J387" s="1" t="s">
        <v>295</v>
      </c>
    </row>
    <row r="388" customFormat="false" ht="13.8" hidden="false" customHeight="false" outlineLevel="0" collapsed="false">
      <c r="A388" s="1" t="str">
        <f aca="false">IF(J388="DIESEL", "D", "G")</f>
        <v>G</v>
      </c>
      <c r="B388" s="1" t="n">
        <v>0.75425</v>
      </c>
      <c r="C388" s="1" t="n">
        <f aca="false">F388*1000</f>
        <v>10494997.98882</v>
      </c>
      <c r="D388" s="37" t="s">
        <v>234</v>
      </c>
      <c r="E388" s="1" t="s">
        <v>260</v>
      </c>
      <c r="F388" s="1" t="n">
        <v>10494.99798882</v>
      </c>
      <c r="G388" s="37" t="n">
        <v>2019</v>
      </c>
      <c r="H388" s="1" t="n">
        <v>3</v>
      </c>
      <c r="I388" s="1" t="s">
        <v>305</v>
      </c>
      <c r="J388" s="1" t="s">
        <v>295</v>
      </c>
    </row>
    <row r="389" customFormat="false" ht="13.8" hidden="false" customHeight="false" outlineLevel="0" collapsed="false">
      <c r="A389" s="1" t="str">
        <f aca="false">IF(J389="DIESEL", "D", "G")</f>
        <v>G</v>
      </c>
      <c r="B389" s="1" t="n">
        <v>0.75425</v>
      </c>
      <c r="C389" s="1" t="n">
        <f aca="false">F389*1000</f>
        <v>10033885.596864</v>
      </c>
      <c r="D389" s="37" t="s">
        <v>234</v>
      </c>
      <c r="E389" s="1" t="s">
        <v>260</v>
      </c>
      <c r="F389" s="1" t="n">
        <v>10033.885596864</v>
      </c>
      <c r="G389" s="37" t="n">
        <v>2019</v>
      </c>
      <c r="H389" s="1" t="n">
        <v>4</v>
      </c>
      <c r="I389" s="1" t="s">
        <v>306</v>
      </c>
      <c r="J389" s="1" t="s">
        <v>295</v>
      </c>
    </row>
    <row r="390" customFormat="false" ht="13.8" hidden="false" customHeight="false" outlineLevel="0" collapsed="false">
      <c r="A390" s="1" t="str">
        <f aca="false">IF(J390="DIESEL", "D", "G")</f>
        <v>G</v>
      </c>
      <c r="B390" s="1" t="n">
        <v>0.75425</v>
      </c>
      <c r="C390" s="1" t="n">
        <f aca="false">F390*1000</f>
        <v>10141917.469932</v>
      </c>
      <c r="D390" s="37" t="s">
        <v>234</v>
      </c>
      <c r="E390" s="1" t="s">
        <v>260</v>
      </c>
      <c r="F390" s="1" t="n">
        <v>10141.917469932</v>
      </c>
      <c r="G390" s="37" t="n">
        <v>2019</v>
      </c>
      <c r="H390" s="1" t="n">
        <v>5</v>
      </c>
      <c r="I390" s="1" t="s">
        <v>307</v>
      </c>
      <c r="J390" s="1" t="s">
        <v>295</v>
      </c>
    </row>
    <row r="391" customFormat="false" ht="13.8" hidden="false" customHeight="false" outlineLevel="0" collapsed="false">
      <c r="A391" s="1" t="str">
        <f aca="false">IF(J391="DIESEL", "D", "G")</f>
        <v>G</v>
      </c>
      <c r="B391" s="1" t="n">
        <v>0.75425</v>
      </c>
      <c r="C391" s="1" t="n">
        <f aca="false">F391*1000</f>
        <v>9403728.061224</v>
      </c>
      <c r="D391" s="37" t="s">
        <v>234</v>
      </c>
      <c r="E391" s="1" t="s">
        <v>260</v>
      </c>
      <c r="F391" s="1" t="n">
        <v>9403.728061224</v>
      </c>
      <c r="G391" s="37" t="n">
        <v>2019</v>
      </c>
      <c r="H391" s="1" t="n">
        <v>6</v>
      </c>
      <c r="I391" s="1" t="s">
        <v>308</v>
      </c>
      <c r="J391" s="1" t="s">
        <v>295</v>
      </c>
    </row>
    <row r="392" customFormat="false" ht="13.8" hidden="false" customHeight="false" outlineLevel="0" collapsed="false">
      <c r="A392" s="1" t="str">
        <f aca="false">IF(J392="DIESEL", "D", "G")</f>
        <v>G</v>
      </c>
      <c r="B392" s="1" t="n">
        <v>0.75425</v>
      </c>
      <c r="C392" s="1" t="n">
        <f aca="false">F392*1000</f>
        <v>10679230.205448</v>
      </c>
      <c r="D392" s="37" t="s">
        <v>234</v>
      </c>
      <c r="E392" s="1" t="s">
        <v>260</v>
      </c>
      <c r="F392" s="1" t="n">
        <v>10679.230205448</v>
      </c>
      <c r="G392" s="37" t="n">
        <v>2019</v>
      </c>
      <c r="H392" s="1" t="n">
        <v>7</v>
      </c>
      <c r="I392" s="1" t="s">
        <v>309</v>
      </c>
      <c r="J392" s="1" t="s">
        <v>295</v>
      </c>
    </row>
    <row r="393" customFormat="false" ht="13.8" hidden="false" customHeight="false" outlineLevel="0" collapsed="false">
      <c r="A393" s="1" t="str">
        <f aca="false">IF(J393="DIESEL", "D", "G")</f>
        <v>G</v>
      </c>
      <c r="B393" s="1" t="n">
        <v>0.75425</v>
      </c>
      <c r="C393" s="1" t="n">
        <f aca="false">F393*1000</f>
        <v>12660571.627428</v>
      </c>
      <c r="D393" s="37" t="s">
        <v>234</v>
      </c>
      <c r="E393" s="1" t="s">
        <v>260</v>
      </c>
      <c r="F393" s="1" t="n">
        <v>12660.571627428</v>
      </c>
      <c r="G393" s="37" t="n">
        <v>2019</v>
      </c>
      <c r="H393" s="1" t="n">
        <v>8</v>
      </c>
      <c r="I393" s="1" t="s">
        <v>310</v>
      </c>
      <c r="J393" s="1" t="s">
        <v>295</v>
      </c>
    </row>
    <row r="394" customFormat="false" ht="13.8" hidden="false" customHeight="false" outlineLevel="0" collapsed="false">
      <c r="A394" s="1" t="str">
        <f aca="false">IF(J394="DIESEL", "D", "G")</f>
        <v>G</v>
      </c>
      <c r="B394" s="1" t="n">
        <v>0.75425</v>
      </c>
      <c r="C394" s="1" t="n">
        <f aca="false">F394*1000</f>
        <v>10160057.164236</v>
      </c>
      <c r="D394" s="37" t="s">
        <v>234</v>
      </c>
      <c r="E394" s="1" t="s">
        <v>260</v>
      </c>
      <c r="F394" s="1" t="n">
        <v>10160.057164236</v>
      </c>
      <c r="G394" s="37" t="n">
        <v>2019</v>
      </c>
      <c r="H394" s="1" t="n">
        <v>9</v>
      </c>
      <c r="I394" s="1" t="s">
        <v>311</v>
      </c>
      <c r="J394" s="1" t="s">
        <v>295</v>
      </c>
    </row>
    <row r="395" customFormat="false" ht="13.8" hidden="false" customHeight="false" outlineLevel="0" collapsed="false">
      <c r="A395" s="1" t="str">
        <f aca="false">IF(J395="DIESEL", "D", "G")</f>
        <v>G</v>
      </c>
      <c r="B395" s="1" t="n">
        <v>0.75425</v>
      </c>
      <c r="C395" s="1" t="n">
        <f aca="false">F395*1000</f>
        <v>9536796.64926</v>
      </c>
      <c r="D395" s="37" t="s">
        <v>234</v>
      </c>
      <c r="E395" s="1" t="s">
        <v>260</v>
      </c>
      <c r="F395" s="1" t="n">
        <v>9536.79664926</v>
      </c>
      <c r="G395" s="37" t="n">
        <v>2019</v>
      </c>
      <c r="H395" s="1" t="n">
        <v>10</v>
      </c>
      <c r="I395" s="1" t="s">
        <v>312</v>
      </c>
      <c r="J395" s="1" t="s">
        <v>295</v>
      </c>
    </row>
    <row r="396" customFormat="false" ht="13.8" hidden="false" customHeight="false" outlineLevel="0" collapsed="false">
      <c r="A396" s="1" t="str">
        <f aca="false">IF(J396="DIESEL", "D", "G")</f>
        <v>G</v>
      </c>
      <c r="B396" s="1" t="n">
        <v>0.75425</v>
      </c>
      <c r="C396" s="1" t="n">
        <f aca="false">F396*1000</f>
        <v>10477217.908656</v>
      </c>
      <c r="D396" s="37" t="s">
        <v>234</v>
      </c>
      <c r="E396" s="1" t="s">
        <v>260</v>
      </c>
      <c r="F396" s="1" t="n">
        <v>10477.217908656</v>
      </c>
      <c r="G396" s="37" t="n">
        <v>2019</v>
      </c>
      <c r="H396" s="1" t="n">
        <v>11</v>
      </c>
      <c r="I396" s="1" t="s">
        <v>313</v>
      </c>
      <c r="J396" s="1" t="s">
        <v>295</v>
      </c>
    </row>
    <row r="397" customFormat="false" ht="13.8" hidden="false" customHeight="false" outlineLevel="0" collapsed="false">
      <c r="A397" s="1" t="str">
        <f aca="false">IF(J397="DIESEL", "D", "G")</f>
        <v>G</v>
      </c>
      <c r="B397" s="1" t="n">
        <v>0.75425</v>
      </c>
      <c r="C397" s="1" t="n">
        <f aca="false">F397*1000</f>
        <v>11321554.055256</v>
      </c>
      <c r="D397" s="37" t="s">
        <v>234</v>
      </c>
      <c r="E397" s="1" t="s">
        <v>260</v>
      </c>
      <c r="F397" s="1" t="n">
        <v>11321.554055256</v>
      </c>
      <c r="G397" s="37" t="n">
        <v>2019</v>
      </c>
      <c r="H397" s="1" t="n">
        <v>12</v>
      </c>
      <c r="I397" s="1" t="s">
        <v>314</v>
      </c>
      <c r="J397" s="1" t="s">
        <v>295</v>
      </c>
    </row>
    <row r="398" customFormat="false" ht="13.8" hidden="false" customHeight="false" outlineLevel="0" collapsed="false">
      <c r="A398" s="1" t="str">
        <f aca="false">IF(J398="DIESEL", "D", "G")</f>
        <v>G</v>
      </c>
      <c r="B398" s="1" t="n">
        <v>0.75425</v>
      </c>
      <c r="C398" s="1" t="n">
        <f aca="false">F398*1000</f>
        <v>1349586.442476</v>
      </c>
      <c r="D398" s="37" t="s">
        <v>234</v>
      </c>
      <c r="E398" s="1" t="s">
        <v>262</v>
      </c>
      <c r="F398" s="1" t="n">
        <v>1349.586442476</v>
      </c>
      <c r="G398" s="37" t="n">
        <v>2019</v>
      </c>
      <c r="H398" s="1" t="n">
        <v>1</v>
      </c>
      <c r="I398" s="1" t="s">
        <v>303</v>
      </c>
      <c r="J398" s="1" t="s">
        <v>295</v>
      </c>
    </row>
    <row r="399" customFormat="false" ht="13.8" hidden="false" customHeight="false" outlineLevel="0" collapsed="false">
      <c r="A399" s="1" t="str">
        <f aca="false">IF(J399="DIESEL", "D", "G")</f>
        <v>G</v>
      </c>
      <c r="B399" s="1" t="n">
        <v>0.75425</v>
      </c>
      <c r="C399" s="1" t="n">
        <f aca="false">F399*1000</f>
        <v>1122685.061784</v>
      </c>
      <c r="D399" s="37" t="s">
        <v>234</v>
      </c>
      <c r="E399" s="1" t="s">
        <v>262</v>
      </c>
      <c r="F399" s="1" t="n">
        <v>1122.685061784</v>
      </c>
      <c r="G399" s="37" t="n">
        <v>2019</v>
      </c>
      <c r="H399" s="1" t="n">
        <v>2</v>
      </c>
      <c r="I399" s="1" t="s">
        <v>304</v>
      </c>
      <c r="J399" s="1" t="s">
        <v>295</v>
      </c>
    </row>
    <row r="400" customFormat="false" ht="13.8" hidden="false" customHeight="false" outlineLevel="0" collapsed="false">
      <c r="A400" s="1" t="str">
        <f aca="false">IF(J400="DIESEL", "D", "G")</f>
        <v>G</v>
      </c>
      <c r="B400" s="1" t="n">
        <v>0.75425</v>
      </c>
      <c r="C400" s="1" t="n">
        <f aca="false">F400*1000</f>
        <v>1457345.76588</v>
      </c>
      <c r="D400" s="37" t="s">
        <v>234</v>
      </c>
      <c r="E400" s="1" t="s">
        <v>262</v>
      </c>
      <c r="F400" s="1" t="n">
        <v>1457.34576588</v>
      </c>
      <c r="G400" s="37" t="n">
        <v>2019</v>
      </c>
      <c r="H400" s="1" t="n">
        <v>3</v>
      </c>
      <c r="I400" s="1" t="s">
        <v>305</v>
      </c>
      <c r="J400" s="1" t="s">
        <v>295</v>
      </c>
    </row>
    <row r="401" customFormat="false" ht="13.8" hidden="false" customHeight="false" outlineLevel="0" collapsed="false">
      <c r="A401" s="1" t="str">
        <f aca="false">IF(J401="DIESEL", "D", "G")</f>
        <v>G</v>
      </c>
      <c r="B401" s="1" t="n">
        <v>0.75425</v>
      </c>
      <c r="C401" s="1" t="n">
        <f aca="false">F401*1000</f>
        <v>1349665.936128</v>
      </c>
      <c r="D401" s="37" t="s">
        <v>234</v>
      </c>
      <c r="E401" s="1" t="s">
        <v>262</v>
      </c>
      <c r="F401" s="1" t="n">
        <v>1349.665936128</v>
      </c>
      <c r="G401" s="37" t="n">
        <v>2019</v>
      </c>
      <c r="H401" s="1" t="n">
        <v>4</v>
      </c>
      <c r="I401" s="1" t="s">
        <v>306</v>
      </c>
      <c r="J401" s="1" t="s">
        <v>295</v>
      </c>
    </row>
    <row r="402" customFormat="false" ht="13.8" hidden="false" customHeight="false" outlineLevel="0" collapsed="false">
      <c r="A402" s="1" t="str">
        <f aca="false">IF(J402="DIESEL", "D", "G")</f>
        <v>G</v>
      </c>
      <c r="B402" s="1" t="n">
        <v>0.75425</v>
      </c>
      <c r="C402" s="1" t="n">
        <f aca="false">F402*1000</f>
        <v>1142849.951508</v>
      </c>
      <c r="D402" s="37" t="s">
        <v>234</v>
      </c>
      <c r="E402" s="1" t="s">
        <v>262</v>
      </c>
      <c r="F402" s="1" t="n">
        <v>1142.849951508</v>
      </c>
      <c r="G402" s="37" t="n">
        <v>2019</v>
      </c>
      <c r="H402" s="1" t="n">
        <v>5</v>
      </c>
      <c r="I402" s="1" t="s">
        <v>307</v>
      </c>
      <c r="J402" s="1" t="s">
        <v>295</v>
      </c>
    </row>
    <row r="403" customFormat="false" ht="13.8" hidden="false" customHeight="false" outlineLevel="0" collapsed="false">
      <c r="A403" s="1" t="str">
        <f aca="false">IF(J403="DIESEL", "D", "G")</f>
        <v>G</v>
      </c>
      <c r="B403" s="1" t="n">
        <v>0.75425</v>
      </c>
      <c r="C403" s="1" t="n">
        <f aca="false">F403*1000</f>
        <v>1307886.343884</v>
      </c>
      <c r="D403" s="37" t="s">
        <v>234</v>
      </c>
      <c r="E403" s="1" t="s">
        <v>262</v>
      </c>
      <c r="F403" s="1" t="n">
        <v>1307.886343884</v>
      </c>
      <c r="G403" s="37" t="n">
        <v>2019</v>
      </c>
      <c r="H403" s="1" t="n">
        <v>6</v>
      </c>
      <c r="I403" s="1" t="s">
        <v>308</v>
      </c>
      <c r="J403" s="1" t="s">
        <v>295</v>
      </c>
    </row>
    <row r="404" customFormat="false" ht="13.8" hidden="false" customHeight="false" outlineLevel="0" collapsed="false">
      <c r="A404" s="1" t="str">
        <f aca="false">IF(J404="DIESEL", "D", "G")</f>
        <v>G</v>
      </c>
      <c r="B404" s="1" t="n">
        <v>0.75425</v>
      </c>
      <c r="C404" s="1" t="n">
        <f aca="false">F404*1000</f>
        <v>1407011.142516</v>
      </c>
      <c r="D404" s="37" t="s">
        <v>234</v>
      </c>
      <c r="E404" s="1" t="s">
        <v>262</v>
      </c>
      <c r="F404" s="1" t="n">
        <v>1407.011142516</v>
      </c>
      <c r="G404" s="37" t="n">
        <v>2019</v>
      </c>
      <c r="H404" s="1" t="n">
        <v>7</v>
      </c>
      <c r="I404" s="1" t="s">
        <v>309</v>
      </c>
      <c r="J404" s="1" t="s">
        <v>295</v>
      </c>
    </row>
    <row r="405" customFormat="false" ht="13.8" hidden="false" customHeight="false" outlineLevel="0" collapsed="false">
      <c r="A405" s="1" t="str">
        <f aca="false">IF(J405="DIESEL", "D", "G")</f>
        <v>G</v>
      </c>
      <c r="B405" s="1" t="n">
        <v>0.75425</v>
      </c>
      <c r="C405" s="1" t="n">
        <f aca="false">F405*1000</f>
        <v>1435765.132068</v>
      </c>
      <c r="D405" s="37" t="s">
        <v>234</v>
      </c>
      <c r="E405" s="1" t="s">
        <v>262</v>
      </c>
      <c r="F405" s="1" t="n">
        <v>1435.765132068</v>
      </c>
      <c r="G405" s="37" t="n">
        <v>2019</v>
      </c>
      <c r="H405" s="1" t="n">
        <v>8</v>
      </c>
      <c r="I405" s="1" t="s">
        <v>310</v>
      </c>
      <c r="J405" s="1" t="s">
        <v>295</v>
      </c>
    </row>
    <row r="406" customFormat="false" ht="13.8" hidden="false" customHeight="false" outlineLevel="0" collapsed="false">
      <c r="A406" s="1" t="str">
        <f aca="false">IF(J406="DIESEL", "D", "G")</f>
        <v>G</v>
      </c>
      <c r="B406" s="1" t="n">
        <v>0.75425</v>
      </c>
      <c r="C406" s="1" t="n">
        <f aca="false">F406*1000</f>
        <v>1001196.049056</v>
      </c>
      <c r="D406" s="37" t="s">
        <v>234</v>
      </c>
      <c r="E406" s="1" t="s">
        <v>262</v>
      </c>
      <c r="F406" s="1" t="n">
        <v>1001.196049056</v>
      </c>
      <c r="G406" s="37" t="n">
        <v>2019</v>
      </c>
      <c r="H406" s="1" t="n">
        <v>9</v>
      </c>
      <c r="I406" s="1" t="s">
        <v>311</v>
      </c>
      <c r="J406" s="1" t="s">
        <v>295</v>
      </c>
    </row>
    <row r="407" customFormat="false" ht="13.8" hidden="false" customHeight="false" outlineLevel="0" collapsed="false">
      <c r="A407" s="1" t="str">
        <f aca="false">IF(J407="DIESEL", "D", "G")</f>
        <v>G</v>
      </c>
      <c r="B407" s="1" t="n">
        <v>0.75425</v>
      </c>
      <c r="C407" s="1" t="n">
        <f aca="false">F407*1000</f>
        <v>1185644.034168</v>
      </c>
      <c r="D407" s="37" t="s">
        <v>234</v>
      </c>
      <c r="E407" s="1" t="s">
        <v>262</v>
      </c>
      <c r="F407" s="1" t="n">
        <v>1185.644034168</v>
      </c>
      <c r="G407" s="37" t="n">
        <v>2019</v>
      </c>
      <c r="H407" s="1" t="n">
        <v>10</v>
      </c>
      <c r="I407" s="1" t="s">
        <v>312</v>
      </c>
      <c r="J407" s="1" t="s">
        <v>295</v>
      </c>
    </row>
    <row r="408" customFormat="false" ht="13.8" hidden="false" customHeight="false" outlineLevel="0" collapsed="false">
      <c r="A408" s="1" t="str">
        <f aca="false">IF(J408="DIESEL", "D", "G")</f>
        <v>G</v>
      </c>
      <c r="B408" s="1" t="n">
        <v>0.75425</v>
      </c>
      <c r="C408" s="1" t="n">
        <f aca="false">F408*1000</f>
        <v>1009164.341316</v>
      </c>
      <c r="D408" s="37" t="s">
        <v>234</v>
      </c>
      <c r="E408" s="1" t="s">
        <v>262</v>
      </c>
      <c r="F408" s="1" t="n">
        <v>1009.164341316</v>
      </c>
      <c r="G408" s="37" t="n">
        <v>2019</v>
      </c>
      <c r="H408" s="1" t="n">
        <v>11</v>
      </c>
      <c r="I408" s="1" t="s">
        <v>313</v>
      </c>
      <c r="J408" s="1" t="s">
        <v>295</v>
      </c>
    </row>
    <row r="409" customFormat="false" ht="13.8" hidden="false" customHeight="false" outlineLevel="0" collapsed="false">
      <c r="A409" s="1" t="str">
        <f aca="false">IF(J409="DIESEL", "D", "G")</f>
        <v>G</v>
      </c>
      <c r="B409" s="1" t="n">
        <v>0.75425</v>
      </c>
      <c r="C409" s="1" t="n">
        <f aca="false">F409*1000</f>
        <v>1300118.67846</v>
      </c>
      <c r="D409" s="37" t="s">
        <v>234</v>
      </c>
      <c r="E409" s="1" t="s">
        <v>262</v>
      </c>
      <c r="F409" s="1" t="n">
        <v>1300.11867846</v>
      </c>
      <c r="G409" s="37" t="n">
        <v>2019</v>
      </c>
      <c r="H409" s="1" t="n">
        <v>12</v>
      </c>
      <c r="I409" s="1" t="s">
        <v>314</v>
      </c>
      <c r="J409" s="1" t="s">
        <v>295</v>
      </c>
    </row>
    <row r="410" customFormat="false" ht="13.8" hidden="false" customHeight="false" outlineLevel="0" collapsed="false">
      <c r="A410" s="1" t="str">
        <f aca="false">IF(J410="DIESEL", "D", "G")</f>
        <v>G</v>
      </c>
      <c r="B410" s="1" t="n">
        <v>0.75425</v>
      </c>
      <c r="C410" s="1" t="n">
        <f aca="false">F410*1000</f>
        <v>99716314.681944</v>
      </c>
      <c r="D410" s="37" t="s">
        <v>234</v>
      </c>
      <c r="E410" s="1" t="s">
        <v>264</v>
      </c>
      <c r="F410" s="1" t="n">
        <v>99716.314681944</v>
      </c>
      <c r="G410" s="37" t="n">
        <v>2019</v>
      </c>
      <c r="H410" s="1" t="n">
        <v>1</v>
      </c>
      <c r="I410" s="1" t="s">
        <v>303</v>
      </c>
      <c r="J410" s="1" t="s">
        <v>295</v>
      </c>
    </row>
    <row r="411" customFormat="false" ht="13.8" hidden="false" customHeight="false" outlineLevel="0" collapsed="false">
      <c r="A411" s="1" t="str">
        <f aca="false">IF(J411="DIESEL", "D", "G")</f>
        <v>G</v>
      </c>
      <c r="B411" s="1" t="n">
        <v>0.75425</v>
      </c>
      <c r="C411" s="1" t="n">
        <f aca="false">F411*1000</f>
        <v>91993252.76754</v>
      </c>
      <c r="D411" s="37" t="s">
        <v>234</v>
      </c>
      <c r="E411" s="1" t="s">
        <v>264</v>
      </c>
      <c r="F411" s="1" t="n">
        <v>91993.25276754</v>
      </c>
      <c r="G411" s="37" t="n">
        <v>2019</v>
      </c>
      <c r="H411" s="1" t="n">
        <v>2</v>
      </c>
      <c r="I411" s="1" t="s">
        <v>304</v>
      </c>
      <c r="J411" s="1" t="s">
        <v>295</v>
      </c>
    </row>
    <row r="412" customFormat="false" ht="13.8" hidden="false" customHeight="false" outlineLevel="0" collapsed="false">
      <c r="A412" s="1" t="str">
        <f aca="false">IF(J412="DIESEL", "D", "G")</f>
        <v>G</v>
      </c>
      <c r="B412" s="1" t="n">
        <v>0.75425</v>
      </c>
      <c r="C412" s="1" t="n">
        <f aca="false">F412*1000</f>
        <v>99878493.08826</v>
      </c>
      <c r="D412" s="37" t="s">
        <v>234</v>
      </c>
      <c r="E412" s="1" t="s">
        <v>264</v>
      </c>
      <c r="F412" s="1" t="n">
        <v>99878.49308826</v>
      </c>
      <c r="G412" s="37" t="n">
        <v>2019</v>
      </c>
      <c r="H412" s="1" t="n">
        <v>3</v>
      </c>
      <c r="I412" s="1" t="s">
        <v>305</v>
      </c>
      <c r="J412" s="1" t="s">
        <v>295</v>
      </c>
    </row>
    <row r="413" customFormat="false" ht="13.8" hidden="false" customHeight="false" outlineLevel="0" collapsed="false">
      <c r="A413" s="1" t="str">
        <f aca="false">IF(J413="DIESEL", "D", "G")</f>
        <v>G</v>
      </c>
      <c r="B413" s="1" t="n">
        <v>0.75425</v>
      </c>
      <c r="C413" s="1" t="n">
        <f aca="false">F413*1000</f>
        <v>99512072.777484</v>
      </c>
      <c r="D413" s="37" t="s">
        <v>234</v>
      </c>
      <c r="E413" s="1" t="s">
        <v>264</v>
      </c>
      <c r="F413" s="1" t="n">
        <v>99512.072777484</v>
      </c>
      <c r="G413" s="37" t="n">
        <v>2019</v>
      </c>
      <c r="H413" s="1" t="n">
        <v>4</v>
      </c>
      <c r="I413" s="1" t="s">
        <v>306</v>
      </c>
      <c r="J413" s="1" t="s">
        <v>295</v>
      </c>
    </row>
    <row r="414" customFormat="false" ht="13.8" hidden="false" customHeight="false" outlineLevel="0" collapsed="false">
      <c r="A414" s="1" t="str">
        <f aca="false">IF(J414="DIESEL", "D", "G")</f>
        <v>G</v>
      </c>
      <c r="B414" s="1" t="n">
        <v>0.75425</v>
      </c>
      <c r="C414" s="1" t="n">
        <f aca="false">F414*1000</f>
        <v>105873113.170992</v>
      </c>
      <c r="D414" s="37" t="s">
        <v>234</v>
      </c>
      <c r="E414" s="1" t="s">
        <v>264</v>
      </c>
      <c r="F414" s="1" t="n">
        <v>105873.113170992</v>
      </c>
      <c r="G414" s="37" t="n">
        <v>2019</v>
      </c>
      <c r="H414" s="1" t="n">
        <v>5</v>
      </c>
      <c r="I414" s="1" t="s">
        <v>307</v>
      </c>
      <c r="J414" s="1" t="s">
        <v>295</v>
      </c>
    </row>
    <row r="415" customFormat="false" ht="13.8" hidden="false" customHeight="false" outlineLevel="0" collapsed="false">
      <c r="A415" s="1" t="str">
        <f aca="false">IF(J415="DIESEL", "D", "G")</f>
        <v>G</v>
      </c>
      <c r="B415" s="1" t="n">
        <v>0.75425</v>
      </c>
      <c r="C415" s="1" t="n">
        <f aca="false">F415*1000</f>
        <v>101554983.925644</v>
      </c>
      <c r="D415" s="37" t="s">
        <v>234</v>
      </c>
      <c r="E415" s="1" t="s">
        <v>264</v>
      </c>
      <c r="F415" s="1" t="n">
        <v>101554.983925644</v>
      </c>
      <c r="G415" s="37" t="n">
        <v>2019</v>
      </c>
      <c r="H415" s="1" t="n">
        <v>6</v>
      </c>
      <c r="I415" s="1" t="s">
        <v>308</v>
      </c>
      <c r="J415" s="1" t="s">
        <v>295</v>
      </c>
    </row>
    <row r="416" customFormat="false" ht="13.8" hidden="false" customHeight="false" outlineLevel="0" collapsed="false">
      <c r="A416" s="1" t="str">
        <f aca="false">IF(J416="DIESEL", "D", "G")</f>
        <v>G</v>
      </c>
      <c r="B416" s="1" t="n">
        <v>0.75425</v>
      </c>
      <c r="C416" s="1" t="n">
        <f aca="false">F416*1000</f>
        <v>106035564.126972</v>
      </c>
      <c r="D416" s="37" t="s">
        <v>234</v>
      </c>
      <c r="E416" s="1" t="s">
        <v>264</v>
      </c>
      <c r="F416" s="1" t="n">
        <v>106035.564126972</v>
      </c>
      <c r="G416" s="37" t="n">
        <v>2019</v>
      </c>
      <c r="H416" s="1" t="n">
        <v>7</v>
      </c>
      <c r="I416" s="1" t="s">
        <v>309</v>
      </c>
      <c r="J416" s="1" t="s">
        <v>295</v>
      </c>
    </row>
    <row r="417" customFormat="false" ht="13.8" hidden="false" customHeight="false" outlineLevel="0" collapsed="false">
      <c r="A417" s="1" t="str">
        <f aca="false">IF(J417="DIESEL", "D", "G")</f>
        <v>G</v>
      </c>
      <c r="B417" s="1" t="n">
        <v>0.75425</v>
      </c>
      <c r="C417" s="1" t="n">
        <f aca="false">F417*1000</f>
        <v>108581037.928488</v>
      </c>
      <c r="D417" s="37" t="s">
        <v>234</v>
      </c>
      <c r="E417" s="1" t="s">
        <v>264</v>
      </c>
      <c r="F417" s="1" t="n">
        <v>108581.037928488</v>
      </c>
      <c r="G417" s="37" t="n">
        <v>2019</v>
      </c>
      <c r="H417" s="1" t="n">
        <v>8</v>
      </c>
      <c r="I417" s="1" t="s">
        <v>310</v>
      </c>
      <c r="J417" s="1" t="s">
        <v>295</v>
      </c>
    </row>
    <row r="418" customFormat="false" ht="13.8" hidden="false" customHeight="false" outlineLevel="0" collapsed="false">
      <c r="A418" s="1" t="str">
        <f aca="false">IF(J418="DIESEL", "D", "G")</f>
        <v>G</v>
      </c>
      <c r="B418" s="1" t="n">
        <v>0.75425</v>
      </c>
      <c r="C418" s="1" t="n">
        <f aca="false">F418*1000</f>
        <v>100791292.196292</v>
      </c>
      <c r="D418" s="37" t="s">
        <v>234</v>
      </c>
      <c r="E418" s="1" t="s">
        <v>264</v>
      </c>
      <c r="F418" s="1" t="n">
        <v>100791.292196292</v>
      </c>
      <c r="G418" s="37" t="n">
        <v>2019</v>
      </c>
      <c r="H418" s="1" t="n">
        <v>9</v>
      </c>
      <c r="I418" s="1" t="s">
        <v>311</v>
      </c>
      <c r="J418" s="1" t="s">
        <v>295</v>
      </c>
    </row>
    <row r="419" customFormat="false" ht="13.8" hidden="false" customHeight="false" outlineLevel="0" collapsed="false">
      <c r="A419" s="1" t="str">
        <f aca="false">IF(J419="DIESEL", "D", "G")</f>
        <v>G</v>
      </c>
      <c r="B419" s="1" t="n">
        <v>0.75425</v>
      </c>
      <c r="C419" s="1" t="n">
        <f aca="false">F419*1000</f>
        <v>97287098.453772</v>
      </c>
      <c r="D419" s="37" t="s">
        <v>234</v>
      </c>
      <c r="E419" s="1" t="s">
        <v>264</v>
      </c>
      <c r="F419" s="1" t="n">
        <v>97287.098453772</v>
      </c>
      <c r="G419" s="37" t="n">
        <v>2019</v>
      </c>
      <c r="H419" s="1" t="n">
        <v>10</v>
      </c>
      <c r="I419" s="1" t="s">
        <v>312</v>
      </c>
      <c r="J419" s="1" t="s">
        <v>295</v>
      </c>
    </row>
    <row r="420" customFormat="false" ht="13.8" hidden="false" customHeight="false" outlineLevel="0" collapsed="false">
      <c r="A420" s="1" t="str">
        <f aca="false">IF(J420="DIESEL", "D", "G")</f>
        <v>G</v>
      </c>
      <c r="B420" s="1" t="n">
        <v>0.75425</v>
      </c>
      <c r="C420" s="1" t="n">
        <f aca="false">F420*1000</f>
        <v>103202137.820028</v>
      </c>
      <c r="D420" s="37" t="s">
        <v>234</v>
      </c>
      <c r="E420" s="1" t="s">
        <v>264</v>
      </c>
      <c r="F420" s="1" t="n">
        <v>103202.137820028</v>
      </c>
      <c r="G420" s="37" t="n">
        <v>2019</v>
      </c>
      <c r="H420" s="1" t="n">
        <v>11</v>
      </c>
      <c r="I420" s="1" t="s">
        <v>313</v>
      </c>
      <c r="J420" s="1" t="s">
        <v>295</v>
      </c>
    </row>
    <row r="421" customFormat="false" ht="13.8" hidden="false" customHeight="false" outlineLevel="0" collapsed="false">
      <c r="A421" s="1" t="str">
        <f aca="false">IF(J421="DIESEL", "D", "G")</f>
        <v>G</v>
      </c>
      <c r="B421" s="1" t="n">
        <v>0.75425</v>
      </c>
      <c r="C421" s="1" t="n">
        <f aca="false">F421*1000</f>
        <v>114191067.722844</v>
      </c>
      <c r="D421" s="37" t="s">
        <v>234</v>
      </c>
      <c r="E421" s="1" t="s">
        <v>264</v>
      </c>
      <c r="F421" s="1" t="n">
        <v>114191.067722844</v>
      </c>
      <c r="G421" s="37" t="n">
        <v>2019</v>
      </c>
      <c r="H421" s="1" t="n">
        <v>12</v>
      </c>
      <c r="I421" s="1" t="s">
        <v>314</v>
      </c>
      <c r="J421" s="1" t="s">
        <v>295</v>
      </c>
    </row>
    <row r="422" customFormat="false" ht="13.8" hidden="false" customHeight="false" outlineLevel="0" collapsed="false">
      <c r="A422" s="1" t="str">
        <f aca="false">IF(J422="DIESEL", "D", "G")</f>
        <v>G</v>
      </c>
      <c r="B422" s="1" t="n">
        <v>0.75425</v>
      </c>
      <c r="C422" s="1" t="n">
        <f aca="false">F422*1000</f>
        <v>10446283.521792</v>
      </c>
      <c r="D422" s="37" t="s">
        <v>234</v>
      </c>
      <c r="E422" s="1" t="s">
        <v>266</v>
      </c>
      <c r="F422" s="1" t="n">
        <v>10446.283521792</v>
      </c>
      <c r="G422" s="37" t="n">
        <v>2019</v>
      </c>
      <c r="H422" s="1" t="n">
        <v>1</v>
      </c>
      <c r="I422" s="1" t="s">
        <v>303</v>
      </c>
      <c r="J422" s="1" t="s">
        <v>295</v>
      </c>
    </row>
    <row r="423" customFormat="false" ht="13.8" hidden="false" customHeight="false" outlineLevel="0" collapsed="false">
      <c r="A423" s="1" t="str">
        <f aca="false">IF(J423="DIESEL", "D", "G")</f>
        <v>G</v>
      </c>
      <c r="B423" s="1" t="n">
        <v>0.75425</v>
      </c>
      <c r="C423" s="1" t="n">
        <f aca="false">F423*1000</f>
        <v>9941801.664552</v>
      </c>
      <c r="D423" s="37" t="s">
        <v>234</v>
      </c>
      <c r="E423" s="1" t="s">
        <v>266</v>
      </c>
      <c r="F423" s="1" t="n">
        <v>9941.801664552</v>
      </c>
      <c r="G423" s="37" t="n">
        <v>2019</v>
      </c>
      <c r="H423" s="1" t="n">
        <v>2</v>
      </c>
      <c r="I423" s="1" t="s">
        <v>304</v>
      </c>
      <c r="J423" s="1" t="s">
        <v>295</v>
      </c>
    </row>
    <row r="424" customFormat="false" ht="13.8" hidden="false" customHeight="false" outlineLevel="0" collapsed="false">
      <c r="A424" s="1" t="str">
        <f aca="false">IF(J424="DIESEL", "D", "G")</f>
        <v>G</v>
      </c>
      <c r="B424" s="1" t="n">
        <v>0.75425</v>
      </c>
      <c r="C424" s="1" t="n">
        <f aca="false">F424*1000</f>
        <v>11414724.400812</v>
      </c>
      <c r="D424" s="37" t="s">
        <v>234</v>
      </c>
      <c r="E424" s="1" t="s">
        <v>266</v>
      </c>
      <c r="F424" s="1" t="n">
        <v>11414.724400812</v>
      </c>
      <c r="G424" s="37" t="n">
        <v>2019</v>
      </c>
      <c r="H424" s="1" t="n">
        <v>3</v>
      </c>
      <c r="I424" s="1" t="s">
        <v>305</v>
      </c>
      <c r="J424" s="1" t="s">
        <v>295</v>
      </c>
    </row>
    <row r="425" customFormat="false" ht="13.8" hidden="false" customHeight="false" outlineLevel="0" collapsed="false">
      <c r="A425" s="1" t="str">
        <f aca="false">IF(J425="DIESEL", "D", "G")</f>
        <v>G</v>
      </c>
      <c r="B425" s="1" t="n">
        <v>0.75425</v>
      </c>
      <c r="C425" s="1" t="n">
        <f aca="false">F425*1000</f>
        <v>10751929.042908</v>
      </c>
      <c r="D425" s="37" t="s">
        <v>234</v>
      </c>
      <c r="E425" s="1" t="s">
        <v>266</v>
      </c>
      <c r="F425" s="1" t="n">
        <v>10751.929042908</v>
      </c>
      <c r="G425" s="37" t="n">
        <v>2019</v>
      </c>
      <c r="H425" s="1" t="n">
        <v>4</v>
      </c>
      <c r="I425" s="1" t="s">
        <v>306</v>
      </c>
      <c r="J425" s="1" t="s">
        <v>295</v>
      </c>
    </row>
    <row r="426" customFormat="false" ht="13.8" hidden="false" customHeight="false" outlineLevel="0" collapsed="false">
      <c r="A426" s="1" t="str">
        <f aca="false">IF(J426="DIESEL", "D", "G")</f>
        <v>G</v>
      </c>
      <c r="B426" s="1" t="n">
        <v>0.75425</v>
      </c>
      <c r="C426" s="1" t="n">
        <f aca="false">F426*1000</f>
        <v>11030785.2033</v>
      </c>
      <c r="D426" s="37" t="s">
        <v>234</v>
      </c>
      <c r="E426" s="1" t="s">
        <v>266</v>
      </c>
      <c r="F426" s="1" t="n">
        <v>11030.7852033</v>
      </c>
      <c r="G426" s="37" t="n">
        <v>2019</v>
      </c>
      <c r="H426" s="1" t="n">
        <v>5</v>
      </c>
      <c r="I426" s="1" t="s">
        <v>307</v>
      </c>
      <c r="J426" s="1" t="s">
        <v>295</v>
      </c>
    </row>
    <row r="427" customFormat="false" ht="13.8" hidden="false" customHeight="false" outlineLevel="0" collapsed="false">
      <c r="A427" s="1" t="str">
        <f aca="false">IF(J427="DIESEL", "D", "G")</f>
        <v>G</v>
      </c>
      <c r="B427" s="1" t="n">
        <v>0.75425</v>
      </c>
      <c r="C427" s="1" t="n">
        <f aca="false">F427*1000</f>
        <v>10333765.935504</v>
      </c>
      <c r="D427" s="37" t="s">
        <v>234</v>
      </c>
      <c r="E427" s="1" t="s">
        <v>266</v>
      </c>
      <c r="F427" s="1" t="n">
        <v>10333.765935504</v>
      </c>
      <c r="G427" s="37" t="n">
        <v>2019</v>
      </c>
      <c r="H427" s="1" t="n">
        <v>6</v>
      </c>
      <c r="I427" s="1" t="s">
        <v>308</v>
      </c>
      <c r="J427" s="1" t="s">
        <v>295</v>
      </c>
    </row>
    <row r="428" customFormat="false" ht="13.8" hidden="false" customHeight="false" outlineLevel="0" collapsed="false">
      <c r="A428" s="1" t="str">
        <f aca="false">IF(J428="DIESEL", "D", "G")</f>
        <v>G</v>
      </c>
      <c r="B428" s="1" t="n">
        <v>0.75425</v>
      </c>
      <c r="C428" s="1" t="n">
        <f aca="false">F428*1000</f>
        <v>10786043.175852</v>
      </c>
      <c r="D428" s="37" t="s">
        <v>234</v>
      </c>
      <c r="E428" s="1" t="s">
        <v>266</v>
      </c>
      <c r="F428" s="1" t="n">
        <v>10786.043175852</v>
      </c>
      <c r="G428" s="37" t="n">
        <v>2019</v>
      </c>
      <c r="H428" s="1" t="n">
        <v>7</v>
      </c>
      <c r="I428" s="1" t="s">
        <v>309</v>
      </c>
      <c r="J428" s="1" t="s">
        <v>295</v>
      </c>
    </row>
    <row r="429" customFormat="false" ht="13.8" hidden="false" customHeight="false" outlineLevel="0" collapsed="false">
      <c r="A429" s="1" t="str">
        <f aca="false">IF(J429="DIESEL", "D", "G")</f>
        <v>G</v>
      </c>
      <c r="B429" s="1" t="n">
        <v>0.75425</v>
      </c>
      <c r="C429" s="1" t="n">
        <f aca="false">F429*1000</f>
        <v>11243476.147344</v>
      </c>
      <c r="D429" s="37" t="s">
        <v>234</v>
      </c>
      <c r="E429" s="1" t="s">
        <v>266</v>
      </c>
      <c r="F429" s="1" t="n">
        <v>11243.476147344</v>
      </c>
      <c r="G429" s="37" t="n">
        <v>2019</v>
      </c>
      <c r="H429" s="1" t="n">
        <v>8</v>
      </c>
      <c r="I429" s="1" t="s">
        <v>310</v>
      </c>
      <c r="J429" s="1" t="s">
        <v>295</v>
      </c>
    </row>
    <row r="430" customFormat="false" ht="13.8" hidden="false" customHeight="false" outlineLevel="0" collapsed="false">
      <c r="A430" s="1" t="str">
        <f aca="false">IF(J430="DIESEL", "D", "G")</f>
        <v>G</v>
      </c>
      <c r="B430" s="1" t="n">
        <v>0.75425</v>
      </c>
      <c r="C430" s="1" t="n">
        <f aca="false">F430*1000</f>
        <v>10113019.634724</v>
      </c>
      <c r="D430" s="37" t="s">
        <v>234</v>
      </c>
      <c r="E430" s="1" t="s">
        <v>266</v>
      </c>
      <c r="F430" s="1" t="n">
        <v>10113.019634724</v>
      </c>
      <c r="G430" s="37" t="n">
        <v>2019</v>
      </c>
      <c r="H430" s="1" t="n">
        <v>9</v>
      </c>
      <c r="I430" s="1" t="s">
        <v>311</v>
      </c>
      <c r="J430" s="1" t="s">
        <v>295</v>
      </c>
    </row>
    <row r="431" customFormat="false" ht="13.8" hidden="false" customHeight="false" outlineLevel="0" collapsed="false">
      <c r="A431" s="1" t="str">
        <f aca="false">IF(J431="DIESEL", "D", "G")</f>
        <v>G</v>
      </c>
      <c r="B431" s="1" t="n">
        <v>0.75425</v>
      </c>
      <c r="C431" s="1" t="n">
        <f aca="false">F431*1000</f>
        <v>8411446.657428</v>
      </c>
      <c r="D431" s="37" t="s">
        <v>234</v>
      </c>
      <c r="E431" s="1" t="s">
        <v>266</v>
      </c>
      <c r="F431" s="1" t="n">
        <v>8411.446657428</v>
      </c>
      <c r="G431" s="37" t="n">
        <v>2019</v>
      </c>
      <c r="H431" s="1" t="n">
        <v>10</v>
      </c>
      <c r="I431" s="1" t="s">
        <v>312</v>
      </c>
      <c r="J431" s="1" t="s">
        <v>295</v>
      </c>
    </row>
    <row r="432" customFormat="false" ht="13.8" hidden="false" customHeight="false" outlineLevel="0" collapsed="false">
      <c r="A432" s="1" t="str">
        <f aca="false">IF(J432="DIESEL", "D", "G")</f>
        <v>G</v>
      </c>
      <c r="B432" s="1" t="n">
        <v>0.75425</v>
      </c>
      <c r="C432" s="1" t="n">
        <f aca="false">F432*1000</f>
        <v>10167525.782112</v>
      </c>
      <c r="D432" s="37" t="s">
        <v>234</v>
      </c>
      <c r="E432" s="1" t="s">
        <v>266</v>
      </c>
      <c r="F432" s="1" t="n">
        <v>10167.525782112</v>
      </c>
      <c r="G432" s="37" t="n">
        <v>2019</v>
      </c>
      <c r="H432" s="1" t="n">
        <v>11</v>
      </c>
      <c r="I432" s="1" t="s">
        <v>313</v>
      </c>
      <c r="J432" s="1" t="s">
        <v>295</v>
      </c>
    </row>
    <row r="433" customFormat="false" ht="13.8" hidden="false" customHeight="false" outlineLevel="0" collapsed="false">
      <c r="A433" s="1" t="str">
        <f aca="false">IF(J433="DIESEL", "D", "G")</f>
        <v>G</v>
      </c>
      <c r="B433" s="1" t="n">
        <v>0.75425</v>
      </c>
      <c r="C433" s="1" t="n">
        <f aca="false">F433*1000</f>
        <v>11431304.505372</v>
      </c>
      <c r="D433" s="37" t="s">
        <v>234</v>
      </c>
      <c r="E433" s="1" t="s">
        <v>266</v>
      </c>
      <c r="F433" s="1" t="n">
        <v>11431.304505372</v>
      </c>
      <c r="G433" s="37" t="n">
        <v>2019</v>
      </c>
      <c r="H433" s="1" t="n">
        <v>12</v>
      </c>
      <c r="I433" s="1" t="s">
        <v>314</v>
      </c>
      <c r="J433" s="1" t="s">
        <v>295</v>
      </c>
    </row>
    <row r="434" customFormat="false" ht="13.8" hidden="false" customHeight="false" outlineLevel="0" collapsed="false">
      <c r="A434" s="1" t="str">
        <f aca="false">IF(J434="DIESEL", "D", "G")</f>
        <v>G</v>
      </c>
      <c r="B434" s="1" t="n">
        <v>0.75425</v>
      </c>
      <c r="C434" s="1" t="n">
        <f aca="false">F434*1000</f>
        <v>9668373.784968</v>
      </c>
      <c r="D434" s="37" t="s">
        <v>234</v>
      </c>
      <c r="E434" s="1" t="s">
        <v>268</v>
      </c>
      <c r="F434" s="1" t="n">
        <v>9668.373784968</v>
      </c>
      <c r="G434" s="37" t="n">
        <v>2019</v>
      </c>
      <c r="H434" s="1" t="n">
        <v>1</v>
      </c>
      <c r="I434" s="1" t="s">
        <v>303</v>
      </c>
      <c r="J434" s="1" t="s">
        <v>295</v>
      </c>
    </row>
    <row r="435" customFormat="false" ht="13.8" hidden="false" customHeight="false" outlineLevel="0" collapsed="false">
      <c r="A435" s="1" t="str">
        <f aca="false">IF(J435="DIESEL", "D", "G")</f>
        <v>G</v>
      </c>
      <c r="B435" s="1" t="n">
        <v>0.75425</v>
      </c>
      <c r="C435" s="1" t="n">
        <f aca="false">F435*1000</f>
        <v>8678325.774252</v>
      </c>
      <c r="D435" s="37" t="s">
        <v>234</v>
      </c>
      <c r="E435" s="1" t="s">
        <v>268</v>
      </c>
      <c r="F435" s="1" t="n">
        <v>8678.325774252</v>
      </c>
      <c r="G435" s="37" t="n">
        <v>2019</v>
      </c>
      <c r="H435" s="1" t="n">
        <v>2</v>
      </c>
      <c r="I435" s="1" t="s">
        <v>304</v>
      </c>
      <c r="J435" s="1" t="s">
        <v>295</v>
      </c>
    </row>
    <row r="436" customFormat="false" ht="13.8" hidden="false" customHeight="false" outlineLevel="0" collapsed="false">
      <c r="A436" s="1" t="str">
        <f aca="false">IF(J436="DIESEL", "D", "G")</f>
        <v>G</v>
      </c>
      <c r="B436" s="1" t="n">
        <v>0.75425</v>
      </c>
      <c r="C436" s="1" t="n">
        <f aca="false">F436*1000</f>
        <v>9883566.886344</v>
      </c>
      <c r="D436" s="37" t="s">
        <v>234</v>
      </c>
      <c r="E436" s="1" t="s">
        <v>268</v>
      </c>
      <c r="F436" s="1" t="n">
        <v>9883.566886344</v>
      </c>
      <c r="G436" s="37" t="n">
        <v>2019</v>
      </c>
      <c r="H436" s="1" t="n">
        <v>3</v>
      </c>
      <c r="I436" s="1" t="s">
        <v>305</v>
      </c>
      <c r="J436" s="1" t="s">
        <v>295</v>
      </c>
    </row>
    <row r="437" customFormat="false" ht="13.8" hidden="false" customHeight="false" outlineLevel="0" collapsed="false">
      <c r="A437" s="1" t="str">
        <f aca="false">IF(J437="DIESEL", "D", "G")</f>
        <v>G</v>
      </c>
      <c r="B437" s="1" t="n">
        <v>0.75425</v>
      </c>
      <c r="C437" s="1" t="n">
        <f aca="false">F437*1000</f>
        <v>9339962.796084</v>
      </c>
      <c r="D437" s="37" t="s">
        <v>234</v>
      </c>
      <c r="E437" s="1" t="s">
        <v>268</v>
      </c>
      <c r="F437" s="1" t="n">
        <v>9339.962796084</v>
      </c>
      <c r="G437" s="37" t="n">
        <v>2019</v>
      </c>
      <c r="H437" s="1" t="n">
        <v>4</v>
      </c>
      <c r="I437" s="1" t="s">
        <v>306</v>
      </c>
      <c r="J437" s="1" t="s">
        <v>295</v>
      </c>
    </row>
    <row r="438" customFormat="false" ht="13.8" hidden="false" customHeight="false" outlineLevel="0" collapsed="false">
      <c r="A438" s="1" t="str">
        <f aca="false">IF(J438="DIESEL", "D", "G")</f>
        <v>G</v>
      </c>
      <c r="B438" s="1" t="n">
        <v>0.75425</v>
      </c>
      <c r="C438" s="1" t="n">
        <f aca="false">F438*1000</f>
        <v>9778960.811136</v>
      </c>
      <c r="D438" s="37" t="s">
        <v>234</v>
      </c>
      <c r="E438" s="1" t="s">
        <v>268</v>
      </c>
      <c r="F438" s="1" t="n">
        <v>9778.960811136</v>
      </c>
      <c r="G438" s="37" t="n">
        <v>2019</v>
      </c>
      <c r="H438" s="1" t="n">
        <v>5</v>
      </c>
      <c r="I438" s="1" t="s">
        <v>307</v>
      </c>
      <c r="J438" s="1" t="s">
        <v>295</v>
      </c>
    </row>
    <row r="439" customFormat="false" ht="13.8" hidden="false" customHeight="false" outlineLevel="0" collapsed="false">
      <c r="A439" s="1" t="str">
        <f aca="false">IF(J439="DIESEL", "D", "G")</f>
        <v>G</v>
      </c>
      <c r="B439" s="1" t="n">
        <v>0.75425</v>
      </c>
      <c r="C439" s="1" t="n">
        <f aca="false">F439*1000</f>
        <v>9359662.080132</v>
      </c>
      <c r="D439" s="37" t="s">
        <v>234</v>
      </c>
      <c r="E439" s="1" t="s">
        <v>268</v>
      </c>
      <c r="F439" s="1" t="n">
        <v>9359.662080132</v>
      </c>
      <c r="G439" s="37" t="n">
        <v>2019</v>
      </c>
      <c r="H439" s="1" t="n">
        <v>6</v>
      </c>
      <c r="I439" s="1" t="s">
        <v>308</v>
      </c>
      <c r="J439" s="1" t="s">
        <v>295</v>
      </c>
    </row>
    <row r="440" customFormat="false" ht="13.8" hidden="false" customHeight="false" outlineLevel="0" collapsed="false">
      <c r="A440" s="1" t="str">
        <f aca="false">IF(J440="DIESEL", "D", "G")</f>
        <v>G</v>
      </c>
      <c r="B440" s="1" t="n">
        <v>0.75425</v>
      </c>
      <c r="C440" s="1" t="n">
        <f aca="false">F440*1000</f>
        <v>9850777.6476</v>
      </c>
      <c r="D440" s="37" t="s">
        <v>234</v>
      </c>
      <c r="E440" s="1" t="s">
        <v>268</v>
      </c>
      <c r="F440" s="1" t="n">
        <v>9850.7776476</v>
      </c>
      <c r="G440" s="37" t="n">
        <v>2019</v>
      </c>
      <c r="H440" s="1" t="n">
        <v>7</v>
      </c>
      <c r="I440" s="1" t="s">
        <v>309</v>
      </c>
      <c r="J440" s="1" t="s">
        <v>295</v>
      </c>
    </row>
    <row r="441" customFormat="false" ht="13.8" hidden="false" customHeight="false" outlineLevel="0" collapsed="false">
      <c r="A441" s="1" t="str">
        <f aca="false">IF(J441="DIESEL", "D", "G")</f>
        <v>G</v>
      </c>
      <c r="B441" s="1" t="n">
        <v>0.75425</v>
      </c>
      <c r="C441" s="1" t="n">
        <f aca="false">F441*1000</f>
        <v>11179218.778644</v>
      </c>
      <c r="D441" s="37" t="s">
        <v>234</v>
      </c>
      <c r="E441" s="1" t="s">
        <v>268</v>
      </c>
      <c r="F441" s="1" t="n">
        <v>11179.218778644</v>
      </c>
      <c r="G441" s="37" t="n">
        <v>2019</v>
      </c>
      <c r="H441" s="1" t="n">
        <v>8</v>
      </c>
      <c r="I441" s="1" t="s">
        <v>310</v>
      </c>
      <c r="J441" s="1" t="s">
        <v>295</v>
      </c>
    </row>
    <row r="442" customFormat="false" ht="13.8" hidden="false" customHeight="false" outlineLevel="0" collapsed="false">
      <c r="A442" s="1" t="str">
        <f aca="false">IF(J442="DIESEL", "D", "G")</f>
        <v>G</v>
      </c>
      <c r="B442" s="1" t="n">
        <v>0.75425</v>
      </c>
      <c r="C442" s="1" t="n">
        <f aca="false">F442*1000</f>
        <v>9989179.881144</v>
      </c>
      <c r="D442" s="37" t="s">
        <v>234</v>
      </c>
      <c r="E442" s="1" t="s">
        <v>268</v>
      </c>
      <c r="F442" s="1" t="n">
        <v>9989.179881144</v>
      </c>
      <c r="G442" s="37" t="n">
        <v>2019</v>
      </c>
      <c r="H442" s="1" t="n">
        <v>9</v>
      </c>
      <c r="I442" s="1" t="s">
        <v>311</v>
      </c>
      <c r="J442" s="1" t="s">
        <v>295</v>
      </c>
    </row>
    <row r="443" customFormat="false" ht="13.8" hidden="false" customHeight="false" outlineLevel="0" collapsed="false">
      <c r="A443" s="1" t="str">
        <f aca="false">IF(J443="DIESEL", "D", "G")</f>
        <v>G</v>
      </c>
      <c r="B443" s="1" t="n">
        <v>0.75425</v>
      </c>
      <c r="C443" s="1" t="n">
        <f aca="false">F443*1000</f>
        <v>9414433.20636</v>
      </c>
      <c r="D443" s="37" t="s">
        <v>234</v>
      </c>
      <c r="E443" s="1" t="s">
        <v>268</v>
      </c>
      <c r="F443" s="1" t="n">
        <v>9414.43320636</v>
      </c>
      <c r="G443" s="37" t="n">
        <v>2019</v>
      </c>
      <c r="H443" s="1" t="n">
        <v>10</v>
      </c>
      <c r="I443" s="1" t="s">
        <v>312</v>
      </c>
      <c r="J443" s="1" t="s">
        <v>295</v>
      </c>
    </row>
    <row r="444" customFormat="false" ht="13.8" hidden="false" customHeight="false" outlineLevel="0" collapsed="false">
      <c r="A444" s="1" t="str">
        <f aca="false">IF(J444="DIESEL", "D", "G")</f>
        <v>G</v>
      </c>
      <c r="B444" s="1" t="n">
        <v>0.75425</v>
      </c>
      <c r="C444" s="1" t="n">
        <f aca="false">F444*1000</f>
        <v>9688989.13872</v>
      </c>
      <c r="D444" s="37" t="s">
        <v>234</v>
      </c>
      <c r="E444" s="1" t="s">
        <v>268</v>
      </c>
      <c r="F444" s="1" t="n">
        <v>9688.98913872</v>
      </c>
      <c r="G444" s="37" t="n">
        <v>2019</v>
      </c>
      <c r="H444" s="1" t="n">
        <v>11</v>
      </c>
      <c r="I444" s="1" t="s">
        <v>313</v>
      </c>
      <c r="J444" s="1" t="s">
        <v>295</v>
      </c>
    </row>
    <row r="445" customFormat="false" ht="13.8" hidden="false" customHeight="false" outlineLevel="0" collapsed="false">
      <c r="A445" s="1" t="str">
        <f aca="false">IF(J445="DIESEL", "D", "G")</f>
        <v>G</v>
      </c>
      <c r="B445" s="1" t="n">
        <v>0.75425</v>
      </c>
      <c r="C445" s="1" t="n">
        <f aca="false">F445*1000</f>
        <v>10226101.2474</v>
      </c>
      <c r="D445" s="37" t="s">
        <v>234</v>
      </c>
      <c r="E445" s="1" t="s">
        <v>268</v>
      </c>
      <c r="F445" s="1" t="n">
        <v>10226.1012474</v>
      </c>
      <c r="G445" s="37" t="n">
        <v>2019</v>
      </c>
      <c r="H445" s="1" t="n">
        <v>12</v>
      </c>
      <c r="I445" s="1" t="s">
        <v>314</v>
      </c>
      <c r="J445" s="1" t="s">
        <v>295</v>
      </c>
    </row>
    <row r="446" customFormat="false" ht="13.8" hidden="false" customHeight="false" outlineLevel="0" collapsed="false">
      <c r="A446" s="1" t="str">
        <f aca="false">IF(J446="DIESEL", "D", "G")</f>
        <v>G</v>
      </c>
      <c r="B446" s="1" t="n">
        <v>0.75425</v>
      </c>
      <c r="C446" s="1" t="n">
        <f aca="false">F446*1000</f>
        <v>14262773.754312</v>
      </c>
      <c r="D446" s="37" t="s">
        <v>234</v>
      </c>
      <c r="E446" s="1" t="s">
        <v>270</v>
      </c>
      <c r="F446" s="1" t="n">
        <v>14262.773754312</v>
      </c>
      <c r="G446" s="37" t="n">
        <v>2019</v>
      </c>
      <c r="H446" s="1" t="n">
        <v>1</v>
      </c>
      <c r="I446" s="1" t="s">
        <v>303</v>
      </c>
      <c r="J446" s="1" t="s">
        <v>295</v>
      </c>
    </row>
    <row r="447" customFormat="false" ht="13.8" hidden="false" customHeight="false" outlineLevel="0" collapsed="false">
      <c r="A447" s="1" t="str">
        <f aca="false">IF(J447="DIESEL", "D", "G")</f>
        <v>G</v>
      </c>
      <c r="B447" s="1" t="n">
        <v>0.75425</v>
      </c>
      <c r="C447" s="1" t="n">
        <f aca="false">F447*1000</f>
        <v>13026795.09678</v>
      </c>
      <c r="D447" s="37" t="s">
        <v>234</v>
      </c>
      <c r="E447" s="1" t="s">
        <v>270</v>
      </c>
      <c r="F447" s="1" t="n">
        <v>13026.79509678</v>
      </c>
      <c r="G447" s="37" t="n">
        <v>2019</v>
      </c>
      <c r="H447" s="1" t="n">
        <v>2</v>
      </c>
      <c r="I447" s="1" t="s">
        <v>304</v>
      </c>
      <c r="J447" s="1" t="s">
        <v>295</v>
      </c>
    </row>
    <row r="448" customFormat="false" ht="13.8" hidden="false" customHeight="false" outlineLevel="0" collapsed="false">
      <c r="A448" s="1" t="str">
        <f aca="false">IF(J448="DIESEL", "D", "G")</f>
        <v>G</v>
      </c>
      <c r="B448" s="1" t="n">
        <v>0.75425</v>
      </c>
      <c r="C448" s="1" t="n">
        <f aca="false">F448*1000</f>
        <v>14373644.68638</v>
      </c>
      <c r="D448" s="37" t="s">
        <v>234</v>
      </c>
      <c r="E448" s="1" t="s">
        <v>270</v>
      </c>
      <c r="F448" s="1" t="n">
        <v>14373.64468638</v>
      </c>
      <c r="G448" s="37" t="n">
        <v>2019</v>
      </c>
      <c r="H448" s="1" t="n">
        <v>3</v>
      </c>
      <c r="I448" s="1" t="s">
        <v>305</v>
      </c>
      <c r="J448" s="1" t="s">
        <v>295</v>
      </c>
    </row>
    <row r="449" customFormat="false" ht="13.8" hidden="false" customHeight="false" outlineLevel="0" collapsed="false">
      <c r="A449" s="1" t="str">
        <f aca="false">IF(J449="DIESEL", "D", "G")</f>
        <v>G</v>
      </c>
      <c r="B449" s="1" t="n">
        <v>0.75425</v>
      </c>
      <c r="C449" s="1" t="n">
        <f aca="false">F449*1000</f>
        <v>14222250.918852</v>
      </c>
      <c r="D449" s="37" t="s">
        <v>234</v>
      </c>
      <c r="E449" s="1" t="s">
        <v>270</v>
      </c>
      <c r="F449" s="1" t="n">
        <v>14222.250918852</v>
      </c>
      <c r="G449" s="37" t="n">
        <v>2019</v>
      </c>
      <c r="H449" s="1" t="n">
        <v>4</v>
      </c>
      <c r="I449" s="1" t="s">
        <v>306</v>
      </c>
      <c r="J449" s="1" t="s">
        <v>295</v>
      </c>
    </row>
    <row r="450" customFormat="false" ht="13.8" hidden="false" customHeight="false" outlineLevel="0" collapsed="false">
      <c r="A450" s="1" t="str">
        <f aca="false">IF(J450="DIESEL", "D", "G")</f>
        <v>G</v>
      </c>
      <c r="B450" s="1" t="n">
        <v>0.75425</v>
      </c>
      <c r="C450" s="1" t="n">
        <f aca="false">F450*1000</f>
        <v>15254563.054548</v>
      </c>
      <c r="D450" s="37" t="s">
        <v>234</v>
      </c>
      <c r="E450" s="1" t="s">
        <v>270</v>
      </c>
      <c r="F450" s="1" t="n">
        <v>15254.563054548</v>
      </c>
      <c r="G450" s="37" t="n">
        <v>2019</v>
      </c>
      <c r="H450" s="1" t="n">
        <v>5</v>
      </c>
      <c r="I450" s="1" t="s">
        <v>307</v>
      </c>
      <c r="J450" s="1" t="s">
        <v>295</v>
      </c>
    </row>
    <row r="451" customFormat="false" ht="13.8" hidden="false" customHeight="false" outlineLevel="0" collapsed="false">
      <c r="A451" s="1" t="str">
        <f aca="false">IF(J451="DIESEL", "D", "G")</f>
        <v>G</v>
      </c>
      <c r="B451" s="1" t="n">
        <v>0.75425</v>
      </c>
      <c r="C451" s="1" t="n">
        <f aca="false">F451*1000</f>
        <v>14776953.837096</v>
      </c>
      <c r="D451" s="37" t="s">
        <v>234</v>
      </c>
      <c r="E451" s="1" t="s">
        <v>270</v>
      </c>
      <c r="F451" s="1" t="n">
        <v>14776.953837096</v>
      </c>
      <c r="G451" s="37" t="n">
        <v>2019</v>
      </c>
      <c r="H451" s="1" t="n">
        <v>6</v>
      </c>
      <c r="I451" s="1" t="s">
        <v>308</v>
      </c>
      <c r="J451" s="1" t="s">
        <v>295</v>
      </c>
    </row>
    <row r="452" customFormat="false" ht="13.8" hidden="false" customHeight="false" outlineLevel="0" collapsed="false">
      <c r="A452" s="1" t="str">
        <f aca="false">IF(J452="DIESEL", "D", "G")</f>
        <v>G</v>
      </c>
      <c r="B452" s="1" t="n">
        <v>0.75425</v>
      </c>
      <c r="C452" s="1" t="n">
        <f aca="false">F452*1000</f>
        <v>15483834.103152</v>
      </c>
      <c r="D452" s="37" t="s">
        <v>234</v>
      </c>
      <c r="E452" s="1" t="s">
        <v>270</v>
      </c>
      <c r="F452" s="1" t="n">
        <v>15483.834103152</v>
      </c>
      <c r="G452" s="37" t="n">
        <v>2019</v>
      </c>
      <c r="H452" s="1" t="n">
        <v>7</v>
      </c>
      <c r="I452" s="1" t="s">
        <v>309</v>
      </c>
      <c r="J452" s="1" t="s">
        <v>295</v>
      </c>
    </row>
    <row r="453" customFormat="false" ht="13.8" hidden="false" customHeight="false" outlineLevel="0" collapsed="false">
      <c r="A453" s="1" t="str">
        <f aca="false">IF(J453="DIESEL", "D", "G")</f>
        <v>G</v>
      </c>
      <c r="B453" s="1" t="n">
        <v>0.75425</v>
      </c>
      <c r="C453" s="1" t="n">
        <f aca="false">F453*1000</f>
        <v>16003949.711952</v>
      </c>
      <c r="D453" s="37" t="s">
        <v>234</v>
      </c>
      <c r="E453" s="1" t="s">
        <v>270</v>
      </c>
      <c r="F453" s="1" t="n">
        <v>16003.949711952</v>
      </c>
      <c r="G453" s="37" t="n">
        <v>2019</v>
      </c>
      <c r="H453" s="1" t="n">
        <v>8</v>
      </c>
      <c r="I453" s="1" t="s">
        <v>310</v>
      </c>
      <c r="J453" s="1" t="s">
        <v>295</v>
      </c>
    </row>
    <row r="454" customFormat="false" ht="13.8" hidden="false" customHeight="false" outlineLevel="0" collapsed="false">
      <c r="A454" s="1" t="str">
        <f aca="false">IF(J454="DIESEL", "D", "G")</f>
        <v>G</v>
      </c>
      <c r="B454" s="1" t="n">
        <v>0.75425</v>
      </c>
      <c r="C454" s="1" t="n">
        <f aca="false">F454*1000</f>
        <v>15113253.624588</v>
      </c>
      <c r="D454" s="37" t="s">
        <v>234</v>
      </c>
      <c r="E454" s="1" t="s">
        <v>270</v>
      </c>
      <c r="F454" s="1" t="n">
        <v>15113.253624588</v>
      </c>
      <c r="G454" s="37" t="n">
        <v>2019</v>
      </c>
      <c r="H454" s="1" t="n">
        <v>9</v>
      </c>
      <c r="I454" s="1" t="s">
        <v>311</v>
      </c>
      <c r="J454" s="1" t="s">
        <v>295</v>
      </c>
    </row>
    <row r="455" customFormat="false" ht="13.8" hidden="false" customHeight="false" outlineLevel="0" collapsed="false">
      <c r="A455" s="1" t="str">
        <f aca="false">IF(J455="DIESEL", "D", "G")</f>
        <v>G</v>
      </c>
      <c r="B455" s="1" t="n">
        <v>0.75425</v>
      </c>
      <c r="C455" s="1" t="n">
        <f aca="false">F455*1000</f>
        <v>14927704.084584</v>
      </c>
      <c r="D455" s="37" t="s">
        <v>234</v>
      </c>
      <c r="E455" s="1" t="s">
        <v>270</v>
      </c>
      <c r="F455" s="1" t="n">
        <v>14927.704084584</v>
      </c>
      <c r="G455" s="37" t="n">
        <v>2019</v>
      </c>
      <c r="H455" s="1" t="n">
        <v>10</v>
      </c>
      <c r="I455" s="1" t="s">
        <v>312</v>
      </c>
      <c r="J455" s="1" t="s">
        <v>295</v>
      </c>
    </row>
    <row r="456" customFormat="false" ht="13.8" hidden="false" customHeight="false" outlineLevel="0" collapsed="false">
      <c r="A456" s="1" t="str">
        <f aca="false">IF(J456="DIESEL", "D", "G")</f>
        <v>G</v>
      </c>
      <c r="B456" s="1" t="n">
        <v>0.75425</v>
      </c>
      <c r="C456" s="1" t="n">
        <f aca="false">F456*1000</f>
        <v>15184442.08266</v>
      </c>
      <c r="D456" s="37" t="s">
        <v>234</v>
      </c>
      <c r="E456" s="1" t="s">
        <v>270</v>
      </c>
      <c r="F456" s="1" t="n">
        <v>15184.44208266</v>
      </c>
      <c r="G456" s="37" t="n">
        <v>2019</v>
      </c>
      <c r="H456" s="1" t="n">
        <v>11</v>
      </c>
      <c r="I456" s="1" t="s">
        <v>313</v>
      </c>
      <c r="J456" s="1" t="s">
        <v>295</v>
      </c>
    </row>
    <row r="457" customFormat="false" ht="13.8" hidden="false" customHeight="false" outlineLevel="0" collapsed="false">
      <c r="A457" s="1" t="str">
        <f aca="false">IF(J457="DIESEL", "D", "G")</f>
        <v>G</v>
      </c>
      <c r="B457" s="1" t="n">
        <v>0.75425</v>
      </c>
      <c r="C457" s="1" t="n">
        <f aca="false">F457*1000</f>
        <v>16383827.162388</v>
      </c>
      <c r="D457" s="37" t="s">
        <v>234</v>
      </c>
      <c r="E457" s="1" t="s">
        <v>270</v>
      </c>
      <c r="F457" s="1" t="n">
        <v>16383.827162388</v>
      </c>
      <c r="G457" s="37" t="n">
        <v>2019</v>
      </c>
      <c r="H457" s="1" t="n">
        <v>12</v>
      </c>
      <c r="I457" s="1" t="s">
        <v>314</v>
      </c>
      <c r="J457" s="1" t="s">
        <v>295</v>
      </c>
    </row>
    <row r="458" customFormat="false" ht="13.8" hidden="false" customHeight="false" outlineLevel="0" collapsed="false">
      <c r="A458" s="1" t="str">
        <f aca="false">IF(J458="DIESEL", "D", "G")</f>
        <v>G</v>
      </c>
      <c r="B458" s="1" t="n">
        <v>0.75425</v>
      </c>
      <c r="C458" s="1" t="n">
        <f aca="false">F458*1000</f>
        <v>33119773.349016</v>
      </c>
      <c r="D458" s="37" t="s">
        <v>234</v>
      </c>
      <c r="E458" s="1" t="s">
        <v>272</v>
      </c>
      <c r="F458" s="1" t="n">
        <v>33119.773349016</v>
      </c>
      <c r="G458" s="37" t="n">
        <v>2019</v>
      </c>
      <c r="H458" s="1" t="n">
        <v>1</v>
      </c>
      <c r="I458" s="1" t="s">
        <v>303</v>
      </c>
      <c r="J458" s="1" t="s">
        <v>295</v>
      </c>
    </row>
    <row r="459" customFormat="false" ht="13.8" hidden="false" customHeight="false" outlineLevel="0" collapsed="false">
      <c r="A459" s="1" t="str">
        <f aca="false">IF(J459="DIESEL", "D", "G")</f>
        <v>G</v>
      </c>
      <c r="B459" s="1" t="n">
        <v>0.75425</v>
      </c>
      <c r="C459" s="1" t="n">
        <f aca="false">F459*1000</f>
        <v>30088809.102264</v>
      </c>
      <c r="D459" s="37" t="s">
        <v>234</v>
      </c>
      <c r="E459" s="1" t="s">
        <v>272</v>
      </c>
      <c r="F459" s="1" t="n">
        <v>30088.809102264</v>
      </c>
      <c r="G459" s="37" t="n">
        <v>2019</v>
      </c>
      <c r="H459" s="1" t="n">
        <v>2</v>
      </c>
      <c r="I459" s="1" t="s">
        <v>304</v>
      </c>
      <c r="J459" s="1" t="s">
        <v>295</v>
      </c>
    </row>
    <row r="460" customFormat="false" ht="13.8" hidden="false" customHeight="false" outlineLevel="0" collapsed="false">
      <c r="A460" s="1" t="str">
        <f aca="false">IF(J460="DIESEL", "D", "G")</f>
        <v>G</v>
      </c>
      <c r="B460" s="1" t="n">
        <v>0.75425</v>
      </c>
      <c r="C460" s="1" t="n">
        <f aca="false">F460*1000</f>
        <v>33578561.498004</v>
      </c>
      <c r="D460" s="37" t="s">
        <v>234</v>
      </c>
      <c r="E460" s="1" t="s">
        <v>272</v>
      </c>
      <c r="F460" s="1" t="n">
        <v>33578.561498004</v>
      </c>
      <c r="G460" s="37" t="n">
        <v>2019</v>
      </c>
      <c r="H460" s="1" t="n">
        <v>3</v>
      </c>
      <c r="I460" s="1" t="s">
        <v>305</v>
      </c>
      <c r="J460" s="1" t="s">
        <v>295</v>
      </c>
    </row>
    <row r="461" customFormat="false" ht="13.8" hidden="false" customHeight="false" outlineLevel="0" collapsed="false">
      <c r="A461" s="1" t="str">
        <f aca="false">IF(J461="DIESEL", "D", "G")</f>
        <v>G</v>
      </c>
      <c r="B461" s="1" t="n">
        <v>0.75425</v>
      </c>
      <c r="C461" s="1" t="n">
        <f aca="false">F461*1000</f>
        <v>32994044.674848</v>
      </c>
      <c r="D461" s="37" t="s">
        <v>234</v>
      </c>
      <c r="E461" s="1" t="s">
        <v>272</v>
      </c>
      <c r="F461" s="1" t="n">
        <v>32994.044674848</v>
      </c>
      <c r="G461" s="37" t="n">
        <v>2019</v>
      </c>
      <c r="H461" s="1" t="n">
        <v>4</v>
      </c>
      <c r="I461" s="1" t="s">
        <v>306</v>
      </c>
      <c r="J461" s="1" t="s">
        <v>295</v>
      </c>
    </row>
    <row r="462" customFormat="false" ht="13.8" hidden="false" customHeight="false" outlineLevel="0" collapsed="false">
      <c r="A462" s="1" t="str">
        <f aca="false">IF(J462="DIESEL", "D", "G")</f>
        <v>G</v>
      </c>
      <c r="B462" s="1" t="n">
        <v>0.75425</v>
      </c>
      <c r="C462" s="1" t="n">
        <f aca="false">F462*1000</f>
        <v>34790120.462724</v>
      </c>
      <c r="D462" s="37" t="s">
        <v>234</v>
      </c>
      <c r="E462" s="1" t="s">
        <v>272</v>
      </c>
      <c r="F462" s="1" t="n">
        <v>34790.120462724</v>
      </c>
      <c r="G462" s="37" t="n">
        <v>2019</v>
      </c>
      <c r="H462" s="1" t="n">
        <v>5</v>
      </c>
      <c r="I462" s="1" t="s">
        <v>307</v>
      </c>
      <c r="J462" s="1" t="s">
        <v>295</v>
      </c>
    </row>
    <row r="463" customFormat="false" ht="13.8" hidden="false" customHeight="false" outlineLevel="0" collapsed="false">
      <c r="A463" s="1" t="str">
        <f aca="false">IF(J463="DIESEL", "D", "G")</f>
        <v>G</v>
      </c>
      <c r="B463" s="1" t="n">
        <v>0.75425</v>
      </c>
      <c r="C463" s="1" t="n">
        <f aca="false">F463*1000</f>
        <v>32442718.344108</v>
      </c>
      <c r="D463" s="37" t="s">
        <v>234</v>
      </c>
      <c r="E463" s="1" t="s">
        <v>272</v>
      </c>
      <c r="F463" s="1" t="n">
        <v>32442.718344108</v>
      </c>
      <c r="G463" s="37" t="n">
        <v>2019</v>
      </c>
      <c r="H463" s="1" t="n">
        <v>6</v>
      </c>
      <c r="I463" s="1" t="s">
        <v>308</v>
      </c>
      <c r="J463" s="1" t="s">
        <v>295</v>
      </c>
    </row>
    <row r="464" customFormat="false" ht="13.8" hidden="false" customHeight="false" outlineLevel="0" collapsed="false">
      <c r="A464" s="1" t="str">
        <f aca="false">IF(J464="DIESEL", "D", "G")</f>
        <v>G</v>
      </c>
      <c r="B464" s="1" t="n">
        <v>0.75425</v>
      </c>
      <c r="C464" s="1" t="n">
        <f aca="false">F464*1000</f>
        <v>35870246.137392</v>
      </c>
      <c r="D464" s="37" t="s">
        <v>234</v>
      </c>
      <c r="E464" s="1" t="s">
        <v>272</v>
      </c>
      <c r="F464" s="1" t="n">
        <v>35870.246137392</v>
      </c>
      <c r="G464" s="37" t="n">
        <v>2019</v>
      </c>
      <c r="H464" s="1" t="n">
        <v>7</v>
      </c>
      <c r="I464" s="1" t="s">
        <v>309</v>
      </c>
      <c r="J464" s="1" t="s">
        <v>295</v>
      </c>
    </row>
    <row r="465" customFormat="false" ht="13.8" hidden="false" customHeight="false" outlineLevel="0" collapsed="false">
      <c r="A465" s="1" t="str">
        <f aca="false">IF(J465="DIESEL", "D", "G")</f>
        <v>G</v>
      </c>
      <c r="B465" s="1" t="n">
        <v>0.75425</v>
      </c>
      <c r="C465" s="1" t="n">
        <f aca="false">F465*1000</f>
        <v>37563415.500048</v>
      </c>
      <c r="D465" s="37" t="s">
        <v>234</v>
      </c>
      <c r="E465" s="1" t="s">
        <v>272</v>
      </c>
      <c r="F465" s="1" t="n">
        <v>37563.415500048</v>
      </c>
      <c r="G465" s="37" t="n">
        <v>2019</v>
      </c>
      <c r="H465" s="1" t="n">
        <v>8</v>
      </c>
      <c r="I465" s="1" t="s">
        <v>310</v>
      </c>
      <c r="J465" s="1" t="s">
        <v>295</v>
      </c>
    </row>
    <row r="466" customFormat="false" ht="13.8" hidden="false" customHeight="false" outlineLevel="0" collapsed="false">
      <c r="A466" s="1" t="str">
        <f aca="false">IF(J466="DIESEL", "D", "G")</f>
        <v>G</v>
      </c>
      <c r="B466" s="1" t="n">
        <v>0.75425</v>
      </c>
      <c r="C466" s="1" t="n">
        <f aca="false">F466*1000</f>
        <v>33136448.088876</v>
      </c>
      <c r="D466" s="37" t="s">
        <v>234</v>
      </c>
      <c r="E466" s="1" t="s">
        <v>272</v>
      </c>
      <c r="F466" s="1" t="n">
        <v>33136.448088876</v>
      </c>
      <c r="G466" s="37" t="n">
        <v>2019</v>
      </c>
      <c r="H466" s="1" t="n">
        <v>9</v>
      </c>
      <c r="I466" s="1" t="s">
        <v>311</v>
      </c>
      <c r="J466" s="1" t="s">
        <v>295</v>
      </c>
    </row>
    <row r="467" customFormat="false" ht="13.8" hidden="false" customHeight="false" outlineLevel="0" collapsed="false">
      <c r="A467" s="1" t="str">
        <f aca="false">IF(J467="DIESEL", "D", "G")</f>
        <v>G</v>
      </c>
      <c r="B467" s="1" t="n">
        <v>0.75425</v>
      </c>
      <c r="C467" s="1" t="n">
        <f aca="false">F467*1000</f>
        <v>32428250.499444</v>
      </c>
      <c r="D467" s="37" t="s">
        <v>234</v>
      </c>
      <c r="E467" s="1" t="s">
        <v>272</v>
      </c>
      <c r="F467" s="1" t="n">
        <v>32428.250499444</v>
      </c>
      <c r="G467" s="37" t="n">
        <v>2019</v>
      </c>
      <c r="H467" s="1" t="n">
        <v>10</v>
      </c>
      <c r="I467" s="1" t="s">
        <v>312</v>
      </c>
      <c r="J467" s="1" t="s">
        <v>295</v>
      </c>
    </row>
    <row r="468" customFormat="false" ht="13.8" hidden="false" customHeight="false" outlineLevel="0" collapsed="false">
      <c r="A468" s="1" t="str">
        <f aca="false">IF(J468="DIESEL", "D", "G")</f>
        <v>G</v>
      </c>
      <c r="B468" s="1" t="n">
        <v>0.75425</v>
      </c>
      <c r="C468" s="1" t="n">
        <f aca="false">F468*1000</f>
        <v>34668968.351664</v>
      </c>
      <c r="D468" s="37" t="s">
        <v>234</v>
      </c>
      <c r="E468" s="1" t="s">
        <v>272</v>
      </c>
      <c r="F468" s="1" t="n">
        <v>34668.968351664</v>
      </c>
      <c r="G468" s="37" t="n">
        <v>2019</v>
      </c>
      <c r="H468" s="1" t="n">
        <v>11</v>
      </c>
      <c r="I468" s="1" t="s">
        <v>313</v>
      </c>
      <c r="J468" s="1" t="s">
        <v>295</v>
      </c>
    </row>
    <row r="469" customFormat="false" ht="13.8" hidden="false" customHeight="false" outlineLevel="0" collapsed="false">
      <c r="A469" s="1" t="str">
        <f aca="false">IF(J469="DIESEL", "D", "G")</f>
        <v>G</v>
      </c>
      <c r="B469" s="1" t="n">
        <v>0.75425</v>
      </c>
      <c r="C469" s="1" t="n">
        <f aca="false">F469*1000</f>
        <v>37791740.195652</v>
      </c>
      <c r="D469" s="37" t="s">
        <v>234</v>
      </c>
      <c r="E469" s="1" t="s">
        <v>272</v>
      </c>
      <c r="F469" s="1" t="n">
        <v>37791.740195652</v>
      </c>
      <c r="G469" s="37" t="n">
        <v>2019</v>
      </c>
      <c r="H469" s="1" t="n">
        <v>12</v>
      </c>
      <c r="I469" s="1" t="s">
        <v>314</v>
      </c>
      <c r="J469" s="1" t="s">
        <v>295</v>
      </c>
    </row>
    <row r="470" customFormat="false" ht="13.8" hidden="false" customHeight="false" outlineLevel="0" collapsed="false">
      <c r="A470" s="1" t="str">
        <f aca="false">IF(J470="DIESEL", "D", "G")</f>
        <v>G</v>
      </c>
      <c r="B470" s="1" t="n">
        <v>0.75425</v>
      </c>
      <c r="C470" s="1" t="n">
        <f aca="false">F470*1000</f>
        <v>2651124.650436</v>
      </c>
      <c r="D470" s="37" t="s">
        <v>234</v>
      </c>
      <c r="E470" s="1" t="s">
        <v>274</v>
      </c>
      <c r="F470" s="1" t="n">
        <v>2651.124650436</v>
      </c>
      <c r="G470" s="37" t="n">
        <v>2019</v>
      </c>
      <c r="H470" s="1" t="n">
        <v>1</v>
      </c>
      <c r="I470" s="1" t="s">
        <v>303</v>
      </c>
      <c r="J470" s="1" t="s">
        <v>295</v>
      </c>
    </row>
    <row r="471" customFormat="false" ht="13.8" hidden="false" customHeight="false" outlineLevel="0" collapsed="false">
      <c r="A471" s="1" t="str">
        <f aca="false">IF(J471="DIESEL", "D", "G")</f>
        <v>G</v>
      </c>
      <c r="B471" s="1" t="n">
        <v>0.75425</v>
      </c>
      <c r="C471" s="1" t="n">
        <f aca="false">F471*1000</f>
        <v>2439069.655608</v>
      </c>
      <c r="D471" s="37" t="s">
        <v>234</v>
      </c>
      <c r="E471" s="1" t="s">
        <v>274</v>
      </c>
      <c r="F471" s="1" t="n">
        <v>2439.069655608</v>
      </c>
      <c r="G471" s="37" t="n">
        <v>2019</v>
      </c>
      <c r="H471" s="1" t="n">
        <v>2</v>
      </c>
      <c r="I471" s="1" t="s">
        <v>304</v>
      </c>
      <c r="J471" s="1" t="s">
        <v>295</v>
      </c>
    </row>
    <row r="472" customFormat="false" ht="13.8" hidden="false" customHeight="false" outlineLevel="0" collapsed="false">
      <c r="A472" s="1" t="str">
        <f aca="false">IF(J472="DIESEL", "D", "G")</f>
        <v>G</v>
      </c>
      <c r="B472" s="1" t="n">
        <v>0.75425</v>
      </c>
      <c r="C472" s="1" t="n">
        <f aca="false">F472*1000</f>
        <v>2914195.642788</v>
      </c>
      <c r="D472" s="37" t="s">
        <v>234</v>
      </c>
      <c r="E472" s="1" t="s">
        <v>274</v>
      </c>
      <c r="F472" s="1" t="n">
        <v>2914.195642788</v>
      </c>
      <c r="G472" s="37" t="n">
        <v>2019</v>
      </c>
      <c r="H472" s="1" t="n">
        <v>3</v>
      </c>
      <c r="I472" s="1" t="s">
        <v>305</v>
      </c>
      <c r="J472" s="1" t="s">
        <v>295</v>
      </c>
    </row>
    <row r="473" customFormat="false" ht="13.8" hidden="false" customHeight="false" outlineLevel="0" collapsed="false">
      <c r="A473" s="1" t="str">
        <f aca="false">IF(J473="DIESEL", "D", "G")</f>
        <v>G</v>
      </c>
      <c r="B473" s="1" t="n">
        <v>0.75425</v>
      </c>
      <c r="C473" s="1" t="n">
        <f aca="false">F473*1000</f>
        <v>2653002.214788</v>
      </c>
      <c r="D473" s="37" t="s">
        <v>234</v>
      </c>
      <c r="E473" s="1" t="s">
        <v>274</v>
      </c>
      <c r="F473" s="1" t="n">
        <v>2653.002214788</v>
      </c>
      <c r="G473" s="37" t="n">
        <v>2019</v>
      </c>
      <c r="H473" s="1" t="n">
        <v>4</v>
      </c>
      <c r="I473" s="1" t="s">
        <v>306</v>
      </c>
      <c r="J473" s="1" t="s">
        <v>295</v>
      </c>
    </row>
    <row r="474" customFormat="false" ht="13.8" hidden="false" customHeight="false" outlineLevel="0" collapsed="false">
      <c r="A474" s="1" t="str">
        <f aca="false">IF(J474="DIESEL", "D", "G")</f>
        <v>G</v>
      </c>
      <c r="B474" s="1" t="n">
        <v>0.75425</v>
      </c>
      <c r="C474" s="1" t="n">
        <f aca="false">F474*1000</f>
        <v>2683281.725376</v>
      </c>
      <c r="D474" s="37" t="s">
        <v>234</v>
      </c>
      <c r="E474" s="1" t="s">
        <v>274</v>
      </c>
      <c r="F474" s="1" t="n">
        <v>2683.281725376</v>
      </c>
      <c r="G474" s="37" t="n">
        <v>2019</v>
      </c>
      <c r="H474" s="1" t="n">
        <v>5</v>
      </c>
      <c r="I474" s="1" t="s">
        <v>307</v>
      </c>
      <c r="J474" s="1" t="s">
        <v>295</v>
      </c>
    </row>
    <row r="475" customFormat="false" ht="13.8" hidden="false" customHeight="false" outlineLevel="0" collapsed="false">
      <c r="A475" s="1" t="str">
        <f aca="false">IF(J475="DIESEL", "D", "G")</f>
        <v>G</v>
      </c>
      <c r="B475" s="1" t="n">
        <v>0.75425</v>
      </c>
      <c r="C475" s="1" t="n">
        <f aca="false">F475*1000</f>
        <v>2573516.133612</v>
      </c>
      <c r="D475" s="37" t="s">
        <v>234</v>
      </c>
      <c r="E475" s="1" t="s">
        <v>274</v>
      </c>
      <c r="F475" s="1" t="n">
        <v>2573.516133612</v>
      </c>
      <c r="G475" s="37" t="n">
        <v>2019</v>
      </c>
      <c r="H475" s="1" t="n">
        <v>6</v>
      </c>
      <c r="I475" s="1" t="s">
        <v>308</v>
      </c>
      <c r="J475" s="1" t="s">
        <v>295</v>
      </c>
    </row>
    <row r="476" customFormat="false" ht="13.8" hidden="false" customHeight="false" outlineLevel="0" collapsed="false">
      <c r="A476" s="1" t="str">
        <f aca="false">IF(J476="DIESEL", "D", "G")</f>
        <v>G</v>
      </c>
      <c r="B476" s="1" t="n">
        <v>0.75425</v>
      </c>
      <c r="C476" s="1" t="n">
        <f aca="false">F476*1000</f>
        <v>2651060.298432</v>
      </c>
      <c r="D476" s="37" t="s">
        <v>234</v>
      </c>
      <c r="E476" s="1" t="s">
        <v>274</v>
      </c>
      <c r="F476" s="1" t="n">
        <v>2651.060298432</v>
      </c>
      <c r="G476" s="37" t="n">
        <v>2019</v>
      </c>
      <c r="H476" s="1" t="n">
        <v>7</v>
      </c>
      <c r="I476" s="1" t="s">
        <v>309</v>
      </c>
      <c r="J476" s="1" t="s">
        <v>295</v>
      </c>
    </row>
    <row r="477" customFormat="false" ht="13.8" hidden="false" customHeight="false" outlineLevel="0" collapsed="false">
      <c r="A477" s="1" t="str">
        <f aca="false">IF(J477="DIESEL", "D", "G")</f>
        <v>G</v>
      </c>
      <c r="B477" s="1" t="n">
        <v>0.75425</v>
      </c>
      <c r="C477" s="1" t="n">
        <f aca="false">F477*1000</f>
        <v>2874410.962668</v>
      </c>
      <c r="D477" s="37" t="s">
        <v>234</v>
      </c>
      <c r="E477" s="1" t="s">
        <v>274</v>
      </c>
      <c r="F477" s="1" t="n">
        <v>2874.410962668</v>
      </c>
      <c r="G477" s="37" t="n">
        <v>2019</v>
      </c>
      <c r="H477" s="1" t="n">
        <v>8</v>
      </c>
      <c r="I477" s="1" t="s">
        <v>310</v>
      </c>
      <c r="J477" s="1" t="s">
        <v>295</v>
      </c>
    </row>
    <row r="478" customFormat="false" ht="13.8" hidden="false" customHeight="false" outlineLevel="0" collapsed="false">
      <c r="A478" s="1" t="str">
        <f aca="false">IF(J478="DIESEL", "D", "G")</f>
        <v>G</v>
      </c>
      <c r="B478" s="1" t="n">
        <v>0.75425</v>
      </c>
      <c r="C478" s="1" t="n">
        <f aca="false">F478*1000</f>
        <v>2798717.864316</v>
      </c>
      <c r="D478" s="37" t="s">
        <v>234</v>
      </c>
      <c r="E478" s="1" t="s">
        <v>274</v>
      </c>
      <c r="F478" s="1" t="n">
        <v>2798.717864316</v>
      </c>
      <c r="G478" s="37" t="n">
        <v>2019</v>
      </c>
      <c r="H478" s="1" t="n">
        <v>9</v>
      </c>
      <c r="I478" s="1" t="s">
        <v>311</v>
      </c>
      <c r="J478" s="1" t="s">
        <v>295</v>
      </c>
    </row>
    <row r="479" customFormat="false" ht="13.8" hidden="false" customHeight="false" outlineLevel="0" collapsed="false">
      <c r="A479" s="1" t="str">
        <f aca="false">IF(J479="DIESEL", "D", "G")</f>
        <v>G</v>
      </c>
      <c r="B479" s="1" t="n">
        <v>0.75425</v>
      </c>
      <c r="C479" s="1" t="n">
        <f aca="false">F479*1000</f>
        <v>2630785.63176</v>
      </c>
      <c r="D479" s="37" t="s">
        <v>234</v>
      </c>
      <c r="E479" s="1" t="s">
        <v>274</v>
      </c>
      <c r="F479" s="1" t="n">
        <v>2630.78563176</v>
      </c>
      <c r="G479" s="37" t="n">
        <v>2019</v>
      </c>
      <c r="H479" s="1" t="n">
        <v>10</v>
      </c>
      <c r="I479" s="1" t="s">
        <v>312</v>
      </c>
      <c r="J479" s="1" t="s">
        <v>295</v>
      </c>
    </row>
    <row r="480" customFormat="false" ht="13.8" hidden="false" customHeight="false" outlineLevel="0" collapsed="false">
      <c r="A480" s="1" t="str">
        <f aca="false">IF(J480="DIESEL", "D", "G")</f>
        <v>G</v>
      </c>
      <c r="B480" s="1" t="n">
        <v>0.75425</v>
      </c>
      <c r="C480" s="1" t="n">
        <f aca="false">F480*1000</f>
        <v>2755666.37364</v>
      </c>
      <c r="D480" s="37" t="s">
        <v>234</v>
      </c>
      <c r="E480" s="1" t="s">
        <v>274</v>
      </c>
      <c r="F480" s="1" t="n">
        <v>2755.66637364</v>
      </c>
      <c r="G480" s="37" t="n">
        <v>2019</v>
      </c>
      <c r="H480" s="1" t="n">
        <v>11</v>
      </c>
      <c r="I480" s="1" t="s">
        <v>313</v>
      </c>
      <c r="J480" s="1" t="s">
        <v>295</v>
      </c>
    </row>
    <row r="481" customFormat="false" ht="13.8" hidden="false" customHeight="false" outlineLevel="0" collapsed="false">
      <c r="A481" s="1" t="str">
        <f aca="false">IF(J481="DIESEL", "D", "G")</f>
        <v>G</v>
      </c>
      <c r="B481" s="1" t="n">
        <v>0.75425</v>
      </c>
      <c r="C481" s="1" t="n">
        <f aca="false">F481*1000</f>
        <v>3098261.301288</v>
      </c>
      <c r="D481" s="37" t="s">
        <v>234</v>
      </c>
      <c r="E481" s="1" t="s">
        <v>274</v>
      </c>
      <c r="F481" s="1" t="n">
        <v>3098.261301288</v>
      </c>
      <c r="G481" s="37" t="n">
        <v>2019</v>
      </c>
      <c r="H481" s="1" t="n">
        <v>12</v>
      </c>
      <c r="I481" s="1" t="s">
        <v>314</v>
      </c>
      <c r="J481" s="1" t="s">
        <v>295</v>
      </c>
    </row>
    <row r="482" customFormat="false" ht="13.8" hidden="false" customHeight="false" outlineLevel="0" collapsed="false">
      <c r="A482" s="1" t="str">
        <f aca="false">IF(J482="DIESEL", "D", "G")</f>
        <v>G</v>
      </c>
      <c r="B482" s="1" t="n">
        <v>0.75425</v>
      </c>
      <c r="C482" s="1" t="n">
        <f aca="false">F482*1000</f>
        <v>1921096.59</v>
      </c>
      <c r="D482" s="37" t="s">
        <v>234</v>
      </c>
      <c r="E482" s="1" t="s">
        <v>276</v>
      </c>
      <c r="F482" s="1" t="n">
        <v>1921.09659</v>
      </c>
      <c r="G482" s="37" t="n">
        <v>2019</v>
      </c>
      <c r="H482" s="1" t="n">
        <v>1</v>
      </c>
      <c r="I482" s="1" t="s">
        <v>303</v>
      </c>
      <c r="J482" s="1" t="s">
        <v>295</v>
      </c>
    </row>
    <row r="483" customFormat="false" ht="13.8" hidden="false" customHeight="false" outlineLevel="0" collapsed="false">
      <c r="A483" s="1" t="str">
        <f aca="false">IF(J483="DIESEL", "D", "G")</f>
        <v>G</v>
      </c>
      <c r="B483" s="1" t="n">
        <v>0.75425</v>
      </c>
      <c r="C483" s="1" t="n">
        <f aca="false">F483*1000</f>
        <v>1790499.876</v>
      </c>
      <c r="D483" s="37" t="s">
        <v>234</v>
      </c>
      <c r="E483" s="1" t="s">
        <v>276</v>
      </c>
      <c r="F483" s="1" t="n">
        <v>1790.499876</v>
      </c>
      <c r="G483" s="37" t="n">
        <v>2019</v>
      </c>
      <c r="H483" s="1" t="n">
        <v>2</v>
      </c>
      <c r="I483" s="1" t="s">
        <v>304</v>
      </c>
      <c r="J483" s="1" t="s">
        <v>295</v>
      </c>
    </row>
    <row r="484" customFormat="false" ht="13.8" hidden="false" customHeight="false" outlineLevel="0" collapsed="false">
      <c r="A484" s="1" t="str">
        <f aca="false">IF(J484="DIESEL", "D", "G")</f>
        <v>G</v>
      </c>
      <c r="B484" s="1" t="n">
        <v>0.75425</v>
      </c>
      <c r="C484" s="1" t="n">
        <f aca="false">F484*1000</f>
        <v>2263676.376</v>
      </c>
      <c r="D484" s="37" t="s">
        <v>234</v>
      </c>
      <c r="E484" s="1" t="s">
        <v>276</v>
      </c>
      <c r="F484" s="1" t="n">
        <v>2263.676376</v>
      </c>
      <c r="G484" s="37" t="n">
        <v>2019</v>
      </c>
      <c r="H484" s="1" t="n">
        <v>3</v>
      </c>
      <c r="I484" s="1" t="s">
        <v>305</v>
      </c>
      <c r="J484" s="1" t="s">
        <v>295</v>
      </c>
    </row>
    <row r="485" customFormat="false" ht="13.8" hidden="false" customHeight="false" outlineLevel="0" collapsed="false">
      <c r="A485" s="1" t="str">
        <f aca="false">IF(J485="DIESEL", "D", "G")</f>
        <v>G</v>
      </c>
      <c r="B485" s="1" t="n">
        <v>0.75425</v>
      </c>
      <c r="C485" s="1" t="n">
        <f aca="false">F485*1000</f>
        <v>2040337.068</v>
      </c>
      <c r="D485" s="37" t="s">
        <v>234</v>
      </c>
      <c r="E485" s="1" t="s">
        <v>276</v>
      </c>
      <c r="F485" s="1" t="n">
        <v>2040.337068</v>
      </c>
      <c r="G485" s="37" t="n">
        <v>2019</v>
      </c>
      <c r="H485" s="1" t="n">
        <v>4</v>
      </c>
      <c r="I485" s="1" t="s">
        <v>306</v>
      </c>
      <c r="J485" s="1" t="s">
        <v>295</v>
      </c>
    </row>
    <row r="486" customFormat="false" ht="13.8" hidden="false" customHeight="false" outlineLevel="0" collapsed="false">
      <c r="A486" s="1" t="str">
        <f aca="false">IF(J486="DIESEL", "D", "G")</f>
        <v>G</v>
      </c>
      <c r="B486" s="1" t="n">
        <v>0.75425</v>
      </c>
      <c r="C486" s="1" t="n">
        <f aca="false">F486*1000</f>
        <v>2078191.188</v>
      </c>
      <c r="D486" s="37" t="s">
        <v>234</v>
      </c>
      <c r="E486" s="1" t="s">
        <v>276</v>
      </c>
      <c r="F486" s="1" t="n">
        <v>2078.191188</v>
      </c>
      <c r="G486" s="37" t="n">
        <v>2019</v>
      </c>
      <c r="H486" s="1" t="n">
        <v>5</v>
      </c>
      <c r="I486" s="1" t="s">
        <v>307</v>
      </c>
      <c r="J486" s="1" t="s">
        <v>295</v>
      </c>
    </row>
    <row r="487" customFormat="false" ht="13.8" hidden="false" customHeight="false" outlineLevel="0" collapsed="false">
      <c r="A487" s="1" t="str">
        <f aca="false">IF(J487="DIESEL", "D", "G")</f>
        <v>G</v>
      </c>
      <c r="B487" s="1" t="n">
        <v>0.75425</v>
      </c>
      <c r="C487" s="1" t="n">
        <f aca="false">F487*1000</f>
        <v>1864315.41</v>
      </c>
      <c r="D487" s="37" t="s">
        <v>234</v>
      </c>
      <c r="E487" s="1" t="s">
        <v>276</v>
      </c>
      <c r="F487" s="1" t="n">
        <v>1864.31541</v>
      </c>
      <c r="G487" s="37" t="n">
        <v>2019</v>
      </c>
      <c r="H487" s="1" t="n">
        <v>6</v>
      </c>
      <c r="I487" s="1" t="s">
        <v>308</v>
      </c>
      <c r="J487" s="1" t="s">
        <v>295</v>
      </c>
    </row>
    <row r="488" customFormat="false" ht="13.8" hidden="false" customHeight="false" outlineLevel="0" collapsed="false">
      <c r="A488" s="1" t="str">
        <f aca="false">IF(J488="DIESEL", "D", "G")</f>
        <v>G</v>
      </c>
      <c r="B488" s="1" t="n">
        <v>0.75425</v>
      </c>
      <c r="C488" s="1" t="n">
        <f aca="false">F488*1000</f>
        <v>1993019.418</v>
      </c>
      <c r="D488" s="37" t="s">
        <v>234</v>
      </c>
      <c r="E488" s="1" t="s">
        <v>276</v>
      </c>
      <c r="F488" s="1" t="n">
        <v>1993.019418</v>
      </c>
      <c r="G488" s="37" t="n">
        <v>2019</v>
      </c>
      <c r="H488" s="1" t="n">
        <v>7</v>
      </c>
      <c r="I488" s="1" t="s">
        <v>309</v>
      </c>
      <c r="J488" s="1" t="s">
        <v>295</v>
      </c>
    </row>
    <row r="489" customFormat="false" ht="13.8" hidden="false" customHeight="false" outlineLevel="0" collapsed="false">
      <c r="A489" s="1" t="str">
        <f aca="false">IF(J489="DIESEL", "D", "G")</f>
        <v>G</v>
      </c>
      <c r="B489" s="1" t="n">
        <v>0.75425</v>
      </c>
      <c r="C489" s="1" t="n">
        <f aca="false">F489*1000</f>
        <v>2197431.666</v>
      </c>
      <c r="D489" s="37" t="s">
        <v>234</v>
      </c>
      <c r="E489" s="1" t="s">
        <v>276</v>
      </c>
      <c r="F489" s="1" t="n">
        <v>2197.431666</v>
      </c>
      <c r="G489" s="37" t="n">
        <v>2019</v>
      </c>
      <c r="H489" s="1" t="n">
        <v>8</v>
      </c>
      <c r="I489" s="1" t="s">
        <v>310</v>
      </c>
      <c r="J489" s="1" t="s">
        <v>295</v>
      </c>
    </row>
    <row r="490" customFormat="false" ht="13.8" hidden="false" customHeight="false" outlineLevel="0" collapsed="false">
      <c r="A490" s="1" t="str">
        <f aca="false">IF(J490="DIESEL", "D", "G")</f>
        <v>G</v>
      </c>
      <c r="B490" s="1" t="n">
        <v>0.75425</v>
      </c>
      <c r="C490" s="1" t="n">
        <f aca="false">F490*1000</f>
        <v>1979770.476</v>
      </c>
      <c r="D490" s="37" t="s">
        <v>234</v>
      </c>
      <c r="E490" s="1" t="s">
        <v>276</v>
      </c>
      <c r="F490" s="1" t="n">
        <v>1979.770476</v>
      </c>
      <c r="G490" s="37" t="n">
        <v>2019</v>
      </c>
      <c r="H490" s="1" t="n">
        <v>9</v>
      </c>
      <c r="I490" s="1" t="s">
        <v>311</v>
      </c>
      <c r="J490" s="1" t="s">
        <v>295</v>
      </c>
    </row>
    <row r="491" customFormat="false" ht="13.8" hidden="false" customHeight="false" outlineLevel="0" collapsed="false">
      <c r="A491" s="1" t="str">
        <f aca="false">IF(J491="DIESEL", "D", "G")</f>
        <v>G</v>
      </c>
      <c r="B491" s="1" t="n">
        <v>0.75425</v>
      </c>
      <c r="C491" s="1" t="n">
        <f aca="false">F491*1000</f>
        <v>1735611.402</v>
      </c>
      <c r="D491" s="37" t="s">
        <v>234</v>
      </c>
      <c r="E491" s="1" t="s">
        <v>276</v>
      </c>
      <c r="F491" s="1" t="n">
        <v>1735.611402</v>
      </c>
      <c r="G491" s="37" t="n">
        <v>2019</v>
      </c>
      <c r="H491" s="1" t="n">
        <v>10</v>
      </c>
      <c r="I491" s="1" t="s">
        <v>312</v>
      </c>
      <c r="J491" s="1" t="s">
        <v>295</v>
      </c>
    </row>
    <row r="492" customFormat="false" ht="13.8" hidden="false" customHeight="false" outlineLevel="0" collapsed="false">
      <c r="A492" s="1" t="str">
        <f aca="false">IF(J492="DIESEL", "D", "G")</f>
        <v>G</v>
      </c>
      <c r="B492" s="1" t="n">
        <v>0.75425</v>
      </c>
      <c r="C492" s="1" t="n">
        <f aca="false">F492*1000</f>
        <v>2099010.954</v>
      </c>
      <c r="D492" s="37" t="s">
        <v>234</v>
      </c>
      <c r="E492" s="1" t="s">
        <v>276</v>
      </c>
      <c r="F492" s="1" t="n">
        <v>2099.010954</v>
      </c>
      <c r="G492" s="37" t="n">
        <v>2019</v>
      </c>
      <c r="H492" s="1" t="n">
        <v>11</v>
      </c>
      <c r="I492" s="1" t="s">
        <v>313</v>
      </c>
      <c r="J492" s="1" t="s">
        <v>295</v>
      </c>
    </row>
    <row r="493" customFormat="false" ht="13.8" hidden="false" customHeight="false" outlineLevel="0" collapsed="false">
      <c r="A493" s="1" t="str">
        <f aca="false">IF(J493="DIESEL", "D", "G")</f>
        <v>G</v>
      </c>
      <c r="B493" s="1" t="n">
        <v>0.75425</v>
      </c>
      <c r="C493" s="1" t="n">
        <f aca="false">F493*1000</f>
        <v>2250427.434</v>
      </c>
      <c r="D493" s="37" t="s">
        <v>234</v>
      </c>
      <c r="E493" s="1" t="s">
        <v>276</v>
      </c>
      <c r="F493" s="1" t="n">
        <v>2250.427434</v>
      </c>
      <c r="G493" s="37" t="n">
        <v>2019</v>
      </c>
      <c r="H493" s="1" t="n">
        <v>12</v>
      </c>
      <c r="I493" s="1" t="s">
        <v>314</v>
      </c>
      <c r="J493" s="1" t="s">
        <v>295</v>
      </c>
    </row>
    <row r="494" customFormat="false" ht="13.8" hidden="false" customHeight="false" outlineLevel="0" collapsed="false">
      <c r="A494" s="1" t="str">
        <f aca="false">IF(J494="DIESEL", "D", "G")</f>
        <v>G</v>
      </c>
      <c r="B494" s="1" t="n">
        <v>0.75425</v>
      </c>
      <c r="C494" s="1" t="n">
        <f aca="false">F494*1000</f>
        <v>2890919.1444</v>
      </c>
      <c r="D494" s="37" t="s">
        <v>234</v>
      </c>
      <c r="E494" s="1" t="s">
        <v>278</v>
      </c>
      <c r="F494" s="1" t="n">
        <v>2890.9191444</v>
      </c>
      <c r="G494" s="37" t="n">
        <v>2019</v>
      </c>
      <c r="H494" s="1" t="n">
        <v>1</v>
      </c>
      <c r="I494" s="1" t="s">
        <v>303</v>
      </c>
      <c r="J494" s="1" t="s">
        <v>295</v>
      </c>
    </row>
    <row r="495" customFormat="false" ht="13.8" hidden="false" customHeight="false" outlineLevel="0" collapsed="false">
      <c r="A495" s="1" t="str">
        <f aca="false">IF(J495="DIESEL", "D", "G")</f>
        <v>G</v>
      </c>
      <c r="B495" s="1" t="n">
        <v>0.75425</v>
      </c>
      <c r="C495" s="1" t="n">
        <f aca="false">F495*1000</f>
        <v>2776978.2432</v>
      </c>
      <c r="D495" s="37" t="s">
        <v>234</v>
      </c>
      <c r="E495" s="1" t="s">
        <v>278</v>
      </c>
      <c r="F495" s="1" t="n">
        <v>2776.9782432</v>
      </c>
      <c r="G495" s="37" t="n">
        <v>2019</v>
      </c>
      <c r="H495" s="1" t="n">
        <v>2</v>
      </c>
      <c r="I495" s="1" t="s">
        <v>304</v>
      </c>
      <c r="J495" s="1" t="s">
        <v>295</v>
      </c>
    </row>
    <row r="496" customFormat="false" ht="13.8" hidden="false" customHeight="false" outlineLevel="0" collapsed="false">
      <c r="A496" s="1" t="str">
        <f aca="false">IF(J496="DIESEL", "D", "G")</f>
        <v>G</v>
      </c>
      <c r="B496" s="1" t="n">
        <v>0.75425</v>
      </c>
      <c r="C496" s="1" t="n">
        <f aca="false">F496*1000</f>
        <v>3096467.016</v>
      </c>
      <c r="D496" s="37" t="s">
        <v>234</v>
      </c>
      <c r="E496" s="1" t="s">
        <v>278</v>
      </c>
      <c r="F496" s="1" t="n">
        <v>3096.467016</v>
      </c>
      <c r="G496" s="37" t="n">
        <v>2019</v>
      </c>
      <c r="H496" s="1" t="n">
        <v>3</v>
      </c>
      <c r="I496" s="1" t="s">
        <v>305</v>
      </c>
      <c r="J496" s="1" t="s">
        <v>295</v>
      </c>
    </row>
    <row r="497" customFormat="false" ht="13.8" hidden="false" customHeight="false" outlineLevel="0" collapsed="false">
      <c r="A497" s="1" t="str">
        <f aca="false">IF(J497="DIESEL", "D", "G")</f>
        <v>G</v>
      </c>
      <c r="B497" s="1" t="n">
        <v>0.75425</v>
      </c>
      <c r="C497" s="1" t="n">
        <f aca="false">F497*1000</f>
        <v>3034386.2592</v>
      </c>
      <c r="D497" s="37" t="s">
        <v>234</v>
      </c>
      <c r="E497" s="1" t="s">
        <v>278</v>
      </c>
      <c r="F497" s="1" t="n">
        <v>3034.3862592</v>
      </c>
      <c r="G497" s="37" t="n">
        <v>2019</v>
      </c>
      <c r="H497" s="1" t="n">
        <v>4</v>
      </c>
      <c r="I497" s="1" t="s">
        <v>306</v>
      </c>
      <c r="J497" s="1" t="s">
        <v>295</v>
      </c>
    </row>
    <row r="498" customFormat="false" ht="13.8" hidden="false" customHeight="false" outlineLevel="0" collapsed="false">
      <c r="A498" s="1" t="str">
        <f aca="false">IF(J498="DIESEL", "D", "G")</f>
        <v>G</v>
      </c>
      <c r="B498" s="1" t="n">
        <v>0.75425</v>
      </c>
      <c r="C498" s="1" t="n">
        <f aca="false">F498*1000</f>
        <v>3075647.25</v>
      </c>
      <c r="D498" s="37" t="s">
        <v>234</v>
      </c>
      <c r="E498" s="1" t="s">
        <v>278</v>
      </c>
      <c r="F498" s="1" t="n">
        <v>3075.64725</v>
      </c>
      <c r="G498" s="37" t="n">
        <v>2019</v>
      </c>
      <c r="H498" s="1" t="n">
        <v>5</v>
      </c>
      <c r="I498" s="1" t="s">
        <v>307</v>
      </c>
      <c r="J498" s="1" t="s">
        <v>295</v>
      </c>
    </row>
    <row r="499" customFormat="false" ht="13.8" hidden="false" customHeight="false" outlineLevel="0" collapsed="false">
      <c r="A499" s="1" t="str">
        <f aca="false">IF(J499="DIESEL", "D", "G")</f>
        <v>G</v>
      </c>
      <c r="B499" s="1" t="n">
        <v>0.75425</v>
      </c>
      <c r="C499" s="1" t="n">
        <f aca="false">F499*1000</f>
        <v>2922716.6052</v>
      </c>
      <c r="D499" s="37" t="s">
        <v>234</v>
      </c>
      <c r="E499" s="1" t="s">
        <v>278</v>
      </c>
      <c r="F499" s="1" t="n">
        <v>2922.7166052</v>
      </c>
      <c r="G499" s="37" t="n">
        <v>2019</v>
      </c>
      <c r="H499" s="1" t="n">
        <v>6</v>
      </c>
      <c r="I499" s="1" t="s">
        <v>308</v>
      </c>
      <c r="J499" s="1" t="s">
        <v>295</v>
      </c>
    </row>
    <row r="500" customFormat="false" ht="13.8" hidden="false" customHeight="false" outlineLevel="0" collapsed="false">
      <c r="A500" s="1" t="str">
        <f aca="false">IF(J500="DIESEL", "D", "G")</f>
        <v>G</v>
      </c>
      <c r="B500" s="1" t="n">
        <v>0.75425</v>
      </c>
      <c r="C500" s="1" t="n">
        <f aca="false">F500*1000</f>
        <v>2976090.9144</v>
      </c>
      <c r="D500" s="37" t="s">
        <v>234</v>
      </c>
      <c r="E500" s="1" t="s">
        <v>278</v>
      </c>
      <c r="F500" s="1" t="n">
        <v>2976.0909144</v>
      </c>
      <c r="G500" s="37" t="n">
        <v>2019</v>
      </c>
      <c r="H500" s="1" t="n">
        <v>7</v>
      </c>
      <c r="I500" s="1" t="s">
        <v>309</v>
      </c>
      <c r="J500" s="1" t="s">
        <v>295</v>
      </c>
    </row>
    <row r="501" customFormat="false" ht="13.8" hidden="false" customHeight="false" outlineLevel="0" collapsed="false">
      <c r="A501" s="1" t="str">
        <f aca="false">IF(J501="DIESEL", "D", "G")</f>
        <v>G</v>
      </c>
      <c r="B501" s="1" t="n">
        <v>0.75425</v>
      </c>
      <c r="C501" s="1" t="n">
        <f aca="false">F501*1000</f>
        <v>3051799.1544</v>
      </c>
      <c r="D501" s="37" t="s">
        <v>234</v>
      </c>
      <c r="E501" s="1" t="s">
        <v>278</v>
      </c>
      <c r="F501" s="1" t="n">
        <v>3051.7991544</v>
      </c>
      <c r="G501" s="37" t="n">
        <v>2019</v>
      </c>
      <c r="H501" s="1" t="n">
        <v>8</v>
      </c>
      <c r="I501" s="1" t="s">
        <v>310</v>
      </c>
      <c r="J501" s="1" t="s">
        <v>295</v>
      </c>
    </row>
    <row r="502" customFormat="false" ht="13.8" hidden="false" customHeight="false" outlineLevel="0" collapsed="false">
      <c r="A502" s="1" t="str">
        <f aca="false">IF(J502="DIESEL", "D", "G")</f>
        <v>G</v>
      </c>
      <c r="B502" s="1" t="n">
        <v>0.75425</v>
      </c>
      <c r="C502" s="1" t="n">
        <f aca="false">F502*1000</f>
        <v>3042714.1656</v>
      </c>
      <c r="D502" s="37" t="s">
        <v>234</v>
      </c>
      <c r="E502" s="1" t="s">
        <v>278</v>
      </c>
      <c r="F502" s="1" t="n">
        <v>3042.7141656</v>
      </c>
      <c r="G502" s="37" t="n">
        <v>2019</v>
      </c>
      <c r="H502" s="1" t="n">
        <v>9</v>
      </c>
      <c r="I502" s="1" t="s">
        <v>311</v>
      </c>
      <c r="J502" s="1" t="s">
        <v>295</v>
      </c>
    </row>
    <row r="503" customFormat="false" ht="13.8" hidden="false" customHeight="false" outlineLevel="0" collapsed="false">
      <c r="A503" s="1" t="str">
        <f aca="false">IF(J503="DIESEL", "D", "G")</f>
        <v>G</v>
      </c>
      <c r="B503" s="1" t="n">
        <v>0.75425</v>
      </c>
      <c r="C503" s="1" t="n">
        <f aca="false">F503*1000</f>
        <v>2730796.2168</v>
      </c>
      <c r="D503" s="37" t="s">
        <v>234</v>
      </c>
      <c r="E503" s="1" t="s">
        <v>278</v>
      </c>
      <c r="F503" s="1" t="n">
        <v>2730.7962168</v>
      </c>
      <c r="G503" s="37" t="n">
        <v>2019</v>
      </c>
      <c r="H503" s="1" t="n">
        <v>10</v>
      </c>
      <c r="I503" s="1" t="s">
        <v>312</v>
      </c>
      <c r="J503" s="1" t="s">
        <v>295</v>
      </c>
    </row>
    <row r="504" customFormat="false" ht="13.8" hidden="false" customHeight="false" outlineLevel="0" collapsed="false">
      <c r="A504" s="1" t="str">
        <f aca="false">IF(J504="DIESEL", "D", "G")</f>
        <v>G</v>
      </c>
      <c r="B504" s="1" t="n">
        <v>0.75425</v>
      </c>
      <c r="C504" s="1" t="n">
        <f aca="false">F504*1000</f>
        <v>2905682.2512</v>
      </c>
      <c r="D504" s="37" t="s">
        <v>234</v>
      </c>
      <c r="E504" s="1" t="s">
        <v>278</v>
      </c>
      <c r="F504" s="1" t="n">
        <v>2905.6822512</v>
      </c>
      <c r="G504" s="37" t="n">
        <v>2019</v>
      </c>
      <c r="H504" s="1" t="n">
        <v>11</v>
      </c>
      <c r="I504" s="1" t="s">
        <v>313</v>
      </c>
      <c r="J504" s="1" t="s">
        <v>295</v>
      </c>
    </row>
    <row r="505" customFormat="false" ht="13.8" hidden="false" customHeight="false" outlineLevel="0" collapsed="false">
      <c r="A505" s="1" t="str">
        <f aca="false">IF(J505="DIESEL", "D", "G")</f>
        <v>G</v>
      </c>
      <c r="B505" s="1" t="n">
        <v>0.75425</v>
      </c>
      <c r="C505" s="1" t="n">
        <f aca="false">F505*1000</f>
        <v>3157790.6904</v>
      </c>
      <c r="D505" s="37" t="s">
        <v>234</v>
      </c>
      <c r="E505" s="1" t="s">
        <v>278</v>
      </c>
      <c r="F505" s="1" t="n">
        <v>3157.7906904</v>
      </c>
      <c r="G505" s="37" t="n">
        <v>2019</v>
      </c>
      <c r="H505" s="1" t="n">
        <v>12</v>
      </c>
      <c r="I505" s="1" t="s">
        <v>314</v>
      </c>
      <c r="J505" s="1" t="s">
        <v>295</v>
      </c>
    </row>
    <row r="506" customFormat="false" ht="13.8" hidden="false" customHeight="false" outlineLevel="0" collapsed="false">
      <c r="A506" s="1" t="str">
        <f aca="false">IF(J506="DIESEL", "D", "G")</f>
        <v>G</v>
      </c>
      <c r="B506" s="1" t="n">
        <v>0.75425</v>
      </c>
      <c r="C506" s="1" t="n">
        <f aca="false">F506*1000</f>
        <v>2297745.084</v>
      </c>
      <c r="D506" s="37" t="s">
        <v>234</v>
      </c>
      <c r="E506" s="1" t="s">
        <v>280</v>
      </c>
      <c r="F506" s="1" t="n">
        <v>2297.745084</v>
      </c>
      <c r="G506" s="37" t="n">
        <v>2019</v>
      </c>
      <c r="H506" s="1" t="n">
        <v>1</v>
      </c>
      <c r="I506" s="1" t="s">
        <v>303</v>
      </c>
      <c r="J506" s="1" t="s">
        <v>295</v>
      </c>
    </row>
    <row r="507" customFormat="false" ht="13.8" hidden="false" customHeight="false" outlineLevel="0" collapsed="false">
      <c r="A507" s="1" t="str">
        <f aca="false">IF(J507="DIESEL", "D", "G")</f>
        <v>G</v>
      </c>
      <c r="B507" s="1" t="n">
        <v>0.75425</v>
      </c>
      <c r="C507" s="1" t="n">
        <f aca="false">F507*1000</f>
        <v>2267461.788</v>
      </c>
      <c r="D507" s="37" t="s">
        <v>234</v>
      </c>
      <c r="E507" s="1" t="s">
        <v>280</v>
      </c>
      <c r="F507" s="1" t="n">
        <v>2267.461788</v>
      </c>
      <c r="G507" s="37" t="n">
        <v>2019</v>
      </c>
      <c r="H507" s="1" t="n">
        <v>2</v>
      </c>
      <c r="I507" s="1" t="s">
        <v>304</v>
      </c>
      <c r="J507" s="1" t="s">
        <v>295</v>
      </c>
    </row>
    <row r="508" customFormat="false" ht="13.8" hidden="false" customHeight="false" outlineLevel="0" collapsed="false">
      <c r="A508" s="1" t="str">
        <f aca="false">IF(J508="DIESEL", "D", "G")</f>
        <v>G</v>
      </c>
      <c r="B508" s="1" t="n">
        <v>0.75425</v>
      </c>
      <c r="C508" s="1" t="n">
        <f aca="false">F508*1000</f>
        <v>2564616.63</v>
      </c>
      <c r="D508" s="37" t="s">
        <v>234</v>
      </c>
      <c r="E508" s="1" t="s">
        <v>280</v>
      </c>
      <c r="F508" s="1" t="n">
        <v>2564.61663</v>
      </c>
      <c r="G508" s="37" t="n">
        <v>2019</v>
      </c>
      <c r="H508" s="1" t="n">
        <v>3</v>
      </c>
      <c r="I508" s="1" t="s">
        <v>305</v>
      </c>
      <c r="J508" s="1" t="s">
        <v>295</v>
      </c>
    </row>
    <row r="509" customFormat="false" ht="13.8" hidden="false" customHeight="false" outlineLevel="0" collapsed="false">
      <c r="A509" s="1" t="str">
        <f aca="false">IF(J509="DIESEL", "D", "G")</f>
        <v>G</v>
      </c>
      <c r="B509" s="1" t="n">
        <v>0.75425</v>
      </c>
      <c r="C509" s="1" t="n">
        <f aca="false">F509*1000</f>
        <v>2432127.21</v>
      </c>
      <c r="D509" s="37" t="s">
        <v>234</v>
      </c>
      <c r="E509" s="1" t="s">
        <v>280</v>
      </c>
      <c r="F509" s="1" t="n">
        <v>2432.12721</v>
      </c>
      <c r="G509" s="37" t="n">
        <v>2019</v>
      </c>
      <c r="H509" s="1" t="n">
        <v>4</v>
      </c>
      <c r="I509" s="1" t="s">
        <v>306</v>
      </c>
      <c r="J509" s="1" t="s">
        <v>295</v>
      </c>
    </row>
    <row r="510" customFormat="false" ht="13.8" hidden="false" customHeight="false" outlineLevel="0" collapsed="false">
      <c r="A510" s="1" t="str">
        <f aca="false">IF(J510="DIESEL", "D", "G")</f>
        <v>G</v>
      </c>
      <c r="B510" s="1" t="n">
        <v>0.75425</v>
      </c>
      <c r="C510" s="1" t="n">
        <f aca="false">F510*1000</f>
        <v>2439698.034</v>
      </c>
      <c r="D510" s="37" t="s">
        <v>234</v>
      </c>
      <c r="E510" s="1" t="s">
        <v>280</v>
      </c>
      <c r="F510" s="1" t="n">
        <v>2439.698034</v>
      </c>
      <c r="G510" s="37" t="n">
        <v>2019</v>
      </c>
      <c r="H510" s="1" t="n">
        <v>5</v>
      </c>
      <c r="I510" s="1" t="s">
        <v>307</v>
      </c>
      <c r="J510" s="1" t="s">
        <v>295</v>
      </c>
    </row>
    <row r="511" customFormat="false" ht="13.8" hidden="false" customHeight="false" outlineLevel="0" collapsed="false">
      <c r="A511" s="1" t="str">
        <f aca="false">IF(J511="DIESEL", "D", "G")</f>
        <v>G</v>
      </c>
      <c r="B511" s="1" t="n">
        <v>0.75425</v>
      </c>
      <c r="C511" s="1" t="n">
        <f aca="false">F511*1000</f>
        <v>2307208.614</v>
      </c>
      <c r="D511" s="37" t="s">
        <v>234</v>
      </c>
      <c r="E511" s="1" t="s">
        <v>280</v>
      </c>
      <c r="F511" s="1" t="n">
        <v>2307.208614</v>
      </c>
      <c r="G511" s="37" t="n">
        <v>2019</v>
      </c>
      <c r="H511" s="1" t="n">
        <v>6</v>
      </c>
      <c r="I511" s="1" t="s">
        <v>308</v>
      </c>
      <c r="J511" s="1" t="s">
        <v>295</v>
      </c>
    </row>
    <row r="512" customFormat="false" ht="13.8" hidden="false" customHeight="false" outlineLevel="0" collapsed="false">
      <c r="A512" s="1" t="str">
        <f aca="false">IF(J512="DIESEL", "D", "G")</f>
        <v>G</v>
      </c>
      <c r="B512" s="1" t="n">
        <v>0.75425</v>
      </c>
      <c r="C512" s="1" t="n">
        <f aca="false">F512*1000</f>
        <v>2479444.86</v>
      </c>
      <c r="D512" s="37" t="s">
        <v>234</v>
      </c>
      <c r="E512" s="1" t="s">
        <v>280</v>
      </c>
      <c r="F512" s="1" t="n">
        <v>2479.44486</v>
      </c>
      <c r="G512" s="37" t="n">
        <v>2019</v>
      </c>
      <c r="H512" s="1" t="n">
        <v>7</v>
      </c>
      <c r="I512" s="1" t="s">
        <v>309</v>
      </c>
      <c r="J512" s="1" t="s">
        <v>295</v>
      </c>
    </row>
    <row r="513" customFormat="false" ht="13.8" hidden="false" customHeight="false" outlineLevel="0" collapsed="false">
      <c r="A513" s="1" t="str">
        <f aca="false">IF(J513="DIESEL", "D", "G")</f>
        <v>G</v>
      </c>
      <c r="B513" s="1" t="n">
        <v>0.75425</v>
      </c>
      <c r="C513" s="1" t="n">
        <f aca="false">F513*1000</f>
        <v>2598685.338</v>
      </c>
      <c r="D513" s="37" t="s">
        <v>234</v>
      </c>
      <c r="E513" s="1" t="s">
        <v>280</v>
      </c>
      <c r="F513" s="1" t="n">
        <v>2598.685338</v>
      </c>
      <c r="G513" s="37" t="n">
        <v>2019</v>
      </c>
      <c r="H513" s="1" t="n">
        <v>8</v>
      </c>
      <c r="I513" s="1" t="s">
        <v>310</v>
      </c>
      <c r="J513" s="1" t="s">
        <v>295</v>
      </c>
    </row>
    <row r="514" customFormat="false" ht="13.8" hidden="false" customHeight="false" outlineLevel="0" collapsed="false">
      <c r="A514" s="1" t="str">
        <f aca="false">IF(J514="DIESEL", "D", "G")</f>
        <v>G</v>
      </c>
      <c r="B514" s="1" t="n">
        <v>0.75425</v>
      </c>
      <c r="C514" s="1" t="n">
        <f aca="false">F514*1000</f>
        <v>2174719.194</v>
      </c>
      <c r="D514" s="37" t="s">
        <v>234</v>
      </c>
      <c r="E514" s="1" t="s">
        <v>280</v>
      </c>
      <c r="F514" s="1" t="n">
        <v>2174.719194</v>
      </c>
      <c r="G514" s="37" t="n">
        <v>2019</v>
      </c>
      <c r="H514" s="1" t="n">
        <v>9</v>
      </c>
      <c r="I514" s="1" t="s">
        <v>311</v>
      </c>
      <c r="J514" s="1" t="s">
        <v>295</v>
      </c>
    </row>
    <row r="515" customFormat="false" ht="13.8" hidden="false" customHeight="false" outlineLevel="0" collapsed="false">
      <c r="A515" s="1" t="str">
        <f aca="false">IF(J515="DIESEL", "D", "G")</f>
        <v>G</v>
      </c>
      <c r="B515" s="1" t="n">
        <v>0.75425</v>
      </c>
      <c r="C515" s="1" t="n">
        <f aca="false">F515*1000</f>
        <v>1955165.298</v>
      </c>
      <c r="D515" s="37" t="s">
        <v>234</v>
      </c>
      <c r="E515" s="1" t="s">
        <v>280</v>
      </c>
      <c r="F515" s="1" t="n">
        <v>1955.165298</v>
      </c>
      <c r="G515" s="37" t="n">
        <v>2019</v>
      </c>
      <c r="H515" s="1" t="n">
        <v>10</v>
      </c>
      <c r="I515" s="1" t="s">
        <v>312</v>
      </c>
      <c r="J515" s="1" t="s">
        <v>295</v>
      </c>
    </row>
    <row r="516" customFormat="false" ht="13.8" hidden="false" customHeight="false" outlineLevel="0" collapsed="false">
      <c r="A516" s="1" t="str">
        <f aca="false">IF(J516="DIESEL", "D", "G")</f>
        <v>G</v>
      </c>
      <c r="B516" s="1" t="n">
        <v>0.75425</v>
      </c>
      <c r="C516" s="1" t="n">
        <f aca="false">F516*1000</f>
        <v>2267461.788</v>
      </c>
      <c r="D516" s="37" t="s">
        <v>234</v>
      </c>
      <c r="E516" s="1" t="s">
        <v>280</v>
      </c>
      <c r="F516" s="1" t="n">
        <v>2267.461788</v>
      </c>
      <c r="G516" s="37" t="n">
        <v>2019</v>
      </c>
      <c r="H516" s="1" t="n">
        <v>11</v>
      </c>
      <c r="I516" s="1" t="s">
        <v>313</v>
      </c>
      <c r="J516" s="1" t="s">
        <v>295</v>
      </c>
    </row>
    <row r="517" customFormat="false" ht="13.8" hidden="false" customHeight="false" outlineLevel="0" collapsed="false">
      <c r="A517" s="1" t="str">
        <f aca="false">IF(J517="DIESEL", "D", "G")</f>
        <v>G</v>
      </c>
      <c r="B517" s="1" t="n">
        <v>0.75425</v>
      </c>
      <c r="C517" s="1" t="n">
        <f aca="false">F517*1000</f>
        <v>2492693.802</v>
      </c>
      <c r="D517" s="37" t="s">
        <v>234</v>
      </c>
      <c r="E517" s="1" t="s">
        <v>280</v>
      </c>
      <c r="F517" s="1" t="n">
        <v>2492.693802</v>
      </c>
      <c r="G517" s="37" t="n">
        <v>2019</v>
      </c>
      <c r="H517" s="1" t="n">
        <v>12</v>
      </c>
      <c r="I517" s="1" t="s">
        <v>314</v>
      </c>
      <c r="J517" s="1" t="s">
        <v>295</v>
      </c>
    </row>
    <row r="518" customFormat="false" ht="13.8" hidden="false" customHeight="false" outlineLevel="0" collapsed="false">
      <c r="A518" s="1" t="str">
        <f aca="false">IF(J518="DIESEL", "D", "G")</f>
        <v>G</v>
      </c>
      <c r="B518" s="1" t="n">
        <v>0.75425</v>
      </c>
      <c r="C518" s="1" t="n">
        <f aca="false">F518*1000</f>
        <v>84464371.1325</v>
      </c>
      <c r="D518" s="37" t="s">
        <v>234</v>
      </c>
      <c r="E518" s="1" t="s">
        <v>282</v>
      </c>
      <c r="F518" s="1" t="n">
        <v>84464.3711325</v>
      </c>
      <c r="G518" s="37" t="n">
        <v>2019</v>
      </c>
      <c r="H518" s="1" t="n">
        <v>1</v>
      </c>
      <c r="I518" s="1" t="s">
        <v>303</v>
      </c>
      <c r="J518" s="1" t="s">
        <v>295</v>
      </c>
    </row>
    <row r="519" customFormat="false" ht="13.8" hidden="false" customHeight="false" outlineLevel="0" collapsed="false">
      <c r="A519" s="1" t="str">
        <f aca="false">IF(J519="DIESEL", "D", "G")</f>
        <v>G</v>
      </c>
      <c r="B519" s="1" t="n">
        <v>0.75425</v>
      </c>
      <c r="C519" s="1" t="n">
        <f aca="false">F519*1000</f>
        <v>80783398.64958</v>
      </c>
      <c r="D519" s="37" t="s">
        <v>234</v>
      </c>
      <c r="E519" s="1" t="s">
        <v>282</v>
      </c>
      <c r="F519" s="1" t="n">
        <v>80783.39864958</v>
      </c>
      <c r="G519" s="37" t="n">
        <v>2019</v>
      </c>
      <c r="H519" s="1" t="n">
        <v>2</v>
      </c>
      <c r="I519" s="1" t="s">
        <v>304</v>
      </c>
      <c r="J519" s="1" t="s">
        <v>295</v>
      </c>
    </row>
    <row r="520" customFormat="false" ht="13.8" hidden="false" customHeight="false" outlineLevel="0" collapsed="false">
      <c r="A520" s="1" t="str">
        <f aca="false">IF(J520="DIESEL", "D", "G")</f>
        <v>G</v>
      </c>
      <c r="B520" s="1" t="n">
        <v>0.75425</v>
      </c>
      <c r="C520" s="1" t="n">
        <f aca="false">F520*1000</f>
        <v>88409678.93538</v>
      </c>
      <c r="D520" s="37" t="s">
        <v>234</v>
      </c>
      <c r="E520" s="1" t="s">
        <v>282</v>
      </c>
      <c r="F520" s="1" t="n">
        <v>88409.67893538</v>
      </c>
      <c r="G520" s="37" t="n">
        <v>2019</v>
      </c>
      <c r="H520" s="1" t="n">
        <v>3</v>
      </c>
      <c r="I520" s="1" t="s">
        <v>305</v>
      </c>
      <c r="J520" s="1" t="s">
        <v>295</v>
      </c>
    </row>
    <row r="521" customFormat="false" ht="13.8" hidden="false" customHeight="false" outlineLevel="0" collapsed="false">
      <c r="A521" s="1" t="str">
        <f aca="false">IF(J521="DIESEL", "D", "G")</f>
        <v>G</v>
      </c>
      <c r="B521" s="1" t="n">
        <v>0.75425</v>
      </c>
      <c r="C521" s="1" t="n">
        <f aca="false">F521*1000</f>
        <v>88141501.42224</v>
      </c>
      <c r="D521" s="37" t="s">
        <v>234</v>
      </c>
      <c r="E521" s="1" t="s">
        <v>282</v>
      </c>
      <c r="F521" s="1" t="n">
        <v>88141.50142224</v>
      </c>
      <c r="G521" s="37" t="n">
        <v>2019</v>
      </c>
      <c r="H521" s="1" t="n">
        <v>4</v>
      </c>
      <c r="I521" s="1" t="s">
        <v>306</v>
      </c>
      <c r="J521" s="1" t="s">
        <v>295</v>
      </c>
    </row>
    <row r="522" customFormat="false" ht="13.8" hidden="false" customHeight="false" outlineLevel="0" collapsed="false">
      <c r="A522" s="1" t="str">
        <f aca="false">IF(J522="DIESEL", "D", "G")</f>
        <v>G</v>
      </c>
      <c r="B522" s="1" t="n">
        <v>0.75425</v>
      </c>
      <c r="C522" s="1" t="n">
        <f aca="false">F522*1000</f>
        <v>90348392.832828</v>
      </c>
      <c r="D522" s="37" t="s">
        <v>234</v>
      </c>
      <c r="E522" s="1" t="s">
        <v>282</v>
      </c>
      <c r="F522" s="1" t="n">
        <v>90348.392832828</v>
      </c>
      <c r="G522" s="37" t="n">
        <v>2019</v>
      </c>
      <c r="H522" s="1" t="n">
        <v>5</v>
      </c>
      <c r="I522" s="1" t="s">
        <v>307</v>
      </c>
      <c r="J522" s="1" t="s">
        <v>295</v>
      </c>
    </row>
    <row r="523" customFormat="false" ht="13.8" hidden="false" customHeight="false" outlineLevel="0" collapsed="false">
      <c r="A523" s="1" t="str">
        <f aca="false">IF(J523="DIESEL", "D", "G")</f>
        <v>G</v>
      </c>
      <c r="B523" s="1" t="n">
        <v>0.75425</v>
      </c>
      <c r="C523" s="1" t="n">
        <f aca="false">F523*1000</f>
        <v>85832135.1234</v>
      </c>
      <c r="D523" s="37" t="s">
        <v>234</v>
      </c>
      <c r="E523" s="1" t="s">
        <v>282</v>
      </c>
      <c r="F523" s="1" t="n">
        <v>85832.1351234</v>
      </c>
      <c r="G523" s="37" t="n">
        <v>2019</v>
      </c>
      <c r="H523" s="1" t="n">
        <v>6</v>
      </c>
      <c r="I523" s="1" t="s">
        <v>308</v>
      </c>
      <c r="J523" s="1" t="s">
        <v>295</v>
      </c>
    </row>
    <row r="524" customFormat="false" ht="13.8" hidden="false" customHeight="false" outlineLevel="0" collapsed="false">
      <c r="A524" s="1" t="str">
        <f aca="false">IF(J524="DIESEL", "D", "G")</f>
        <v>G</v>
      </c>
      <c r="B524" s="1" t="n">
        <v>0.75425</v>
      </c>
      <c r="C524" s="1" t="n">
        <f aca="false">F524*1000</f>
        <v>88550802.880152</v>
      </c>
      <c r="D524" s="37" t="s">
        <v>234</v>
      </c>
      <c r="E524" s="1" t="s">
        <v>282</v>
      </c>
      <c r="F524" s="1" t="n">
        <v>88550.802880152</v>
      </c>
      <c r="G524" s="37" t="n">
        <v>2019</v>
      </c>
      <c r="H524" s="1" t="n">
        <v>7</v>
      </c>
      <c r="I524" s="1" t="s">
        <v>309</v>
      </c>
      <c r="J524" s="1" t="s">
        <v>295</v>
      </c>
    </row>
    <row r="525" customFormat="false" ht="13.8" hidden="false" customHeight="false" outlineLevel="0" collapsed="false">
      <c r="A525" s="1" t="str">
        <f aca="false">IF(J525="DIESEL", "D", "G")</f>
        <v>G</v>
      </c>
      <c r="B525" s="1" t="n">
        <v>0.75425</v>
      </c>
      <c r="C525" s="1" t="n">
        <f aca="false">F525*1000</f>
        <v>88565770.3992</v>
      </c>
      <c r="D525" s="37" t="s">
        <v>234</v>
      </c>
      <c r="E525" s="1" t="s">
        <v>282</v>
      </c>
      <c r="F525" s="1" t="n">
        <v>88565.7703992</v>
      </c>
      <c r="G525" s="37" t="n">
        <v>2019</v>
      </c>
      <c r="H525" s="1" t="n">
        <v>8</v>
      </c>
      <c r="I525" s="1" t="s">
        <v>310</v>
      </c>
      <c r="J525" s="1" t="s">
        <v>295</v>
      </c>
    </row>
    <row r="526" customFormat="false" ht="13.8" hidden="false" customHeight="false" outlineLevel="0" collapsed="false">
      <c r="A526" s="1" t="str">
        <f aca="false">IF(J526="DIESEL", "D", "G")</f>
        <v>G</v>
      </c>
      <c r="B526" s="1" t="n">
        <v>0.75425</v>
      </c>
      <c r="C526" s="1" t="n">
        <f aca="false">F526*1000</f>
        <v>83987863.46994</v>
      </c>
      <c r="D526" s="37" t="s">
        <v>234</v>
      </c>
      <c r="E526" s="1" t="s">
        <v>282</v>
      </c>
      <c r="F526" s="1" t="n">
        <v>83987.86346994</v>
      </c>
      <c r="G526" s="37" t="n">
        <v>2019</v>
      </c>
      <c r="H526" s="1" t="n">
        <v>9</v>
      </c>
      <c r="I526" s="1" t="s">
        <v>311</v>
      </c>
      <c r="J526" s="1" t="s">
        <v>295</v>
      </c>
    </row>
    <row r="527" customFormat="false" ht="13.8" hidden="false" customHeight="false" outlineLevel="0" collapsed="false">
      <c r="A527" s="1" t="str">
        <f aca="false">IF(J527="DIESEL", "D", "G")</f>
        <v>G</v>
      </c>
      <c r="B527" s="1" t="n">
        <v>0.75425</v>
      </c>
      <c r="C527" s="1" t="n">
        <f aca="false">F527*1000</f>
        <v>78629612.78394</v>
      </c>
      <c r="D527" s="37" t="s">
        <v>234</v>
      </c>
      <c r="E527" s="1" t="s">
        <v>282</v>
      </c>
      <c r="F527" s="1" t="n">
        <v>78629.61278394</v>
      </c>
      <c r="G527" s="37" t="n">
        <v>2019</v>
      </c>
      <c r="H527" s="1" t="n">
        <v>10</v>
      </c>
      <c r="I527" s="1" t="s">
        <v>312</v>
      </c>
      <c r="J527" s="1" t="s">
        <v>295</v>
      </c>
    </row>
    <row r="528" customFormat="false" ht="13.8" hidden="false" customHeight="false" outlineLevel="0" collapsed="false">
      <c r="A528" s="1" t="str">
        <f aca="false">IF(J528="DIESEL", "D", "G")</f>
        <v>G</v>
      </c>
      <c r="B528" s="1" t="n">
        <v>0.75425</v>
      </c>
      <c r="C528" s="1" t="n">
        <f aca="false">F528*1000</f>
        <v>85933962.7062</v>
      </c>
      <c r="D528" s="37" t="s">
        <v>234</v>
      </c>
      <c r="E528" s="1" t="s">
        <v>282</v>
      </c>
      <c r="F528" s="1" t="n">
        <v>85933.9627062</v>
      </c>
      <c r="G528" s="37" t="n">
        <v>2019</v>
      </c>
      <c r="H528" s="1" t="n">
        <v>11</v>
      </c>
      <c r="I528" s="1" t="s">
        <v>313</v>
      </c>
      <c r="J528" s="1" t="s">
        <v>295</v>
      </c>
    </row>
    <row r="529" customFormat="false" ht="13.8" hidden="false" customHeight="false" outlineLevel="0" collapsed="false">
      <c r="A529" s="1" t="str">
        <f aca="false">IF(J529="DIESEL", "D", "G")</f>
        <v>G</v>
      </c>
      <c r="B529" s="1" t="n">
        <v>0.75425</v>
      </c>
      <c r="C529" s="1" t="n">
        <f aca="false">F529*1000</f>
        <v>92866585.17006</v>
      </c>
      <c r="D529" s="37" t="s">
        <v>234</v>
      </c>
      <c r="E529" s="1" t="s">
        <v>282</v>
      </c>
      <c r="F529" s="1" t="n">
        <v>92866.58517006</v>
      </c>
      <c r="G529" s="37" t="n">
        <v>2019</v>
      </c>
      <c r="H529" s="1" t="n">
        <v>12</v>
      </c>
      <c r="I529" s="1" t="s">
        <v>314</v>
      </c>
      <c r="J529" s="1" t="s">
        <v>295</v>
      </c>
    </row>
    <row r="530" customFormat="false" ht="13.8" hidden="false" customHeight="false" outlineLevel="0" collapsed="false">
      <c r="A530" s="1" t="str">
        <f aca="false">IF(J530="DIESEL", "D", "G")</f>
        <v>G</v>
      </c>
      <c r="B530" s="1" t="n">
        <v>0.75425</v>
      </c>
      <c r="C530" s="1" t="n">
        <f aca="false">F530*1000</f>
        <v>7347371.12964</v>
      </c>
      <c r="D530" s="37" t="s">
        <v>234</v>
      </c>
      <c r="E530" s="1" t="s">
        <v>284</v>
      </c>
      <c r="F530" s="1" t="n">
        <v>7347.37112964</v>
      </c>
      <c r="G530" s="37" t="n">
        <v>2019</v>
      </c>
      <c r="H530" s="1" t="n">
        <v>1</v>
      </c>
      <c r="I530" s="1" t="s">
        <v>303</v>
      </c>
      <c r="J530" s="1" t="s">
        <v>295</v>
      </c>
    </row>
    <row r="531" customFormat="false" ht="13.8" hidden="false" customHeight="false" outlineLevel="0" collapsed="false">
      <c r="A531" s="1" t="str">
        <f aca="false">IF(J531="DIESEL", "D", "G")</f>
        <v>G</v>
      </c>
      <c r="B531" s="1" t="n">
        <v>0.75425</v>
      </c>
      <c r="C531" s="1" t="n">
        <f aca="false">F531*1000</f>
        <v>6928485.008544</v>
      </c>
      <c r="D531" s="37" t="s">
        <v>234</v>
      </c>
      <c r="E531" s="1" t="s">
        <v>284</v>
      </c>
      <c r="F531" s="1" t="n">
        <v>6928.485008544</v>
      </c>
      <c r="G531" s="37" t="n">
        <v>2019</v>
      </c>
      <c r="H531" s="1" t="n">
        <v>2</v>
      </c>
      <c r="I531" s="1" t="s">
        <v>304</v>
      </c>
      <c r="J531" s="1" t="s">
        <v>295</v>
      </c>
    </row>
    <row r="532" customFormat="false" ht="13.8" hidden="false" customHeight="false" outlineLevel="0" collapsed="false">
      <c r="A532" s="1" t="str">
        <f aca="false">IF(J532="DIESEL", "D", "G")</f>
        <v>G</v>
      </c>
      <c r="B532" s="1" t="n">
        <v>0.75425</v>
      </c>
      <c r="C532" s="1" t="n">
        <f aca="false">F532*1000</f>
        <v>7951568.309784</v>
      </c>
      <c r="D532" s="37" t="s">
        <v>234</v>
      </c>
      <c r="E532" s="1" t="s">
        <v>284</v>
      </c>
      <c r="F532" s="1" t="n">
        <v>7951.568309784</v>
      </c>
      <c r="G532" s="37" t="n">
        <v>2019</v>
      </c>
      <c r="H532" s="1" t="n">
        <v>3</v>
      </c>
      <c r="I532" s="1" t="s">
        <v>305</v>
      </c>
      <c r="J532" s="1" t="s">
        <v>295</v>
      </c>
    </row>
    <row r="533" customFormat="false" ht="13.8" hidden="false" customHeight="false" outlineLevel="0" collapsed="false">
      <c r="A533" s="1" t="str">
        <f aca="false">IF(J533="DIESEL", "D", "G")</f>
        <v>G</v>
      </c>
      <c r="B533" s="1" t="n">
        <v>0.75425</v>
      </c>
      <c r="C533" s="1" t="n">
        <f aca="false">F533*1000</f>
        <v>7480958.31912</v>
      </c>
      <c r="D533" s="37" t="s">
        <v>234</v>
      </c>
      <c r="E533" s="1" t="s">
        <v>284</v>
      </c>
      <c r="F533" s="1" t="n">
        <v>7480.95831912</v>
      </c>
      <c r="G533" s="37" t="n">
        <v>2019</v>
      </c>
      <c r="H533" s="1" t="n">
        <v>4</v>
      </c>
      <c r="I533" s="1" t="s">
        <v>306</v>
      </c>
      <c r="J533" s="1" t="s">
        <v>295</v>
      </c>
    </row>
    <row r="534" customFormat="false" ht="13.8" hidden="false" customHeight="false" outlineLevel="0" collapsed="false">
      <c r="A534" s="1" t="str">
        <f aca="false">IF(J534="DIESEL", "D", "G")</f>
        <v>G</v>
      </c>
      <c r="B534" s="1" t="n">
        <v>0.75425</v>
      </c>
      <c r="C534" s="1" t="n">
        <f aca="false">F534*1000</f>
        <v>7563431.090364</v>
      </c>
      <c r="D534" s="37" t="s">
        <v>234</v>
      </c>
      <c r="E534" s="1" t="s">
        <v>284</v>
      </c>
      <c r="F534" s="1" t="n">
        <v>7563.431090364</v>
      </c>
      <c r="G534" s="37" t="n">
        <v>2019</v>
      </c>
      <c r="H534" s="1" t="n">
        <v>5</v>
      </c>
      <c r="I534" s="1" t="s">
        <v>307</v>
      </c>
      <c r="J534" s="1" t="s">
        <v>295</v>
      </c>
    </row>
    <row r="535" customFormat="false" ht="13.8" hidden="false" customHeight="false" outlineLevel="0" collapsed="false">
      <c r="A535" s="1" t="str">
        <f aca="false">IF(J535="DIESEL", "D", "G")</f>
        <v>G</v>
      </c>
      <c r="B535" s="1" t="n">
        <v>0.75425</v>
      </c>
      <c r="C535" s="1" t="n">
        <f aca="false">F535*1000</f>
        <v>6116487.63666</v>
      </c>
      <c r="D535" s="37" t="s">
        <v>234</v>
      </c>
      <c r="E535" s="1" t="s">
        <v>284</v>
      </c>
      <c r="F535" s="1" t="n">
        <v>6116.48763666</v>
      </c>
      <c r="G535" s="37" t="n">
        <v>2019</v>
      </c>
      <c r="H535" s="1" t="n">
        <v>6</v>
      </c>
      <c r="I535" s="1" t="s">
        <v>308</v>
      </c>
      <c r="J535" s="1" t="s">
        <v>295</v>
      </c>
    </row>
    <row r="536" customFormat="false" ht="13.8" hidden="false" customHeight="false" outlineLevel="0" collapsed="false">
      <c r="A536" s="1" t="str">
        <f aca="false">IF(J536="DIESEL", "D", "G")</f>
        <v>G</v>
      </c>
      <c r="B536" s="1" t="n">
        <v>0.75425</v>
      </c>
      <c r="C536" s="1" t="n">
        <f aca="false">F536*1000</f>
        <v>7179938.571468</v>
      </c>
      <c r="D536" s="37" t="s">
        <v>234</v>
      </c>
      <c r="E536" s="1" t="s">
        <v>284</v>
      </c>
      <c r="F536" s="1" t="n">
        <v>7179.938571468</v>
      </c>
      <c r="G536" s="37" t="n">
        <v>2019</v>
      </c>
      <c r="H536" s="1" t="n">
        <v>7</v>
      </c>
      <c r="I536" s="1" t="s">
        <v>309</v>
      </c>
      <c r="J536" s="1" t="s">
        <v>295</v>
      </c>
    </row>
    <row r="537" customFormat="false" ht="13.8" hidden="false" customHeight="false" outlineLevel="0" collapsed="false">
      <c r="A537" s="1" t="str">
        <f aca="false">IF(J537="DIESEL", "D", "G")</f>
        <v>G</v>
      </c>
      <c r="B537" s="1" t="n">
        <v>0.75425</v>
      </c>
      <c r="C537" s="1" t="n">
        <f aca="false">F537*1000</f>
        <v>7429703.84064</v>
      </c>
      <c r="D537" s="37" t="s">
        <v>234</v>
      </c>
      <c r="E537" s="1" t="s">
        <v>284</v>
      </c>
      <c r="F537" s="1" t="n">
        <v>7429.70384064</v>
      </c>
      <c r="G537" s="37" t="n">
        <v>2019</v>
      </c>
      <c r="H537" s="1" t="n">
        <v>8</v>
      </c>
      <c r="I537" s="1" t="s">
        <v>310</v>
      </c>
      <c r="J537" s="1" t="s">
        <v>295</v>
      </c>
    </row>
    <row r="538" customFormat="false" ht="13.8" hidden="false" customHeight="false" outlineLevel="0" collapsed="false">
      <c r="A538" s="1" t="str">
        <f aca="false">IF(J538="DIESEL", "D", "G")</f>
        <v>G</v>
      </c>
      <c r="B538" s="1" t="n">
        <v>0.75425</v>
      </c>
      <c r="C538" s="1" t="n">
        <f aca="false">F538*1000</f>
        <v>6612240.333828</v>
      </c>
      <c r="D538" s="37" t="s">
        <v>234</v>
      </c>
      <c r="E538" s="1" t="s">
        <v>284</v>
      </c>
      <c r="F538" s="1" t="n">
        <v>6612.240333828</v>
      </c>
      <c r="G538" s="37" t="n">
        <v>2019</v>
      </c>
      <c r="H538" s="1" t="n">
        <v>9</v>
      </c>
      <c r="I538" s="1" t="s">
        <v>311</v>
      </c>
      <c r="J538" s="1" t="s">
        <v>295</v>
      </c>
    </row>
    <row r="539" customFormat="false" ht="13.8" hidden="false" customHeight="false" outlineLevel="0" collapsed="false">
      <c r="A539" s="1" t="str">
        <f aca="false">IF(J539="DIESEL", "D", "G")</f>
        <v>G</v>
      </c>
      <c r="B539" s="1" t="n">
        <v>0.75425</v>
      </c>
      <c r="C539" s="1" t="n">
        <f aca="false">F539*1000</f>
        <v>6529695.639756</v>
      </c>
      <c r="D539" s="37" t="s">
        <v>234</v>
      </c>
      <c r="E539" s="1" t="s">
        <v>284</v>
      </c>
      <c r="F539" s="1" t="n">
        <v>6529.695639756</v>
      </c>
      <c r="G539" s="37" t="n">
        <v>2019</v>
      </c>
      <c r="H539" s="1" t="n">
        <v>10</v>
      </c>
      <c r="I539" s="1" t="s">
        <v>312</v>
      </c>
      <c r="J539" s="1" t="s">
        <v>295</v>
      </c>
    </row>
    <row r="540" customFormat="false" ht="13.8" hidden="false" customHeight="false" outlineLevel="0" collapsed="false">
      <c r="A540" s="1" t="str">
        <f aca="false">IF(J540="DIESEL", "D", "G")</f>
        <v>G</v>
      </c>
      <c r="B540" s="1" t="n">
        <v>0.75425</v>
      </c>
      <c r="C540" s="1" t="n">
        <f aca="false">F540*1000</f>
        <v>6482086.513032</v>
      </c>
      <c r="D540" s="37" t="s">
        <v>234</v>
      </c>
      <c r="E540" s="1" t="s">
        <v>284</v>
      </c>
      <c r="F540" s="1" t="n">
        <v>6482.086513032</v>
      </c>
      <c r="G540" s="37" t="n">
        <v>2019</v>
      </c>
      <c r="H540" s="1" t="n">
        <v>11</v>
      </c>
      <c r="I540" s="1" t="s">
        <v>313</v>
      </c>
      <c r="J540" s="1" t="s">
        <v>295</v>
      </c>
    </row>
    <row r="541" customFormat="false" ht="13.8" hidden="false" customHeight="false" outlineLevel="0" collapsed="false">
      <c r="A541" s="1" t="str">
        <f aca="false">IF(J541="DIESEL", "D", "G")</f>
        <v>G</v>
      </c>
      <c r="B541" s="1" t="n">
        <v>0.75425</v>
      </c>
      <c r="C541" s="1" t="n">
        <f aca="false">F541*1000</f>
        <v>8110824.378036</v>
      </c>
      <c r="D541" s="37" t="s">
        <v>234</v>
      </c>
      <c r="E541" s="1" t="s">
        <v>284</v>
      </c>
      <c r="F541" s="1" t="n">
        <v>8110.824378036</v>
      </c>
      <c r="G541" s="37" t="n">
        <v>2019</v>
      </c>
      <c r="H541" s="1" t="n">
        <v>12</v>
      </c>
      <c r="I541" s="1" t="s">
        <v>314</v>
      </c>
      <c r="J541" s="1" t="s">
        <v>295</v>
      </c>
    </row>
    <row r="542" customFormat="false" ht="13.8" hidden="false" customHeight="false" outlineLevel="0" collapsed="false">
      <c r="A542" s="1" t="str">
        <f aca="false">IF(J542="DIESEL", "D", "G")</f>
        <v>G</v>
      </c>
      <c r="B542" s="1" t="n">
        <v>0.75425</v>
      </c>
      <c r="C542" s="1" t="n">
        <f aca="false">F542*1000</f>
        <v>11048550.141816</v>
      </c>
      <c r="D542" s="37" t="s">
        <v>234</v>
      </c>
      <c r="E542" s="1" t="s">
        <v>286</v>
      </c>
      <c r="F542" s="1" t="n">
        <v>11048.550141816</v>
      </c>
      <c r="G542" s="37" t="n">
        <v>2019</v>
      </c>
      <c r="H542" s="1" t="n">
        <v>1</v>
      </c>
      <c r="I542" s="1" t="s">
        <v>303</v>
      </c>
      <c r="J542" s="1" t="s">
        <v>295</v>
      </c>
    </row>
    <row r="543" customFormat="false" ht="13.8" hidden="false" customHeight="false" outlineLevel="0" collapsed="false">
      <c r="A543" s="1" t="str">
        <f aca="false">IF(J543="DIESEL", "D", "G")</f>
        <v>G</v>
      </c>
      <c r="B543" s="1" t="n">
        <v>0.75425</v>
      </c>
      <c r="C543" s="1" t="n">
        <f aca="false">F543*1000</f>
        <v>10195980.724116</v>
      </c>
      <c r="D543" s="37" t="s">
        <v>234</v>
      </c>
      <c r="E543" s="1" t="s">
        <v>286</v>
      </c>
      <c r="F543" s="1" t="n">
        <v>10195.980724116</v>
      </c>
      <c r="G543" s="37" t="n">
        <v>2019</v>
      </c>
      <c r="H543" s="1" t="n">
        <v>2</v>
      </c>
      <c r="I543" s="1" t="s">
        <v>304</v>
      </c>
      <c r="J543" s="1" t="s">
        <v>295</v>
      </c>
    </row>
    <row r="544" customFormat="false" ht="13.8" hidden="false" customHeight="false" outlineLevel="0" collapsed="false">
      <c r="A544" s="1" t="str">
        <f aca="false">IF(J544="DIESEL", "D", "G")</f>
        <v>G</v>
      </c>
      <c r="B544" s="1" t="n">
        <v>0.75425</v>
      </c>
      <c r="C544" s="1" t="n">
        <f aca="false">F544*1000</f>
        <v>11281686.096072</v>
      </c>
      <c r="D544" s="37" t="s">
        <v>234</v>
      </c>
      <c r="E544" s="1" t="s">
        <v>286</v>
      </c>
      <c r="F544" s="1" t="n">
        <v>11281.686096072</v>
      </c>
      <c r="G544" s="37" t="n">
        <v>2019</v>
      </c>
      <c r="H544" s="1" t="n">
        <v>3</v>
      </c>
      <c r="I544" s="1" t="s">
        <v>305</v>
      </c>
      <c r="J544" s="1" t="s">
        <v>295</v>
      </c>
    </row>
    <row r="545" customFormat="false" ht="13.8" hidden="false" customHeight="false" outlineLevel="0" collapsed="false">
      <c r="A545" s="1" t="str">
        <f aca="false">IF(J545="DIESEL", "D", "G")</f>
        <v>G</v>
      </c>
      <c r="B545" s="1" t="n">
        <v>0.75425</v>
      </c>
      <c r="C545" s="1" t="n">
        <f aca="false">F545*1000</f>
        <v>11117130.45102</v>
      </c>
      <c r="D545" s="37" t="s">
        <v>234</v>
      </c>
      <c r="E545" s="1" t="s">
        <v>286</v>
      </c>
      <c r="F545" s="1" t="n">
        <v>11117.13045102</v>
      </c>
      <c r="G545" s="37" t="n">
        <v>2019</v>
      </c>
      <c r="H545" s="1" t="n">
        <v>4</v>
      </c>
      <c r="I545" s="1" t="s">
        <v>306</v>
      </c>
      <c r="J545" s="1" t="s">
        <v>295</v>
      </c>
    </row>
    <row r="546" customFormat="false" ht="13.8" hidden="false" customHeight="false" outlineLevel="0" collapsed="false">
      <c r="A546" s="1" t="str">
        <f aca="false">IF(J546="DIESEL", "D", "G")</f>
        <v>G</v>
      </c>
      <c r="B546" s="1" t="n">
        <v>0.75425</v>
      </c>
      <c r="C546" s="1" t="n">
        <f aca="false">F546*1000</f>
        <v>11639967.771048</v>
      </c>
      <c r="D546" s="37" t="s">
        <v>234</v>
      </c>
      <c r="E546" s="1" t="s">
        <v>286</v>
      </c>
      <c r="F546" s="1" t="n">
        <v>11639.967771048</v>
      </c>
      <c r="G546" s="37" t="n">
        <v>2019</v>
      </c>
      <c r="H546" s="1" t="n">
        <v>5</v>
      </c>
      <c r="I546" s="1" t="s">
        <v>307</v>
      </c>
      <c r="J546" s="1" t="s">
        <v>295</v>
      </c>
    </row>
    <row r="547" customFormat="false" ht="13.8" hidden="false" customHeight="false" outlineLevel="0" collapsed="false">
      <c r="A547" s="1" t="str">
        <f aca="false">IF(J547="DIESEL", "D", "G")</f>
        <v>G</v>
      </c>
      <c r="B547" s="1" t="n">
        <v>0.75425</v>
      </c>
      <c r="C547" s="1" t="n">
        <f aca="false">F547*1000</f>
        <v>10902020.628708</v>
      </c>
      <c r="D547" s="37" t="s">
        <v>234</v>
      </c>
      <c r="E547" s="1" t="s">
        <v>286</v>
      </c>
      <c r="F547" s="1" t="n">
        <v>10902.020628708</v>
      </c>
      <c r="G547" s="37" t="n">
        <v>2019</v>
      </c>
      <c r="H547" s="1" t="n">
        <v>6</v>
      </c>
      <c r="I547" s="1" t="s">
        <v>308</v>
      </c>
      <c r="J547" s="1" t="s">
        <v>295</v>
      </c>
    </row>
    <row r="548" customFormat="false" ht="13.8" hidden="false" customHeight="false" outlineLevel="0" collapsed="false">
      <c r="A548" s="1" t="str">
        <f aca="false">IF(J548="DIESEL", "D", "G")</f>
        <v>G</v>
      </c>
      <c r="B548" s="1" t="n">
        <v>0.75425</v>
      </c>
      <c r="C548" s="1" t="n">
        <f aca="false">F548*1000</f>
        <v>11920618.216728</v>
      </c>
      <c r="D548" s="37" t="s">
        <v>234</v>
      </c>
      <c r="E548" s="1" t="s">
        <v>286</v>
      </c>
      <c r="F548" s="1" t="n">
        <v>11920.618216728</v>
      </c>
      <c r="G548" s="37" t="n">
        <v>2019</v>
      </c>
      <c r="H548" s="1" t="n">
        <v>7</v>
      </c>
      <c r="I548" s="1" t="s">
        <v>309</v>
      </c>
      <c r="J548" s="1" t="s">
        <v>295</v>
      </c>
    </row>
    <row r="549" customFormat="false" ht="13.8" hidden="false" customHeight="false" outlineLevel="0" collapsed="false">
      <c r="A549" s="1" t="str">
        <f aca="false">IF(J549="DIESEL", "D", "G")</f>
        <v>G</v>
      </c>
      <c r="B549" s="1" t="n">
        <v>0.75425</v>
      </c>
      <c r="C549" s="1" t="n">
        <f aca="false">F549*1000</f>
        <v>12592244.940828</v>
      </c>
      <c r="D549" s="37" t="s">
        <v>234</v>
      </c>
      <c r="E549" s="1" t="s">
        <v>286</v>
      </c>
      <c r="F549" s="1" t="n">
        <v>12592.244940828</v>
      </c>
      <c r="G549" s="37" t="n">
        <v>2019</v>
      </c>
      <c r="H549" s="1" t="n">
        <v>8</v>
      </c>
      <c r="I549" s="1" t="s">
        <v>310</v>
      </c>
      <c r="J549" s="1" t="s">
        <v>295</v>
      </c>
    </row>
    <row r="550" customFormat="false" ht="13.8" hidden="false" customHeight="false" outlineLevel="0" collapsed="false">
      <c r="A550" s="1" t="str">
        <f aca="false">IF(J550="DIESEL", "D", "G")</f>
        <v>G</v>
      </c>
      <c r="B550" s="1" t="n">
        <v>0.75425</v>
      </c>
      <c r="C550" s="1" t="n">
        <f aca="false">F550*1000</f>
        <v>11014822.120896</v>
      </c>
      <c r="D550" s="37" t="s">
        <v>234</v>
      </c>
      <c r="E550" s="1" t="s">
        <v>286</v>
      </c>
      <c r="F550" s="1" t="n">
        <v>11014.822120896</v>
      </c>
      <c r="G550" s="37" t="n">
        <v>2019</v>
      </c>
      <c r="H550" s="1" t="n">
        <v>9</v>
      </c>
      <c r="I550" s="1" t="s">
        <v>311</v>
      </c>
      <c r="J550" s="1" t="s">
        <v>295</v>
      </c>
    </row>
    <row r="551" customFormat="false" ht="13.8" hidden="false" customHeight="false" outlineLevel="0" collapsed="false">
      <c r="A551" s="1" t="str">
        <f aca="false">IF(J551="DIESEL", "D", "G")</f>
        <v>G</v>
      </c>
      <c r="B551" s="1" t="n">
        <v>0.75425</v>
      </c>
      <c r="C551" s="1" t="n">
        <f aca="false">F551*1000</f>
        <v>10739403.1146</v>
      </c>
      <c r="D551" s="37" t="s">
        <v>234</v>
      </c>
      <c r="E551" s="1" t="s">
        <v>286</v>
      </c>
      <c r="F551" s="1" t="n">
        <v>10739.4031146</v>
      </c>
      <c r="G551" s="37" t="n">
        <v>2019</v>
      </c>
      <c r="H551" s="1" t="n">
        <v>10</v>
      </c>
      <c r="I551" s="1" t="s">
        <v>312</v>
      </c>
      <c r="J551" s="1" t="s">
        <v>295</v>
      </c>
    </row>
    <row r="552" customFormat="false" ht="13.8" hidden="false" customHeight="false" outlineLevel="0" collapsed="false">
      <c r="A552" s="1" t="str">
        <f aca="false">IF(J552="DIESEL", "D", "G")</f>
        <v>G</v>
      </c>
      <c r="B552" s="1" t="n">
        <v>0.75425</v>
      </c>
      <c r="C552" s="1" t="n">
        <f aca="false">F552*1000</f>
        <v>11203759.60464</v>
      </c>
      <c r="D552" s="37" t="s">
        <v>234</v>
      </c>
      <c r="E552" s="1" t="s">
        <v>286</v>
      </c>
      <c r="F552" s="1" t="n">
        <v>11203.75960464</v>
      </c>
      <c r="G552" s="37" t="n">
        <v>2019</v>
      </c>
      <c r="H552" s="1" t="n">
        <v>11</v>
      </c>
      <c r="I552" s="1" t="s">
        <v>313</v>
      </c>
      <c r="J552" s="1" t="s">
        <v>295</v>
      </c>
    </row>
    <row r="553" customFormat="false" ht="13.8" hidden="false" customHeight="false" outlineLevel="0" collapsed="false">
      <c r="A553" s="1" t="str">
        <f aca="false">IF(J553="DIESEL", "D", "G")</f>
        <v>G</v>
      </c>
      <c r="B553" s="1" t="n">
        <v>0.75425</v>
      </c>
      <c r="C553" s="1" t="n">
        <f aca="false">F553*1000</f>
        <v>12330214.936776</v>
      </c>
      <c r="D553" s="37" t="s">
        <v>234</v>
      </c>
      <c r="E553" s="1" t="s">
        <v>286</v>
      </c>
      <c r="F553" s="1" t="n">
        <v>12330.214936776</v>
      </c>
      <c r="G553" s="37" t="n">
        <v>2019</v>
      </c>
      <c r="H553" s="1" t="n">
        <v>12</v>
      </c>
      <c r="I553" s="1" t="s">
        <v>314</v>
      </c>
      <c r="J553" s="1" t="s">
        <v>295</v>
      </c>
    </row>
    <row r="554" customFormat="false" ht="13.8" hidden="false" customHeight="false" outlineLevel="0" collapsed="false">
      <c r="A554" s="1" t="str">
        <f aca="false">IF(J554="DIESEL", "D", "G")</f>
        <v>G</v>
      </c>
      <c r="B554" s="1" t="n">
        <v>0.75425</v>
      </c>
      <c r="C554" s="1" t="n">
        <f aca="false">F554*1000</f>
        <v>4508425.692</v>
      </c>
      <c r="D554" s="37" t="s">
        <v>234</v>
      </c>
      <c r="E554" s="1" t="s">
        <v>288</v>
      </c>
      <c r="F554" s="1" t="n">
        <v>4508.425692</v>
      </c>
      <c r="G554" s="37" t="n">
        <v>2019</v>
      </c>
      <c r="H554" s="1" t="n">
        <v>1</v>
      </c>
      <c r="I554" s="1" t="s">
        <v>303</v>
      </c>
      <c r="J554" s="1" t="s">
        <v>295</v>
      </c>
    </row>
    <row r="555" customFormat="false" ht="13.8" hidden="false" customHeight="false" outlineLevel="0" collapsed="false">
      <c r="A555" s="1" t="str">
        <f aca="false">IF(J555="DIESEL", "D", "G")</f>
        <v>G</v>
      </c>
      <c r="B555" s="1" t="n">
        <v>0.75425</v>
      </c>
      <c r="C555" s="1" t="n">
        <f aca="false">F555*1000</f>
        <v>4218705.399168</v>
      </c>
      <c r="D555" s="37" t="s">
        <v>234</v>
      </c>
      <c r="E555" s="1" t="s">
        <v>288</v>
      </c>
      <c r="F555" s="1" t="n">
        <v>4218.705399168</v>
      </c>
      <c r="G555" s="37" t="n">
        <v>2019</v>
      </c>
      <c r="H555" s="1" t="n">
        <v>2</v>
      </c>
      <c r="I555" s="1" t="s">
        <v>304</v>
      </c>
      <c r="J555" s="1" t="s">
        <v>295</v>
      </c>
    </row>
    <row r="556" customFormat="false" ht="13.8" hidden="false" customHeight="false" outlineLevel="0" collapsed="false">
      <c r="A556" s="1" t="str">
        <f aca="false">IF(J556="DIESEL", "D", "G")</f>
        <v>G</v>
      </c>
      <c r="B556" s="1" t="n">
        <v>0.75425</v>
      </c>
      <c r="C556" s="1" t="n">
        <f aca="false">F556*1000</f>
        <v>4635236.994</v>
      </c>
      <c r="D556" s="37" t="s">
        <v>234</v>
      </c>
      <c r="E556" s="1" t="s">
        <v>288</v>
      </c>
      <c r="F556" s="1" t="n">
        <v>4635.236994</v>
      </c>
      <c r="G556" s="37" t="n">
        <v>2019</v>
      </c>
      <c r="H556" s="1" t="n">
        <v>3</v>
      </c>
      <c r="I556" s="1" t="s">
        <v>305</v>
      </c>
      <c r="J556" s="1" t="s">
        <v>295</v>
      </c>
    </row>
    <row r="557" customFormat="false" ht="13.8" hidden="false" customHeight="false" outlineLevel="0" collapsed="false">
      <c r="A557" s="1" t="str">
        <f aca="false">IF(J557="DIESEL", "D", "G")</f>
        <v>G</v>
      </c>
      <c r="B557" s="1" t="n">
        <v>0.75425</v>
      </c>
      <c r="C557" s="1" t="n">
        <f aca="false">F557*1000</f>
        <v>4487605.926</v>
      </c>
      <c r="D557" s="37" t="s">
        <v>234</v>
      </c>
      <c r="E557" s="1" t="s">
        <v>288</v>
      </c>
      <c r="F557" s="1" t="n">
        <v>4487.605926</v>
      </c>
      <c r="G557" s="37" t="n">
        <v>2019</v>
      </c>
      <c r="H557" s="1" t="n">
        <v>4</v>
      </c>
      <c r="I557" s="1" t="s">
        <v>306</v>
      </c>
      <c r="J557" s="1" t="s">
        <v>295</v>
      </c>
    </row>
    <row r="558" customFormat="false" ht="13.8" hidden="false" customHeight="false" outlineLevel="0" collapsed="false">
      <c r="A558" s="1" t="str">
        <f aca="false">IF(J558="DIESEL", "D", "G")</f>
        <v>G</v>
      </c>
      <c r="B558" s="1" t="n">
        <v>0.75425</v>
      </c>
      <c r="C558" s="1" t="n">
        <f aca="false">F558*1000</f>
        <v>4538708.988</v>
      </c>
      <c r="D558" s="37" t="s">
        <v>234</v>
      </c>
      <c r="E558" s="1" t="s">
        <v>288</v>
      </c>
      <c r="F558" s="1" t="n">
        <v>4538.708988</v>
      </c>
      <c r="G558" s="37" t="n">
        <v>2019</v>
      </c>
      <c r="H558" s="1" t="n">
        <v>5</v>
      </c>
      <c r="I558" s="1" t="s">
        <v>307</v>
      </c>
      <c r="J558" s="1" t="s">
        <v>295</v>
      </c>
    </row>
    <row r="559" customFormat="false" ht="13.8" hidden="false" customHeight="false" outlineLevel="0" collapsed="false">
      <c r="A559" s="1" t="str">
        <f aca="false">IF(J559="DIESEL", "D", "G")</f>
        <v>G</v>
      </c>
      <c r="B559" s="1" t="n">
        <v>0.75425</v>
      </c>
      <c r="C559" s="1" t="n">
        <f aca="false">F559*1000</f>
        <v>4224519.792</v>
      </c>
      <c r="D559" s="37" t="s">
        <v>234</v>
      </c>
      <c r="E559" s="1" t="s">
        <v>288</v>
      </c>
      <c r="F559" s="1" t="n">
        <v>4224.519792</v>
      </c>
      <c r="G559" s="37" t="n">
        <v>2019</v>
      </c>
      <c r="H559" s="1" t="n">
        <v>6</v>
      </c>
      <c r="I559" s="1" t="s">
        <v>308</v>
      </c>
      <c r="J559" s="1" t="s">
        <v>295</v>
      </c>
    </row>
    <row r="560" customFormat="false" ht="13.8" hidden="false" customHeight="false" outlineLevel="0" collapsed="false">
      <c r="A560" s="1" t="str">
        <f aca="false">IF(J560="DIESEL", "D", "G")</f>
        <v>G</v>
      </c>
      <c r="B560" s="1" t="n">
        <v>0.75425</v>
      </c>
      <c r="C560" s="1" t="n">
        <f aca="false">F560*1000</f>
        <v>4444073.688</v>
      </c>
      <c r="D560" s="37" t="s">
        <v>234</v>
      </c>
      <c r="E560" s="1" t="s">
        <v>288</v>
      </c>
      <c r="F560" s="1" t="n">
        <v>4444.073688</v>
      </c>
      <c r="G560" s="37" t="n">
        <v>2019</v>
      </c>
      <c r="H560" s="1" t="n">
        <v>7</v>
      </c>
      <c r="I560" s="1" t="s">
        <v>309</v>
      </c>
      <c r="J560" s="1" t="s">
        <v>295</v>
      </c>
    </row>
    <row r="561" customFormat="false" ht="13.8" hidden="false" customHeight="false" outlineLevel="0" collapsed="false">
      <c r="A561" s="1" t="str">
        <f aca="false">IF(J561="DIESEL", "D", "G")</f>
        <v>G</v>
      </c>
      <c r="B561" s="1" t="n">
        <v>0.75425</v>
      </c>
      <c r="C561" s="1" t="n">
        <f aca="false">F561*1000</f>
        <v>4514103.81</v>
      </c>
      <c r="D561" s="37" t="s">
        <v>234</v>
      </c>
      <c r="E561" s="1" t="s">
        <v>288</v>
      </c>
      <c r="F561" s="1" t="n">
        <v>4514.10381</v>
      </c>
      <c r="G561" s="37" t="n">
        <v>2019</v>
      </c>
      <c r="H561" s="1" t="n">
        <v>8</v>
      </c>
      <c r="I561" s="1" t="s">
        <v>310</v>
      </c>
      <c r="J561" s="1" t="s">
        <v>295</v>
      </c>
    </row>
    <row r="562" customFormat="false" ht="13.8" hidden="false" customHeight="false" outlineLevel="0" collapsed="false">
      <c r="A562" s="1" t="str">
        <f aca="false">IF(J562="DIESEL", "D", "G")</f>
        <v>G</v>
      </c>
      <c r="B562" s="1" t="n">
        <v>0.75425</v>
      </c>
      <c r="C562" s="1" t="n">
        <f aca="false">F562*1000</f>
        <v>4546279.812</v>
      </c>
      <c r="D562" s="37" t="s">
        <v>234</v>
      </c>
      <c r="E562" s="1" t="s">
        <v>288</v>
      </c>
      <c r="F562" s="1" t="n">
        <v>4546.279812</v>
      </c>
      <c r="G562" s="37" t="n">
        <v>2019</v>
      </c>
      <c r="H562" s="1" t="n">
        <v>9</v>
      </c>
      <c r="I562" s="1" t="s">
        <v>311</v>
      </c>
      <c r="J562" s="1" t="s">
        <v>295</v>
      </c>
    </row>
    <row r="563" customFormat="false" ht="13.8" hidden="false" customHeight="false" outlineLevel="0" collapsed="false">
      <c r="A563" s="1" t="str">
        <f aca="false">IF(J563="DIESEL", "D", "G")</f>
        <v>G</v>
      </c>
      <c r="B563" s="1" t="n">
        <v>0.75425</v>
      </c>
      <c r="C563" s="1" t="n">
        <f aca="false">F563*1000</f>
        <v>4059854.37</v>
      </c>
      <c r="D563" s="37" t="s">
        <v>234</v>
      </c>
      <c r="E563" s="1" t="s">
        <v>288</v>
      </c>
      <c r="F563" s="1" t="n">
        <v>4059.85437</v>
      </c>
      <c r="G563" s="37" t="n">
        <v>2019</v>
      </c>
      <c r="H563" s="1" t="n">
        <v>10</v>
      </c>
      <c r="I563" s="1" t="s">
        <v>312</v>
      </c>
      <c r="J563" s="1" t="s">
        <v>295</v>
      </c>
    </row>
    <row r="564" customFormat="false" ht="13.8" hidden="false" customHeight="false" outlineLevel="0" collapsed="false">
      <c r="A564" s="1" t="str">
        <f aca="false">IF(J564="DIESEL", "D", "G")</f>
        <v>G</v>
      </c>
      <c r="B564" s="1" t="n">
        <v>0.75425</v>
      </c>
      <c r="C564" s="1" t="n">
        <f aca="false">F564*1000</f>
        <v>4463000.748</v>
      </c>
      <c r="D564" s="37" t="s">
        <v>234</v>
      </c>
      <c r="E564" s="1" t="s">
        <v>288</v>
      </c>
      <c r="F564" s="1" t="n">
        <v>4463.000748</v>
      </c>
      <c r="G564" s="37" t="n">
        <v>2019</v>
      </c>
      <c r="H564" s="1" t="n">
        <v>11</v>
      </c>
      <c r="I564" s="1" t="s">
        <v>313</v>
      </c>
      <c r="J564" s="1" t="s">
        <v>295</v>
      </c>
    </row>
    <row r="565" customFormat="false" ht="13.8" hidden="false" customHeight="false" outlineLevel="0" collapsed="false">
      <c r="A565" s="1" t="str">
        <f aca="false">IF(J565="DIESEL", "D", "G")</f>
        <v>G</v>
      </c>
      <c r="B565" s="1" t="n">
        <v>0.75425</v>
      </c>
      <c r="C565" s="1" t="n">
        <f aca="false">F565*1000</f>
        <v>4731765</v>
      </c>
      <c r="D565" s="37" t="s">
        <v>234</v>
      </c>
      <c r="E565" s="1" t="s">
        <v>288</v>
      </c>
      <c r="F565" s="1" t="n">
        <v>4731.765</v>
      </c>
      <c r="G565" s="37" t="n">
        <v>2019</v>
      </c>
      <c r="H565" s="1" t="n">
        <v>12</v>
      </c>
      <c r="I565" s="1" t="s">
        <v>314</v>
      </c>
      <c r="J565" s="1" t="s">
        <v>295</v>
      </c>
    </row>
    <row r="566" customFormat="false" ht="13.8" hidden="false" customHeight="false" outlineLevel="0" collapsed="false">
      <c r="A566" s="1" t="str">
        <f aca="false">IF(J566="DIESEL", "D", "G")</f>
        <v>G</v>
      </c>
      <c r="B566" s="1" t="n">
        <v>0.75425</v>
      </c>
      <c r="C566" s="1" t="n">
        <f aca="false">F566*1000</f>
        <v>16578211.854</v>
      </c>
      <c r="D566" s="37" t="s">
        <v>234</v>
      </c>
      <c r="E566" s="1" t="s">
        <v>290</v>
      </c>
      <c r="F566" s="1" t="n">
        <v>16578.211854</v>
      </c>
      <c r="G566" s="37" t="n">
        <v>2019</v>
      </c>
      <c r="H566" s="1" t="n">
        <v>1</v>
      </c>
      <c r="I566" s="1" t="s">
        <v>303</v>
      </c>
      <c r="J566" s="1" t="s">
        <v>295</v>
      </c>
    </row>
    <row r="567" customFormat="false" ht="13.8" hidden="false" customHeight="false" outlineLevel="0" collapsed="false">
      <c r="A567" s="1" t="str">
        <f aca="false">IF(J567="DIESEL", "D", "G")</f>
        <v>G</v>
      </c>
      <c r="B567" s="1" t="n">
        <v>0.75425</v>
      </c>
      <c r="C567" s="1" t="n">
        <f aca="false">F567*1000</f>
        <v>15904408.518</v>
      </c>
      <c r="D567" s="37" t="s">
        <v>234</v>
      </c>
      <c r="E567" s="1" t="s">
        <v>290</v>
      </c>
      <c r="F567" s="1" t="n">
        <v>15904.408518</v>
      </c>
      <c r="G567" s="37" t="n">
        <v>2019</v>
      </c>
      <c r="H567" s="1" t="n">
        <v>2</v>
      </c>
      <c r="I567" s="1" t="s">
        <v>304</v>
      </c>
      <c r="J567" s="1" t="s">
        <v>295</v>
      </c>
    </row>
    <row r="568" customFormat="false" ht="13.8" hidden="false" customHeight="false" outlineLevel="0" collapsed="false">
      <c r="A568" s="1" t="str">
        <f aca="false">IF(J568="DIESEL", "D", "G")</f>
        <v>G</v>
      </c>
      <c r="B568" s="1" t="n">
        <v>0.75425</v>
      </c>
      <c r="C568" s="1" t="n">
        <f aca="false">F568*1000</f>
        <v>17751689.574</v>
      </c>
      <c r="D568" s="37" t="s">
        <v>234</v>
      </c>
      <c r="E568" s="1" t="s">
        <v>290</v>
      </c>
      <c r="F568" s="1" t="n">
        <v>17751.689574</v>
      </c>
      <c r="G568" s="37" t="n">
        <v>2019</v>
      </c>
      <c r="H568" s="1" t="n">
        <v>3</v>
      </c>
      <c r="I568" s="1" t="s">
        <v>305</v>
      </c>
      <c r="J568" s="1" t="s">
        <v>295</v>
      </c>
    </row>
    <row r="569" customFormat="false" ht="13.8" hidden="false" customHeight="false" outlineLevel="0" collapsed="false">
      <c r="A569" s="1" t="str">
        <f aca="false">IF(J569="DIESEL", "D", "G")</f>
        <v>G</v>
      </c>
      <c r="B569" s="1" t="n">
        <v>0.75425</v>
      </c>
      <c r="C569" s="1" t="n">
        <f aca="false">F569*1000</f>
        <v>17210375.658</v>
      </c>
      <c r="D569" s="37" t="s">
        <v>234</v>
      </c>
      <c r="E569" s="1" t="s">
        <v>290</v>
      </c>
      <c r="F569" s="1" t="n">
        <v>17210.375658</v>
      </c>
      <c r="G569" s="37" t="n">
        <v>2019</v>
      </c>
      <c r="H569" s="1" t="n">
        <v>4</v>
      </c>
      <c r="I569" s="1" t="s">
        <v>306</v>
      </c>
      <c r="J569" s="1" t="s">
        <v>295</v>
      </c>
    </row>
    <row r="570" customFormat="false" ht="13.8" hidden="false" customHeight="false" outlineLevel="0" collapsed="false">
      <c r="A570" s="1" t="str">
        <f aca="false">IF(J570="DIESEL", "D", "G")</f>
        <v>G</v>
      </c>
      <c r="B570" s="1" t="n">
        <v>0.75425</v>
      </c>
      <c r="C570" s="1" t="n">
        <f aca="false">F570*1000</f>
        <v>17927711.232</v>
      </c>
      <c r="D570" s="37" t="s">
        <v>234</v>
      </c>
      <c r="E570" s="1" t="s">
        <v>290</v>
      </c>
      <c r="F570" s="1" t="n">
        <v>17927.711232</v>
      </c>
      <c r="G570" s="37" t="n">
        <v>2019</v>
      </c>
      <c r="H570" s="1" t="n">
        <v>5</v>
      </c>
      <c r="I570" s="1" t="s">
        <v>307</v>
      </c>
      <c r="J570" s="1" t="s">
        <v>295</v>
      </c>
    </row>
    <row r="571" customFormat="false" ht="13.8" hidden="false" customHeight="false" outlineLevel="0" collapsed="false">
      <c r="A571" s="1" t="str">
        <f aca="false">IF(J571="DIESEL", "D", "G")</f>
        <v>G</v>
      </c>
      <c r="B571" s="1" t="n">
        <v>0.75425</v>
      </c>
      <c r="C571" s="1" t="n">
        <f aca="false">F571*1000</f>
        <v>16453293.258</v>
      </c>
      <c r="D571" s="37" t="s">
        <v>234</v>
      </c>
      <c r="E571" s="1" t="s">
        <v>290</v>
      </c>
      <c r="F571" s="1" t="n">
        <v>16453.293258</v>
      </c>
      <c r="G571" s="37" t="n">
        <v>2019</v>
      </c>
      <c r="H571" s="1" t="n">
        <v>6</v>
      </c>
      <c r="I571" s="1" t="s">
        <v>308</v>
      </c>
      <c r="J571" s="1" t="s">
        <v>295</v>
      </c>
    </row>
    <row r="572" customFormat="false" ht="13.8" hidden="false" customHeight="false" outlineLevel="0" collapsed="false">
      <c r="A572" s="1" t="str">
        <f aca="false">IF(J572="DIESEL", "D", "G")</f>
        <v>G</v>
      </c>
      <c r="B572" s="1" t="n">
        <v>0.75425</v>
      </c>
      <c r="C572" s="1" t="n">
        <f aca="false">F572*1000</f>
        <v>17598380.388</v>
      </c>
      <c r="D572" s="37" t="s">
        <v>234</v>
      </c>
      <c r="E572" s="1" t="s">
        <v>290</v>
      </c>
      <c r="F572" s="1" t="n">
        <v>17598.380388</v>
      </c>
      <c r="G572" s="37" t="n">
        <v>2019</v>
      </c>
      <c r="H572" s="1" t="n">
        <v>7</v>
      </c>
      <c r="I572" s="1" t="s">
        <v>309</v>
      </c>
      <c r="J572" s="1" t="s">
        <v>295</v>
      </c>
    </row>
    <row r="573" customFormat="false" ht="13.8" hidden="false" customHeight="false" outlineLevel="0" collapsed="false">
      <c r="A573" s="1" t="str">
        <f aca="false">IF(J573="DIESEL", "D", "G")</f>
        <v>G</v>
      </c>
      <c r="B573" s="1" t="n">
        <v>0.75425</v>
      </c>
      <c r="C573" s="1" t="n">
        <f aca="false">F573*1000</f>
        <v>17776294.752</v>
      </c>
      <c r="D573" s="37" t="s">
        <v>234</v>
      </c>
      <c r="E573" s="1" t="s">
        <v>290</v>
      </c>
      <c r="F573" s="1" t="n">
        <v>17776.294752</v>
      </c>
      <c r="G573" s="37" t="n">
        <v>2019</v>
      </c>
      <c r="H573" s="1" t="n">
        <v>8</v>
      </c>
      <c r="I573" s="1" t="s">
        <v>310</v>
      </c>
      <c r="J573" s="1" t="s">
        <v>295</v>
      </c>
    </row>
    <row r="574" customFormat="false" ht="13.8" hidden="false" customHeight="false" outlineLevel="0" collapsed="false">
      <c r="A574" s="1" t="str">
        <f aca="false">IF(J574="DIESEL", "D", "G")</f>
        <v>G</v>
      </c>
      <c r="B574" s="1" t="n">
        <v>0.75425</v>
      </c>
      <c r="C574" s="1" t="n">
        <f aca="false">F574*1000</f>
        <v>16538465.028</v>
      </c>
      <c r="D574" s="37" t="s">
        <v>234</v>
      </c>
      <c r="E574" s="1" t="s">
        <v>290</v>
      </c>
      <c r="F574" s="1" t="n">
        <v>16538.465028</v>
      </c>
      <c r="G574" s="37" t="n">
        <v>2019</v>
      </c>
      <c r="H574" s="1" t="n">
        <v>9</v>
      </c>
      <c r="I574" s="1" t="s">
        <v>311</v>
      </c>
      <c r="J574" s="1" t="s">
        <v>295</v>
      </c>
    </row>
    <row r="575" customFormat="false" ht="13.8" hidden="false" customHeight="false" outlineLevel="0" collapsed="false">
      <c r="A575" s="1" t="str">
        <f aca="false">IF(J575="DIESEL", "D", "G")</f>
        <v>G</v>
      </c>
      <c r="B575" s="1" t="n">
        <v>0.75425</v>
      </c>
      <c r="C575" s="1" t="n">
        <f aca="false">F575*1000</f>
        <v>14517055.02</v>
      </c>
      <c r="D575" s="37" t="s">
        <v>234</v>
      </c>
      <c r="E575" s="1" t="s">
        <v>290</v>
      </c>
      <c r="F575" s="1" t="n">
        <v>14517.05502</v>
      </c>
      <c r="G575" s="37" t="n">
        <v>2019</v>
      </c>
      <c r="H575" s="1" t="n">
        <v>10</v>
      </c>
      <c r="I575" s="1" t="s">
        <v>312</v>
      </c>
      <c r="J575" s="1" t="s">
        <v>295</v>
      </c>
    </row>
    <row r="576" customFormat="false" ht="13.8" hidden="false" customHeight="false" outlineLevel="0" collapsed="false">
      <c r="A576" s="1" t="str">
        <f aca="false">IF(J576="DIESEL", "D", "G")</f>
        <v>G</v>
      </c>
      <c r="B576" s="1" t="n">
        <v>0.75425</v>
      </c>
      <c r="C576" s="1" t="n">
        <f aca="false">F576*1000</f>
        <v>17026783.176</v>
      </c>
      <c r="D576" s="37" t="s">
        <v>234</v>
      </c>
      <c r="E576" s="1" t="s">
        <v>290</v>
      </c>
      <c r="F576" s="1" t="n">
        <v>17026.783176</v>
      </c>
      <c r="G576" s="37" t="n">
        <v>2019</v>
      </c>
      <c r="H576" s="1" t="n">
        <v>11</v>
      </c>
      <c r="I576" s="1" t="s">
        <v>313</v>
      </c>
      <c r="J576" s="1" t="s">
        <v>295</v>
      </c>
    </row>
    <row r="577" customFormat="false" ht="13.8" hidden="false" customHeight="false" outlineLevel="0" collapsed="false">
      <c r="A577" s="1" t="str">
        <f aca="false">IF(J577="DIESEL", "D", "G")</f>
        <v>G</v>
      </c>
      <c r="B577" s="1" t="n">
        <v>0.75425</v>
      </c>
      <c r="C577" s="1" t="n">
        <f aca="false">F577*1000</f>
        <v>18296788.902</v>
      </c>
      <c r="D577" s="37" t="s">
        <v>234</v>
      </c>
      <c r="E577" s="1" t="s">
        <v>290</v>
      </c>
      <c r="F577" s="1" t="n">
        <v>18296.788902</v>
      </c>
      <c r="G577" s="37" t="n">
        <v>2019</v>
      </c>
      <c r="H577" s="1" t="n">
        <v>12</v>
      </c>
      <c r="I577" s="1" t="s">
        <v>314</v>
      </c>
      <c r="J577" s="1" t="s">
        <v>295</v>
      </c>
    </row>
    <row r="578" customFormat="false" ht="13.8" hidden="false" customHeight="false" outlineLevel="0" collapsed="false">
      <c r="A578" s="1" t="str">
        <f aca="false">IF(J578="DIESEL", "D", "G")</f>
        <v>G</v>
      </c>
      <c r="B578" s="1" t="n">
        <v>0.75425</v>
      </c>
      <c r="C578" s="1" t="n">
        <f aca="false">F578*1000</f>
        <v>741248.021604</v>
      </c>
      <c r="D578" s="37" t="s">
        <v>234</v>
      </c>
      <c r="E578" s="1" t="s">
        <v>292</v>
      </c>
      <c r="F578" s="1" t="n">
        <v>741.248021604</v>
      </c>
      <c r="G578" s="37" t="n">
        <v>2019</v>
      </c>
      <c r="H578" s="1" t="n">
        <v>1</v>
      </c>
      <c r="I578" s="1" t="s">
        <v>303</v>
      </c>
      <c r="J578" s="1" t="s">
        <v>295</v>
      </c>
    </row>
    <row r="579" customFormat="false" ht="13.8" hidden="false" customHeight="false" outlineLevel="0" collapsed="false">
      <c r="A579" s="1" t="str">
        <f aca="false">IF(J579="DIESEL", "D", "G")</f>
        <v>G</v>
      </c>
      <c r="B579" s="1" t="n">
        <v>0.75425</v>
      </c>
      <c r="C579" s="1" t="n">
        <f aca="false">F579*1000</f>
        <v>720876.826926</v>
      </c>
      <c r="D579" s="37" t="s">
        <v>234</v>
      </c>
      <c r="E579" s="1" t="s">
        <v>292</v>
      </c>
      <c r="F579" s="1" t="n">
        <v>720.876826926</v>
      </c>
      <c r="G579" s="37" t="n">
        <v>2019</v>
      </c>
      <c r="H579" s="1" t="n">
        <v>2</v>
      </c>
      <c r="I579" s="1" t="s">
        <v>304</v>
      </c>
      <c r="J579" s="1" t="s">
        <v>295</v>
      </c>
    </row>
    <row r="580" customFormat="false" ht="13.8" hidden="false" customHeight="false" outlineLevel="0" collapsed="false">
      <c r="A580" s="1" t="str">
        <f aca="false">IF(J580="DIESEL", "D", "G")</f>
        <v>G</v>
      </c>
      <c r="B580" s="1" t="n">
        <v>0.75425</v>
      </c>
      <c r="C580" s="1" t="n">
        <f aca="false">F580*1000</f>
        <v>848755.61511</v>
      </c>
      <c r="D580" s="37" t="s">
        <v>234</v>
      </c>
      <c r="E580" s="1" t="s">
        <v>292</v>
      </c>
      <c r="F580" s="1" t="n">
        <v>848.75561511</v>
      </c>
      <c r="G580" s="37" t="n">
        <v>2019</v>
      </c>
      <c r="H580" s="1" t="n">
        <v>3</v>
      </c>
      <c r="I580" s="1" t="s">
        <v>305</v>
      </c>
      <c r="J580" s="1" t="s">
        <v>295</v>
      </c>
    </row>
    <row r="581" customFormat="false" ht="13.8" hidden="false" customHeight="false" outlineLevel="0" collapsed="false">
      <c r="A581" s="1" t="str">
        <f aca="false">IF(J581="DIESEL", "D", "G")</f>
        <v>G</v>
      </c>
      <c r="B581" s="1" t="n">
        <v>0.75425</v>
      </c>
      <c r="C581" s="1" t="n">
        <f aca="false">F581*1000</f>
        <v>799282.172976</v>
      </c>
      <c r="D581" s="37" t="s">
        <v>234</v>
      </c>
      <c r="E581" s="1" t="s">
        <v>292</v>
      </c>
      <c r="F581" s="1" t="n">
        <v>799.282172976</v>
      </c>
      <c r="G581" s="37" t="n">
        <v>2019</v>
      </c>
      <c r="H581" s="1" t="n">
        <v>4</v>
      </c>
      <c r="I581" s="1" t="s">
        <v>306</v>
      </c>
      <c r="J581" s="1" t="s">
        <v>295</v>
      </c>
    </row>
    <row r="582" customFormat="false" ht="13.8" hidden="false" customHeight="false" outlineLevel="0" collapsed="false">
      <c r="A582" s="1" t="str">
        <f aca="false">IF(J582="DIESEL", "D", "G")</f>
        <v>G</v>
      </c>
      <c r="B582" s="1" t="n">
        <v>0.75425</v>
      </c>
      <c r="C582" s="1" t="n">
        <f aca="false">F582*1000</f>
        <v>846929.15382</v>
      </c>
      <c r="D582" s="37" t="s">
        <v>234</v>
      </c>
      <c r="E582" s="1" t="s">
        <v>292</v>
      </c>
      <c r="F582" s="1" t="n">
        <v>846.92915382</v>
      </c>
      <c r="G582" s="37" t="n">
        <v>2019</v>
      </c>
      <c r="H582" s="1" t="n">
        <v>5</v>
      </c>
      <c r="I582" s="1" t="s">
        <v>307</v>
      </c>
      <c r="J582" s="1" t="s">
        <v>295</v>
      </c>
    </row>
    <row r="583" customFormat="false" ht="13.8" hidden="false" customHeight="false" outlineLevel="0" collapsed="false">
      <c r="A583" s="1" t="str">
        <f aca="false">IF(J583="DIESEL", "D", "G")</f>
        <v>G</v>
      </c>
      <c r="B583" s="1" t="n">
        <v>0.75425</v>
      </c>
      <c r="C583" s="1" t="n">
        <f aca="false">F583*1000</f>
        <v>802954.022616</v>
      </c>
      <c r="D583" s="37" t="s">
        <v>234</v>
      </c>
      <c r="E583" s="1" t="s">
        <v>292</v>
      </c>
      <c r="F583" s="1" t="n">
        <v>802.954022616</v>
      </c>
      <c r="G583" s="37" t="n">
        <v>2019</v>
      </c>
      <c r="H583" s="1" t="n">
        <v>6</v>
      </c>
      <c r="I583" s="1" t="s">
        <v>308</v>
      </c>
      <c r="J583" s="1" t="s">
        <v>295</v>
      </c>
    </row>
    <row r="584" customFormat="false" ht="13.8" hidden="false" customHeight="false" outlineLevel="0" collapsed="false">
      <c r="A584" s="1" t="str">
        <f aca="false">IF(J584="DIESEL", "D", "G")</f>
        <v>G</v>
      </c>
      <c r="B584" s="1" t="n">
        <v>0.75425</v>
      </c>
      <c r="C584" s="1" t="n">
        <f aca="false">F584*1000</f>
        <v>836555.232234</v>
      </c>
      <c r="D584" s="37" t="s">
        <v>234</v>
      </c>
      <c r="E584" s="1" t="s">
        <v>292</v>
      </c>
      <c r="F584" s="1" t="n">
        <v>836.555232234</v>
      </c>
      <c r="G584" s="37" t="n">
        <v>2019</v>
      </c>
      <c r="H584" s="1" t="n">
        <v>7</v>
      </c>
      <c r="I584" s="1" t="s">
        <v>309</v>
      </c>
      <c r="J584" s="1" t="s">
        <v>295</v>
      </c>
    </row>
    <row r="585" customFormat="false" ht="13.8" hidden="false" customHeight="false" outlineLevel="0" collapsed="false">
      <c r="A585" s="1" t="str">
        <f aca="false">IF(J585="DIESEL", "D", "G")</f>
        <v>G</v>
      </c>
      <c r="B585" s="1" t="n">
        <v>0.75425</v>
      </c>
      <c r="C585" s="1" t="n">
        <f aca="false">F585*1000</f>
        <v>848693.155812</v>
      </c>
      <c r="D585" s="37" t="s">
        <v>234</v>
      </c>
      <c r="E585" s="1" t="s">
        <v>292</v>
      </c>
      <c r="F585" s="1" t="n">
        <v>848.693155812</v>
      </c>
      <c r="G585" s="37" t="n">
        <v>2019</v>
      </c>
      <c r="H585" s="1" t="n">
        <v>8</v>
      </c>
      <c r="I585" s="1" t="s">
        <v>310</v>
      </c>
      <c r="J585" s="1" t="s">
        <v>295</v>
      </c>
    </row>
    <row r="586" customFormat="false" ht="13.8" hidden="false" customHeight="false" outlineLevel="0" collapsed="false">
      <c r="A586" s="1" t="str">
        <f aca="false">IF(J586="DIESEL", "D", "G")</f>
        <v>G</v>
      </c>
      <c r="B586" s="1" t="n">
        <v>0.75425</v>
      </c>
      <c r="C586" s="1" t="n">
        <f aca="false">F586*1000</f>
        <v>832728.180702</v>
      </c>
      <c r="D586" s="37" t="s">
        <v>234</v>
      </c>
      <c r="E586" s="1" t="s">
        <v>292</v>
      </c>
      <c r="F586" s="1" t="n">
        <v>832.728180702</v>
      </c>
      <c r="G586" s="37" t="n">
        <v>2019</v>
      </c>
      <c r="H586" s="1" t="n">
        <v>9</v>
      </c>
      <c r="I586" s="1" t="s">
        <v>311</v>
      </c>
      <c r="J586" s="1" t="s">
        <v>295</v>
      </c>
    </row>
    <row r="587" customFormat="false" ht="13.8" hidden="false" customHeight="false" outlineLevel="0" collapsed="false">
      <c r="A587" s="1" t="str">
        <f aca="false">IF(J587="DIESEL", "D", "G")</f>
        <v>G</v>
      </c>
      <c r="B587" s="1" t="n">
        <v>0.75425</v>
      </c>
      <c r="C587" s="1" t="n">
        <f aca="false">F587*1000</f>
        <v>841491.409482</v>
      </c>
      <c r="D587" s="37" t="s">
        <v>234</v>
      </c>
      <c r="E587" s="1" t="s">
        <v>292</v>
      </c>
      <c r="F587" s="1" t="n">
        <v>841.491409482</v>
      </c>
      <c r="G587" s="37" t="n">
        <v>2019</v>
      </c>
      <c r="H587" s="1" t="n">
        <v>10</v>
      </c>
      <c r="I587" s="1" t="s">
        <v>312</v>
      </c>
      <c r="J587" s="1" t="s">
        <v>295</v>
      </c>
    </row>
    <row r="588" customFormat="false" ht="13.8" hidden="false" customHeight="false" outlineLevel="0" collapsed="false">
      <c r="A588" s="1" t="str">
        <f aca="false">IF(J588="DIESEL", "D", "G")</f>
        <v>G</v>
      </c>
      <c r="B588" s="1" t="n">
        <v>0.75425</v>
      </c>
      <c r="C588" s="1" t="n">
        <f aca="false">F588*1000</f>
        <v>835644.840648</v>
      </c>
      <c r="D588" s="37" t="s">
        <v>234</v>
      </c>
      <c r="E588" s="1" t="s">
        <v>292</v>
      </c>
      <c r="F588" s="1" t="n">
        <v>835.644840648</v>
      </c>
      <c r="G588" s="37" t="n">
        <v>2019</v>
      </c>
      <c r="H588" s="1" t="n">
        <v>11</v>
      </c>
      <c r="I588" s="1" t="s">
        <v>313</v>
      </c>
      <c r="J588" s="1" t="s">
        <v>295</v>
      </c>
    </row>
    <row r="589" customFormat="false" ht="13.8" hidden="false" customHeight="false" outlineLevel="0" collapsed="false">
      <c r="A589" s="1" t="str">
        <f aca="false">IF(J589="DIESEL", "D", "G")</f>
        <v>G</v>
      </c>
      <c r="B589" s="1" t="n">
        <v>0.75425</v>
      </c>
      <c r="C589" s="1" t="n">
        <f aca="false">F589*1000</f>
        <v>864633.525744</v>
      </c>
      <c r="D589" s="37" t="s">
        <v>234</v>
      </c>
      <c r="E589" s="1" t="s">
        <v>292</v>
      </c>
      <c r="F589" s="1" t="n">
        <v>864.633525744</v>
      </c>
      <c r="G589" s="37" t="n">
        <v>2019</v>
      </c>
      <c r="H589" s="1" t="n">
        <v>12</v>
      </c>
      <c r="I589" s="1" t="s">
        <v>314</v>
      </c>
      <c r="J589" s="1" t="s">
        <v>295</v>
      </c>
    </row>
    <row r="590" customFormat="false" ht="13.8" hidden="false" customHeight="false" outlineLevel="0" collapsed="false">
      <c r="A590" s="1" t="str">
        <f aca="false">IF(J590="DIESEL", "D", "G")</f>
        <v>G</v>
      </c>
      <c r="B590" s="1" t="n">
        <v>0.75425</v>
      </c>
      <c r="C590" s="1" t="n">
        <f aca="false">F590*1000</f>
        <v>741248.021604</v>
      </c>
      <c r="D590" s="37" t="s">
        <v>234</v>
      </c>
      <c r="E590" s="1" t="s">
        <v>294</v>
      </c>
      <c r="F590" s="1" t="n">
        <v>741.248021604</v>
      </c>
      <c r="G590" s="37" t="n">
        <v>2019</v>
      </c>
      <c r="H590" s="1" t="n">
        <v>1</v>
      </c>
      <c r="I590" s="1" t="s">
        <v>303</v>
      </c>
      <c r="J590" s="1" t="s">
        <v>295</v>
      </c>
    </row>
    <row r="591" customFormat="false" ht="13.8" hidden="false" customHeight="false" outlineLevel="0" collapsed="false">
      <c r="A591" s="1" t="str">
        <f aca="false">IF(J591="DIESEL", "D", "G")</f>
        <v>G</v>
      </c>
      <c r="B591" s="1" t="n">
        <v>0.75425</v>
      </c>
      <c r="C591" s="1" t="n">
        <f aca="false">F591*1000</f>
        <v>720876.826926</v>
      </c>
      <c r="D591" s="37" t="s">
        <v>234</v>
      </c>
      <c r="E591" s="1" t="s">
        <v>294</v>
      </c>
      <c r="F591" s="1" t="n">
        <v>720.876826926</v>
      </c>
      <c r="G591" s="37" t="n">
        <v>2019</v>
      </c>
      <c r="H591" s="1" t="n">
        <v>2</v>
      </c>
      <c r="I591" s="1" t="s">
        <v>304</v>
      </c>
      <c r="J591" s="1" t="s">
        <v>295</v>
      </c>
    </row>
    <row r="592" customFormat="false" ht="13.8" hidden="false" customHeight="false" outlineLevel="0" collapsed="false">
      <c r="A592" s="1" t="str">
        <f aca="false">IF(J592="DIESEL", "D", "G")</f>
        <v>G</v>
      </c>
      <c r="B592" s="1" t="n">
        <v>0.75425</v>
      </c>
      <c r="C592" s="1" t="n">
        <f aca="false">F592*1000</f>
        <v>848755.61511</v>
      </c>
      <c r="D592" s="37" t="s">
        <v>234</v>
      </c>
      <c r="E592" s="1" t="s">
        <v>294</v>
      </c>
      <c r="F592" s="1" t="n">
        <v>848.75561511</v>
      </c>
      <c r="G592" s="37" t="n">
        <v>2019</v>
      </c>
      <c r="H592" s="1" t="n">
        <v>3</v>
      </c>
      <c r="I592" s="1" t="s">
        <v>305</v>
      </c>
      <c r="J592" s="1" t="s">
        <v>295</v>
      </c>
    </row>
    <row r="593" customFormat="false" ht="13.8" hidden="false" customHeight="false" outlineLevel="0" collapsed="false">
      <c r="A593" s="1" t="str">
        <f aca="false">IF(J593="DIESEL", "D", "G")</f>
        <v>G</v>
      </c>
      <c r="B593" s="1" t="n">
        <v>0.75425</v>
      </c>
      <c r="C593" s="1" t="n">
        <f aca="false">F593*1000</f>
        <v>799282.172976</v>
      </c>
      <c r="D593" s="37" t="s">
        <v>234</v>
      </c>
      <c r="E593" s="1" t="s">
        <v>294</v>
      </c>
      <c r="F593" s="1" t="n">
        <v>799.282172976</v>
      </c>
      <c r="G593" s="37" t="n">
        <v>2019</v>
      </c>
      <c r="H593" s="1" t="n">
        <v>4</v>
      </c>
      <c r="I593" s="1" t="s">
        <v>306</v>
      </c>
      <c r="J593" s="1" t="s">
        <v>295</v>
      </c>
    </row>
    <row r="594" customFormat="false" ht="13.8" hidden="false" customHeight="false" outlineLevel="0" collapsed="false">
      <c r="A594" s="1" t="str">
        <f aca="false">IF(J594="DIESEL", "D", "G")</f>
        <v>G</v>
      </c>
      <c r="B594" s="1" t="n">
        <v>0.75425</v>
      </c>
      <c r="C594" s="1" t="n">
        <f aca="false">F594*1000</f>
        <v>846929.15382</v>
      </c>
      <c r="D594" s="37" t="s">
        <v>234</v>
      </c>
      <c r="E594" s="1" t="s">
        <v>294</v>
      </c>
      <c r="F594" s="1" t="n">
        <v>846.92915382</v>
      </c>
      <c r="G594" s="37" t="n">
        <v>2019</v>
      </c>
      <c r="H594" s="1" t="n">
        <v>5</v>
      </c>
      <c r="I594" s="1" t="s">
        <v>307</v>
      </c>
      <c r="J594" s="1" t="s">
        <v>295</v>
      </c>
    </row>
    <row r="595" customFormat="false" ht="13.8" hidden="false" customHeight="false" outlineLevel="0" collapsed="false">
      <c r="A595" s="1" t="str">
        <f aca="false">IF(J595="DIESEL", "D", "G")</f>
        <v>G</v>
      </c>
      <c r="B595" s="1" t="n">
        <v>0.75425</v>
      </c>
      <c r="C595" s="1" t="n">
        <f aca="false">F595*1000</f>
        <v>802954.022616</v>
      </c>
      <c r="D595" s="37" t="s">
        <v>234</v>
      </c>
      <c r="E595" s="1" t="s">
        <v>294</v>
      </c>
      <c r="F595" s="1" t="n">
        <v>802.954022616</v>
      </c>
      <c r="G595" s="37" t="n">
        <v>2019</v>
      </c>
      <c r="H595" s="1" t="n">
        <v>6</v>
      </c>
      <c r="I595" s="1" t="s">
        <v>308</v>
      </c>
      <c r="J595" s="1" t="s">
        <v>295</v>
      </c>
    </row>
    <row r="596" customFormat="false" ht="13.8" hidden="false" customHeight="false" outlineLevel="0" collapsed="false">
      <c r="A596" s="1" t="str">
        <f aca="false">IF(J596="DIESEL", "D", "G")</f>
        <v>G</v>
      </c>
      <c r="B596" s="1" t="n">
        <v>0.75425</v>
      </c>
      <c r="C596" s="1" t="n">
        <f aca="false">F596*1000</f>
        <v>836555.232234</v>
      </c>
      <c r="D596" s="37" t="s">
        <v>234</v>
      </c>
      <c r="E596" s="1" t="s">
        <v>294</v>
      </c>
      <c r="F596" s="1" t="n">
        <v>836.555232234</v>
      </c>
      <c r="G596" s="37" t="n">
        <v>2019</v>
      </c>
      <c r="H596" s="1" t="n">
        <v>7</v>
      </c>
      <c r="I596" s="1" t="s">
        <v>309</v>
      </c>
      <c r="J596" s="1" t="s">
        <v>295</v>
      </c>
    </row>
    <row r="597" customFormat="false" ht="13.8" hidden="false" customHeight="false" outlineLevel="0" collapsed="false">
      <c r="A597" s="1" t="str">
        <f aca="false">IF(J597="DIESEL", "D", "G")</f>
        <v>G</v>
      </c>
      <c r="B597" s="1" t="n">
        <v>0.75425</v>
      </c>
      <c r="C597" s="1" t="n">
        <f aca="false">F597*1000</f>
        <v>848693.155812</v>
      </c>
      <c r="D597" s="37" t="s">
        <v>234</v>
      </c>
      <c r="E597" s="1" t="s">
        <v>294</v>
      </c>
      <c r="F597" s="1" t="n">
        <v>848.693155812</v>
      </c>
      <c r="G597" s="37" t="n">
        <v>2019</v>
      </c>
      <c r="H597" s="1" t="n">
        <v>8</v>
      </c>
      <c r="I597" s="1" t="s">
        <v>310</v>
      </c>
      <c r="J597" s="1" t="s">
        <v>295</v>
      </c>
    </row>
    <row r="598" customFormat="false" ht="13.8" hidden="false" customHeight="false" outlineLevel="0" collapsed="false">
      <c r="A598" s="1" t="str">
        <f aca="false">IF(J598="DIESEL", "D", "G")</f>
        <v>G</v>
      </c>
      <c r="B598" s="1" t="n">
        <v>0.75425</v>
      </c>
      <c r="C598" s="1" t="n">
        <f aca="false">F598*1000</f>
        <v>832728.180702</v>
      </c>
      <c r="D598" s="37" t="s">
        <v>234</v>
      </c>
      <c r="E598" s="1" t="s">
        <v>294</v>
      </c>
      <c r="F598" s="1" t="n">
        <v>832.728180702</v>
      </c>
      <c r="G598" s="37" t="n">
        <v>2019</v>
      </c>
      <c r="H598" s="1" t="n">
        <v>9</v>
      </c>
      <c r="I598" s="1" t="s">
        <v>311</v>
      </c>
      <c r="J598" s="1" t="s">
        <v>295</v>
      </c>
    </row>
    <row r="599" customFormat="false" ht="13.8" hidden="false" customHeight="false" outlineLevel="0" collapsed="false">
      <c r="A599" s="1" t="str">
        <f aca="false">IF(J599="DIESEL", "D", "G")</f>
        <v>G</v>
      </c>
      <c r="B599" s="1" t="n">
        <v>0.75425</v>
      </c>
      <c r="C599" s="1" t="n">
        <f aca="false">F599*1000</f>
        <v>841491.409482</v>
      </c>
      <c r="D599" s="37" t="s">
        <v>234</v>
      </c>
      <c r="E599" s="1" t="s">
        <v>294</v>
      </c>
      <c r="F599" s="1" t="n">
        <v>841.491409482</v>
      </c>
      <c r="G599" s="37" t="n">
        <v>2019</v>
      </c>
      <c r="H599" s="1" t="n">
        <v>10</v>
      </c>
      <c r="I599" s="1" t="s">
        <v>312</v>
      </c>
      <c r="J599" s="1" t="s">
        <v>295</v>
      </c>
    </row>
    <row r="600" customFormat="false" ht="13.8" hidden="false" customHeight="false" outlineLevel="0" collapsed="false">
      <c r="A600" s="1" t="str">
        <f aca="false">IF(J600="DIESEL", "D", "G")</f>
        <v>G</v>
      </c>
      <c r="B600" s="1" t="n">
        <v>0.75425</v>
      </c>
      <c r="C600" s="1" t="n">
        <f aca="false">F600*1000</f>
        <v>835644.840648</v>
      </c>
      <c r="D600" s="37" t="s">
        <v>234</v>
      </c>
      <c r="E600" s="1" t="s">
        <v>294</v>
      </c>
      <c r="F600" s="1" t="n">
        <v>835.644840648</v>
      </c>
      <c r="G600" s="37" t="n">
        <v>2019</v>
      </c>
      <c r="H600" s="1" t="n">
        <v>11</v>
      </c>
      <c r="I600" s="1" t="s">
        <v>313</v>
      </c>
      <c r="J600" s="1" t="s">
        <v>295</v>
      </c>
    </row>
    <row r="601" customFormat="false" ht="13.8" hidden="false" customHeight="false" outlineLevel="0" collapsed="false">
      <c r="A601" s="1" t="str">
        <f aca="false">IF(J601="DIESEL", "D", "G")</f>
        <v>G</v>
      </c>
      <c r="B601" s="1" t="n">
        <v>0.75425</v>
      </c>
      <c r="C601" s="1" t="n">
        <f aca="false">F601*1000</f>
        <v>864633.525744</v>
      </c>
      <c r="D601" s="37" t="s">
        <v>234</v>
      </c>
      <c r="E601" s="1" t="s">
        <v>294</v>
      </c>
      <c r="F601" s="1" t="n">
        <v>864.633525744</v>
      </c>
      <c r="G601" s="37" t="n">
        <v>2019</v>
      </c>
      <c r="H601" s="1" t="n">
        <v>12</v>
      </c>
      <c r="I601" s="1" t="s">
        <v>314</v>
      </c>
      <c r="J601" s="1" t="s">
        <v>295</v>
      </c>
    </row>
    <row r="602" customFormat="false" ht="13.8" hidden="false" customHeight="false" outlineLevel="0" collapsed="false">
      <c r="A602" s="1" t="str">
        <f aca="false">IF(J602="DIESEL", "D", "G")</f>
        <v>D</v>
      </c>
      <c r="B602" s="1" t="n">
        <v>0.84</v>
      </c>
      <c r="C602" s="1" t="n">
        <f aca="false">F602*1000</f>
        <v>28309188.685</v>
      </c>
      <c r="D602" s="37" t="s">
        <v>234</v>
      </c>
      <c r="E602" s="1" t="s">
        <v>297</v>
      </c>
      <c r="F602" s="1" t="n">
        <f aca="false">0.00378541*K602</f>
        <v>28309.188685</v>
      </c>
      <c r="G602" s="37" t="n">
        <v>2024</v>
      </c>
      <c r="H602" s="1" t="n">
        <v>1</v>
      </c>
      <c r="I602" s="1" t="s">
        <v>303</v>
      </c>
      <c r="J602" s="1" t="s">
        <v>246</v>
      </c>
      <c r="K602" s="1" t="n">
        <v>7478500</v>
      </c>
    </row>
    <row r="603" customFormat="false" ht="13.8" hidden="false" customHeight="false" outlineLevel="0" collapsed="false">
      <c r="A603" s="1" t="str">
        <f aca="false">IF(J603="DIESEL", "D", "G")</f>
        <v>D</v>
      </c>
      <c r="B603" s="1" t="n">
        <v>0.84</v>
      </c>
      <c r="C603" s="1" t="n">
        <f aca="false">F603*1000</f>
        <v>28488995.66</v>
      </c>
      <c r="D603" s="37" t="s">
        <v>234</v>
      </c>
      <c r="E603" s="1" t="s">
        <v>297</v>
      </c>
      <c r="F603" s="1" t="n">
        <f aca="false">0.00378541*K603</f>
        <v>28488.99566</v>
      </c>
      <c r="G603" s="37" t="n">
        <v>2024</v>
      </c>
      <c r="H603" s="1" t="n">
        <v>2</v>
      </c>
      <c r="I603" s="1" t="s">
        <v>304</v>
      </c>
      <c r="J603" s="1" t="s">
        <v>246</v>
      </c>
      <c r="K603" s="1" t="n">
        <v>7526000</v>
      </c>
    </row>
    <row r="604" customFormat="false" ht="13.8" hidden="false" customHeight="false" outlineLevel="0" collapsed="false">
      <c r="A604" s="1" t="str">
        <f aca="false">IF(J604="DIESEL", "D", "G")</f>
        <v>D</v>
      </c>
      <c r="B604" s="1" t="n">
        <v>0.84</v>
      </c>
      <c r="C604" s="1" t="n">
        <f aca="false">F604*1000</f>
        <v>32255478.61</v>
      </c>
      <c r="D604" s="37" t="s">
        <v>234</v>
      </c>
      <c r="E604" s="1" t="s">
        <v>297</v>
      </c>
      <c r="F604" s="1" t="n">
        <f aca="false">0.00378541*K604</f>
        <v>32255.47861</v>
      </c>
      <c r="G604" s="37" t="n">
        <v>2024</v>
      </c>
      <c r="H604" s="1" t="n">
        <v>3</v>
      </c>
      <c r="I604" s="1" t="s">
        <v>305</v>
      </c>
      <c r="J604" s="1" t="s">
        <v>246</v>
      </c>
      <c r="K604" s="1" t="n">
        <v>8521000</v>
      </c>
    </row>
    <row r="605" customFormat="false" ht="13.8" hidden="false" customHeight="false" outlineLevel="0" collapsed="false">
      <c r="A605" s="1" t="str">
        <f aca="false">IF(J605="DIESEL", "D", "G")</f>
        <v>D</v>
      </c>
      <c r="B605" s="1" t="n">
        <v>0.84</v>
      </c>
      <c r="C605" s="1" t="n">
        <f aca="false">F605*1000</f>
        <v>32565882.23</v>
      </c>
      <c r="D605" s="37" t="s">
        <v>234</v>
      </c>
      <c r="E605" s="1" t="s">
        <v>297</v>
      </c>
      <c r="F605" s="1" t="n">
        <f aca="false">0.00378541*K605</f>
        <v>32565.88223</v>
      </c>
      <c r="G605" s="37" t="n">
        <v>2024</v>
      </c>
      <c r="H605" s="1" t="n">
        <v>4</v>
      </c>
      <c r="I605" s="1" t="s">
        <v>306</v>
      </c>
      <c r="J605" s="1" t="s">
        <v>246</v>
      </c>
      <c r="K605" s="1" t="n">
        <v>8603000</v>
      </c>
    </row>
    <row r="606" customFormat="false" ht="13.8" hidden="false" customHeight="false" outlineLevel="0" collapsed="false">
      <c r="A606" s="1" t="str">
        <f aca="false">IF(J606="DIESEL", "D", "G")</f>
        <v>D</v>
      </c>
      <c r="B606" s="1" t="n">
        <v>0.84</v>
      </c>
      <c r="C606" s="1" t="n">
        <f aca="false">F606*1000</f>
        <v>31468113.33</v>
      </c>
      <c r="D606" s="37" t="s">
        <v>234</v>
      </c>
      <c r="E606" s="1" t="s">
        <v>297</v>
      </c>
      <c r="F606" s="1" t="n">
        <f aca="false">0.00378541*K606</f>
        <v>31468.11333</v>
      </c>
      <c r="G606" s="37" t="n">
        <v>2024</v>
      </c>
      <c r="H606" s="1" t="n">
        <v>5</v>
      </c>
      <c r="I606" s="1" t="s">
        <v>307</v>
      </c>
      <c r="J606" s="1" t="s">
        <v>246</v>
      </c>
      <c r="K606" s="1" t="n">
        <v>8313000</v>
      </c>
    </row>
    <row r="607" customFormat="false" ht="13.8" hidden="false" customHeight="false" outlineLevel="0" collapsed="false">
      <c r="A607" s="1" t="str">
        <f aca="false">IF(J607="DIESEL", "D", "G")</f>
        <v>D</v>
      </c>
      <c r="B607" s="1" t="n">
        <v>0.84</v>
      </c>
      <c r="C607" s="1" t="n">
        <f aca="false">F607*1000</f>
        <v>30519868.125</v>
      </c>
      <c r="D607" s="37" t="s">
        <v>234</v>
      </c>
      <c r="E607" s="1" t="s">
        <v>297</v>
      </c>
      <c r="F607" s="1" t="n">
        <f aca="false">0.00378541*K607</f>
        <v>30519.868125</v>
      </c>
      <c r="G607" s="37" t="n">
        <v>2024</v>
      </c>
      <c r="H607" s="1" t="n">
        <v>6</v>
      </c>
      <c r="I607" s="1" t="s">
        <v>308</v>
      </c>
      <c r="J607" s="1" t="s">
        <v>246</v>
      </c>
      <c r="K607" s="1" t="n">
        <v>8062500</v>
      </c>
    </row>
    <row r="608" customFormat="false" ht="13.8" hidden="false" customHeight="false" outlineLevel="0" collapsed="false">
      <c r="A608" s="1" t="str">
        <f aca="false">IF(J608="DIESEL", "D", "G")</f>
        <v>D</v>
      </c>
      <c r="B608" s="1" t="n">
        <v>0.84</v>
      </c>
      <c r="C608" s="1" t="n">
        <f aca="false">F608*1000</f>
        <v>30317348.69</v>
      </c>
      <c r="D608" s="37" t="s">
        <v>234</v>
      </c>
      <c r="E608" s="1" t="s">
        <v>297</v>
      </c>
      <c r="F608" s="1" t="n">
        <f aca="false">0.00378541*K608</f>
        <v>30317.34869</v>
      </c>
      <c r="G608" s="37" t="n">
        <v>2024</v>
      </c>
      <c r="H608" s="1" t="n">
        <v>7</v>
      </c>
      <c r="I608" s="1" t="s">
        <v>309</v>
      </c>
      <c r="J608" s="1" t="s">
        <v>246</v>
      </c>
      <c r="K608" s="1" t="n">
        <v>8009000</v>
      </c>
    </row>
    <row r="609" customFormat="false" ht="13.8" hidden="false" customHeight="false" outlineLevel="0" collapsed="false">
      <c r="A609" s="1" t="str">
        <f aca="false">IF(J609="DIESEL", "D", "G")</f>
        <v>D</v>
      </c>
      <c r="B609" s="1" t="n">
        <v>0.84</v>
      </c>
      <c r="C609" s="1" t="n">
        <f aca="false">F609*1000</f>
        <v>30042906.465</v>
      </c>
      <c r="D609" s="37" t="s">
        <v>234</v>
      </c>
      <c r="E609" s="1" t="s">
        <v>297</v>
      </c>
      <c r="F609" s="1" t="n">
        <f aca="false">0.00378541*K609</f>
        <v>30042.906465</v>
      </c>
      <c r="G609" s="37" t="n">
        <v>2024</v>
      </c>
      <c r="H609" s="1" t="n">
        <v>8</v>
      </c>
      <c r="I609" s="1" t="s">
        <v>310</v>
      </c>
      <c r="J609" s="1" t="s">
        <v>246</v>
      </c>
      <c r="K609" s="1" t="n">
        <v>7936500</v>
      </c>
    </row>
    <row r="610" customFormat="false" ht="13.8" hidden="false" customHeight="false" outlineLevel="0" collapsed="false">
      <c r="A610" s="1" t="str">
        <f aca="false">IF(J610="DIESEL", "D", "G")</f>
        <v>D</v>
      </c>
      <c r="B610" s="1" t="n">
        <v>0.84</v>
      </c>
      <c r="C610" s="1" t="n">
        <f aca="false">F610*1000</f>
        <v>30890838.305</v>
      </c>
      <c r="D610" s="37" t="s">
        <v>234</v>
      </c>
      <c r="E610" s="1" t="s">
        <v>297</v>
      </c>
      <c r="F610" s="1" t="n">
        <f aca="false">0.00378541*K610</f>
        <v>30890.838305</v>
      </c>
      <c r="G610" s="37" t="n">
        <v>2024</v>
      </c>
      <c r="H610" s="1" t="n">
        <v>9</v>
      </c>
      <c r="I610" s="1" t="s">
        <v>311</v>
      </c>
      <c r="J610" s="1" t="s">
        <v>246</v>
      </c>
      <c r="K610" s="1" t="n">
        <v>8160500</v>
      </c>
    </row>
    <row r="611" customFormat="false" ht="13.8" hidden="false" customHeight="false" outlineLevel="0" collapsed="false">
      <c r="A611" s="1" t="str">
        <f aca="false">IF(J611="DIESEL", "D", "G")</f>
        <v>D</v>
      </c>
      <c r="B611" s="1" t="n">
        <v>0.84</v>
      </c>
      <c r="C611" s="1" t="n">
        <f aca="false">F611*1000</f>
        <v>36938030.78</v>
      </c>
      <c r="D611" s="37" t="s">
        <v>234</v>
      </c>
      <c r="E611" s="1" t="s">
        <v>297</v>
      </c>
      <c r="F611" s="1" t="n">
        <f aca="false">0.00378541*K611</f>
        <v>36938.03078</v>
      </c>
      <c r="G611" s="37" t="n">
        <v>2024</v>
      </c>
      <c r="H611" s="1" t="n">
        <v>10</v>
      </c>
      <c r="I611" s="1" t="s">
        <v>312</v>
      </c>
      <c r="J611" s="1" t="s">
        <v>246</v>
      </c>
      <c r="K611" s="1" t="n">
        <v>9758000</v>
      </c>
    </row>
    <row r="612" customFormat="false" ht="13.8" hidden="false" customHeight="false" outlineLevel="0" collapsed="false">
      <c r="A612" s="1" t="str">
        <f aca="false">IF(J612="DIESEL", "D", "G")</f>
        <v>D</v>
      </c>
      <c r="B612" s="1" t="n">
        <v>0.84</v>
      </c>
      <c r="C612" s="1" t="n">
        <f aca="false">F612*1000</f>
        <v>34591076.58</v>
      </c>
      <c r="D612" s="37" t="s">
        <v>234</v>
      </c>
      <c r="E612" s="1" t="s">
        <v>297</v>
      </c>
      <c r="F612" s="1" t="n">
        <f aca="false">0.00378541*K612</f>
        <v>34591.07658</v>
      </c>
      <c r="G612" s="37" t="n">
        <v>2024</v>
      </c>
      <c r="H612" s="1" t="n">
        <v>11</v>
      </c>
      <c r="I612" s="1" t="s">
        <v>313</v>
      </c>
      <c r="J612" s="1" t="s">
        <v>246</v>
      </c>
      <c r="K612" s="1" t="n">
        <v>9138000</v>
      </c>
    </row>
    <row r="613" customFormat="false" ht="13.8" hidden="false" customHeight="false" outlineLevel="0" collapsed="false">
      <c r="A613" s="1" t="str">
        <f aca="false">IF(J613="DIESEL", "D", "G")</f>
        <v>D</v>
      </c>
      <c r="B613" s="1" t="n">
        <v>0.84</v>
      </c>
      <c r="C613" s="1" t="n">
        <f aca="false">F613*1000</f>
        <v>33160191.6</v>
      </c>
      <c r="D613" s="37" t="s">
        <v>234</v>
      </c>
      <c r="E613" s="1" t="s">
        <v>297</v>
      </c>
      <c r="F613" s="1" t="n">
        <f aca="false">0.00378541*K613</f>
        <v>33160.1916</v>
      </c>
      <c r="G613" s="37" t="n">
        <v>2024</v>
      </c>
      <c r="H613" s="1" t="n">
        <v>12</v>
      </c>
      <c r="I613" s="1" t="s">
        <v>314</v>
      </c>
      <c r="J613" s="1" t="s">
        <v>246</v>
      </c>
      <c r="K613" s="1" t="n">
        <v>8760000</v>
      </c>
    </row>
    <row r="614" customFormat="false" ht="13.8" hidden="false" customHeight="false" outlineLevel="0" collapsed="false">
      <c r="A614" s="1" t="str">
        <f aca="false">IF(J614="DIESEL", "D", "G")</f>
        <v>G</v>
      </c>
      <c r="B614" s="1" t="n">
        <v>0.84</v>
      </c>
      <c r="C614" s="1" t="n">
        <f aca="false">F614*1000</f>
        <v>61253611.915</v>
      </c>
      <c r="D614" s="37" t="s">
        <v>234</v>
      </c>
      <c r="E614" s="1" t="s">
        <v>297</v>
      </c>
      <c r="F614" s="1" t="n">
        <f aca="false">0.00378541*K614</f>
        <v>61253.611915</v>
      </c>
      <c r="G614" s="37" t="n">
        <v>2024</v>
      </c>
      <c r="H614" s="1" t="n">
        <v>1</v>
      </c>
      <c r="I614" s="1" t="s">
        <v>303</v>
      </c>
      <c r="J614" s="1" t="s">
        <v>295</v>
      </c>
      <c r="K614" s="1" t="n">
        <v>16181500</v>
      </c>
    </row>
    <row r="615" customFormat="false" ht="13.8" hidden="false" customHeight="false" outlineLevel="0" collapsed="false">
      <c r="A615" s="1" t="str">
        <f aca="false">IF(J615="DIESEL", "D", "G")</f>
        <v>G</v>
      </c>
      <c r="B615" s="1" t="n">
        <v>0.84</v>
      </c>
      <c r="C615" s="1" t="n">
        <f aca="false">F615*1000</f>
        <v>63371548.81</v>
      </c>
      <c r="D615" s="37" t="s">
        <v>234</v>
      </c>
      <c r="E615" s="1" t="s">
        <v>297</v>
      </c>
      <c r="F615" s="1" t="n">
        <f aca="false">0.00378541*K615</f>
        <v>63371.54881</v>
      </c>
      <c r="G615" s="37" t="n">
        <v>2024</v>
      </c>
      <c r="H615" s="1" t="n">
        <v>2</v>
      </c>
      <c r="I615" s="1" t="s">
        <v>304</v>
      </c>
      <c r="J615" s="1" t="s">
        <v>295</v>
      </c>
      <c r="K615" s="1" t="n">
        <v>16741000</v>
      </c>
    </row>
    <row r="616" customFormat="false" ht="13.8" hidden="false" customHeight="false" outlineLevel="0" collapsed="false">
      <c r="A616" s="1" t="str">
        <f aca="false">IF(J616="DIESEL", "D", "G")</f>
        <v>G</v>
      </c>
      <c r="B616" s="1" t="n">
        <v>0.84</v>
      </c>
      <c r="C616" s="1" t="n">
        <f aca="false">F616*1000</f>
        <v>68690049.86</v>
      </c>
      <c r="D616" s="37" t="s">
        <v>234</v>
      </c>
      <c r="E616" s="1" t="s">
        <v>297</v>
      </c>
      <c r="F616" s="1" t="n">
        <f aca="false">0.00378541*K616</f>
        <v>68690.04986</v>
      </c>
      <c r="G616" s="37" t="n">
        <v>2024</v>
      </c>
      <c r="H616" s="1" t="n">
        <v>3</v>
      </c>
      <c r="I616" s="1" t="s">
        <v>305</v>
      </c>
      <c r="J616" s="1" t="s">
        <v>295</v>
      </c>
      <c r="K616" s="1" t="n">
        <v>18146000</v>
      </c>
    </row>
    <row r="617" customFormat="false" ht="13.8" hidden="false" customHeight="false" outlineLevel="0" collapsed="false">
      <c r="A617" s="1" t="str">
        <f aca="false">IF(J617="DIESEL", "D", "G")</f>
        <v>G</v>
      </c>
      <c r="B617" s="1" t="n">
        <v>0.84</v>
      </c>
      <c r="C617" s="1" t="n">
        <f aca="false">F617*1000</f>
        <v>66695138.79</v>
      </c>
      <c r="D617" s="37" t="s">
        <v>234</v>
      </c>
      <c r="E617" s="1" t="s">
        <v>297</v>
      </c>
      <c r="F617" s="1" t="n">
        <f aca="false">0.00378541*K617</f>
        <v>66695.13879</v>
      </c>
      <c r="G617" s="37" t="n">
        <v>2024</v>
      </c>
      <c r="H617" s="1" t="n">
        <v>4</v>
      </c>
      <c r="I617" s="1" t="s">
        <v>306</v>
      </c>
      <c r="J617" s="1" t="s">
        <v>295</v>
      </c>
      <c r="K617" s="1" t="n">
        <v>17619000</v>
      </c>
    </row>
    <row r="618" customFormat="false" ht="13.8" hidden="false" customHeight="false" outlineLevel="0" collapsed="false">
      <c r="A618" s="1" t="str">
        <f aca="false">IF(J618="DIESEL", "D", "G")</f>
        <v>G</v>
      </c>
      <c r="B618" s="1" t="n">
        <v>0.84</v>
      </c>
      <c r="C618" s="1" t="n">
        <f aca="false">F618*1000</f>
        <v>69810531.22</v>
      </c>
      <c r="D618" s="37" t="s">
        <v>234</v>
      </c>
      <c r="E618" s="1" t="s">
        <v>297</v>
      </c>
      <c r="F618" s="1" t="n">
        <f aca="false">0.00378541*K618</f>
        <v>69810.53122</v>
      </c>
      <c r="G618" s="37" t="n">
        <v>2024</v>
      </c>
      <c r="H618" s="1" t="n">
        <v>5</v>
      </c>
      <c r="I618" s="1" t="s">
        <v>307</v>
      </c>
      <c r="J618" s="1" t="s">
        <v>295</v>
      </c>
      <c r="K618" s="1" t="n">
        <v>18442000</v>
      </c>
    </row>
    <row r="619" customFormat="false" ht="13.8" hidden="false" customHeight="false" outlineLevel="0" collapsed="false">
      <c r="A619" s="1" t="str">
        <f aca="false">IF(J619="DIESEL", "D", "G")</f>
        <v>G</v>
      </c>
      <c r="B619" s="1" t="n">
        <v>0.84</v>
      </c>
      <c r="C619" s="1" t="n">
        <f aca="false">F619*1000</f>
        <v>68343684.845</v>
      </c>
      <c r="D619" s="37" t="s">
        <v>234</v>
      </c>
      <c r="E619" s="1" t="s">
        <v>297</v>
      </c>
      <c r="F619" s="1" t="n">
        <f aca="false">0.00378541*K619</f>
        <v>68343.684845</v>
      </c>
      <c r="G619" s="37" t="n">
        <v>2024</v>
      </c>
      <c r="H619" s="1" t="n">
        <v>6</v>
      </c>
      <c r="I619" s="1" t="s">
        <v>308</v>
      </c>
      <c r="J619" s="1" t="s">
        <v>295</v>
      </c>
      <c r="K619" s="1" t="n">
        <v>18054500</v>
      </c>
    </row>
    <row r="620" customFormat="false" ht="13.8" hidden="false" customHeight="false" outlineLevel="0" collapsed="false">
      <c r="A620" s="1" t="str">
        <f aca="false">IF(J620="DIESEL", "D", "G")</f>
        <v>G</v>
      </c>
      <c r="B620" s="1" t="n">
        <v>0.84</v>
      </c>
      <c r="C620" s="1" t="n">
        <f aca="false">F620*1000</f>
        <v>65752571.7</v>
      </c>
      <c r="D620" s="37" t="s">
        <v>234</v>
      </c>
      <c r="E620" s="1" t="s">
        <v>297</v>
      </c>
      <c r="F620" s="1" t="n">
        <f aca="false">0.00378541*K620</f>
        <v>65752.5717</v>
      </c>
      <c r="G620" s="37" t="n">
        <v>2024</v>
      </c>
      <c r="H620" s="1" t="n">
        <v>7</v>
      </c>
      <c r="I620" s="1" t="s">
        <v>309</v>
      </c>
      <c r="J620" s="1" t="s">
        <v>295</v>
      </c>
      <c r="K620" s="1" t="n">
        <v>17370000</v>
      </c>
    </row>
    <row r="621" customFormat="false" ht="13.8" hidden="false" customHeight="false" outlineLevel="0" collapsed="false">
      <c r="A621" s="1" t="str">
        <f aca="false">IF(J621="DIESEL", "D", "G")</f>
        <v>G</v>
      </c>
      <c r="B621" s="1" t="n">
        <v>0.84</v>
      </c>
      <c r="C621" s="1" t="n">
        <f aca="false">F621*1000</f>
        <v>65697683.255</v>
      </c>
      <c r="D621" s="37" t="s">
        <v>234</v>
      </c>
      <c r="E621" s="1" t="s">
        <v>297</v>
      </c>
      <c r="F621" s="1" t="n">
        <f aca="false">0.00378541*K621</f>
        <v>65697.683255</v>
      </c>
      <c r="G621" s="37" t="n">
        <v>2024</v>
      </c>
      <c r="H621" s="1" t="n">
        <v>8</v>
      </c>
      <c r="I621" s="1" t="s">
        <v>310</v>
      </c>
      <c r="J621" s="1" t="s">
        <v>295</v>
      </c>
      <c r="K621" s="1" t="n">
        <v>17355500</v>
      </c>
    </row>
    <row r="622" customFormat="false" ht="13.8" hidden="false" customHeight="false" outlineLevel="0" collapsed="false">
      <c r="A622" s="1" t="str">
        <f aca="false">IF(J622="DIESEL", "D", "G")</f>
        <v>G</v>
      </c>
      <c r="B622" s="1" t="n">
        <v>0.84</v>
      </c>
      <c r="C622" s="1" t="n">
        <f aca="false">F622*1000</f>
        <v>63945038.425</v>
      </c>
      <c r="D622" s="37" t="s">
        <v>234</v>
      </c>
      <c r="E622" s="1" t="s">
        <v>297</v>
      </c>
      <c r="F622" s="1" t="n">
        <f aca="false">0.00378541*K622</f>
        <v>63945.038425</v>
      </c>
      <c r="G622" s="37" t="n">
        <v>2024</v>
      </c>
      <c r="H622" s="1" t="n">
        <v>9</v>
      </c>
      <c r="I622" s="1" t="s">
        <v>311</v>
      </c>
      <c r="J622" s="1" t="s">
        <v>295</v>
      </c>
      <c r="K622" s="1" t="n">
        <v>16892500</v>
      </c>
    </row>
    <row r="623" customFormat="false" ht="13.8" hidden="false" customHeight="false" outlineLevel="0" collapsed="false">
      <c r="A623" s="1" t="str">
        <f aca="false">IF(J623="DIESEL", "D", "G")</f>
        <v>G</v>
      </c>
      <c r="B623" s="1" t="n">
        <v>0.84</v>
      </c>
      <c r="C623" s="1" t="n">
        <f aca="false">F623*1000</f>
        <v>70478656.085</v>
      </c>
      <c r="D623" s="37" t="s">
        <v>234</v>
      </c>
      <c r="E623" s="1" t="s">
        <v>297</v>
      </c>
      <c r="F623" s="1" t="n">
        <f aca="false">0.00378541*K623</f>
        <v>70478.656085</v>
      </c>
      <c r="G623" s="37" t="n">
        <v>2024</v>
      </c>
      <c r="H623" s="1" t="n">
        <v>10</v>
      </c>
      <c r="I623" s="1" t="s">
        <v>312</v>
      </c>
      <c r="J623" s="1" t="s">
        <v>295</v>
      </c>
      <c r="K623" s="1" t="n">
        <v>18618500</v>
      </c>
    </row>
    <row r="624" customFormat="false" ht="13.8" hidden="false" customHeight="false" outlineLevel="0" collapsed="false">
      <c r="A624" s="1" t="str">
        <f aca="false">IF(J624="DIESEL", "D", "G")</f>
        <v>G</v>
      </c>
      <c r="B624" s="1" t="n">
        <v>0.84</v>
      </c>
      <c r="C624" s="1" t="n">
        <f aca="false">F624*1000</f>
        <v>67467362.43</v>
      </c>
      <c r="D624" s="37" t="s">
        <v>234</v>
      </c>
      <c r="E624" s="1" t="s">
        <v>297</v>
      </c>
      <c r="F624" s="1" t="n">
        <f aca="false">0.00378541*K624</f>
        <v>67467.36243</v>
      </c>
      <c r="G624" s="37" t="n">
        <v>2024</v>
      </c>
      <c r="H624" s="1" t="n">
        <v>11</v>
      </c>
      <c r="I624" s="1" t="s">
        <v>313</v>
      </c>
      <c r="J624" s="1" t="s">
        <v>295</v>
      </c>
      <c r="K624" s="1" t="n">
        <v>17823000</v>
      </c>
    </row>
    <row r="625" customFormat="false" ht="13.8" hidden="false" customHeight="false" outlineLevel="0" collapsed="false">
      <c r="A625" s="1" t="str">
        <f aca="false">IF(J625="DIESEL", "D", "G")</f>
        <v>G</v>
      </c>
      <c r="B625" s="1" t="n">
        <v>0.84</v>
      </c>
      <c r="C625" s="1" t="n">
        <f aca="false">F625*1000</f>
        <v>71992820.085</v>
      </c>
      <c r="D625" s="37" t="s">
        <v>234</v>
      </c>
      <c r="E625" s="1" t="s">
        <v>297</v>
      </c>
      <c r="F625" s="1" t="n">
        <f aca="false">0.00378541*K625</f>
        <v>71992.820085</v>
      </c>
      <c r="G625" s="37" t="n">
        <v>2024</v>
      </c>
      <c r="H625" s="1" t="n">
        <v>12</v>
      </c>
      <c r="I625" s="1" t="s">
        <v>314</v>
      </c>
      <c r="J625" s="1" t="s">
        <v>295</v>
      </c>
      <c r="K625" s="1" t="n">
        <v>19018500</v>
      </c>
    </row>
    <row r="626" customFormat="false" ht="13.8" hidden="false" customHeight="false" outlineLevel="0" collapsed="false">
      <c r="A626" s="1" t="str">
        <f aca="false">IF(J626="DIESEL", "D", "G")</f>
        <v>D</v>
      </c>
      <c r="B626" s="1" t="n">
        <v>0.84</v>
      </c>
      <c r="C626" s="1" t="n">
        <f aca="false">F626*1000</f>
        <v>30777276.005</v>
      </c>
      <c r="D626" s="37" t="s">
        <v>234</v>
      </c>
      <c r="E626" s="1" t="s">
        <v>297</v>
      </c>
      <c r="F626" s="1" t="n">
        <f aca="false">0.00378541*K626</f>
        <v>30777.276005</v>
      </c>
      <c r="G626" s="37" t="n">
        <v>2025</v>
      </c>
      <c r="H626" s="1" t="n">
        <v>1</v>
      </c>
      <c r="I626" s="1" t="s">
        <v>303</v>
      </c>
      <c r="J626" s="1" t="s">
        <v>246</v>
      </c>
      <c r="K626" s="1" t="n">
        <v>8130500</v>
      </c>
    </row>
    <row r="627" customFormat="false" ht="13.8" hidden="false" customHeight="false" outlineLevel="0" collapsed="false">
      <c r="A627" s="1" t="str">
        <f aca="false">IF(J627="DIESEL", "D", "G")</f>
        <v>D</v>
      </c>
      <c r="B627" s="1" t="n">
        <v>0.84</v>
      </c>
      <c r="C627" s="1" t="n">
        <f aca="false">F627*1000</f>
        <v>29338820.205</v>
      </c>
      <c r="D627" s="37" t="s">
        <v>234</v>
      </c>
      <c r="E627" s="1" t="s">
        <v>297</v>
      </c>
      <c r="F627" s="1" t="n">
        <f aca="false">0.00378541*K627</f>
        <v>29338.820205</v>
      </c>
      <c r="G627" s="37" t="n">
        <v>2025</v>
      </c>
      <c r="H627" s="1" t="n">
        <v>2</v>
      </c>
      <c r="I627" s="1" t="s">
        <v>304</v>
      </c>
      <c r="J627" s="1" t="s">
        <v>246</v>
      </c>
      <c r="K627" s="1" t="n">
        <v>7750500</v>
      </c>
    </row>
    <row r="628" customFormat="false" ht="13.8" hidden="false" customHeight="false" outlineLevel="0" collapsed="false">
      <c r="A628" s="1" t="str">
        <f aca="false">IF(J628="DIESEL", "D", "G")</f>
        <v>D</v>
      </c>
      <c r="B628" s="1" t="n">
        <v>0.84</v>
      </c>
      <c r="C628" s="1" t="n">
        <f aca="false">F628*1000</f>
        <v>31668740.06</v>
      </c>
      <c r="D628" s="37" t="s">
        <v>234</v>
      </c>
      <c r="E628" s="1" t="s">
        <v>297</v>
      </c>
      <c r="F628" s="1" t="n">
        <f aca="false">0.00378541*K628</f>
        <v>31668.74006</v>
      </c>
      <c r="G628" s="37" t="n">
        <v>2025</v>
      </c>
      <c r="H628" s="1" t="n">
        <v>3</v>
      </c>
      <c r="I628" s="1" t="s">
        <v>305</v>
      </c>
      <c r="J628" s="1" t="s">
        <v>246</v>
      </c>
      <c r="K628" s="1" t="n">
        <v>8366000</v>
      </c>
    </row>
    <row r="629" customFormat="false" ht="13.8" hidden="false" customHeight="false" outlineLevel="0" collapsed="false">
      <c r="A629" s="1" t="str">
        <f aca="false">IF(J629="DIESEL", "D", "G")</f>
        <v>D</v>
      </c>
      <c r="B629" s="1" t="n">
        <v>0.84</v>
      </c>
      <c r="C629" s="1" t="n">
        <f aca="false">F629*1000</f>
        <v>31854225.15</v>
      </c>
      <c r="D629" s="37" t="s">
        <v>234</v>
      </c>
      <c r="E629" s="1" t="s">
        <v>297</v>
      </c>
      <c r="F629" s="1" t="n">
        <f aca="false">0.00378541*K629</f>
        <v>31854.22515</v>
      </c>
      <c r="G629" s="37" t="n">
        <v>2025</v>
      </c>
      <c r="H629" s="1" t="n">
        <v>4</v>
      </c>
      <c r="I629" s="1" t="s">
        <v>306</v>
      </c>
      <c r="J629" s="1" t="s">
        <v>246</v>
      </c>
      <c r="K629" s="1" t="n">
        <v>8415000</v>
      </c>
    </row>
    <row r="630" customFormat="false" ht="13.8" hidden="false" customHeight="false" outlineLevel="0" collapsed="false">
      <c r="A630" s="1" t="str">
        <f aca="false">IF(J630="DIESEL", "D", "G")</f>
        <v>D</v>
      </c>
      <c r="B630" s="1" t="n">
        <v>0.84</v>
      </c>
      <c r="C630" s="1" t="n">
        <f aca="false">F630*1000</f>
        <v>32881963.965</v>
      </c>
      <c r="D630" s="37" t="s">
        <v>234</v>
      </c>
      <c r="E630" s="1" t="s">
        <v>297</v>
      </c>
      <c r="F630" s="1" t="n">
        <f aca="false">0.00378541*K630</f>
        <v>32881.963965</v>
      </c>
      <c r="G630" s="37" t="n">
        <v>2025</v>
      </c>
      <c r="H630" s="1" t="n">
        <v>5</v>
      </c>
      <c r="I630" s="1" t="s">
        <v>307</v>
      </c>
      <c r="J630" s="1" t="s">
        <v>246</v>
      </c>
      <c r="K630" s="1" t="n">
        <v>8686500</v>
      </c>
    </row>
    <row r="631" customFormat="false" ht="13.8" hidden="false" customHeight="false" outlineLevel="0" collapsed="false">
      <c r="A631" s="1" t="str">
        <f aca="false">IF(J631="DIESEL", "D", "G")</f>
        <v>D</v>
      </c>
      <c r="B631" s="1" t="n">
        <v>0.84</v>
      </c>
      <c r="C631" s="1" t="n">
        <f aca="false">F631*1000</f>
        <v>32546955.18</v>
      </c>
      <c r="D631" s="37" t="s">
        <v>234</v>
      </c>
      <c r="E631" s="1" t="s">
        <v>297</v>
      </c>
      <c r="F631" s="1" t="n">
        <f aca="false">0.00378541*K631</f>
        <v>32546.95518</v>
      </c>
      <c r="G631" s="37" t="n">
        <v>2025</v>
      </c>
      <c r="H631" s="1" t="n">
        <v>6</v>
      </c>
      <c r="I631" s="1" t="s">
        <v>308</v>
      </c>
      <c r="J631" s="1" t="s">
        <v>246</v>
      </c>
      <c r="K631" s="1" t="n">
        <v>8598000</v>
      </c>
    </row>
    <row r="632" customFormat="false" ht="13.8" hidden="false" customHeight="false" outlineLevel="0" collapsed="false">
      <c r="A632" s="1" t="str">
        <f aca="false">IF(J632="DIESEL", "D", "G")</f>
        <v>D</v>
      </c>
      <c r="B632" s="1" t="n">
        <v>0.84</v>
      </c>
      <c r="C632" s="1" t="n">
        <f aca="false">F632*1000</f>
        <v>31998070.73</v>
      </c>
      <c r="D632" s="37" t="s">
        <v>234</v>
      </c>
      <c r="E632" s="1" t="s">
        <v>297</v>
      </c>
      <c r="F632" s="1" t="n">
        <f aca="false">0.00378541*K632</f>
        <v>31998.07073</v>
      </c>
      <c r="G632" s="37" t="n">
        <v>2025</v>
      </c>
      <c r="H632" s="1" t="n">
        <v>7</v>
      </c>
      <c r="I632" s="1" t="s">
        <v>309</v>
      </c>
      <c r="J632" s="1" t="s">
        <v>246</v>
      </c>
      <c r="K632" s="1" t="n">
        <v>8453000</v>
      </c>
    </row>
    <row r="633" customFormat="false" ht="13.8" hidden="false" customHeight="false" outlineLevel="0" collapsed="false">
      <c r="A633" s="1" t="str">
        <f aca="false">IF(J633="DIESEL", "D", "G")</f>
        <v>D</v>
      </c>
      <c r="B633" s="1" t="n">
        <v>0.84</v>
      </c>
      <c r="C633" s="1" t="n">
        <f aca="false">F633*1000</f>
        <v>31220168.975</v>
      </c>
      <c r="D633" s="37" t="s">
        <v>234</v>
      </c>
      <c r="E633" s="1" t="s">
        <v>297</v>
      </c>
      <c r="F633" s="1" t="n">
        <f aca="false">0.00378541*K633</f>
        <v>31220.168975</v>
      </c>
      <c r="G633" s="37" t="n">
        <v>2025</v>
      </c>
      <c r="H633" s="1" t="n">
        <v>8</v>
      </c>
      <c r="I633" s="1" t="s">
        <v>310</v>
      </c>
      <c r="J633" s="1" t="s">
        <v>246</v>
      </c>
      <c r="K633" s="1" t="n">
        <v>8247500</v>
      </c>
    </row>
    <row r="634" customFormat="false" ht="13.8" hidden="false" customHeight="false" outlineLevel="0" collapsed="false">
      <c r="A634" s="1" t="str">
        <f aca="false">IF(J634="DIESEL", "D", "G")</f>
        <v>D</v>
      </c>
      <c r="B634" s="1" t="n">
        <v>0.84</v>
      </c>
      <c r="C634" s="1" t="n">
        <f aca="false">F634*1000</f>
        <v>32338757.63</v>
      </c>
      <c r="D634" s="37" t="s">
        <v>234</v>
      </c>
      <c r="E634" s="1" t="s">
        <v>297</v>
      </c>
      <c r="F634" s="1" t="n">
        <f aca="false">0.00378541*K634</f>
        <v>32338.75763</v>
      </c>
      <c r="G634" s="37" t="n">
        <v>2025</v>
      </c>
      <c r="H634" s="1" t="n">
        <v>9</v>
      </c>
      <c r="I634" s="1" t="s">
        <v>311</v>
      </c>
      <c r="J634" s="1" t="s">
        <v>246</v>
      </c>
      <c r="K634" s="1" t="n">
        <v>8543000</v>
      </c>
    </row>
    <row r="635" customFormat="false" ht="13.8" hidden="false" customHeight="false" outlineLevel="0" collapsed="false">
      <c r="A635" s="1" t="str">
        <f aca="false">IF(J635="DIESEL", "D", "G")</f>
        <v>D</v>
      </c>
      <c r="B635" s="1" t="n">
        <v>0.84</v>
      </c>
      <c r="C635" s="1" t="n">
        <f aca="false">F635*1000</f>
        <v>32777865.19</v>
      </c>
      <c r="D635" s="37" t="s">
        <v>234</v>
      </c>
      <c r="E635" s="1" t="s">
        <v>297</v>
      </c>
      <c r="F635" s="1" t="n">
        <f aca="false">0.00378541*K635</f>
        <v>32777.86519</v>
      </c>
      <c r="G635" s="37" t="n">
        <v>2025</v>
      </c>
      <c r="H635" s="1" t="n">
        <v>10</v>
      </c>
      <c r="I635" s="1" t="s">
        <v>312</v>
      </c>
      <c r="J635" s="1" t="s">
        <v>246</v>
      </c>
      <c r="K635" s="1" t="n">
        <v>8659000</v>
      </c>
    </row>
    <row r="636" customFormat="false" ht="13.8" hidden="false" customHeight="false" outlineLevel="0" collapsed="false">
      <c r="A636" s="1" t="str">
        <f aca="false">IF(J636="DIESEL", "D", "G")</f>
        <v>D</v>
      </c>
      <c r="B636" s="1" t="n">
        <v>0.84</v>
      </c>
      <c r="C636" s="1" t="n">
        <f aca="false">F636*1000</f>
        <v>30928117.02268</v>
      </c>
      <c r="D636" s="37" t="s">
        <v>234</v>
      </c>
      <c r="E636" s="1" t="s">
        <v>297</v>
      </c>
      <c r="F636" s="1" t="n">
        <f aca="false">0.00378541*K636</f>
        <v>30928.11702268</v>
      </c>
      <c r="G636" s="37" t="n">
        <v>2025</v>
      </c>
      <c r="H636" s="1" t="n">
        <v>11</v>
      </c>
      <c r="I636" s="1" t="s">
        <v>313</v>
      </c>
      <c r="J636" s="1" t="s">
        <v>246</v>
      </c>
      <c r="K636" s="1" t="n">
        <v>8170348</v>
      </c>
    </row>
    <row r="637" customFormat="false" ht="13.8" hidden="false" customHeight="false" outlineLevel="0" collapsed="false">
      <c r="A637" s="1" t="str">
        <f aca="false">IF(J637="DIESEL", "D", "G")</f>
        <v>D</v>
      </c>
      <c r="B637" s="1" t="n">
        <v>0.84</v>
      </c>
      <c r="C637" s="1" t="n">
        <f aca="false">F637*1000</f>
        <v>32970989.23738</v>
      </c>
      <c r="D637" s="37" t="s">
        <v>234</v>
      </c>
      <c r="E637" s="1" t="s">
        <v>297</v>
      </c>
      <c r="F637" s="1" t="n">
        <f aca="false">0.00378541*K637</f>
        <v>32970.98923738</v>
      </c>
      <c r="G637" s="37" t="n">
        <v>2025</v>
      </c>
      <c r="H637" s="1" t="n">
        <v>12</v>
      </c>
      <c r="I637" s="1" t="s">
        <v>314</v>
      </c>
      <c r="J637" s="1" t="s">
        <v>246</v>
      </c>
      <c r="K637" s="1" t="n">
        <v>8710018</v>
      </c>
    </row>
    <row r="638" customFormat="false" ht="13.8" hidden="false" customHeight="false" outlineLevel="0" collapsed="false">
      <c r="A638" s="1" t="str">
        <f aca="false">IF(J638="DIESEL", "D", "G")</f>
        <v>G</v>
      </c>
      <c r="B638" s="1" t="n">
        <v>0.84</v>
      </c>
      <c r="C638" s="1" t="n">
        <f aca="false">F638*1000</f>
        <v>63823905.305</v>
      </c>
      <c r="D638" s="37" t="s">
        <v>234</v>
      </c>
      <c r="E638" s="1" t="s">
        <v>297</v>
      </c>
      <c r="F638" s="1" t="n">
        <f aca="false">0.00378541*K638</f>
        <v>63823.905305</v>
      </c>
      <c r="G638" s="37" t="n">
        <v>2025</v>
      </c>
      <c r="H638" s="1" t="n">
        <v>1</v>
      </c>
      <c r="I638" s="1" t="s">
        <v>303</v>
      </c>
      <c r="J638" s="1" t="s">
        <v>295</v>
      </c>
      <c r="K638" s="1" t="n">
        <v>16860500</v>
      </c>
    </row>
    <row r="639" customFormat="false" ht="13.8" hidden="false" customHeight="false" outlineLevel="0" collapsed="false">
      <c r="A639" s="1" t="str">
        <f aca="false">IF(J639="DIESEL", "D", "G")</f>
        <v>G</v>
      </c>
      <c r="B639" s="1" t="n">
        <v>0.84</v>
      </c>
      <c r="C639" s="1" t="n">
        <f aca="false">F639*1000</f>
        <v>62277565.32</v>
      </c>
      <c r="D639" s="37" t="s">
        <v>234</v>
      </c>
      <c r="E639" s="1" t="s">
        <v>297</v>
      </c>
      <c r="F639" s="1" t="n">
        <f aca="false">0.00378541*K639</f>
        <v>62277.56532</v>
      </c>
      <c r="G639" s="37" t="n">
        <v>2025</v>
      </c>
      <c r="H639" s="1" t="n">
        <v>2</v>
      </c>
      <c r="I639" s="1" t="s">
        <v>304</v>
      </c>
      <c r="J639" s="1" t="s">
        <v>295</v>
      </c>
      <c r="K639" s="1" t="n">
        <v>16452000</v>
      </c>
    </row>
    <row r="640" customFormat="false" ht="13.8" hidden="false" customHeight="false" outlineLevel="0" collapsed="false">
      <c r="A640" s="1" t="str">
        <f aca="false">IF(J640="DIESEL", "D", "G")</f>
        <v>G</v>
      </c>
      <c r="B640" s="1" t="n">
        <v>0.84</v>
      </c>
      <c r="C640" s="1" t="n">
        <f aca="false">F640*1000</f>
        <v>67144856.85423</v>
      </c>
      <c r="D640" s="37" t="s">
        <v>234</v>
      </c>
      <c r="E640" s="1" t="s">
        <v>297</v>
      </c>
      <c r="F640" s="1" t="n">
        <f aca="false">0.00378541*K640</f>
        <v>67144.85685423</v>
      </c>
      <c r="G640" s="37" t="n">
        <v>2025</v>
      </c>
      <c r="H640" s="1" t="n">
        <v>3</v>
      </c>
      <c r="I640" s="1" t="s">
        <v>305</v>
      </c>
      <c r="J640" s="1" t="s">
        <v>295</v>
      </c>
      <c r="K640" s="1" t="n">
        <v>17737803</v>
      </c>
    </row>
    <row r="641" customFormat="false" ht="13.8" hidden="false" customHeight="false" outlineLevel="0" collapsed="false">
      <c r="A641" s="1" t="str">
        <f aca="false">IF(J641="DIESEL", "D", "G")</f>
        <v>G</v>
      </c>
      <c r="B641" s="1" t="n">
        <v>0.84</v>
      </c>
      <c r="C641" s="1" t="n">
        <f aca="false">F641*1000</f>
        <v>66577791.08</v>
      </c>
      <c r="D641" s="37" t="s">
        <v>234</v>
      </c>
      <c r="E641" s="1" t="s">
        <v>297</v>
      </c>
      <c r="F641" s="1" t="n">
        <f aca="false">0.00378541*K641</f>
        <v>66577.79108</v>
      </c>
      <c r="G641" s="37" t="n">
        <v>2025</v>
      </c>
      <c r="H641" s="1" t="n">
        <v>4</v>
      </c>
      <c r="I641" s="1" t="s">
        <v>306</v>
      </c>
      <c r="J641" s="1" t="s">
        <v>295</v>
      </c>
      <c r="K641" s="1" t="n">
        <v>17588000</v>
      </c>
    </row>
    <row r="642" customFormat="false" ht="13.8" hidden="false" customHeight="false" outlineLevel="0" collapsed="false">
      <c r="A642" s="1" t="str">
        <f aca="false">IF(J642="DIESEL", "D", "G")</f>
        <v>G</v>
      </c>
      <c r="B642" s="1" t="n">
        <v>0.84</v>
      </c>
      <c r="C642" s="1" t="n">
        <f aca="false">F642*1000</f>
        <v>69655329.41</v>
      </c>
      <c r="D642" s="37" t="s">
        <v>234</v>
      </c>
      <c r="E642" s="1" t="s">
        <v>297</v>
      </c>
      <c r="F642" s="1" t="n">
        <f aca="false">0.00378541*K642</f>
        <v>69655.32941</v>
      </c>
      <c r="G642" s="37" t="n">
        <v>2025</v>
      </c>
      <c r="H642" s="1" t="n">
        <v>5</v>
      </c>
      <c r="I642" s="1" t="s">
        <v>307</v>
      </c>
      <c r="J642" s="1" t="s">
        <v>295</v>
      </c>
      <c r="K642" s="1" t="n">
        <v>18401000</v>
      </c>
    </row>
    <row r="643" customFormat="false" ht="13.8" hidden="false" customHeight="false" outlineLevel="0" collapsed="false">
      <c r="A643" s="1" t="str">
        <f aca="false">IF(J643="DIESEL", "D", "G")</f>
        <v>G</v>
      </c>
      <c r="B643" s="1" t="n">
        <v>0.84</v>
      </c>
      <c r="C643" s="1" t="n">
        <f aca="false">F643*1000</f>
        <v>66061082.615</v>
      </c>
      <c r="D643" s="37" t="s">
        <v>234</v>
      </c>
      <c r="E643" s="1" t="s">
        <v>297</v>
      </c>
      <c r="F643" s="1" t="n">
        <f aca="false">0.00378541*K643</f>
        <v>66061.082615</v>
      </c>
      <c r="G643" s="37" t="n">
        <v>2025</v>
      </c>
      <c r="H643" s="1" t="n">
        <v>6</v>
      </c>
      <c r="I643" s="1" t="s">
        <v>308</v>
      </c>
      <c r="J643" s="1" t="s">
        <v>295</v>
      </c>
      <c r="K643" s="1" t="n">
        <v>17451500</v>
      </c>
    </row>
    <row r="644" customFormat="false" ht="13.8" hidden="false" customHeight="false" outlineLevel="0" collapsed="false">
      <c r="A644" s="1" t="str">
        <f aca="false">IF(J644="DIESEL", "D", "G")</f>
        <v>G</v>
      </c>
      <c r="B644" s="1" t="n">
        <v>0.84</v>
      </c>
      <c r="C644" s="1" t="n">
        <f aca="false">F644*1000</f>
        <v>67652847.52</v>
      </c>
      <c r="D644" s="37" t="s">
        <v>234</v>
      </c>
      <c r="E644" s="1" t="s">
        <v>297</v>
      </c>
      <c r="F644" s="1" t="n">
        <f aca="false">0.00378541*K644</f>
        <v>67652.84752</v>
      </c>
      <c r="G644" s="37" t="n">
        <v>2025</v>
      </c>
      <c r="H644" s="1" t="n">
        <v>7</v>
      </c>
      <c r="I644" s="1" t="s">
        <v>309</v>
      </c>
      <c r="J644" s="1" t="s">
        <v>295</v>
      </c>
      <c r="K644" s="1" t="n">
        <v>17872000</v>
      </c>
    </row>
    <row r="645" customFormat="false" ht="13.8" hidden="false" customHeight="false" outlineLevel="0" collapsed="false">
      <c r="A645" s="1" t="str">
        <f aca="false">IF(J645="DIESEL", "D", "G")</f>
        <v>G</v>
      </c>
      <c r="B645" s="1" t="n">
        <v>0.84</v>
      </c>
      <c r="C645" s="1" t="n">
        <f aca="false">F645*1000</f>
        <v>65481914.885</v>
      </c>
      <c r="D645" s="37" t="s">
        <v>234</v>
      </c>
      <c r="E645" s="1" t="s">
        <v>297</v>
      </c>
      <c r="F645" s="1" t="n">
        <f aca="false">0.00378541*K645</f>
        <v>65481.914885</v>
      </c>
      <c r="G645" s="37" t="n">
        <v>2025</v>
      </c>
      <c r="H645" s="1" t="n">
        <v>8</v>
      </c>
      <c r="I645" s="1" t="s">
        <v>310</v>
      </c>
      <c r="J645" s="1" t="s">
        <v>295</v>
      </c>
      <c r="K645" s="1" t="n">
        <v>17298500</v>
      </c>
    </row>
    <row r="646" customFormat="false" ht="13.8" hidden="false" customHeight="false" outlineLevel="0" collapsed="false">
      <c r="A646" s="1" t="str">
        <f aca="false">IF(J646="DIESEL", "D", "G")</f>
        <v>G</v>
      </c>
      <c r="B646" s="1" t="n">
        <v>0.84</v>
      </c>
      <c r="C646" s="1" t="n">
        <f aca="false">F646*1000</f>
        <v>62366522.455</v>
      </c>
      <c r="D646" s="37" t="s">
        <v>234</v>
      </c>
      <c r="E646" s="1" t="s">
        <v>297</v>
      </c>
      <c r="F646" s="1" t="n">
        <f aca="false">0.00378541*K646</f>
        <v>62366.522455</v>
      </c>
      <c r="G646" s="37" t="n">
        <v>2025</v>
      </c>
      <c r="H646" s="1" t="n">
        <v>9</v>
      </c>
      <c r="I646" s="1" t="s">
        <v>311</v>
      </c>
      <c r="J646" s="1" t="s">
        <v>295</v>
      </c>
      <c r="K646" s="1" t="n">
        <v>16475500</v>
      </c>
    </row>
    <row r="647" customFormat="false" ht="13.8" hidden="false" customHeight="false" outlineLevel="0" collapsed="false">
      <c r="A647" s="1" t="str">
        <f aca="false">IF(J647="DIESEL", "D", "G")</f>
        <v>G</v>
      </c>
      <c r="B647" s="1" t="n">
        <v>0.84</v>
      </c>
      <c r="C647" s="1" t="n">
        <f aca="false">F647*1000</f>
        <v>49630510.51</v>
      </c>
      <c r="D647" s="37" t="s">
        <v>234</v>
      </c>
      <c r="E647" s="1" t="s">
        <v>297</v>
      </c>
      <c r="F647" s="1" t="n">
        <f aca="false">0.00378541*K647</f>
        <v>49630.51051</v>
      </c>
      <c r="G647" s="37" t="n">
        <v>2025</v>
      </c>
      <c r="H647" s="1" t="n">
        <v>10</v>
      </c>
      <c r="I647" s="1" t="s">
        <v>312</v>
      </c>
      <c r="J647" s="1" t="s">
        <v>295</v>
      </c>
      <c r="K647" s="1" t="n">
        <v>13111000</v>
      </c>
    </row>
    <row r="648" customFormat="false" ht="13.8" hidden="false" customHeight="false" outlineLevel="0" collapsed="false">
      <c r="A648" s="1" t="str">
        <f aca="false">IF(J648="DIESEL", "D", "G")</f>
        <v>G</v>
      </c>
      <c r="B648" s="1" t="n">
        <v>0.84</v>
      </c>
      <c r="C648" s="1" t="n">
        <f aca="false">F648*1000</f>
        <v>56091334.7357</v>
      </c>
      <c r="D648" s="37" t="s">
        <v>234</v>
      </c>
      <c r="E648" s="1" t="s">
        <v>297</v>
      </c>
      <c r="F648" s="1" t="n">
        <f aca="false">0.00378541*K648</f>
        <v>56091.3347357</v>
      </c>
      <c r="G648" s="37" t="n">
        <v>2025</v>
      </c>
      <c r="H648" s="1" t="n">
        <v>11</v>
      </c>
      <c r="I648" s="1" t="s">
        <v>313</v>
      </c>
      <c r="J648" s="1" t="s">
        <v>295</v>
      </c>
      <c r="K648" s="1" t="n">
        <v>14817770</v>
      </c>
    </row>
    <row r="649" customFormat="false" ht="13.8" hidden="false" customHeight="false" outlineLevel="0" collapsed="false">
      <c r="A649" s="1" t="str">
        <f aca="false">IF(J649="DIESEL", "D", "G")</f>
        <v>G</v>
      </c>
      <c r="B649" s="1" t="n">
        <v>0.84</v>
      </c>
      <c r="C649" s="1" t="n">
        <f aca="false">F649*1000</f>
        <v>58796964.10402</v>
      </c>
      <c r="D649" s="37" t="s">
        <v>234</v>
      </c>
      <c r="E649" s="1" t="s">
        <v>297</v>
      </c>
      <c r="F649" s="1" t="n">
        <f aca="false">0.00378541*K649</f>
        <v>58796.96410402</v>
      </c>
      <c r="G649" s="37" t="n">
        <v>2025</v>
      </c>
      <c r="H649" s="1" t="n">
        <v>12</v>
      </c>
      <c r="I649" s="1" t="s">
        <v>314</v>
      </c>
      <c r="J649" s="1" t="s">
        <v>295</v>
      </c>
      <c r="K649" s="1" t="n">
        <v>15532522</v>
      </c>
    </row>
  </sheetData>
  <autoFilter ref="A1:K649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6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C8" activeCellId="0" sqref="C8"/>
    </sheetView>
  </sheetViews>
  <sheetFormatPr defaultColWidth="11.71484375" defaultRowHeight="12.8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.15"/>
    <col collapsed="false" customWidth="true" hidden="false" outlineLevel="0" max="3" min="3" style="1" width="6.14"/>
    <col collapsed="false" customWidth="true" hidden="false" outlineLevel="0" max="5" min="4" style="1" width="4.14"/>
    <col collapsed="false" customWidth="true" hidden="false" outlineLevel="0" max="6" min="6" style="1" width="11.29"/>
    <col collapsed="false" customWidth="true" hidden="false" outlineLevel="0" max="7" min="7" style="1" width="13.42"/>
    <col collapsed="false" customWidth="true" hidden="false" outlineLevel="0" max="8" min="8" style="1" width="14.86"/>
    <col collapsed="false" customWidth="true" hidden="false" outlineLevel="0" max="9" min="9" style="1" width="11.14"/>
    <col collapsed="false" customWidth="true" hidden="false" outlineLevel="0" max="10" min="10" style="1" width="11.29"/>
    <col collapsed="false" customWidth="true" hidden="false" outlineLevel="0" max="11" min="11" style="1" width="13.29"/>
    <col collapsed="false" customWidth="true" hidden="false" outlineLevel="0" max="12" min="12" style="1" width="14.71"/>
    <col collapsed="false" customWidth="true" hidden="false" outlineLevel="0" max="13" min="13" style="1" width="10.85"/>
    <col collapsed="false" customWidth="true" hidden="false" outlineLevel="0" max="14" min="14" style="1" width="9.71"/>
    <col collapsed="false" customWidth="true" hidden="false" outlineLevel="0" max="15" min="15" style="1" width="14.42"/>
    <col collapsed="false" customWidth="true" hidden="false" outlineLevel="0" max="16" min="16" style="1" width="14.86"/>
    <col collapsed="false" customWidth="true" hidden="false" outlineLevel="0" max="17" min="17" style="1" width="17.15"/>
    <col collapsed="false" customWidth="true" hidden="false" outlineLevel="0" max="18" min="18" style="1" width="10.14"/>
    <col collapsed="false" customWidth="true" hidden="false" outlineLevel="0" max="19" min="19" style="1" width="10.85"/>
    <col collapsed="false" customWidth="true" hidden="false" outlineLevel="0" max="20" min="20" style="1" width="11.29"/>
    <col collapsed="false" customWidth="true" hidden="false" outlineLevel="0" max="21" min="21" style="1" width="10.14"/>
    <col collapsed="false" customWidth="true" hidden="false" outlineLevel="0" max="22" min="22" style="1" width="10.71"/>
    <col collapsed="false" customWidth="true" hidden="false" outlineLevel="0" max="23" min="23" style="1" width="11.29"/>
    <col collapsed="false" customWidth="true" hidden="false" outlineLevel="0" max="24" min="24" style="1" width="10.71"/>
    <col collapsed="false" customWidth="true" hidden="false" outlineLevel="0" max="25" min="25" style="1" width="8.42"/>
    <col collapsed="false" customWidth="true" hidden="false" outlineLevel="0" max="26" min="26" style="1" width="16.57"/>
    <col collapsed="false" customWidth="true" hidden="false" outlineLevel="0" max="27" min="27" style="1" width="19.71"/>
    <col collapsed="false" customWidth="true" hidden="false" outlineLevel="0" max="33" min="28" style="1" width="20.57"/>
    <col collapsed="false" customWidth="true" hidden="false" outlineLevel="0" max="34" min="34" style="1" width="17.57"/>
    <col collapsed="false" customWidth="true" hidden="false" outlineLevel="0" max="35" min="35" style="1" width="16.84"/>
    <col collapsed="false" customWidth="true" hidden="false" outlineLevel="0" max="36" min="36" style="1" width="19.71"/>
    <col collapsed="false" customWidth="true" hidden="false" outlineLevel="0" max="42" min="37" style="1" width="20.71"/>
    <col collapsed="false" customWidth="true" hidden="false" outlineLevel="0" max="43" min="43" style="1" width="17.71"/>
    <col collapsed="false" customWidth="true" hidden="false" outlineLevel="0" max="49" min="44" style="1" width="20.42"/>
    <col collapsed="false" customWidth="true" hidden="false" outlineLevel="0" max="50" min="50" style="1" width="14.57"/>
    <col collapsed="false" customWidth="true" hidden="false" outlineLevel="0" max="51" min="51" style="1" width="14"/>
    <col collapsed="false" customWidth="true" hidden="false" outlineLevel="0" max="52" min="52" style="1" width="17"/>
    <col collapsed="false" customWidth="true" hidden="false" outlineLevel="0" max="53" min="53" style="1" width="14"/>
    <col collapsed="false" customWidth="true" hidden="false" outlineLevel="0" max="54" min="54" style="1" width="14.14"/>
    <col collapsed="false" customWidth="true" hidden="false" outlineLevel="0" max="55" min="55" style="1" width="17.15"/>
    <col collapsed="false" customWidth="true" hidden="false" outlineLevel="0" max="56" min="56" style="1" width="14.14"/>
    <col collapsed="false" customWidth="true" hidden="false" outlineLevel="0" max="58" min="57" style="1" width="18"/>
    <col collapsed="false" customWidth="true" hidden="false" outlineLevel="0" max="60" min="59" style="1" width="18.29"/>
    <col collapsed="false" customWidth="true" hidden="false" outlineLevel="0" max="61" min="61" style="1" width="15.29"/>
    <col collapsed="false" customWidth="true" hidden="false" outlineLevel="0" max="62" min="62" style="1" width="10.85"/>
    <col collapsed="false" customWidth="true" hidden="false" outlineLevel="0" max="63" min="63" style="1" width="13.15"/>
    <col collapsed="false" customWidth="true" hidden="false" outlineLevel="0" max="64" min="64" style="1" width="17.15"/>
    <col collapsed="false" customWidth="true" hidden="false" outlineLevel="0" max="65" min="65" style="1" width="18.14"/>
    <col collapsed="false" customWidth="true" hidden="false" outlineLevel="0" max="66" min="66" style="1" width="14.14"/>
    <col collapsed="false" customWidth="true" hidden="false" outlineLevel="0" max="67" min="67" style="1" width="10"/>
  </cols>
  <sheetData>
    <row r="1" customFormat="false" ht="12.75" hidden="false" customHeight="false" outlineLevel="0" collapsed="false">
      <c r="A1" s="6" t="s">
        <v>232</v>
      </c>
      <c r="B1" s="6" t="s">
        <v>232</v>
      </c>
      <c r="C1" s="6" t="s">
        <v>315</v>
      </c>
      <c r="D1" s="6" t="s">
        <v>316</v>
      </c>
      <c r="E1" s="6" t="s">
        <v>317</v>
      </c>
      <c r="F1" s="6" t="s">
        <v>318</v>
      </c>
      <c r="G1" s="6" t="str">
        <f aca="false">metadata!B2</f>
        <v>PC_MINI_G</v>
      </c>
      <c r="H1" s="6" t="str">
        <f aca="false">metadata!B3</f>
        <v>PC_SMALL_G</v>
      </c>
      <c r="I1" s="6" t="str">
        <f aca="false">metadata!B4</f>
        <v>PC_MEDIUM_G</v>
      </c>
      <c r="J1" s="6" t="str">
        <f aca="false">metadata!B5</f>
        <v>PC_SUV_G</v>
      </c>
      <c r="K1" s="6" t="str">
        <f aca="false">metadata!B6</f>
        <v>PC_MINI_D</v>
      </c>
      <c r="L1" s="6" t="str">
        <f aca="false">metadata!B7</f>
        <v>PC_SMALL_D</v>
      </c>
      <c r="M1" s="6" t="str">
        <f aca="false">metadata!B8</f>
        <v>PC_MEDIUM_D</v>
      </c>
      <c r="N1" s="6" t="str">
        <f aca="false">metadata!B9</f>
        <v>PC_SUV_D</v>
      </c>
      <c r="O1" s="6" t="str">
        <f aca="false">metadata!B10</f>
        <v>PC_ELEC</v>
      </c>
      <c r="P1" s="6" t="str">
        <f aca="false">metadata!B11</f>
        <v>PC_SMALL_HY</v>
      </c>
      <c r="Q1" s="6" t="str">
        <f aca="false">metadata!B12</f>
        <v>TAXI_SMALL_G</v>
      </c>
      <c r="R1" s="6" t="str">
        <f aca="false">metadata!B13</f>
        <v>TAXI_SMALL_GLP</v>
      </c>
      <c r="S1" s="6" t="str">
        <f aca="false">metadata!B14</f>
        <v>LCV_NI_G</v>
      </c>
      <c r="T1" s="6" t="str">
        <f aca="false">metadata!B15</f>
        <v>LCV_NII_G</v>
      </c>
      <c r="U1" s="6" t="str">
        <f aca="false">metadata!B16</f>
        <v>LCV_NIII_G</v>
      </c>
      <c r="V1" s="6" t="str">
        <f aca="false">metadata!B17</f>
        <v>LCV_NI_D</v>
      </c>
      <c r="W1" s="6" t="str">
        <f aca="false">metadata!B18</f>
        <v>LCV_NII_D</v>
      </c>
      <c r="X1" s="6" t="str">
        <f aca="false">metadata!B19</f>
        <v>LCV_NIII_D</v>
      </c>
      <c r="Y1" s="6" t="str">
        <f aca="false">metadata!B20</f>
        <v>LCV_ELEC</v>
      </c>
      <c r="Z1" s="6" t="str">
        <f aca="false">metadata!B21</f>
        <v>LCV_HY</v>
      </c>
      <c r="AA1" s="6" t="str">
        <f aca="false">metadata!B22</f>
        <v>TRUCKS_RT_7_D</v>
      </c>
      <c r="AB1" s="6" t="str">
        <f aca="false">metadata!B23</f>
        <v>TRUCKS_RT_7_12_D</v>
      </c>
      <c r="AC1" s="6" t="str">
        <f aca="false">metadata!B24</f>
        <v>TRUCKS_RT_12_14_D</v>
      </c>
      <c r="AD1" s="6" t="str">
        <f aca="false">metadata!B25</f>
        <v>TRUCKS_RT_14_16_D</v>
      </c>
      <c r="AE1" s="6" t="str">
        <f aca="false">metadata!B26</f>
        <v>TRUCKS_RT_16_20_D</v>
      </c>
      <c r="AF1" s="6" t="str">
        <f aca="false">metadata!B27</f>
        <v>TRUCKS_RT_20_26_D</v>
      </c>
      <c r="AG1" s="6" t="str">
        <f aca="false">metadata!B28</f>
        <v>TRUCKS_RT_26_28_D</v>
      </c>
      <c r="AH1" s="6" t="str">
        <f aca="false">metadata!B29</f>
        <v>TRUCKS_RT_28_32_D</v>
      </c>
      <c r="AI1" s="1" t="str">
        <f aca="false">metadata!B30</f>
        <v>TRUCKS_RT_32_D</v>
      </c>
      <c r="AJ1" s="1" t="str">
        <f aca="false">metadata!B31</f>
        <v>TRUCKS_RT_7_G</v>
      </c>
      <c r="AK1" s="1" t="str">
        <f aca="false">metadata!B32</f>
        <v>TRUCKS_RT_7_12_G</v>
      </c>
      <c r="AL1" s="1" t="str">
        <f aca="false">metadata!B33</f>
        <v>TRUCKS_RT_12_14_G</v>
      </c>
      <c r="AM1" s="1" t="str">
        <f aca="false">metadata!B34</f>
        <v>TRUCKS_RT_14_16_G</v>
      </c>
      <c r="AN1" s="1" t="str">
        <f aca="false">metadata!B35</f>
        <v>TRUCKS_RT_16_20_G</v>
      </c>
      <c r="AO1" s="1" t="str">
        <f aca="false">metadata!B36</f>
        <v>TRUCKS_RT_20_26_G</v>
      </c>
      <c r="AP1" s="1" t="str">
        <f aca="false">metadata!B37</f>
        <v>TRUCKS_RT_26_28_G</v>
      </c>
      <c r="AQ1" s="1" t="str">
        <f aca="false">metadata!B38</f>
        <v>TRUCKS_RT_28_32_G</v>
      </c>
      <c r="AR1" s="1" t="str">
        <f aca="false">metadata!B39</f>
        <v>TRUCKS_RT_32_G</v>
      </c>
      <c r="AS1" s="1" t="str">
        <f aca="false">metadata!B40</f>
        <v>TRUCKS_AT_16_20_D</v>
      </c>
      <c r="AT1" s="6" t="str">
        <f aca="false">metadata!B41</f>
        <v>TRUCKS_AT_20_28_D</v>
      </c>
      <c r="AU1" s="6" t="str">
        <f aca="false">metadata!B42</f>
        <v>TRUCKS_AT_28_34_D</v>
      </c>
      <c r="AV1" s="1" t="str">
        <f aca="false">metadata!B43</f>
        <v>TRUCKS_AT_34_40_D</v>
      </c>
      <c r="AW1" s="1" t="str">
        <f aca="false">metadata!B44</f>
        <v>TRUCKS_AT_40_50_D</v>
      </c>
      <c r="AX1" s="1" t="str">
        <f aca="false">metadata!B45</f>
        <v>TRUCKS_AT_50_60_D</v>
      </c>
      <c r="AY1" s="1" t="str">
        <f aca="false">metadata!B46</f>
        <v>TRUCKS_ELEC</v>
      </c>
      <c r="AZ1" s="1" t="str">
        <f aca="false">metadata!B47</f>
        <v>BUS_UB_15_D</v>
      </c>
      <c r="BA1" s="1" t="str">
        <f aca="false">metadata!B48</f>
        <v>BUS_UB_15_18_D</v>
      </c>
      <c r="BB1" s="1" t="str">
        <f aca="false">metadata!B49</f>
        <v>BUS_UB_18_D</v>
      </c>
      <c r="BC1" s="1" t="str">
        <f aca="false">metadata!B50</f>
        <v>BUS_UB_15_G</v>
      </c>
      <c r="BD1" s="1" t="str">
        <f aca="false">metadata!B51</f>
        <v>BUS_UB_15_18_G</v>
      </c>
      <c r="BE1" s="1" t="str">
        <f aca="false">metadata!B52</f>
        <v>BUS_UB_18_G</v>
      </c>
      <c r="BF1" s="1" t="str">
        <f aca="false">metadata!B53</f>
        <v>BUS_COACH_17_D</v>
      </c>
      <c r="BG1" s="1" t="str">
        <f aca="false">metadata!B54</f>
        <v>BUS_COACH_18_D</v>
      </c>
      <c r="BH1" s="1" t="str">
        <f aca="false">metadata!B55</f>
        <v>BUS_COACH_17_G</v>
      </c>
      <c r="BI1" s="1" t="str">
        <f aca="false">metadata!B56</f>
        <v>BUS_COACH_18_G</v>
      </c>
      <c r="BJ1" s="1" t="str">
        <f aca="false">metadata!B57</f>
        <v>BUS_UB_15_HY</v>
      </c>
      <c r="BK1" s="1" t="str">
        <f aca="false">metadata!B58</f>
        <v>BUS_ELEC</v>
      </c>
      <c r="BL1" s="1" t="str">
        <f aca="false">metadata!B59</f>
        <v>MC_2S_50_G</v>
      </c>
      <c r="BM1" s="1" t="str">
        <f aca="false">metadata!B60</f>
        <v>MC_4S_50_250_G</v>
      </c>
      <c r="BN1" s="1" t="str">
        <f aca="false">metadata!B61</f>
        <v>MC_4S_250_750_G</v>
      </c>
      <c r="BO1" s="1" t="str">
        <f aca="false">metadata!B62</f>
        <v>MC_4S_750_G</v>
      </c>
      <c r="BP1" s="1" t="str">
        <f aca="false">metadata!B63</f>
        <v>MC_ELEC</v>
      </c>
    </row>
    <row r="2" customFormat="false" ht="12.75" hidden="false" customHeight="false" outlineLevel="0" collapsed="false">
      <c r="A2" s="6" t="n">
        <v>2025</v>
      </c>
      <c r="B2" s="6" t="n">
        <v>2025</v>
      </c>
      <c r="C2" s="1" t="n">
        <v>3</v>
      </c>
      <c r="D2" s="1" t="s">
        <v>319</v>
      </c>
      <c r="E2" s="1" t="n">
        <v>3</v>
      </c>
      <c r="F2" s="1" t="n">
        <v>3</v>
      </c>
      <c r="G2" s="1" t="str">
        <f aca="false">_xlfn.CONCAT("Euro ",$C2)</f>
        <v>Euro 3</v>
      </c>
      <c r="H2" s="1" t="str">
        <f aca="false">_xlfn.CONCAT("Euro ",$C2)</f>
        <v>Euro 3</v>
      </c>
      <c r="I2" s="1" t="str">
        <f aca="false">_xlfn.CONCAT("Euro ",$C2)</f>
        <v>Euro 3</v>
      </c>
      <c r="J2" s="1" t="str">
        <f aca="false">_xlfn.CONCAT("Euro ",$C2)</f>
        <v>Euro 3</v>
      </c>
      <c r="K2" s="1" t="str">
        <f aca="false">_xlfn.CONCAT("Euro ",$C2)</f>
        <v>Euro 3</v>
      </c>
      <c r="L2" s="1" t="str">
        <f aca="false">_xlfn.CONCAT("Euro ",$C2)</f>
        <v>Euro 3</v>
      </c>
      <c r="M2" s="1" t="str">
        <f aca="false">_xlfn.CONCAT("Euro ",$C2)</f>
        <v>Euro 3</v>
      </c>
      <c r="N2" s="1" t="str">
        <f aca="false">_xlfn.CONCAT("Euro ",$C2)</f>
        <v>Euro 3</v>
      </c>
      <c r="O2" s="1" t="str">
        <f aca="false">_xlfn.CONCAT("Euro ",$C2)</f>
        <v>Euro 3</v>
      </c>
      <c r="P2" s="1" t="s">
        <v>320</v>
      </c>
      <c r="Q2" s="1" t="str">
        <f aca="false">_xlfn.CONCAT("Euro ",$C2)</f>
        <v>Euro 3</v>
      </c>
      <c r="R2" s="1" t="str">
        <f aca="false">_xlfn.CONCAT("Euro ",$C2)</f>
        <v>Euro 3</v>
      </c>
      <c r="S2" s="1" t="str">
        <f aca="false">_xlfn.CONCAT("Euro ",$C2)</f>
        <v>Euro 3</v>
      </c>
      <c r="T2" s="1" t="str">
        <f aca="false">_xlfn.CONCAT("Euro ",$C2)</f>
        <v>Euro 3</v>
      </c>
      <c r="U2" s="1" t="str">
        <f aca="false">_xlfn.CONCAT("Euro ",$C2)</f>
        <v>Euro 3</v>
      </c>
      <c r="V2" s="1" t="str">
        <f aca="false">_xlfn.CONCAT("Euro ",$C2)</f>
        <v>Euro 3</v>
      </c>
      <c r="W2" s="1" t="str">
        <f aca="false">_xlfn.CONCAT("Euro ",$C2)</f>
        <v>Euro 3</v>
      </c>
      <c r="X2" s="1" t="str">
        <f aca="false">_xlfn.CONCAT("Euro ",$C2)</f>
        <v>Euro 3</v>
      </c>
      <c r="Y2" s="1" t="str">
        <f aca="false">_xlfn.CONCAT("Euro ",$C2)</f>
        <v>Euro 3</v>
      </c>
      <c r="Z2" s="1" t="s">
        <v>320</v>
      </c>
      <c r="AA2" s="1" t="str">
        <f aca="false">_xlfn.CONCAT("Euro ",$D2)</f>
        <v>Euro III</v>
      </c>
      <c r="AB2" s="1" t="str">
        <f aca="false">_xlfn.CONCAT("Euro ",$D2)</f>
        <v>Euro III</v>
      </c>
      <c r="AC2" s="1" t="str">
        <f aca="false">_xlfn.CONCAT("Euro ",$D2)</f>
        <v>Euro III</v>
      </c>
      <c r="AD2" s="1" t="str">
        <f aca="false">_xlfn.CONCAT("Euro ",$D2)</f>
        <v>Euro III</v>
      </c>
      <c r="AE2" s="1" t="str">
        <f aca="false">_xlfn.CONCAT("Euro ",$D2)</f>
        <v>Euro III</v>
      </c>
      <c r="AF2" s="1" t="str">
        <f aca="false">_xlfn.CONCAT("Euro ",$D2)</f>
        <v>Euro III</v>
      </c>
      <c r="AG2" s="1" t="str">
        <f aca="false">_xlfn.CONCAT("Euro ",$D2)</f>
        <v>Euro III</v>
      </c>
      <c r="AH2" s="1" t="str">
        <f aca="false">_xlfn.CONCAT("Euro ",$D2)</f>
        <v>Euro III</v>
      </c>
      <c r="AI2" s="1" t="str">
        <f aca="false">_xlfn.CONCAT("Euro ",$D2)</f>
        <v>Euro III</v>
      </c>
      <c r="AJ2" s="1" t="str">
        <f aca="false">_xlfn.CONCAT("Euro ",$C2)</f>
        <v>Euro 3</v>
      </c>
      <c r="AK2" s="1" t="str">
        <f aca="false">_xlfn.CONCAT("Euro ",$C2)</f>
        <v>Euro 3</v>
      </c>
      <c r="AL2" s="1" t="str">
        <f aca="false">_xlfn.CONCAT("Euro ",$C2)</f>
        <v>Euro 3</v>
      </c>
      <c r="AM2" s="1" t="str">
        <f aca="false">_xlfn.CONCAT("Euro ",$C2)</f>
        <v>Euro 3</v>
      </c>
      <c r="AN2" s="1" t="str">
        <f aca="false">_xlfn.CONCAT("Euro ",$C2)</f>
        <v>Euro 3</v>
      </c>
      <c r="AO2" s="1" t="str">
        <f aca="false">_xlfn.CONCAT("Euro ",$C2)</f>
        <v>Euro 3</v>
      </c>
      <c r="AP2" s="1" t="str">
        <f aca="false">_xlfn.CONCAT("Euro ",$C2)</f>
        <v>Euro 3</v>
      </c>
      <c r="AQ2" s="1" t="str">
        <f aca="false">_xlfn.CONCAT("Euro ",$C2)</f>
        <v>Euro 3</v>
      </c>
      <c r="AR2" s="1" t="str">
        <f aca="false">_xlfn.CONCAT("Euro ",$C2)</f>
        <v>Euro 3</v>
      </c>
      <c r="AS2" s="1" t="str">
        <f aca="false">_xlfn.CONCAT("Euro ",$D2)</f>
        <v>Euro III</v>
      </c>
      <c r="AT2" s="1" t="str">
        <f aca="false">_xlfn.CONCAT("Euro ",$D2)</f>
        <v>Euro III</v>
      </c>
      <c r="AU2" s="1" t="str">
        <f aca="false">_xlfn.CONCAT("Euro ",$D2)</f>
        <v>Euro III</v>
      </c>
      <c r="AV2" s="1" t="str">
        <f aca="false">_xlfn.CONCAT("Euro ",$D2)</f>
        <v>Euro III</v>
      </c>
      <c r="AW2" s="1" t="str">
        <f aca="false">_xlfn.CONCAT("Euro ",$D2)</f>
        <v>Euro III</v>
      </c>
      <c r="AX2" s="1" t="str">
        <f aca="false">_xlfn.CONCAT("Euro ",$D2)</f>
        <v>Euro III</v>
      </c>
      <c r="AY2" s="1" t="str">
        <f aca="false">_xlfn.CONCAT("Euro ",$C2)</f>
        <v>Euro 3</v>
      </c>
      <c r="AZ2" s="1" t="str">
        <f aca="false">_xlfn.CONCAT("Euro ",$D2)</f>
        <v>Euro III</v>
      </c>
      <c r="BA2" s="1" t="str">
        <f aca="false">_xlfn.CONCAT("Euro ",$D2)</f>
        <v>Euro III</v>
      </c>
      <c r="BB2" s="1" t="str">
        <f aca="false">_xlfn.CONCAT("Euro ",$D2)</f>
        <v>Euro III</v>
      </c>
      <c r="BC2" s="1" t="str">
        <f aca="false">_xlfn.CONCAT("Euro ",$D2)</f>
        <v>Euro III</v>
      </c>
      <c r="BD2" s="1" t="str">
        <f aca="false">_xlfn.CONCAT("Euro ",$D2)</f>
        <v>Euro III</v>
      </c>
      <c r="BE2" s="1" t="str">
        <f aca="false">_xlfn.CONCAT("Euro ",$D2)</f>
        <v>Euro III</v>
      </c>
      <c r="BF2" s="1" t="str">
        <f aca="false">_xlfn.CONCAT("Euro ",$D2)</f>
        <v>Euro III</v>
      </c>
      <c r="BG2" s="1" t="str">
        <f aca="false">_xlfn.CONCAT("Euro ",$D2)</f>
        <v>Euro III</v>
      </c>
      <c r="BH2" s="1" t="str">
        <f aca="false">_xlfn.CONCAT("Euro ",$C2)</f>
        <v>Euro 3</v>
      </c>
      <c r="BI2" s="1" t="str">
        <f aca="false">_xlfn.CONCAT("Euro ",$C2)</f>
        <v>Euro 3</v>
      </c>
      <c r="BJ2" s="1" t="s">
        <v>320</v>
      </c>
      <c r="BK2" s="1" t="str">
        <f aca="false">_xlfn.CONCAT("Euro ",$C2)</f>
        <v>Euro 3</v>
      </c>
      <c r="BL2" s="1" t="str">
        <f aca="false">_xlfn.CONCAT("Euro ",$C2)</f>
        <v>Euro 3</v>
      </c>
      <c r="BM2" s="1" t="str">
        <f aca="false">_xlfn.CONCAT("Euro ",$C2)</f>
        <v>Euro 3</v>
      </c>
      <c r="BN2" s="1" t="str">
        <f aca="false">_xlfn.CONCAT("Euro ",$C2)</f>
        <v>Euro 3</v>
      </c>
      <c r="BO2" s="1" t="str">
        <f aca="false">_xlfn.CONCAT("Euro ",$C2)</f>
        <v>Euro 3</v>
      </c>
      <c r="BP2" s="1" t="str">
        <f aca="false">_xlfn.CONCAT("Euro ",$C2)</f>
        <v>Euro 3</v>
      </c>
    </row>
    <row r="3" customFormat="false" ht="12.75" hidden="false" customHeight="false" outlineLevel="0" collapsed="false">
      <c r="A3" s="6" t="n">
        <v>2024</v>
      </c>
      <c r="B3" s="6" t="n">
        <v>2024</v>
      </c>
      <c r="C3" s="1" t="n">
        <v>3</v>
      </c>
      <c r="D3" s="1" t="s">
        <v>319</v>
      </c>
      <c r="E3" s="1" t="n">
        <v>3</v>
      </c>
      <c r="F3" s="1" t="n">
        <v>3</v>
      </c>
      <c r="G3" s="1" t="str">
        <f aca="false">_xlfn.CONCAT("Euro ",$C3)</f>
        <v>Euro 3</v>
      </c>
      <c r="H3" s="1" t="str">
        <f aca="false">_xlfn.CONCAT("Euro ",$C3)</f>
        <v>Euro 3</v>
      </c>
      <c r="I3" s="1" t="str">
        <f aca="false">_xlfn.CONCAT("Euro ",$C3)</f>
        <v>Euro 3</v>
      </c>
      <c r="J3" s="1" t="str">
        <f aca="false">_xlfn.CONCAT("Euro ",$C3)</f>
        <v>Euro 3</v>
      </c>
      <c r="K3" s="1" t="str">
        <f aca="false">_xlfn.CONCAT("Euro ",$C3)</f>
        <v>Euro 3</v>
      </c>
      <c r="L3" s="1" t="str">
        <f aca="false">_xlfn.CONCAT("Euro ",$C3)</f>
        <v>Euro 3</v>
      </c>
      <c r="M3" s="1" t="str">
        <f aca="false">_xlfn.CONCAT("Euro ",$C3)</f>
        <v>Euro 3</v>
      </c>
      <c r="N3" s="1" t="str">
        <f aca="false">_xlfn.CONCAT("Euro ",$C3)</f>
        <v>Euro 3</v>
      </c>
      <c r="O3" s="1" t="str">
        <f aca="false">_xlfn.CONCAT("Euro ",$C3)</f>
        <v>Euro 3</v>
      </c>
      <c r="P3" s="1" t="s">
        <v>320</v>
      </c>
      <c r="Q3" s="1" t="str">
        <f aca="false">_xlfn.CONCAT("Euro ",$C3)</f>
        <v>Euro 3</v>
      </c>
      <c r="R3" s="1" t="str">
        <f aca="false">_xlfn.CONCAT("Euro ",$C3)</f>
        <v>Euro 3</v>
      </c>
      <c r="S3" s="1" t="str">
        <f aca="false">_xlfn.CONCAT("Euro ",$C3)</f>
        <v>Euro 3</v>
      </c>
      <c r="T3" s="1" t="str">
        <f aca="false">_xlfn.CONCAT("Euro ",$C3)</f>
        <v>Euro 3</v>
      </c>
      <c r="U3" s="1" t="str">
        <f aca="false">_xlfn.CONCAT("Euro ",$C3)</f>
        <v>Euro 3</v>
      </c>
      <c r="V3" s="1" t="str">
        <f aca="false">_xlfn.CONCAT("Euro ",$C3)</f>
        <v>Euro 3</v>
      </c>
      <c r="W3" s="1" t="str">
        <f aca="false">_xlfn.CONCAT("Euro ",$C3)</f>
        <v>Euro 3</v>
      </c>
      <c r="X3" s="1" t="str">
        <f aca="false">_xlfn.CONCAT("Euro ",$C3)</f>
        <v>Euro 3</v>
      </c>
      <c r="Y3" s="1" t="str">
        <f aca="false">_xlfn.CONCAT("Euro ",$C3)</f>
        <v>Euro 3</v>
      </c>
      <c r="Z3" s="1" t="s">
        <v>320</v>
      </c>
      <c r="AA3" s="1" t="str">
        <f aca="false">_xlfn.CONCAT("Euro ",$D3)</f>
        <v>Euro III</v>
      </c>
      <c r="AB3" s="1" t="str">
        <f aca="false">_xlfn.CONCAT("Euro ",$D3)</f>
        <v>Euro III</v>
      </c>
      <c r="AC3" s="1" t="str">
        <f aca="false">_xlfn.CONCAT("Euro ",$D3)</f>
        <v>Euro III</v>
      </c>
      <c r="AD3" s="1" t="str">
        <f aca="false">_xlfn.CONCAT("Euro ",$D3)</f>
        <v>Euro III</v>
      </c>
      <c r="AE3" s="1" t="str">
        <f aca="false">_xlfn.CONCAT("Euro ",$D3)</f>
        <v>Euro III</v>
      </c>
      <c r="AF3" s="1" t="str">
        <f aca="false">_xlfn.CONCAT("Euro ",$D3)</f>
        <v>Euro III</v>
      </c>
      <c r="AG3" s="1" t="str">
        <f aca="false">_xlfn.CONCAT("Euro ",$D3)</f>
        <v>Euro III</v>
      </c>
      <c r="AH3" s="1" t="str">
        <f aca="false">_xlfn.CONCAT("Euro ",$D3)</f>
        <v>Euro III</v>
      </c>
      <c r="AI3" s="1" t="str">
        <f aca="false">_xlfn.CONCAT("Euro ",$D3)</f>
        <v>Euro III</v>
      </c>
      <c r="AJ3" s="1" t="str">
        <f aca="false">_xlfn.CONCAT("Euro ",$C3)</f>
        <v>Euro 3</v>
      </c>
      <c r="AK3" s="1" t="str">
        <f aca="false">_xlfn.CONCAT("Euro ",$C3)</f>
        <v>Euro 3</v>
      </c>
      <c r="AL3" s="1" t="str">
        <f aca="false">_xlfn.CONCAT("Euro ",$C3)</f>
        <v>Euro 3</v>
      </c>
      <c r="AM3" s="1" t="str">
        <f aca="false">_xlfn.CONCAT("Euro ",$C3)</f>
        <v>Euro 3</v>
      </c>
      <c r="AN3" s="1" t="str">
        <f aca="false">_xlfn.CONCAT("Euro ",$C3)</f>
        <v>Euro 3</v>
      </c>
      <c r="AO3" s="1" t="str">
        <f aca="false">_xlfn.CONCAT("Euro ",$C3)</f>
        <v>Euro 3</v>
      </c>
      <c r="AP3" s="1" t="str">
        <f aca="false">_xlfn.CONCAT("Euro ",$C3)</f>
        <v>Euro 3</v>
      </c>
      <c r="AQ3" s="1" t="str">
        <f aca="false">_xlfn.CONCAT("Euro ",$C3)</f>
        <v>Euro 3</v>
      </c>
      <c r="AR3" s="1" t="str">
        <f aca="false">_xlfn.CONCAT("Euro ",$C3)</f>
        <v>Euro 3</v>
      </c>
      <c r="AS3" s="1" t="str">
        <f aca="false">_xlfn.CONCAT("Euro ",$D3)</f>
        <v>Euro III</v>
      </c>
      <c r="AT3" s="1" t="str">
        <f aca="false">_xlfn.CONCAT("Euro ",$D3)</f>
        <v>Euro III</v>
      </c>
      <c r="AU3" s="1" t="str">
        <f aca="false">_xlfn.CONCAT("Euro ",$D3)</f>
        <v>Euro III</v>
      </c>
      <c r="AV3" s="1" t="str">
        <f aca="false">_xlfn.CONCAT("Euro ",$D3)</f>
        <v>Euro III</v>
      </c>
      <c r="AW3" s="1" t="str">
        <f aca="false">_xlfn.CONCAT("Euro ",$D3)</f>
        <v>Euro III</v>
      </c>
      <c r="AX3" s="1" t="str">
        <f aca="false">_xlfn.CONCAT("Euro ",$D3)</f>
        <v>Euro III</v>
      </c>
      <c r="AY3" s="1" t="str">
        <f aca="false">_xlfn.CONCAT("Euro ",$C3)</f>
        <v>Euro 3</v>
      </c>
      <c r="AZ3" s="1" t="str">
        <f aca="false">_xlfn.CONCAT("Euro ",$D3)</f>
        <v>Euro III</v>
      </c>
      <c r="BA3" s="1" t="str">
        <f aca="false">_xlfn.CONCAT("Euro ",$D3)</f>
        <v>Euro III</v>
      </c>
      <c r="BB3" s="1" t="str">
        <f aca="false">_xlfn.CONCAT("Euro ",$D3)</f>
        <v>Euro III</v>
      </c>
      <c r="BC3" s="1" t="str">
        <f aca="false">_xlfn.CONCAT("Euro ",$D3)</f>
        <v>Euro III</v>
      </c>
      <c r="BD3" s="1" t="str">
        <f aca="false">_xlfn.CONCAT("Euro ",$D3)</f>
        <v>Euro III</v>
      </c>
      <c r="BE3" s="1" t="str">
        <f aca="false">_xlfn.CONCAT("Euro ",$D3)</f>
        <v>Euro III</v>
      </c>
      <c r="BF3" s="1" t="str">
        <f aca="false">_xlfn.CONCAT("Euro ",$D3)</f>
        <v>Euro III</v>
      </c>
      <c r="BG3" s="1" t="str">
        <f aca="false">_xlfn.CONCAT("Euro ",$D3)</f>
        <v>Euro III</v>
      </c>
      <c r="BH3" s="1" t="str">
        <f aca="false">_xlfn.CONCAT("Euro ",$C3)</f>
        <v>Euro 3</v>
      </c>
      <c r="BI3" s="1" t="str">
        <f aca="false">_xlfn.CONCAT("Euro ",$C3)</f>
        <v>Euro 3</v>
      </c>
      <c r="BJ3" s="1" t="s">
        <v>320</v>
      </c>
      <c r="BK3" s="1" t="str">
        <f aca="false">_xlfn.CONCAT("Euro ",$C3)</f>
        <v>Euro 3</v>
      </c>
      <c r="BL3" s="1" t="str">
        <f aca="false">_xlfn.CONCAT("Euro ",$C3)</f>
        <v>Euro 3</v>
      </c>
      <c r="BM3" s="1" t="str">
        <f aca="false">_xlfn.CONCAT("Euro ",$C3)</f>
        <v>Euro 3</v>
      </c>
      <c r="BN3" s="1" t="str">
        <f aca="false">_xlfn.CONCAT("Euro ",$C3)</f>
        <v>Euro 3</v>
      </c>
      <c r="BO3" s="1" t="str">
        <f aca="false">_xlfn.CONCAT("Euro ",$C3)</f>
        <v>Euro 3</v>
      </c>
      <c r="BP3" s="1" t="str">
        <f aca="false">_xlfn.CONCAT("Euro ",$C3)</f>
        <v>Euro 3</v>
      </c>
    </row>
    <row r="4" customFormat="false" ht="12.75" hidden="false" customHeight="false" outlineLevel="0" collapsed="false">
      <c r="A4" s="6" t="n">
        <v>2023</v>
      </c>
      <c r="B4" s="6" t="n">
        <v>2023</v>
      </c>
      <c r="C4" s="1" t="n">
        <v>3</v>
      </c>
      <c r="D4" s="1" t="s">
        <v>319</v>
      </c>
      <c r="E4" s="1" t="n">
        <v>3</v>
      </c>
      <c r="F4" s="1" t="n">
        <v>3</v>
      </c>
      <c r="G4" s="1" t="str">
        <f aca="false">_xlfn.CONCAT("Euro ",$C4)</f>
        <v>Euro 3</v>
      </c>
      <c r="H4" s="1" t="str">
        <f aca="false">_xlfn.CONCAT("Euro ",$C4)</f>
        <v>Euro 3</v>
      </c>
      <c r="I4" s="1" t="str">
        <f aca="false">_xlfn.CONCAT("Euro ",$C4)</f>
        <v>Euro 3</v>
      </c>
      <c r="J4" s="1" t="str">
        <f aca="false">_xlfn.CONCAT("Euro ",$C4)</f>
        <v>Euro 3</v>
      </c>
      <c r="K4" s="1" t="str">
        <f aca="false">_xlfn.CONCAT("Euro ",$C4)</f>
        <v>Euro 3</v>
      </c>
      <c r="L4" s="1" t="str">
        <f aca="false">_xlfn.CONCAT("Euro ",$C4)</f>
        <v>Euro 3</v>
      </c>
      <c r="M4" s="1" t="str">
        <f aca="false">_xlfn.CONCAT("Euro ",$C4)</f>
        <v>Euro 3</v>
      </c>
      <c r="N4" s="1" t="str">
        <f aca="false">_xlfn.CONCAT("Euro ",$C4)</f>
        <v>Euro 3</v>
      </c>
      <c r="O4" s="1" t="str">
        <f aca="false">_xlfn.CONCAT("Euro ",$C4)</f>
        <v>Euro 3</v>
      </c>
      <c r="P4" s="1" t="s">
        <v>320</v>
      </c>
      <c r="Q4" s="1" t="str">
        <f aca="false">_xlfn.CONCAT("Euro ",$C4)</f>
        <v>Euro 3</v>
      </c>
      <c r="R4" s="1" t="str">
        <f aca="false">_xlfn.CONCAT("Euro ",$C4)</f>
        <v>Euro 3</v>
      </c>
      <c r="S4" s="1" t="str">
        <f aca="false">_xlfn.CONCAT("Euro ",$C4)</f>
        <v>Euro 3</v>
      </c>
      <c r="T4" s="1" t="str">
        <f aca="false">_xlfn.CONCAT("Euro ",$C4)</f>
        <v>Euro 3</v>
      </c>
      <c r="U4" s="1" t="str">
        <f aca="false">_xlfn.CONCAT("Euro ",$C4)</f>
        <v>Euro 3</v>
      </c>
      <c r="V4" s="1" t="str">
        <f aca="false">_xlfn.CONCAT("Euro ",$C4)</f>
        <v>Euro 3</v>
      </c>
      <c r="W4" s="1" t="str">
        <f aca="false">_xlfn.CONCAT("Euro ",$C4)</f>
        <v>Euro 3</v>
      </c>
      <c r="X4" s="1" t="str">
        <f aca="false">_xlfn.CONCAT("Euro ",$C4)</f>
        <v>Euro 3</v>
      </c>
      <c r="Y4" s="1" t="str">
        <f aca="false">_xlfn.CONCAT("Euro ",$C4)</f>
        <v>Euro 3</v>
      </c>
      <c r="Z4" s="1" t="s">
        <v>320</v>
      </c>
      <c r="AA4" s="1" t="str">
        <f aca="false">_xlfn.CONCAT("Euro ",$D4)</f>
        <v>Euro III</v>
      </c>
      <c r="AB4" s="1" t="str">
        <f aca="false">_xlfn.CONCAT("Euro ",$D4)</f>
        <v>Euro III</v>
      </c>
      <c r="AC4" s="1" t="str">
        <f aca="false">_xlfn.CONCAT("Euro ",$D4)</f>
        <v>Euro III</v>
      </c>
      <c r="AD4" s="1" t="str">
        <f aca="false">_xlfn.CONCAT("Euro ",$D4)</f>
        <v>Euro III</v>
      </c>
      <c r="AE4" s="1" t="str">
        <f aca="false">_xlfn.CONCAT("Euro ",$D4)</f>
        <v>Euro III</v>
      </c>
      <c r="AF4" s="1" t="str">
        <f aca="false">_xlfn.CONCAT("Euro ",$D4)</f>
        <v>Euro III</v>
      </c>
      <c r="AG4" s="1" t="str">
        <f aca="false">_xlfn.CONCAT("Euro ",$D4)</f>
        <v>Euro III</v>
      </c>
      <c r="AH4" s="1" t="str">
        <f aca="false">_xlfn.CONCAT("Euro ",$D4)</f>
        <v>Euro III</v>
      </c>
      <c r="AI4" s="1" t="str">
        <f aca="false">_xlfn.CONCAT("Euro ",$D4)</f>
        <v>Euro III</v>
      </c>
      <c r="AJ4" s="1" t="str">
        <f aca="false">_xlfn.CONCAT("Euro ",$C4)</f>
        <v>Euro 3</v>
      </c>
      <c r="AK4" s="1" t="str">
        <f aca="false">_xlfn.CONCAT("Euro ",$C4)</f>
        <v>Euro 3</v>
      </c>
      <c r="AL4" s="1" t="str">
        <f aca="false">_xlfn.CONCAT("Euro ",$C4)</f>
        <v>Euro 3</v>
      </c>
      <c r="AM4" s="1" t="str">
        <f aca="false">_xlfn.CONCAT("Euro ",$C4)</f>
        <v>Euro 3</v>
      </c>
      <c r="AN4" s="1" t="str">
        <f aca="false">_xlfn.CONCAT("Euro ",$C4)</f>
        <v>Euro 3</v>
      </c>
      <c r="AO4" s="1" t="str">
        <f aca="false">_xlfn.CONCAT("Euro ",$C4)</f>
        <v>Euro 3</v>
      </c>
      <c r="AP4" s="1" t="str">
        <f aca="false">_xlfn.CONCAT("Euro ",$C4)</f>
        <v>Euro 3</v>
      </c>
      <c r="AQ4" s="1" t="str">
        <f aca="false">_xlfn.CONCAT("Euro ",$C4)</f>
        <v>Euro 3</v>
      </c>
      <c r="AR4" s="1" t="str">
        <f aca="false">_xlfn.CONCAT("Euro ",$C4)</f>
        <v>Euro 3</v>
      </c>
      <c r="AS4" s="1" t="str">
        <f aca="false">_xlfn.CONCAT("Euro ",$D4)</f>
        <v>Euro III</v>
      </c>
      <c r="AT4" s="1" t="str">
        <f aca="false">_xlfn.CONCAT("Euro ",$D4)</f>
        <v>Euro III</v>
      </c>
      <c r="AU4" s="1" t="str">
        <f aca="false">_xlfn.CONCAT("Euro ",$D4)</f>
        <v>Euro III</v>
      </c>
      <c r="AV4" s="1" t="str">
        <f aca="false">_xlfn.CONCAT("Euro ",$D4)</f>
        <v>Euro III</v>
      </c>
      <c r="AW4" s="1" t="str">
        <f aca="false">_xlfn.CONCAT("Euro ",$D4)</f>
        <v>Euro III</v>
      </c>
      <c r="AX4" s="1" t="str">
        <f aca="false">_xlfn.CONCAT("Euro ",$D4)</f>
        <v>Euro III</v>
      </c>
      <c r="AY4" s="1" t="str">
        <f aca="false">_xlfn.CONCAT("Euro ",$C4)</f>
        <v>Euro 3</v>
      </c>
      <c r="AZ4" s="1" t="str">
        <f aca="false">_xlfn.CONCAT("Euro ",$D4)</f>
        <v>Euro III</v>
      </c>
      <c r="BA4" s="1" t="str">
        <f aca="false">_xlfn.CONCAT("Euro ",$D4)</f>
        <v>Euro III</v>
      </c>
      <c r="BB4" s="1" t="str">
        <f aca="false">_xlfn.CONCAT("Euro ",$D4)</f>
        <v>Euro III</v>
      </c>
      <c r="BC4" s="1" t="str">
        <f aca="false">_xlfn.CONCAT("Euro ",$D4)</f>
        <v>Euro III</v>
      </c>
      <c r="BD4" s="1" t="str">
        <f aca="false">_xlfn.CONCAT("Euro ",$D4)</f>
        <v>Euro III</v>
      </c>
      <c r="BE4" s="1" t="str">
        <f aca="false">_xlfn.CONCAT("Euro ",$D4)</f>
        <v>Euro III</v>
      </c>
      <c r="BF4" s="1" t="str">
        <f aca="false">_xlfn.CONCAT("Euro ",$D4)</f>
        <v>Euro III</v>
      </c>
      <c r="BG4" s="1" t="str">
        <f aca="false">_xlfn.CONCAT("Euro ",$D4)</f>
        <v>Euro III</v>
      </c>
      <c r="BH4" s="1" t="str">
        <f aca="false">_xlfn.CONCAT("Euro ",$C4)</f>
        <v>Euro 3</v>
      </c>
      <c r="BI4" s="1" t="str">
        <f aca="false">_xlfn.CONCAT("Euro ",$C4)</f>
        <v>Euro 3</v>
      </c>
      <c r="BJ4" s="1" t="s">
        <v>320</v>
      </c>
      <c r="BK4" s="1" t="str">
        <f aca="false">_xlfn.CONCAT("Euro ",$C4)</f>
        <v>Euro 3</v>
      </c>
      <c r="BL4" s="1" t="str">
        <f aca="false">_xlfn.CONCAT("Euro ",$C4)</f>
        <v>Euro 3</v>
      </c>
      <c r="BM4" s="1" t="str">
        <f aca="false">_xlfn.CONCAT("Euro ",$C4)</f>
        <v>Euro 3</v>
      </c>
      <c r="BN4" s="1" t="str">
        <f aca="false">_xlfn.CONCAT("Euro ",$C4)</f>
        <v>Euro 3</v>
      </c>
      <c r="BO4" s="1" t="str">
        <f aca="false">_xlfn.CONCAT("Euro ",$C4)</f>
        <v>Euro 3</v>
      </c>
      <c r="BP4" s="1" t="str">
        <f aca="false">_xlfn.CONCAT("Euro ",$C4)</f>
        <v>Euro 3</v>
      </c>
    </row>
    <row r="5" customFormat="false" ht="12.75" hidden="false" customHeight="false" outlineLevel="0" collapsed="false">
      <c r="A5" s="6" t="n">
        <v>2022</v>
      </c>
      <c r="B5" s="6" t="n">
        <v>2022</v>
      </c>
      <c r="C5" s="1" t="n">
        <v>3</v>
      </c>
      <c r="D5" s="1" t="s">
        <v>319</v>
      </c>
      <c r="E5" s="1" t="n">
        <v>3</v>
      </c>
      <c r="F5" s="1" t="n">
        <v>3</v>
      </c>
      <c r="G5" s="1" t="str">
        <f aca="false">_xlfn.CONCAT("Euro ",$C5)</f>
        <v>Euro 3</v>
      </c>
      <c r="H5" s="1" t="str">
        <f aca="false">_xlfn.CONCAT("Euro ",$C5)</f>
        <v>Euro 3</v>
      </c>
      <c r="I5" s="1" t="str">
        <f aca="false">_xlfn.CONCAT("Euro ",$C5)</f>
        <v>Euro 3</v>
      </c>
      <c r="J5" s="1" t="str">
        <f aca="false">_xlfn.CONCAT("Euro ",$C5)</f>
        <v>Euro 3</v>
      </c>
      <c r="K5" s="1" t="str">
        <f aca="false">_xlfn.CONCAT("Euro ",$C5)</f>
        <v>Euro 3</v>
      </c>
      <c r="L5" s="1" t="str">
        <f aca="false">_xlfn.CONCAT("Euro ",$C5)</f>
        <v>Euro 3</v>
      </c>
      <c r="M5" s="1" t="str">
        <f aca="false">_xlfn.CONCAT("Euro ",$C5)</f>
        <v>Euro 3</v>
      </c>
      <c r="N5" s="1" t="str">
        <f aca="false">_xlfn.CONCAT("Euro ",$C5)</f>
        <v>Euro 3</v>
      </c>
      <c r="O5" s="1" t="str">
        <f aca="false">_xlfn.CONCAT("Euro ",$C5)</f>
        <v>Euro 3</v>
      </c>
      <c r="P5" s="1" t="s">
        <v>320</v>
      </c>
      <c r="Q5" s="1" t="str">
        <f aca="false">_xlfn.CONCAT("Euro ",$C5)</f>
        <v>Euro 3</v>
      </c>
      <c r="R5" s="1" t="str">
        <f aca="false">_xlfn.CONCAT("Euro ",$C5)</f>
        <v>Euro 3</v>
      </c>
      <c r="S5" s="1" t="str">
        <f aca="false">_xlfn.CONCAT("Euro ",$C5)</f>
        <v>Euro 3</v>
      </c>
      <c r="T5" s="1" t="str">
        <f aca="false">_xlfn.CONCAT("Euro ",$C5)</f>
        <v>Euro 3</v>
      </c>
      <c r="U5" s="1" t="str">
        <f aca="false">_xlfn.CONCAT("Euro ",$C5)</f>
        <v>Euro 3</v>
      </c>
      <c r="V5" s="1" t="str">
        <f aca="false">_xlfn.CONCAT("Euro ",$C5)</f>
        <v>Euro 3</v>
      </c>
      <c r="W5" s="1" t="str">
        <f aca="false">_xlfn.CONCAT("Euro ",$C5)</f>
        <v>Euro 3</v>
      </c>
      <c r="X5" s="1" t="str">
        <f aca="false">_xlfn.CONCAT("Euro ",$C5)</f>
        <v>Euro 3</v>
      </c>
      <c r="Y5" s="1" t="str">
        <f aca="false">_xlfn.CONCAT("Euro ",$C5)</f>
        <v>Euro 3</v>
      </c>
      <c r="Z5" s="1" t="s">
        <v>320</v>
      </c>
      <c r="AA5" s="1" t="str">
        <f aca="false">_xlfn.CONCAT("Euro ",$D5)</f>
        <v>Euro III</v>
      </c>
      <c r="AB5" s="1" t="str">
        <f aca="false">_xlfn.CONCAT("Euro ",$D5)</f>
        <v>Euro III</v>
      </c>
      <c r="AC5" s="1" t="str">
        <f aca="false">_xlfn.CONCAT("Euro ",$D5)</f>
        <v>Euro III</v>
      </c>
      <c r="AD5" s="1" t="str">
        <f aca="false">_xlfn.CONCAT("Euro ",$D5)</f>
        <v>Euro III</v>
      </c>
      <c r="AE5" s="1" t="str">
        <f aca="false">_xlfn.CONCAT("Euro ",$D5)</f>
        <v>Euro III</v>
      </c>
      <c r="AF5" s="1" t="str">
        <f aca="false">_xlfn.CONCAT("Euro ",$D5)</f>
        <v>Euro III</v>
      </c>
      <c r="AG5" s="1" t="str">
        <f aca="false">_xlfn.CONCAT("Euro ",$D5)</f>
        <v>Euro III</v>
      </c>
      <c r="AH5" s="1" t="str">
        <f aca="false">_xlfn.CONCAT("Euro ",$D5)</f>
        <v>Euro III</v>
      </c>
      <c r="AI5" s="1" t="str">
        <f aca="false">_xlfn.CONCAT("Euro ",$D5)</f>
        <v>Euro III</v>
      </c>
      <c r="AJ5" s="1" t="str">
        <f aca="false">_xlfn.CONCAT("Euro ",$C5)</f>
        <v>Euro 3</v>
      </c>
      <c r="AK5" s="1" t="str">
        <f aca="false">_xlfn.CONCAT("Euro ",$C5)</f>
        <v>Euro 3</v>
      </c>
      <c r="AL5" s="1" t="str">
        <f aca="false">_xlfn.CONCAT("Euro ",$C5)</f>
        <v>Euro 3</v>
      </c>
      <c r="AM5" s="1" t="str">
        <f aca="false">_xlfn.CONCAT("Euro ",$C5)</f>
        <v>Euro 3</v>
      </c>
      <c r="AN5" s="1" t="str">
        <f aca="false">_xlfn.CONCAT("Euro ",$C5)</f>
        <v>Euro 3</v>
      </c>
      <c r="AO5" s="1" t="str">
        <f aca="false">_xlfn.CONCAT("Euro ",$C5)</f>
        <v>Euro 3</v>
      </c>
      <c r="AP5" s="1" t="str">
        <f aca="false">_xlfn.CONCAT("Euro ",$C5)</f>
        <v>Euro 3</v>
      </c>
      <c r="AQ5" s="1" t="str">
        <f aca="false">_xlfn.CONCAT("Euro ",$C5)</f>
        <v>Euro 3</v>
      </c>
      <c r="AR5" s="1" t="str">
        <f aca="false">_xlfn.CONCAT("Euro ",$C5)</f>
        <v>Euro 3</v>
      </c>
      <c r="AS5" s="1" t="str">
        <f aca="false">_xlfn.CONCAT("Euro ",$D5)</f>
        <v>Euro III</v>
      </c>
      <c r="AT5" s="1" t="str">
        <f aca="false">_xlfn.CONCAT("Euro ",$D5)</f>
        <v>Euro III</v>
      </c>
      <c r="AU5" s="1" t="str">
        <f aca="false">_xlfn.CONCAT("Euro ",$D5)</f>
        <v>Euro III</v>
      </c>
      <c r="AV5" s="1" t="str">
        <f aca="false">_xlfn.CONCAT("Euro ",$D5)</f>
        <v>Euro III</v>
      </c>
      <c r="AW5" s="1" t="str">
        <f aca="false">_xlfn.CONCAT("Euro ",$D5)</f>
        <v>Euro III</v>
      </c>
      <c r="AX5" s="1" t="str">
        <f aca="false">_xlfn.CONCAT("Euro ",$D5)</f>
        <v>Euro III</v>
      </c>
      <c r="AY5" s="1" t="str">
        <f aca="false">_xlfn.CONCAT("Euro ",$C5)</f>
        <v>Euro 3</v>
      </c>
      <c r="AZ5" s="1" t="str">
        <f aca="false">_xlfn.CONCAT("Euro ",$D5)</f>
        <v>Euro III</v>
      </c>
      <c r="BA5" s="1" t="str">
        <f aca="false">_xlfn.CONCAT("Euro ",$D5)</f>
        <v>Euro III</v>
      </c>
      <c r="BB5" s="1" t="str">
        <f aca="false">_xlfn.CONCAT("Euro ",$D5)</f>
        <v>Euro III</v>
      </c>
      <c r="BC5" s="1" t="str">
        <f aca="false">_xlfn.CONCAT("Euro ",$D5)</f>
        <v>Euro III</v>
      </c>
      <c r="BD5" s="1" t="str">
        <f aca="false">_xlfn.CONCAT("Euro ",$D5)</f>
        <v>Euro III</v>
      </c>
      <c r="BE5" s="1" t="str">
        <f aca="false">_xlfn.CONCAT("Euro ",$D5)</f>
        <v>Euro III</v>
      </c>
      <c r="BF5" s="1" t="str">
        <f aca="false">_xlfn.CONCAT("Euro ",$D5)</f>
        <v>Euro III</v>
      </c>
      <c r="BG5" s="1" t="str">
        <f aca="false">_xlfn.CONCAT("Euro ",$D5)</f>
        <v>Euro III</v>
      </c>
      <c r="BH5" s="1" t="str">
        <f aca="false">_xlfn.CONCAT("Euro ",$C5)</f>
        <v>Euro 3</v>
      </c>
      <c r="BI5" s="1" t="str">
        <f aca="false">_xlfn.CONCAT("Euro ",$C5)</f>
        <v>Euro 3</v>
      </c>
      <c r="BJ5" s="1" t="s">
        <v>320</v>
      </c>
      <c r="BK5" s="1" t="str">
        <f aca="false">_xlfn.CONCAT("Euro ",$C5)</f>
        <v>Euro 3</v>
      </c>
      <c r="BL5" s="1" t="str">
        <f aca="false">_xlfn.CONCAT("Euro ",$C5)</f>
        <v>Euro 3</v>
      </c>
      <c r="BM5" s="1" t="str">
        <f aca="false">_xlfn.CONCAT("Euro ",$C5)</f>
        <v>Euro 3</v>
      </c>
      <c r="BN5" s="1" t="str">
        <f aca="false">_xlfn.CONCAT("Euro ",$C5)</f>
        <v>Euro 3</v>
      </c>
      <c r="BO5" s="1" t="str">
        <f aca="false">_xlfn.CONCAT("Euro ",$C5)</f>
        <v>Euro 3</v>
      </c>
      <c r="BP5" s="1" t="str">
        <f aca="false">_xlfn.CONCAT("Euro ",$C5)</f>
        <v>Euro 3</v>
      </c>
    </row>
    <row r="6" customFormat="false" ht="12.75" hidden="false" customHeight="false" outlineLevel="0" collapsed="false">
      <c r="A6" s="6" t="n">
        <v>2021</v>
      </c>
      <c r="B6" s="6" t="n">
        <v>2021</v>
      </c>
      <c r="C6" s="1" t="n">
        <v>3</v>
      </c>
      <c r="D6" s="1" t="s">
        <v>319</v>
      </c>
      <c r="E6" s="1" t="n">
        <v>3</v>
      </c>
      <c r="F6" s="1" t="n">
        <v>3</v>
      </c>
      <c r="G6" s="1" t="str">
        <f aca="false">_xlfn.CONCAT("Euro ",$C6)</f>
        <v>Euro 3</v>
      </c>
      <c r="H6" s="1" t="str">
        <f aca="false">_xlfn.CONCAT("Euro ",$C6)</f>
        <v>Euro 3</v>
      </c>
      <c r="I6" s="1" t="str">
        <f aca="false">_xlfn.CONCAT("Euro ",$C6)</f>
        <v>Euro 3</v>
      </c>
      <c r="J6" s="1" t="str">
        <f aca="false">_xlfn.CONCAT("Euro ",$C6)</f>
        <v>Euro 3</v>
      </c>
      <c r="K6" s="1" t="str">
        <f aca="false">_xlfn.CONCAT("Euro ",$C6)</f>
        <v>Euro 3</v>
      </c>
      <c r="L6" s="1" t="str">
        <f aca="false">_xlfn.CONCAT("Euro ",$C6)</f>
        <v>Euro 3</v>
      </c>
      <c r="M6" s="1" t="str">
        <f aca="false">_xlfn.CONCAT("Euro ",$C6)</f>
        <v>Euro 3</v>
      </c>
      <c r="N6" s="1" t="str">
        <f aca="false">_xlfn.CONCAT("Euro ",$C6)</f>
        <v>Euro 3</v>
      </c>
      <c r="O6" s="1" t="str">
        <f aca="false">_xlfn.CONCAT("Euro ",$C6)</f>
        <v>Euro 3</v>
      </c>
      <c r="P6" s="1" t="s">
        <v>320</v>
      </c>
      <c r="Q6" s="1" t="str">
        <f aca="false">_xlfn.CONCAT("Euro ",$C6)</f>
        <v>Euro 3</v>
      </c>
      <c r="R6" s="1" t="str">
        <f aca="false">_xlfn.CONCAT("Euro ",$C6)</f>
        <v>Euro 3</v>
      </c>
      <c r="S6" s="1" t="str">
        <f aca="false">_xlfn.CONCAT("Euro ",$C6)</f>
        <v>Euro 3</v>
      </c>
      <c r="T6" s="1" t="str">
        <f aca="false">_xlfn.CONCAT("Euro ",$C6)</f>
        <v>Euro 3</v>
      </c>
      <c r="U6" s="1" t="str">
        <f aca="false">_xlfn.CONCAT("Euro ",$C6)</f>
        <v>Euro 3</v>
      </c>
      <c r="V6" s="1" t="str">
        <f aca="false">_xlfn.CONCAT("Euro ",$C6)</f>
        <v>Euro 3</v>
      </c>
      <c r="W6" s="1" t="str">
        <f aca="false">_xlfn.CONCAT("Euro ",$C6)</f>
        <v>Euro 3</v>
      </c>
      <c r="X6" s="1" t="str">
        <f aca="false">_xlfn.CONCAT("Euro ",$C6)</f>
        <v>Euro 3</v>
      </c>
      <c r="Y6" s="1" t="str">
        <f aca="false">_xlfn.CONCAT("Euro ",$C6)</f>
        <v>Euro 3</v>
      </c>
      <c r="Z6" s="1" t="s">
        <v>320</v>
      </c>
      <c r="AA6" s="1" t="str">
        <f aca="false">_xlfn.CONCAT("Euro ",$D6)</f>
        <v>Euro III</v>
      </c>
      <c r="AB6" s="1" t="str">
        <f aca="false">_xlfn.CONCAT("Euro ",$D6)</f>
        <v>Euro III</v>
      </c>
      <c r="AC6" s="1" t="str">
        <f aca="false">_xlfn.CONCAT("Euro ",$D6)</f>
        <v>Euro III</v>
      </c>
      <c r="AD6" s="1" t="str">
        <f aca="false">_xlfn.CONCAT("Euro ",$D6)</f>
        <v>Euro III</v>
      </c>
      <c r="AE6" s="1" t="str">
        <f aca="false">_xlfn.CONCAT("Euro ",$D6)</f>
        <v>Euro III</v>
      </c>
      <c r="AF6" s="1" t="str">
        <f aca="false">_xlfn.CONCAT("Euro ",$D6)</f>
        <v>Euro III</v>
      </c>
      <c r="AG6" s="1" t="str">
        <f aca="false">_xlfn.CONCAT("Euro ",$D6)</f>
        <v>Euro III</v>
      </c>
      <c r="AH6" s="1" t="str">
        <f aca="false">_xlfn.CONCAT("Euro ",$D6)</f>
        <v>Euro III</v>
      </c>
      <c r="AI6" s="1" t="str">
        <f aca="false">_xlfn.CONCAT("Euro ",$D6)</f>
        <v>Euro III</v>
      </c>
      <c r="AJ6" s="1" t="str">
        <f aca="false">_xlfn.CONCAT("Euro ",$C6)</f>
        <v>Euro 3</v>
      </c>
      <c r="AK6" s="1" t="str">
        <f aca="false">_xlfn.CONCAT("Euro ",$C6)</f>
        <v>Euro 3</v>
      </c>
      <c r="AL6" s="1" t="str">
        <f aca="false">_xlfn.CONCAT("Euro ",$C6)</f>
        <v>Euro 3</v>
      </c>
      <c r="AM6" s="1" t="str">
        <f aca="false">_xlfn.CONCAT("Euro ",$C6)</f>
        <v>Euro 3</v>
      </c>
      <c r="AN6" s="1" t="str">
        <f aca="false">_xlfn.CONCAT("Euro ",$C6)</f>
        <v>Euro 3</v>
      </c>
      <c r="AO6" s="1" t="str">
        <f aca="false">_xlfn.CONCAT("Euro ",$C6)</f>
        <v>Euro 3</v>
      </c>
      <c r="AP6" s="1" t="str">
        <f aca="false">_xlfn.CONCAT("Euro ",$C6)</f>
        <v>Euro 3</v>
      </c>
      <c r="AQ6" s="1" t="str">
        <f aca="false">_xlfn.CONCAT("Euro ",$C6)</f>
        <v>Euro 3</v>
      </c>
      <c r="AR6" s="1" t="str">
        <f aca="false">_xlfn.CONCAT("Euro ",$C6)</f>
        <v>Euro 3</v>
      </c>
      <c r="AS6" s="1" t="str">
        <f aca="false">_xlfn.CONCAT("Euro ",$D6)</f>
        <v>Euro III</v>
      </c>
      <c r="AT6" s="1" t="str">
        <f aca="false">_xlfn.CONCAT("Euro ",$D6)</f>
        <v>Euro III</v>
      </c>
      <c r="AU6" s="1" t="str">
        <f aca="false">_xlfn.CONCAT("Euro ",$D6)</f>
        <v>Euro III</v>
      </c>
      <c r="AV6" s="1" t="str">
        <f aca="false">_xlfn.CONCAT("Euro ",$D6)</f>
        <v>Euro III</v>
      </c>
      <c r="AW6" s="1" t="str">
        <f aca="false">_xlfn.CONCAT("Euro ",$D6)</f>
        <v>Euro III</v>
      </c>
      <c r="AX6" s="1" t="str">
        <f aca="false">_xlfn.CONCAT("Euro ",$D6)</f>
        <v>Euro III</v>
      </c>
      <c r="AY6" s="1" t="str">
        <f aca="false">_xlfn.CONCAT("Euro ",$C6)</f>
        <v>Euro 3</v>
      </c>
      <c r="AZ6" s="1" t="str">
        <f aca="false">_xlfn.CONCAT("Euro ",$D6)</f>
        <v>Euro III</v>
      </c>
      <c r="BA6" s="1" t="str">
        <f aca="false">_xlfn.CONCAT("Euro ",$D6)</f>
        <v>Euro III</v>
      </c>
      <c r="BB6" s="1" t="str">
        <f aca="false">_xlfn.CONCAT("Euro ",$D6)</f>
        <v>Euro III</v>
      </c>
      <c r="BC6" s="1" t="str">
        <f aca="false">_xlfn.CONCAT("Euro ",$D6)</f>
        <v>Euro III</v>
      </c>
      <c r="BD6" s="1" t="str">
        <f aca="false">_xlfn.CONCAT("Euro ",$D6)</f>
        <v>Euro III</v>
      </c>
      <c r="BE6" s="1" t="str">
        <f aca="false">_xlfn.CONCAT("Euro ",$D6)</f>
        <v>Euro III</v>
      </c>
      <c r="BF6" s="1" t="str">
        <f aca="false">_xlfn.CONCAT("Euro ",$D6)</f>
        <v>Euro III</v>
      </c>
      <c r="BG6" s="1" t="str">
        <f aca="false">_xlfn.CONCAT("Euro ",$D6)</f>
        <v>Euro III</v>
      </c>
      <c r="BH6" s="1" t="str">
        <f aca="false">_xlfn.CONCAT("Euro ",$C6)</f>
        <v>Euro 3</v>
      </c>
      <c r="BI6" s="1" t="str">
        <f aca="false">_xlfn.CONCAT("Euro ",$C6)</f>
        <v>Euro 3</v>
      </c>
      <c r="BJ6" s="1" t="s">
        <v>320</v>
      </c>
      <c r="BK6" s="1" t="str">
        <f aca="false">_xlfn.CONCAT("Euro ",$C6)</f>
        <v>Euro 3</v>
      </c>
      <c r="BL6" s="1" t="str">
        <f aca="false">_xlfn.CONCAT("Euro ",$C6)</f>
        <v>Euro 3</v>
      </c>
      <c r="BM6" s="1" t="str">
        <f aca="false">_xlfn.CONCAT("Euro ",$C6)</f>
        <v>Euro 3</v>
      </c>
      <c r="BN6" s="1" t="str">
        <f aca="false">_xlfn.CONCAT("Euro ",$C6)</f>
        <v>Euro 3</v>
      </c>
      <c r="BO6" s="1" t="str">
        <f aca="false">_xlfn.CONCAT("Euro ",$C6)</f>
        <v>Euro 3</v>
      </c>
      <c r="BP6" s="1" t="str">
        <f aca="false">_xlfn.CONCAT("Euro ",$C6)</f>
        <v>Euro 3</v>
      </c>
    </row>
    <row r="7" customFormat="false" ht="12.75" hidden="false" customHeight="false" outlineLevel="0" collapsed="false">
      <c r="A7" s="6" t="n">
        <v>2020</v>
      </c>
      <c r="B7" s="6" t="n">
        <v>2020</v>
      </c>
      <c r="C7" s="1" t="n">
        <v>3</v>
      </c>
      <c r="D7" s="1" t="s">
        <v>319</v>
      </c>
      <c r="E7" s="1" t="n">
        <v>3</v>
      </c>
      <c r="F7" s="1" t="n">
        <v>3</v>
      </c>
      <c r="G7" s="1" t="str">
        <f aca="false">_xlfn.CONCAT("Euro ",$C7)</f>
        <v>Euro 3</v>
      </c>
      <c r="H7" s="1" t="str">
        <f aca="false">_xlfn.CONCAT("Euro ",$C7)</f>
        <v>Euro 3</v>
      </c>
      <c r="I7" s="1" t="str">
        <f aca="false">_xlfn.CONCAT("Euro ",$C7)</f>
        <v>Euro 3</v>
      </c>
      <c r="J7" s="1" t="str">
        <f aca="false">_xlfn.CONCAT("Euro ",$C7)</f>
        <v>Euro 3</v>
      </c>
      <c r="K7" s="1" t="str">
        <f aca="false">_xlfn.CONCAT("Euro ",$C7)</f>
        <v>Euro 3</v>
      </c>
      <c r="L7" s="1" t="str">
        <f aca="false">_xlfn.CONCAT("Euro ",$C7)</f>
        <v>Euro 3</v>
      </c>
      <c r="M7" s="1" t="str">
        <f aca="false">_xlfn.CONCAT("Euro ",$C7)</f>
        <v>Euro 3</v>
      </c>
      <c r="N7" s="1" t="str">
        <f aca="false">_xlfn.CONCAT("Euro ",$C7)</f>
        <v>Euro 3</v>
      </c>
      <c r="O7" s="1" t="str">
        <f aca="false">_xlfn.CONCAT("Euro ",$C7)</f>
        <v>Euro 3</v>
      </c>
      <c r="P7" s="1" t="s">
        <v>320</v>
      </c>
      <c r="Q7" s="1" t="str">
        <f aca="false">_xlfn.CONCAT("Euro ",$C7)</f>
        <v>Euro 3</v>
      </c>
      <c r="R7" s="1" t="str">
        <f aca="false">_xlfn.CONCAT("Euro ",$C7)</f>
        <v>Euro 3</v>
      </c>
      <c r="S7" s="1" t="str">
        <f aca="false">_xlfn.CONCAT("Euro ",$C7)</f>
        <v>Euro 3</v>
      </c>
      <c r="T7" s="1" t="str">
        <f aca="false">_xlfn.CONCAT("Euro ",$C7)</f>
        <v>Euro 3</v>
      </c>
      <c r="U7" s="1" t="str">
        <f aca="false">_xlfn.CONCAT("Euro ",$C7)</f>
        <v>Euro 3</v>
      </c>
      <c r="V7" s="1" t="str">
        <f aca="false">_xlfn.CONCAT("Euro ",$C7)</f>
        <v>Euro 3</v>
      </c>
      <c r="W7" s="1" t="str">
        <f aca="false">_xlfn.CONCAT("Euro ",$C7)</f>
        <v>Euro 3</v>
      </c>
      <c r="X7" s="1" t="str">
        <f aca="false">_xlfn.CONCAT("Euro ",$C7)</f>
        <v>Euro 3</v>
      </c>
      <c r="Y7" s="1" t="str">
        <f aca="false">_xlfn.CONCAT("Euro ",$C7)</f>
        <v>Euro 3</v>
      </c>
      <c r="Z7" s="1" t="s">
        <v>320</v>
      </c>
      <c r="AA7" s="1" t="str">
        <f aca="false">_xlfn.CONCAT("Euro ",$D7)</f>
        <v>Euro III</v>
      </c>
      <c r="AB7" s="1" t="str">
        <f aca="false">_xlfn.CONCAT("Euro ",$D7)</f>
        <v>Euro III</v>
      </c>
      <c r="AC7" s="1" t="str">
        <f aca="false">_xlfn.CONCAT("Euro ",$D7)</f>
        <v>Euro III</v>
      </c>
      <c r="AD7" s="1" t="str">
        <f aca="false">_xlfn.CONCAT("Euro ",$D7)</f>
        <v>Euro III</v>
      </c>
      <c r="AE7" s="1" t="str">
        <f aca="false">_xlfn.CONCAT("Euro ",$D7)</f>
        <v>Euro III</v>
      </c>
      <c r="AF7" s="1" t="str">
        <f aca="false">_xlfn.CONCAT("Euro ",$D7)</f>
        <v>Euro III</v>
      </c>
      <c r="AG7" s="1" t="str">
        <f aca="false">_xlfn.CONCAT("Euro ",$D7)</f>
        <v>Euro III</v>
      </c>
      <c r="AH7" s="1" t="str">
        <f aca="false">_xlfn.CONCAT("Euro ",$D7)</f>
        <v>Euro III</v>
      </c>
      <c r="AI7" s="1" t="str">
        <f aca="false">_xlfn.CONCAT("Euro ",$D7)</f>
        <v>Euro III</v>
      </c>
      <c r="AJ7" s="1" t="str">
        <f aca="false">_xlfn.CONCAT("Euro ",$C7)</f>
        <v>Euro 3</v>
      </c>
      <c r="AK7" s="1" t="str">
        <f aca="false">_xlfn.CONCAT("Euro ",$C7)</f>
        <v>Euro 3</v>
      </c>
      <c r="AL7" s="1" t="str">
        <f aca="false">_xlfn.CONCAT("Euro ",$C7)</f>
        <v>Euro 3</v>
      </c>
      <c r="AM7" s="1" t="str">
        <f aca="false">_xlfn.CONCAT("Euro ",$C7)</f>
        <v>Euro 3</v>
      </c>
      <c r="AN7" s="1" t="str">
        <f aca="false">_xlfn.CONCAT("Euro ",$C7)</f>
        <v>Euro 3</v>
      </c>
      <c r="AO7" s="1" t="str">
        <f aca="false">_xlfn.CONCAT("Euro ",$C7)</f>
        <v>Euro 3</v>
      </c>
      <c r="AP7" s="1" t="str">
        <f aca="false">_xlfn.CONCAT("Euro ",$C7)</f>
        <v>Euro 3</v>
      </c>
      <c r="AQ7" s="1" t="str">
        <f aca="false">_xlfn.CONCAT("Euro ",$C7)</f>
        <v>Euro 3</v>
      </c>
      <c r="AR7" s="1" t="str">
        <f aca="false">_xlfn.CONCAT("Euro ",$C7)</f>
        <v>Euro 3</v>
      </c>
      <c r="AS7" s="1" t="str">
        <f aca="false">_xlfn.CONCAT("Euro ",$D7)</f>
        <v>Euro III</v>
      </c>
      <c r="AT7" s="1" t="str">
        <f aca="false">_xlfn.CONCAT("Euro ",$D7)</f>
        <v>Euro III</v>
      </c>
      <c r="AU7" s="1" t="str">
        <f aca="false">_xlfn.CONCAT("Euro ",$D7)</f>
        <v>Euro III</v>
      </c>
      <c r="AV7" s="1" t="str">
        <f aca="false">_xlfn.CONCAT("Euro ",$D7)</f>
        <v>Euro III</v>
      </c>
      <c r="AW7" s="1" t="str">
        <f aca="false">_xlfn.CONCAT("Euro ",$D7)</f>
        <v>Euro III</v>
      </c>
      <c r="AX7" s="1" t="str">
        <f aca="false">_xlfn.CONCAT("Euro ",$D7)</f>
        <v>Euro III</v>
      </c>
      <c r="AY7" s="1" t="str">
        <f aca="false">_xlfn.CONCAT("Euro ",$C7)</f>
        <v>Euro 3</v>
      </c>
      <c r="AZ7" s="1" t="str">
        <f aca="false">_xlfn.CONCAT("Euro ",$D7)</f>
        <v>Euro III</v>
      </c>
      <c r="BA7" s="1" t="str">
        <f aca="false">_xlfn.CONCAT("Euro ",$D7)</f>
        <v>Euro III</v>
      </c>
      <c r="BB7" s="1" t="str">
        <f aca="false">_xlfn.CONCAT("Euro ",$D7)</f>
        <v>Euro III</v>
      </c>
      <c r="BC7" s="1" t="str">
        <f aca="false">_xlfn.CONCAT("Euro ",$D7)</f>
        <v>Euro III</v>
      </c>
      <c r="BD7" s="1" t="str">
        <f aca="false">_xlfn.CONCAT("Euro ",$D7)</f>
        <v>Euro III</v>
      </c>
      <c r="BE7" s="1" t="str">
        <f aca="false">_xlfn.CONCAT("Euro ",$D7)</f>
        <v>Euro III</v>
      </c>
      <c r="BF7" s="1" t="str">
        <f aca="false">_xlfn.CONCAT("Euro ",$D7)</f>
        <v>Euro III</v>
      </c>
      <c r="BG7" s="1" t="str">
        <f aca="false">_xlfn.CONCAT("Euro ",$D7)</f>
        <v>Euro III</v>
      </c>
      <c r="BH7" s="1" t="str">
        <f aca="false">_xlfn.CONCAT("Euro ",$C7)</f>
        <v>Euro 3</v>
      </c>
      <c r="BI7" s="1" t="str">
        <f aca="false">_xlfn.CONCAT("Euro ",$C7)</f>
        <v>Euro 3</v>
      </c>
      <c r="BJ7" s="1" t="s">
        <v>320</v>
      </c>
      <c r="BK7" s="1" t="str">
        <f aca="false">_xlfn.CONCAT("Euro ",$C7)</f>
        <v>Euro 3</v>
      </c>
      <c r="BL7" s="1" t="str">
        <f aca="false">_xlfn.CONCAT("Euro ",$C7)</f>
        <v>Euro 3</v>
      </c>
      <c r="BM7" s="1" t="str">
        <f aca="false">_xlfn.CONCAT("Euro ",$C7)</f>
        <v>Euro 3</v>
      </c>
      <c r="BN7" s="1" t="str">
        <f aca="false">_xlfn.CONCAT("Euro ",$C7)</f>
        <v>Euro 3</v>
      </c>
      <c r="BO7" s="1" t="str">
        <f aca="false">_xlfn.CONCAT("Euro ",$C7)</f>
        <v>Euro 3</v>
      </c>
      <c r="BP7" s="1" t="str">
        <f aca="false">_xlfn.CONCAT("Euro ",$C7)</f>
        <v>Euro 3</v>
      </c>
    </row>
    <row r="8" customFormat="false" ht="12.75" hidden="false" customHeight="false" outlineLevel="0" collapsed="false">
      <c r="A8" s="1" t="n">
        <v>2019</v>
      </c>
      <c r="B8" s="1" t="n">
        <v>2019</v>
      </c>
      <c r="C8" s="1" t="n">
        <v>3</v>
      </c>
      <c r="D8" s="1" t="s">
        <v>319</v>
      </c>
      <c r="E8" s="1" t="n">
        <v>3</v>
      </c>
      <c r="F8" s="1" t="n">
        <v>3</v>
      </c>
      <c r="G8" s="1" t="str">
        <f aca="false">_xlfn.CONCAT("Euro ",$C8)</f>
        <v>Euro 3</v>
      </c>
      <c r="H8" s="1" t="str">
        <f aca="false">_xlfn.CONCAT("Euro ",$C8)</f>
        <v>Euro 3</v>
      </c>
      <c r="I8" s="1" t="str">
        <f aca="false">_xlfn.CONCAT("Euro ",$C8)</f>
        <v>Euro 3</v>
      </c>
      <c r="J8" s="1" t="str">
        <f aca="false">_xlfn.CONCAT("Euro ",$C8)</f>
        <v>Euro 3</v>
      </c>
      <c r="K8" s="1" t="str">
        <f aca="false">_xlfn.CONCAT("Euro ",$C8)</f>
        <v>Euro 3</v>
      </c>
      <c r="L8" s="1" t="str">
        <f aca="false">_xlfn.CONCAT("Euro ",$C8)</f>
        <v>Euro 3</v>
      </c>
      <c r="M8" s="1" t="str">
        <f aca="false">_xlfn.CONCAT("Euro ",$C8)</f>
        <v>Euro 3</v>
      </c>
      <c r="N8" s="1" t="str">
        <f aca="false">_xlfn.CONCAT("Euro ",$C8)</f>
        <v>Euro 3</v>
      </c>
      <c r="O8" s="1" t="str">
        <f aca="false">_xlfn.CONCAT("Euro ",$C8)</f>
        <v>Euro 3</v>
      </c>
      <c r="P8" s="1" t="s">
        <v>320</v>
      </c>
      <c r="Q8" s="1" t="str">
        <f aca="false">_xlfn.CONCAT("Euro ",$C8)</f>
        <v>Euro 3</v>
      </c>
      <c r="R8" s="1" t="str">
        <f aca="false">_xlfn.CONCAT("Euro ",$C8)</f>
        <v>Euro 3</v>
      </c>
      <c r="S8" s="1" t="str">
        <f aca="false">_xlfn.CONCAT("Euro ",$C8)</f>
        <v>Euro 3</v>
      </c>
      <c r="T8" s="1" t="str">
        <f aca="false">_xlfn.CONCAT("Euro ",$C8)</f>
        <v>Euro 3</v>
      </c>
      <c r="U8" s="1" t="str">
        <f aca="false">_xlfn.CONCAT("Euro ",$C8)</f>
        <v>Euro 3</v>
      </c>
      <c r="V8" s="1" t="str">
        <f aca="false">_xlfn.CONCAT("Euro ",$C8)</f>
        <v>Euro 3</v>
      </c>
      <c r="W8" s="1" t="str">
        <f aca="false">_xlfn.CONCAT("Euro ",$C8)</f>
        <v>Euro 3</v>
      </c>
      <c r="X8" s="1" t="str">
        <f aca="false">_xlfn.CONCAT("Euro ",$C8)</f>
        <v>Euro 3</v>
      </c>
      <c r="Y8" s="1" t="str">
        <f aca="false">_xlfn.CONCAT("Euro ",$C8)</f>
        <v>Euro 3</v>
      </c>
      <c r="Z8" s="1" t="s">
        <v>320</v>
      </c>
      <c r="AA8" s="1" t="str">
        <f aca="false">_xlfn.CONCAT("Euro ",$D8)</f>
        <v>Euro III</v>
      </c>
      <c r="AB8" s="1" t="str">
        <f aca="false">_xlfn.CONCAT("Euro ",$D8)</f>
        <v>Euro III</v>
      </c>
      <c r="AC8" s="1" t="str">
        <f aca="false">_xlfn.CONCAT("Euro ",$D8)</f>
        <v>Euro III</v>
      </c>
      <c r="AD8" s="1" t="str">
        <f aca="false">_xlfn.CONCAT("Euro ",$D8)</f>
        <v>Euro III</v>
      </c>
      <c r="AE8" s="1" t="str">
        <f aca="false">_xlfn.CONCAT("Euro ",$D8)</f>
        <v>Euro III</v>
      </c>
      <c r="AF8" s="1" t="str">
        <f aca="false">_xlfn.CONCAT("Euro ",$D8)</f>
        <v>Euro III</v>
      </c>
      <c r="AG8" s="1" t="str">
        <f aca="false">_xlfn.CONCAT("Euro ",$D8)</f>
        <v>Euro III</v>
      </c>
      <c r="AH8" s="1" t="str">
        <f aca="false">_xlfn.CONCAT("Euro ",$D8)</f>
        <v>Euro III</v>
      </c>
      <c r="AI8" s="1" t="str">
        <f aca="false">_xlfn.CONCAT("Euro ",$D8)</f>
        <v>Euro III</v>
      </c>
      <c r="AJ8" s="1" t="str">
        <f aca="false">_xlfn.CONCAT("Euro ",$C8)</f>
        <v>Euro 3</v>
      </c>
      <c r="AK8" s="1" t="str">
        <f aca="false">_xlfn.CONCAT("Euro ",$C8)</f>
        <v>Euro 3</v>
      </c>
      <c r="AL8" s="1" t="str">
        <f aca="false">_xlfn.CONCAT("Euro ",$C8)</f>
        <v>Euro 3</v>
      </c>
      <c r="AM8" s="1" t="str">
        <f aca="false">_xlfn.CONCAT("Euro ",$C8)</f>
        <v>Euro 3</v>
      </c>
      <c r="AN8" s="1" t="str">
        <f aca="false">_xlfn.CONCAT("Euro ",$C8)</f>
        <v>Euro 3</v>
      </c>
      <c r="AO8" s="1" t="str">
        <f aca="false">_xlfn.CONCAT("Euro ",$C8)</f>
        <v>Euro 3</v>
      </c>
      <c r="AP8" s="1" t="str">
        <f aca="false">_xlfn.CONCAT("Euro ",$C8)</f>
        <v>Euro 3</v>
      </c>
      <c r="AQ8" s="1" t="str">
        <f aca="false">_xlfn.CONCAT("Euro ",$C8)</f>
        <v>Euro 3</v>
      </c>
      <c r="AR8" s="1" t="str">
        <f aca="false">_xlfn.CONCAT("Euro ",$C8)</f>
        <v>Euro 3</v>
      </c>
      <c r="AS8" s="1" t="str">
        <f aca="false">_xlfn.CONCAT("Euro ",$D8)</f>
        <v>Euro III</v>
      </c>
      <c r="AT8" s="1" t="str">
        <f aca="false">_xlfn.CONCAT("Euro ",$D8)</f>
        <v>Euro III</v>
      </c>
      <c r="AU8" s="1" t="str">
        <f aca="false">_xlfn.CONCAT("Euro ",$D8)</f>
        <v>Euro III</v>
      </c>
      <c r="AV8" s="1" t="str">
        <f aca="false">_xlfn.CONCAT("Euro ",$D8)</f>
        <v>Euro III</v>
      </c>
      <c r="AW8" s="1" t="str">
        <f aca="false">_xlfn.CONCAT("Euro ",$D8)</f>
        <v>Euro III</v>
      </c>
      <c r="AX8" s="1" t="str">
        <f aca="false">_xlfn.CONCAT("Euro ",$D8)</f>
        <v>Euro III</v>
      </c>
      <c r="AY8" s="1" t="str">
        <f aca="false">_xlfn.CONCAT("Euro ",$C8)</f>
        <v>Euro 3</v>
      </c>
      <c r="AZ8" s="1" t="str">
        <f aca="false">_xlfn.CONCAT("Euro ",$D8)</f>
        <v>Euro III</v>
      </c>
      <c r="BA8" s="1" t="str">
        <f aca="false">_xlfn.CONCAT("Euro ",$D8)</f>
        <v>Euro III</v>
      </c>
      <c r="BB8" s="1" t="str">
        <f aca="false">_xlfn.CONCAT("Euro ",$D8)</f>
        <v>Euro III</v>
      </c>
      <c r="BC8" s="1" t="str">
        <f aca="false">_xlfn.CONCAT("Euro ",$D8)</f>
        <v>Euro III</v>
      </c>
      <c r="BD8" s="1" t="str">
        <f aca="false">_xlfn.CONCAT("Euro ",$D8)</f>
        <v>Euro III</v>
      </c>
      <c r="BE8" s="1" t="str">
        <f aca="false">_xlfn.CONCAT("Euro ",$D8)</f>
        <v>Euro III</v>
      </c>
      <c r="BF8" s="1" t="str">
        <f aca="false">_xlfn.CONCAT("Euro ",$D8)</f>
        <v>Euro III</v>
      </c>
      <c r="BG8" s="1" t="str">
        <f aca="false">_xlfn.CONCAT("Euro ",$D8)</f>
        <v>Euro III</v>
      </c>
      <c r="BH8" s="1" t="str">
        <f aca="false">_xlfn.CONCAT("Euro ",$C8)</f>
        <v>Euro 3</v>
      </c>
      <c r="BI8" s="1" t="str">
        <f aca="false">_xlfn.CONCAT("Euro ",$C8)</f>
        <v>Euro 3</v>
      </c>
      <c r="BJ8" s="1" t="s">
        <v>320</v>
      </c>
      <c r="BK8" s="1" t="str">
        <f aca="false">_xlfn.CONCAT("Euro ",$C8)</f>
        <v>Euro 3</v>
      </c>
      <c r="BL8" s="1" t="str">
        <f aca="false">_xlfn.CONCAT("Euro ",$C8)</f>
        <v>Euro 3</v>
      </c>
      <c r="BM8" s="1" t="str">
        <f aca="false">_xlfn.CONCAT("Euro ",$C8)</f>
        <v>Euro 3</v>
      </c>
      <c r="BN8" s="1" t="str">
        <f aca="false">_xlfn.CONCAT("Euro ",$C8)</f>
        <v>Euro 3</v>
      </c>
      <c r="BO8" s="1" t="str">
        <f aca="false">_xlfn.CONCAT("Euro ",$C8)</f>
        <v>Euro 3</v>
      </c>
      <c r="BP8" s="1" t="str">
        <f aca="false">_xlfn.CONCAT("Euro ",$C8)</f>
        <v>Euro 3</v>
      </c>
    </row>
    <row r="9" customFormat="false" ht="12.75" hidden="false" customHeight="false" outlineLevel="0" collapsed="false">
      <c r="A9" s="1" t="n">
        <f aca="false">A8-1</f>
        <v>2018</v>
      </c>
      <c r="B9" s="1" t="n">
        <f aca="false">B8-1</f>
        <v>2018</v>
      </c>
      <c r="C9" s="1" t="n">
        <v>3</v>
      </c>
      <c r="D9" s="1" t="s">
        <v>319</v>
      </c>
      <c r="E9" s="1" t="n">
        <v>3</v>
      </c>
      <c r="F9" s="1" t="n">
        <v>3</v>
      </c>
      <c r="G9" s="1" t="str">
        <f aca="false">_xlfn.CONCAT("Euro ",$C9)</f>
        <v>Euro 3</v>
      </c>
      <c r="H9" s="1" t="str">
        <f aca="false">_xlfn.CONCAT("Euro ",$C9)</f>
        <v>Euro 3</v>
      </c>
      <c r="I9" s="1" t="str">
        <f aca="false">_xlfn.CONCAT("Euro ",$C9)</f>
        <v>Euro 3</v>
      </c>
      <c r="J9" s="1" t="str">
        <f aca="false">_xlfn.CONCAT("Euro ",$C9)</f>
        <v>Euro 3</v>
      </c>
      <c r="K9" s="1" t="str">
        <f aca="false">_xlfn.CONCAT("Euro ",$C9)</f>
        <v>Euro 3</v>
      </c>
      <c r="L9" s="1" t="str">
        <f aca="false">_xlfn.CONCAT("Euro ",$C9)</f>
        <v>Euro 3</v>
      </c>
      <c r="M9" s="1" t="str">
        <f aca="false">_xlfn.CONCAT("Euro ",$C9)</f>
        <v>Euro 3</v>
      </c>
      <c r="N9" s="1" t="str">
        <f aca="false">_xlfn.CONCAT("Euro ",$C9)</f>
        <v>Euro 3</v>
      </c>
      <c r="O9" s="1" t="str">
        <f aca="false">_xlfn.CONCAT("Euro ",$C9)</f>
        <v>Euro 3</v>
      </c>
      <c r="P9" s="1" t="s">
        <v>320</v>
      </c>
      <c r="Q9" s="1" t="str">
        <f aca="false">_xlfn.CONCAT("Euro ",$C9)</f>
        <v>Euro 3</v>
      </c>
      <c r="R9" s="1" t="str">
        <f aca="false">_xlfn.CONCAT("Euro ",$C9)</f>
        <v>Euro 3</v>
      </c>
      <c r="S9" s="1" t="str">
        <f aca="false">_xlfn.CONCAT("Euro ",$C9)</f>
        <v>Euro 3</v>
      </c>
      <c r="T9" s="1" t="str">
        <f aca="false">_xlfn.CONCAT("Euro ",$C9)</f>
        <v>Euro 3</v>
      </c>
      <c r="U9" s="1" t="str">
        <f aca="false">_xlfn.CONCAT("Euro ",$C9)</f>
        <v>Euro 3</v>
      </c>
      <c r="V9" s="1" t="str">
        <f aca="false">_xlfn.CONCAT("Euro ",$C9)</f>
        <v>Euro 3</v>
      </c>
      <c r="W9" s="1" t="str">
        <f aca="false">_xlfn.CONCAT("Euro ",$C9)</f>
        <v>Euro 3</v>
      </c>
      <c r="X9" s="1" t="str">
        <f aca="false">_xlfn.CONCAT("Euro ",$C9)</f>
        <v>Euro 3</v>
      </c>
      <c r="Y9" s="1" t="str">
        <f aca="false">_xlfn.CONCAT("Euro ",$C9)</f>
        <v>Euro 3</v>
      </c>
      <c r="Z9" s="1" t="s">
        <v>320</v>
      </c>
      <c r="AA9" s="1" t="str">
        <f aca="false">_xlfn.CONCAT("Euro ",$D9)</f>
        <v>Euro III</v>
      </c>
      <c r="AB9" s="1" t="str">
        <f aca="false">_xlfn.CONCAT("Euro ",$D9)</f>
        <v>Euro III</v>
      </c>
      <c r="AC9" s="1" t="str">
        <f aca="false">_xlfn.CONCAT("Euro ",$D9)</f>
        <v>Euro III</v>
      </c>
      <c r="AD9" s="1" t="str">
        <f aca="false">_xlfn.CONCAT("Euro ",$D9)</f>
        <v>Euro III</v>
      </c>
      <c r="AE9" s="1" t="str">
        <f aca="false">_xlfn.CONCAT("Euro ",$D9)</f>
        <v>Euro III</v>
      </c>
      <c r="AF9" s="1" t="str">
        <f aca="false">_xlfn.CONCAT("Euro ",$D9)</f>
        <v>Euro III</v>
      </c>
      <c r="AG9" s="1" t="str">
        <f aca="false">_xlfn.CONCAT("Euro ",$D9)</f>
        <v>Euro III</v>
      </c>
      <c r="AH9" s="1" t="str">
        <f aca="false">_xlfn.CONCAT("Euro ",$D9)</f>
        <v>Euro III</v>
      </c>
      <c r="AI9" s="1" t="str">
        <f aca="false">_xlfn.CONCAT("Euro ",$D9)</f>
        <v>Euro III</v>
      </c>
      <c r="AJ9" s="1" t="str">
        <f aca="false">_xlfn.CONCAT("Euro ",$C9)</f>
        <v>Euro 3</v>
      </c>
      <c r="AK9" s="1" t="str">
        <f aca="false">_xlfn.CONCAT("Euro ",$C9)</f>
        <v>Euro 3</v>
      </c>
      <c r="AL9" s="1" t="str">
        <f aca="false">_xlfn.CONCAT("Euro ",$C9)</f>
        <v>Euro 3</v>
      </c>
      <c r="AM9" s="1" t="str">
        <f aca="false">_xlfn.CONCAT("Euro ",$C9)</f>
        <v>Euro 3</v>
      </c>
      <c r="AN9" s="1" t="str">
        <f aca="false">_xlfn.CONCAT("Euro ",$C9)</f>
        <v>Euro 3</v>
      </c>
      <c r="AO9" s="1" t="str">
        <f aca="false">_xlfn.CONCAT("Euro ",$C9)</f>
        <v>Euro 3</v>
      </c>
      <c r="AP9" s="1" t="str">
        <f aca="false">_xlfn.CONCAT("Euro ",$C9)</f>
        <v>Euro 3</v>
      </c>
      <c r="AQ9" s="1" t="str">
        <f aca="false">_xlfn.CONCAT("Euro ",$C9)</f>
        <v>Euro 3</v>
      </c>
      <c r="AR9" s="1" t="str">
        <f aca="false">_xlfn.CONCAT("Euro ",$C9)</f>
        <v>Euro 3</v>
      </c>
      <c r="AS9" s="1" t="str">
        <f aca="false">_xlfn.CONCAT("Euro ",$D9)</f>
        <v>Euro III</v>
      </c>
      <c r="AT9" s="1" t="str">
        <f aca="false">_xlfn.CONCAT("Euro ",$D9)</f>
        <v>Euro III</v>
      </c>
      <c r="AU9" s="1" t="str">
        <f aca="false">_xlfn.CONCAT("Euro ",$D9)</f>
        <v>Euro III</v>
      </c>
      <c r="AV9" s="1" t="str">
        <f aca="false">_xlfn.CONCAT("Euro ",$D9)</f>
        <v>Euro III</v>
      </c>
      <c r="AW9" s="1" t="str">
        <f aca="false">_xlfn.CONCAT("Euro ",$D9)</f>
        <v>Euro III</v>
      </c>
      <c r="AX9" s="1" t="str">
        <f aca="false">_xlfn.CONCAT("Euro ",$D9)</f>
        <v>Euro III</v>
      </c>
      <c r="AY9" s="1" t="str">
        <f aca="false">_xlfn.CONCAT("Euro ",$C9)</f>
        <v>Euro 3</v>
      </c>
      <c r="AZ9" s="1" t="str">
        <f aca="false">_xlfn.CONCAT("Euro ",$D9)</f>
        <v>Euro III</v>
      </c>
      <c r="BA9" s="1" t="str">
        <f aca="false">_xlfn.CONCAT("Euro ",$D9)</f>
        <v>Euro III</v>
      </c>
      <c r="BB9" s="1" t="str">
        <f aca="false">_xlfn.CONCAT("Euro ",$D9)</f>
        <v>Euro III</v>
      </c>
      <c r="BC9" s="1" t="str">
        <f aca="false">_xlfn.CONCAT("Euro ",$D9)</f>
        <v>Euro III</v>
      </c>
      <c r="BD9" s="1" t="str">
        <f aca="false">_xlfn.CONCAT("Euro ",$D9)</f>
        <v>Euro III</v>
      </c>
      <c r="BE9" s="1" t="str">
        <f aca="false">_xlfn.CONCAT("Euro ",$D9)</f>
        <v>Euro III</v>
      </c>
      <c r="BF9" s="1" t="str">
        <f aca="false">_xlfn.CONCAT("Euro ",$D9)</f>
        <v>Euro III</v>
      </c>
      <c r="BG9" s="1" t="str">
        <f aca="false">_xlfn.CONCAT("Euro ",$D9)</f>
        <v>Euro III</v>
      </c>
      <c r="BH9" s="1" t="str">
        <f aca="false">_xlfn.CONCAT("Euro ",$C9)</f>
        <v>Euro 3</v>
      </c>
      <c r="BI9" s="1" t="str">
        <f aca="false">_xlfn.CONCAT("Euro ",$C9)</f>
        <v>Euro 3</v>
      </c>
      <c r="BJ9" s="1" t="s">
        <v>320</v>
      </c>
      <c r="BK9" s="1" t="str">
        <f aca="false">_xlfn.CONCAT("Euro ",$C9)</f>
        <v>Euro 3</v>
      </c>
      <c r="BL9" s="1" t="str">
        <f aca="false">_xlfn.CONCAT("Euro ",$C9)</f>
        <v>Euro 3</v>
      </c>
      <c r="BM9" s="1" t="str">
        <f aca="false">_xlfn.CONCAT("Euro ",$C9)</f>
        <v>Euro 3</v>
      </c>
      <c r="BN9" s="1" t="str">
        <f aca="false">_xlfn.CONCAT("Euro ",$C9)</f>
        <v>Euro 3</v>
      </c>
      <c r="BO9" s="1" t="str">
        <f aca="false">_xlfn.CONCAT("Euro ",$C9)</f>
        <v>Euro 3</v>
      </c>
      <c r="BP9" s="1" t="str">
        <f aca="false">_xlfn.CONCAT("Euro ",$C9)</f>
        <v>Euro 3</v>
      </c>
    </row>
    <row r="10" customFormat="false" ht="12.75" hidden="false" customHeight="false" outlineLevel="0" collapsed="false">
      <c r="A10" s="1" t="n">
        <f aca="false">A9-1</f>
        <v>2017</v>
      </c>
      <c r="B10" s="1" t="n">
        <f aca="false">B9-1</f>
        <v>2017</v>
      </c>
      <c r="C10" s="1" t="n">
        <v>3</v>
      </c>
      <c r="D10" s="1" t="s">
        <v>319</v>
      </c>
      <c r="E10" s="1" t="n">
        <v>3</v>
      </c>
      <c r="F10" s="1" t="n">
        <v>3</v>
      </c>
      <c r="G10" s="1" t="str">
        <f aca="false">_xlfn.CONCAT("Euro ",$C10)</f>
        <v>Euro 3</v>
      </c>
      <c r="H10" s="1" t="str">
        <f aca="false">_xlfn.CONCAT("Euro ",$C10)</f>
        <v>Euro 3</v>
      </c>
      <c r="I10" s="1" t="str">
        <f aca="false">_xlfn.CONCAT("Euro ",$C10)</f>
        <v>Euro 3</v>
      </c>
      <c r="J10" s="1" t="str">
        <f aca="false">_xlfn.CONCAT("Euro ",$C10)</f>
        <v>Euro 3</v>
      </c>
      <c r="K10" s="1" t="str">
        <f aca="false">_xlfn.CONCAT("Euro ",$C10)</f>
        <v>Euro 3</v>
      </c>
      <c r="L10" s="1" t="str">
        <f aca="false">_xlfn.CONCAT("Euro ",$C10)</f>
        <v>Euro 3</v>
      </c>
      <c r="M10" s="1" t="str">
        <f aca="false">_xlfn.CONCAT("Euro ",$C10)</f>
        <v>Euro 3</v>
      </c>
      <c r="N10" s="1" t="str">
        <f aca="false">_xlfn.CONCAT("Euro ",$C10)</f>
        <v>Euro 3</v>
      </c>
      <c r="O10" s="1" t="str">
        <f aca="false">_xlfn.CONCAT("Euro ",$C10)</f>
        <v>Euro 3</v>
      </c>
      <c r="P10" s="1" t="s">
        <v>320</v>
      </c>
      <c r="Q10" s="1" t="str">
        <f aca="false">_xlfn.CONCAT("Euro ",$C10)</f>
        <v>Euro 3</v>
      </c>
      <c r="R10" s="1" t="str">
        <f aca="false">_xlfn.CONCAT("Euro ",$C10)</f>
        <v>Euro 3</v>
      </c>
      <c r="S10" s="1" t="str">
        <f aca="false">_xlfn.CONCAT("Euro ",$C10)</f>
        <v>Euro 3</v>
      </c>
      <c r="T10" s="1" t="str">
        <f aca="false">_xlfn.CONCAT("Euro ",$C10)</f>
        <v>Euro 3</v>
      </c>
      <c r="U10" s="1" t="str">
        <f aca="false">_xlfn.CONCAT("Euro ",$C10)</f>
        <v>Euro 3</v>
      </c>
      <c r="V10" s="1" t="str">
        <f aca="false">_xlfn.CONCAT("Euro ",$C10)</f>
        <v>Euro 3</v>
      </c>
      <c r="W10" s="1" t="str">
        <f aca="false">_xlfn.CONCAT("Euro ",$C10)</f>
        <v>Euro 3</v>
      </c>
      <c r="X10" s="1" t="str">
        <f aca="false">_xlfn.CONCAT("Euro ",$C10)</f>
        <v>Euro 3</v>
      </c>
      <c r="Y10" s="1" t="str">
        <f aca="false">_xlfn.CONCAT("Euro ",$C10)</f>
        <v>Euro 3</v>
      </c>
      <c r="Z10" s="1" t="s">
        <v>320</v>
      </c>
      <c r="AA10" s="1" t="str">
        <f aca="false">_xlfn.CONCAT("Euro ",$D10)</f>
        <v>Euro III</v>
      </c>
      <c r="AB10" s="1" t="str">
        <f aca="false">_xlfn.CONCAT("Euro ",$D10)</f>
        <v>Euro III</v>
      </c>
      <c r="AC10" s="1" t="str">
        <f aca="false">_xlfn.CONCAT("Euro ",$D10)</f>
        <v>Euro III</v>
      </c>
      <c r="AD10" s="1" t="str">
        <f aca="false">_xlfn.CONCAT("Euro ",$D10)</f>
        <v>Euro III</v>
      </c>
      <c r="AE10" s="1" t="str">
        <f aca="false">_xlfn.CONCAT("Euro ",$D10)</f>
        <v>Euro III</v>
      </c>
      <c r="AF10" s="1" t="str">
        <f aca="false">_xlfn.CONCAT("Euro ",$D10)</f>
        <v>Euro III</v>
      </c>
      <c r="AG10" s="1" t="str">
        <f aca="false">_xlfn.CONCAT("Euro ",$D10)</f>
        <v>Euro III</v>
      </c>
      <c r="AH10" s="1" t="str">
        <f aca="false">_xlfn.CONCAT("Euro ",$D10)</f>
        <v>Euro III</v>
      </c>
      <c r="AI10" s="1" t="str">
        <f aca="false">_xlfn.CONCAT("Euro ",$D10)</f>
        <v>Euro III</v>
      </c>
      <c r="AJ10" s="1" t="str">
        <f aca="false">_xlfn.CONCAT("Euro ",$C10)</f>
        <v>Euro 3</v>
      </c>
      <c r="AK10" s="1" t="str">
        <f aca="false">_xlfn.CONCAT("Euro ",$C10)</f>
        <v>Euro 3</v>
      </c>
      <c r="AL10" s="1" t="str">
        <f aca="false">_xlfn.CONCAT("Euro ",$C10)</f>
        <v>Euro 3</v>
      </c>
      <c r="AM10" s="1" t="str">
        <f aca="false">_xlfn.CONCAT("Euro ",$C10)</f>
        <v>Euro 3</v>
      </c>
      <c r="AN10" s="1" t="str">
        <f aca="false">_xlfn.CONCAT("Euro ",$C10)</f>
        <v>Euro 3</v>
      </c>
      <c r="AO10" s="1" t="str">
        <f aca="false">_xlfn.CONCAT("Euro ",$C10)</f>
        <v>Euro 3</v>
      </c>
      <c r="AP10" s="1" t="str">
        <f aca="false">_xlfn.CONCAT("Euro ",$C10)</f>
        <v>Euro 3</v>
      </c>
      <c r="AQ10" s="1" t="str">
        <f aca="false">_xlfn.CONCAT("Euro ",$C10)</f>
        <v>Euro 3</v>
      </c>
      <c r="AR10" s="1" t="str">
        <f aca="false">_xlfn.CONCAT("Euro ",$C10)</f>
        <v>Euro 3</v>
      </c>
      <c r="AS10" s="1" t="str">
        <f aca="false">_xlfn.CONCAT("Euro ",$D10)</f>
        <v>Euro III</v>
      </c>
      <c r="AT10" s="1" t="str">
        <f aca="false">_xlfn.CONCAT("Euro ",$D10)</f>
        <v>Euro III</v>
      </c>
      <c r="AU10" s="1" t="str">
        <f aca="false">_xlfn.CONCAT("Euro ",$D10)</f>
        <v>Euro III</v>
      </c>
      <c r="AV10" s="1" t="str">
        <f aca="false">_xlfn.CONCAT("Euro ",$D10)</f>
        <v>Euro III</v>
      </c>
      <c r="AW10" s="1" t="str">
        <f aca="false">_xlfn.CONCAT("Euro ",$D10)</f>
        <v>Euro III</v>
      </c>
      <c r="AX10" s="1" t="str">
        <f aca="false">_xlfn.CONCAT("Euro ",$D10)</f>
        <v>Euro III</v>
      </c>
      <c r="AY10" s="1" t="str">
        <f aca="false">_xlfn.CONCAT("Euro ",$C10)</f>
        <v>Euro 3</v>
      </c>
      <c r="AZ10" s="1" t="str">
        <f aca="false">_xlfn.CONCAT("Euro ",$D10)</f>
        <v>Euro III</v>
      </c>
      <c r="BA10" s="1" t="str">
        <f aca="false">_xlfn.CONCAT("Euro ",$D10)</f>
        <v>Euro III</v>
      </c>
      <c r="BB10" s="1" t="str">
        <f aca="false">_xlfn.CONCAT("Euro ",$D10)</f>
        <v>Euro III</v>
      </c>
      <c r="BC10" s="1" t="str">
        <f aca="false">_xlfn.CONCAT("Euro ",$D10)</f>
        <v>Euro III</v>
      </c>
      <c r="BD10" s="1" t="str">
        <f aca="false">_xlfn.CONCAT("Euro ",$D10)</f>
        <v>Euro III</v>
      </c>
      <c r="BE10" s="1" t="str">
        <f aca="false">_xlfn.CONCAT("Euro ",$D10)</f>
        <v>Euro III</v>
      </c>
      <c r="BF10" s="1" t="str">
        <f aca="false">_xlfn.CONCAT("Euro ",$D10)</f>
        <v>Euro III</v>
      </c>
      <c r="BG10" s="1" t="str">
        <f aca="false">_xlfn.CONCAT("Euro ",$D10)</f>
        <v>Euro III</v>
      </c>
      <c r="BH10" s="1" t="str">
        <f aca="false">_xlfn.CONCAT("Euro ",$C10)</f>
        <v>Euro 3</v>
      </c>
      <c r="BI10" s="1" t="str">
        <f aca="false">_xlfn.CONCAT("Euro ",$C10)</f>
        <v>Euro 3</v>
      </c>
      <c r="BJ10" s="1" t="s">
        <v>320</v>
      </c>
      <c r="BK10" s="1" t="str">
        <f aca="false">_xlfn.CONCAT("Euro ",$C10)</f>
        <v>Euro 3</v>
      </c>
      <c r="BL10" s="1" t="str">
        <f aca="false">_xlfn.CONCAT("Euro ",$C10)</f>
        <v>Euro 3</v>
      </c>
      <c r="BM10" s="1" t="str">
        <f aca="false">_xlfn.CONCAT("Euro ",$C10)</f>
        <v>Euro 3</v>
      </c>
      <c r="BN10" s="1" t="str">
        <f aca="false">_xlfn.CONCAT("Euro ",$C10)</f>
        <v>Euro 3</v>
      </c>
      <c r="BO10" s="1" t="str">
        <f aca="false">_xlfn.CONCAT("Euro ",$C10)</f>
        <v>Euro 3</v>
      </c>
      <c r="BP10" s="1" t="str">
        <f aca="false">_xlfn.CONCAT("Euro ",$C10)</f>
        <v>Euro 3</v>
      </c>
    </row>
    <row r="11" customFormat="false" ht="12.75" hidden="false" customHeight="false" outlineLevel="0" collapsed="false">
      <c r="A11" s="1" t="n">
        <f aca="false">A10-1</f>
        <v>2016</v>
      </c>
      <c r="B11" s="1" t="n">
        <f aca="false">B10-1</f>
        <v>2016</v>
      </c>
      <c r="C11" s="1" t="n">
        <v>2</v>
      </c>
      <c r="D11" s="1" t="s">
        <v>321</v>
      </c>
      <c r="E11" s="1" t="n">
        <v>2</v>
      </c>
      <c r="F11" s="1" t="n">
        <v>2</v>
      </c>
      <c r="G11" s="1" t="str">
        <f aca="false">_xlfn.CONCAT("Euro ",$C11)</f>
        <v>Euro 2</v>
      </c>
      <c r="H11" s="1" t="str">
        <f aca="false">_xlfn.CONCAT("Euro ",$C11)</f>
        <v>Euro 2</v>
      </c>
      <c r="I11" s="1" t="str">
        <f aca="false">_xlfn.CONCAT("Euro ",$C11)</f>
        <v>Euro 2</v>
      </c>
      <c r="J11" s="1" t="str">
        <f aca="false">_xlfn.CONCAT("Euro ",$C11)</f>
        <v>Euro 2</v>
      </c>
      <c r="K11" s="1" t="str">
        <f aca="false">_xlfn.CONCAT("Euro ",$C11)</f>
        <v>Euro 2</v>
      </c>
      <c r="L11" s="1" t="str">
        <f aca="false">_xlfn.CONCAT("Euro ",$C11)</f>
        <v>Euro 2</v>
      </c>
      <c r="M11" s="1" t="str">
        <f aca="false">_xlfn.CONCAT("Euro ",$C11)</f>
        <v>Euro 2</v>
      </c>
      <c r="N11" s="1" t="str">
        <f aca="false">_xlfn.CONCAT("Euro ",$C11)</f>
        <v>Euro 2</v>
      </c>
      <c r="O11" s="1" t="str">
        <f aca="false">_xlfn.CONCAT("Euro ",$C11)</f>
        <v>Euro 2</v>
      </c>
      <c r="P11" s="1" t="s">
        <v>320</v>
      </c>
      <c r="Q11" s="1" t="str">
        <f aca="false">_xlfn.CONCAT("Euro ",$C11)</f>
        <v>Euro 2</v>
      </c>
      <c r="R11" s="1" t="str">
        <f aca="false">_xlfn.CONCAT("Euro ",$C11)</f>
        <v>Euro 2</v>
      </c>
      <c r="S11" s="1" t="str">
        <f aca="false">_xlfn.CONCAT("Euro ",$C11)</f>
        <v>Euro 2</v>
      </c>
      <c r="T11" s="1" t="str">
        <f aca="false">_xlfn.CONCAT("Euro ",$C11)</f>
        <v>Euro 2</v>
      </c>
      <c r="U11" s="1" t="str">
        <f aca="false">_xlfn.CONCAT("Euro ",$C11)</f>
        <v>Euro 2</v>
      </c>
      <c r="V11" s="1" t="str">
        <f aca="false">_xlfn.CONCAT("Euro ",$C11)</f>
        <v>Euro 2</v>
      </c>
      <c r="W11" s="1" t="str">
        <f aca="false">_xlfn.CONCAT("Euro ",$C11)</f>
        <v>Euro 2</v>
      </c>
      <c r="X11" s="1" t="str">
        <f aca="false">_xlfn.CONCAT("Euro ",$C11)</f>
        <v>Euro 2</v>
      </c>
      <c r="Y11" s="1" t="str">
        <f aca="false">_xlfn.CONCAT("Euro ",$C11)</f>
        <v>Euro 2</v>
      </c>
      <c r="Z11" s="1" t="s">
        <v>320</v>
      </c>
      <c r="AA11" s="1" t="str">
        <f aca="false">_xlfn.CONCAT("Euro ",$D11)</f>
        <v>Euro II</v>
      </c>
      <c r="AB11" s="1" t="str">
        <f aca="false">_xlfn.CONCAT("Euro ",$D11)</f>
        <v>Euro II</v>
      </c>
      <c r="AC11" s="1" t="str">
        <f aca="false">_xlfn.CONCAT("Euro ",$D11)</f>
        <v>Euro II</v>
      </c>
      <c r="AD11" s="1" t="str">
        <f aca="false">_xlfn.CONCAT("Euro ",$D11)</f>
        <v>Euro II</v>
      </c>
      <c r="AE11" s="1" t="str">
        <f aca="false">_xlfn.CONCAT("Euro ",$D11)</f>
        <v>Euro II</v>
      </c>
      <c r="AF11" s="1" t="str">
        <f aca="false">_xlfn.CONCAT("Euro ",$D11)</f>
        <v>Euro II</v>
      </c>
      <c r="AG11" s="1" t="str">
        <f aca="false">_xlfn.CONCAT("Euro ",$D11)</f>
        <v>Euro II</v>
      </c>
      <c r="AH11" s="1" t="str">
        <f aca="false">_xlfn.CONCAT("Euro ",$D11)</f>
        <v>Euro II</v>
      </c>
      <c r="AI11" s="1" t="str">
        <f aca="false">_xlfn.CONCAT("Euro ",$D11)</f>
        <v>Euro II</v>
      </c>
      <c r="AJ11" s="1" t="str">
        <f aca="false">_xlfn.CONCAT("Euro ",$C11)</f>
        <v>Euro 2</v>
      </c>
      <c r="AK11" s="1" t="str">
        <f aca="false">_xlfn.CONCAT("Euro ",$C11)</f>
        <v>Euro 2</v>
      </c>
      <c r="AL11" s="1" t="str">
        <f aca="false">_xlfn.CONCAT("Euro ",$C11)</f>
        <v>Euro 2</v>
      </c>
      <c r="AM11" s="1" t="str">
        <f aca="false">_xlfn.CONCAT("Euro ",$C11)</f>
        <v>Euro 2</v>
      </c>
      <c r="AN11" s="1" t="str">
        <f aca="false">_xlfn.CONCAT("Euro ",$C11)</f>
        <v>Euro 2</v>
      </c>
      <c r="AO11" s="1" t="str">
        <f aca="false">_xlfn.CONCAT("Euro ",$C11)</f>
        <v>Euro 2</v>
      </c>
      <c r="AP11" s="1" t="str">
        <f aca="false">_xlfn.CONCAT("Euro ",$C11)</f>
        <v>Euro 2</v>
      </c>
      <c r="AQ11" s="1" t="str">
        <f aca="false">_xlfn.CONCAT("Euro ",$C11)</f>
        <v>Euro 2</v>
      </c>
      <c r="AR11" s="1" t="str">
        <f aca="false">_xlfn.CONCAT("Euro ",$C11)</f>
        <v>Euro 2</v>
      </c>
      <c r="AS11" s="1" t="str">
        <f aca="false">_xlfn.CONCAT("Euro ",$D11)</f>
        <v>Euro II</v>
      </c>
      <c r="AT11" s="1" t="str">
        <f aca="false">_xlfn.CONCAT("Euro ",$D11)</f>
        <v>Euro II</v>
      </c>
      <c r="AU11" s="1" t="str">
        <f aca="false">_xlfn.CONCAT("Euro ",$D11)</f>
        <v>Euro II</v>
      </c>
      <c r="AV11" s="1" t="str">
        <f aca="false">_xlfn.CONCAT("Euro ",$D11)</f>
        <v>Euro II</v>
      </c>
      <c r="AW11" s="1" t="str">
        <f aca="false">_xlfn.CONCAT("Euro ",$D11)</f>
        <v>Euro II</v>
      </c>
      <c r="AX11" s="1" t="str">
        <f aca="false">_xlfn.CONCAT("Euro ",$D11)</f>
        <v>Euro II</v>
      </c>
      <c r="AY11" s="1" t="str">
        <f aca="false">_xlfn.CONCAT("Euro ",$C11)</f>
        <v>Euro 2</v>
      </c>
      <c r="AZ11" s="1" t="str">
        <f aca="false">_xlfn.CONCAT("Euro ",$D11)</f>
        <v>Euro II</v>
      </c>
      <c r="BA11" s="1" t="str">
        <f aca="false">_xlfn.CONCAT("Euro ",$D11)</f>
        <v>Euro II</v>
      </c>
      <c r="BB11" s="1" t="str">
        <f aca="false">_xlfn.CONCAT("Euro ",$D11)</f>
        <v>Euro II</v>
      </c>
      <c r="BC11" s="1" t="str">
        <f aca="false">_xlfn.CONCAT("Euro ",$D11)</f>
        <v>Euro II</v>
      </c>
      <c r="BD11" s="1" t="str">
        <f aca="false">_xlfn.CONCAT("Euro ",$D11)</f>
        <v>Euro II</v>
      </c>
      <c r="BE11" s="1" t="str">
        <f aca="false">_xlfn.CONCAT("Euro ",$D11)</f>
        <v>Euro II</v>
      </c>
      <c r="BF11" s="1" t="str">
        <f aca="false">_xlfn.CONCAT("Euro ",$D11)</f>
        <v>Euro II</v>
      </c>
      <c r="BG11" s="1" t="str">
        <f aca="false">_xlfn.CONCAT("Euro ",$D11)</f>
        <v>Euro II</v>
      </c>
      <c r="BH11" s="1" t="str">
        <f aca="false">_xlfn.CONCAT("Euro ",$C11)</f>
        <v>Euro 2</v>
      </c>
      <c r="BI11" s="1" t="str">
        <f aca="false">_xlfn.CONCAT("Euro ",$C11)</f>
        <v>Euro 2</v>
      </c>
      <c r="BJ11" s="1" t="s">
        <v>320</v>
      </c>
      <c r="BK11" s="1" t="str">
        <f aca="false">_xlfn.CONCAT("Euro ",$C11)</f>
        <v>Euro 2</v>
      </c>
      <c r="BL11" s="1" t="str">
        <f aca="false">_xlfn.CONCAT("Euro ",$C11)</f>
        <v>Euro 2</v>
      </c>
      <c r="BM11" s="1" t="str">
        <f aca="false">_xlfn.CONCAT("Euro ",$C11)</f>
        <v>Euro 2</v>
      </c>
      <c r="BN11" s="1" t="str">
        <f aca="false">_xlfn.CONCAT("Euro ",$C11)</f>
        <v>Euro 2</v>
      </c>
      <c r="BO11" s="1" t="str">
        <f aca="false">_xlfn.CONCAT("Euro ",$C11)</f>
        <v>Euro 2</v>
      </c>
      <c r="BP11" s="1" t="str">
        <f aca="false">_xlfn.CONCAT("Euro ",$C11)</f>
        <v>Euro 2</v>
      </c>
    </row>
    <row r="12" customFormat="false" ht="12.75" hidden="false" customHeight="false" outlineLevel="0" collapsed="false">
      <c r="A12" s="1" t="n">
        <f aca="false">A11-1</f>
        <v>2015</v>
      </c>
      <c r="B12" s="1" t="n">
        <f aca="false">B11-1</f>
        <v>2015</v>
      </c>
      <c r="C12" s="1" t="n">
        <v>2</v>
      </c>
      <c r="D12" s="1" t="s">
        <v>321</v>
      </c>
      <c r="E12" s="1" t="n">
        <v>2</v>
      </c>
      <c r="F12" s="1" t="n">
        <v>2</v>
      </c>
      <c r="G12" s="1" t="str">
        <f aca="false">_xlfn.CONCAT("Euro ",$C12)</f>
        <v>Euro 2</v>
      </c>
      <c r="H12" s="1" t="str">
        <f aca="false">_xlfn.CONCAT("Euro ",$C12)</f>
        <v>Euro 2</v>
      </c>
      <c r="I12" s="1" t="str">
        <f aca="false">_xlfn.CONCAT("Euro ",$C12)</f>
        <v>Euro 2</v>
      </c>
      <c r="J12" s="1" t="str">
        <f aca="false">_xlfn.CONCAT("Euro ",$C12)</f>
        <v>Euro 2</v>
      </c>
      <c r="K12" s="1" t="str">
        <f aca="false">_xlfn.CONCAT("Euro ",$C12)</f>
        <v>Euro 2</v>
      </c>
      <c r="L12" s="1" t="str">
        <f aca="false">_xlfn.CONCAT("Euro ",$C12)</f>
        <v>Euro 2</v>
      </c>
      <c r="M12" s="1" t="str">
        <f aca="false">_xlfn.CONCAT("Euro ",$C12)</f>
        <v>Euro 2</v>
      </c>
      <c r="N12" s="1" t="str">
        <f aca="false">_xlfn.CONCAT("Euro ",$C12)</f>
        <v>Euro 2</v>
      </c>
      <c r="O12" s="1" t="str">
        <f aca="false">_xlfn.CONCAT("Euro ",$C12)</f>
        <v>Euro 2</v>
      </c>
      <c r="P12" s="1" t="s">
        <v>320</v>
      </c>
      <c r="Q12" s="1" t="str">
        <f aca="false">_xlfn.CONCAT("Euro ",$C12)</f>
        <v>Euro 2</v>
      </c>
      <c r="R12" s="1" t="str">
        <f aca="false">_xlfn.CONCAT("Euro ",$C12)</f>
        <v>Euro 2</v>
      </c>
      <c r="S12" s="1" t="str">
        <f aca="false">_xlfn.CONCAT("Euro ",$C12)</f>
        <v>Euro 2</v>
      </c>
      <c r="T12" s="1" t="str">
        <f aca="false">_xlfn.CONCAT("Euro ",$C12)</f>
        <v>Euro 2</v>
      </c>
      <c r="U12" s="1" t="str">
        <f aca="false">_xlfn.CONCAT("Euro ",$C12)</f>
        <v>Euro 2</v>
      </c>
      <c r="V12" s="1" t="str">
        <f aca="false">_xlfn.CONCAT("Euro ",$C12)</f>
        <v>Euro 2</v>
      </c>
      <c r="W12" s="1" t="str">
        <f aca="false">_xlfn.CONCAT("Euro ",$C12)</f>
        <v>Euro 2</v>
      </c>
      <c r="X12" s="1" t="str">
        <f aca="false">_xlfn.CONCAT("Euro ",$C12)</f>
        <v>Euro 2</v>
      </c>
      <c r="Y12" s="1" t="str">
        <f aca="false">_xlfn.CONCAT("Euro ",$C12)</f>
        <v>Euro 2</v>
      </c>
      <c r="Z12" s="1" t="s">
        <v>320</v>
      </c>
      <c r="AA12" s="1" t="str">
        <f aca="false">_xlfn.CONCAT("Euro ",$D12)</f>
        <v>Euro II</v>
      </c>
      <c r="AB12" s="1" t="str">
        <f aca="false">_xlfn.CONCAT("Euro ",$D12)</f>
        <v>Euro II</v>
      </c>
      <c r="AC12" s="1" t="str">
        <f aca="false">_xlfn.CONCAT("Euro ",$D12)</f>
        <v>Euro II</v>
      </c>
      <c r="AD12" s="1" t="str">
        <f aca="false">_xlfn.CONCAT("Euro ",$D12)</f>
        <v>Euro II</v>
      </c>
      <c r="AE12" s="1" t="str">
        <f aca="false">_xlfn.CONCAT("Euro ",$D12)</f>
        <v>Euro II</v>
      </c>
      <c r="AF12" s="1" t="str">
        <f aca="false">_xlfn.CONCAT("Euro ",$D12)</f>
        <v>Euro II</v>
      </c>
      <c r="AG12" s="1" t="str">
        <f aca="false">_xlfn.CONCAT("Euro ",$D12)</f>
        <v>Euro II</v>
      </c>
      <c r="AH12" s="1" t="str">
        <f aca="false">_xlfn.CONCAT("Euro ",$D12)</f>
        <v>Euro II</v>
      </c>
      <c r="AI12" s="1" t="str">
        <f aca="false">_xlfn.CONCAT("Euro ",$D12)</f>
        <v>Euro II</v>
      </c>
      <c r="AJ12" s="1" t="str">
        <f aca="false">_xlfn.CONCAT("Euro ",$C12)</f>
        <v>Euro 2</v>
      </c>
      <c r="AK12" s="1" t="str">
        <f aca="false">_xlfn.CONCAT("Euro ",$C12)</f>
        <v>Euro 2</v>
      </c>
      <c r="AL12" s="1" t="str">
        <f aca="false">_xlfn.CONCAT("Euro ",$C12)</f>
        <v>Euro 2</v>
      </c>
      <c r="AM12" s="1" t="str">
        <f aca="false">_xlfn.CONCAT("Euro ",$C12)</f>
        <v>Euro 2</v>
      </c>
      <c r="AN12" s="1" t="str">
        <f aca="false">_xlfn.CONCAT("Euro ",$C12)</f>
        <v>Euro 2</v>
      </c>
      <c r="AO12" s="1" t="str">
        <f aca="false">_xlfn.CONCAT("Euro ",$C12)</f>
        <v>Euro 2</v>
      </c>
      <c r="AP12" s="1" t="str">
        <f aca="false">_xlfn.CONCAT("Euro ",$C12)</f>
        <v>Euro 2</v>
      </c>
      <c r="AQ12" s="1" t="str">
        <f aca="false">_xlfn.CONCAT("Euro ",$C12)</f>
        <v>Euro 2</v>
      </c>
      <c r="AR12" s="1" t="str">
        <f aca="false">_xlfn.CONCAT("Euro ",$C12)</f>
        <v>Euro 2</v>
      </c>
      <c r="AS12" s="1" t="str">
        <f aca="false">_xlfn.CONCAT("Euro ",$D12)</f>
        <v>Euro II</v>
      </c>
      <c r="AT12" s="1" t="str">
        <f aca="false">_xlfn.CONCAT("Euro ",$D12)</f>
        <v>Euro II</v>
      </c>
      <c r="AU12" s="1" t="str">
        <f aca="false">_xlfn.CONCAT("Euro ",$D12)</f>
        <v>Euro II</v>
      </c>
      <c r="AV12" s="1" t="str">
        <f aca="false">_xlfn.CONCAT("Euro ",$D12)</f>
        <v>Euro II</v>
      </c>
      <c r="AW12" s="1" t="str">
        <f aca="false">_xlfn.CONCAT("Euro ",$D12)</f>
        <v>Euro II</v>
      </c>
      <c r="AX12" s="1" t="str">
        <f aca="false">_xlfn.CONCAT("Euro ",$D12)</f>
        <v>Euro II</v>
      </c>
      <c r="AY12" s="1" t="str">
        <f aca="false">_xlfn.CONCAT("Euro ",$C12)</f>
        <v>Euro 2</v>
      </c>
      <c r="AZ12" s="1" t="str">
        <f aca="false">_xlfn.CONCAT("Euro ",$D12)</f>
        <v>Euro II</v>
      </c>
      <c r="BA12" s="1" t="str">
        <f aca="false">_xlfn.CONCAT("Euro ",$D12)</f>
        <v>Euro II</v>
      </c>
      <c r="BB12" s="1" t="str">
        <f aca="false">_xlfn.CONCAT("Euro ",$D12)</f>
        <v>Euro II</v>
      </c>
      <c r="BC12" s="1" t="str">
        <f aca="false">_xlfn.CONCAT("Euro ",$D12)</f>
        <v>Euro II</v>
      </c>
      <c r="BD12" s="1" t="str">
        <f aca="false">_xlfn.CONCAT("Euro ",$D12)</f>
        <v>Euro II</v>
      </c>
      <c r="BE12" s="1" t="str">
        <f aca="false">_xlfn.CONCAT("Euro ",$D12)</f>
        <v>Euro II</v>
      </c>
      <c r="BF12" s="1" t="str">
        <f aca="false">_xlfn.CONCAT("Euro ",$D12)</f>
        <v>Euro II</v>
      </c>
      <c r="BG12" s="1" t="str">
        <f aca="false">_xlfn.CONCAT("Euro ",$D12)</f>
        <v>Euro II</v>
      </c>
      <c r="BH12" s="1" t="str">
        <f aca="false">_xlfn.CONCAT("Euro ",$C12)</f>
        <v>Euro 2</v>
      </c>
      <c r="BI12" s="1" t="str">
        <f aca="false">_xlfn.CONCAT("Euro ",$C12)</f>
        <v>Euro 2</v>
      </c>
      <c r="BJ12" s="1" t="s">
        <v>320</v>
      </c>
      <c r="BK12" s="1" t="str">
        <f aca="false">_xlfn.CONCAT("Euro ",$C12)</f>
        <v>Euro 2</v>
      </c>
      <c r="BL12" s="1" t="str">
        <f aca="false">_xlfn.CONCAT("Euro ",$C12)</f>
        <v>Euro 2</v>
      </c>
      <c r="BM12" s="1" t="str">
        <f aca="false">_xlfn.CONCAT("Euro ",$C12)</f>
        <v>Euro 2</v>
      </c>
      <c r="BN12" s="1" t="str">
        <f aca="false">_xlfn.CONCAT("Euro ",$C12)</f>
        <v>Euro 2</v>
      </c>
      <c r="BO12" s="1" t="str">
        <f aca="false">_xlfn.CONCAT("Euro ",$C12)</f>
        <v>Euro 2</v>
      </c>
      <c r="BP12" s="1" t="str">
        <f aca="false">_xlfn.CONCAT("Euro ",$C12)</f>
        <v>Euro 2</v>
      </c>
    </row>
    <row r="13" customFormat="false" ht="12.75" hidden="false" customHeight="false" outlineLevel="0" collapsed="false">
      <c r="A13" s="1" t="n">
        <f aca="false">A12-1</f>
        <v>2014</v>
      </c>
      <c r="B13" s="1" t="n">
        <f aca="false">B12-1</f>
        <v>2014</v>
      </c>
      <c r="C13" s="1" t="n">
        <v>2</v>
      </c>
      <c r="D13" s="1" t="s">
        <v>321</v>
      </c>
      <c r="E13" s="1" t="n">
        <v>2</v>
      </c>
      <c r="F13" s="1" t="n">
        <v>2</v>
      </c>
      <c r="G13" s="1" t="str">
        <f aca="false">_xlfn.CONCAT("Euro ",$C13)</f>
        <v>Euro 2</v>
      </c>
      <c r="H13" s="1" t="str">
        <f aca="false">_xlfn.CONCAT("Euro ",$C13)</f>
        <v>Euro 2</v>
      </c>
      <c r="I13" s="1" t="str">
        <f aca="false">_xlfn.CONCAT("Euro ",$C13)</f>
        <v>Euro 2</v>
      </c>
      <c r="J13" s="1" t="str">
        <f aca="false">_xlfn.CONCAT("Euro ",$C13)</f>
        <v>Euro 2</v>
      </c>
      <c r="K13" s="1" t="str">
        <f aca="false">_xlfn.CONCAT("Euro ",$C13)</f>
        <v>Euro 2</v>
      </c>
      <c r="L13" s="1" t="str">
        <f aca="false">_xlfn.CONCAT("Euro ",$C13)</f>
        <v>Euro 2</v>
      </c>
      <c r="M13" s="1" t="str">
        <f aca="false">_xlfn.CONCAT("Euro ",$C13)</f>
        <v>Euro 2</v>
      </c>
      <c r="N13" s="1" t="str">
        <f aca="false">_xlfn.CONCAT("Euro ",$C13)</f>
        <v>Euro 2</v>
      </c>
      <c r="O13" s="1" t="str">
        <f aca="false">_xlfn.CONCAT("Euro ",$C13)</f>
        <v>Euro 2</v>
      </c>
      <c r="P13" s="1" t="s">
        <v>320</v>
      </c>
      <c r="Q13" s="1" t="str">
        <f aca="false">_xlfn.CONCAT("Euro ",$C13)</f>
        <v>Euro 2</v>
      </c>
      <c r="R13" s="1" t="str">
        <f aca="false">_xlfn.CONCAT("Euro ",$C13)</f>
        <v>Euro 2</v>
      </c>
      <c r="S13" s="1" t="str">
        <f aca="false">_xlfn.CONCAT("Euro ",$C13)</f>
        <v>Euro 2</v>
      </c>
      <c r="T13" s="1" t="str">
        <f aca="false">_xlfn.CONCAT("Euro ",$C13)</f>
        <v>Euro 2</v>
      </c>
      <c r="U13" s="1" t="str">
        <f aca="false">_xlfn.CONCAT("Euro ",$C13)</f>
        <v>Euro 2</v>
      </c>
      <c r="V13" s="1" t="str">
        <f aca="false">_xlfn.CONCAT("Euro ",$C13)</f>
        <v>Euro 2</v>
      </c>
      <c r="W13" s="1" t="str">
        <f aca="false">_xlfn.CONCAT("Euro ",$C13)</f>
        <v>Euro 2</v>
      </c>
      <c r="X13" s="1" t="str">
        <f aca="false">_xlfn.CONCAT("Euro ",$C13)</f>
        <v>Euro 2</v>
      </c>
      <c r="Y13" s="1" t="str">
        <f aca="false">_xlfn.CONCAT("Euro ",$C13)</f>
        <v>Euro 2</v>
      </c>
      <c r="Z13" s="1" t="s">
        <v>320</v>
      </c>
      <c r="AA13" s="1" t="str">
        <f aca="false">_xlfn.CONCAT("Euro ",$D13)</f>
        <v>Euro II</v>
      </c>
      <c r="AB13" s="1" t="str">
        <f aca="false">_xlfn.CONCAT("Euro ",$D13)</f>
        <v>Euro II</v>
      </c>
      <c r="AC13" s="1" t="str">
        <f aca="false">_xlfn.CONCAT("Euro ",$D13)</f>
        <v>Euro II</v>
      </c>
      <c r="AD13" s="1" t="str">
        <f aca="false">_xlfn.CONCAT("Euro ",$D13)</f>
        <v>Euro II</v>
      </c>
      <c r="AE13" s="1" t="str">
        <f aca="false">_xlfn.CONCAT("Euro ",$D13)</f>
        <v>Euro II</v>
      </c>
      <c r="AF13" s="1" t="str">
        <f aca="false">_xlfn.CONCAT("Euro ",$D13)</f>
        <v>Euro II</v>
      </c>
      <c r="AG13" s="1" t="str">
        <f aca="false">_xlfn.CONCAT("Euro ",$D13)</f>
        <v>Euro II</v>
      </c>
      <c r="AH13" s="1" t="str">
        <f aca="false">_xlfn.CONCAT("Euro ",$D13)</f>
        <v>Euro II</v>
      </c>
      <c r="AI13" s="1" t="str">
        <f aca="false">_xlfn.CONCAT("Euro ",$D13)</f>
        <v>Euro II</v>
      </c>
      <c r="AJ13" s="1" t="str">
        <f aca="false">_xlfn.CONCAT("Euro ",$C13)</f>
        <v>Euro 2</v>
      </c>
      <c r="AK13" s="1" t="str">
        <f aca="false">_xlfn.CONCAT("Euro ",$C13)</f>
        <v>Euro 2</v>
      </c>
      <c r="AL13" s="1" t="str">
        <f aca="false">_xlfn.CONCAT("Euro ",$C13)</f>
        <v>Euro 2</v>
      </c>
      <c r="AM13" s="1" t="str">
        <f aca="false">_xlfn.CONCAT("Euro ",$C13)</f>
        <v>Euro 2</v>
      </c>
      <c r="AN13" s="1" t="str">
        <f aca="false">_xlfn.CONCAT("Euro ",$C13)</f>
        <v>Euro 2</v>
      </c>
      <c r="AO13" s="1" t="str">
        <f aca="false">_xlfn.CONCAT("Euro ",$C13)</f>
        <v>Euro 2</v>
      </c>
      <c r="AP13" s="1" t="str">
        <f aca="false">_xlfn.CONCAT("Euro ",$C13)</f>
        <v>Euro 2</v>
      </c>
      <c r="AQ13" s="1" t="str">
        <f aca="false">_xlfn.CONCAT("Euro ",$C13)</f>
        <v>Euro 2</v>
      </c>
      <c r="AR13" s="1" t="str">
        <f aca="false">_xlfn.CONCAT("Euro ",$C13)</f>
        <v>Euro 2</v>
      </c>
      <c r="AS13" s="1" t="str">
        <f aca="false">_xlfn.CONCAT("Euro ",$D13)</f>
        <v>Euro II</v>
      </c>
      <c r="AT13" s="1" t="str">
        <f aca="false">_xlfn.CONCAT("Euro ",$D13)</f>
        <v>Euro II</v>
      </c>
      <c r="AU13" s="1" t="str">
        <f aca="false">_xlfn.CONCAT("Euro ",$D13)</f>
        <v>Euro II</v>
      </c>
      <c r="AV13" s="1" t="str">
        <f aca="false">_xlfn.CONCAT("Euro ",$D13)</f>
        <v>Euro II</v>
      </c>
      <c r="AW13" s="1" t="str">
        <f aca="false">_xlfn.CONCAT("Euro ",$D13)</f>
        <v>Euro II</v>
      </c>
      <c r="AX13" s="1" t="str">
        <f aca="false">_xlfn.CONCAT("Euro ",$D13)</f>
        <v>Euro II</v>
      </c>
      <c r="AY13" s="1" t="str">
        <f aca="false">_xlfn.CONCAT("Euro ",$C13)</f>
        <v>Euro 2</v>
      </c>
      <c r="AZ13" s="1" t="str">
        <f aca="false">_xlfn.CONCAT("Euro ",$D13)</f>
        <v>Euro II</v>
      </c>
      <c r="BA13" s="1" t="str">
        <f aca="false">_xlfn.CONCAT("Euro ",$D13)</f>
        <v>Euro II</v>
      </c>
      <c r="BB13" s="1" t="str">
        <f aca="false">_xlfn.CONCAT("Euro ",$D13)</f>
        <v>Euro II</v>
      </c>
      <c r="BC13" s="1" t="str">
        <f aca="false">_xlfn.CONCAT("Euro ",$D13)</f>
        <v>Euro II</v>
      </c>
      <c r="BD13" s="1" t="str">
        <f aca="false">_xlfn.CONCAT("Euro ",$D13)</f>
        <v>Euro II</v>
      </c>
      <c r="BE13" s="1" t="str">
        <f aca="false">_xlfn.CONCAT("Euro ",$D13)</f>
        <v>Euro II</v>
      </c>
      <c r="BF13" s="1" t="str">
        <f aca="false">_xlfn.CONCAT("Euro ",$D13)</f>
        <v>Euro II</v>
      </c>
      <c r="BG13" s="1" t="str">
        <f aca="false">_xlfn.CONCAT("Euro ",$D13)</f>
        <v>Euro II</v>
      </c>
      <c r="BH13" s="1" t="str">
        <f aca="false">_xlfn.CONCAT("Euro ",$C13)</f>
        <v>Euro 2</v>
      </c>
      <c r="BI13" s="1" t="str">
        <f aca="false">_xlfn.CONCAT("Euro ",$C13)</f>
        <v>Euro 2</v>
      </c>
      <c r="BJ13" s="1" t="s">
        <v>320</v>
      </c>
      <c r="BK13" s="1" t="str">
        <f aca="false">_xlfn.CONCAT("Euro ",$C13)</f>
        <v>Euro 2</v>
      </c>
      <c r="BL13" s="1" t="str">
        <f aca="false">_xlfn.CONCAT("Euro ",$C13)</f>
        <v>Euro 2</v>
      </c>
      <c r="BM13" s="1" t="str">
        <f aca="false">_xlfn.CONCAT("Euro ",$C13)</f>
        <v>Euro 2</v>
      </c>
      <c r="BN13" s="1" t="str">
        <f aca="false">_xlfn.CONCAT("Euro ",$C13)</f>
        <v>Euro 2</v>
      </c>
      <c r="BO13" s="1" t="str">
        <f aca="false">_xlfn.CONCAT("Euro ",$C13)</f>
        <v>Euro 2</v>
      </c>
      <c r="BP13" s="1" t="str">
        <f aca="false">_xlfn.CONCAT("Euro ",$C13)</f>
        <v>Euro 2</v>
      </c>
    </row>
    <row r="14" customFormat="false" ht="12.75" hidden="false" customHeight="false" outlineLevel="0" collapsed="false">
      <c r="A14" s="1" t="n">
        <f aca="false">A13-1</f>
        <v>2013</v>
      </c>
      <c r="B14" s="1" t="n">
        <f aca="false">B13-1</f>
        <v>2013</v>
      </c>
      <c r="C14" s="1" t="n">
        <v>2</v>
      </c>
      <c r="D14" s="1" t="s">
        <v>321</v>
      </c>
      <c r="E14" s="1" t="n">
        <v>2</v>
      </c>
      <c r="F14" s="1" t="n">
        <v>2</v>
      </c>
      <c r="G14" s="1" t="str">
        <f aca="false">_xlfn.CONCAT("Euro ",$C14)</f>
        <v>Euro 2</v>
      </c>
      <c r="H14" s="1" t="str">
        <f aca="false">_xlfn.CONCAT("Euro ",$C14)</f>
        <v>Euro 2</v>
      </c>
      <c r="I14" s="1" t="str">
        <f aca="false">_xlfn.CONCAT("Euro ",$C14)</f>
        <v>Euro 2</v>
      </c>
      <c r="J14" s="1" t="str">
        <f aca="false">_xlfn.CONCAT("Euro ",$C14)</f>
        <v>Euro 2</v>
      </c>
      <c r="K14" s="1" t="str">
        <f aca="false">_xlfn.CONCAT("Euro ",$C14)</f>
        <v>Euro 2</v>
      </c>
      <c r="L14" s="1" t="str">
        <f aca="false">_xlfn.CONCAT("Euro ",$C14)</f>
        <v>Euro 2</v>
      </c>
      <c r="M14" s="1" t="str">
        <f aca="false">_xlfn.CONCAT("Euro ",$C14)</f>
        <v>Euro 2</v>
      </c>
      <c r="N14" s="1" t="str">
        <f aca="false">_xlfn.CONCAT("Euro ",$C14)</f>
        <v>Euro 2</v>
      </c>
      <c r="O14" s="1" t="str">
        <f aca="false">_xlfn.CONCAT("Euro ",$C14)</f>
        <v>Euro 2</v>
      </c>
      <c r="P14" s="1" t="s">
        <v>320</v>
      </c>
      <c r="Q14" s="1" t="str">
        <f aca="false">_xlfn.CONCAT("Euro ",$C14)</f>
        <v>Euro 2</v>
      </c>
      <c r="R14" s="1" t="str">
        <f aca="false">_xlfn.CONCAT("Euro ",$C14)</f>
        <v>Euro 2</v>
      </c>
      <c r="S14" s="1" t="str">
        <f aca="false">_xlfn.CONCAT("Euro ",$C14)</f>
        <v>Euro 2</v>
      </c>
      <c r="T14" s="1" t="str">
        <f aca="false">_xlfn.CONCAT("Euro ",$C14)</f>
        <v>Euro 2</v>
      </c>
      <c r="U14" s="1" t="str">
        <f aca="false">_xlfn.CONCAT("Euro ",$C14)</f>
        <v>Euro 2</v>
      </c>
      <c r="V14" s="1" t="str">
        <f aca="false">_xlfn.CONCAT("Euro ",$C14)</f>
        <v>Euro 2</v>
      </c>
      <c r="W14" s="1" t="str">
        <f aca="false">_xlfn.CONCAT("Euro ",$C14)</f>
        <v>Euro 2</v>
      </c>
      <c r="X14" s="1" t="str">
        <f aca="false">_xlfn.CONCAT("Euro ",$C14)</f>
        <v>Euro 2</v>
      </c>
      <c r="Y14" s="1" t="str">
        <f aca="false">_xlfn.CONCAT("Euro ",$C14)</f>
        <v>Euro 2</v>
      </c>
      <c r="Z14" s="1" t="s">
        <v>320</v>
      </c>
      <c r="AA14" s="1" t="str">
        <f aca="false">_xlfn.CONCAT("Euro ",$D14)</f>
        <v>Euro II</v>
      </c>
      <c r="AB14" s="1" t="str">
        <f aca="false">_xlfn.CONCAT("Euro ",$D14)</f>
        <v>Euro II</v>
      </c>
      <c r="AC14" s="1" t="str">
        <f aca="false">_xlfn.CONCAT("Euro ",$D14)</f>
        <v>Euro II</v>
      </c>
      <c r="AD14" s="1" t="str">
        <f aca="false">_xlfn.CONCAT("Euro ",$D14)</f>
        <v>Euro II</v>
      </c>
      <c r="AE14" s="1" t="str">
        <f aca="false">_xlfn.CONCAT("Euro ",$D14)</f>
        <v>Euro II</v>
      </c>
      <c r="AF14" s="1" t="str">
        <f aca="false">_xlfn.CONCAT("Euro ",$D14)</f>
        <v>Euro II</v>
      </c>
      <c r="AG14" s="1" t="str">
        <f aca="false">_xlfn.CONCAT("Euro ",$D14)</f>
        <v>Euro II</v>
      </c>
      <c r="AH14" s="1" t="str">
        <f aca="false">_xlfn.CONCAT("Euro ",$D14)</f>
        <v>Euro II</v>
      </c>
      <c r="AI14" s="1" t="str">
        <f aca="false">_xlfn.CONCAT("Euro ",$D14)</f>
        <v>Euro II</v>
      </c>
      <c r="AJ14" s="1" t="str">
        <f aca="false">_xlfn.CONCAT("Euro ",$C14)</f>
        <v>Euro 2</v>
      </c>
      <c r="AK14" s="1" t="str">
        <f aca="false">_xlfn.CONCAT("Euro ",$C14)</f>
        <v>Euro 2</v>
      </c>
      <c r="AL14" s="1" t="str">
        <f aca="false">_xlfn.CONCAT("Euro ",$C14)</f>
        <v>Euro 2</v>
      </c>
      <c r="AM14" s="1" t="str">
        <f aca="false">_xlfn.CONCAT("Euro ",$C14)</f>
        <v>Euro 2</v>
      </c>
      <c r="AN14" s="1" t="str">
        <f aca="false">_xlfn.CONCAT("Euro ",$C14)</f>
        <v>Euro 2</v>
      </c>
      <c r="AO14" s="1" t="str">
        <f aca="false">_xlfn.CONCAT("Euro ",$C14)</f>
        <v>Euro 2</v>
      </c>
      <c r="AP14" s="1" t="str">
        <f aca="false">_xlfn.CONCAT("Euro ",$C14)</f>
        <v>Euro 2</v>
      </c>
      <c r="AQ14" s="1" t="str">
        <f aca="false">_xlfn.CONCAT("Euro ",$C14)</f>
        <v>Euro 2</v>
      </c>
      <c r="AR14" s="1" t="str">
        <f aca="false">_xlfn.CONCAT("Euro ",$C14)</f>
        <v>Euro 2</v>
      </c>
      <c r="AS14" s="1" t="str">
        <f aca="false">_xlfn.CONCAT("Euro ",$D14)</f>
        <v>Euro II</v>
      </c>
      <c r="AT14" s="1" t="str">
        <f aca="false">_xlfn.CONCAT("Euro ",$D14)</f>
        <v>Euro II</v>
      </c>
      <c r="AU14" s="1" t="str">
        <f aca="false">_xlfn.CONCAT("Euro ",$D14)</f>
        <v>Euro II</v>
      </c>
      <c r="AV14" s="1" t="str">
        <f aca="false">_xlfn.CONCAT("Euro ",$D14)</f>
        <v>Euro II</v>
      </c>
      <c r="AW14" s="1" t="str">
        <f aca="false">_xlfn.CONCAT("Euro ",$D14)</f>
        <v>Euro II</v>
      </c>
      <c r="AX14" s="1" t="str">
        <f aca="false">_xlfn.CONCAT("Euro ",$D14)</f>
        <v>Euro II</v>
      </c>
      <c r="AY14" s="1" t="str">
        <f aca="false">_xlfn.CONCAT("Euro ",$C14)</f>
        <v>Euro 2</v>
      </c>
      <c r="AZ14" s="1" t="str">
        <f aca="false">_xlfn.CONCAT("Euro ",$D14)</f>
        <v>Euro II</v>
      </c>
      <c r="BA14" s="1" t="str">
        <f aca="false">_xlfn.CONCAT("Euro ",$D14)</f>
        <v>Euro II</v>
      </c>
      <c r="BB14" s="1" t="str">
        <f aca="false">_xlfn.CONCAT("Euro ",$D14)</f>
        <v>Euro II</v>
      </c>
      <c r="BC14" s="1" t="str">
        <f aca="false">_xlfn.CONCAT("Euro ",$D14)</f>
        <v>Euro II</v>
      </c>
      <c r="BD14" s="1" t="str">
        <f aca="false">_xlfn.CONCAT("Euro ",$D14)</f>
        <v>Euro II</v>
      </c>
      <c r="BE14" s="1" t="str">
        <f aca="false">_xlfn.CONCAT("Euro ",$D14)</f>
        <v>Euro II</v>
      </c>
      <c r="BF14" s="1" t="str">
        <f aca="false">_xlfn.CONCAT("Euro ",$D14)</f>
        <v>Euro II</v>
      </c>
      <c r="BG14" s="1" t="str">
        <f aca="false">_xlfn.CONCAT("Euro ",$D14)</f>
        <v>Euro II</v>
      </c>
      <c r="BH14" s="1" t="str">
        <f aca="false">_xlfn.CONCAT("Euro ",$C14)</f>
        <v>Euro 2</v>
      </c>
      <c r="BI14" s="1" t="str">
        <f aca="false">_xlfn.CONCAT("Euro ",$C14)</f>
        <v>Euro 2</v>
      </c>
      <c r="BJ14" s="1" t="s">
        <v>320</v>
      </c>
      <c r="BK14" s="1" t="str">
        <f aca="false">_xlfn.CONCAT("Euro ",$C14)</f>
        <v>Euro 2</v>
      </c>
      <c r="BL14" s="1" t="str">
        <f aca="false">_xlfn.CONCAT("Euro ",$C14)</f>
        <v>Euro 2</v>
      </c>
      <c r="BM14" s="1" t="str">
        <f aca="false">_xlfn.CONCAT("Euro ",$C14)</f>
        <v>Euro 2</v>
      </c>
      <c r="BN14" s="1" t="str">
        <f aca="false">_xlfn.CONCAT("Euro ",$C14)</f>
        <v>Euro 2</v>
      </c>
      <c r="BO14" s="1" t="str">
        <f aca="false">_xlfn.CONCAT("Euro ",$C14)</f>
        <v>Euro 2</v>
      </c>
      <c r="BP14" s="1" t="str">
        <f aca="false">_xlfn.CONCAT("Euro ",$C14)</f>
        <v>Euro 2</v>
      </c>
    </row>
    <row r="15" customFormat="false" ht="12.75" hidden="false" customHeight="false" outlineLevel="0" collapsed="false">
      <c r="A15" s="1" t="n">
        <f aca="false">A14-1</f>
        <v>2012</v>
      </c>
      <c r="B15" s="1" t="n">
        <f aca="false">B14-1</f>
        <v>2012</v>
      </c>
      <c r="C15" s="1" t="n">
        <v>2</v>
      </c>
      <c r="D15" s="1" t="s">
        <v>321</v>
      </c>
      <c r="E15" s="1" t="n">
        <v>2</v>
      </c>
      <c r="F15" s="1" t="n">
        <v>2</v>
      </c>
      <c r="G15" s="1" t="str">
        <f aca="false">_xlfn.CONCAT("Euro ",$C15)</f>
        <v>Euro 2</v>
      </c>
      <c r="H15" s="1" t="str">
        <f aca="false">_xlfn.CONCAT("Euro ",$C15)</f>
        <v>Euro 2</v>
      </c>
      <c r="I15" s="1" t="str">
        <f aca="false">_xlfn.CONCAT("Euro ",$C15)</f>
        <v>Euro 2</v>
      </c>
      <c r="J15" s="1" t="str">
        <f aca="false">_xlfn.CONCAT("Euro ",$C15)</f>
        <v>Euro 2</v>
      </c>
      <c r="K15" s="1" t="str">
        <f aca="false">_xlfn.CONCAT("Euro ",$C15)</f>
        <v>Euro 2</v>
      </c>
      <c r="L15" s="1" t="str">
        <f aca="false">_xlfn.CONCAT("Euro ",$C15)</f>
        <v>Euro 2</v>
      </c>
      <c r="M15" s="1" t="str">
        <f aca="false">_xlfn.CONCAT("Euro ",$C15)</f>
        <v>Euro 2</v>
      </c>
      <c r="N15" s="1" t="str">
        <f aca="false">_xlfn.CONCAT("Euro ",$C15)</f>
        <v>Euro 2</v>
      </c>
      <c r="O15" s="1" t="str">
        <f aca="false">_xlfn.CONCAT("Euro ",$C15)</f>
        <v>Euro 2</v>
      </c>
      <c r="P15" s="1" t="s">
        <v>320</v>
      </c>
      <c r="Q15" s="1" t="str">
        <f aca="false">_xlfn.CONCAT("Euro ",$C15)</f>
        <v>Euro 2</v>
      </c>
      <c r="R15" s="1" t="str">
        <f aca="false">_xlfn.CONCAT("Euro ",$C15)</f>
        <v>Euro 2</v>
      </c>
      <c r="S15" s="1" t="str">
        <f aca="false">_xlfn.CONCAT("Euro ",$C15)</f>
        <v>Euro 2</v>
      </c>
      <c r="T15" s="1" t="str">
        <f aca="false">_xlfn.CONCAT("Euro ",$C15)</f>
        <v>Euro 2</v>
      </c>
      <c r="U15" s="1" t="str">
        <f aca="false">_xlfn.CONCAT("Euro ",$C15)</f>
        <v>Euro 2</v>
      </c>
      <c r="V15" s="1" t="str">
        <f aca="false">_xlfn.CONCAT("Euro ",$C15)</f>
        <v>Euro 2</v>
      </c>
      <c r="W15" s="1" t="str">
        <f aca="false">_xlfn.CONCAT("Euro ",$C15)</f>
        <v>Euro 2</v>
      </c>
      <c r="X15" s="1" t="str">
        <f aca="false">_xlfn.CONCAT("Euro ",$C15)</f>
        <v>Euro 2</v>
      </c>
      <c r="Y15" s="1" t="str">
        <f aca="false">_xlfn.CONCAT("Euro ",$C15)</f>
        <v>Euro 2</v>
      </c>
      <c r="Z15" s="1" t="s">
        <v>320</v>
      </c>
      <c r="AA15" s="1" t="str">
        <f aca="false">_xlfn.CONCAT("Euro ",$D15)</f>
        <v>Euro II</v>
      </c>
      <c r="AB15" s="1" t="str">
        <f aca="false">_xlfn.CONCAT("Euro ",$D15)</f>
        <v>Euro II</v>
      </c>
      <c r="AC15" s="1" t="str">
        <f aca="false">_xlfn.CONCAT("Euro ",$D15)</f>
        <v>Euro II</v>
      </c>
      <c r="AD15" s="1" t="str">
        <f aca="false">_xlfn.CONCAT("Euro ",$D15)</f>
        <v>Euro II</v>
      </c>
      <c r="AE15" s="1" t="str">
        <f aca="false">_xlfn.CONCAT("Euro ",$D15)</f>
        <v>Euro II</v>
      </c>
      <c r="AF15" s="1" t="str">
        <f aca="false">_xlfn.CONCAT("Euro ",$D15)</f>
        <v>Euro II</v>
      </c>
      <c r="AG15" s="1" t="str">
        <f aca="false">_xlfn.CONCAT("Euro ",$D15)</f>
        <v>Euro II</v>
      </c>
      <c r="AH15" s="1" t="str">
        <f aca="false">_xlfn.CONCAT("Euro ",$D15)</f>
        <v>Euro II</v>
      </c>
      <c r="AI15" s="1" t="str">
        <f aca="false">_xlfn.CONCAT("Euro ",$D15)</f>
        <v>Euro II</v>
      </c>
      <c r="AJ15" s="1" t="str">
        <f aca="false">_xlfn.CONCAT("Euro ",$C15)</f>
        <v>Euro 2</v>
      </c>
      <c r="AK15" s="1" t="str">
        <f aca="false">_xlfn.CONCAT("Euro ",$C15)</f>
        <v>Euro 2</v>
      </c>
      <c r="AL15" s="1" t="str">
        <f aca="false">_xlfn.CONCAT("Euro ",$C15)</f>
        <v>Euro 2</v>
      </c>
      <c r="AM15" s="1" t="str">
        <f aca="false">_xlfn.CONCAT("Euro ",$C15)</f>
        <v>Euro 2</v>
      </c>
      <c r="AN15" s="1" t="str">
        <f aca="false">_xlfn.CONCAT("Euro ",$C15)</f>
        <v>Euro 2</v>
      </c>
      <c r="AO15" s="1" t="str">
        <f aca="false">_xlfn.CONCAT("Euro ",$C15)</f>
        <v>Euro 2</v>
      </c>
      <c r="AP15" s="1" t="str">
        <f aca="false">_xlfn.CONCAT("Euro ",$C15)</f>
        <v>Euro 2</v>
      </c>
      <c r="AQ15" s="1" t="str">
        <f aca="false">_xlfn.CONCAT("Euro ",$C15)</f>
        <v>Euro 2</v>
      </c>
      <c r="AR15" s="1" t="str">
        <f aca="false">_xlfn.CONCAT("Euro ",$C15)</f>
        <v>Euro 2</v>
      </c>
      <c r="AS15" s="1" t="str">
        <f aca="false">_xlfn.CONCAT("Euro ",$D15)</f>
        <v>Euro II</v>
      </c>
      <c r="AT15" s="1" t="str">
        <f aca="false">_xlfn.CONCAT("Euro ",$D15)</f>
        <v>Euro II</v>
      </c>
      <c r="AU15" s="1" t="str">
        <f aca="false">_xlfn.CONCAT("Euro ",$D15)</f>
        <v>Euro II</v>
      </c>
      <c r="AV15" s="1" t="str">
        <f aca="false">_xlfn.CONCAT("Euro ",$D15)</f>
        <v>Euro II</v>
      </c>
      <c r="AW15" s="1" t="str">
        <f aca="false">_xlfn.CONCAT("Euro ",$D15)</f>
        <v>Euro II</v>
      </c>
      <c r="AX15" s="1" t="str">
        <f aca="false">_xlfn.CONCAT("Euro ",$D15)</f>
        <v>Euro II</v>
      </c>
      <c r="AY15" s="1" t="str">
        <f aca="false">_xlfn.CONCAT("Euro ",$C15)</f>
        <v>Euro 2</v>
      </c>
      <c r="AZ15" s="1" t="str">
        <f aca="false">_xlfn.CONCAT("Euro ",$D15)</f>
        <v>Euro II</v>
      </c>
      <c r="BA15" s="1" t="str">
        <f aca="false">_xlfn.CONCAT("Euro ",$D15)</f>
        <v>Euro II</v>
      </c>
      <c r="BB15" s="1" t="str">
        <f aca="false">_xlfn.CONCAT("Euro ",$D15)</f>
        <v>Euro II</v>
      </c>
      <c r="BC15" s="1" t="str">
        <f aca="false">_xlfn.CONCAT("Euro ",$D15)</f>
        <v>Euro II</v>
      </c>
      <c r="BD15" s="1" t="str">
        <f aca="false">_xlfn.CONCAT("Euro ",$D15)</f>
        <v>Euro II</v>
      </c>
      <c r="BE15" s="1" t="str">
        <f aca="false">_xlfn.CONCAT("Euro ",$D15)</f>
        <v>Euro II</v>
      </c>
      <c r="BF15" s="1" t="str">
        <f aca="false">_xlfn.CONCAT("Euro ",$D15)</f>
        <v>Euro II</v>
      </c>
      <c r="BG15" s="1" t="str">
        <f aca="false">_xlfn.CONCAT("Euro ",$D15)</f>
        <v>Euro II</v>
      </c>
      <c r="BH15" s="1" t="str">
        <f aca="false">_xlfn.CONCAT("Euro ",$C15)</f>
        <v>Euro 2</v>
      </c>
      <c r="BI15" s="1" t="str">
        <f aca="false">_xlfn.CONCAT("Euro ",$C15)</f>
        <v>Euro 2</v>
      </c>
      <c r="BJ15" s="1" t="s">
        <v>320</v>
      </c>
      <c r="BK15" s="1" t="str">
        <f aca="false">_xlfn.CONCAT("Euro ",$C15)</f>
        <v>Euro 2</v>
      </c>
      <c r="BL15" s="1" t="str">
        <f aca="false">_xlfn.CONCAT("Euro ",$C15)</f>
        <v>Euro 2</v>
      </c>
      <c r="BM15" s="1" t="str">
        <f aca="false">_xlfn.CONCAT("Euro ",$C15)</f>
        <v>Euro 2</v>
      </c>
      <c r="BN15" s="1" t="str">
        <f aca="false">_xlfn.CONCAT("Euro ",$C15)</f>
        <v>Euro 2</v>
      </c>
      <c r="BO15" s="1" t="str">
        <f aca="false">_xlfn.CONCAT("Euro ",$C15)</f>
        <v>Euro 2</v>
      </c>
      <c r="BP15" s="1" t="str">
        <f aca="false">_xlfn.CONCAT("Euro ",$C15)</f>
        <v>Euro 2</v>
      </c>
    </row>
    <row r="16" customFormat="false" ht="12.75" hidden="false" customHeight="false" outlineLevel="0" collapsed="false">
      <c r="A16" s="1" t="n">
        <f aca="false">A15-1</f>
        <v>2011</v>
      </c>
      <c r="B16" s="1" t="n">
        <f aca="false">B15-1</f>
        <v>2011</v>
      </c>
      <c r="C16" s="1" t="n">
        <v>2</v>
      </c>
      <c r="D16" s="1" t="s">
        <v>321</v>
      </c>
      <c r="E16" s="1" t="n">
        <v>2</v>
      </c>
      <c r="F16" s="1" t="n">
        <v>2</v>
      </c>
      <c r="G16" s="1" t="str">
        <f aca="false">_xlfn.CONCAT("Euro ",$C16)</f>
        <v>Euro 2</v>
      </c>
      <c r="H16" s="1" t="str">
        <f aca="false">_xlfn.CONCAT("Euro ",$C16)</f>
        <v>Euro 2</v>
      </c>
      <c r="I16" s="1" t="str">
        <f aca="false">_xlfn.CONCAT("Euro ",$C16)</f>
        <v>Euro 2</v>
      </c>
      <c r="J16" s="1" t="str">
        <f aca="false">_xlfn.CONCAT("Euro ",$C16)</f>
        <v>Euro 2</v>
      </c>
      <c r="K16" s="1" t="str">
        <f aca="false">_xlfn.CONCAT("Euro ",$C16)</f>
        <v>Euro 2</v>
      </c>
      <c r="L16" s="1" t="str">
        <f aca="false">_xlfn.CONCAT("Euro ",$C16)</f>
        <v>Euro 2</v>
      </c>
      <c r="M16" s="1" t="str">
        <f aca="false">_xlfn.CONCAT("Euro ",$C16)</f>
        <v>Euro 2</v>
      </c>
      <c r="N16" s="1" t="str">
        <f aca="false">_xlfn.CONCAT("Euro ",$C16)</f>
        <v>Euro 2</v>
      </c>
      <c r="O16" s="1" t="str">
        <f aca="false">_xlfn.CONCAT("Euro ",$C16)</f>
        <v>Euro 2</v>
      </c>
      <c r="P16" s="1" t="s">
        <v>320</v>
      </c>
      <c r="Q16" s="1" t="str">
        <f aca="false">_xlfn.CONCAT("Euro ",$C16)</f>
        <v>Euro 2</v>
      </c>
      <c r="R16" s="1" t="str">
        <f aca="false">_xlfn.CONCAT("Euro ",$C16)</f>
        <v>Euro 2</v>
      </c>
      <c r="S16" s="1" t="str">
        <f aca="false">_xlfn.CONCAT("Euro ",$C16)</f>
        <v>Euro 2</v>
      </c>
      <c r="T16" s="1" t="str">
        <f aca="false">_xlfn.CONCAT("Euro ",$C16)</f>
        <v>Euro 2</v>
      </c>
      <c r="U16" s="1" t="str">
        <f aca="false">_xlfn.CONCAT("Euro ",$C16)</f>
        <v>Euro 2</v>
      </c>
      <c r="V16" s="1" t="str">
        <f aca="false">_xlfn.CONCAT("Euro ",$C16)</f>
        <v>Euro 2</v>
      </c>
      <c r="W16" s="1" t="str">
        <f aca="false">_xlfn.CONCAT("Euro ",$C16)</f>
        <v>Euro 2</v>
      </c>
      <c r="X16" s="1" t="str">
        <f aca="false">_xlfn.CONCAT("Euro ",$C16)</f>
        <v>Euro 2</v>
      </c>
      <c r="Y16" s="1" t="str">
        <f aca="false">_xlfn.CONCAT("Euro ",$C16)</f>
        <v>Euro 2</v>
      </c>
      <c r="Z16" s="1" t="s">
        <v>320</v>
      </c>
      <c r="AA16" s="1" t="str">
        <f aca="false">_xlfn.CONCAT("Euro ",$D16)</f>
        <v>Euro II</v>
      </c>
      <c r="AB16" s="1" t="str">
        <f aca="false">_xlfn.CONCAT("Euro ",$D16)</f>
        <v>Euro II</v>
      </c>
      <c r="AC16" s="1" t="str">
        <f aca="false">_xlfn.CONCAT("Euro ",$D16)</f>
        <v>Euro II</v>
      </c>
      <c r="AD16" s="1" t="str">
        <f aca="false">_xlfn.CONCAT("Euro ",$D16)</f>
        <v>Euro II</v>
      </c>
      <c r="AE16" s="1" t="str">
        <f aca="false">_xlfn.CONCAT("Euro ",$D16)</f>
        <v>Euro II</v>
      </c>
      <c r="AF16" s="1" t="str">
        <f aca="false">_xlfn.CONCAT("Euro ",$D16)</f>
        <v>Euro II</v>
      </c>
      <c r="AG16" s="1" t="str">
        <f aca="false">_xlfn.CONCAT("Euro ",$D16)</f>
        <v>Euro II</v>
      </c>
      <c r="AH16" s="1" t="str">
        <f aca="false">_xlfn.CONCAT("Euro ",$D16)</f>
        <v>Euro II</v>
      </c>
      <c r="AI16" s="1" t="str">
        <f aca="false">_xlfn.CONCAT("Euro ",$D16)</f>
        <v>Euro II</v>
      </c>
      <c r="AJ16" s="1" t="str">
        <f aca="false">_xlfn.CONCAT("Euro ",$C16)</f>
        <v>Euro 2</v>
      </c>
      <c r="AK16" s="1" t="str">
        <f aca="false">_xlfn.CONCAT("Euro ",$C16)</f>
        <v>Euro 2</v>
      </c>
      <c r="AL16" s="1" t="str">
        <f aca="false">_xlfn.CONCAT("Euro ",$C16)</f>
        <v>Euro 2</v>
      </c>
      <c r="AM16" s="1" t="str">
        <f aca="false">_xlfn.CONCAT("Euro ",$C16)</f>
        <v>Euro 2</v>
      </c>
      <c r="AN16" s="1" t="str">
        <f aca="false">_xlfn.CONCAT("Euro ",$C16)</f>
        <v>Euro 2</v>
      </c>
      <c r="AO16" s="1" t="str">
        <f aca="false">_xlfn.CONCAT("Euro ",$C16)</f>
        <v>Euro 2</v>
      </c>
      <c r="AP16" s="1" t="str">
        <f aca="false">_xlfn.CONCAT("Euro ",$C16)</f>
        <v>Euro 2</v>
      </c>
      <c r="AQ16" s="1" t="str">
        <f aca="false">_xlfn.CONCAT("Euro ",$C16)</f>
        <v>Euro 2</v>
      </c>
      <c r="AR16" s="1" t="str">
        <f aca="false">_xlfn.CONCAT("Euro ",$C16)</f>
        <v>Euro 2</v>
      </c>
      <c r="AS16" s="1" t="str">
        <f aca="false">_xlfn.CONCAT("Euro ",$D16)</f>
        <v>Euro II</v>
      </c>
      <c r="AT16" s="1" t="str">
        <f aca="false">_xlfn.CONCAT("Euro ",$D16)</f>
        <v>Euro II</v>
      </c>
      <c r="AU16" s="1" t="str">
        <f aca="false">_xlfn.CONCAT("Euro ",$D16)</f>
        <v>Euro II</v>
      </c>
      <c r="AV16" s="1" t="str">
        <f aca="false">_xlfn.CONCAT("Euro ",$D16)</f>
        <v>Euro II</v>
      </c>
      <c r="AW16" s="1" t="str">
        <f aca="false">_xlfn.CONCAT("Euro ",$D16)</f>
        <v>Euro II</v>
      </c>
      <c r="AX16" s="1" t="str">
        <f aca="false">_xlfn.CONCAT("Euro ",$D16)</f>
        <v>Euro II</v>
      </c>
      <c r="AY16" s="1" t="str">
        <f aca="false">_xlfn.CONCAT("Euro ",$C16)</f>
        <v>Euro 2</v>
      </c>
      <c r="AZ16" s="1" t="str">
        <f aca="false">_xlfn.CONCAT("Euro ",$D16)</f>
        <v>Euro II</v>
      </c>
      <c r="BA16" s="1" t="str">
        <f aca="false">_xlfn.CONCAT("Euro ",$D16)</f>
        <v>Euro II</v>
      </c>
      <c r="BB16" s="1" t="str">
        <f aca="false">_xlfn.CONCAT("Euro ",$D16)</f>
        <v>Euro II</v>
      </c>
      <c r="BC16" s="1" t="str">
        <f aca="false">_xlfn.CONCAT("Euro ",$D16)</f>
        <v>Euro II</v>
      </c>
      <c r="BD16" s="1" t="str">
        <f aca="false">_xlfn.CONCAT("Euro ",$D16)</f>
        <v>Euro II</v>
      </c>
      <c r="BE16" s="1" t="str">
        <f aca="false">_xlfn.CONCAT("Euro ",$D16)</f>
        <v>Euro II</v>
      </c>
      <c r="BF16" s="1" t="str">
        <f aca="false">_xlfn.CONCAT("Euro ",$D16)</f>
        <v>Euro II</v>
      </c>
      <c r="BG16" s="1" t="str">
        <f aca="false">_xlfn.CONCAT("Euro ",$D16)</f>
        <v>Euro II</v>
      </c>
      <c r="BH16" s="1" t="str">
        <f aca="false">_xlfn.CONCAT("Euro ",$C16)</f>
        <v>Euro 2</v>
      </c>
      <c r="BI16" s="1" t="str">
        <f aca="false">_xlfn.CONCAT("Euro ",$C16)</f>
        <v>Euro 2</v>
      </c>
      <c r="BJ16" s="1" t="s">
        <v>320</v>
      </c>
      <c r="BK16" s="1" t="str">
        <f aca="false">_xlfn.CONCAT("Euro ",$C16)</f>
        <v>Euro 2</v>
      </c>
      <c r="BL16" s="1" t="str">
        <f aca="false">_xlfn.CONCAT("Euro ",$C16)</f>
        <v>Euro 2</v>
      </c>
      <c r="BM16" s="1" t="str">
        <f aca="false">_xlfn.CONCAT("Euro ",$C16)</f>
        <v>Euro 2</v>
      </c>
      <c r="BN16" s="1" t="str">
        <f aca="false">_xlfn.CONCAT("Euro ",$C16)</f>
        <v>Euro 2</v>
      </c>
      <c r="BO16" s="1" t="str">
        <f aca="false">_xlfn.CONCAT("Euro ",$C16)</f>
        <v>Euro 2</v>
      </c>
      <c r="BP16" s="1" t="str">
        <f aca="false">_xlfn.CONCAT("Euro ",$C16)</f>
        <v>Euro 2</v>
      </c>
    </row>
    <row r="17" customFormat="false" ht="12.75" hidden="false" customHeight="false" outlineLevel="0" collapsed="false">
      <c r="A17" s="1" t="n">
        <f aca="false">A16-1</f>
        <v>2010</v>
      </c>
      <c r="B17" s="1" t="n">
        <f aca="false">B16-1</f>
        <v>2010</v>
      </c>
      <c r="C17" s="1" t="n">
        <v>2</v>
      </c>
      <c r="D17" s="1" t="s">
        <v>321</v>
      </c>
      <c r="E17" s="1" t="n">
        <v>2</v>
      </c>
      <c r="F17" s="1" t="n">
        <v>2</v>
      </c>
      <c r="G17" s="1" t="str">
        <f aca="false">_xlfn.CONCAT("Euro ",$C17)</f>
        <v>Euro 2</v>
      </c>
      <c r="H17" s="1" t="str">
        <f aca="false">_xlfn.CONCAT("Euro ",$C17)</f>
        <v>Euro 2</v>
      </c>
      <c r="I17" s="1" t="str">
        <f aca="false">_xlfn.CONCAT("Euro ",$C17)</f>
        <v>Euro 2</v>
      </c>
      <c r="J17" s="1" t="str">
        <f aca="false">_xlfn.CONCAT("Euro ",$C17)</f>
        <v>Euro 2</v>
      </c>
      <c r="K17" s="1" t="str">
        <f aca="false">_xlfn.CONCAT("Euro ",$C17)</f>
        <v>Euro 2</v>
      </c>
      <c r="L17" s="1" t="str">
        <f aca="false">_xlfn.CONCAT("Euro ",$C17)</f>
        <v>Euro 2</v>
      </c>
      <c r="M17" s="1" t="str">
        <f aca="false">_xlfn.CONCAT("Euro ",$C17)</f>
        <v>Euro 2</v>
      </c>
      <c r="N17" s="1" t="str">
        <f aca="false">_xlfn.CONCAT("Euro ",$C17)</f>
        <v>Euro 2</v>
      </c>
      <c r="O17" s="1" t="str">
        <f aca="false">_xlfn.CONCAT("Euro ",$C17)</f>
        <v>Euro 2</v>
      </c>
      <c r="P17" s="1" t="s">
        <v>320</v>
      </c>
      <c r="Q17" s="1" t="str">
        <f aca="false">_xlfn.CONCAT("Euro ",$C17)</f>
        <v>Euro 2</v>
      </c>
      <c r="R17" s="1" t="str">
        <f aca="false">_xlfn.CONCAT("Euro ",$C17)</f>
        <v>Euro 2</v>
      </c>
      <c r="S17" s="1" t="str">
        <f aca="false">_xlfn.CONCAT("Euro ",$C17)</f>
        <v>Euro 2</v>
      </c>
      <c r="T17" s="1" t="str">
        <f aca="false">_xlfn.CONCAT("Euro ",$C17)</f>
        <v>Euro 2</v>
      </c>
      <c r="U17" s="1" t="str">
        <f aca="false">_xlfn.CONCAT("Euro ",$C17)</f>
        <v>Euro 2</v>
      </c>
      <c r="V17" s="1" t="str">
        <f aca="false">_xlfn.CONCAT("Euro ",$C17)</f>
        <v>Euro 2</v>
      </c>
      <c r="W17" s="1" t="str">
        <f aca="false">_xlfn.CONCAT("Euro ",$C17)</f>
        <v>Euro 2</v>
      </c>
      <c r="X17" s="1" t="str">
        <f aca="false">_xlfn.CONCAT("Euro ",$C17)</f>
        <v>Euro 2</v>
      </c>
      <c r="Y17" s="1" t="str">
        <f aca="false">_xlfn.CONCAT("Euro ",$C17)</f>
        <v>Euro 2</v>
      </c>
      <c r="Z17" s="1" t="s">
        <v>320</v>
      </c>
      <c r="AA17" s="1" t="str">
        <f aca="false">_xlfn.CONCAT("Euro ",$D17)</f>
        <v>Euro II</v>
      </c>
      <c r="AB17" s="1" t="str">
        <f aca="false">_xlfn.CONCAT("Euro ",$D17)</f>
        <v>Euro II</v>
      </c>
      <c r="AC17" s="1" t="str">
        <f aca="false">_xlfn.CONCAT("Euro ",$D17)</f>
        <v>Euro II</v>
      </c>
      <c r="AD17" s="1" t="str">
        <f aca="false">_xlfn.CONCAT("Euro ",$D17)</f>
        <v>Euro II</v>
      </c>
      <c r="AE17" s="1" t="str">
        <f aca="false">_xlfn.CONCAT("Euro ",$D17)</f>
        <v>Euro II</v>
      </c>
      <c r="AF17" s="1" t="str">
        <f aca="false">_xlfn.CONCAT("Euro ",$D17)</f>
        <v>Euro II</v>
      </c>
      <c r="AG17" s="1" t="str">
        <f aca="false">_xlfn.CONCAT("Euro ",$D17)</f>
        <v>Euro II</v>
      </c>
      <c r="AH17" s="1" t="str">
        <f aca="false">_xlfn.CONCAT("Euro ",$D17)</f>
        <v>Euro II</v>
      </c>
      <c r="AI17" s="1" t="str">
        <f aca="false">_xlfn.CONCAT("Euro ",$D17)</f>
        <v>Euro II</v>
      </c>
      <c r="AJ17" s="1" t="str">
        <f aca="false">_xlfn.CONCAT("Euro ",$C17)</f>
        <v>Euro 2</v>
      </c>
      <c r="AK17" s="1" t="str">
        <f aca="false">_xlfn.CONCAT("Euro ",$C17)</f>
        <v>Euro 2</v>
      </c>
      <c r="AL17" s="1" t="str">
        <f aca="false">_xlfn.CONCAT("Euro ",$C17)</f>
        <v>Euro 2</v>
      </c>
      <c r="AM17" s="1" t="str">
        <f aca="false">_xlfn.CONCAT("Euro ",$C17)</f>
        <v>Euro 2</v>
      </c>
      <c r="AN17" s="1" t="str">
        <f aca="false">_xlfn.CONCAT("Euro ",$C17)</f>
        <v>Euro 2</v>
      </c>
      <c r="AO17" s="1" t="str">
        <f aca="false">_xlfn.CONCAT("Euro ",$C17)</f>
        <v>Euro 2</v>
      </c>
      <c r="AP17" s="1" t="str">
        <f aca="false">_xlfn.CONCAT("Euro ",$C17)</f>
        <v>Euro 2</v>
      </c>
      <c r="AQ17" s="1" t="str">
        <f aca="false">_xlfn.CONCAT("Euro ",$C17)</f>
        <v>Euro 2</v>
      </c>
      <c r="AR17" s="1" t="str">
        <f aca="false">_xlfn.CONCAT("Euro ",$C17)</f>
        <v>Euro 2</v>
      </c>
      <c r="AS17" s="1" t="str">
        <f aca="false">_xlfn.CONCAT("Euro ",$D17)</f>
        <v>Euro II</v>
      </c>
      <c r="AT17" s="1" t="str">
        <f aca="false">_xlfn.CONCAT("Euro ",$D17)</f>
        <v>Euro II</v>
      </c>
      <c r="AU17" s="1" t="str">
        <f aca="false">_xlfn.CONCAT("Euro ",$D17)</f>
        <v>Euro II</v>
      </c>
      <c r="AV17" s="1" t="str">
        <f aca="false">_xlfn.CONCAT("Euro ",$D17)</f>
        <v>Euro II</v>
      </c>
      <c r="AW17" s="1" t="str">
        <f aca="false">_xlfn.CONCAT("Euro ",$D17)</f>
        <v>Euro II</v>
      </c>
      <c r="AX17" s="1" t="str">
        <f aca="false">_xlfn.CONCAT("Euro ",$D17)</f>
        <v>Euro II</v>
      </c>
      <c r="AY17" s="1" t="str">
        <f aca="false">_xlfn.CONCAT("Euro ",$C17)</f>
        <v>Euro 2</v>
      </c>
      <c r="AZ17" s="1" t="str">
        <f aca="false">_xlfn.CONCAT("Euro ",$D17)</f>
        <v>Euro II</v>
      </c>
      <c r="BA17" s="1" t="str">
        <f aca="false">_xlfn.CONCAT("Euro ",$D17)</f>
        <v>Euro II</v>
      </c>
      <c r="BB17" s="1" t="str">
        <f aca="false">_xlfn.CONCAT("Euro ",$D17)</f>
        <v>Euro II</v>
      </c>
      <c r="BC17" s="1" t="str">
        <f aca="false">_xlfn.CONCAT("Euro ",$D17)</f>
        <v>Euro II</v>
      </c>
      <c r="BD17" s="1" t="str">
        <f aca="false">_xlfn.CONCAT("Euro ",$D17)</f>
        <v>Euro II</v>
      </c>
      <c r="BE17" s="1" t="str">
        <f aca="false">_xlfn.CONCAT("Euro ",$D17)</f>
        <v>Euro II</v>
      </c>
      <c r="BF17" s="1" t="str">
        <f aca="false">_xlfn.CONCAT("Euro ",$D17)</f>
        <v>Euro II</v>
      </c>
      <c r="BG17" s="1" t="str">
        <f aca="false">_xlfn.CONCAT("Euro ",$D17)</f>
        <v>Euro II</v>
      </c>
      <c r="BH17" s="1" t="str">
        <f aca="false">_xlfn.CONCAT("Euro ",$C17)</f>
        <v>Euro 2</v>
      </c>
      <c r="BI17" s="1" t="str">
        <f aca="false">_xlfn.CONCAT("Euro ",$C17)</f>
        <v>Euro 2</v>
      </c>
      <c r="BJ17" s="1" t="s">
        <v>320</v>
      </c>
      <c r="BK17" s="1" t="str">
        <f aca="false">_xlfn.CONCAT("Euro ",$C17)</f>
        <v>Euro 2</v>
      </c>
      <c r="BL17" s="1" t="str">
        <f aca="false">_xlfn.CONCAT("Euro ",$C17)</f>
        <v>Euro 2</v>
      </c>
      <c r="BM17" s="1" t="str">
        <f aca="false">_xlfn.CONCAT("Euro ",$C17)</f>
        <v>Euro 2</v>
      </c>
      <c r="BN17" s="1" t="str">
        <f aca="false">_xlfn.CONCAT("Euro ",$C17)</f>
        <v>Euro 2</v>
      </c>
      <c r="BO17" s="1" t="str">
        <f aca="false">_xlfn.CONCAT("Euro ",$C17)</f>
        <v>Euro 2</v>
      </c>
      <c r="BP17" s="1" t="str">
        <f aca="false">_xlfn.CONCAT("Euro ",$C17)</f>
        <v>Euro 2</v>
      </c>
    </row>
    <row r="18" customFormat="false" ht="12.75" hidden="false" customHeight="false" outlineLevel="0" collapsed="false">
      <c r="A18" s="1" t="n">
        <f aca="false">A17-1</f>
        <v>2009</v>
      </c>
      <c r="B18" s="1" t="n">
        <f aca="false">B17-1</f>
        <v>2009</v>
      </c>
      <c r="C18" s="1" t="n">
        <v>2</v>
      </c>
      <c r="D18" s="1" t="s">
        <v>321</v>
      </c>
      <c r="E18" s="1" t="n">
        <v>2</v>
      </c>
      <c r="F18" s="1" t="n">
        <v>2</v>
      </c>
      <c r="G18" s="1" t="str">
        <f aca="false">_xlfn.CONCAT("Euro ",$C18)</f>
        <v>Euro 2</v>
      </c>
      <c r="H18" s="1" t="str">
        <f aca="false">_xlfn.CONCAT("Euro ",$C18)</f>
        <v>Euro 2</v>
      </c>
      <c r="I18" s="1" t="str">
        <f aca="false">_xlfn.CONCAT("Euro ",$C18)</f>
        <v>Euro 2</v>
      </c>
      <c r="J18" s="1" t="str">
        <f aca="false">_xlfn.CONCAT("Euro ",$C18)</f>
        <v>Euro 2</v>
      </c>
      <c r="K18" s="1" t="str">
        <f aca="false">_xlfn.CONCAT("Euro ",$C18)</f>
        <v>Euro 2</v>
      </c>
      <c r="L18" s="1" t="str">
        <f aca="false">_xlfn.CONCAT("Euro ",$C18)</f>
        <v>Euro 2</v>
      </c>
      <c r="M18" s="1" t="str">
        <f aca="false">_xlfn.CONCAT("Euro ",$C18)</f>
        <v>Euro 2</v>
      </c>
      <c r="N18" s="1" t="str">
        <f aca="false">_xlfn.CONCAT("Euro ",$C18)</f>
        <v>Euro 2</v>
      </c>
      <c r="O18" s="1" t="str">
        <f aca="false">_xlfn.CONCAT("Euro ",$C18)</f>
        <v>Euro 2</v>
      </c>
      <c r="P18" s="1" t="s">
        <v>320</v>
      </c>
      <c r="Q18" s="1" t="str">
        <f aca="false">_xlfn.CONCAT("Euro ",$C18)</f>
        <v>Euro 2</v>
      </c>
      <c r="R18" s="1" t="str">
        <f aca="false">_xlfn.CONCAT("Euro ",$C18)</f>
        <v>Euro 2</v>
      </c>
      <c r="S18" s="1" t="str">
        <f aca="false">_xlfn.CONCAT("Euro ",$C18)</f>
        <v>Euro 2</v>
      </c>
      <c r="T18" s="1" t="str">
        <f aca="false">_xlfn.CONCAT("Euro ",$C18)</f>
        <v>Euro 2</v>
      </c>
      <c r="U18" s="1" t="str">
        <f aca="false">_xlfn.CONCAT("Euro ",$C18)</f>
        <v>Euro 2</v>
      </c>
      <c r="V18" s="1" t="str">
        <f aca="false">_xlfn.CONCAT("Euro ",$C18)</f>
        <v>Euro 2</v>
      </c>
      <c r="W18" s="1" t="str">
        <f aca="false">_xlfn.CONCAT("Euro ",$C18)</f>
        <v>Euro 2</v>
      </c>
      <c r="X18" s="1" t="str">
        <f aca="false">_xlfn.CONCAT("Euro ",$C18)</f>
        <v>Euro 2</v>
      </c>
      <c r="Y18" s="1" t="str">
        <f aca="false">_xlfn.CONCAT("Euro ",$C18)</f>
        <v>Euro 2</v>
      </c>
      <c r="Z18" s="1" t="s">
        <v>320</v>
      </c>
      <c r="AA18" s="1" t="str">
        <f aca="false">_xlfn.CONCAT("Euro ",$D18)</f>
        <v>Euro II</v>
      </c>
      <c r="AB18" s="1" t="str">
        <f aca="false">_xlfn.CONCAT("Euro ",$D18)</f>
        <v>Euro II</v>
      </c>
      <c r="AC18" s="1" t="str">
        <f aca="false">_xlfn.CONCAT("Euro ",$D18)</f>
        <v>Euro II</v>
      </c>
      <c r="AD18" s="1" t="str">
        <f aca="false">_xlfn.CONCAT("Euro ",$D18)</f>
        <v>Euro II</v>
      </c>
      <c r="AE18" s="1" t="str">
        <f aca="false">_xlfn.CONCAT("Euro ",$D18)</f>
        <v>Euro II</v>
      </c>
      <c r="AF18" s="1" t="str">
        <f aca="false">_xlfn.CONCAT("Euro ",$D18)</f>
        <v>Euro II</v>
      </c>
      <c r="AG18" s="1" t="str">
        <f aca="false">_xlfn.CONCAT("Euro ",$D18)</f>
        <v>Euro II</v>
      </c>
      <c r="AH18" s="1" t="str">
        <f aca="false">_xlfn.CONCAT("Euro ",$D18)</f>
        <v>Euro II</v>
      </c>
      <c r="AI18" s="1" t="str">
        <f aca="false">_xlfn.CONCAT("Euro ",$D18)</f>
        <v>Euro II</v>
      </c>
      <c r="AJ18" s="1" t="str">
        <f aca="false">_xlfn.CONCAT("Euro ",$C18)</f>
        <v>Euro 2</v>
      </c>
      <c r="AK18" s="1" t="str">
        <f aca="false">_xlfn.CONCAT("Euro ",$C18)</f>
        <v>Euro 2</v>
      </c>
      <c r="AL18" s="1" t="str">
        <f aca="false">_xlfn.CONCAT("Euro ",$C18)</f>
        <v>Euro 2</v>
      </c>
      <c r="AM18" s="1" t="str">
        <f aca="false">_xlfn.CONCAT("Euro ",$C18)</f>
        <v>Euro 2</v>
      </c>
      <c r="AN18" s="1" t="str">
        <f aca="false">_xlfn.CONCAT("Euro ",$C18)</f>
        <v>Euro 2</v>
      </c>
      <c r="AO18" s="1" t="str">
        <f aca="false">_xlfn.CONCAT("Euro ",$C18)</f>
        <v>Euro 2</v>
      </c>
      <c r="AP18" s="1" t="str">
        <f aca="false">_xlfn.CONCAT("Euro ",$C18)</f>
        <v>Euro 2</v>
      </c>
      <c r="AQ18" s="1" t="str">
        <f aca="false">_xlfn.CONCAT("Euro ",$C18)</f>
        <v>Euro 2</v>
      </c>
      <c r="AR18" s="1" t="str">
        <f aca="false">_xlfn.CONCAT("Euro ",$C18)</f>
        <v>Euro 2</v>
      </c>
      <c r="AS18" s="1" t="str">
        <f aca="false">_xlfn.CONCAT("Euro ",$D18)</f>
        <v>Euro II</v>
      </c>
      <c r="AT18" s="1" t="str">
        <f aca="false">_xlfn.CONCAT("Euro ",$D18)</f>
        <v>Euro II</v>
      </c>
      <c r="AU18" s="1" t="str">
        <f aca="false">_xlfn.CONCAT("Euro ",$D18)</f>
        <v>Euro II</v>
      </c>
      <c r="AV18" s="1" t="str">
        <f aca="false">_xlfn.CONCAT("Euro ",$D18)</f>
        <v>Euro II</v>
      </c>
      <c r="AW18" s="1" t="str">
        <f aca="false">_xlfn.CONCAT("Euro ",$D18)</f>
        <v>Euro II</v>
      </c>
      <c r="AX18" s="1" t="str">
        <f aca="false">_xlfn.CONCAT("Euro ",$D18)</f>
        <v>Euro II</v>
      </c>
      <c r="AY18" s="1" t="str">
        <f aca="false">_xlfn.CONCAT("Euro ",$C18)</f>
        <v>Euro 2</v>
      </c>
      <c r="AZ18" s="1" t="str">
        <f aca="false">_xlfn.CONCAT("Euro ",$D18)</f>
        <v>Euro II</v>
      </c>
      <c r="BA18" s="1" t="str">
        <f aca="false">_xlfn.CONCAT("Euro ",$D18)</f>
        <v>Euro II</v>
      </c>
      <c r="BB18" s="1" t="str">
        <f aca="false">_xlfn.CONCAT("Euro ",$D18)</f>
        <v>Euro II</v>
      </c>
      <c r="BC18" s="1" t="str">
        <f aca="false">_xlfn.CONCAT("Euro ",$D18)</f>
        <v>Euro II</v>
      </c>
      <c r="BD18" s="1" t="str">
        <f aca="false">_xlfn.CONCAT("Euro ",$D18)</f>
        <v>Euro II</v>
      </c>
      <c r="BE18" s="1" t="str">
        <f aca="false">_xlfn.CONCAT("Euro ",$D18)</f>
        <v>Euro II</v>
      </c>
      <c r="BF18" s="1" t="str">
        <f aca="false">_xlfn.CONCAT("Euro ",$D18)</f>
        <v>Euro II</v>
      </c>
      <c r="BG18" s="1" t="str">
        <f aca="false">_xlfn.CONCAT("Euro ",$D18)</f>
        <v>Euro II</v>
      </c>
      <c r="BH18" s="1" t="str">
        <f aca="false">_xlfn.CONCAT("Euro ",$C18)</f>
        <v>Euro 2</v>
      </c>
      <c r="BI18" s="1" t="str">
        <f aca="false">_xlfn.CONCAT("Euro ",$C18)</f>
        <v>Euro 2</v>
      </c>
      <c r="BJ18" s="1" t="s">
        <v>320</v>
      </c>
      <c r="BK18" s="1" t="str">
        <f aca="false">_xlfn.CONCAT("Euro ",$C18)</f>
        <v>Euro 2</v>
      </c>
      <c r="BL18" s="1" t="str">
        <f aca="false">_xlfn.CONCAT("Euro ",$C18)</f>
        <v>Euro 2</v>
      </c>
      <c r="BM18" s="1" t="str">
        <f aca="false">_xlfn.CONCAT("Euro ",$C18)</f>
        <v>Euro 2</v>
      </c>
      <c r="BN18" s="1" t="str">
        <f aca="false">_xlfn.CONCAT("Euro ",$C18)</f>
        <v>Euro 2</v>
      </c>
      <c r="BO18" s="1" t="str">
        <f aca="false">_xlfn.CONCAT("Euro ",$C18)</f>
        <v>Euro 2</v>
      </c>
      <c r="BP18" s="1" t="str">
        <f aca="false">_xlfn.CONCAT("Euro ",$C18)</f>
        <v>Euro 2</v>
      </c>
    </row>
    <row r="19" customFormat="false" ht="12.75" hidden="false" customHeight="false" outlineLevel="0" collapsed="false">
      <c r="A19" s="1" t="n">
        <f aca="false">A18-1</f>
        <v>2008</v>
      </c>
      <c r="B19" s="1" t="n">
        <f aca="false">B18-1</f>
        <v>2008</v>
      </c>
      <c r="C19" s="1" t="n">
        <v>2</v>
      </c>
      <c r="D19" s="1" t="s">
        <v>321</v>
      </c>
      <c r="E19" s="1" t="n">
        <v>2</v>
      </c>
      <c r="F19" s="1" t="n">
        <v>2</v>
      </c>
      <c r="G19" s="1" t="str">
        <f aca="false">_xlfn.CONCAT("Euro ",$C19)</f>
        <v>Euro 2</v>
      </c>
      <c r="H19" s="1" t="str">
        <f aca="false">_xlfn.CONCAT("Euro ",$C19)</f>
        <v>Euro 2</v>
      </c>
      <c r="I19" s="1" t="str">
        <f aca="false">_xlfn.CONCAT("Euro ",$C19)</f>
        <v>Euro 2</v>
      </c>
      <c r="J19" s="1" t="str">
        <f aca="false">_xlfn.CONCAT("Euro ",$C19)</f>
        <v>Euro 2</v>
      </c>
      <c r="K19" s="1" t="str">
        <f aca="false">_xlfn.CONCAT("Euro ",$C19)</f>
        <v>Euro 2</v>
      </c>
      <c r="L19" s="1" t="str">
        <f aca="false">_xlfn.CONCAT("Euro ",$C19)</f>
        <v>Euro 2</v>
      </c>
      <c r="M19" s="1" t="str">
        <f aca="false">_xlfn.CONCAT("Euro ",$C19)</f>
        <v>Euro 2</v>
      </c>
      <c r="N19" s="1" t="str">
        <f aca="false">_xlfn.CONCAT("Euro ",$C19)</f>
        <v>Euro 2</v>
      </c>
      <c r="O19" s="1" t="str">
        <f aca="false">_xlfn.CONCAT("Euro ",$C19)</f>
        <v>Euro 2</v>
      </c>
      <c r="P19" s="1" t="s">
        <v>320</v>
      </c>
      <c r="Q19" s="1" t="str">
        <f aca="false">_xlfn.CONCAT("Euro ",$C19)</f>
        <v>Euro 2</v>
      </c>
      <c r="R19" s="1" t="str">
        <f aca="false">_xlfn.CONCAT("Euro ",$C19)</f>
        <v>Euro 2</v>
      </c>
      <c r="S19" s="1" t="str">
        <f aca="false">_xlfn.CONCAT("Euro ",$C19)</f>
        <v>Euro 2</v>
      </c>
      <c r="T19" s="1" t="str">
        <f aca="false">_xlfn.CONCAT("Euro ",$C19)</f>
        <v>Euro 2</v>
      </c>
      <c r="U19" s="1" t="str">
        <f aca="false">_xlfn.CONCAT("Euro ",$C19)</f>
        <v>Euro 2</v>
      </c>
      <c r="V19" s="1" t="str">
        <f aca="false">_xlfn.CONCAT("Euro ",$C19)</f>
        <v>Euro 2</v>
      </c>
      <c r="W19" s="1" t="str">
        <f aca="false">_xlfn.CONCAT("Euro ",$C19)</f>
        <v>Euro 2</v>
      </c>
      <c r="X19" s="1" t="str">
        <f aca="false">_xlfn.CONCAT("Euro ",$C19)</f>
        <v>Euro 2</v>
      </c>
      <c r="Y19" s="1" t="str">
        <f aca="false">_xlfn.CONCAT("Euro ",$C19)</f>
        <v>Euro 2</v>
      </c>
      <c r="Z19" s="1" t="s">
        <v>320</v>
      </c>
      <c r="AA19" s="1" t="str">
        <f aca="false">_xlfn.CONCAT("Euro ",$D19)</f>
        <v>Euro II</v>
      </c>
      <c r="AB19" s="1" t="str">
        <f aca="false">_xlfn.CONCAT("Euro ",$D19)</f>
        <v>Euro II</v>
      </c>
      <c r="AC19" s="1" t="str">
        <f aca="false">_xlfn.CONCAT("Euro ",$D19)</f>
        <v>Euro II</v>
      </c>
      <c r="AD19" s="1" t="str">
        <f aca="false">_xlfn.CONCAT("Euro ",$D19)</f>
        <v>Euro II</v>
      </c>
      <c r="AE19" s="1" t="str">
        <f aca="false">_xlfn.CONCAT("Euro ",$D19)</f>
        <v>Euro II</v>
      </c>
      <c r="AF19" s="1" t="str">
        <f aca="false">_xlfn.CONCAT("Euro ",$D19)</f>
        <v>Euro II</v>
      </c>
      <c r="AG19" s="1" t="str">
        <f aca="false">_xlfn.CONCAT("Euro ",$D19)</f>
        <v>Euro II</v>
      </c>
      <c r="AH19" s="1" t="str">
        <f aca="false">_xlfn.CONCAT("Euro ",$D19)</f>
        <v>Euro II</v>
      </c>
      <c r="AI19" s="1" t="str">
        <f aca="false">_xlfn.CONCAT("Euro ",$D19)</f>
        <v>Euro II</v>
      </c>
      <c r="AJ19" s="1" t="str">
        <f aca="false">_xlfn.CONCAT("Euro ",$C19)</f>
        <v>Euro 2</v>
      </c>
      <c r="AK19" s="1" t="str">
        <f aca="false">_xlfn.CONCAT("Euro ",$C19)</f>
        <v>Euro 2</v>
      </c>
      <c r="AL19" s="1" t="str">
        <f aca="false">_xlfn.CONCAT("Euro ",$C19)</f>
        <v>Euro 2</v>
      </c>
      <c r="AM19" s="1" t="str">
        <f aca="false">_xlfn.CONCAT("Euro ",$C19)</f>
        <v>Euro 2</v>
      </c>
      <c r="AN19" s="1" t="str">
        <f aca="false">_xlfn.CONCAT("Euro ",$C19)</f>
        <v>Euro 2</v>
      </c>
      <c r="AO19" s="1" t="str">
        <f aca="false">_xlfn.CONCAT("Euro ",$C19)</f>
        <v>Euro 2</v>
      </c>
      <c r="AP19" s="1" t="str">
        <f aca="false">_xlfn.CONCAT("Euro ",$C19)</f>
        <v>Euro 2</v>
      </c>
      <c r="AQ19" s="1" t="str">
        <f aca="false">_xlfn.CONCAT("Euro ",$C19)</f>
        <v>Euro 2</v>
      </c>
      <c r="AR19" s="1" t="str">
        <f aca="false">_xlfn.CONCAT("Euro ",$C19)</f>
        <v>Euro 2</v>
      </c>
      <c r="AS19" s="1" t="str">
        <f aca="false">_xlfn.CONCAT("Euro ",$D19)</f>
        <v>Euro II</v>
      </c>
      <c r="AT19" s="1" t="str">
        <f aca="false">_xlfn.CONCAT("Euro ",$D19)</f>
        <v>Euro II</v>
      </c>
      <c r="AU19" s="1" t="str">
        <f aca="false">_xlfn.CONCAT("Euro ",$D19)</f>
        <v>Euro II</v>
      </c>
      <c r="AV19" s="1" t="str">
        <f aca="false">_xlfn.CONCAT("Euro ",$D19)</f>
        <v>Euro II</v>
      </c>
      <c r="AW19" s="1" t="str">
        <f aca="false">_xlfn.CONCAT("Euro ",$D19)</f>
        <v>Euro II</v>
      </c>
      <c r="AX19" s="1" t="str">
        <f aca="false">_xlfn.CONCAT("Euro ",$D19)</f>
        <v>Euro II</v>
      </c>
      <c r="AY19" s="1" t="str">
        <f aca="false">_xlfn.CONCAT("Euro ",$C19)</f>
        <v>Euro 2</v>
      </c>
      <c r="AZ19" s="1" t="str">
        <f aca="false">_xlfn.CONCAT("Euro ",$D19)</f>
        <v>Euro II</v>
      </c>
      <c r="BA19" s="1" t="str">
        <f aca="false">_xlfn.CONCAT("Euro ",$D19)</f>
        <v>Euro II</v>
      </c>
      <c r="BB19" s="1" t="str">
        <f aca="false">_xlfn.CONCAT("Euro ",$D19)</f>
        <v>Euro II</v>
      </c>
      <c r="BC19" s="1" t="str">
        <f aca="false">_xlfn.CONCAT("Euro ",$D19)</f>
        <v>Euro II</v>
      </c>
      <c r="BD19" s="1" t="str">
        <f aca="false">_xlfn.CONCAT("Euro ",$D19)</f>
        <v>Euro II</v>
      </c>
      <c r="BE19" s="1" t="str">
        <f aca="false">_xlfn.CONCAT("Euro ",$D19)</f>
        <v>Euro II</v>
      </c>
      <c r="BF19" s="1" t="str">
        <f aca="false">_xlfn.CONCAT("Euro ",$D19)</f>
        <v>Euro II</v>
      </c>
      <c r="BG19" s="1" t="str">
        <f aca="false">_xlfn.CONCAT("Euro ",$D19)</f>
        <v>Euro II</v>
      </c>
      <c r="BH19" s="1" t="str">
        <f aca="false">_xlfn.CONCAT("Euro ",$C19)</f>
        <v>Euro 2</v>
      </c>
      <c r="BI19" s="1" t="str">
        <f aca="false">_xlfn.CONCAT("Euro ",$C19)</f>
        <v>Euro 2</v>
      </c>
      <c r="BJ19" s="1" t="s">
        <v>320</v>
      </c>
      <c r="BK19" s="1" t="str">
        <f aca="false">_xlfn.CONCAT("Euro ",$C19)</f>
        <v>Euro 2</v>
      </c>
      <c r="BL19" s="1" t="str">
        <f aca="false">_xlfn.CONCAT("Euro ",$C19)</f>
        <v>Euro 2</v>
      </c>
      <c r="BM19" s="1" t="str">
        <f aca="false">_xlfn.CONCAT("Euro ",$C19)</f>
        <v>Euro 2</v>
      </c>
      <c r="BN19" s="1" t="str">
        <f aca="false">_xlfn.CONCAT("Euro ",$C19)</f>
        <v>Euro 2</v>
      </c>
      <c r="BO19" s="1" t="str">
        <f aca="false">_xlfn.CONCAT("Euro ",$C19)</f>
        <v>Euro 2</v>
      </c>
      <c r="BP19" s="1" t="str">
        <f aca="false">_xlfn.CONCAT("Euro ",$C19)</f>
        <v>Euro 2</v>
      </c>
    </row>
    <row r="20" customFormat="false" ht="12.75" hidden="false" customHeight="false" outlineLevel="0" collapsed="false">
      <c r="A20" s="1" t="n">
        <f aca="false">A19-1</f>
        <v>2007</v>
      </c>
      <c r="B20" s="1" t="n">
        <f aca="false">B19-1</f>
        <v>2007</v>
      </c>
      <c r="C20" s="1" t="n">
        <v>2</v>
      </c>
      <c r="D20" s="1" t="s">
        <v>321</v>
      </c>
      <c r="E20" s="1" t="n">
        <v>2</v>
      </c>
      <c r="F20" s="1" t="n">
        <v>2</v>
      </c>
      <c r="G20" s="1" t="str">
        <f aca="false">_xlfn.CONCAT("Euro ",$C20)</f>
        <v>Euro 2</v>
      </c>
      <c r="H20" s="1" t="str">
        <f aca="false">_xlfn.CONCAT("Euro ",$C20)</f>
        <v>Euro 2</v>
      </c>
      <c r="I20" s="1" t="str">
        <f aca="false">_xlfn.CONCAT("Euro ",$C20)</f>
        <v>Euro 2</v>
      </c>
      <c r="J20" s="1" t="str">
        <f aca="false">_xlfn.CONCAT("Euro ",$C20)</f>
        <v>Euro 2</v>
      </c>
      <c r="K20" s="1" t="str">
        <f aca="false">_xlfn.CONCAT("Euro ",$C20)</f>
        <v>Euro 2</v>
      </c>
      <c r="L20" s="1" t="str">
        <f aca="false">_xlfn.CONCAT("Euro ",$C20)</f>
        <v>Euro 2</v>
      </c>
      <c r="M20" s="1" t="str">
        <f aca="false">_xlfn.CONCAT("Euro ",$C20)</f>
        <v>Euro 2</v>
      </c>
      <c r="N20" s="1" t="str">
        <f aca="false">_xlfn.CONCAT("Euro ",$C20)</f>
        <v>Euro 2</v>
      </c>
      <c r="O20" s="1" t="str">
        <f aca="false">_xlfn.CONCAT("Euro ",$C20)</f>
        <v>Euro 2</v>
      </c>
      <c r="P20" s="1" t="s">
        <v>320</v>
      </c>
      <c r="Q20" s="1" t="str">
        <f aca="false">_xlfn.CONCAT("Euro ",$C20)</f>
        <v>Euro 2</v>
      </c>
      <c r="R20" s="1" t="str">
        <f aca="false">_xlfn.CONCAT("Euro ",$C20)</f>
        <v>Euro 2</v>
      </c>
      <c r="S20" s="1" t="str">
        <f aca="false">_xlfn.CONCAT("Euro ",$C20)</f>
        <v>Euro 2</v>
      </c>
      <c r="T20" s="1" t="str">
        <f aca="false">_xlfn.CONCAT("Euro ",$C20)</f>
        <v>Euro 2</v>
      </c>
      <c r="U20" s="1" t="str">
        <f aca="false">_xlfn.CONCAT("Euro ",$C20)</f>
        <v>Euro 2</v>
      </c>
      <c r="V20" s="1" t="str">
        <f aca="false">_xlfn.CONCAT("Euro ",$C20)</f>
        <v>Euro 2</v>
      </c>
      <c r="W20" s="1" t="str">
        <f aca="false">_xlfn.CONCAT("Euro ",$C20)</f>
        <v>Euro 2</v>
      </c>
      <c r="X20" s="1" t="str">
        <f aca="false">_xlfn.CONCAT("Euro ",$C20)</f>
        <v>Euro 2</v>
      </c>
      <c r="Y20" s="1" t="str">
        <f aca="false">_xlfn.CONCAT("Euro ",$C20)</f>
        <v>Euro 2</v>
      </c>
      <c r="Z20" s="1" t="s">
        <v>320</v>
      </c>
      <c r="AA20" s="1" t="str">
        <f aca="false">_xlfn.CONCAT("Euro ",$D20)</f>
        <v>Euro II</v>
      </c>
      <c r="AB20" s="1" t="str">
        <f aca="false">_xlfn.CONCAT("Euro ",$D20)</f>
        <v>Euro II</v>
      </c>
      <c r="AC20" s="1" t="str">
        <f aca="false">_xlfn.CONCAT("Euro ",$D20)</f>
        <v>Euro II</v>
      </c>
      <c r="AD20" s="1" t="str">
        <f aca="false">_xlfn.CONCAT("Euro ",$D20)</f>
        <v>Euro II</v>
      </c>
      <c r="AE20" s="1" t="str">
        <f aca="false">_xlfn.CONCAT("Euro ",$D20)</f>
        <v>Euro II</v>
      </c>
      <c r="AF20" s="1" t="str">
        <f aca="false">_xlfn.CONCAT("Euro ",$D20)</f>
        <v>Euro II</v>
      </c>
      <c r="AG20" s="1" t="str">
        <f aca="false">_xlfn.CONCAT("Euro ",$D20)</f>
        <v>Euro II</v>
      </c>
      <c r="AH20" s="1" t="str">
        <f aca="false">_xlfn.CONCAT("Euro ",$D20)</f>
        <v>Euro II</v>
      </c>
      <c r="AI20" s="1" t="str">
        <f aca="false">_xlfn.CONCAT("Euro ",$D20)</f>
        <v>Euro II</v>
      </c>
      <c r="AJ20" s="1" t="str">
        <f aca="false">_xlfn.CONCAT("Euro ",$C20)</f>
        <v>Euro 2</v>
      </c>
      <c r="AK20" s="1" t="str">
        <f aca="false">_xlfn.CONCAT("Euro ",$C20)</f>
        <v>Euro 2</v>
      </c>
      <c r="AL20" s="1" t="str">
        <f aca="false">_xlfn.CONCAT("Euro ",$C20)</f>
        <v>Euro 2</v>
      </c>
      <c r="AM20" s="1" t="str">
        <f aca="false">_xlfn.CONCAT("Euro ",$C20)</f>
        <v>Euro 2</v>
      </c>
      <c r="AN20" s="1" t="str">
        <f aca="false">_xlfn.CONCAT("Euro ",$C20)</f>
        <v>Euro 2</v>
      </c>
      <c r="AO20" s="1" t="str">
        <f aca="false">_xlfn.CONCAT("Euro ",$C20)</f>
        <v>Euro 2</v>
      </c>
      <c r="AP20" s="1" t="str">
        <f aca="false">_xlfn.CONCAT("Euro ",$C20)</f>
        <v>Euro 2</v>
      </c>
      <c r="AQ20" s="1" t="str">
        <f aca="false">_xlfn.CONCAT("Euro ",$C20)</f>
        <v>Euro 2</v>
      </c>
      <c r="AR20" s="1" t="str">
        <f aca="false">_xlfn.CONCAT("Euro ",$C20)</f>
        <v>Euro 2</v>
      </c>
      <c r="AS20" s="1" t="str">
        <f aca="false">_xlfn.CONCAT("Euro ",$D20)</f>
        <v>Euro II</v>
      </c>
      <c r="AT20" s="1" t="str">
        <f aca="false">_xlfn.CONCAT("Euro ",$D20)</f>
        <v>Euro II</v>
      </c>
      <c r="AU20" s="1" t="str">
        <f aca="false">_xlfn.CONCAT("Euro ",$D20)</f>
        <v>Euro II</v>
      </c>
      <c r="AV20" s="1" t="str">
        <f aca="false">_xlfn.CONCAT("Euro ",$D20)</f>
        <v>Euro II</v>
      </c>
      <c r="AW20" s="1" t="str">
        <f aca="false">_xlfn.CONCAT("Euro ",$D20)</f>
        <v>Euro II</v>
      </c>
      <c r="AX20" s="1" t="str">
        <f aca="false">_xlfn.CONCAT("Euro ",$D20)</f>
        <v>Euro II</v>
      </c>
      <c r="AY20" s="1" t="str">
        <f aca="false">_xlfn.CONCAT("Euro ",$C20)</f>
        <v>Euro 2</v>
      </c>
      <c r="AZ20" s="1" t="str">
        <f aca="false">_xlfn.CONCAT("Euro ",$D20)</f>
        <v>Euro II</v>
      </c>
      <c r="BA20" s="1" t="str">
        <f aca="false">_xlfn.CONCAT("Euro ",$D20)</f>
        <v>Euro II</v>
      </c>
      <c r="BB20" s="1" t="str">
        <f aca="false">_xlfn.CONCAT("Euro ",$D20)</f>
        <v>Euro II</v>
      </c>
      <c r="BC20" s="1" t="str">
        <f aca="false">_xlfn.CONCAT("Euro ",$D20)</f>
        <v>Euro II</v>
      </c>
      <c r="BD20" s="1" t="str">
        <f aca="false">_xlfn.CONCAT("Euro ",$D20)</f>
        <v>Euro II</v>
      </c>
      <c r="BE20" s="1" t="str">
        <f aca="false">_xlfn.CONCAT("Euro ",$D20)</f>
        <v>Euro II</v>
      </c>
      <c r="BF20" s="1" t="str">
        <f aca="false">_xlfn.CONCAT("Euro ",$D20)</f>
        <v>Euro II</v>
      </c>
      <c r="BG20" s="1" t="str">
        <f aca="false">_xlfn.CONCAT("Euro ",$D20)</f>
        <v>Euro II</v>
      </c>
      <c r="BH20" s="1" t="str">
        <f aca="false">_xlfn.CONCAT("Euro ",$C20)</f>
        <v>Euro 2</v>
      </c>
      <c r="BI20" s="1" t="str">
        <f aca="false">_xlfn.CONCAT("Euro ",$C20)</f>
        <v>Euro 2</v>
      </c>
      <c r="BJ20" s="1" t="s">
        <v>320</v>
      </c>
      <c r="BK20" s="1" t="str">
        <f aca="false">_xlfn.CONCAT("Euro ",$C20)</f>
        <v>Euro 2</v>
      </c>
      <c r="BL20" s="1" t="str">
        <f aca="false">_xlfn.CONCAT("Euro ",$C20)</f>
        <v>Euro 2</v>
      </c>
      <c r="BM20" s="1" t="str">
        <f aca="false">_xlfn.CONCAT("Euro ",$C20)</f>
        <v>Euro 2</v>
      </c>
      <c r="BN20" s="1" t="str">
        <f aca="false">_xlfn.CONCAT("Euro ",$C20)</f>
        <v>Euro 2</v>
      </c>
      <c r="BO20" s="1" t="str">
        <f aca="false">_xlfn.CONCAT("Euro ",$C20)</f>
        <v>Euro 2</v>
      </c>
      <c r="BP20" s="1" t="str">
        <f aca="false">_xlfn.CONCAT("Euro ",$C20)</f>
        <v>Euro 2</v>
      </c>
    </row>
    <row r="21" customFormat="false" ht="12.75" hidden="false" customHeight="false" outlineLevel="0" collapsed="false">
      <c r="A21" s="1" t="n">
        <f aca="false">A20-1</f>
        <v>2006</v>
      </c>
      <c r="B21" s="1" t="n">
        <f aca="false">B20-1</f>
        <v>2006</v>
      </c>
      <c r="C21" s="1" t="n">
        <v>2</v>
      </c>
      <c r="D21" s="1" t="s">
        <v>321</v>
      </c>
      <c r="E21" s="1" t="n">
        <v>2</v>
      </c>
      <c r="F21" s="1" t="n">
        <v>2</v>
      </c>
      <c r="G21" s="1" t="str">
        <f aca="false">_xlfn.CONCAT("Euro ",$C21)</f>
        <v>Euro 2</v>
      </c>
      <c r="H21" s="1" t="str">
        <f aca="false">_xlfn.CONCAT("Euro ",$C21)</f>
        <v>Euro 2</v>
      </c>
      <c r="I21" s="1" t="str">
        <f aca="false">_xlfn.CONCAT("Euro ",$C21)</f>
        <v>Euro 2</v>
      </c>
      <c r="J21" s="1" t="str">
        <f aca="false">_xlfn.CONCAT("Euro ",$C21)</f>
        <v>Euro 2</v>
      </c>
      <c r="K21" s="1" t="str">
        <f aca="false">_xlfn.CONCAT("Euro ",$C21)</f>
        <v>Euro 2</v>
      </c>
      <c r="L21" s="1" t="str">
        <f aca="false">_xlfn.CONCAT("Euro ",$C21)</f>
        <v>Euro 2</v>
      </c>
      <c r="M21" s="1" t="str">
        <f aca="false">_xlfn.CONCAT("Euro ",$C21)</f>
        <v>Euro 2</v>
      </c>
      <c r="N21" s="1" t="str">
        <f aca="false">_xlfn.CONCAT("Euro ",$C21)</f>
        <v>Euro 2</v>
      </c>
      <c r="O21" s="1" t="str">
        <f aca="false">_xlfn.CONCAT("Euro ",$C21)</f>
        <v>Euro 2</v>
      </c>
      <c r="P21" s="1" t="s">
        <v>320</v>
      </c>
      <c r="Q21" s="1" t="str">
        <f aca="false">_xlfn.CONCAT("Euro ",$C21)</f>
        <v>Euro 2</v>
      </c>
      <c r="R21" s="1" t="str">
        <f aca="false">_xlfn.CONCAT("Euro ",$C21)</f>
        <v>Euro 2</v>
      </c>
      <c r="S21" s="1" t="str">
        <f aca="false">_xlfn.CONCAT("Euro ",$C21)</f>
        <v>Euro 2</v>
      </c>
      <c r="T21" s="1" t="str">
        <f aca="false">_xlfn.CONCAT("Euro ",$C21)</f>
        <v>Euro 2</v>
      </c>
      <c r="U21" s="1" t="str">
        <f aca="false">_xlfn.CONCAT("Euro ",$C21)</f>
        <v>Euro 2</v>
      </c>
      <c r="V21" s="1" t="str">
        <f aca="false">_xlfn.CONCAT("Euro ",$C21)</f>
        <v>Euro 2</v>
      </c>
      <c r="W21" s="1" t="str">
        <f aca="false">_xlfn.CONCAT("Euro ",$C21)</f>
        <v>Euro 2</v>
      </c>
      <c r="X21" s="1" t="str">
        <f aca="false">_xlfn.CONCAT("Euro ",$C21)</f>
        <v>Euro 2</v>
      </c>
      <c r="Y21" s="1" t="str">
        <f aca="false">_xlfn.CONCAT("Euro ",$C21)</f>
        <v>Euro 2</v>
      </c>
      <c r="Z21" s="1" t="s">
        <v>320</v>
      </c>
      <c r="AA21" s="1" t="str">
        <f aca="false">_xlfn.CONCAT("Euro ",$D21)</f>
        <v>Euro II</v>
      </c>
      <c r="AB21" s="1" t="str">
        <f aca="false">_xlfn.CONCAT("Euro ",$D21)</f>
        <v>Euro II</v>
      </c>
      <c r="AC21" s="1" t="str">
        <f aca="false">_xlfn.CONCAT("Euro ",$D21)</f>
        <v>Euro II</v>
      </c>
      <c r="AD21" s="1" t="str">
        <f aca="false">_xlfn.CONCAT("Euro ",$D21)</f>
        <v>Euro II</v>
      </c>
      <c r="AE21" s="1" t="str">
        <f aca="false">_xlfn.CONCAT("Euro ",$D21)</f>
        <v>Euro II</v>
      </c>
      <c r="AF21" s="1" t="str">
        <f aca="false">_xlfn.CONCAT("Euro ",$D21)</f>
        <v>Euro II</v>
      </c>
      <c r="AG21" s="1" t="str">
        <f aca="false">_xlfn.CONCAT("Euro ",$D21)</f>
        <v>Euro II</v>
      </c>
      <c r="AH21" s="1" t="str">
        <f aca="false">_xlfn.CONCAT("Euro ",$D21)</f>
        <v>Euro II</v>
      </c>
      <c r="AI21" s="1" t="str">
        <f aca="false">_xlfn.CONCAT("Euro ",$D21)</f>
        <v>Euro II</v>
      </c>
      <c r="AJ21" s="1" t="str">
        <f aca="false">_xlfn.CONCAT("Euro ",$C21)</f>
        <v>Euro 2</v>
      </c>
      <c r="AK21" s="1" t="str">
        <f aca="false">_xlfn.CONCAT("Euro ",$C21)</f>
        <v>Euro 2</v>
      </c>
      <c r="AL21" s="1" t="str">
        <f aca="false">_xlfn.CONCAT("Euro ",$C21)</f>
        <v>Euro 2</v>
      </c>
      <c r="AM21" s="1" t="str">
        <f aca="false">_xlfn.CONCAT("Euro ",$C21)</f>
        <v>Euro 2</v>
      </c>
      <c r="AN21" s="1" t="str">
        <f aca="false">_xlfn.CONCAT("Euro ",$C21)</f>
        <v>Euro 2</v>
      </c>
      <c r="AO21" s="1" t="str">
        <f aca="false">_xlfn.CONCAT("Euro ",$C21)</f>
        <v>Euro 2</v>
      </c>
      <c r="AP21" s="1" t="str">
        <f aca="false">_xlfn.CONCAT("Euro ",$C21)</f>
        <v>Euro 2</v>
      </c>
      <c r="AQ21" s="1" t="str">
        <f aca="false">_xlfn.CONCAT("Euro ",$C21)</f>
        <v>Euro 2</v>
      </c>
      <c r="AR21" s="1" t="str">
        <f aca="false">_xlfn.CONCAT("Euro ",$C21)</f>
        <v>Euro 2</v>
      </c>
      <c r="AS21" s="1" t="str">
        <f aca="false">_xlfn.CONCAT("Euro ",$D21)</f>
        <v>Euro II</v>
      </c>
      <c r="AT21" s="1" t="str">
        <f aca="false">_xlfn.CONCAT("Euro ",$D21)</f>
        <v>Euro II</v>
      </c>
      <c r="AU21" s="1" t="str">
        <f aca="false">_xlfn.CONCAT("Euro ",$D21)</f>
        <v>Euro II</v>
      </c>
      <c r="AV21" s="1" t="str">
        <f aca="false">_xlfn.CONCAT("Euro ",$D21)</f>
        <v>Euro II</v>
      </c>
      <c r="AW21" s="1" t="str">
        <f aca="false">_xlfn.CONCAT("Euro ",$D21)</f>
        <v>Euro II</v>
      </c>
      <c r="AX21" s="1" t="str">
        <f aca="false">_xlfn.CONCAT("Euro ",$D21)</f>
        <v>Euro II</v>
      </c>
      <c r="AY21" s="1" t="str">
        <f aca="false">_xlfn.CONCAT("Euro ",$C21)</f>
        <v>Euro 2</v>
      </c>
      <c r="AZ21" s="1" t="str">
        <f aca="false">_xlfn.CONCAT("Euro ",$D21)</f>
        <v>Euro II</v>
      </c>
      <c r="BA21" s="1" t="str">
        <f aca="false">_xlfn.CONCAT("Euro ",$D21)</f>
        <v>Euro II</v>
      </c>
      <c r="BB21" s="1" t="str">
        <f aca="false">_xlfn.CONCAT("Euro ",$D21)</f>
        <v>Euro II</v>
      </c>
      <c r="BC21" s="1" t="str">
        <f aca="false">_xlfn.CONCAT("Euro ",$D21)</f>
        <v>Euro II</v>
      </c>
      <c r="BD21" s="1" t="str">
        <f aca="false">_xlfn.CONCAT("Euro ",$D21)</f>
        <v>Euro II</v>
      </c>
      <c r="BE21" s="1" t="str">
        <f aca="false">_xlfn.CONCAT("Euro ",$D21)</f>
        <v>Euro II</v>
      </c>
      <c r="BF21" s="1" t="str">
        <f aca="false">_xlfn.CONCAT("Euro ",$D21)</f>
        <v>Euro II</v>
      </c>
      <c r="BG21" s="1" t="str">
        <f aca="false">_xlfn.CONCAT("Euro ",$D21)</f>
        <v>Euro II</v>
      </c>
      <c r="BH21" s="1" t="str">
        <f aca="false">_xlfn.CONCAT("Euro ",$C21)</f>
        <v>Euro 2</v>
      </c>
      <c r="BI21" s="1" t="str">
        <f aca="false">_xlfn.CONCAT("Euro ",$C21)</f>
        <v>Euro 2</v>
      </c>
      <c r="BJ21" s="1" t="s">
        <v>320</v>
      </c>
      <c r="BK21" s="1" t="str">
        <f aca="false">_xlfn.CONCAT("Euro ",$C21)</f>
        <v>Euro 2</v>
      </c>
      <c r="BL21" s="1" t="str">
        <f aca="false">_xlfn.CONCAT("Euro ",$C21)</f>
        <v>Euro 2</v>
      </c>
      <c r="BM21" s="1" t="str">
        <f aca="false">_xlfn.CONCAT("Euro ",$C21)</f>
        <v>Euro 2</v>
      </c>
      <c r="BN21" s="1" t="str">
        <f aca="false">_xlfn.CONCAT("Euro ",$C21)</f>
        <v>Euro 2</v>
      </c>
      <c r="BO21" s="1" t="str">
        <f aca="false">_xlfn.CONCAT("Euro ",$C21)</f>
        <v>Euro 2</v>
      </c>
      <c r="BP21" s="1" t="str">
        <f aca="false">_xlfn.CONCAT("Euro ",$C21)</f>
        <v>Euro 2</v>
      </c>
    </row>
    <row r="22" customFormat="false" ht="12.75" hidden="false" customHeight="false" outlineLevel="0" collapsed="false">
      <c r="A22" s="1" t="n">
        <f aca="false">A21-1</f>
        <v>2005</v>
      </c>
      <c r="B22" s="1" t="n">
        <f aca="false">B21-1</f>
        <v>2005</v>
      </c>
      <c r="C22" s="1" t="n">
        <v>2</v>
      </c>
      <c r="D22" s="1" t="s">
        <v>321</v>
      </c>
      <c r="E22" s="1" t="n">
        <v>2</v>
      </c>
      <c r="F22" s="1" t="n">
        <v>2</v>
      </c>
      <c r="G22" s="1" t="str">
        <f aca="false">_xlfn.CONCAT("Euro ",$C22)</f>
        <v>Euro 2</v>
      </c>
      <c r="H22" s="1" t="str">
        <f aca="false">_xlfn.CONCAT("Euro ",$C22)</f>
        <v>Euro 2</v>
      </c>
      <c r="I22" s="1" t="str">
        <f aca="false">_xlfn.CONCAT("Euro ",$C22)</f>
        <v>Euro 2</v>
      </c>
      <c r="J22" s="1" t="str">
        <f aca="false">_xlfn.CONCAT("Euro ",$C22)</f>
        <v>Euro 2</v>
      </c>
      <c r="K22" s="1" t="str">
        <f aca="false">_xlfn.CONCAT("Euro ",$C22)</f>
        <v>Euro 2</v>
      </c>
      <c r="L22" s="1" t="str">
        <f aca="false">_xlfn.CONCAT("Euro ",$C22)</f>
        <v>Euro 2</v>
      </c>
      <c r="M22" s="1" t="str">
        <f aca="false">_xlfn.CONCAT("Euro ",$C22)</f>
        <v>Euro 2</v>
      </c>
      <c r="N22" s="1" t="str">
        <f aca="false">_xlfn.CONCAT("Euro ",$C22)</f>
        <v>Euro 2</v>
      </c>
      <c r="O22" s="1" t="str">
        <f aca="false">_xlfn.CONCAT("Euro ",$C22)</f>
        <v>Euro 2</v>
      </c>
      <c r="P22" s="1" t="s">
        <v>320</v>
      </c>
      <c r="Q22" s="1" t="str">
        <f aca="false">_xlfn.CONCAT("Euro ",$C22)</f>
        <v>Euro 2</v>
      </c>
      <c r="R22" s="1" t="str">
        <f aca="false">_xlfn.CONCAT("Euro ",$C22)</f>
        <v>Euro 2</v>
      </c>
      <c r="S22" s="1" t="str">
        <f aca="false">_xlfn.CONCAT("Euro ",$C22)</f>
        <v>Euro 2</v>
      </c>
      <c r="T22" s="1" t="str">
        <f aca="false">_xlfn.CONCAT("Euro ",$C22)</f>
        <v>Euro 2</v>
      </c>
      <c r="U22" s="1" t="str">
        <f aca="false">_xlfn.CONCAT("Euro ",$C22)</f>
        <v>Euro 2</v>
      </c>
      <c r="V22" s="1" t="str">
        <f aca="false">_xlfn.CONCAT("Euro ",$C22)</f>
        <v>Euro 2</v>
      </c>
      <c r="W22" s="1" t="str">
        <f aca="false">_xlfn.CONCAT("Euro ",$C22)</f>
        <v>Euro 2</v>
      </c>
      <c r="X22" s="1" t="str">
        <f aca="false">_xlfn.CONCAT("Euro ",$C22)</f>
        <v>Euro 2</v>
      </c>
      <c r="Y22" s="1" t="str">
        <f aca="false">_xlfn.CONCAT("Euro ",$C22)</f>
        <v>Euro 2</v>
      </c>
      <c r="Z22" s="1" t="s">
        <v>320</v>
      </c>
      <c r="AA22" s="1" t="str">
        <f aca="false">_xlfn.CONCAT("Euro ",$D22)</f>
        <v>Euro II</v>
      </c>
      <c r="AB22" s="1" t="str">
        <f aca="false">_xlfn.CONCAT("Euro ",$D22)</f>
        <v>Euro II</v>
      </c>
      <c r="AC22" s="1" t="str">
        <f aca="false">_xlfn.CONCAT("Euro ",$D22)</f>
        <v>Euro II</v>
      </c>
      <c r="AD22" s="1" t="str">
        <f aca="false">_xlfn.CONCAT("Euro ",$D22)</f>
        <v>Euro II</v>
      </c>
      <c r="AE22" s="1" t="str">
        <f aca="false">_xlfn.CONCAT("Euro ",$D22)</f>
        <v>Euro II</v>
      </c>
      <c r="AF22" s="1" t="str">
        <f aca="false">_xlfn.CONCAT("Euro ",$D22)</f>
        <v>Euro II</v>
      </c>
      <c r="AG22" s="1" t="str">
        <f aca="false">_xlfn.CONCAT("Euro ",$D22)</f>
        <v>Euro II</v>
      </c>
      <c r="AH22" s="1" t="str">
        <f aca="false">_xlfn.CONCAT("Euro ",$D22)</f>
        <v>Euro II</v>
      </c>
      <c r="AI22" s="1" t="str">
        <f aca="false">_xlfn.CONCAT("Euro ",$D22)</f>
        <v>Euro II</v>
      </c>
      <c r="AJ22" s="1" t="str">
        <f aca="false">_xlfn.CONCAT("Euro ",$C22)</f>
        <v>Euro 2</v>
      </c>
      <c r="AK22" s="1" t="str">
        <f aca="false">_xlfn.CONCAT("Euro ",$C22)</f>
        <v>Euro 2</v>
      </c>
      <c r="AL22" s="1" t="str">
        <f aca="false">_xlfn.CONCAT("Euro ",$C22)</f>
        <v>Euro 2</v>
      </c>
      <c r="AM22" s="1" t="str">
        <f aca="false">_xlfn.CONCAT("Euro ",$C22)</f>
        <v>Euro 2</v>
      </c>
      <c r="AN22" s="1" t="str">
        <f aca="false">_xlfn.CONCAT("Euro ",$C22)</f>
        <v>Euro 2</v>
      </c>
      <c r="AO22" s="1" t="str">
        <f aca="false">_xlfn.CONCAT("Euro ",$C22)</f>
        <v>Euro 2</v>
      </c>
      <c r="AP22" s="1" t="str">
        <f aca="false">_xlfn.CONCAT("Euro ",$C22)</f>
        <v>Euro 2</v>
      </c>
      <c r="AQ22" s="1" t="str">
        <f aca="false">_xlfn.CONCAT("Euro ",$C22)</f>
        <v>Euro 2</v>
      </c>
      <c r="AR22" s="1" t="str">
        <f aca="false">_xlfn.CONCAT("Euro ",$C22)</f>
        <v>Euro 2</v>
      </c>
      <c r="AS22" s="1" t="str">
        <f aca="false">_xlfn.CONCAT("Euro ",$D22)</f>
        <v>Euro II</v>
      </c>
      <c r="AT22" s="1" t="str">
        <f aca="false">_xlfn.CONCAT("Euro ",$D22)</f>
        <v>Euro II</v>
      </c>
      <c r="AU22" s="1" t="str">
        <f aca="false">_xlfn.CONCAT("Euro ",$D22)</f>
        <v>Euro II</v>
      </c>
      <c r="AV22" s="1" t="str">
        <f aca="false">_xlfn.CONCAT("Euro ",$D22)</f>
        <v>Euro II</v>
      </c>
      <c r="AW22" s="1" t="str">
        <f aca="false">_xlfn.CONCAT("Euro ",$D22)</f>
        <v>Euro II</v>
      </c>
      <c r="AX22" s="1" t="str">
        <f aca="false">_xlfn.CONCAT("Euro ",$D22)</f>
        <v>Euro II</v>
      </c>
      <c r="AY22" s="1" t="str">
        <f aca="false">_xlfn.CONCAT("Euro ",$C22)</f>
        <v>Euro 2</v>
      </c>
      <c r="AZ22" s="1" t="str">
        <f aca="false">_xlfn.CONCAT("Euro ",$D22)</f>
        <v>Euro II</v>
      </c>
      <c r="BA22" s="1" t="str">
        <f aca="false">_xlfn.CONCAT("Euro ",$D22)</f>
        <v>Euro II</v>
      </c>
      <c r="BB22" s="1" t="str">
        <f aca="false">_xlfn.CONCAT("Euro ",$D22)</f>
        <v>Euro II</v>
      </c>
      <c r="BC22" s="1" t="str">
        <f aca="false">_xlfn.CONCAT("Euro ",$D22)</f>
        <v>Euro II</v>
      </c>
      <c r="BD22" s="1" t="str">
        <f aca="false">_xlfn.CONCAT("Euro ",$D22)</f>
        <v>Euro II</v>
      </c>
      <c r="BE22" s="1" t="str">
        <f aca="false">_xlfn.CONCAT("Euro ",$D22)</f>
        <v>Euro II</v>
      </c>
      <c r="BF22" s="1" t="str">
        <f aca="false">_xlfn.CONCAT("Euro ",$D22)</f>
        <v>Euro II</v>
      </c>
      <c r="BG22" s="1" t="str">
        <f aca="false">_xlfn.CONCAT("Euro ",$D22)</f>
        <v>Euro II</v>
      </c>
      <c r="BH22" s="1" t="str">
        <f aca="false">_xlfn.CONCAT("Euro ",$C22)</f>
        <v>Euro 2</v>
      </c>
      <c r="BI22" s="1" t="str">
        <f aca="false">_xlfn.CONCAT("Euro ",$C22)</f>
        <v>Euro 2</v>
      </c>
      <c r="BJ22" s="1" t="s">
        <v>320</v>
      </c>
      <c r="BK22" s="1" t="str">
        <f aca="false">_xlfn.CONCAT("Euro ",$C22)</f>
        <v>Euro 2</v>
      </c>
      <c r="BL22" s="1" t="str">
        <f aca="false">_xlfn.CONCAT("Euro ",$C22)</f>
        <v>Euro 2</v>
      </c>
      <c r="BM22" s="1" t="str">
        <f aca="false">_xlfn.CONCAT("Euro ",$C22)</f>
        <v>Euro 2</v>
      </c>
      <c r="BN22" s="1" t="str">
        <f aca="false">_xlfn.CONCAT("Euro ",$C22)</f>
        <v>Euro 2</v>
      </c>
      <c r="BO22" s="1" t="str">
        <f aca="false">_xlfn.CONCAT("Euro ",$C22)</f>
        <v>Euro 2</v>
      </c>
      <c r="BP22" s="1" t="str">
        <f aca="false">_xlfn.CONCAT("Euro ",$C22)</f>
        <v>Euro 2</v>
      </c>
    </row>
    <row r="23" customFormat="false" ht="12.75" hidden="false" customHeight="false" outlineLevel="0" collapsed="false">
      <c r="A23" s="1" t="n">
        <f aca="false">A22-1</f>
        <v>2004</v>
      </c>
      <c r="B23" s="1" t="n">
        <f aca="false">B22-1</f>
        <v>2004</v>
      </c>
      <c r="C23" s="1" t="n">
        <v>2</v>
      </c>
      <c r="D23" s="1" t="s">
        <v>321</v>
      </c>
      <c r="E23" s="1" t="n">
        <v>2</v>
      </c>
      <c r="F23" s="1" t="n">
        <v>2</v>
      </c>
      <c r="G23" s="1" t="str">
        <f aca="false">_xlfn.CONCAT("Euro ",$C23)</f>
        <v>Euro 2</v>
      </c>
      <c r="H23" s="1" t="str">
        <f aca="false">_xlfn.CONCAT("Euro ",$C23)</f>
        <v>Euro 2</v>
      </c>
      <c r="I23" s="1" t="str">
        <f aca="false">_xlfn.CONCAT("Euro ",$C23)</f>
        <v>Euro 2</v>
      </c>
      <c r="J23" s="1" t="str">
        <f aca="false">_xlfn.CONCAT("Euro ",$C23)</f>
        <v>Euro 2</v>
      </c>
      <c r="K23" s="1" t="str">
        <f aca="false">_xlfn.CONCAT("Euro ",$C23)</f>
        <v>Euro 2</v>
      </c>
      <c r="L23" s="1" t="str">
        <f aca="false">_xlfn.CONCAT("Euro ",$C23)</f>
        <v>Euro 2</v>
      </c>
      <c r="M23" s="1" t="str">
        <f aca="false">_xlfn.CONCAT("Euro ",$C23)</f>
        <v>Euro 2</v>
      </c>
      <c r="N23" s="1" t="str">
        <f aca="false">_xlfn.CONCAT("Euro ",$C23)</f>
        <v>Euro 2</v>
      </c>
      <c r="O23" s="1" t="str">
        <f aca="false">_xlfn.CONCAT("Euro ",$C23)</f>
        <v>Euro 2</v>
      </c>
      <c r="P23" s="1" t="s">
        <v>320</v>
      </c>
      <c r="Q23" s="1" t="str">
        <f aca="false">_xlfn.CONCAT("Euro ",$C23)</f>
        <v>Euro 2</v>
      </c>
      <c r="R23" s="1" t="str">
        <f aca="false">_xlfn.CONCAT("Euro ",$C23)</f>
        <v>Euro 2</v>
      </c>
      <c r="S23" s="1" t="str">
        <f aca="false">_xlfn.CONCAT("Euro ",$C23)</f>
        <v>Euro 2</v>
      </c>
      <c r="T23" s="1" t="str">
        <f aca="false">_xlfn.CONCAT("Euro ",$C23)</f>
        <v>Euro 2</v>
      </c>
      <c r="U23" s="1" t="str">
        <f aca="false">_xlfn.CONCAT("Euro ",$C23)</f>
        <v>Euro 2</v>
      </c>
      <c r="V23" s="1" t="str">
        <f aca="false">_xlfn.CONCAT("Euro ",$C23)</f>
        <v>Euro 2</v>
      </c>
      <c r="W23" s="1" t="str">
        <f aca="false">_xlfn.CONCAT("Euro ",$C23)</f>
        <v>Euro 2</v>
      </c>
      <c r="X23" s="1" t="str">
        <f aca="false">_xlfn.CONCAT("Euro ",$C23)</f>
        <v>Euro 2</v>
      </c>
      <c r="Y23" s="1" t="str">
        <f aca="false">_xlfn.CONCAT("Euro ",$C23)</f>
        <v>Euro 2</v>
      </c>
      <c r="Z23" s="1" t="s">
        <v>320</v>
      </c>
      <c r="AA23" s="1" t="str">
        <f aca="false">_xlfn.CONCAT("Euro ",$D23)</f>
        <v>Euro II</v>
      </c>
      <c r="AB23" s="1" t="str">
        <f aca="false">_xlfn.CONCAT("Euro ",$D23)</f>
        <v>Euro II</v>
      </c>
      <c r="AC23" s="1" t="str">
        <f aca="false">_xlfn.CONCAT("Euro ",$D23)</f>
        <v>Euro II</v>
      </c>
      <c r="AD23" s="1" t="str">
        <f aca="false">_xlfn.CONCAT("Euro ",$D23)</f>
        <v>Euro II</v>
      </c>
      <c r="AE23" s="1" t="str">
        <f aca="false">_xlfn.CONCAT("Euro ",$D23)</f>
        <v>Euro II</v>
      </c>
      <c r="AF23" s="1" t="str">
        <f aca="false">_xlfn.CONCAT("Euro ",$D23)</f>
        <v>Euro II</v>
      </c>
      <c r="AG23" s="1" t="str">
        <f aca="false">_xlfn.CONCAT("Euro ",$D23)</f>
        <v>Euro II</v>
      </c>
      <c r="AH23" s="1" t="str">
        <f aca="false">_xlfn.CONCAT("Euro ",$D23)</f>
        <v>Euro II</v>
      </c>
      <c r="AI23" s="1" t="str">
        <f aca="false">_xlfn.CONCAT("Euro ",$D23)</f>
        <v>Euro II</v>
      </c>
      <c r="AJ23" s="1" t="str">
        <f aca="false">_xlfn.CONCAT("Euro ",$C23)</f>
        <v>Euro 2</v>
      </c>
      <c r="AK23" s="1" t="str">
        <f aca="false">_xlfn.CONCAT("Euro ",$C23)</f>
        <v>Euro 2</v>
      </c>
      <c r="AL23" s="1" t="str">
        <f aca="false">_xlfn.CONCAT("Euro ",$C23)</f>
        <v>Euro 2</v>
      </c>
      <c r="AM23" s="1" t="str">
        <f aca="false">_xlfn.CONCAT("Euro ",$C23)</f>
        <v>Euro 2</v>
      </c>
      <c r="AN23" s="1" t="str">
        <f aca="false">_xlfn.CONCAT("Euro ",$C23)</f>
        <v>Euro 2</v>
      </c>
      <c r="AO23" s="1" t="str">
        <f aca="false">_xlfn.CONCAT("Euro ",$C23)</f>
        <v>Euro 2</v>
      </c>
      <c r="AP23" s="1" t="str">
        <f aca="false">_xlfn.CONCAT("Euro ",$C23)</f>
        <v>Euro 2</v>
      </c>
      <c r="AQ23" s="1" t="str">
        <f aca="false">_xlfn.CONCAT("Euro ",$C23)</f>
        <v>Euro 2</v>
      </c>
      <c r="AR23" s="1" t="str">
        <f aca="false">_xlfn.CONCAT("Euro ",$C23)</f>
        <v>Euro 2</v>
      </c>
      <c r="AS23" s="1" t="str">
        <f aca="false">_xlfn.CONCAT("Euro ",$D23)</f>
        <v>Euro II</v>
      </c>
      <c r="AT23" s="1" t="str">
        <f aca="false">_xlfn.CONCAT("Euro ",$D23)</f>
        <v>Euro II</v>
      </c>
      <c r="AU23" s="1" t="str">
        <f aca="false">_xlfn.CONCAT("Euro ",$D23)</f>
        <v>Euro II</v>
      </c>
      <c r="AV23" s="1" t="str">
        <f aca="false">_xlfn.CONCAT("Euro ",$D23)</f>
        <v>Euro II</v>
      </c>
      <c r="AW23" s="1" t="str">
        <f aca="false">_xlfn.CONCAT("Euro ",$D23)</f>
        <v>Euro II</v>
      </c>
      <c r="AX23" s="1" t="str">
        <f aca="false">_xlfn.CONCAT("Euro ",$D23)</f>
        <v>Euro II</v>
      </c>
      <c r="AY23" s="1" t="str">
        <f aca="false">_xlfn.CONCAT("Euro ",$C23)</f>
        <v>Euro 2</v>
      </c>
      <c r="AZ23" s="1" t="str">
        <f aca="false">_xlfn.CONCAT("Euro ",$D23)</f>
        <v>Euro II</v>
      </c>
      <c r="BA23" s="1" t="str">
        <f aca="false">_xlfn.CONCAT("Euro ",$D23)</f>
        <v>Euro II</v>
      </c>
      <c r="BB23" s="1" t="str">
        <f aca="false">_xlfn.CONCAT("Euro ",$D23)</f>
        <v>Euro II</v>
      </c>
      <c r="BC23" s="1" t="str">
        <f aca="false">_xlfn.CONCAT("Euro ",$D23)</f>
        <v>Euro II</v>
      </c>
      <c r="BD23" s="1" t="str">
        <f aca="false">_xlfn.CONCAT("Euro ",$D23)</f>
        <v>Euro II</v>
      </c>
      <c r="BE23" s="1" t="str">
        <f aca="false">_xlfn.CONCAT("Euro ",$D23)</f>
        <v>Euro II</v>
      </c>
      <c r="BF23" s="1" t="str">
        <f aca="false">_xlfn.CONCAT("Euro ",$D23)</f>
        <v>Euro II</v>
      </c>
      <c r="BG23" s="1" t="str">
        <f aca="false">_xlfn.CONCAT("Euro ",$D23)</f>
        <v>Euro II</v>
      </c>
      <c r="BH23" s="1" t="str">
        <f aca="false">_xlfn.CONCAT("Euro ",$C23)</f>
        <v>Euro 2</v>
      </c>
      <c r="BI23" s="1" t="str">
        <f aca="false">_xlfn.CONCAT("Euro ",$C23)</f>
        <v>Euro 2</v>
      </c>
      <c r="BJ23" s="1" t="s">
        <v>320</v>
      </c>
      <c r="BK23" s="1" t="str">
        <f aca="false">_xlfn.CONCAT("Euro ",$C23)</f>
        <v>Euro 2</v>
      </c>
      <c r="BL23" s="1" t="str">
        <f aca="false">_xlfn.CONCAT("Euro ",$C23)</f>
        <v>Euro 2</v>
      </c>
      <c r="BM23" s="1" t="str">
        <f aca="false">_xlfn.CONCAT("Euro ",$C23)</f>
        <v>Euro 2</v>
      </c>
      <c r="BN23" s="1" t="str">
        <f aca="false">_xlfn.CONCAT("Euro ",$C23)</f>
        <v>Euro 2</v>
      </c>
      <c r="BO23" s="1" t="str">
        <f aca="false">_xlfn.CONCAT("Euro ",$C23)</f>
        <v>Euro 2</v>
      </c>
      <c r="BP23" s="1" t="str">
        <f aca="false">_xlfn.CONCAT("Euro ",$C23)</f>
        <v>Euro 2</v>
      </c>
    </row>
    <row r="24" customFormat="false" ht="12.75" hidden="false" customHeight="false" outlineLevel="0" collapsed="false">
      <c r="A24" s="1" t="n">
        <f aca="false">A23-1</f>
        <v>2003</v>
      </c>
      <c r="B24" s="1" t="n">
        <f aca="false">B23-1</f>
        <v>2003</v>
      </c>
      <c r="C24" s="1" t="n">
        <v>2</v>
      </c>
      <c r="D24" s="1" t="s">
        <v>321</v>
      </c>
      <c r="E24" s="1" t="n">
        <v>2</v>
      </c>
      <c r="F24" s="1" t="n">
        <v>2</v>
      </c>
      <c r="G24" s="1" t="str">
        <f aca="false">_xlfn.CONCAT("Euro ",$C24)</f>
        <v>Euro 2</v>
      </c>
      <c r="H24" s="1" t="str">
        <f aca="false">_xlfn.CONCAT("Euro ",$C24)</f>
        <v>Euro 2</v>
      </c>
      <c r="I24" s="1" t="str">
        <f aca="false">_xlfn.CONCAT("Euro ",$C24)</f>
        <v>Euro 2</v>
      </c>
      <c r="J24" s="1" t="str">
        <f aca="false">_xlfn.CONCAT("Euro ",$C24)</f>
        <v>Euro 2</v>
      </c>
      <c r="K24" s="1" t="str">
        <f aca="false">_xlfn.CONCAT("Euro ",$C24)</f>
        <v>Euro 2</v>
      </c>
      <c r="L24" s="1" t="str">
        <f aca="false">_xlfn.CONCAT("Euro ",$C24)</f>
        <v>Euro 2</v>
      </c>
      <c r="M24" s="1" t="str">
        <f aca="false">_xlfn.CONCAT("Euro ",$C24)</f>
        <v>Euro 2</v>
      </c>
      <c r="N24" s="1" t="str">
        <f aca="false">_xlfn.CONCAT("Euro ",$C24)</f>
        <v>Euro 2</v>
      </c>
      <c r="O24" s="1" t="str">
        <f aca="false">_xlfn.CONCAT("Euro ",$C24)</f>
        <v>Euro 2</v>
      </c>
      <c r="P24" s="1" t="s">
        <v>320</v>
      </c>
      <c r="Q24" s="1" t="str">
        <f aca="false">_xlfn.CONCAT("Euro ",$C24)</f>
        <v>Euro 2</v>
      </c>
      <c r="R24" s="1" t="str">
        <f aca="false">_xlfn.CONCAT("Euro ",$C24)</f>
        <v>Euro 2</v>
      </c>
      <c r="S24" s="1" t="str">
        <f aca="false">_xlfn.CONCAT("Euro ",$C24)</f>
        <v>Euro 2</v>
      </c>
      <c r="T24" s="1" t="str">
        <f aca="false">_xlfn.CONCAT("Euro ",$C24)</f>
        <v>Euro 2</v>
      </c>
      <c r="U24" s="1" t="str">
        <f aca="false">_xlfn.CONCAT("Euro ",$C24)</f>
        <v>Euro 2</v>
      </c>
      <c r="V24" s="1" t="str">
        <f aca="false">_xlfn.CONCAT("Euro ",$C24)</f>
        <v>Euro 2</v>
      </c>
      <c r="W24" s="1" t="str">
        <f aca="false">_xlfn.CONCAT("Euro ",$C24)</f>
        <v>Euro 2</v>
      </c>
      <c r="X24" s="1" t="str">
        <f aca="false">_xlfn.CONCAT("Euro ",$C24)</f>
        <v>Euro 2</v>
      </c>
      <c r="Y24" s="1" t="str">
        <f aca="false">_xlfn.CONCAT("Euro ",$C24)</f>
        <v>Euro 2</v>
      </c>
      <c r="Z24" s="1" t="s">
        <v>320</v>
      </c>
      <c r="AA24" s="1" t="str">
        <f aca="false">_xlfn.CONCAT("Euro ",$D24)</f>
        <v>Euro II</v>
      </c>
      <c r="AB24" s="1" t="str">
        <f aca="false">_xlfn.CONCAT("Euro ",$D24)</f>
        <v>Euro II</v>
      </c>
      <c r="AC24" s="1" t="str">
        <f aca="false">_xlfn.CONCAT("Euro ",$D24)</f>
        <v>Euro II</v>
      </c>
      <c r="AD24" s="1" t="str">
        <f aca="false">_xlfn.CONCAT("Euro ",$D24)</f>
        <v>Euro II</v>
      </c>
      <c r="AE24" s="1" t="str">
        <f aca="false">_xlfn.CONCAT("Euro ",$D24)</f>
        <v>Euro II</v>
      </c>
      <c r="AF24" s="1" t="str">
        <f aca="false">_xlfn.CONCAT("Euro ",$D24)</f>
        <v>Euro II</v>
      </c>
      <c r="AG24" s="1" t="str">
        <f aca="false">_xlfn.CONCAT("Euro ",$D24)</f>
        <v>Euro II</v>
      </c>
      <c r="AH24" s="1" t="str">
        <f aca="false">_xlfn.CONCAT("Euro ",$D24)</f>
        <v>Euro II</v>
      </c>
      <c r="AI24" s="1" t="str">
        <f aca="false">_xlfn.CONCAT("Euro ",$D24)</f>
        <v>Euro II</v>
      </c>
      <c r="AJ24" s="1" t="str">
        <f aca="false">_xlfn.CONCAT("Euro ",$C24)</f>
        <v>Euro 2</v>
      </c>
      <c r="AK24" s="1" t="str">
        <f aca="false">_xlfn.CONCAT("Euro ",$C24)</f>
        <v>Euro 2</v>
      </c>
      <c r="AL24" s="1" t="str">
        <f aca="false">_xlfn.CONCAT("Euro ",$C24)</f>
        <v>Euro 2</v>
      </c>
      <c r="AM24" s="1" t="str">
        <f aca="false">_xlfn.CONCAT("Euro ",$C24)</f>
        <v>Euro 2</v>
      </c>
      <c r="AN24" s="1" t="str">
        <f aca="false">_xlfn.CONCAT("Euro ",$C24)</f>
        <v>Euro 2</v>
      </c>
      <c r="AO24" s="1" t="str">
        <f aca="false">_xlfn.CONCAT("Euro ",$C24)</f>
        <v>Euro 2</v>
      </c>
      <c r="AP24" s="1" t="str">
        <f aca="false">_xlfn.CONCAT("Euro ",$C24)</f>
        <v>Euro 2</v>
      </c>
      <c r="AQ24" s="1" t="str">
        <f aca="false">_xlfn.CONCAT("Euro ",$C24)</f>
        <v>Euro 2</v>
      </c>
      <c r="AR24" s="1" t="str">
        <f aca="false">_xlfn.CONCAT("Euro ",$C24)</f>
        <v>Euro 2</v>
      </c>
      <c r="AS24" s="1" t="str">
        <f aca="false">_xlfn.CONCAT("Euro ",$D24)</f>
        <v>Euro II</v>
      </c>
      <c r="AT24" s="1" t="str">
        <f aca="false">_xlfn.CONCAT("Euro ",$D24)</f>
        <v>Euro II</v>
      </c>
      <c r="AU24" s="1" t="str">
        <f aca="false">_xlfn.CONCAT("Euro ",$D24)</f>
        <v>Euro II</v>
      </c>
      <c r="AV24" s="1" t="str">
        <f aca="false">_xlfn.CONCAT("Euro ",$D24)</f>
        <v>Euro II</v>
      </c>
      <c r="AW24" s="1" t="str">
        <f aca="false">_xlfn.CONCAT("Euro ",$D24)</f>
        <v>Euro II</v>
      </c>
      <c r="AX24" s="1" t="str">
        <f aca="false">_xlfn.CONCAT("Euro ",$D24)</f>
        <v>Euro II</v>
      </c>
      <c r="AY24" s="1" t="str">
        <f aca="false">_xlfn.CONCAT("Euro ",$C24)</f>
        <v>Euro 2</v>
      </c>
      <c r="AZ24" s="1" t="str">
        <f aca="false">_xlfn.CONCAT("Euro ",$D24)</f>
        <v>Euro II</v>
      </c>
      <c r="BA24" s="1" t="str">
        <f aca="false">_xlfn.CONCAT("Euro ",$D24)</f>
        <v>Euro II</v>
      </c>
      <c r="BB24" s="1" t="str">
        <f aca="false">_xlfn.CONCAT("Euro ",$D24)</f>
        <v>Euro II</v>
      </c>
      <c r="BC24" s="1" t="str">
        <f aca="false">_xlfn.CONCAT("Euro ",$D24)</f>
        <v>Euro II</v>
      </c>
      <c r="BD24" s="1" t="str">
        <f aca="false">_xlfn.CONCAT("Euro ",$D24)</f>
        <v>Euro II</v>
      </c>
      <c r="BE24" s="1" t="str">
        <f aca="false">_xlfn.CONCAT("Euro ",$D24)</f>
        <v>Euro II</v>
      </c>
      <c r="BF24" s="1" t="str">
        <f aca="false">_xlfn.CONCAT("Euro ",$D24)</f>
        <v>Euro II</v>
      </c>
      <c r="BG24" s="1" t="str">
        <f aca="false">_xlfn.CONCAT("Euro ",$D24)</f>
        <v>Euro II</v>
      </c>
      <c r="BH24" s="1" t="str">
        <f aca="false">_xlfn.CONCAT("Euro ",$C24)</f>
        <v>Euro 2</v>
      </c>
      <c r="BI24" s="1" t="str">
        <f aca="false">_xlfn.CONCAT("Euro ",$C24)</f>
        <v>Euro 2</v>
      </c>
      <c r="BJ24" s="1" t="s">
        <v>320</v>
      </c>
      <c r="BK24" s="1" t="str">
        <f aca="false">_xlfn.CONCAT("Euro ",$C24)</f>
        <v>Euro 2</v>
      </c>
      <c r="BL24" s="1" t="str">
        <f aca="false">_xlfn.CONCAT("Euro ",$C24)</f>
        <v>Euro 2</v>
      </c>
      <c r="BM24" s="1" t="str">
        <f aca="false">_xlfn.CONCAT("Euro ",$C24)</f>
        <v>Euro 2</v>
      </c>
      <c r="BN24" s="1" t="str">
        <f aca="false">_xlfn.CONCAT("Euro ",$C24)</f>
        <v>Euro 2</v>
      </c>
      <c r="BO24" s="1" t="str">
        <f aca="false">_xlfn.CONCAT("Euro ",$C24)</f>
        <v>Euro 2</v>
      </c>
      <c r="BP24" s="1" t="str">
        <f aca="false">_xlfn.CONCAT("Euro ",$C24)</f>
        <v>Euro 2</v>
      </c>
    </row>
    <row r="25" customFormat="false" ht="12.75" hidden="false" customHeight="false" outlineLevel="0" collapsed="false">
      <c r="A25" s="1" t="n">
        <f aca="false">A24-1</f>
        <v>2002</v>
      </c>
      <c r="B25" s="1" t="n">
        <f aca="false">B24-1</f>
        <v>2002</v>
      </c>
      <c r="C25" s="1" t="n">
        <v>2</v>
      </c>
      <c r="D25" s="1" t="s">
        <v>321</v>
      </c>
      <c r="E25" s="1" t="n">
        <v>2</v>
      </c>
      <c r="F25" s="1" t="n">
        <v>2</v>
      </c>
      <c r="G25" s="1" t="str">
        <f aca="false">_xlfn.CONCAT("Euro ",$C25)</f>
        <v>Euro 2</v>
      </c>
      <c r="H25" s="1" t="str">
        <f aca="false">_xlfn.CONCAT("Euro ",$C25)</f>
        <v>Euro 2</v>
      </c>
      <c r="I25" s="1" t="str">
        <f aca="false">_xlfn.CONCAT("Euro ",$C25)</f>
        <v>Euro 2</v>
      </c>
      <c r="J25" s="1" t="str">
        <f aca="false">_xlfn.CONCAT("Euro ",$C25)</f>
        <v>Euro 2</v>
      </c>
      <c r="K25" s="1" t="str">
        <f aca="false">_xlfn.CONCAT("Euro ",$C25)</f>
        <v>Euro 2</v>
      </c>
      <c r="L25" s="1" t="str">
        <f aca="false">_xlfn.CONCAT("Euro ",$C25)</f>
        <v>Euro 2</v>
      </c>
      <c r="M25" s="1" t="str">
        <f aca="false">_xlfn.CONCAT("Euro ",$C25)</f>
        <v>Euro 2</v>
      </c>
      <c r="N25" s="1" t="str">
        <f aca="false">_xlfn.CONCAT("Euro ",$C25)</f>
        <v>Euro 2</v>
      </c>
      <c r="O25" s="1" t="str">
        <f aca="false">_xlfn.CONCAT("Euro ",$C25)</f>
        <v>Euro 2</v>
      </c>
      <c r="P25" s="1" t="s">
        <v>320</v>
      </c>
      <c r="Q25" s="1" t="str">
        <f aca="false">_xlfn.CONCAT("Euro ",$C25)</f>
        <v>Euro 2</v>
      </c>
      <c r="R25" s="1" t="str">
        <f aca="false">_xlfn.CONCAT("Euro ",$C25)</f>
        <v>Euro 2</v>
      </c>
      <c r="S25" s="1" t="str">
        <f aca="false">_xlfn.CONCAT("Euro ",$C25)</f>
        <v>Euro 2</v>
      </c>
      <c r="T25" s="1" t="str">
        <f aca="false">_xlfn.CONCAT("Euro ",$C25)</f>
        <v>Euro 2</v>
      </c>
      <c r="U25" s="1" t="str">
        <f aca="false">_xlfn.CONCAT("Euro ",$C25)</f>
        <v>Euro 2</v>
      </c>
      <c r="V25" s="1" t="str">
        <f aca="false">_xlfn.CONCAT("Euro ",$C25)</f>
        <v>Euro 2</v>
      </c>
      <c r="W25" s="1" t="str">
        <f aca="false">_xlfn.CONCAT("Euro ",$C25)</f>
        <v>Euro 2</v>
      </c>
      <c r="X25" s="1" t="str">
        <f aca="false">_xlfn.CONCAT("Euro ",$C25)</f>
        <v>Euro 2</v>
      </c>
      <c r="Y25" s="1" t="str">
        <f aca="false">_xlfn.CONCAT("Euro ",$C25)</f>
        <v>Euro 2</v>
      </c>
      <c r="Z25" s="1" t="s">
        <v>320</v>
      </c>
      <c r="AA25" s="1" t="str">
        <f aca="false">_xlfn.CONCAT("Euro ",$D25)</f>
        <v>Euro II</v>
      </c>
      <c r="AB25" s="1" t="str">
        <f aca="false">_xlfn.CONCAT("Euro ",$D25)</f>
        <v>Euro II</v>
      </c>
      <c r="AC25" s="1" t="str">
        <f aca="false">_xlfn.CONCAT("Euro ",$D25)</f>
        <v>Euro II</v>
      </c>
      <c r="AD25" s="1" t="str">
        <f aca="false">_xlfn.CONCAT("Euro ",$D25)</f>
        <v>Euro II</v>
      </c>
      <c r="AE25" s="1" t="str">
        <f aca="false">_xlfn.CONCAT("Euro ",$D25)</f>
        <v>Euro II</v>
      </c>
      <c r="AF25" s="1" t="str">
        <f aca="false">_xlfn.CONCAT("Euro ",$D25)</f>
        <v>Euro II</v>
      </c>
      <c r="AG25" s="1" t="str">
        <f aca="false">_xlfn.CONCAT("Euro ",$D25)</f>
        <v>Euro II</v>
      </c>
      <c r="AH25" s="1" t="str">
        <f aca="false">_xlfn.CONCAT("Euro ",$D25)</f>
        <v>Euro II</v>
      </c>
      <c r="AI25" s="1" t="str">
        <f aca="false">_xlfn.CONCAT("Euro ",$D25)</f>
        <v>Euro II</v>
      </c>
      <c r="AJ25" s="1" t="str">
        <f aca="false">_xlfn.CONCAT("Euro ",$C25)</f>
        <v>Euro 2</v>
      </c>
      <c r="AK25" s="1" t="str">
        <f aca="false">_xlfn.CONCAT("Euro ",$C25)</f>
        <v>Euro 2</v>
      </c>
      <c r="AL25" s="1" t="str">
        <f aca="false">_xlfn.CONCAT("Euro ",$C25)</f>
        <v>Euro 2</v>
      </c>
      <c r="AM25" s="1" t="str">
        <f aca="false">_xlfn.CONCAT("Euro ",$C25)</f>
        <v>Euro 2</v>
      </c>
      <c r="AN25" s="1" t="str">
        <f aca="false">_xlfn.CONCAT("Euro ",$C25)</f>
        <v>Euro 2</v>
      </c>
      <c r="AO25" s="1" t="str">
        <f aca="false">_xlfn.CONCAT("Euro ",$C25)</f>
        <v>Euro 2</v>
      </c>
      <c r="AP25" s="1" t="str">
        <f aca="false">_xlfn.CONCAT("Euro ",$C25)</f>
        <v>Euro 2</v>
      </c>
      <c r="AQ25" s="1" t="str">
        <f aca="false">_xlfn.CONCAT("Euro ",$C25)</f>
        <v>Euro 2</v>
      </c>
      <c r="AR25" s="1" t="str">
        <f aca="false">_xlfn.CONCAT("Euro ",$C25)</f>
        <v>Euro 2</v>
      </c>
      <c r="AS25" s="1" t="str">
        <f aca="false">_xlfn.CONCAT("Euro ",$D25)</f>
        <v>Euro II</v>
      </c>
      <c r="AT25" s="1" t="str">
        <f aca="false">_xlfn.CONCAT("Euro ",$D25)</f>
        <v>Euro II</v>
      </c>
      <c r="AU25" s="1" t="str">
        <f aca="false">_xlfn.CONCAT("Euro ",$D25)</f>
        <v>Euro II</v>
      </c>
      <c r="AV25" s="1" t="str">
        <f aca="false">_xlfn.CONCAT("Euro ",$D25)</f>
        <v>Euro II</v>
      </c>
      <c r="AW25" s="1" t="str">
        <f aca="false">_xlfn.CONCAT("Euro ",$D25)</f>
        <v>Euro II</v>
      </c>
      <c r="AX25" s="1" t="str">
        <f aca="false">_xlfn.CONCAT("Euro ",$D25)</f>
        <v>Euro II</v>
      </c>
      <c r="AY25" s="1" t="str">
        <f aca="false">_xlfn.CONCAT("Euro ",$C25)</f>
        <v>Euro 2</v>
      </c>
      <c r="AZ25" s="1" t="str">
        <f aca="false">_xlfn.CONCAT("Euro ",$D25)</f>
        <v>Euro II</v>
      </c>
      <c r="BA25" s="1" t="str">
        <f aca="false">_xlfn.CONCAT("Euro ",$D25)</f>
        <v>Euro II</v>
      </c>
      <c r="BB25" s="1" t="str">
        <f aca="false">_xlfn.CONCAT("Euro ",$D25)</f>
        <v>Euro II</v>
      </c>
      <c r="BC25" s="1" t="str">
        <f aca="false">_xlfn.CONCAT("Euro ",$D25)</f>
        <v>Euro II</v>
      </c>
      <c r="BD25" s="1" t="str">
        <f aca="false">_xlfn.CONCAT("Euro ",$D25)</f>
        <v>Euro II</v>
      </c>
      <c r="BE25" s="1" t="str">
        <f aca="false">_xlfn.CONCAT("Euro ",$D25)</f>
        <v>Euro II</v>
      </c>
      <c r="BF25" s="1" t="str">
        <f aca="false">_xlfn.CONCAT("Euro ",$D25)</f>
        <v>Euro II</v>
      </c>
      <c r="BG25" s="1" t="str">
        <f aca="false">_xlfn.CONCAT("Euro ",$D25)</f>
        <v>Euro II</v>
      </c>
      <c r="BH25" s="1" t="str">
        <f aca="false">_xlfn.CONCAT("Euro ",$C25)</f>
        <v>Euro 2</v>
      </c>
      <c r="BI25" s="1" t="str">
        <f aca="false">_xlfn.CONCAT("Euro ",$C25)</f>
        <v>Euro 2</v>
      </c>
      <c r="BJ25" s="1" t="s">
        <v>320</v>
      </c>
      <c r="BK25" s="1" t="str">
        <f aca="false">_xlfn.CONCAT("Euro ",$C25)</f>
        <v>Euro 2</v>
      </c>
      <c r="BL25" s="1" t="str">
        <f aca="false">_xlfn.CONCAT("Euro ",$C25)</f>
        <v>Euro 2</v>
      </c>
      <c r="BM25" s="1" t="str">
        <f aca="false">_xlfn.CONCAT("Euro ",$C25)</f>
        <v>Euro 2</v>
      </c>
      <c r="BN25" s="1" t="str">
        <f aca="false">_xlfn.CONCAT("Euro ",$C25)</f>
        <v>Euro 2</v>
      </c>
      <c r="BO25" s="1" t="str">
        <f aca="false">_xlfn.CONCAT("Euro ",$C25)</f>
        <v>Euro 2</v>
      </c>
      <c r="BP25" s="1" t="str">
        <f aca="false">_xlfn.CONCAT("Euro ",$C25)</f>
        <v>Euro 2</v>
      </c>
    </row>
    <row r="26" customFormat="false" ht="12.75" hidden="false" customHeight="false" outlineLevel="0" collapsed="false">
      <c r="A26" s="1" t="n">
        <f aca="false">A25-1</f>
        <v>2001</v>
      </c>
      <c r="B26" s="1" t="n">
        <f aca="false">B25-1</f>
        <v>2001</v>
      </c>
      <c r="C26" s="1" t="n">
        <v>1</v>
      </c>
      <c r="D26" s="1" t="s">
        <v>322</v>
      </c>
      <c r="E26" s="1" t="n">
        <v>1</v>
      </c>
      <c r="F26" s="1" t="n">
        <v>1</v>
      </c>
      <c r="G26" s="1" t="str">
        <f aca="false">_xlfn.CONCAT("Euro ",$C26)</f>
        <v>Euro 1</v>
      </c>
      <c r="H26" s="1" t="str">
        <f aca="false">_xlfn.CONCAT("Euro ",$C26)</f>
        <v>Euro 1</v>
      </c>
      <c r="I26" s="1" t="str">
        <f aca="false">_xlfn.CONCAT("Euro ",$C26)</f>
        <v>Euro 1</v>
      </c>
      <c r="J26" s="1" t="str">
        <f aca="false">_xlfn.CONCAT("Euro ",$C26)</f>
        <v>Euro 1</v>
      </c>
      <c r="K26" s="1" t="str">
        <f aca="false">_xlfn.CONCAT("Euro ",$C26)</f>
        <v>Euro 1</v>
      </c>
      <c r="L26" s="1" t="str">
        <f aca="false">_xlfn.CONCAT("Euro ",$C26)</f>
        <v>Euro 1</v>
      </c>
      <c r="M26" s="1" t="str">
        <f aca="false">_xlfn.CONCAT("Euro ",$C26)</f>
        <v>Euro 1</v>
      </c>
      <c r="N26" s="1" t="str">
        <f aca="false">_xlfn.CONCAT("Euro ",$C26)</f>
        <v>Euro 1</v>
      </c>
      <c r="O26" s="1" t="str">
        <f aca="false">_xlfn.CONCAT("Euro ",$C26)</f>
        <v>Euro 1</v>
      </c>
      <c r="P26" s="1" t="s">
        <v>320</v>
      </c>
      <c r="Q26" s="1" t="str">
        <f aca="false">_xlfn.CONCAT("Euro ",$C26)</f>
        <v>Euro 1</v>
      </c>
      <c r="R26" s="1" t="str">
        <f aca="false">_xlfn.CONCAT("Euro ",$C26)</f>
        <v>Euro 1</v>
      </c>
      <c r="S26" s="1" t="str">
        <f aca="false">_xlfn.CONCAT("Euro ",$C26)</f>
        <v>Euro 1</v>
      </c>
      <c r="T26" s="1" t="str">
        <f aca="false">_xlfn.CONCAT("Euro ",$C26)</f>
        <v>Euro 1</v>
      </c>
      <c r="U26" s="1" t="str">
        <f aca="false">_xlfn.CONCAT("Euro ",$C26)</f>
        <v>Euro 1</v>
      </c>
      <c r="V26" s="1" t="str">
        <f aca="false">_xlfn.CONCAT("Euro ",$C26)</f>
        <v>Euro 1</v>
      </c>
      <c r="W26" s="1" t="str">
        <f aca="false">_xlfn.CONCAT("Euro ",$C26)</f>
        <v>Euro 1</v>
      </c>
      <c r="X26" s="1" t="str">
        <f aca="false">_xlfn.CONCAT("Euro ",$C26)</f>
        <v>Euro 1</v>
      </c>
      <c r="Y26" s="1" t="str">
        <f aca="false">_xlfn.CONCAT("Euro ",$C26)</f>
        <v>Euro 1</v>
      </c>
      <c r="Z26" s="1" t="s">
        <v>320</v>
      </c>
      <c r="AA26" s="1" t="str">
        <f aca="false">_xlfn.CONCAT("Euro ",$D26)</f>
        <v>Euro I</v>
      </c>
      <c r="AB26" s="1" t="str">
        <f aca="false">_xlfn.CONCAT("Euro ",$D26)</f>
        <v>Euro I</v>
      </c>
      <c r="AC26" s="1" t="str">
        <f aca="false">_xlfn.CONCAT("Euro ",$D26)</f>
        <v>Euro I</v>
      </c>
      <c r="AD26" s="1" t="str">
        <f aca="false">_xlfn.CONCAT("Euro ",$D26)</f>
        <v>Euro I</v>
      </c>
      <c r="AE26" s="1" t="str">
        <f aca="false">_xlfn.CONCAT("Euro ",$D26)</f>
        <v>Euro I</v>
      </c>
      <c r="AF26" s="1" t="str">
        <f aca="false">_xlfn.CONCAT("Euro ",$D26)</f>
        <v>Euro I</v>
      </c>
      <c r="AG26" s="1" t="str">
        <f aca="false">_xlfn.CONCAT("Euro ",$D26)</f>
        <v>Euro I</v>
      </c>
      <c r="AH26" s="1" t="str">
        <f aca="false">_xlfn.CONCAT("Euro ",$D26)</f>
        <v>Euro I</v>
      </c>
      <c r="AI26" s="1" t="str">
        <f aca="false">_xlfn.CONCAT("Euro ",$D26)</f>
        <v>Euro I</v>
      </c>
      <c r="AJ26" s="1" t="str">
        <f aca="false">_xlfn.CONCAT("Euro ",$C26)</f>
        <v>Euro 1</v>
      </c>
      <c r="AK26" s="1" t="str">
        <f aca="false">_xlfn.CONCAT("Euro ",$C26)</f>
        <v>Euro 1</v>
      </c>
      <c r="AL26" s="1" t="str">
        <f aca="false">_xlfn.CONCAT("Euro ",$C26)</f>
        <v>Euro 1</v>
      </c>
      <c r="AM26" s="1" t="str">
        <f aca="false">_xlfn.CONCAT("Euro ",$C26)</f>
        <v>Euro 1</v>
      </c>
      <c r="AN26" s="1" t="str">
        <f aca="false">_xlfn.CONCAT("Euro ",$C26)</f>
        <v>Euro 1</v>
      </c>
      <c r="AO26" s="1" t="str">
        <f aca="false">_xlfn.CONCAT("Euro ",$C26)</f>
        <v>Euro 1</v>
      </c>
      <c r="AP26" s="1" t="str">
        <f aca="false">_xlfn.CONCAT("Euro ",$C26)</f>
        <v>Euro 1</v>
      </c>
      <c r="AQ26" s="1" t="str">
        <f aca="false">_xlfn.CONCAT("Euro ",$C26)</f>
        <v>Euro 1</v>
      </c>
      <c r="AR26" s="1" t="str">
        <f aca="false">_xlfn.CONCAT("Euro ",$C26)</f>
        <v>Euro 1</v>
      </c>
      <c r="AS26" s="1" t="str">
        <f aca="false">_xlfn.CONCAT("Euro ",$D26)</f>
        <v>Euro I</v>
      </c>
      <c r="AT26" s="1" t="str">
        <f aca="false">_xlfn.CONCAT("Euro ",$D26)</f>
        <v>Euro I</v>
      </c>
      <c r="AU26" s="1" t="str">
        <f aca="false">_xlfn.CONCAT("Euro ",$D26)</f>
        <v>Euro I</v>
      </c>
      <c r="AV26" s="1" t="str">
        <f aca="false">_xlfn.CONCAT("Euro ",$D26)</f>
        <v>Euro I</v>
      </c>
      <c r="AW26" s="1" t="str">
        <f aca="false">_xlfn.CONCAT("Euro ",$D26)</f>
        <v>Euro I</v>
      </c>
      <c r="AX26" s="1" t="str">
        <f aca="false">_xlfn.CONCAT("Euro ",$D26)</f>
        <v>Euro I</v>
      </c>
      <c r="AY26" s="1" t="str">
        <f aca="false">_xlfn.CONCAT("Euro ",$C26)</f>
        <v>Euro 1</v>
      </c>
      <c r="AZ26" s="1" t="str">
        <f aca="false">_xlfn.CONCAT("Euro ",$D26)</f>
        <v>Euro I</v>
      </c>
      <c r="BA26" s="1" t="str">
        <f aca="false">_xlfn.CONCAT("Euro ",$D26)</f>
        <v>Euro I</v>
      </c>
      <c r="BB26" s="1" t="str">
        <f aca="false">_xlfn.CONCAT("Euro ",$D26)</f>
        <v>Euro I</v>
      </c>
      <c r="BC26" s="1" t="str">
        <f aca="false">_xlfn.CONCAT("Euro ",$D26)</f>
        <v>Euro I</v>
      </c>
      <c r="BD26" s="1" t="str">
        <f aca="false">_xlfn.CONCAT("Euro ",$D26)</f>
        <v>Euro I</v>
      </c>
      <c r="BE26" s="1" t="str">
        <f aca="false">_xlfn.CONCAT("Euro ",$D26)</f>
        <v>Euro I</v>
      </c>
      <c r="BF26" s="1" t="str">
        <f aca="false">_xlfn.CONCAT("Euro ",$D26)</f>
        <v>Euro I</v>
      </c>
      <c r="BG26" s="1" t="str">
        <f aca="false">_xlfn.CONCAT("Euro ",$D26)</f>
        <v>Euro I</v>
      </c>
      <c r="BH26" s="1" t="str">
        <f aca="false">_xlfn.CONCAT("Euro ",$C26)</f>
        <v>Euro 1</v>
      </c>
      <c r="BI26" s="1" t="str">
        <f aca="false">_xlfn.CONCAT("Euro ",$C26)</f>
        <v>Euro 1</v>
      </c>
      <c r="BJ26" s="1" t="s">
        <v>320</v>
      </c>
      <c r="BK26" s="1" t="str">
        <f aca="false">_xlfn.CONCAT("Euro ",$C26)</f>
        <v>Euro 1</v>
      </c>
      <c r="BL26" s="1" t="str">
        <f aca="false">_xlfn.CONCAT("Euro ",$C26)</f>
        <v>Euro 1</v>
      </c>
      <c r="BM26" s="1" t="str">
        <f aca="false">_xlfn.CONCAT("Euro ",$C26)</f>
        <v>Euro 1</v>
      </c>
      <c r="BN26" s="1" t="str">
        <f aca="false">_xlfn.CONCAT("Euro ",$C26)</f>
        <v>Euro 1</v>
      </c>
      <c r="BO26" s="1" t="str">
        <f aca="false">_xlfn.CONCAT("Euro ",$C26)</f>
        <v>Euro 1</v>
      </c>
      <c r="BP26" s="1" t="str">
        <f aca="false">_xlfn.CONCAT("Euro ",$C26)</f>
        <v>Euro 1</v>
      </c>
    </row>
    <row r="27" customFormat="false" ht="12.75" hidden="false" customHeight="false" outlineLevel="0" collapsed="false">
      <c r="A27" s="1" t="n">
        <f aca="false">A26-1</f>
        <v>2000</v>
      </c>
      <c r="B27" s="1" t="n">
        <f aca="false">B26-1</f>
        <v>2000</v>
      </c>
      <c r="C27" s="1" t="n">
        <v>1</v>
      </c>
      <c r="D27" s="1" t="s">
        <v>322</v>
      </c>
      <c r="E27" s="1" t="n">
        <v>1</v>
      </c>
      <c r="F27" s="1" t="n">
        <v>1</v>
      </c>
      <c r="G27" s="1" t="str">
        <f aca="false">_xlfn.CONCAT("Euro ",$C27)</f>
        <v>Euro 1</v>
      </c>
      <c r="H27" s="1" t="str">
        <f aca="false">_xlfn.CONCAT("Euro ",$C27)</f>
        <v>Euro 1</v>
      </c>
      <c r="I27" s="1" t="str">
        <f aca="false">_xlfn.CONCAT("Euro ",$C27)</f>
        <v>Euro 1</v>
      </c>
      <c r="J27" s="1" t="str">
        <f aca="false">_xlfn.CONCAT("Euro ",$C27)</f>
        <v>Euro 1</v>
      </c>
      <c r="K27" s="1" t="str">
        <f aca="false">_xlfn.CONCAT("Euro ",$C27)</f>
        <v>Euro 1</v>
      </c>
      <c r="L27" s="1" t="str">
        <f aca="false">_xlfn.CONCAT("Euro ",$C27)</f>
        <v>Euro 1</v>
      </c>
      <c r="M27" s="1" t="str">
        <f aca="false">_xlfn.CONCAT("Euro ",$C27)</f>
        <v>Euro 1</v>
      </c>
      <c r="N27" s="1" t="str">
        <f aca="false">_xlfn.CONCAT("Euro ",$C27)</f>
        <v>Euro 1</v>
      </c>
      <c r="O27" s="1" t="str">
        <f aca="false">_xlfn.CONCAT("Euro ",$C27)</f>
        <v>Euro 1</v>
      </c>
      <c r="P27" s="1" t="s">
        <v>320</v>
      </c>
      <c r="Q27" s="1" t="str">
        <f aca="false">_xlfn.CONCAT("Euro ",$C27)</f>
        <v>Euro 1</v>
      </c>
      <c r="R27" s="1" t="str">
        <f aca="false">_xlfn.CONCAT("Euro ",$C27)</f>
        <v>Euro 1</v>
      </c>
      <c r="S27" s="1" t="str">
        <f aca="false">_xlfn.CONCAT("Euro ",$C27)</f>
        <v>Euro 1</v>
      </c>
      <c r="T27" s="1" t="str">
        <f aca="false">_xlfn.CONCAT("Euro ",$C27)</f>
        <v>Euro 1</v>
      </c>
      <c r="U27" s="1" t="str">
        <f aca="false">_xlfn.CONCAT("Euro ",$C27)</f>
        <v>Euro 1</v>
      </c>
      <c r="V27" s="1" t="str">
        <f aca="false">_xlfn.CONCAT("Euro ",$C27)</f>
        <v>Euro 1</v>
      </c>
      <c r="W27" s="1" t="str">
        <f aca="false">_xlfn.CONCAT("Euro ",$C27)</f>
        <v>Euro 1</v>
      </c>
      <c r="X27" s="1" t="str">
        <f aca="false">_xlfn.CONCAT("Euro ",$C27)</f>
        <v>Euro 1</v>
      </c>
      <c r="Y27" s="1" t="str">
        <f aca="false">_xlfn.CONCAT("Euro ",$C27)</f>
        <v>Euro 1</v>
      </c>
      <c r="Z27" s="1" t="s">
        <v>320</v>
      </c>
      <c r="AA27" s="1" t="str">
        <f aca="false">_xlfn.CONCAT("Euro ",$D27)</f>
        <v>Euro I</v>
      </c>
      <c r="AB27" s="1" t="str">
        <f aca="false">_xlfn.CONCAT("Euro ",$D27)</f>
        <v>Euro I</v>
      </c>
      <c r="AC27" s="1" t="str">
        <f aca="false">_xlfn.CONCAT("Euro ",$D27)</f>
        <v>Euro I</v>
      </c>
      <c r="AD27" s="1" t="str">
        <f aca="false">_xlfn.CONCAT("Euro ",$D27)</f>
        <v>Euro I</v>
      </c>
      <c r="AE27" s="1" t="str">
        <f aca="false">_xlfn.CONCAT("Euro ",$D27)</f>
        <v>Euro I</v>
      </c>
      <c r="AF27" s="1" t="str">
        <f aca="false">_xlfn.CONCAT("Euro ",$D27)</f>
        <v>Euro I</v>
      </c>
      <c r="AG27" s="1" t="str">
        <f aca="false">_xlfn.CONCAT("Euro ",$D27)</f>
        <v>Euro I</v>
      </c>
      <c r="AH27" s="1" t="str">
        <f aca="false">_xlfn.CONCAT("Euro ",$D27)</f>
        <v>Euro I</v>
      </c>
      <c r="AI27" s="1" t="str">
        <f aca="false">_xlfn.CONCAT("Euro ",$D27)</f>
        <v>Euro I</v>
      </c>
      <c r="AJ27" s="1" t="str">
        <f aca="false">_xlfn.CONCAT("Euro ",$C27)</f>
        <v>Euro 1</v>
      </c>
      <c r="AK27" s="1" t="str">
        <f aca="false">_xlfn.CONCAT("Euro ",$C27)</f>
        <v>Euro 1</v>
      </c>
      <c r="AL27" s="1" t="str">
        <f aca="false">_xlfn.CONCAT("Euro ",$C27)</f>
        <v>Euro 1</v>
      </c>
      <c r="AM27" s="1" t="str">
        <f aca="false">_xlfn.CONCAT("Euro ",$C27)</f>
        <v>Euro 1</v>
      </c>
      <c r="AN27" s="1" t="str">
        <f aca="false">_xlfn.CONCAT("Euro ",$C27)</f>
        <v>Euro 1</v>
      </c>
      <c r="AO27" s="1" t="str">
        <f aca="false">_xlfn.CONCAT("Euro ",$C27)</f>
        <v>Euro 1</v>
      </c>
      <c r="AP27" s="1" t="str">
        <f aca="false">_xlfn.CONCAT("Euro ",$C27)</f>
        <v>Euro 1</v>
      </c>
      <c r="AQ27" s="1" t="str">
        <f aca="false">_xlfn.CONCAT("Euro ",$C27)</f>
        <v>Euro 1</v>
      </c>
      <c r="AR27" s="1" t="str">
        <f aca="false">_xlfn.CONCAT("Euro ",$C27)</f>
        <v>Euro 1</v>
      </c>
      <c r="AS27" s="1" t="str">
        <f aca="false">_xlfn.CONCAT("Euro ",$D27)</f>
        <v>Euro I</v>
      </c>
      <c r="AT27" s="1" t="str">
        <f aca="false">_xlfn.CONCAT("Euro ",$D27)</f>
        <v>Euro I</v>
      </c>
      <c r="AU27" s="1" t="str">
        <f aca="false">_xlfn.CONCAT("Euro ",$D27)</f>
        <v>Euro I</v>
      </c>
      <c r="AV27" s="1" t="str">
        <f aca="false">_xlfn.CONCAT("Euro ",$D27)</f>
        <v>Euro I</v>
      </c>
      <c r="AW27" s="1" t="str">
        <f aca="false">_xlfn.CONCAT("Euro ",$D27)</f>
        <v>Euro I</v>
      </c>
      <c r="AX27" s="1" t="str">
        <f aca="false">_xlfn.CONCAT("Euro ",$D27)</f>
        <v>Euro I</v>
      </c>
      <c r="AY27" s="1" t="str">
        <f aca="false">_xlfn.CONCAT("Euro ",$C27)</f>
        <v>Euro 1</v>
      </c>
      <c r="AZ27" s="1" t="str">
        <f aca="false">_xlfn.CONCAT("Euro ",$D27)</f>
        <v>Euro I</v>
      </c>
      <c r="BA27" s="1" t="str">
        <f aca="false">_xlfn.CONCAT("Euro ",$D27)</f>
        <v>Euro I</v>
      </c>
      <c r="BB27" s="1" t="str">
        <f aca="false">_xlfn.CONCAT("Euro ",$D27)</f>
        <v>Euro I</v>
      </c>
      <c r="BC27" s="1" t="str">
        <f aca="false">_xlfn.CONCAT("Euro ",$D27)</f>
        <v>Euro I</v>
      </c>
      <c r="BD27" s="1" t="str">
        <f aca="false">_xlfn.CONCAT("Euro ",$D27)</f>
        <v>Euro I</v>
      </c>
      <c r="BE27" s="1" t="str">
        <f aca="false">_xlfn.CONCAT("Euro ",$D27)</f>
        <v>Euro I</v>
      </c>
      <c r="BF27" s="1" t="str">
        <f aca="false">_xlfn.CONCAT("Euro ",$D27)</f>
        <v>Euro I</v>
      </c>
      <c r="BG27" s="1" t="str">
        <f aca="false">_xlfn.CONCAT("Euro ",$D27)</f>
        <v>Euro I</v>
      </c>
      <c r="BH27" s="1" t="str">
        <f aca="false">_xlfn.CONCAT("Euro ",$C27)</f>
        <v>Euro 1</v>
      </c>
      <c r="BI27" s="1" t="str">
        <f aca="false">_xlfn.CONCAT("Euro ",$C27)</f>
        <v>Euro 1</v>
      </c>
      <c r="BJ27" s="1" t="s">
        <v>320</v>
      </c>
      <c r="BK27" s="1" t="str">
        <f aca="false">_xlfn.CONCAT("Euro ",$C27)</f>
        <v>Euro 1</v>
      </c>
      <c r="BL27" s="1" t="str">
        <f aca="false">_xlfn.CONCAT("Euro ",$C27)</f>
        <v>Euro 1</v>
      </c>
      <c r="BM27" s="1" t="str">
        <f aca="false">_xlfn.CONCAT("Euro ",$C27)</f>
        <v>Euro 1</v>
      </c>
      <c r="BN27" s="1" t="str">
        <f aca="false">_xlfn.CONCAT("Euro ",$C27)</f>
        <v>Euro 1</v>
      </c>
      <c r="BO27" s="1" t="str">
        <f aca="false">_xlfn.CONCAT("Euro ",$C27)</f>
        <v>Euro 1</v>
      </c>
      <c r="BP27" s="1" t="str">
        <f aca="false">_xlfn.CONCAT("Euro ",$C27)</f>
        <v>Euro 1</v>
      </c>
    </row>
    <row r="28" customFormat="false" ht="12.75" hidden="false" customHeight="false" outlineLevel="0" collapsed="false">
      <c r="A28" s="1" t="n">
        <f aca="false">A27-1</f>
        <v>1999</v>
      </c>
      <c r="B28" s="1" t="n">
        <f aca="false">B27-1</f>
        <v>1999</v>
      </c>
      <c r="C28" s="1" t="s">
        <v>323</v>
      </c>
      <c r="D28" s="1" t="s">
        <v>323</v>
      </c>
      <c r="E28" s="1" t="s">
        <v>323</v>
      </c>
      <c r="F28" s="1" t="s">
        <v>323</v>
      </c>
      <c r="G28" s="75" t="s">
        <v>324</v>
      </c>
      <c r="H28" s="75" t="s">
        <v>324</v>
      </c>
      <c r="I28" s="75" t="s">
        <v>324</v>
      </c>
      <c r="J28" s="75" t="s">
        <v>324</v>
      </c>
      <c r="K28" s="75" t="s">
        <v>325</v>
      </c>
      <c r="L28" s="75" t="s">
        <v>325</v>
      </c>
      <c r="M28" s="75" t="s">
        <v>325</v>
      </c>
      <c r="N28" s="75" t="s">
        <v>325</v>
      </c>
      <c r="O28" s="75" t="s">
        <v>324</v>
      </c>
      <c r="P28" s="1" t="s">
        <v>320</v>
      </c>
      <c r="Q28" s="75" t="s">
        <v>324</v>
      </c>
      <c r="R28" s="75" t="s">
        <v>324</v>
      </c>
      <c r="S28" s="75" t="s">
        <v>325</v>
      </c>
      <c r="T28" s="75" t="s">
        <v>325</v>
      </c>
      <c r="U28" s="75" t="s">
        <v>325</v>
      </c>
      <c r="V28" s="75" t="s">
        <v>325</v>
      </c>
      <c r="W28" s="75" t="s">
        <v>325</v>
      </c>
      <c r="X28" s="75" t="s">
        <v>325</v>
      </c>
      <c r="Y28" s="75" t="s">
        <v>325</v>
      </c>
      <c r="Z28" s="1" t="s">
        <v>320</v>
      </c>
      <c r="AA28" s="75" t="s">
        <v>325</v>
      </c>
      <c r="AB28" s="75" t="s">
        <v>325</v>
      </c>
      <c r="AC28" s="75" t="s">
        <v>325</v>
      </c>
      <c r="AD28" s="75" t="s">
        <v>325</v>
      </c>
      <c r="AE28" s="75" t="s">
        <v>325</v>
      </c>
      <c r="AF28" s="75" t="s">
        <v>325</v>
      </c>
      <c r="AG28" s="75" t="s">
        <v>325</v>
      </c>
      <c r="AH28" s="75" t="s">
        <v>325</v>
      </c>
      <c r="AI28" s="75" t="s">
        <v>325</v>
      </c>
      <c r="AJ28" s="75" t="s">
        <v>324</v>
      </c>
      <c r="AK28" s="75" t="s">
        <v>324</v>
      </c>
      <c r="AL28" s="75" t="s">
        <v>324</v>
      </c>
      <c r="AM28" s="75" t="s">
        <v>324</v>
      </c>
      <c r="AN28" s="75" t="s">
        <v>324</v>
      </c>
      <c r="AO28" s="75" t="s">
        <v>324</v>
      </c>
      <c r="AP28" s="75" t="s">
        <v>324</v>
      </c>
      <c r="AQ28" s="75" t="s">
        <v>324</v>
      </c>
      <c r="AR28" s="75" t="s">
        <v>324</v>
      </c>
      <c r="AS28" s="75" t="s">
        <v>325</v>
      </c>
      <c r="AT28" s="75" t="s">
        <v>325</v>
      </c>
      <c r="AU28" s="75" t="s">
        <v>325</v>
      </c>
      <c r="AV28" s="75" t="s">
        <v>325</v>
      </c>
      <c r="AW28" s="75" t="s">
        <v>325</v>
      </c>
      <c r="AX28" s="75" t="s">
        <v>325</v>
      </c>
      <c r="AY28" s="75" t="s">
        <v>325</v>
      </c>
      <c r="AZ28" s="75" t="s">
        <v>325</v>
      </c>
      <c r="BA28" s="75" t="s">
        <v>325</v>
      </c>
      <c r="BB28" s="75" t="s">
        <v>325</v>
      </c>
      <c r="BC28" s="75" t="s">
        <v>325</v>
      </c>
      <c r="BD28" s="75" t="s">
        <v>325</v>
      </c>
      <c r="BE28" s="75" t="s">
        <v>325</v>
      </c>
      <c r="BF28" s="75" t="s">
        <v>325</v>
      </c>
      <c r="BG28" s="75" t="s">
        <v>325</v>
      </c>
      <c r="BH28" s="75" t="s">
        <v>325</v>
      </c>
      <c r="BI28" s="75" t="s">
        <v>325</v>
      </c>
      <c r="BJ28" s="1" t="s">
        <v>320</v>
      </c>
      <c r="BK28" s="75" t="s">
        <v>325</v>
      </c>
      <c r="BL28" s="75" t="s">
        <v>325</v>
      </c>
      <c r="BM28" s="75" t="s">
        <v>325</v>
      </c>
      <c r="BN28" s="75" t="s">
        <v>325</v>
      </c>
      <c r="BO28" s="75" t="s">
        <v>325</v>
      </c>
      <c r="BP28" s="75" t="s">
        <v>325</v>
      </c>
    </row>
    <row r="29" customFormat="false" ht="12.75" hidden="false" customHeight="false" outlineLevel="0" collapsed="false">
      <c r="A29" s="1" t="n">
        <f aca="false">A28-1</f>
        <v>1998</v>
      </c>
      <c r="B29" s="1" t="n">
        <f aca="false">B28-1</f>
        <v>1998</v>
      </c>
      <c r="C29" s="1" t="s">
        <v>323</v>
      </c>
      <c r="D29" s="1" t="s">
        <v>323</v>
      </c>
      <c r="E29" s="1" t="s">
        <v>323</v>
      </c>
      <c r="F29" s="1" t="s">
        <v>323</v>
      </c>
      <c r="G29" s="75" t="s">
        <v>324</v>
      </c>
      <c r="H29" s="75" t="s">
        <v>324</v>
      </c>
      <c r="I29" s="75" t="s">
        <v>324</v>
      </c>
      <c r="J29" s="75" t="s">
        <v>324</v>
      </c>
      <c r="K29" s="75" t="s">
        <v>325</v>
      </c>
      <c r="L29" s="75" t="s">
        <v>325</v>
      </c>
      <c r="M29" s="75" t="s">
        <v>325</v>
      </c>
      <c r="N29" s="75" t="s">
        <v>325</v>
      </c>
      <c r="O29" s="75" t="s">
        <v>324</v>
      </c>
      <c r="P29" s="1" t="s">
        <v>320</v>
      </c>
      <c r="Q29" s="75" t="s">
        <v>324</v>
      </c>
      <c r="R29" s="75" t="s">
        <v>324</v>
      </c>
      <c r="S29" s="75" t="s">
        <v>325</v>
      </c>
      <c r="T29" s="75" t="s">
        <v>325</v>
      </c>
      <c r="U29" s="75" t="s">
        <v>325</v>
      </c>
      <c r="V29" s="75" t="s">
        <v>325</v>
      </c>
      <c r="W29" s="75" t="s">
        <v>325</v>
      </c>
      <c r="X29" s="75" t="s">
        <v>325</v>
      </c>
      <c r="Y29" s="75" t="s">
        <v>325</v>
      </c>
      <c r="Z29" s="1" t="s">
        <v>320</v>
      </c>
      <c r="AA29" s="75" t="s">
        <v>325</v>
      </c>
      <c r="AB29" s="75" t="s">
        <v>325</v>
      </c>
      <c r="AC29" s="75" t="s">
        <v>325</v>
      </c>
      <c r="AD29" s="75" t="s">
        <v>325</v>
      </c>
      <c r="AE29" s="75" t="s">
        <v>325</v>
      </c>
      <c r="AF29" s="75" t="s">
        <v>325</v>
      </c>
      <c r="AG29" s="75" t="s">
        <v>325</v>
      </c>
      <c r="AH29" s="75" t="s">
        <v>325</v>
      </c>
      <c r="AI29" s="75" t="s">
        <v>325</v>
      </c>
      <c r="AJ29" s="75" t="s">
        <v>324</v>
      </c>
      <c r="AK29" s="75" t="s">
        <v>324</v>
      </c>
      <c r="AL29" s="75" t="s">
        <v>324</v>
      </c>
      <c r="AM29" s="75" t="s">
        <v>324</v>
      </c>
      <c r="AN29" s="75" t="s">
        <v>324</v>
      </c>
      <c r="AO29" s="75" t="s">
        <v>324</v>
      </c>
      <c r="AP29" s="75" t="s">
        <v>324</v>
      </c>
      <c r="AQ29" s="75" t="s">
        <v>324</v>
      </c>
      <c r="AR29" s="75" t="s">
        <v>324</v>
      </c>
      <c r="AS29" s="75" t="s">
        <v>325</v>
      </c>
      <c r="AT29" s="75" t="s">
        <v>325</v>
      </c>
      <c r="AU29" s="75" t="s">
        <v>325</v>
      </c>
      <c r="AV29" s="75" t="s">
        <v>325</v>
      </c>
      <c r="AW29" s="75" t="s">
        <v>325</v>
      </c>
      <c r="AX29" s="75" t="s">
        <v>325</v>
      </c>
      <c r="AY29" s="75" t="s">
        <v>325</v>
      </c>
      <c r="AZ29" s="75" t="s">
        <v>325</v>
      </c>
      <c r="BA29" s="75" t="s">
        <v>325</v>
      </c>
      <c r="BB29" s="75" t="s">
        <v>325</v>
      </c>
      <c r="BC29" s="75" t="s">
        <v>325</v>
      </c>
      <c r="BD29" s="75" t="s">
        <v>325</v>
      </c>
      <c r="BE29" s="75" t="s">
        <v>325</v>
      </c>
      <c r="BF29" s="75" t="s">
        <v>325</v>
      </c>
      <c r="BG29" s="75" t="s">
        <v>325</v>
      </c>
      <c r="BH29" s="75" t="s">
        <v>325</v>
      </c>
      <c r="BI29" s="75" t="s">
        <v>325</v>
      </c>
      <c r="BJ29" s="1" t="s">
        <v>320</v>
      </c>
      <c r="BK29" s="75" t="s">
        <v>325</v>
      </c>
      <c r="BL29" s="75" t="s">
        <v>325</v>
      </c>
      <c r="BM29" s="75" t="s">
        <v>325</v>
      </c>
      <c r="BN29" s="75" t="s">
        <v>325</v>
      </c>
      <c r="BO29" s="75" t="s">
        <v>325</v>
      </c>
      <c r="BP29" s="75" t="s">
        <v>325</v>
      </c>
    </row>
    <row r="30" customFormat="false" ht="12.75" hidden="false" customHeight="false" outlineLevel="0" collapsed="false">
      <c r="A30" s="1" t="n">
        <f aca="false">A29-1</f>
        <v>1997</v>
      </c>
      <c r="B30" s="1" t="n">
        <f aca="false">B29-1</f>
        <v>1997</v>
      </c>
      <c r="C30" s="1" t="s">
        <v>323</v>
      </c>
      <c r="D30" s="1" t="s">
        <v>323</v>
      </c>
      <c r="E30" s="1" t="s">
        <v>323</v>
      </c>
      <c r="F30" s="1" t="s">
        <v>323</v>
      </c>
      <c r="G30" s="75" t="s">
        <v>324</v>
      </c>
      <c r="H30" s="75" t="s">
        <v>324</v>
      </c>
      <c r="I30" s="75" t="s">
        <v>324</v>
      </c>
      <c r="J30" s="75" t="s">
        <v>324</v>
      </c>
      <c r="K30" s="75" t="s">
        <v>325</v>
      </c>
      <c r="L30" s="75" t="s">
        <v>325</v>
      </c>
      <c r="M30" s="75" t="s">
        <v>325</v>
      </c>
      <c r="N30" s="75" t="s">
        <v>325</v>
      </c>
      <c r="O30" s="75" t="s">
        <v>324</v>
      </c>
      <c r="P30" s="1" t="s">
        <v>320</v>
      </c>
      <c r="Q30" s="75" t="s">
        <v>324</v>
      </c>
      <c r="R30" s="75" t="s">
        <v>324</v>
      </c>
      <c r="S30" s="75" t="s">
        <v>325</v>
      </c>
      <c r="T30" s="75" t="s">
        <v>325</v>
      </c>
      <c r="U30" s="75" t="s">
        <v>325</v>
      </c>
      <c r="V30" s="75" t="s">
        <v>325</v>
      </c>
      <c r="W30" s="75" t="s">
        <v>325</v>
      </c>
      <c r="X30" s="75" t="s">
        <v>325</v>
      </c>
      <c r="Y30" s="75" t="s">
        <v>325</v>
      </c>
      <c r="Z30" s="1" t="s">
        <v>320</v>
      </c>
      <c r="AA30" s="75" t="s">
        <v>325</v>
      </c>
      <c r="AB30" s="75" t="s">
        <v>325</v>
      </c>
      <c r="AC30" s="75" t="s">
        <v>325</v>
      </c>
      <c r="AD30" s="75" t="s">
        <v>325</v>
      </c>
      <c r="AE30" s="75" t="s">
        <v>325</v>
      </c>
      <c r="AF30" s="75" t="s">
        <v>325</v>
      </c>
      <c r="AG30" s="75" t="s">
        <v>325</v>
      </c>
      <c r="AH30" s="75" t="s">
        <v>325</v>
      </c>
      <c r="AI30" s="75" t="s">
        <v>325</v>
      </c>
      <c r="AJ30" s="75" t="s">
        <v>324</v>
      </c>
      <c r="AK30" s="75" t="s">
        <v>324</v>
      </c>
      <c r="AL30" s="75" t="s">
        <v>324</v>
      </c>
      <c r="AM30" s="75" t="s">
        <v>324</v>
      </c>
      <c r="AN30" s="75" t="s">
        <v>324</v>
      </c>
      <c r="AO30" s="75" t="s">
        <v>324</v>
      </c>
      <c r="AP30" s="75" t="s">
        <v>324</v>
      </c>
      <c r="AQ30" s="75" t="s">
        <v>324</v>
      </c>
      <c r="AR30" s="75" t="s">
        <v>324</v>
      </c>
      <c r="AS30" s="75" t="s">
        <v>325</v>
      </c>
      <c r="AT30" s="75" t="s">
        <v>325</v>
      </c>
      <c r="AU30" s="75" t="s">
        <v>325</v>
      </c>
      <c r="AV30" s="75" t="s">
        <v>325</v>
      </c>
      <c r="AW30" s="75" t="s">
        <v>325</v>
      </c>
      <c r="AX30" s="75" t="s">
        <v>325</v>
      </c>
      <c r="AY30" s="75" t="s">
        <v>325</v>
      </c>
      <c r="AZ30" s="75" t="s">
        <v>325</v>
      </c>
      <c r="BA30" s="75" t="s">
        <v>325</v>
      </c>
      <c r="BB30" s="75" t="s">
        <v>325</v>
      </c>
      <c r="BC30" s="75" t="s">
        <v>325</v>
      </c>
      <c r="BD30" s="75" t="s">
        <v>325</v>
      </c>
      <c r="BE30" s="75" t="s">
        <v>325</v>
      </c>
      <c r="BF30" s="75" t="s">
        <v>325</v>
      </c>
      <c r="BG30" s="75" t="s">
        <v>325</v>
      </c>
      <c r="BH30" s="75" t="s">
        <v>325</v>
      </c>
      <c r="BI30" s="75" t="s">
        <v>325</v>
      </c>
      <c r="BJ30" s="1" t="s">
        <v>320</v>
      </c>
      <c r="BK30" s="75" t="s">
        <v>325</v>
      </c>
      <c r="BL30" s="75" t="s">
        <v>325</v>
      </c>
      <c r="BM30" s="75" t="s">
        <v>325</v>
      </c>
      <c r="BN30" s="75" t="s">
        <v>325</v>
      </c>
      <c r="BO30" s="75" t="s">
        <v>325</v>
      </c>
      <c r="BP30" s="75" t="s">
        <v>325</v>
      </c>
    </row>
    <row r="31" customFormat="false" ht="12.75" hidden="false" customHeight="false" outlineLevel="0" collapsed="false">
      <c r="A31" s="1" t="n">
        <f aca="false">A30-1</f>
        <v>1996</v>
      </c>
      <c r="B31" s="1" t="n">
        <f aca="false">B30-1</f>
        <v>1996</v>
      </c>
      <c r="C31" s="1" t="s">
        <v>323</v>
      </c>
      <c r="D31" s="1" t="s">
        <v>323</v>
      </c>
      <c r="E31" s="1" t="s">
        <v>323</v>
      </c>
      <c r="F31" s="1" t="s">
        <v>323</v>
      </c>
      <c r="G31" s="75" t="s">
        <v>324</v>
      </c>
      <c r="H31" s="75" t="s">
        <v>324</v>
      </c>
      <c r="I31" s="75" t="s">
        <v>324</v>
      </c>
      <c r="J31" s="75" t="s">
        <v>324</v>
      </c>
      <c r="K31" s="75" t="s">
        <v>325</v>
      </c>
      <c r="L31" s="75" t="s">
        <v>325</v>
      </c>
      <c r="M31" s="75" t="s">
        <v>325</v>
      </c>
      <c r="N31" s="75" t="s">
        <v>325</v>
      </c>
      <c r="O31" s="75" t="s">
        <v>324</v>
      </c>
      <c r="P31" s="1" t="s">
        <v>320</v>
      </c>
      <c r="Q31" s="75" t="s">
        <v>324</v>
      </c>
      <c r="R31" s="75" t="s">
        <v>324</v>
      </c>
      <c r="S31" s="75" t="s">
        <v>325</v>
      </c>
      <c r="T31" s="75" t="s">
        <v>325</v>
      </c>
      <c r="U31" s="75" t="s">
        <v>325</v>
      </c>
      <c r="V31" s="75" t="s">
        <v>325</v>
      </c>
      <c r="W31" s="75" t="s">
        <v>325</v>
      </c>
      <c r="X31" s="75" t="s">
        <v>325</v>
      </c>
      <c r="Y31" s="75" t="s">
        <v>325</v>
      </c>
      <c r="Z31" s="1" t="s">
        <v>320</v>
      </c>
      <c r="AA31" s="75" t="s">
        <v>325</v>
      </c>
      <c r="AB31" s="75" t="s">
        <v>325</v>
      </c>
      <c r="AC31" s="75" t="s">
        <v>325</v>
      </c>
      <c r="AD31" s="75" t="s">
        <v>325</v>
      </c>
      <c r="AE31" s="75" t="s">
        <v>325</v>
      </c>
      <c r="AF31" s="75" t="s">
        <v>325</v>
      </c>
      <c r="AG31" s="75" t="s">
        <v>325</v>
      </c>
      <c r="AH31" s="75" t="s">
        <v>325</v>
      </c>
      <c r="AI31" s="75" t="s">
        <v>325</v>
      </c>
      <c r="AJ31" s="75" t="s">
        <v>324</v>
      </c>
      <c r="AK31" s="75" t="s">
        <v>324</v>
      </c>
      <c r="AL31" s="75" t="s">
        <v>324</v>
      </c>
      <c r="AM31" s="75" t="s">
        <v>324</v>
      </c>
      <c r="AN31" s="75" t="s">
        <v>324</v>
      </c>
      <c r="AO31" s="75" t="s">
        <v>324</v>
      </c>
      <c r="AP31" s="75" t="s">
        <v>324</v>
      </c>
      <c r="AQ31" s="75" t="s">
        <v>324</v>
      </c>
      <c r="AR31" s="75" t="s">
        <v>324</v>
      </c>
      <c r="AS31" s="75" t="s">
        <v>325</v>
      </c>
      <c r="AT31" s="75" t="s">
        <v>325</v>
      </c>
      <c r="AU31" s="75" t="s">
        <v>325</v>
      </c>
      <c r="AV31" s="75" t="s">
        <v>325</v>
      </c>
      <c r="AW31" s="75" t="s">
        <v>325</v>
      </c>
      <c r="AX31" s="75" t="s">
        <v>325</v>
      </c>
      <c r="AY31" s="75" t="s">
        <v>325</v>
      </c>
      <c r="AZ31" s="75" t="s">
        <v>325</v>
      </c>
      <c r="BA31" s="75" t="s">
        <v>325</v>
      </c>
      <c r="BB31" s="75" t="s">
        <v>325</v>
      </c>
      <c r="BC31" s="75" t="s">
        <v>325</v>
      </c>
      <c r="BD31" s="75" t="s">
        <v>325</v>
      </c>
      <c r="BE31" s="75" t="s">
        <v>325</v>
      </c>
      <c r="BF31" s="75" t="s">
        <v>325</v>
      </c>
      <c r="BG31" s="75" t="s">
        <v>325</v>
      </c>
      <c r="BH31" s="75" t="s">
        <v>325</v>
      </c>
      <c r="BI31" s="75" t="s">
        <v>325</v>
      </c>
      <c r="BJ31" s="1" t="s">
        <v>320</v>
      </c>
      <c r="BK31" s="75" t="s">
        <v>325</v>
      </c>
      <c r="BL31" s="75" t="s">
        <v>325</v>
      </c>
      <c r="BM31" s="75" t="s">
        <v>325</v>
      </c>
      <c r="BN31" s="75" t="s">
        <v>325</v>
      </c>
      <c r="BO31" s="75" t="s">
        <v>325</v>
      </c>
      <c r="BP31" s="75" t="s">
        <v>325</v>
      </c>
    </row>
    <row r="32" customFormat="false" ht="12.75" hidden="false" customHeight="false" outlineLevel="0" collapsed="false">
      <c r="A32" s="1" t="n">
        <f aca="false">A31-1</f>
        <v>1995</v>
      </c>
      <c r="B32" s="1" t="n">
        <f aca="false">B31-1</f>
        <v>1995</v>
      </c>
      <c r="C32" s="1" t="s">
        <v>323</v>
      </c>
      <c r="D32" s="1" t="s">
        <v>323</v>
      </c>
      <c r="E32" s="1" t="s">
        <v>323</v>
      </c>
      <c r="F32" s="1" t="s">
        <v>323</v>
      </c>
      <c r="G32" s="75" t="s">
        <v>324</v>
      </c>
      <c r="H32" s="75" t="s">
        <v>324</v>
      </c>
      <c r="I32" s="75" t="s">
        <v>324</v>
      </c>
      <c r="J32" s="75" t="s">
        <v>324</v>
      </c>
      <c r="K32" s="75" t="s">
        <v>325</v>
      </c>
      <c r="L32" s="75" t="s">
        <v>325</v>
      </c>
      <c r="M32" s="75" t="s">
        <v>325</v>
      </c>
      <c r="N32" s="75" t="s">
        <v>325</v>
      </c>
      <c r="O32" s="75" t="s">
        <v>324</v>
      </c>
      <c r="P32" s="1" t="s">
        <v>320</v>
      </c>
      <c r="Q32" s="75" t="s">
        <v>324</v>
      </c>
      <c r="R32" s="75" t="s">
        <v>324</v>
      </c>
      <c r="S32" s="75" t="s">
        <v>325</v>
      </c>
      <c r="T32" s="75" t="s">
        <v>325</v>
      </c>
      <c r="U32" s="75" t="s">
        <v>325</v>
      </c>
      <c r="V32" s="75" t="s">
        <v>325</v>
      </c>
      <c r="W32" s="75" t="s">
        <v>325</v>
      </c>
      <c r="X32" s="75" t="s">
        <v>325</v>
      </c>
      <c r="Y32" s="75" t="s">
        <v>325</v>
      </c>
      <c r="Z32" s="1" t="s">
        <v>320</v>
      </c>
      <c r="AA32" s="75" t="s">
        <v>325</v>
      </c>
      <c r="AB32" s="75" t="s">
        <v>325</v>
      </c>
      <c r="AC32" s="75" t="s">
        <v>325</v>
      </c>
      <c r="AD32" s="75" t="s">
        <v>325</v>
      </c>
      <c r="AE32" s="75" t="s">
        <v>325</v>
      </c>
      <c r="AF32" s="75" t="s">
        <v>325</v>
      </c>
      <c r="AG32" s="75" t="s">
        <v>325</v>
      </c>
      <c r="AH32" s="75" t="s">
        <v>325</v>
      </c>
      <c r="AI32" s="75" t="s">
        <v>325</v>
      </c>
      <c r="AJ32" s="75" t="s">
        <v>324</v>
      </c>
      <c r="AK32" s="75" t="s">
        <v>324</v>
      </c>
      <c r="AL32" s="75" t="s">
        <v>324</v>
      </c>
      <c r="AM32" s="75" t="s">
        <v>324</v>
      </c>
      <c r="AN32" s="75" t="s">
        <v>324</v>
      </c>
      <c r="AO32" s="75" t="s">
        <v>324</v>
      </c>
      <c r="AP32" s="75" t="s">
        <v>324</v>
      </c>
      <c r="AQ32" s="75" t="s">
        <v>324</v>
      </c>
      <c r="AR32" s="75" t="s">
        <v>324</v>
      </c>
      <c r="AS32" s="75" t="s">
        <v>325</v>
      </c>
      <c r="AT32" s="75" t="s">
        <v>325</v>
      </c>
      <c r="AU32" s="75" t="s">
        <v>325</v>
      </c>
      <c r="AV32" s="75" t="s">
        <v>325</v>
      </c>
      <c r="AW32" s="75" t="s">
        <v>325</v>
      </c>
      <c r="AX32" s="75" t="s">
        <v>325</v>
      </c>
      <c r="AY32" s="75" t="s">
        <v>325</v>
      </c>
      <c r="AZ32" s="75" t="s">
        <v>325</v>
      </c>
      <c r="BA32" s="75" t="s">
        <v>325</v>
      </c>
      <c r="BB32" s="75" t="s">
        <v>325</v>
      </c>
      <c r="BC32" s="75" t="s">
        <v>325</v>
      </c>
      <c r="BD32" s="75" t="s">
        <v>325</v>
      </c>
      <c r="BE32" s="75" t="s">
        <v>325</v>
      </c>
      <c r="BF32" s="75" t="s">
        <v>325</v>
      </c>
      <c r="BG32" s="75" t="s">
        <v>325</v>
      </c>
      <c r="BH32" s="75" t="s">
        <v>325</v>
      </c>
      <c r="BI32" s="75" t="s">
        <v>325</v>
      </c>
      <c r="BJ32" s="1" t="s">
        <v>320</v>
      </c>
      <c r="BK32" s="75" t="s">
        <v>325</v>
      </c>
      <c r="BL32" s="75" t="s">
        <v>325</v>
      </c>
      <c r="BM32" s="75" t="s">
        <v>325</v>
      </c>
      <c r="BN32" s="75" t="s">
        <v>325</v>
      </c>
      <c r="BO32" s="75" t="s">
        <v>325</v>
      </c>
      <c r="BP32" s="75" t="s">
        <v>325</v>
      </c>
    </row>
    <row r="33" customFormat="false" ht="12.75" hidden="false" customHeight="false" outlineLevel="0" collapsed="false">
      <c r="A33" s="1" t="n">
        <f aca="false">A32-1</f>
        <v>1994</v>
      </c>
      <c r="B33" s="1" t="n">
        <f aca="false">B32-1</f>
        <v>1994</v>
      </c>
      <c r="C33" s="1" t="s">
        <v>323</v>
      </c>
      <c r="D33" s="1" t="s">
        <v>323</v>
      </c>
      <c r="E33" s="1" t="s">
        <v>323</v>
      </c>
      <c r="F33" s="1" t="s">
        <v>323</v>
      </c>
      <c r="G33" s="75" t="s">
        <v>324</v>
      </c>
      <c r="H33" s="75" t="s">
        <v>324</v>
      </c>
      <c r="I33" s="75" t="s">
        <v>324</v>
      </c>
      <c r="J33" s="75" t="s">
        <v>324</v>
      </c>
      <c r="K33" s="75" t="s">
        <v>325</v>
      </c>
      <c r="L33" s="75" t="s">
        <v>325</v>
      </c>
      <c r="M33" s="75" t="s">
        <v>325</v>
      </c>
      <c r="N33" s="75" t="s">
        <v>325</v>
      </c>
      <c r="O33" s="75" t="s">
        <v>324</v>
      </c>
      <c r="P33" s="1" t="s">
        <v>320</v>
      </c>
      <c r="Q33" s="75" t="s">
        <v>324</v>
      </c>
      <c r="R33" s="75" t="s">
        <v>324</v>
      </c>
      <c r="S33" s="75" t="s">
        <v>325</v>
      </c>
      <c r="T33" s="75" t="s">
        <v>325</v>
      </c>
      <c r="U33" s="75" t="s">
        <v>325</v>
      </c>
      <c r="V33" s="75" t="s">
        <v>325</v>
      </c>
      <c r="W33" s="75" t="s">
        <v>325</v>
      </c>
      <c r="X33" s="75" t="s">
        <v>325</v>
      </c>
      <c r="Y33" s="75" t="s">
        <v>325</v>
      </c>
      <c r="Z33" s="1" t="s">
        <v>320</v>
      </c>
      <c r="AA33" s="75" t="s">
        <v>325</v>
      </c>
      <c r="AB33" s="75" t="s">
        <v>325</v>
      </c>
      <c r="AC33" s="75" t="s">
        <v>325</v>
      </c>
      <c r="AD33" s="75" t="s">
        <v>325</v>
      </c>
      <c r="AE33" s="75" t="s">
        <v>325</v>
      </c>
      <c r="AF33" s="75" t="s">
        <v>325</v>
      </c>
      <c r="AG33" s="75" t="s">
        <v>325</v>
      </c>
      <c r="AH33" s="75" t="s">
        <v>325</v>
      </c>
      <c r="AI33" s="75" t="s">
        <v>325</v>
      </c>
      <c r="AJ33" s="75" t="s">
        <v>324</v>
      </c>
      <c r="AK33" s="75" t="s">
        <v>324</v>
      </c>
      <c r="AL33" s="75" t="s">
        <v>324</v>
      </c>
      <c r="AM33" s="75" t="s">
        <v>324</v>
      </c>
      <c r="AN33" s="75" t="s">
        <v>324</v>
      </c>
      <c r="AO33" s="75" t="s">
        <v>324</v>
      </c>
      <c r="AP33" s="75" t="s">
        <v>324</v>
      </c>
      <c r="AQ33" s="75" t="s">
        <v>324</v>
      </c>
      <c r="AR33" s="75" t="s">
        <v>324</v>
      </c>
      <c r="AS33" s="75" t="s">
        <v>325</v>
      </c>
      <c r="AT33" s="75" t="s">
        <v>325</v>
      </c>
      <c r="AU33" s="75" t="s">
        <v>325</v>
      </c>
      <c r="AV33" s="75" t="s">
        <v>325</v>
      </c>
      <c r="AW33" s="75" t="s">
        <v>325</v>
      </c>
      <c r="AX33" s="75" t="s">
        <v>325</v>
      </c>
      <c r="AY33" s="75" t="s">
        <v>325</v>
      </c>
      <c r="AZ33" s="75" t="s">
        <v>325</v>
      </c>
      <c r="BA33" s="75" t="s">
        <v>325</v>
      </c>
      <c r="BB33" s="75" t="s">
        <v>325</v>
      </c>
      <c r="BC33" s="75" t="s">
        <v>325</v>
      </c>
      <c r="BD33" s="75" t="s">
        <v>325</v>
      </c>
      <c r="BE33" s="75" t="s">
        <v>325</v>
      </c>
      <c r="BF33" s="75" t="s">
        <v>325</v>
      </c>
      <c r="BG33" s="75" t="s">
        <v>325</v>
      </c>
      <c r="BH33" s="75" t="s">
        <v>325</v>
      </c>
      <c r="BI33" s="75" t="s">
        <v>325</v>
      </c>
      <c r="BJ33" s="1" t="s">
        <v>320</v>
      </c>
      <c r="BK33" s="75" t="s">
        <v>325</v>
      </c>
      <c r="BL33" s="75" t="s">
        <v>325</v>
      </c>
      <c r="BM33" s="75" t="s">
        <v>325</v>
      </c>
      <c r="BN33" s="75" t="s">
        <v>325</v>
      </c>
      <c r="BO33" s="75" t="s">
        <v>325</v>
      </c>
      <c r="BP33" s="75" t="s">
        <v>325</v>
      </c>
    </row>
    <row r="34" customFormat="false" ht="12.75" hidden="false" customHeight="false" outlineLevel="0" collapsed="false">
      <c r="A34" s="1" t="n">
        <f aca="false">A33-1</f>
        <v>1993</v>
      </c>
      <c r="B34" s="1" t="n">
        <f aca="false">B33-1</f>
        <v>1993</v>
      </c>
      <c r="C34" s="1" t="s">
        <v>323</v>
      </c>
      <c r="D34" s="1" t="s">
        <v>323</v>
      </c>
      <c r="E34" s="1" t="s">
        <v>323</v>
      </c>
      <c r="F34" s="1" t="s">
        <v>323</v>
      </c>
      <c r="G34" s="75" t="s">
        <v>324</v>
      </c>
      <c r="H34" s="75" t="s">
        <v>324</v>
      </c>
      <c r="I34" s="75" t="s">
        <v>324</v>
      </c>
      <c r="J34" s="75" t="s">
        <v>324</v>
      </c>
      <c r="K34" s="75" t="s">
        <v>325</v>
      </c>
      <c r="L34" s="75" t="s">
        <v>325</v>
      </c>
      <c r="M34" s="75" t="s">
        <v>325</v>
      </c>
      <c r="N34" s="75" t="s">
        <v>325</v>
      </c>
      <c r="O34" s="75" t="s">
        <v>324</v>
      </c>
      <c r="P34" s="1" t="s">
        <v>320</v>
      </c>
      <c r="Q34" s="75" t="s">
        <v>324</v>
      </c>
      <c r="R34" s="75" t="s">
        <v>324</v>
      </c>
      <c r="S34" s="75" t="s">
        <v>325</v>
      </c>
      <c r="T34" s="75" t="s">
        <v>325</v>
      </c>
      <c r="U34" s="75" t="s">
        <v>325</v>
      </c>
      <c r="V34" s="75" t="s">
        <v>325</v>
      </c>
      <c r="W34" s="75" t="s">
        <v>325</v>
      </c>
      <c r="X34" s="75" t="s">
        <v>325</v>
      </c>
      <c r="Y34" s="75" t="s">
        <v>325</v>
      </c>
      <c r="Z34" s="1" t="s">
        <v>320</v>
      </c>
      <c r="AA34" s="75" t="s">
        <v>325</v>
      </c>
      <c r="AB34" s="75" t="s">
        <v>325</v>
      </c>
      <c r="AC34" s="75" t="s">
        <v>325</v>
      </c>
      <c r="AD34" s="75" t="s">
        <v>325</v>
      </c>
      <c r="AE34" s="75" t="s">
        <v>325</v>
      </c>
      <c r="AF34" s="75" t="s">
        <v>325</v>
      </c>
      <c r="AG34" s="75" t="s">
        <v>325</v>
      </c>
      <c r="AH34" s="75" t="s">
        <v>325</v>
      </c>
      <c r="AI34" s="75" t="s">
        <v>325</v>
      </c>
      <c r="AJ34" s="75" t="s">
        <v>324</v>
      </c>
      <c r="AK34" s="75" t="s">
        <v>324</v>
      </c>
      <c r="AL34" s="75" t="s">
        <v>324</v>
      </c>
      <c r="AM34" s="75" t="s">
        <v>324</v>
      </c>
      <c r="AN34" s="75" t="s">
        <v>324</v>
      </c>
      <c r="AO34" s="75" t="s">
        <v>324</v>
      </c>
      <c r="AP34" s="75" t="s">
        <v>324</v>
      </c>
      <c r="AQ34" s="75" t="s">
        <v>324</v>
      </c>
      <c r="AR34" s="75" t="s">
        <v>324</v>
      </c>
      <c r="AS34" s="75" t="s">
        <v>325</v>
      </c>
      <c r="AT34" s="75" t="s">
        <v>325</v>
      </c>
      <c r="AU34" s="75" t="s">
        <v>325</v>
      </c>
      <c r="AV34" s="75" t="s">
        <v>325</v>
      </c>
      <c r="AW34" s="75" t="s">
        <v>325</v>
      </c>
      <c r="AX34" s="75" t="s">
        <v>325</v>
      </c>
      <c r="AY34" s="75" t="s">
        <v>325</v>
      </c>
      <c r="AZ34" s="75" t="s">
        <v>325</v>
      </c>
      <c r="BA34" s="75" t="s">
        <v>325</v>
      </c>
      <c r="BB34" s="75" t="s">
        <v>325</v>
      </c>
      <c r="BC34" s="75" t="s">
        <v>325</v>
      </c>
      <c r="BD34" s="75" t="s">
        <v>325</v>
      </c>
      <c r="BE34" s="75" t="s">
        <v>325</v>
      </c>
      <c r="BF34" s="75" t="s">
        <v>325</v>
      </c>
      <c r="BG34" s="75" t="s">
        <v>325</v>
      </c>
      <c r="BH34" s="75" t="s">
        <v>325</v>
      </c>
      <c r="BI34" s="75" t="s">
        <v>325</v>
      </c>
      <c r="BJ34" s="1" t="s">
        <v>320</v>
      </c>
      <c r="BK34" s="75" t="s">
        <v>325</v>
      </c>
      <c r="BL34" s="75" t="s">
        <v>325</v>
      </c>
      <c r="BM34" s="75" t="s">
        <v>325</v>
      </c>
      <c r="BN34" s="75" t="s">
        <v>325</v>
      </c>
      <c r="BO34" s="75" t="s">
        <v>325</v>
      </c>
      <c r="BP34" s="75" t="s">
        <v>325</v>
      </c>
    </row>
    <row r="35" customFormat="false" ht="12.75" hidden="false" customHeight="false" outlineLevel="0" collapsed="false">
      <c r="A35" s="1" t="n">
        <f aca="false">A34-1</f>
        <v>1992</v>
      </c>
      <c r="B35" s="1" t="n">
        <f aca="false">B34-1</f>
        <v>1992</v>
      </c>
      <c r="C35" s="1" t="s">
        <v>323</v>
      </c>
      <c r="D35" s="1" t="s">
        <v>323</v>
      </c>
      <c r="E35" s="1" t="s">
        <v>323</v>
      </c>
      <c r="F35" s="1" t="s">
        <v>323</v>
      </c>
      <c r="G35" s="75" t="s">
        <v>324</v>
      </c>
      <c r="H35" s="75" t="s">
        <v>324</v>
      </c>
      <c r="I35" s="75" t="s">
        <v>324</v>
      </c>
      <c r="J35" s="75" t="s">
        <v>324</v>
      </c>
      <c r="K35" s="75" t="s">
        <v>325</v>
      </c>
      <c r="L35" s="75" t="s">
        <v>325</v>
      </c>
      <c r="M35" s="75" t="s">
        <v>325</v>
      </c>
      <c r="N35" s="75" t="s">
        <v>325</v>
      </c>
      <c r="O35" s="75" t="s">
        <v>324</v>
      </c>
      <c r="P35" s="1" t="s">
        <v>320</v>
      </c>
      <c r="Q35" s="75" t="s">
        <v>324</v>
      </c>
      <c r="R35" s="75" t="s">
        <v>324</v>
      </c>
      <c r="S35" s="75" t="s">
        <v>325</v>
      </c>
      <c r="T35" s="75" t="s">
        <v>325</v>
      </c>
      <c r="U35" s="75" t="s">
        <v>325</v>
      </c>
      <c r="V35" s="75" t="s">
        <v>325</v>
      </c>
      <c r="W35" s="75" t="s">
        <v>325</v>
      </c>
      <c r="X35" s="75" t="s">
        <v>325</v>
      </c>
      <c r="Y35" s="75" t="s">
        <v>325</v>
      </c>
      <c r="Z35" s="1" t="s">
        <v>320</v>
      </c>
      <c r="AA35" s="75" t="s">
        <v>325</v>
      </c>
      <c r="AB35" s="75" t="s">
        <v>325</v>
      </c>
      <c r="AC35" s="75" t="s">
        <v>325</v>
      </c>
      <c r="AD35" s="75" t="s">
        <v>325</v>
      </c>
      <c r="AE35" s="75" t="s">
        <v>325</v>
      </c>
      <c r="AF35" s="75" t="s">
        <v>325</v>
      </c>
      <c r="AG35" s="75" t="s">
        <v>325</v>
      </c>
      <c r="AH35" s="75" t="s">
        <v>325</v>
      </c>
      <c r="AI35" s="75" t="s">
        <v>325</v>
      </c>
      <c r="AJ35" s="75" t="s">
        <v>324</v>
      </c>
      <c r="AK35" s="75" t="s">
        <v>324</v>
      </c>
      <c r="AL35" s="75" t="s">
        <v>324</v>
      </c>
      <c r="AM35" s="75" t="s">
        <v>324</v>
      </c>
      <c r="AN35" s="75" t="s">
        <v>324</v>
      </c>
      <c r="AO35" s="75" t="s">
        <v>324</v>
      </c>
      <c r="AP35" s="75" t="s">
        <v>324</v>
      </c>
      <c r="AQ35" s="75" t="s">
        <v>324</v>
      </c>
      <c r="AR35" s="75" t="s">
        <v>324</v>
      </c>
      <c r="AS35" s="75" t="s">
        <v>325</v>
      </c>
      <c r="AT35" s="75" t="s">
        <v>325</v>
      </c>
      <c r="AU35" s="75" t="s">
        <v>325</v>
      </c>
      <c r="AV35" s="75" t="s">
        <v>325</v>
      </c>
      <c r="AW35" s="75" t="s">
        <v>325</v>
      </c>
      <c r="AX35" s="75" t="s">
        <v>325</v>
      </c>
      <c r="AY35" s="75" t="s">
        <v>325</v>
      </c>
      <c r="AZ35" s="75" t="s">
        <v>325</v>
      </c>
      <c r="BA35" s="75" t="s">
        <v>325</v>
      </c>
      <c r="BB35" s="75" t="s">
        <v>325</v>
      </c>
      <c r="BC35" s="75" t="s">
        <v>325</v>
      </c>
      <c r="BD35" s="75" t="s">
        <v>325</v>
      </c>
      <c r="BE35" s="75" t="s">
        <v>325</v>
      </c>
      <c r="BF35" s="75" t="s">
        <v>325</v>
      </c>
      <c r="BG35" s="75" t="s">
        <v>325</v>
      </c>
      <c r="BH35" s="75" t="s">
        <v>325</v>
      </c>
      <c r="BI35" s="75" t="s">
        <v>325</v>
      </c>
      <c r="BJ35" s="1" t="s">
        <v>320</v>
      </c>
      <c r="BK35" s="75" t="s">
        <v>325</v>
      </c>
      <c r="BL35" s="75" t="s">
        <v>325</v>
      </c>
      <c r="BM35" s="75" t="s">
        <v>325</v>
      </c>
      <c r="BN35" s="75" t="s">
        <v>325</v>
      </c>
      <c r="BO35" s="75" t="s">
        <v>325</v>
      </c>
      <c r="BP35" s="75" t="s">
        <v>325</v>
      </c>
    </row>
    <row r="36" customFormat="false" ht="12.75" hidden="false" customHeight="false" outlineLevel="0" collapsed="false">
      <c r="A36" s="1" t="n">
        <f aca="false">A35-1</f>
        <v>1991</v>
      </c>
      <c r="B36" s="1" t="n">
        <f aca="false">B35-1</f>
        <v>1991</v>
      </c>
      <c r="C36" s="1" t="s">
        <v>323</v>
      </c>
      <c r="D36" s="1" t="s">
        <v>323</v>
      </c>
      <c r="E36" s="1" t="s">
        <v>323</v>
      </c>
      <c r="F36" s="1" t="s">
        <v>323</v>
      </c>
      <c r="G36" s="75" t="s">
        <v>324</v>
      </c>
      <c r="H36" s="75" t="s">
        <v>324</v>
      </c>
      <c r="I36" s="75" t="s">
        <v>324</v>
      </c>
      <c r="J36" s="75" t="s">
        <v>324</v>
      </c>
      <c r="K36" s="75" t="s">
        <v>325</v>
      </c>
      <c r="L36" s="75" t="s">
        <v>325</v>
      </c>
      <c r="M36" s="75" t="s">
        <v>325</v>
      </c>
      <c r="N36" s="75" t="s">
        <v>325</v>
      </c>
      <c r="O36" s="75" t="s">
        <v>324</v>
      </c>
      <c r="P36" s="1" t="s">
        <v>320</v>
      </c>
      <c r="Q36" s="75" t="s">
        <v>324</v>
      </c>
      <c r="R36" s="75" t="s">
        <v>324</v>
      </c>
      <c r="S36" s="75" t="s">
        <v>325</v>
      </c>
      <c r="T36" s="75" t="s">
        <v>325</v>
      </c>
      <c r="U36" s="75" t="s">
        <v>325</v>
      </c>
      <c r="V36" s="75" t="s">
        <v>325</v>
      </c>
      <c r="W36" s="75" t="s">
        <v>325</v>
      </c>
      <c r="X36" s="75" t="s">
        <v>325</v>
      </c>
      <c r="Y36" s="75" t="s">
        <v>325</v>
      </c>
      <c r="Z36" s="1" t="s">
        <v>320</v>
      </c>
      <c r="AA36" s="75" t="s">
        <v>325</v>
      </c>
      <c r="AB36" s="75" t="s">
        <v>325</v>
      </c>
      <c r="AC36" s="75" t="s">
        <v>325</v>
      </c>
      <c r="AD36" s="75" t="s">
        <v>325</v>
      </c>
      <c r="AE36" s="75" t="s">
        <v>325</v>
      </c>
      <c r="AF36" s="75" t="s">
        <v>325</v>
      </c>
      <c r="AG36" s="75" t="s">
        <v>325</v>
      </c>
      <c r="AH36" s="75" t="s">
        <v>325</v>
      </c>
      <c r="AI36" s="75" t="s">
        <v>325</v>
      </c>
      <c r="AJ36" s="75" t="s">
        <v>324</v>
      </c>
      <c r="AK36" s="75" t="s">
        <v>324</v>
      </c>
      <c r="AL36" s="75" t="s">
        <v>324</v>
      </c>
      <c r="AM36" s="75" t="s">
        <v>324</v>
      </c>
      <c r="AN36" s="75" t="s">
        <v>324</v>
      </c>
      <c r="AO36" s="75" t="s">
        <v>324</v>
      </c>
      <c r="AP36" s="75" t="s">
        <v>324</v>
      </c>
      <c r="AQ36" s="75" t="s">
        <v>324</v>
      </c>
      <c r="AR36" s="75" t="s">
        <v>324</v>
      </c>
      <c r="AS36" s="75" t="s">
        <v>325</v>
      </c>
      <c r="AT36" s="75" t="s">
        <v>325</v>
      </c>
      <c r="AU36" s="75" t="s">
        <v>325</v>
      </c>
      <c r="AV36" s="75" t="s">
        <v>325</v>
      </c>
      <c r="AW36" s="75" t="s">
        <v>325</v>
      </c>
      <c r="AX36" s="75" t="s">
        <v>325</v>
      </c>
      <c r="AY36" s="75" t="s">
        <v>325</v>
      </c>
      <c r="AZ36" s="75" t="s">
        <v>325</v>
      </c>
      <c r="BA36" s="75" t="s">
        <v>325</v>
      </c>
      <c r="BB36" s="75" t="s">
        <v>325</v>
      </c>
      <c r="BC36" s="75" t="s">
        <v>325</v>
      </c>
      <c r="BD36" s="75" t="s">
        <v>325</v>
      </c>
      <c r="BE36" s="75" t="s">
        <v>325</v>
      </c>
      <c r="BF36" s="75" t="s">
        <v>325</v>
      </c>
      <c r="BG36" s="75" t="s">
        <v>325</v>
      </c>
      <c r="BH36" s="75" t="s">
        <v>325</v>
      </c>
      <c r="BI36" s="75" t="s">
        <v>325</v>
      </c>
      <c r="BJ36" s="1" t="s">
        <v>320</v>
      </c>
      <c r="BK36" s="75" t="s">
        <v>325</v>
      </c>
      <c r="BL36" s="75" t="s">
        <v>325</v>
      </c>
      <c r="BM36" s="75" t="s">
        <v>325</v>
      </c>
      <c r="BN36" s="75" t="s">
        <v>325</v>
      </c>
      <c r="BO36" s="75" t="s">
        <v>325</v>
      </c>
      <c r="BP36" s="75" t="s">
        <v>325</v>
      </c>
    </row>
    <row r="37" customFormat="false" ht="12.75" hidden="false" customHeight="false" outlineLevel="0" collapsed="false">
      <c r="A37" s="1" t="n">
        <f aca="false">A36-1</f>
        <v>1990</v>
      </c>
      <c r="B37" s="1" t="n">
        <f aca="false">B36-1</f>
        <v>1990</v>
      </c>
      <c r="C37" s="1" t="s">
        <v>323</v>
      </c>
      <c r="D37" s="1" t="s">
        <v>323</v>
      </c>
      <c r="E37" s="1" t="s">
        <v>323</v>
      </c>
      <c r="F37" s="1" t="s">
        <v>323</v>
      </c>
      <c r="G37" s="75" t="s">
        <v>324</v>
      </c>
      <c r="H37" s="75" t="s">
        <v>324</v>
      </c>
      <c r="I37" s="75" t="s">
        <v>324</v>
      </c>
      <c r="J37" s="75" t="s">
        <v>324</v>
      </c>
      <c r="K37" s="75" t="s">
        <v>325</v>
      </c>
      <c r="L37" s="75" t="s">
        <v>325</v>
      </c>
      <c r="M37" s="75" t="s">
        <v>325</v>
      </c>
      <c r="N37" s="75" t="s">
        <v>325</v>
      </c>
      <c r="O37" s="75" t="s">
        <v>324</v>
      </c>
      <c r="P37" s="1" t="s">
        <v>320</v>
      </c>
      <c r="Q37" s="75" t="s">
        <v>324</v>
      </c>
      <c r="R37" s="75" t="s">
        <v>324</v>
      </c>
      <c r="S37" s="75" t="s">
        <v>325</v>
      </c>
      <c r="T37" s="75" t="s">
        <v>325</v>
      </c>
      <c r="U37" s="75" t="s">
        <v>325</v>
      </c>
      <c r="V37" s="75" t="s">
        <v>325</v>
      </c>
      <c r="W37" s="75" t="s">
        <v>325</v>
      </c>
      <c r="X37" s="75" t="s">
        <v>325</v>
      </c>
      <c r="Y37" s="75" t="s">
        <v>325</v>
      </c>
      <c r="Z37" s="1" t="s">
        <v>320</v>
      </c>
      <c r="AA37" s="75" t="s">
        <v>325</v>
      </c>
      <c r="AB37" s="75" t="s">
        <v>325</v>
      </c>
      <c r="AC37" s="75" t="s">
        <v>325</v>
      </c>
      <c r="AD37" s="75" t="s">
        <v>325</v>
      </c>
      <c r="AE37" s="75" t="s">
        <v>325</v>
      </c>
      <c r="AF37" s="75" t="s">
        <v>325</v>
      </c>
      <c r="AG37" s="75" t="s">
        <v>325</v>
      </c>
      <c r="AH37" s="75" t="s">
        <v>325</v>
      </c>
      <c r="AI37" s="75" t="s">
        <v>325</v>
      </c>
      <c r="AJ37" s="75" t="s">
        <v>324</v>
      </c>
      <c r="AK37" s="75" t="s">
        <v>324</v>
      </c>
      <c r="AL37" s="75" t="s">
        <v>324</v>
      </c>
      <c r="AM37" s="75" t="s">
        <v>324</v>
      </c>
      <c r="AN37" s="75" t="s">
        <v>324</v>
      </c>
      <c r="AO37" s="75" t="s">
        <v>324</v>
      </c>
      <c r="AP37" s="75" t="s">
        <v>324</v>
      </c>
      <c r="AQ37" s="75" t="s">
        <v>324</v>
      </c>
      <c r="AR37" s="75" t="s">
        <v>324</v>
      </c>
      <c r="AS37" s="75" t="s">
        <v>325</v>
      </c>
      <c r="AT37" s="75" t="s">
        <v>325</v>
      </c>
      <c r="AU37" s="75" t="s">
        <v>325</v>
      </c>
      <c r="AV37" s="75" t="s">
        <v>325</v>
      </c>
      <c r="AW37" s="75" t="s">
        <v>325</v>
      </c>
      <c r="AX37" s="75" t="s">
        <v>325</v>
      </c>
      <c r="AY37" s="75" t="s">
        <v>325</v>
      </c>
      <c r="AZ37" s="75" t="s">
        <v>325</v>
      </c>
      <c r="BA37" s="75" t="s">
        <v>325</v>
      </c>
      <c r="BB37" s="75" t="s">
        <v>325</v>
      </c>
      <c r="BC37" s="75" t="s">
        <v>325</v>
      </c>
      <c r="BD37" s="75" t="s">
        <v>325</v>
      </c>
      <c r="BE37" s="75" t="s">
        <v>325</v>
      </c>
      <c r="BF37" s="75" t="s">
        <v>325</v>
      </c>
      <c r="BG37" s="75" t="s">
        <v>325</v>
      </c>
      <c r="BH37" s="75" t="s">
        <v>325</v>
      </c>
      <c r="BI37" s="75" t="s">
        <v>325</v>
      </c>
      <c r="BJ37" s="1" t="s">
        <v>320</v>
      </c>
      <c r="BK37" s="75" t="s">
        <v>325</v>
      </c>
      <c r="BL37" s="75" t="s">
        <v>325</v>
      </c>
      <c r="BM37" s="75" t="s">
        <v>325</v>
      </c>
      <c r="BN37" s="75" t="s">
        <v>325</v>
      </c>
      <c r="BO37" s="75" t="s">
        <v>325</v>
      </c>
      <c r="BP37" s="75" t="s">
        <v>325</v>
      </c>
    </row>
    <row r="38" customFormat="false" ht="12.75" hidden="false" customHeight="false" outlineLevel="0" collapsed="false">
      <c r="A38" s="1" t="n">
        <f aca="false">A37-1</f>
        <v>1989</v>
      </c>
      <c r="B38" s="1" t="n">
        <f aca="false">B37-1</f>
        <v>1989</v>
      </c>
      <c r="C38" s="1" t="s">
        <v>323</v>
      </c>
      <c r="D38" s="1" t="s">
        <v>323</v>
      </c>
      <c r="E38" s="1" t="s">
        <v>323</v>
      </c>
      <c r="F38" s="1" t="s">
        <v>323</v>
      </c>
      <c r="G38" s="75" t="s">
        <v>324</v>
      </c>
      <c r="H38" s="75" t="s">
        <v>324</v>
      </c>
      <c r="I38" s="75" t="s">
        <v>324</v>
      </c>
      <c r="J38" s="75" t="s">
        <v>324</v>
      </c>
      <c r="K38" s="75" t="s">
        <v>325</v>
      </c>
      <c r="L38" s="75" t="s">
        <v>325</v>
      </c>
      <c r="M38" s="75" t="s">
        <v>325</v>
      </c>
      <c r="N38" s="75" t="s">
        <v>325</v>
      </c>
      <c r="O38" s="75" t="s">
        <v>324</v>
      </c>
      <c r="P38" s="1" t="s">
        <v>320</v>
      </c>
      <c r="Q38" s="75" t="s">
        <v>324</v>
      </c>
      <c r="R38" s="75" t="s">
        <v>324</v>
      </c>
      <c r="S38" s="75" t="s">
        <v>325</v>
      </c>
      <c r="T38" s="75" t="s">
        <v>325</v>
      </c>
      <c r="U38" s="75" t="s">
        <v>325</v>
      </c>
      <c r="V38" s="75" t="s">
        <v>325</v>
      </c>
      <c r="W38" s="75" t="s">
        <v>325</v>
      </c>
      <c r="X38" s="75" t="s">
        <v>325</v>
      </c>
      <c r="Y38" s="75" t="s">
        <v>325</v>
      </c>
      <c r="Z38" s="1" t="s">
        <v>320</v>
      </c>
      <c r="AA38" s="75" t="s">
        <v>325</v>
      </c>
      <c r="AB38" s="75" t="s">
        <v>325</v>
      </c>
      <c r="AC38" s="75" t="s">
        <v>325</v>
      </c>
      <c r="AD38" s="75" t="s">
        <v>325</v>
      </c>
      <c r="AE38" s="75" t="s">
        <v>325</v>
      </c>
      <c r="AF38" s="75" t="s">
        <v>325</v>
      </c>
      <c r="AG38" s="75" t="s">
        <v>325</v>
      </c>
      <c r="AH38" s="75" t="s">
        <v>325</v>
      </c>
      <c r="AI38" s="75" t="s">
        <v>325</v>
      </c>
      <c r="AJ38" s="75" t="s">
        <v>324</v>
      </c>
      <c r="AK38" s="75" t="s">
        <v>324</v>
      </c>
      <c r="AL38" s="75" t="s">
        <v>324</v>
      </c>
      <c r="AM38" s="75" t="s">
        <v>324</v>
      </c>
      <c r="AN38" s="75" t="s">
        <v>324</v>
      </c>
      <c r="AO38" s="75" t="s">
        <v>324</v>
      </c>
      <c r="AP38" s="75" t="s">
        <v>324</v>
      </c>
      <c r="AQ38" s="75" t="s">
        <v>324</v>
      </c>
      <c r="AR38" s="75" t="s">
        <v>324</v>
      </c>
      <c r="AS38" s="75" t="s">
        <v>325</v>
      </c>
      <c r="AT38" s="75" t="s">
        <v>325</v>
      </c>
      <c r="AU38" s="75" t="s">
        <v>325</v>
      </c>
      <c r="AV38" s="75" t="s">
        <v>325</v>
      </c>
      <c r="AW38" s="75" t="s">
        <v>325</v>
      </c>
      <c r="AX38" s="75" t="s">
        <v>325</v>
      </c>
      <c r="AY38" s="75" t="s">
        <v>325</v>
      </c>
      <c r="AZ38" s="75" t="s">
        <v>325</v>
      </c>
      <c r="BA38" s="75" t="s">
        <v>325</v>
      </c>
      <c r="BB38" s="75" t="s">
        <v>325</v>
      </c>
      <c r="BC38" s="75" t="s">
        <v>325</v>
      </c>
      <c r="BD38" s="75" t="s">
        <v>325</v>
      </c>
      <c r="BE38" s="75" t="s">
        <v>325</v>
      </c>
      <c r="BF38" s="75" t="s">
        <v>325</v>
      </c>
      <c r="BG38" s="75" t="s">
        <v>325</v>
      </c>
      <c r="BH38" s="75" t="s">
        <v>325</v>
      </c>
      <c r="BI38" s="75" t="s">
        <v>325</v>
      </c>
      <c r="BJ38" s="1" t="s">
        <v>320</v>
      </c>
      <c r="BK38" s="75" t="s">
        <v>325</v>
      </c>
      <c r="BL38" s="75" t="s">
        <v>325</v>
      </c>
      <c r="BM38" s="75" t="s">
        <v>325</v>
      </c>
      <c r="BN38" s="75" t="s">
        <v>325</v>
      </c>
      <c r="BO38" s="75" t="s">
        <v>325</v>
      </c>
      <c r="BP38" s="75" t="s">
        <v>325</v>
      </c>
    </row>
    <row r="39" customFormat="false" ht="12.75" hidden="false" customHeight="false" outlineLevel="0" collapsed="false">
      <c r="A39" s="1" t="n">
        <f aca="false">A38-1</f>
        <v>1988</v>
      </c>
      <c r="B39" s="1" t="n">
        <f aca="false">B38-1</f>
        <v>1988</v>
      </c>
      <c r="C39" s="1" t="s">
        <v>323</v>
      </c>
      <c r="D39" s="1" t="s">
        <v>323</v>
      </c>
      <c r="E39" s="1" t="s">
        <v>323</v>
      </c>
      <c r="F39" s="1" t="s">
        <v>323</v>
      </c>
      <c r="G39" s="75" t="s">
        <v>324</v>
      </c>
      <c r="H39" s="75" t="s">
        <v>324</v>
      </c>
      <c r="I39" s="75" t="s">
        <v>324</v>
      </c>
      <c r="J39" s="75" t="s">
        <v>324</v>
      </c>
      <c r="K39" s="75" t="s">
        <v>325</v>
      </c>
      <c r="L39" s="75" t="s">
        <v>325</v>
      </c>
      <c r="M39" s="75" t="s">
        <v>325</v>
      </c>
      <c r="N39" s="75" t="s">
        <v>325</v>
      </c>
      <c r="O39" s="75" t="s">
        <v>324</v>
      </c>
      <c r="P39" s="1" t="s">
        <v>320</v>
      </c>
      <c r="Q39" s="75" t="s">
        <v>324</v>
      </c>
      <c r="R39" s="75" t="s">
        <v>324</v>
      </c>
      <c r="S39" s="75" t="s">
        <v>325</v>
      </c>
      <c r="T39" s="75" t="s">
        <v>325</v>
      </c>
      <c r="U39" s="75" t="s">
        <v>325</v>
      </c>
      <c r="V39" s="75" t="s">
        <v>325</v>
      </c>
      <c r="W39" s="75" t="s">
        <v>325</v>
      </c>
      <c r="X39" s="75" t="s">
        <v>325</v>
      </c>
      <c r="Y39" s="75" t="s">
        <v>325</v>
      </c>
      <c r="Z39" s="1" t="s">
        <v>320</v>
      </c>
      <c r="AA39" s="75" t="s">
        <v>325</v>
      </c>
      <c r="AB39" s="75" t="s">
        <v>325</v>
      </c>
      <c r="AC39" s="75" t="s">
        <v>325</v>
      </c>
      <c r="AD39" s="75" t="s">
        <v>325</v>
      </c>
      <c r="AE39" s="75" t="s">
        <v>325</v>
      </c>
      <c r="AF39" s="75" t="s">
        <v>325</v>
      </c>
      <c r="AG39" s="75" t="s">
        <v>325</v>
      </c>
      <c r="AH39" s="75" t="s">
        <v>325</v>
      </c>
      <c r="AI39" s="75" t="s">
        <v>325</v>
      </c>
      <c r="AJ39" s="75" t="s">
        <v>324</v>
      </c>
      <c r="AK39" s="75" t="s">
        <v>324</v>
      </c>
      <c r="AL39" s="75" t="s">
        <v>324</v>
      </c>
      <c r="AM39" s="75" t="s">
        <v>324</v>
      </c>
      <c r="AN39" s="75" t="s">
        <v>324</v>
      </c>
      <c r="AO39" s="75" t="s">
        <v>324</v>
      </c>
      <c r="AP39" s="75" t="s">
        <v>324</v>
      </c>
      <c r="AQ39" s="75" t="s">
        <v>324</v>
      </c>
      <c r="AR39" s="75" t="s">
        <v>324</v>
      </c>
      <c r="AS39" s="75" t="s">
        <v>325</v>
      </c>
      <c r="AT39" s="75" t="s">
        <v>325</v>
      </c>
      <c r="AU39" s="75" t="s">
        <v>325</v>
      </c>
      <c r="AV39" s="75" t="s">
        <v>325</v>
      </c>
      <c r="AW39" s="75" t="s">
        <v>325</v>
      </c>
      <c r="AX39" s="75" t="s">
        <v>325</v>
      </c>
      <c r="AY39" s="75" t="s">
        <v>325</v>
      </c>
      <c r="AZ39" s="75" t="s">
        <v>325</v>
      </c>
      <c r="BA39" s="75" t="s">
        <v>325</v>
      </c>
      <c r="BB39" s="75" t="s">
        <v>325</v>
      </c>
      <c r="BC39" s="75" t="s">
        <v>325</v>
      </c>
      <c r="BD39" s="75" t="s">
        <v>325</v>
      </c>
      <c r="BE39" s="75" t="s">
        <v>325</v>
      </c>
      <c r="BF39" s="75" t="s">
        <v>325</v>
      </c>
      <c r="BG39" s="75" t="s">
        <v>325</v>
      </c>
      <c r="BH39" s="75" t="s">
        <v>325</v>
      </c>
      <c r="BI39" s="75" t="s">
        <v>325</v>
      </c>
      <c r="BJ39" s="1" t="s">
        <v>320</v>
      </c>
      <c r="BK39" s="75" t="s">
        <v>325</v>
      </c>
      <c r="BL39" s="75" t="s">
        <v>325</v>
      </c>
      <c r="BM39" s="75" t="s">
        <v>325</v>
      </c>
      <c r="BN39" s="75" t="s">
        <v>325</v>
      </c>
      <c r="BO39" s="75" t="s">
        <v>325</v>
      </c>
      <c r="BP39" s="75" t="s">
        <v>325</v>
      </c>
    </row>
    <row r="40" customFormat="false" ht="12.75" hidden="false" customHeight="false" outlineLevel="0" collapsed="false">
      <c r="A40" s="1" t="n">
        <f aca="false">A39-1</f>
        <v>1987</v>
      </c>
      <c r="B40" s="1" t="n">
        <f aca="false">B39-1</f>
        <v>1987</v>
      </c>
      <c r="C40" s="1" t="s">
        <v>323</v>
      </c>
      <c r="D40" s="1" t="s">
        <v>323</v>
      </c>
      <c r="E40" s="1" t="s">
        <v>323</v>
      </c>
      <c r="F40" s="1" t="s">
        <v>323</v>
      </c>
      <c r="G40" s="75" t="s">
        <v>324</v>
      </c>
      <c r="H40" s="75" t="s">
        <v>324</v>
      </c>
      <c r="I40" s="75" t="s">
        <v>324</v>
      </c>
      <c r="J40" s="75" t="s">
        <v>324</v>
      </c>
      <c r="K40" s="75" t="s">
        <v>325</v>
      </c>
      <c r="L40" s="75" t="s">
        <v>325</v>
      </c>
      <c r="M40" s="75" t="s">
        <v>325</v>
      </c>
      <c r="N40" s="75" t="s">
        <v>325</v>
      </c>
      <c r="O40" s="75" t="s">
        <v>324</v>
      </c>
      <c r="P40" s="1" t="s">
        <v>320</v>
      </c>
      <c r="Q40" s="75" t="s">
        <v>324</v>
      </c>
      <c r="R40" s="75" t="s">
        <v>324</v>
      </c>
      <c r="S40" s="75" t="s">
        <v>325</v>
      </c>
      <c r="T40" s="75" t="s">
        <v>325</v>
      </c>
      <c r="U40" s="75" t="s">
        <v>325</v>
      </c>
      <c r="V40" s="75" t="s">
        <v>325</v>
      </c>
      <c r="W40" s="75" t="s">
        <v>325</v>
      </c>
      <c r="X40" s="75" t="s">
        <v>325</v>
      </c>
      <c r="Y40" s="75" t="s">
        <v>325</v>
      </c>
      <c r="Z40" s="1" t="s">
        <v>320</v>
      </c>
      <c r="AA40" s="75" t="s">
        <v>325</v>
      </c>
      <c r="AB40" s="75" t="s">
        <v>325</v>
      </c>
      <c r="AC40" s="75" t="s">
        <v>325</v>
      </c>
      <c r="AD40" s="75" t="s">
        <v>325</v>
      </c>
      <c r="AE40" s="75" t="s">
        <v>325</v>
      </c>
      <c r="AF40" s="75" t="s">
        <v>325</v>
      </c>
      <c r="AG40" s="75" t="s">
        <v>325</v>
      </c>
      <c r="AH40" s="75" t="s">
        <v>325</v>
      </c>
      <c r="AI40" s="75" t="s">
        <v>325</v>
      </c>
      <c r="AJ40" s="75" t="s">
        <v>324</v>
      </c>
      <c r="AK40" s="75" t="s">
        <v>324</v>
      </c>
      <c r="AL40" s="75" t="s">
        <v>324</v>
      </c>
      <c r="AM40" s="75" t="s">
        <v>324</v>
      </c>
      <c r="AN40" s="75" t="s">
        <v>324</v>
      </c>
      <c r="AO40" s="75" t="s">
        <v>324</v>
      </c>
      <c r="AP40" s="75" t="s">
        <v>324</v>
      </c>
      <c r="AQ40" s="75" t="s">
        <v>324</v>
      </c>
      <c r="AR40" s="75" t="s">
        <v>324</v>
      </c>
      <c r="AS40" s="75" t="s">
        <v>325</v>
      </c>
      <c r="AT40" s="75" t="s">
        <v>325</v>
      </c>
      <c r="AU40" s="75" t="s">
        <v>325</v>
      </c>
      <c r="AV40" s="75" t="s">
        <v>325</v>
      </c>
      <c r="AW40" s="75" t="s">
        <v>325</v>
      </c>
      <c r="AX40" s="75" t="s">
        <v>325</v>
      </c>
      <c r="AY40" s="75" t="s">
        <v>325</v>
      </c>
      <c r="AZ40" s="75" t="s">
        <v>325</v>
      </c>
      <c r="BA40" s="75" t="s">
        <v>325</v>
      </c>
      <c r="BB40" s="75" t="s">
        <v>325</v>
      </c>
      <c r="BC40" s="75" t="s">
        <v>325</v>
      </c>
      <c r="BD40" s="75" t="s">
        <v>325</v>
      </c>
      <c r="BE40" s="75" t="s">
        <v>325</v>
      </c>
      <c r="BF40" s="75" t="s">
        <v>325</v>
      </c>
      <c r="BG40" s="75" t="s">
        <v>325</v>
      </c>
      <c r="BH40" s="75" t="s">
        <v>325</v>
      </c>
      <c r="BI40" s="75" t="s">
        <v>325</v>
      </c>
      <c r="BJ40" s="1" t="s">
        <v>320</v>
      </c>
      <c r="BK40" s="75" t="s">
        <v>325</v>
      </c>
      <c r="BL40" s="75" t="s">
        <v>325</v>
      </c>
      <c r="BM40" s="75" t="s">
        <v>325</v>
      </c>
      <c r="BN40" s="75" t="s">
        <v>325</v>
      </c>
      <c r="BO40" s="75" t="s">
        <v>325</v>
      </c>
      <c r="BP40" s="75" t="s">
        <v>325</v>
      </c>
    </row>
    <row r="41" customFormat="false" ht="12.75" hidden="false" customHeight="false" outlineLevel="0" collapsed="false">
      <c r="A41" s="1" t="n">
        <f aca="false">A40-1</f>
        <v>1986</v>
      </c>
      <c r="B41" s="1" t="n">
        <f aca="false">B40-1</f>
        <v>1986</v>
      </c>
      <c r="C41" s="1" t="s">
        <v>323</v>
      </c>
      <c r="D41" s="1" t="s">
        <v>323</v>
      </c>
      <c r="E41" s="1" t="s">
        <v>323</v>
      </c>
      <c r="F41" s="1" t="s">
        <v>323</v>
      </c>
      <c r="G41" s="75" t="s">
        <v>324</v>
      </c>
      <c r="H41" s="75" t="s">
        <v>324</v>
      </c>
      <c r="I41" s="75" t="s">
        <v>324</v>
      </c>
      <c r="J41" s="75" t="s">
        <v>324</v>
      </c>
      <c r="K41" s="75" t="s">
        <v>325</v>
      </c>
      <c r="L41" s="75" t="s">
        <v>325</v>
      </c>
      <c r="M41" s="75" t="s">
        <v>325</v>
      </c>
      <c r="N41" s="75" t="s">
        <v>325</v>
      </c>
      <c r="O41" s="75" t="s">
        <v>324</v>
      </c>
      <c r="P41" s="1" t="s">
        <v>320</v>
      </c>
      <c r="Q41" s="75" t="s">
        <v>324</v>
      </c>
      <c r="R41" s="75" t="s">
        <v>324</v>
      </c>
      <c r="S41" s="75" t="s">
        <v>325</v>
      </c>
      <c r="T41" s="75" t="s">
        <v>325</v>
      </c>
      <c r="U41" s="75" t="s">
        <v>325</v>
      </c>
      <c r="V41" s="75" t="s">
        <v>325</v>
      </c>
      <c r="W41" s="75" t="s">
        <v>325</v>
      </c>
      <c r="X41" s="75" t="s">
        <v>325</v>
      </c>
      <c r="Y41" s="75" t="s">
        <v>325</v>
      </c>
      <c r="Z41" s="1" t="s">
        <v>320</v>
      </c>
      <c r="AA41" s="75" t="s">
        <v>325</v>
      </c>
      <c r="AB41" s="75" t="s">
        <v>325</v>
      </c>
      <c r="AC41" s="75" t="s">
        <v>325</v>
      </c>
      <c r="AD41" s="75" t="s">
        <v>325</v>
      </c>
      <c r="AE41" s="75" t="s">
        <v>325</v>
      </c>
      <c r="AF41" s="75" t="s">
        <v>325</v>
      </c>
      <c r="AG41" s="75" t="s">
        <v>325</v>
      </c>
      <c r="AH41" s="75" t="s">
        <v>325</v>
      </c>
      <c r="AI41" s="75" t="s">
        <v>325</v>
      </c>
      <c r="AJ41" s="75" t="s">
        <v>324</v>
      </c>
      <c r="AK41" s="75" t="s">
        <v>324</v>
      </c>
      <c r="AL41" s="75" t="s">
        <v>324</v>
      </c>
      <c r="AM41" s="75" t="s">
        <v>324</v>
      </c>
      <c r="AN41" s="75" t="s">
        <v>324</v>
      </c>
      <c r="AO41" s="75" t="s">
        <v>324</v>
      </c>
      <c r="AP41" s="75" t="s">
        <v>324</v>
      </c>
      <c r="AQ41" s="75" t="s">
        <v>324</v>
      </c>
      <c r="AR41" s="75" t="s">
        <v>324</v>
      </c>
      <c r="AS41" s="75" t="s">
        <v>325</v>
      </c>
      <c r="AT41" s="75" t="s">
        <v>325</v>
      </c>
      <c r="AU41" s="75" t="s">
        <v>325</v>
      </c>
      <c r="AV41" s="75" t="s">
        <v>325</v>
      </c>
      <c r="AW41" s="75" t="s">
        <v>325</v>
      </c>
      <c r="AX41" s="75" t="s">
        <v>325</v>
      </c>
      <c r="AY41" s="75" t="s">
        <v>325</v>
      </c>
      <c r="AZ41" s="75" t="s">
        <v>325</v>
      </c>
      <c r="BA41" s="75" t="s">
        <v>325</v>
      </c>
      <c r="BB41" s="75" t="s">
        <v>325</v>
      </c>
      <c r="BC41" s="75" t="s">
        <v>325</v>
      </c>
      <c r="BD41" s="75" t="s">
        <v>325</v>
      </c>
      <c r="BE41" s="75" t="s">
        <v>325</v>
      </c>
      <c r="BF41" s="75" t="s">
        <v>325</v>
      </c>
      <c r="BG41" s="75" t="s">
        <v>325</v>
      </c>
      <c r="BH41" s="75" t="s">
        <v>325</v>
      </c>
      <c r="BI41" s="75" t="s">
        <v>325</v>
      </c>
      <c r="BJ41" s="1" t="s">
        <v>320</v>
      </c>
      <c r="BK41" s="75" t="s">
        <v>325</v>
      </c>
      <c r="BL41" s="75" t="s">
        <v>325</v>
      </c>
      <c r="BM41" s="75" t="s">
        <v>325</v>
      </c>
      <c r="BN41" s="75" t="s">
        <v>325</v>
      </c>
      <c r="BO41" s="75" t="s">
        <v>325</v>
      </c>
      <c r="BP41" s="75" t="s">
        <v>325</v>
      </c>
    </row>
    <row r="42" customFormat="false" ht="12.75" hidden="false" customHeight="false" outlineLevel="0" collapsed="false">
      <c r="A42" s="1" t="n">
        <f aca="false">A41-1</f>
        <v>1985</v>
      </c>
      <c r="B42" s="1" t="n">
        <f aca="false">B41-1</f>
        <v>1985</v>
      </c>
      <c r="C42" s="1" t="s">
        <v>323</v>
      </c>
      <c r="D42" s="1" t="s">
        <v>323</v>
      </c>
      <c r="E42" s="1" t="s">
        <v>323</v>
      </c>
      <c r="F42" s="1" t="s">
        <v>323</v>
      </c>
      <c r="G42" s="75" t="s">
        <v>324</v>
      </c>
      <c r="H42" s="75" t="s">
        <v>324</v>
      </c>
      <c r="I42" s="75" t="s">
        <v>324</v>
      </c>
      <c r="J42" s="75" t="s">
        <v>324</v>
      </c>
      <c r="K42" s="75" t="s">
        <v>325</v>
      </c>
      <c r="L42" s="75" t="s">
        <v>325</v>
      </c>
      <c r="M42" s="75" t="s">
        <v>325</v>
      </c>
      <c r="N42" s="75" t="s">
        <v>325</v>
      </c>
      <c r="O42" s="75" t="s">
        <v>324</v>
      </c>
      <c r="P42" s="1" t="s">
        <v>320</v>
      </c>
      <c r="Q42" s="75" t="s">
        <v>324</v>
      </c>
      <c r="R42" s="75" t="s">
        <v>324</v>
      </c>
      <c r="S42" s="75" t="s">
        <v>325</v>
      </c>
      <c r="T42" s="75" t="s">
        <v>325</v>
      </c>
      <c r="U42" s="75" t="s">
        <v>325</v>
      </c>
      <c r="V42" s="75" t="s">
        <v>325</v>
      </c>
      <c r="W42" s="75" t="s">
        <v>325</v>
      </c>
      <c r="X42" s="75" t="s">
        <v>325</v>
      </c>
      <c r="Y42" s="75" t="s">
        <v>325</v>
      </c>
      <c r="Z42" s="1" t="s">
        <v>320</v>
      </c>
      <c r="AA42" s="75" t="s">
        <v>325</v>
      </c>
      <c r="AB42" s="75" t="s">
        <v>325</v>
      </c>
      <c r="AC42" s="75" t="s">
        <v>325</v>
      </c>
      <c r="AD42" s="75" t="s">
        <v>325</v>
      </c>
      <c r="AE42" s="75" t="s">
        <v>325</v>
      </c>
      <c r="AF42" s="75" t="s">
        <v>325</v>
      </c>
      <c r="AG42" s="75" t="s">
        <v>325</v>
      </c>
      <c r="AH42" s="75" t="s">
        <v>325</v>
      </c>
      <c r="AI42" s="75" t="s">
        <v>325</v>
      </c>
      <c r="AJ42" s="75" t="s">
        <v>324</v>
      </c>
      <c r="AK42" s="75" t="s">
        <v>324</v>
      </c>
      <c r="AL42" s="75" t="s">
        <v>324</v>
      </c>
      <c r="AM42" s="75" t="s">
        <v>324</v>
      </c>
      <c r="AN42" s="75" t="s">
        <v>324</v>
      </c>
      <c r="AO42" s="75" t="s">
        <v>324</v>
      </c>
      <c r="AP42" s="75" t="s">
        <v>324</v>
      </c>
      <c r="AQ42" s="75" t="s">
        <v>324</v>
      </c>
      <c r="AR42" s="75" t="s">
        <v>324</v>
      </c>
      <c r="AS42" s="75" t="s">
        <v>325</v>
      </c>
      <c r="AT42" s="75" t="s">
        <v>325</v>
      </c>
      <c r="AU42" s="75" t="s">
        <v>325</v>
      </c>
      <c r="AV42" s="75" t="s">
        <v>325</v>
      </c>
      <c r="AW42" s="75" t="s">
        <v>325</v>
      </c>
      <c r="AX42" s="75" t="s">
        <v>325</v>
      </c>
      <c r="AY42" s="75" t="s">
        <v>325</v>
      </c>
      <c r="AZ42" s="75" t="s">
        <v>325</v>
      </c>
      <c r="BA42" s="75" t="s">
        <v>325</v>
      </c>
      <c r="BB42" s="75" t="s">
        <v>325</v>
      </c>
      <c r="BC42" s="75" t="s">
        <v>325</v>
      </c>
      <c r="BD42" s="75" t="s">
        <v>325</v>
      </c>
      <c r="BE42" s="75" t="s">
        <v>325</v>
      </c>
      <c r="BF42" s="75" t="s">
        <v>325</v>
      </c>
      <c r="BG42" s="75" t="s">
        <v>325</v>
      </c>
      <c r="BH42" s="75" t="s">
        <v>325</v>
      </c>
      <c r="BI42" s="75" t="s">
        <v>325</v>
      </c>
      <c r="BJ42" s="1" t="s">
        <v>320</v>
      </c>
      <c r="BK42" s="75" t="s">
        <v>325</v>
      </c>
      <c r="BL42" s="75" t="s">
        <v>325</v>
      </c>
      <c r="BM42" s="75" t="s">
        <v>325</v>
      </c>
      <c r="BN42" s="75" t="s">
        <v>325</v>
      </c>
      <c r="BO42" s="75" t="s">
        <v>325</v>
      </c>
      <c r="BP42" s="75" t="s">
        <v>325</v>
      </c>
    </row>
    <row r="43" customFormat="false" ht="12.75" hidden="false" customHeight="false" outlineLevel="0" collapsed="false">
      <c r="A43" s="1" t="n">
        <f aca="false">A42-1</f>
        <v>1984</v>
      </c>
      <c r="B43" s="1" t="n">
        <f aca="false">B42-1</f>
        <v>1984</v>
      </c>
      <c r="C43" s="1" t="s">
        <v>323</v>
      </c>
      <c r="D43" s="1" t="s">
        <v>323</v>
      </c>
      <c r="E43" s="1" t="s">
        <v>323</v>
      </c>
      <c r="F43" s="1" t="s">
        <v>323</v>
      </c>
      <c r="G43" s="75" t="s">
        <v>324</v>
      </c>
      <c r="H43" s="75" t="s">
        <v>324</v>
      </c>
      <c r="I43" s="75" t="s">
        <v>324</v>
      </c>
      <c r="J43" s="75" t="s">
        <v>324</v>
      </c>
      <c r="K43" s="75" t="s">
        <v>325</v>
      </c>
      <c r="L43" s="75" t="s">
        <v>325</v>
      </c>
      <c r="M43" s="75" t="s">
        <v>325</v>
      </c>
      <c r="N43" s="75" t="s">
        <v>325</v>
      </c>
      <c r="O43" s="75" t="s">
        <v>324</v>
      </c>
      <c r="P43" s="1" t="s">
        <v>320</v>
      </c>
      <c r="Q43" s="75" t="s">
        <v>324</v>
      </c>
      <c r="R43" s="75" t="s">
        <v>324</v>
      </c>
      <c r="S43" s="75" t="s">
        <v>325</v>
      </c>
      <c r="T43" s="75" t="s">
        <v>325</v>
      </c>
      <c r="U43" s="75" t="s">
        <v>325</v>
      </c>
      <c r="V43" s="75" t="s">
        <v>325</v>
      </c>
      <c r="W43" s="75" t="s">
        <v>325</v>
      </c>
      <c r="X43" s="75" t="s">
        <v>325</v>
      </c>
      <c r="Y43" s="75" t="s">
        <v>325</v>
      </c>
      <c r="Z43" s="1" t="s">
        <v>320</v>
      </c>
      <c r="AA43" s="75" t="s">
        <v>325</v>
      </c>
      <c r="AB43" s="75" t="s">
        <v>325</v>
      </c>
      <c r="AC43" s="75" t="s">
        <v>325</v>
      </c>
      <c r="AD43" s="75" t="s">
        <v>325</v>
      </c>
      <c r="AE43" s="75" t="s">
        <v>325</v>
      </c>
      <c r="AF43" s="75" t="s">
        <v>325</v>
      </c>
      <c r="AG43" s="75" t="s">
        <v>325</v>
      </c>
      <c r="AH43" s="75" t="s">
        <v>325</v>
      </c>
      <c r="AI43" s="75" t="s">
        <v>325</v>
      </c>
      <c r="AJ43" s="75" t="s">
        <v>324</v>
      </c>
      <c r="AK43" s="75" t="s">
        <v>324</v>
      </c>
      <c r="AL43" s="75" t="s">
        <v>324</v>
      </c>
      <c r="AM43" s="75" t="s">
        <v>324</v>
      </c>
      <c r="AN43" s="75" t="s">
        <v>324</v>
      </c>
      <c r="AO43" s="75" t="s">
        <v>324</v>
      </c>
      <c r="AP43" s="75" t="s">
        <v>324</v>
      </c>
      <c r="AQ43" s="75" t="s">
        <v>324</v>
      </c>
      <c r="AR43" s="75" t="s">
        <v>324</v>
      </c>
      <c r="AS43" s="75" t="s">
        <v>325</v>
      </c>
      <c r="AT43" s="75" t="s">
        <v>325</v>
      </c>
      <c r="AU43" s="75" t="s">
        <v>325</v>
      </c>
      <c r="AV43" s="75" t="s">
        <v>325</v>
      </c>
      <c r="AW43" s="75" t="s">
        <v>325</v>
      </c>
      <c r="AX43" s="75" t="s">
        <v>325</v>
      </c>
      <c r="AY43" s="75" t="s">
        <v>325</v>
      </c>
      <c r="AZ43" s="75" t="s">
        <v>325</v>
      </c>
      <c r="BA43" s="75" t="s">
        <v>325</v>
      </c>
      <c r="BB43" s="75" t="s">
        <v>325</v>
      </c>
      <c r="BC43" s="75" t="s">
        <v>325</v>
      </c>
      <c r="BD43" s="75" t="s">
        <v>325</v>
      </c>
      <c r="BE43" s="75" t="s">
        <v>325</v>
      </c>
      <c r="BF43" s="75" t="s">
        <v>325</v>
      </c>
      <c r="BG43" s="75" t="s">
        <v>325</v>
      </c>
      <c r="BH43" s="75" t="s">
        <v>325</v>
      </c>
      <c r="BI43" s="75" t="s">
        <v>325</v>
      </c>
      <c r="BJ43" s="1" t="s">
        <v>320</v>
      </c>
      <c r="BK43" s="75" t="s">
        <v>325</v>
      </c>
      <c r="BL43" s="75" t="s">
        <v>325</v>
      </c>
      <c r="BM43" s="75" t="s">
        <v>325</v>
      </c>
      <c r="BN43" s="75" t="s">
        <v>325</v>
      </c>
      <c r="BO43" s="75" t="s">
        <v>325</v>
      </c>
      <c r="BP43" s="75" t="s">
        <v>325</v>
      </c>
    </row>
    <row r="44" customFormat="false" ht="12.75" hidden="false" customHeight="false" outlineLevel="0" collapsed="false">
      <c r="A44" s="1" t="n">
        <f aca="false">A43-1</f>
        <v>1983</v>
      </c>
      <c r="B44" s="1" t="n">
        <f aca="false">B43-1</f>
        <v>1983</v>
      </c>
      <c r="C44" s="1" t="s">
        <v>323</v>
      </c>
      <c r="D44" s="1" t="s">
        <v>323</v>
      </c>
      <c r="E44" s="1" t="s">
        <v>323</v>
      </c>
      <c r="F44" s="1" t="s">
        <v>323</v>
      </c>
      <c r="G44" s="75" t="s">
        <v>324</v>
      </c>
      <c r="H44" s="75" t="s">
        <v>324</v>
      </c>
      <c r="I44" s="75" t="s">
        <v>324</v>
      </c>
      <c r="J44" s="75" t="s">
        <v>324</v>
      </c>
      <c r="K44" s="75" t="s">
        <v>325</v>
      </c>
      <c r="L44" s="75" t="s">
        <v>325</v>
      </c>
      <c r="M44" s="75" t="s">
        <v>325</v>
      </c>
      <c r="N44" s="75" t="s">
        <v>325</v>
      </c>
      <c r="O44" s="75" t="s">
        <v>324</v>
      </c>
      <c r="P44" s="1" t="s">
        <v>320</v>
      </c>
      <c r="Q44" s="75" t="s">
        <v>324</v>
      </c>
      <c r="R44" s="75" t="s">
        <v>324</v>
      </c>
      <c r="S44" s="75" t="s">
        <v>325</v>
      </c>
      <c r="T44" s="75" t="s">
        <v>325</v>
      </c>
      <c r="U44" s="75" t="s">
        <v>325</v>
      </c>
      <c r="V44" s="75" t="s">
        <v>325</v>
      </c>
      <c r="W44" s="75" t="s">
        <v>325</v>
      </c>
      <c r="X44" s="75" t="s">
        <v>325</v>
      </c>
      <c r="Y44" s="75" t="s">
        <v>325</v>
      </c>
      <c r="Z44" s="1" t="s">
        <v>320</v>
      </c>
      <c r="AA44" s="75" t="s">
        <v>325</v>
      </c>
      <c r="AB44" s="75" t="s">
        <v>325</v>
      </c>
      <c r="AC44" s="75" t="s">
        <v>325</v>
      </c>
      <c r="AD44" s="75" t="s">
        <v>325</v>
      </c>
      <c r="AE44" s="75" t="s">
        <v>325</v>
      </c>
      <c r="AF44" s="75" t="s">
        <v>325</v>
      </c>
      <c r="AG44" s="75" t="s">
        <v>325</v>
      </c>
      <c r="AH44" s="75" t="s">
        <v>325</v>
      </c>
      <c r="AI44" s="75" t="s">
        <v>325</v>
      </c>
      <c r="AJ44" s="75" t="s">
        <v>324</v>
      </c>
      <c r="AK44" s="75" t="s">
        <v>324</v>
      </c>
      <c r="AL44" s="75" t="s">
        <v>324</v>
      </c>
      <c r="AM44" s="75" t="s">
        <v>324</v>
      </c>
      <c r="AN44" s="75" t="s">
        <v>324</v>
      </c>
      <c r="AO44" s="75" t="s">
        <v>324</v>
      </c>
      <c r="AP44" s="75" t="s">
        <v>324</v>
      </c>
      <c r="AQ44" s="75" t="s">
        <v>324</v>
      </c>
      <c r="AR44" s="75" t="s">
        <v>324</v>
      </c>
      <c r="AS44" s="75" t="s">
        <v>325</v>
      </c>
      <c r="AT44" s="75" t="s">
        <v>325</v>
      </c>
      <c r="AU44" s="75" t="s">
        <v>325</v>
      </c>
      <c r="AV44" s="75" t="s">
        <v>325</v>
      </c>
      <c r="AW44" s="75" t="s">
        <v>325</v>
      </c>
      <c r="AX44" s="75" t="s">
        <v>325</v>
      </c>
      <c r="AY44" s="75" t="s">
        <v>325</v>
      </c>
      <c r="AZ44" s="75" t="s">
        <v>325</v>
      </c>
      <c r="BA44" s="75" t="s">
        <v>325</v>
      </c>
      <c r="BB44" s="75" t="s">
        <v>325</v>
      </c>
      <c r="BC44" s="75" t="s">
        <v>325</v>
      </c>
      <c r="BD44" s="75" t="s">
        <v>325</v>
      </c>
      <c r="BE44" s="75" t="s">
        <v>325</v>
      </c>
      <c r="BF44" s="75" t="s">
        <v>325</v>
      </c>
      <c r="BG44" s="75" t="s">
        <v>325</v>
      </c>
      <c r="BH44" s="75" t="s">
        <v>325</v>
      </c>
      <c r="BI44" s="75" t="s">
        <v>325</v>
      </c>
      <c r="BJ44" s="1" t="s">
        <v>320</v>
      </c>
      <c r="BK44" s="75" t="s">
        <v>325</v>
      </c>
      <c r="BL44" s="75" t="s">
        <v>325</v>
      </c>
      <c r="BM44" s="75" t="s">
        <v>325</v>
      </c>
      <c r="BN44" s="75" t="s">
        <v>325</v>
      </c>
      <c r="BO44" s="75" t="s">
        <v>325</v>
      </c>
      <c r="BP44" s="75" t="s">
        <v>325</v>
      </c>
    </row>
    <row r="45" customFormat="false" ht="12.75" hidden="false" customHeight="false" outlineLevel="0" collapsed="false">
      <c r="A45" s="1" t="n">
        <f aca="false">A44-1</f>
        <v>1982</v>
      </c>
      <c r="B45" s="1" t="n">
        <f aca="false">B44-1</f>
        <v>1982</v>
      </c>
      <c r="C45" s="1" t="s">
        <v>323</v>
      </c>
      <c r="D45" s="1" t="s">
        <v>323</v>
      </c>
      <c r="E45" s="1" t="s">
        <v>323</v>
      </c>
      <c r="F45" s="1" t="s">
        <v>323</v>
      </c>
      <c r="G45" s="75" t="s">
        <v>324</v>
      </c>
      <c r="H45" s="75" t="s">
        <v>324</v>
      </c>
      <c r="I45" s="75" t="s">
        <v>324</v>
      </c>
      <c r="J45" s="75" t="s">
        <v>324</v>
      </c>
      <c r="K45" s="75" t="s">
        <v>325</v>
      </c>
      <c r="L45" s="75" t="s">
        <v>325</v>
      </c>
      <c r="M45" s="75" t="s">
        <v>325</v>
      </c>
      <c r="N45" s="75" t="s">
        <v>325</v>
      </c>
      <c r="O45" s="75" t="s">
        <v>324</v>
      </c>
      <c r="P45" s="1" t="s">
        <v>320</v>
      </c>
      <c r="Q45" s="75" t="s">
        <v>324</v>
      </c>
      <c r="R45" s="75" t="s">
        <v>324</v>
      </c>
      <c r="S45" s="75" t="s">
        <v>325</v>
      </c>
      <c r="T45" s="75" t="s">
        <v>325</v>
      </c>
      <c r="U45" s="75" t="s">
        <v>325</v>
      </c>
      <c r="V45" s="75" t="s">
        <v>325</v>
      </c>
      <c r="W45" s="75" t="s">
        <v>325</v>
      </c>
      <c r="X45" s="75" t="s">
        <v>325</v>
      </c>
      <c r="Y45" s="75" t="s">
        <v>325</v>
      </c>
      <c r="Z45" s="1" t="s">
        <v>320</v>
      </c>
      <c r="AA45" s="75" t="s">
        <v>325</v>
      </c>
      <c r="AB45" s="75" t="s">
        <v>325</v>
      </c>
      <c r="AC45" s="75" t="s">
        <v>325</v>
      </c>
      <c r="AD45" s="75" t="s">
        <v>325</v>
      </c>
      <c r="AE45" s="75" t="s">
        <v>325</v>
      </c>
      <c r="AF45" s="75" t="s">
        <v>325</v>
      </c>
      <c r="AG45" s="75" t="s">
        <v>325</v>
      </c>
      <c r="AH45" s="75" t="s">
        <v>325</v>
      </c>
      <c r="AI45" s="75" t="s">
        <v>325</v>
      </c>
      <c r="AJ45" s="75" t="s">
        <v>324</v>
      </c>
      <c r="AK45" s="75" t="s">
        <v>324</v>
      </c>
      <c r="AL45" s="75" t="s">
        <v>324</v>
      </c>
      <c r="AM45" s="75" t="s">
        <v>324</v>
      </c>
      <c r="AN45" s="75" t="s">
        <v>324</v>
      </c>
      <c r="AO45" s="75" t="s">
        <v>324</v>
      </c>
      <c r="AP45" s="75" t="s">
        <v>324</v>
      </c>
      <c r="AQ45" s="75" t="s">
        <v>324</v>
      </c>
      <c r="AR45" s="75" t="s">
        <v>324</v>
      </c>
      <c r="AS45" s="75" t="s">
        <v>325</v>
      </c>
      <c r="AT45" s="75" t="s">
        <v>325</v>
      </c>
      <c r="AU45" s="75" t="s">
        <v>325</v>
      </c>
      <c r="AV45" s="75" t="s">
        <v>325</v>
      </c>
      <c r="AW45" s="75" t="s">
        <v>325</v>
      </c>
      <c r="AX45" s="75" t="s">
        <v>325</v>
      </c>
      <c r="AY45" s="75" t="s">
        <v>325</v>
      </c>
      <c r="AZ45" s="75" t="s">
        <v>325</v>
      </c>
      <c r="BA45" s="75" t="s">
        <v>325</v>
      </c>
      <c r="BB45" s="75" t="s">
        <v>325</v>
      </c>
      <c r="BC45" s="75" t="s">
        <v>325</v>
      </c>
      <c r="BD45" s="75" t="s">
        <v>325</v>
      </c>
      <c r="BE45" s="75" t="s">
        <v>325</v>
      </c>
      <c r="BF45" s="75" t="s">
        <v>325</v>
      </c>
      <c r="BG45" s="75" t="s">
        <v>325</v>
      </c>
      <c r="BH45" s="75" t="s">
        <v>325</v>
      </c>
      <c r="BI45" s="75" t="s">
        <v>325</v>
      </c>
      <c r="BJ45" s="1" t="s">
        <v>320</v>
      </c>
      <c r="BK45" s="75" t="s">
        <v>325</v>
      </c>
      <c r="BL45" s="75" t="s">
        <v>325</v>
      </c>
      <c r="BM45" s="75" t="s">
        <v>325</v>
      </c>
      <c r="BN45" s="75" t="s">
        <v>325</v>
      </c>
      <c r="BO45" s="75" t="s">
        <v>325</v>
      </c>
      <c r="BP45" s="75" t="s">
        <v>325</v>
      </c>
    </row>
    <row r="46" customFormat="false" ht="12.75" hidden="false" customHeight="false" outlineLevel="0" collapsed="false">
      <c r="A46" s="1" t="n">
        <f aca="false">A45-1</f>
        <v>1981</v>
      </c>
      <c r="B46" s="1" t="n">
        <f aca="false">B45-1</f>
        <v>1981</v>
      </c>
      <c r="C46" s="1" t="s">
        <v>323</v>
      </c>
      <c r="D46" s="1" t="s">
        <v>323</v>
      </c>
      <c r="E46" s="1" t="s">
        <v>323</v>
      </c>
      <c r="F46" s="1" t="s">
        <v>323</v>
      </c>
      <c r="G46" s="75" t="s">
        <v>324</v>
      </c>
      <c r="H46" s="75" t="s">
        <v>324</v>
      </c>
      <c r="I46" s="75" t="s">
        <v>324</v>
      </c>
      <c r="J46" s="75" t="s">
        <v>324</v>
      </c>
      <c r="K46" s="75" t="s">
        <v>325</v>
      </c>
      <c r="L46" s="75" t="s">
        <v>325</v>
      </c>
      <c r="M46" s="75" t="s">
        <v>325</v>
      </c>
      <c r="N46" s="75" t="s">
        <v>325</v>
      </c>
      <c r="O46" s="75" t="s">
        <v>324</v>
      </c>
      <c r="P46" s="1" t="s">
        <v>320</v>
      </c>
      <c r="Q46" s="75" t="s">
        <v>324</v>
      </c>
      <c r="R46" s="75" t="s">
        <v>324</v>
      </c>
      <c r="S46" s="75" t="s">
        <v>325</v>
      </c>
      <c r="T46" s="75" t="s">
        <v>325</v>
      </c>
      <c r="U46" s="75" t="s">
        <v>325</v>
      </c>
      <c r="V46" s="75" t="s">
        <v>325</v>
      </c>
      <c r="W46" s="75" t="s">
        <v>325</v>
      </c>
      <c r="X46" s="75" t="s">
        <v>325</v>
      </c>
      <c r="Y46" s="75" t="s">
        <v>325</v>
      </c>
      <c r="Z46" s="1" t="s">
        <v>320</v>
      </c>
      <c r="AA46" s="75" t="s">
        <v>325</v>
      </c>
      <c r="AB46" s="75" t="s">
        <v>325</v>
      </c>
      <c r="AC46" s="75" t="s">
        <v>325</v>
      </c>
      <c r="AD46" s="75" t="s">
        <v>325</v>
      </c>
      <c r="AE46" s="75" t="s">
        <v>325</v>
      </c>
      <c r="AF46" s="75" t="s">
        <v>325</v>
      </c>
      <c r="AG46" s="75" t="s">
        <v>325</v>
      </c>
      <c r="AH46" s="75" t="s">
        <v>325</v>
      </c>
      <c r="AI46" s="75" t="s">
        <v>325</v>
      </c>
      <c r="AJ46" s="75" t="s">
        <v>324</v>
      </c>
      <c r="AK46" s="75" t="s">
        <v>324</v>
      </c>
      <c r="AL46" s="75" t="s">
        <v>324</v>
      </c>
      <c r="AM46" s="75" t="s">
        <v>324</v>
      </c>
      <c r="AN46" s="75" t="s">
        <v>324</v>
      </c>
      <c r="AO46" s="75" t="s">
        <v>324</v>
      </c>
      <c r="AP46" s="75" t="s">
        <v>324</v>
      </c>
      <c r="AQ46" s="75" t="s">
        <v>324</v>
      </c>
      <c r="AR46" s="75" t="s">
        <v>324</v>
      </c>
      <c r="AS46" s="75" t="s">
        <v>325</v>
      </c>
      <c r="AT46" s="75" t="s">
        <v>325</v>
      </c>
      <c r="AU46" s="75" t="s">
        <v>325</v>
      </c>
      <c r="AV46" s="75" t="s">
        <v>325</v>
      </c>
      <c r="AW46" s="75" t="s">
        <v>325</v>
      </c>
      <c r="AX46" s="75" t="s">
        <v>325</v>
      </c>
      <c r="AY46" s="75" t="s">
        <v>325</v>
      </c>
      <c r="AZ46" s="75" t="s">
        <v>325</v>
      </c>
      <c r="BA46" s="75" t="s">
        <v>325</v>
      </c>
      <c r="BB46" s="75" t="s">
        <v>325</v>
      </c>
      <c r="BC46" s="75" t="s">
        <v>325</v>
      </c>
      <c r="BD46" s="75" t="s">
        <v>325</v>
      </c>
      <c r="BE46" s="75" t="s">
        <v>325</v>
      </c>
      <c r="BF46" s="75" t="s">
        <v>325</v>
      </c>
      <c r="BG46" s="75" t="s">
        <v>325</v>
      </c>
      <c r="BH46" s="75" t="s">
        <v>325</v>
      </c>
      <c r="BI46" s="75" t="s">
        <v>325</v>
      </c>
      <c r="BJ46" s="1" t="s">
        <v>320</v>
      </c>
      <c r="BK46" s="75" t="s">
        <v>325</v>
      </c>
      <c r="BL46" s="75" t="s">
        <v>325</v>
      </c>
      <c r="BM46" s="75" t="s">
        <v>325</v>
      </c>
      <c r="BN46" s="75" t="s">
        <v>325</v>
      </c>
      <c r="BO46" s="75" t="s">
        <v>325</v>
      </c>
      <c r="BP46" s="75" t="s">
        <v>325</v>
      </c>
    </row>
    <row r="47" customFormat="false" ht="12.75" hidden="false" customHeight="false" outlineLevel="0" collapsed="false">
      <c r="A47" s="1" t="n">
        <f aca="false">A46-1</f>
        <v>1980</v>
      </c>
      <c r="B47" s="1" t="n">
        <f aca="false">B46-1</f>
        <v>1980</v>
      </c>
      <c r="C47" s="1" t="s">
        <v>323</v>
      </c>
      <c r="D47" s="1" t="s">
        <v>323</v>
      </c>
      <c r="E47" s="1" t="s">
        <v>323</v>
      </c>
      <c r="F47" s="1" t="s">
        <v>323</v>
      </c>
      <c r="G47" s="75" t="s">
        <v>324</v>
      </c>
      <c r="H47" s="75" t="s">
        <v>324</v>
      </c>
      <c r="I47" s="75" t="s">
        <v>324</v>
      </c>
      <c r="J47" s="75" t="s">
        <v>324</v>
      </c>
      <c r="K47" s="75" t="s">
        <v>325</v>
      </c>
      <c r="L47" s="75" t="s">
        <v>325</v>
      </c>
      <c r="M47" s="75" t="s">
        <v>325</v>
      </c>
      <c r="N47" s="75" t="s">
        <v>325</v>
      </c>
      <c r="O47" s="75" t="s">
        <v>324</v>
      </c>
      <c r="P47" s="1" t="s">
        <v>320</v>
      </c>
      <c r="Q47" s="75" t="s">
        <v>324</v>
      </c>
      <c r="R47" s="75" t="s">
        <v>324</v>
      </c>
      <c r="S47" s="75" t="s">
        <v>325</v>
      </c>
      <c r="T47" s="75" t="s">
        <v>325</v>
      </c>
      <c r="U47" s="75" t="s">
        <v>325</v>
      </c>
      <c r="V47" s="75" t="s">
        <v>325</v>
      </c>
      <c r="W47" s="75" t="s">
        <v>325</v>
      </c>
      <c r="X47" s="75" t="s">
        <v>325</v>
      </c>
      <c r="Y47" s="75" t="s">
        <v>325</v>
      </c>
      <c r="Z47" s="1" t="s">
        <v>320</v>
      </c>
      <c r="AA47" s="75" t="s">
        <v>325</v>
      </c>
      <c r="AB47" s="75" t="s">
        <v>325</v>
      </c>
      <c r="AC47" s="75" t="s">
        <v>325</v>
      </c>
      <c r="AD47" s="75" t="s">
        <v>325</v>
      </c>
      <c r="AE47" s="75" t="s">
        <v>325</v>
      </c>
      <c r="AF47" s="75" t="s">
        <v>325</v>
      </c>
      <c r="AG47" s="75" t="s">
        <v>325</v>
      </c>
      <c r="AH47" s="75" t="s">
        <v>325</v>
      </c>
      <c r="AI47" s="75" t="s">
        <v>325</v>
      </c>
      <c r="AJ47" s="75" t="s">
        <v>324</v>
      </c>
      <c r="AK47" s="75" t="s">
        <v>324</v>
      </c>
      <c r="AL47" s="75" t="s">
        <v>324</v>
      </c>
      <c r="AM47" s="75" t="s">
        <v>324</v>
      </c>
      <c r="AN47" s="75" t="s">
        <v>324</v>
      </c>
      <c r="AO47" s="75" t="s">
        <v>324</v>
      </c>
      <c r="AP47" s="75" t="s">
        <v>324</v>
      </c>
      <c r="AQ47" s="75" t="s">
        <v>324</v>
      </c>
      <c r="AR47" s="75" t="s">
        <v>324</v>
      </c>
      <c r="AS47" s="75" t="s">
        <v>325</v>
      </c>
      <c r="AT47" s="75" t="s">
        <v>325</v>
      </c>
      <c r="AU47" s="75" t="s">
        <v>325</v>
      </c>
      <c r="AV47" s="75" t="s">
        <v>325</v>
      </c>
      <c r="AW47" s="75" t="s">
        <v>325</v>
      </c>
      <c r="AX47" s="75" t="s">
        <v>325</v>
      </c>
      <c r="AY47" s="75" t="s">
        <v>325</v>
      </c>
      <c r="AZ47" s="75" t="s">
        <v>325</v>
      </c>
      <c r="BA47" s="75" t="s">
        <v>325</v>
      </c>
      <c r="BB47" s="75" t="s">
        <v>325</v>
      </c>
      <c r="BC47" s="75" t="s">
        <v>325</v>
      </c>
      <c r="BD47" s="75" t="s">
        <v>325</v>
      </c>
      <c r="BE47" s="75" t="s">
        <v>325</v>
      </c>
      <c r="BF47" s="75" t="s">
        <v>325</v>
      </c>
      <c r="BG47" s="75" t="s">
        <v>325</v>
      </c>
      <c r="BH47" s="75" t="s">
        <v>325</v>
      </c>
      <c r="BI47" s="75" t="s">
        <v>325</v>
      </c>
      <c r="BJ47" s="1" t="s">
        <v>320</v>
      </c>
      <c r="BK47" s="75" t="s">
        <v>325</v>
      </c>
      <c r="BL47" s="75" t="s">
        <v>325</v>
      </c>
      <c r="BM47" s="75" t="s">
        <v>325</v>
      </c>
      <c r="BN47" s="75" t="s">
        <v>325</v>
      </c>
      <c r="BO47" s="75" t="s">
        <v>325</v>
      </c>
      <c r="BP47" s="75" t="s">
        <v>325</v>
      </c>
    </row>
    <row r="48" customFormat="false" ht="12.75" hidden="false" customHeight="false" outlineLevel="0" collapsed="false">
      <c r="A48" s="1" t="n">
        <f aca="false">A47-1</f>
        <v>1979</v>
      </c>
      <c r="B48" s="1" t="n">
        <f aca="false">B47-1</f>
        <v>1979</v>
      </c>
      <c r="C48" s="1" t="s">
        <v>323</v>
      </c>
      <c r="D48" s="1" t="s">
        <v>323</v>
      </c>
      <c r="E48" s="1" t="s">
        <v>323</v>
      </c>
      <c r="F48" s="1" t="s">
        <v>323</v>
      </c>
      <c r="G48" s="75" t="s">
        <v>324</v>
      </c>
      <c r="H48" s="75" t="s">
        <v>324</v>
      </c>
      <c r="I48" s="75" t="s">
        <v>324</v>
      </c>
      <c r="J48" s="75" t="s">
        <v>324</v>
      </c>
      <c r="K48" s="75" t="s">
        <v>325</v>
      </c>
      <c r="L48" s="75" t="s">
        <v>325</v>
      </c>
      <c r="M48" s="75" t="s">
        <v>325</v>
      </c>
      <c r="N48" s="75" t="s">
        <v>325</v>
      </c>
      <c r="O48" s="75" t="s">
        <v>324</v>
      </c>
      <c r="P48" s="1" t="s">
        <v>320</v>
      </c>
      <c r="Q48" s="75" t="s">
        <v>324</v>
      </c>
      <c r="R48" s="75" t="s">
        <v>324</v>
      </c>
      <c r="S48" s="75" t="s">
        <v>325</v>
      </c>
      <c r="T48" s="75" t="s">
        <v>325</v>
      </c>
      <c r="U48" s="75" t="s">
        <v>325</v>
      </c>
      <c r="V48" s="75" t="s">
        <v>325</v>
      </c>
      <c r="W48" s="75" t="s">
        <v>325</v>
      </c>
      <c r="X48" s="75" t="s">
        <v>325</v>
      </c>
      <c r="Y48" s="75" t="s">
        <v>325</v>
      </c>
      <c r="Z48" s="1" t="s">
        <v>320</v>
      </c>
      <c r="AA48" s="75" t="s">
        <v>325</v>
      </c>
      <c r="AB48" s="75" t="s">
        <v>325</v>
      </c>
      <c r="AC48" s="75" t="s">
        <v>325</v>
      </c>
      <c r="AD48" s="75" t="s">
        <v>325</v>
      </c>
      <c r="AE48" s="75" t="s">
        <v>325</v>
      </c>
      <c r="AF48" s="75" t="s">
        <v>325</v>
      </c>
      <c r="AG48" s="75" t="s">
        <v>325</v>
      </c>
      <c r="AH48" s="75" t="s">
        <v>325</v>
      </c>
      <c r="AI48" s="75" t="s">
        <v>325</v>
      </c>
      <c r="AJ48" s="75" t="s">
        <v>324</v>
      </c>
      <c r="AK48" s="75" t="s">
        <v>324</v>
      </c>
      <c r="AL48" s="75" t="s">
        <v>324</v>
      </c>
      <c r="AM48" s="75" t="s">
        <v>324</v>
      </c>
      <c r="AN48" s="75" t="s">
        <v>324</v>
      </c>
      <c r="AO48" s="75" t="s">
        <v>324</v>
      </c>
      <c r="AP48" s="75" t="s">
        <v>324</v>
      </c>
      <c r="AQ48" s="75" t="s">
        <v>324</v>
      </c>
      <c r="AR48" s="75" t="s">
        <v>324</v>
      </c>
      <c r="AS48" s="75" t="s">
        <v>325</v>
      </c>
      <c r="AT48" s="75" t="s">
        <v>325</v>
      </c>
      <c r="AU48" s="75" t="s">
        <v>325</v>
      </c>
      <c r="AV48" s="75" t="s">
        <v>325</v>
      </c>
      <c r="AW48" s="75" t="s">
        <v>325</v>
      </c>
      <c r="AX48" s="75" t="s">
        <v>325</v>
      </c>
      <c r="AY48" s="75" t="s">
        <v>325</v>
      </c>
      <c r="AZ48" s="75" t="s">
        <v>325</v>
      </c>
      <c r="BA48" s="75" t="s">
        <v>325</v>
      </c>
      <c r="BB48" s="75" t="s">
        <v>325</v>
      </c>
      <c r="BC48" s="75" t="s">
        <v>325</v>
      </c>
      <c r="BD48" s="75" t="s">
        <v>325</v>
      </c>
      <c r="BE48" s="75" t="s">
        <v>325</v>
      </c>
      <c r="BF48" s="75" t="s">
        <v>325</v>
      </c>
      <c r="BG48" s="75" t="s">
        <v>325</v>
      </c>
      <c r="BH48" s="75" t="s">
        <v>325</v>
      </c>
      <c r="BI48" s="75" t="s">
        <v>325</v>
      </c>
      <c r="BJ48" s="1" t="s">
        <v>320</v>
      </c>
      <c r="BK48" s="75" t="s">
        <v>325</v>
      </c>
      <c r="BL48" s="75" t="s">
        <v>325</v>
      </c>
      <c r="BM48" s="75" t="s">
        <v>325</v>
      </c>
      <c r="BN48" s="75" t="s">
        <v>325</v>
      </c>
      <c r="BO48" s="75" t="s">
        <v>325</v>
      </c>
      <c r="BP48" s="75" t="s">
        <v>325</v>
      </c>
    </row>
    <row r="49" customFormat="false" ht="12.75" hidden="false" customHeight="false" outlineLevel="0" collapsed="false">
      <c r="A49" s="1" t="n">
        <f aca="false">A48-1</f>
        <v>1978</v>
      </c>
      <c r="B49" s="1" t="n">
        <f aca="false">B48-1</f>
        <v>1978</v>
      </c>
      <c r="C49" s="1" t="s">
        <v>323</v>
      </c>
      <c r="D49" s="1" t="s">
        <v>323</v>
      </c>
      <c r="E49" s="1" t="s">
        <v>323</v>
      </c>
      <c r="F49" s="1" t="s">
        <v>323</v>
      </c>
      <c r="G49" s="75" t="s">
        <v>324</v>
      </c>
      <c r="H49" s="75" t="s">
        <v>324</v>
      </c>
      <c r="I49" s="75" t="s">
        <v>324</v>
      </c>
      <c r="J49" s="75" t="s">
        <v>324</v>
      </c>
      <c r="K49" s="75" t="s">
        <v>325</v>
      </c>
      <c r="L49" s="75" t="s">
        <v>325</v>
      </c>
      <c r="M49" s="75" t="s">
        <v>325</v>
      </c>
      <c r="N49" s="75" t="s">
        <v>325</v>
      </c>
      <c r="O49" s="75" t="s">
        <v>324</v>
      </c>
      <c r="P49" s="1" t="s">
        <v>320</v>
      </c>
      <c r="Q49" s="75" t="s">
        <v>324</v>
      </c>
      <c r="R49" s="75" t="s">
        <v>324</v>
      </c>
      <c r="S49" s="75" t="s">
        <v>325</v>
      </c>
      <c r="T49" s="75" t="s">
        <v>325</v>
      </c>
      <c r="U49" s="75" t="s">
        <v>325</v>
      </c>
      <c r="V49" s="75" t="s">
        <v>325</v>
      </c>
      <c r="W49" s="75" t="s">
        <v>325</v>
      </c>
      <c r="X49" s="75" t="s">
        <v>325</v>
      </c>
      <c r="Y49" s="75" t="s">
        <v>325</v>
      </c>
      <c r="Z49" s="1" t="s">
        <v>320</v>
      </c>
      <c r="AA49" s="75" t="s">
        <v>325</v>
      </c>
      <c r="AB49" s="75" t="s">
        <v>325</v>
      </c>
      <c r="AC49" s="75" t="s">
        <v>325</v>
      </c>
      <c r="AD49" s="75" t="s">
        <v>325</v>
      </c>
      <c r="AE49" s="75" t="s">
        <v>325</v>
      </c>
      <c r="AF49" s="75" t="s">
        <v>325</v>
      </c>
      <c r="AG49" s="75" t="s">
        <v>325</v>
      </c>
      <c r="AH49" s="75" t="s">
        <v>325</v>
      </c>
      <c r="AI49" s="75" t="s">
        <v>325</v>
      </c>
      <c r="AJ49" s="75" t="s">
        <v>324</v>
      </c>
      <c r="AK49" s="75" t="s">
        <v>324</v>
      </c>
      <c r="AL49" s="75" t="s">
        <v>324</v>
      </c>
      <c r="AM49" s="75" t="s">
        <v>324</v>
      </c>
      <c r="AN49" s="75" t="s">
        <v>324</v>
      </c>
      <c r="AO49" s="75" t="s">
        <v>324</v>
      </c>
      <c r="AP49" s="75" t="s">
        <v>324</v>
      </c>
      <c r="AQ49" s="75" t="s">
        <v>324</v>
      </c>
      <c r="AR49" s="75" t="s">
        <v>324</v>
      </c>
      <c r="AS49" s="75" t="s">
        <v>325</v>
      </c>
      <c r="AT49" s="75" t="s">
        <v>325</v>
      </c>
      <c r="AU49" s="75" t="s">
        <v>325</v>
      </c>
      <c r="AV49" s="75" t="s">
        <v>325</v>
      </c>
      <c r="AW49" s="75" t="s">
        <v>325</v>
      </c>
      <c r="AX49" s="75" t="s">
        <v>325</v>
      </c>
      <c r="AY49" s="75" t="s">
        <v>325</v>
      </c>
      <c r="AZ49" s="75" t="s">
        <v>325</v>
      </c>
      <c r="BA49" s="75" t="s">
        <v>325</v>
      </c>
      <c r="BB49" s="75" t="s">
        <v>325</v>
      </c>
      <c r="BC49" s="75" t="s">
        <v>325</v>
      </c>
      <c r="BD49" s="75" t="s">
        <v>325</v>
      </c>
      <c r="BE49" s="75" t="s">
        <v>325</v>
      </c>
      <c r="BF49" s="75" t="s">
        <v>325</v>
      </c>
      <c r="BG49" s="75" t="s">
        <v>325</v>
      </c>
      <c r="BH49" s="75" t="s">
        <v>325</v>
      </c>
      <c r="BI49" s="75" t="s">
        <v>325</v>
      </c>
      <c r="BJ49" s="1" t="s">
        <v>320</v>
      </c>
      <c r="BK49" s="75" t="s">
        <v>325</v>
      </c>
      <c r="BL49" s="75" t="s">
        <v>325</v>
      </c>
      <c r="BM49" s="75" t="s">
        <v>325</v>
      </c>
      <c r="BN49" s="75" t="s">
        <v>325</v>
      </c>
      <c r="BO49" s="75" t="s">
        <v>325</v>
      </c>
      <c r="BP49" s="75" t="s">
        <v>325</v>
      </c>
    </row>
    <row r="50" customFormat="false" ht="12.75" hidden="false" customHeight="false" outlineLevel="0" collapsed="false">
      <c r="A50" s="1" t="n">
        <f aca="false">A49-1</f>
        <v>1977</v>
      </c>
      <c r="B50" s="1" t="n">
        <f aca="false">B49-1</f>
        <v>1977</v>
      </c>
      <c r="C50" s="1" t="s">
        <v>323</v>
      </c>
      <c r="D50" s="1" t="s">
        <v>323</v>
      </c>
      <c r="E50" s="1" t="s">
        <v>323</v>
      </c>
      <c r="F50" s="1" t="s">
        <v>323</v>
      </c>
      <c r="G50" s="75" t="s">
        <v>324</v>
      </c>
      <c r="H50" s="75" t="s">
        <v>324</v>
      </c>
      <c r="I50" s="75" t="s">
        <v>324</v>
      </c>
      <c r="J50" s="75" t="s">
        <v>324</v>
      </c>
      <c r="K50" s="75" t="s">
        <v>325</v>
      </c>
      <c r="L50" s="75" t="s">
        <v>325</v>
      </c>
      <c r="M50" s="75" t="s">
        <v>325</v>
      </c>
      <c r="N50" s="75" t="s">
        <v>325</v>
      </c>
      <c r="O50" s="75" t="s">
        <v>324</v>
      </c>
      <c r="P50" s="1" t="s">
        <v>320</v>
      </c>
      <c r="Q50" s="75" t="s">
        <v>324</v>
      </c>
      <c r="R50" s="75" t="s">
        <v>324</v>
      </c>
      <c r="S50" s="75" t="s">
        <v>325</v>
      </c>
      <c r="T50" s="75" t="s">
        <v>325</v>
      </c>
      <c r="U50" s="75" t="s">
        <v>325</v>
      </c>
      <c r="V50" s="75" t="s">
        <v>325</v>
      </c>
      <c r="W50" s="75" t="s">
        <v>325</v>
      </c>
      <c r="X50" s="75" t="s">
        <v>325</v>
      </c>
      <c r="Y50" s="75" t="s">
        <v>325</v>
      </c>
      <c r="Z50" s="1" t="s">
        <v>320</v>
      </c>
      <c r="AA50" s="75" t="s">
        <v>325</v>
      </c>
      <c r="AB50" s="75" t="s">
        <v>325</v>
      </c>
      <c r="AC50" s="75" t="s">
        <v>325</v>
      </c>
      <c r="AD50" s="75" t="s">
        <v>325</v>
      </c>
      <c r="AE50" s="75" t="s">
        <v>325</v>
      </c>
      <c r="AF50" s="75" t="s">
        <v>325</v>
      </c>
      <c r="AG50" s="75" t="s">
        <v>325</v>
      </c>
      <c r="AH50" s="75" t="s">
        <v>325</v>
      </c>
      <c r="AI50" s="75" t="s">
        <v>325</v>
      </c>
      <c r="AJ50" s="75" t="s">
        <v>324</v>
      </c>
      <c r="AK50" s="75" t="s">
        <v>324</v>
      </c>
      <c r="AL50" s="75" t="s">
        <v>324</v>
      </c>
      <c r="AM50" s="75" t="s">
        <v>324</v>
      </c>
      <c r="AN50" s="75" t="s">
        <v>324</v>
      </c>
      <c r="AO50" s="75" t="s">
        <v>324</v>
      </c>
      <c r="AP50" s="75" t="s">
        <v>324</v>
      </c>
      <c r="AQ50" s="75" t="s">
        <v>324</v>
      </c>
      <c r="AR50" s="75" t="s">
        <v>324</v>
      </c>
      <c r="AS50" s="75" t="s">
        <v>325</v>
      </c>
      <c r="AT50" s="75" t="s">
        <v>325</v>
      </c>
      <c r="AU50" s="75" t="s">
        <v>325</v>
      </c>
      <c r="AV50" s="75" t="s">
        <v>325</v>
      </c>
      <c r="AW50" s="75" t="s">
        <v>325</v>
      </c>
      <c r="AX50" s="75" t="s">
        <v>325</v>
      </c>
      <c r="AY50" s="75" t="s">
        <v>325</v>
      </c>
      <c r="AZ50" s="75" t="s">
        <v>325</v>
      </c>
      <c r="BA50" s="75" t="s">
        <v>325</v>
      </c>
      <c r="BB50" s="75" t="s">
        <v>325</v>
      </c>
      <c r="BC50" s="75" t="s">
        <v>325</v>
      </c>
      <c r="BD50" s="75" t="s">
        <v>325</v>
      </c>
      <c r="BE50" s="75" t="s">
        <v>325</v>
      </c>
      <c r="BF50" s="75" t="s">
        <v>325</v>
      </c>
      <c r="BG50" s="75" t="s">
        <v>325</v>
      </c>
      <c r="BH50" s="75" t="s">
        <v>325</v>
      </c>
      <c r="BI50" s="75" t="s">
        <v>325</v>
      </c>
      <c r="BJ50" s="1" t="s">
        <v>320</v>
      </c>
      <c r="BK50" s="75" t="s">
        <v>325</v>
      </c>
      <c r="BL50" s="75" t="s">
        <v>325</v>
      </c>
      <c r="BM50" s="75" t="s">
        <v>325</v>
      </c>
      <c r="BN50" s="75" t="s">
        <v>325</v>
      </c>
      <c r="BO50" s="75" t="s">
        <v>325</v>
      </c>
      <c r="BP50" s="75" t="s">
        <v>325</v>
      </c>
    </row>
    <row r="51" customFormat="false" ht="12.75" hidden="false" customHeight="false" outlineLevel="0" collapsed="false">
      <c r="A51" s="1" t="n">
        <f aca="false">A50-1</f>
        <v>1976</v>
      </c>
      <c r="B51" s="1" t="n">
        <f aca="false">B50-1</f>
        <v>1976</v>
      </c>
      <c r="C51" s="1" t="s">
        <v>323</v>
      </c>
      <c r="D51" s="1" t="s">
        <v>323</v>
      </c>
      <c r="E51" s="1" t="s">
        <v>323</v>
      </c>
      <c r="F51" s="1" t="s">
        <v>323</v>
      </c>
      <c r="G51" s="75" t="s">
        <v>324</v>
      </c>
      <c r="H51" s="75" t="s">
        <v>324</v>
      </c>
      <c r="I51" s="75" t="s">
        <v>324</v>
      </c>
      <c r="J51" s="75" t="s">
        <v>324</v>
      </c>
      <c r="K51" s="75" t="s">
        <v>325</v>
      </c>
      <c r="L51" s="75" t="s">
        <v>325</v>
      </c>
      <c r="M51" s="75" t="s">
        <v>325</v>
      </c>
      <c r="N51" s="75" t="s">
        <v>325</v>
      </c>
      <c r="O51" s="75" t="s">
        <v>324</v>
      </c>
      <c r="P51" s="1" t="s">
        <v>320</v>
      </c>
      <c r="Q51" s="75" t="s">
        <v>324</v>
      </c>
      <c r="R51" s="75" t="s">
        <v>324</v>
      </c>
      <c r="S51" s="75" t="s">
        <v>325</v>
      </c>
      <c r="T51" s="75" t="s">
        <v>325</v>
      </c>
      <c r="U51" s="75" t="s">
        <v>325</v>
      </c>
      <c r="V51" s="75" t="s">
        <v>325</v>
      </c>
      <c r="W51" s="75" t="s">
        <v>325</v>
      </c>
      <c r="X51" s="75" t="s">
        <v>325</v>
      </c>
      <c r="Y51" s="75" t="s">
        <v>325</v>
      </c>
      <c r="Z51" s="1" t="s">
        <v>320</v>
      </c>
      <c r="AA51" s="75" t="s">
        <v>325</v>
      </c>
      <c r="AB51" s="75" t="s">
        <v>325</v>
      </c>
      <c r="AC51" s="75" t="s">
        <v>325</v>
      </c>
      <c r="AD51" s="75" t="s">
        <v>325</v>
      </c>
      <c r="AE51" s="75" t="s">
        <v>325</v>
      </c>
      <c r="AF51" s="75" t="s">
        <v>325</v>
      </c>
      <c r="AG51" s="75" t="s">
        <v>325</v>
      </c>
      <c r="AH51" s="75" t="s">
        <v>325</v>
      </c>
      <c r="AI51" s="75" t="s">
        <v>325</v>
      </c>
      <c r="AJ51" s="75" t="s">
        <v>324</v>
      </c>
      <c r="AK51" s="75" t="s">
        <v>324</v>
      </c>
      <c r="AL51" s="75" t="s">
        <v>324</v>
      </c>
      <c r="AM51" s="75" t="s">
        <v>324</v>
      </c>
      <c r="AN51" s="75" t="s">
        <v>324</v>
      </c>
      <c r="AO51" s="75" t="s">
        <v>324</v>
      </c>
      <c r="AP51" s="75" t="s">
        <v>324</v>
      </c>
      <c r="AQ51" s="75" t="s">
        <v>324</v>
      </c>
      <c r="AR51" s="75" t="s">
        <v>324</v>
      </c>
      <c r="AS51" s="75" t="s">
        <v>325</v>
      </c>
      <c r="AT51" s="75" t="s">
        <v>325</v>
      </c>
      <c r="AU51" s="75" t="s">
        <v>325</v>
      </c>
      <c r="AV51" s="75" t="s">
        <v>325</v>
      </c>
      <c r="AW51" s="75" t="s">
        <v>325</v>
      </c>
      <c r="AX51" s="75" t="s">
        <v>325</v>
      </c>
      <c r="AY51" s="75" t="s">
        <v>325</v>
      </c>
      <c r="AZ51" s="75" t="s">
        <v>325</v>
      </c>
      <c r="BA51" s="75" t="s">
        <v>325</v>
      </c>
      <c r="BB51" s="75" t="s">
        <v>325</v>
      </c>
      <c r="BC51" s="75" t="s">
        <v>325</v>
      </c>
      <c r="BD51" s="75" t="s">
        <v>325</v>
      </c>
      <c r="BE51" s="75" t="s">
        <v>325</v>
      </c>
      <c r="BF51" s="75" t="s">
        <v>325</v>
      </c>
      <c r="BG51" s="75" t="s">
        <v>325</v>
      </c>
      <c r="BH51" s="75" t="s">
        <v>325</v>
      </c>
      <c r="BI51" s="75" t="s">
        <v>325</v>
      </c>
      <c r="BJ51" s="1" t="s">
        <v>320</v>
      </c>
      <c r="BK51" s="75" t="s">
        <v>325</v>
      </c>
      <c r="BL51" s="75" t="s">
        <v>325</v>
      </c>
      <c r="BM51" s="75" t="s">
        <v>325</v>
      </c>
      <c r="BN51" s="75" t="s">
        <v>325</v>
      </c>
      <c r="BO51" s="75" t="s">
        <v>325</v>
      </c>
      <c r="BP51" s="75" t="s">
        <v>325</v>
      </c>
    </row>
    <row r="52" customFormat="false" ht="12.75" hidden="false" customHeight="false" outlineLevel="0" collapsed="false">
      <c r="A52" s="1" t="n">
        <f aca="false">A51-1</f>
        <v>1975</v>
      </c>
      <c r="B52" s="1" t="n">
        <f aca="false">B51-1</f>
        <v>1975</v>
      </c>
      <c r="C52" s="1" t="s">
        <v>323</v>
      </c>
      <c r="D52" s="1" t="s">
        <v>323</v>
      </c>
      <c r="E52" s="1" t="s">
        <v>323</v>
      </c>
      <c r="F52" s="1" t="s">
        <v>323</v>
      </c>
      <c r="G52" s="75" t="s">
        <v>324</v>
      </c>
      <c r="H52" s="75" t="s">
        <v>324</v>
      </c>
      <c r="I52" s="75" t="s">
        <v>324</v>
      </c>
      <c r="J52" s="75" t="s">
        <v>324</v>
      </c>
      <c r="K52" s="75" t="s">
        <v>325</v>
      </c>
      <c r="L52" s="75" t="s">
        <v>325</v>
      </c>
      <c r="M52" s="75" t="s">
        <v>325</v>
      </c>
      <c r="N52" s="75" t="s">
        <v>325</v>
      </c>
      <c r="O52" s="75" t="s">
        <v>324</v>
      </c>
      <c r="P52" s="1" t="s">
        <v>320</v>
      </c>
      <c r="Q52" s="75" t="s">
        <v>324</v>
      </c>
      <c r="R52" s="75" t="s">
        <v>324</v>
      </c>
      <c r="S52" s="75" t="s">
        <v>325</v>
      </c>
      <c r="T52" s="75" t="s">
        <v>325</v>
      </c>
      <c r="U52" s="75" t="s">
        <v>325</v>
      </c>
      <c r="V52" s="75" t="s">
        <v>325</v>
      </c>
      <c r="W52" s="75" t="s">
        <v>325</v>
      </c>
      <c r="X52" s="75" t="s">
        <v>325</v>
      </c>
      <c r="Y52" s="75" t="s">
        <v>325</v>
      </c>
      <c r="Z52" s="1" t="s">
        <v>320</v>
      </c>
      <c r="AA52" s="75" t="s">
        <v>325</v>
      </c>
      <c r="AB52" s="75" t="s">
        <v>325</v>
      </c>
      <c r="AC52" s="75" t="s">
        <v>325</v>
      </c>
      <c r="AD52" s="75" t="s">
        <v>325</v>
      </c>
      <c r="AE52" s="75" t="s">
        <v>325</v>
      </c>
      <c r="AF52" s="75" t="s">
        <v>325</v>
      </c>
      <c r="AG52" s="75" t="s">
        <v>325</v>
      </c>
      <c r="AH52" s="75" t="s">
        <v>325</v>
      </c>
      <c r="AI52" s="75" t="s">
        <v>325</v>
      </c>
      <c r="AJ52" s="75" t="s">
        <v>324</v>
      </c>
      <c r="AK52" s="75" t="s">
        <v>324</v>
      </c>
      <c r="AL52" s="75" t="s">
        <v>324</v>
      </c>
      <c r="AM52" s="75" t="s">
        <v>324</v>
      </c>
      <c r="AN52" s="75" t="s">
        <v>324</v>
      </c>
      <c r="AO52" s="75" t="s">
        <v>324</v>
      </c>
      <c r="AP52" s="75" t="s">
        <v>324</v>
      </c>
      <c r="AQ52" s="75" t="s">
        <v>324</v>
      </c>
      <c r="AR52" s="75" t="s">
        <v>324</v>
      </c>
      <c r="AS52" s="75" t="s">
        <v>325</v>
      </c>
      <c r="AT52" s="75" t="s">
        <v>325</v>
      </c>
      <c r="AU52" s="75" t="s">
        <v>325</v>
      </c>
      <c r="AV52" s="75" t="s">
        <v>325</v>
      </c>
      <c r="AW52" s="75" t="s">
        <v>325</v>
      </c>
      <c r="AX52" s="75" t="s">
        <v>325</v>
      </c>
      <c r="AY52" s="75" t="s">
        <v>325</v>
      </c>
      <c r="AZ52" s="75" t="s">
        <v>325</v>
      </c>
      <c r="BA52" s="75" t="s">
        <v>325</v>
      </c>
      <c r="BB52" s="75" t="s">
        <v>325</v>
      </c>
      <c r="BC52" s="75" t="s">
        <v>325</v>
      </c>
      <c r="BD52" s="75" t="s">
        <v>325</v>
      </c>
      <c r="BE52" s="75" t="s">
        <v>325</v>
      </c>
      <c r="BF52" s="75" t="s">
        <v>325</v>
      </c>
      <c r="BG52" s="75" t="s">
        <v>325</v>
      </c>
      <c r="BH52" s="75" t="s">
        <v>325</v>
      </c>
      <c r="BI52" s="75" t="s">
        <v>325</v>
      </c>
      <c r="BJ52" s="1" t="s">
        <v>320</v>
      </c>
      <c r="BK52" s="75" t="s">
        <v>325</v>
      </c>
      <c r="BL52" s="75" t="s">
        <v>325</v>
      </c>
      <c r="BM52" s="75" t="s">
        <v>325</v>
      </c>
      <c r="BN52" s="75" t="s">
        <v>325</v>
      </c>
      <c r="BO52" s="75" t="s">
        <v>325</v>
      </c>
      <c r="BP52" s="75" t="s">
        <v>325</v>
      </c>
    </row>
    <row r="53" customFormat="false" ht="12.75" hidden="false" customHeight="false" outlineLevel="0" collapsed="false">
      <c r="A53" s="1" t="n">
        <f aca="false">A52-1</f>
        <v>1974</v>
      </c>
      <c r="B53" s="1" t="n">
        <f aca="false">B52-1</f>
        <v>1974</v>
      </c>
      <c r="C53" s="1" t="s">
        <v>323</v>
      </c>
      <c r="D53" s="1" t="s">
        <v>323</v>
      </c>
      <c r="E53" s="1" t="s">
        <v>323</v>
      </c>
      <c r="F53" s="1" t="s">
        <v>323</v>
      </c>
      <c r="G53" s="75" t="s">
        <v>324</v>
      </c>
      <c r="H53" s="75" t="s">
        <v>324</v>
      </c>
      <c r="I53" s="75" t="s">
        <v>324</v>
      </c>
      <c r="J53" s="75" t="s">
        <v>324</v>
      </c>
      <c r="K53" s="75" t="s">
        <v>325</v>
      </c>
      <c r="L53" s="75" t="s">
        <v>325</v>
      </c>
      <c r="M53" s="75" t="s">
        <v>325</v>
      </c>
      <c r="N53" s="75" t="s">
        <v>325</v>
      </c>
      <c r="O53" s="75" t="s">
        <v>324</v>
      </c>
      <c r="P53" s="1" t="s">
        <v>320</v>
      </c>
      <c r="Q53" s="75" t="s">
        <v>324</v>
      </c>
      <c r="R53" s="75" t="s">
        <v>324</v>
      </c>
      <c r="S53" s="75" t="s">
        <v>325</v>
      </c>
      <c r="T53" s="75" t="s">
        <v>325</v>
      </c>
      <c r="U53" s="75" t="s">
        <v>325</v>
      </c>
      <c r="V53" s="75" t="s">
        <v>325</v>
      </c>
      <c r="W53" s="75" t="s">
        <v>325</v>
      </c>
      <c r="X53" s="75" t="s">
        <v>325</v>
      </c>
      <c r="Y53" s="75" t="s">
        <v>325</v>
      </c>
      <c r="Z53" s="1" t="s">
        <v>320</v>
      </c>
      <c r="AA53" s="75" t="s">
        <v>325</v>
      </c>
      <c r="AB53" s="75" t="s">
        <v>325</v>
      </c>
      <c r="AC53" s="75" t="s">
        <v>325</v>
      </c>
      <c r="AD53" s="75" t="s">
        <v>325</v>
      </c>
      <c r="AE53" s="75" t="s">
        <v>325</v>
      </c>
      <c r="AF53" s="75" t="s">
        <v>325</v>
      </c>
      <c r="AG53" s="75" t="s">
        <v>325</v>
      </c>
      <c r="AH53" s="75" t="s">
        <v>325</v>
      </c>
      <c r="AI53" s="75" t="s">
        <v>325</v>
      </c>
      <c r="AJ53" s="75" t="s">
        <v>324</v>
      </c>
      <c r="AK53" s="75" t="s">
        <v>324</v>
      </c>
      <c r="AL53" s="75" t="s">
        <v>324</v>
      </c>
      <c r="AM53" s="75" t="s">
        <v>324</v>
      </c>
      <c r="AN53" s="75" t="s">
        <v>324</v>
      </c>
      <c r="AO53" s="75" t="s">
        <v>324</v>
      </c>
      <c r="AP53" s="75" t="s">
        <v>324</v>
      </c>
      <c r="AQ53" s="75" t="s">
        <v>324</v>
      </c>
      <c r="AR53" s="75" t="s">
        <v>324</v>
      </c>
      <c r="AS53" s="75" t="s">
        <v>325</v>
      </c>
      <c r="AT53" s="75" t="s">
        <v>325</v>
      </c>
      <c r="AU53" s="75" t="s">
        <v>325</v>
      </c>
      <c r="AV53" s="75" t="s">
        <v>325</v>
      </c>
      <c r="AW53" s="75" t="s">
        <v>325</v>
      </c>
      <c r="AX53" s="75" t="s">
        <v>325</v>
      </c>
      <c r="AY53" s="75" t="s">
        <v>325</v>
      </c>
      <c r="AZ53" s="75" t="s">
        <v>325</v>
      </c>
      <c r="BA53" s="75" t="s">
        <v>325</v>
      </c>
      <c r="BB53" s="75" t="s">
        <v>325</v>
      </c>
      <c r="BC53" s="75" t="s">
        <v>325</v>
      </c>
      <c r="BD53" s="75" t="s">
        <v>325</v>
      </c>
      <c r="BE53" s="75" t="s">
        <v>325</v>
      </c>
      <c r="BF53" s="75" t="s">
        <v>325</v>
      </c>
      <c r="BG53" s="75" t="s">
        <v>325</v>
      </c>
      <c r="BH53" s="75" t="s">
        <v>325</v>
      </c>
      <c r="BI53" s="75" t="s">
        <v>325</v>
      </c>
      <c r="BJ53" s="1" t="s">
        <v>320</v>
      </c>
      <c r="BK53" s="75" t="s">
        <v>325</v>
      </c>
      <c r="BL53" s="75" t="s">
        <v>325</v>
      </c>
      <c r="BM53" s="75" t="s">
        <v>325</v>
      </c>
      <c r="BN53" s="75" t="s">
        <v>325</v>
      </c>
      <c r="BO53" s="75" t="s">
        <v>325</v>
      </c>
      <c r="BP53" s="75" t="s">
        <v>325</v>
      </c>
    </row>
    <row r="54" customFormat="false" ht="12.75" hidden="false" customHeight="false" outlineLevel="0" collapsed="false">
      <c r="A54" s="1" t="n">
        <f aca="false">A53-1</f>
        <v>1973</v>
      </c>
      <c r="B54" s="1" t="n">
        <f aca="false">B53-1</f>
        <v>1973</v>
      </c>
      <c r="C54" s="1" t="s">
        <v>323</v>
      </c>
      <c r="D54" s="1" t="s">
        <v>323</v>
      </c>
      <c r="E54" s="1" t="s">
        <v>323</v>
      </c>
      <c r="F54" s="1" t="s">
        <v>323</v>
      </c>
      <c r="G54" s="75" t="s">
        <v>324</v>
      </c>
      <c r="H54" s="75" t="s">
        <v>324</v>
      </c>
      <c r="I54" s="75" t="s">
        <v>324</v>
      </c>
      <c r="J54" s="75" t="s">
        <v>324</v>
      </c>
      <c r="K54" s="75" t="s">
        <v>325</v>
      </c>
      <c r="L54" s="75" t="s">
        <v>325</v>
      </c>
      <c r="M54" s="75" t="s">
        <v>325</v>
      </c>
      <c r="N54" s="75" t="s">
        <v>325</v>
      </c>
      <c r="O54" s="75" t="s">
        <v>324</v>
      </c>
      <c r="P54" s="1" t="s">
        <v>320</v>
      </c>
      <c r="Q54" s="75" t="s">
        <v>324</v>
      </c>
      <c r="R54" s="75" t="s">
        <v>324</v>
      </c>
      <c r="S54" s="75" t="s">
        <v>325</v>
      </c>
      <c r="T54" s="75" t="s">
        <v>325</v>
      </c>
      <c r="U54" s="75" t="s">
        <v>325</v>
      </c>
      <c r="V54" s="75" t="s">
        <v>325</v>
      </c>
      <c r="W54" s="75" t="s">
        <v>325</v>
      </c>
      <c r="X54" s="75" t="s">
        <v>325</v>
      </c>
      <c r="Y54" s="75" t="s">
        <v>325</v>
      </c>
      <c r="Z54" s="1" t="s">
        <v>320</v>
      </c>
      <c r="AA54" s="75" t="s">
        <v>325</v>
      </c>
      <c r="AB54" s="75" t="s">
        <v>325</v>
      </c>
      <c r="AC54" s="75" t="s">
        <v>325</v>
      </c>
      <c r="AD54" s="75" t="s">
        <v>325</v>
      </c>
      <c r="AE54" s="75" t="s">
        <v>325</v>
      </c>
      <c r="AF54" s="75" t="s">
        <v>325</v>
      </c>
      <c r="AG54" s="75" t="s">
        <v>325</v>
      </c>
      <c r="AH54" s="75" t="s">
        <v>325</v>
      </c>
      <c r="AI54" s="75" t="s">
        <v>325</v>
      </c>
      <c r="AJ54" s="75" t="s">
        <v>324</v>
      </c>
      <c r="AK54" s="75" t="s">
        <v>324</v>
      </c>
      <c r="AL54" s="75" t="s">
        <v>324</v>
      </c>
      <c r="AM54" s="75" t="s">
        <v>324</v>
      </c>
      <c r="AN54" s="75" t="s">
        <v>324</v>
      </c>
      <c r="AO54" s="75" t="s">
        <v>324</v>
      </c>
      <c r="AP54" s="75" t="s">
        <v>324</v>
      </c>
      <c r="AQ54" s="75" t="s">
        <v>324</v>
      </c>
      <c r="AR54" s="75" t="s">
        <v>324</v>
      </c>
      <c r="AS54" s="75" t="s">
        <v>325</v>
      </c>
      <c r="AT54" s="75" t="s">
        <v>325</v>
      </c>
      <c r="AU54" s="75" t="s">
        <v>325</v>
      </c>
      <c r="AV54" s="75" t="s">
        <v>325</v>
      </c>
      <c r="AW54" s="75" t="s">
        <v>325</v>
      </c>
      <c r="AX54" s="75" t="s">
        <v>325</v>
      </c>
      <c r="AY54" s="75" t="s">
        <v>325</v>
      </c>
      <c r="AZ54" s="75" t="s">
        <v>325</v>
      </c>
      <c r="BA54" s="75" t="s">
        <v>325</v>
      </c>
      <c r="BB54" s="75" t="s">
        <v>325</v>
      </c>
      <c r="BC54" s="75" t="s">
        <v>325</v>
      </c>
      <c r="BD54" s="75" t="s">
        <v>325</v>
      </c>
      <c r="BE54" s="75" t="s">
        <v>325</v>
      </c>
      <c r="BF54" s="75" t="s">
        <v>325</v>
      </c>
      <c r="BG54" s="75" t="s">
        <v>325</v>
      </c>
      <c r="BH54" s="75" t="s">
        <v>325</v>
      </c>
      <c r="BI54" s="75" t="s">
        <v>325</v>
      </c>
      <c r="BJ54" s="1" t="s">
        <v>320</v>
      </c>
      <c r="BK54" s="75" t="s">
        <v>325</v>
      </c>
      <c r="BL54" s="75" t="s">
        <v>325</v>
      </c>
      <c r="BM54" s="75" t="s">
        <v>325</v>
      </c>
      <c r="BN54" s="75" t="s">
        <v>325</v>
      </c>
      <c r="BO54" s="75" t="s">
        <v>325</v>
      </c>
      <c r="BP54" s="75" t="s">
        <v>325</v>
      </c>
    </row>
    <row r="55" customFormat="false" ht="12.75" hidden="false" customHeight="false" outlineLevel="0" collapsed="false">
      <c r="A55" s="1" t="n">
        <f aca="false">A54-1</f>
        <v>1972</v>
      </c>
      <c r="B55" s="1" t="n">
        <f aca="false">B54-1</f>
        <v>1972</v>
      </c>
      <c r="C55" s="1" t="s">
        <v>323</v>
      </c>
      <c r="D55" s="1" t="s">
        <v>323</v>
      </c>
      <c r="E55" s="1" t="s">
        <v>323</v>
      </c>
      <c r="F55" s="1" t="s">
        <v>323</v>
      </c>
      <c r="G55" s="75" t="s">
        <v>324</v>
      </c>
      <c r="H55" s="75" t="s">
        <v>324</v>
      </c>
      <c r="I55" s="75" t="s">
        <v>324</v>
      </c>
      <c r="J55" s="75" t="s">
        <v>324</v>
      </c>
      <c r="K55" s="75" t="s">
        <v>325</v>
      </c>
      <c r="L55" s="75" t="s">
        <v>325</v>
      </c>
      <c r="M55" s="75" t="s">
        <v>325</v>
      </c>
      <c r="N55" s="75" t="s">
        <v>325</v>
      </c>
      <c r="O55" s="75" t="s">
        <v>324</v>
      </c>
      <c r="P55" s="1" t="s">
        <v>320</v>
      </c>
      <c r="Q55" s="75" t="s">
        <v>324</v>
      </c>
      <c r="R55" s="75" t="s">
        <v>324</v>
      </c>
      <c r="S55" s="75" t="s">
        <v>325</v>
      </c>
      <c r="T55" s="75" t="s">
        <v>325</v>
      </c>
      <c r="U55" s="75" t="s">
        <v>325</v>
      </c>
      <c r="V55" s="75" t="s">
        <v>325</v>
      </c>
      <c r="W55" s="75" t="s">
        <v>325</v>
      </c>
      <c r="X55" s="75" t="s">
        <v>325</v>
      </c>
      <c r="Y55" s="75" t="s">
        <v>325</v>
      </c>
      <c r="Z55" s="1" t="s">
        <v>320</v>
      </c>
      <c r="AA55" s="75" t="s">
        <v>325</v>
      </c>
      <c r="AB55" s="75" t="s">
        <v>325</v>
      </c>
      <c r="AC55" s="75" t="s">
        <v>325</v>
      </c>
      <c r="AD55" s="75" t="s">
        <v>325</v>
      </c>
      <c r="AE55" s="75" t="s">
        <v>325</v>
      </c>
      <c r="AF55" s="75" t="s">
        <v>325</v>
      </c>
      <c r="AG55" s="75" t="s">
        <v>325</v>
      </c>
      <c r="AH55" s="75" t="s">
        <v>325</v>
      </c>
      <c r="AI55" s="75" t="s">
        <v>325</v>
      </c>
      <c r="AJ55" s="75" t="s">
        <v>324</v>
      </c>
      <c r="AK55" s="75" t="s">
        <v>324</v>
      </c>
      <c r="AL55" s="75" t="s">
        <v>324</v>
      </c>
      <c r="AM55" s="75" t="s">
        <v>324</v>
      </c>
      <c r="AN55" s="75" t="s">
        <v>324</v>
      </c>
      <c r="AO55" s="75" t="s">
        <v>324</v>
      </c>
      <c r="AP55" s="75" t="s">
        <v>324</v>
      </c>
      <c r="AQ55" s="75" t="s">
        <v>324</v>
      </c>
      <c r="AR55" s="75" t="s">
        <v>324</v>
      </c>
      <c r="AS55" s="75" t="s">
        <v>325</v>
      </c>
      <c r="AT55" s="75" t="s">
        <v>325</v>
      </c>
      <c r="AU55" s="75" t="s">
        <v>325</v>
      </c>
      <c r="AV55" s="75" t="s">
        <v>325</v>
      </c>
      <c r="AW55" s="75" t="s">
        <v>325</v>
      </c>
      <c r="AX55" s="75" t="s">
        <v>325</v>
      </c>
      <c r="AY55" s="75" t="s">
        <v>325</v>
      </c>
      <c r="AZ55" s="75" t="s">
        <v>325</v>
      </c>
      <c r="BA55" s="75" t="s">
        <v>325</v>
      </c>
      <c r="BB55" s="75" t="s">
        <v>325</v>
      </c>
      <c r="BC55" s="75" t="s">
        <v>325</v>
      </c>
      <c r="BD55" s="75" t="s">
        <v>325</v>
      </c>
      <c r="BE55" s="75" t="s">
        <v>325</v>
      </c>
      <c r="BF55" s="75" t="s">
        <v>325</v>
      </c>
      <c r="BG55" s="75" t="s">
        <v>325</v>
      </c>
      <c r="BH55" s="75" t="s">
        <v>325</v>
      </c>
      <c r="BI55" s="75" t="s">
        <v>325</v>
      </c>
      <c r="BJ55" s="1" t="s">
        <v>320</v>
      </c>
      <c r="BK55" s="75" t="s">
        <v>325</v>
      </c>
      <c r="BL55" s="75" t="s">
        <v>325</v>
      </c>
      <c r="BM55" s="75" t="s">
        <v>325</v>
      </c>
      <c r="BN55" s="75" t="s">
        <v>325</v>
      </c>
      <c r="BO55" s="75" t="s">
        <v>325</v>
      </c>
      <c r="BP55" s="75" t="s">
        <v>325</v>
      </c>
    </row>
    <row r="56" customFormat="false" ht="12.75" hidden="false" customHeight="false" outlineLevel="0" collapsed="false">
      <c r="A56" s="1" t="n">
        <f aca="false">A55-1</f>
        <v>1971</v>
      </c>
      <c r="B56" s="1" t="n">
        <f aca="false">B55-1</f>
        <v>1971</v>
      </c>
      <c r="C56" s="1" t="s">
        <v>323</v>
      </c>
      <c r="D56" s="1" t="s">
        <v>323</v>
      </c>
      <c r="E56" s="1" t="s">
        <v>323</v>
      </c>
      <c r="F56" s="1" t="s">
        <v>323</v>
      </c>
      <c r="G56" s="75" t="s">
        <v>324</v>
      </c>
      <c r="H56" s="75" t="s">
        <v>324</v>
      </c>
      <c r="I56" s="75" t="s">
        <v>324</v>
      </c>
      <c r="J56" s="75" t="s">
        <v>324</v>
      </c>
      <c r="K56" s="75" t="s">
        <v>325</v>
      </c>
      <c r="L56" s="75" t="s">
        <v>325</v>
      </c>
      <c r="M56" s="75" t="s">
        <v>325</v>
      </c>
      <c r="N56" s="75" t="s">
        <v>325</v>
      </c>
      <c r="O56" s="75" t="s">
        <v>324</v>
      </c>
      <c r="P56" s="1" t="s">
        <v>320</v>
      </c>
      <c r="Q56" s="75" t="s">
        <v>324</v>
      </c>
      <c r="R56" s="75" t="s">
        <v>324</v>
      </c>
      <c r="S56" s="75" t="s">
        <v>325</v>
      </c>
      <c r="T56" s="75" t="s">
        <v>325</v>
      </c>
      <c r="U56" s="75" t="s">
        <v>325</v>
      </c>
      <c r="V56" s="75" t="s">
        <v>325</v>
      </c>
      <c r="W56" s="75" t="s">
        <v>325</v>
      </c>
      <c r="X56" s="75" t="s">
        <v>325</v>
      </c>
      <c r="Y56" s="75" t="s">
        <v>325</v>
      </c>
      <c r="Z56" s="1" t="s">
        <v>320</v>
      </c>
      <c r="AA56" s="75" t="s">
        <v>325</v>
      </c>
      <c r="AB56" s="75" t="s">
        <v>325</v>
      </c>
      <c r="AC56" s="75" t="s">
        <v>325</v>
      </c>
      <c r="AD56" s="75" t="s">
        <v>325</v>
      </c>
      <c r="AE56" s="75" t="s">
        <v>325</v>
      </c>
      <c r="AF56" s="75" t="s">
        <v>325</v>
      </c>
      <c r="AG56" s="75" t="s">
        <v>325</v>
      </c>
      <c r="AH56" s="75" t="s">
        <v>325</v>
      </c>
      <c r="AI56" s="75" t="s">
        <v>325</v>
      </c>
      <c r="AJ56" s="75" t="s">
        <v>324</v>
      </c>
      <c r="AK56" s="75" t="s">
        <v>324</v>
      </c>
      <c r="AL56" s="75" t="s">
        <v>324</v>
      </c>
      <c r="AM56" s="75" t="s">
        <v>324</v>
      </c>
      <c r="AN56" s="75" t="s">
        <v>324</v>
      </c>
      <c r="AO56" s="75" t="s">
        <v>324</v>
      </c>
      <c r="AP56" s="75" t="s">
        <v>324</v>
      </c>
      <c r="AQ56" s="75" t="s">
        <v>324</v>
      </c>
      <c r="AR56" s="75" t="s">
        <v>324</v>
      </c>
      <c r="AS56" s="75" t="s">
        <v>325</v>
      </c>
      <c r="AT56" s="75" t="s">
        <v>325</v>
      </c>
      <c r="AU56" s="75" t="s">
        <v>325</v>
      </c>
      <c r="AV56" s="75" t="s">
        <v>325</v>
      </c>
      <c r="AW56" s="75" t="s">
        <v>325</v>
      </c>
      <c r="AX56" s="75" t="s">
        <v>325</v>
      </c>
      <c r="AY56" s="75" t="s">
        <v>325</v>
      </c>
      <c r="AZ56" s="75" t="s">
        <v>325</v>
      </c>
      <c r="BA56" s="75" t="s">
        <v>325</v>
      </c>
      <c r="BB56" s="75" t="s">
        <v>325</v>
      </c>
      <c r="BC56" s="75" t="s">
        <v>325</v>
      </c>
      <c r="BD56" s="75" t="s">
        <v>325</v>
      </c>
      <c r="BE56" s="75" t="s">
        <v>325</v>
      </c>
      <c r="BF56" s="75" t="s">
        <v>325</v>
      </c>
      <c r="BG56" s="75" t="s">
        <v>325</v>
      </c>
      <c r="BH56" s="75" t="s">
        <v>325</v>
      </c>
      <c r="BI56" s="75" t="s">
        <v>325</v>
      </c>
      <c r="BJ56" s="1" t="s">
        <v>320</v>
      </c>
      <c r="BK56" s="75" t="s">
        <v>325</v>
      </c>
      <c r="BL56" s="75" t="s">
        <v>325</v>
      </c>
      <c r="BM56" s="75" t="s">
        <v>325</v>
      </c>
      <c r="BN56" s="75" t="s">
        <v>325</v>
      </c>
      <c r="BO56" s="75" t="s">
        <v>325</v>
      </c>
      <c r="BP56" s="75" t="s">
        <v>325</v>
      </c>
    </row>
    <row r="57" customFormat="false" ht="12.75" hidden="false" customHeight="false" outlineLevel="0" collapsed="false">
      <c r="A57" s="1" t="n">
        <f aca="false">A56-1</f>
        <v>1970</v>
      </c>
      <c r="B57" s="1" t="n">
        <f aca="false">B56-1</f>
        <v>1970</v>
      </c>
      <c r="C57" s="1" t="s">
        <v>323</v>
      </c>
      <c r="D57" s="1" t="s">
        <v>323</v>
      </c>
      <c r="E57" s="1" t="s">
        <v>323</v>
      </c>
      <c r="F57" s="1" t="s">
        <v>323</v>
      </c>
      <c r="G57" s="75" t="s">
        <v>324</v>
      </c>
      <c r="H57" s="75" t="s">
        <v>324</v>
      </c>
      <c r="I57" s="75" t="s">
        <v>324</v>
      </c>
      <c r="J57" s="75" t="s">
        <v>324</v>
      </c>
      <c r="K57" s="75" t="s">
        <v>325</v>
      </c>
      <c r="L57" s="75" t="s">
        <v>325</v>
      </c>
      <c r="M57" s="75" t="s">
        <v>325</v>
      </c>
      <c r="N57" s="75" t="s">
        <v>325</v>
      </c>
      <c r="O57" s="75" t="s">
        <v>324</v>
      </c>
      <c r="P57" s="1" t="s">
        <v>320</v>
      </c>
      <c r="Q57" s="75" t="s">
        <v>324</v>
      </c>
      <c r="R57" s="75" t="s">
        <v>324</v>
      </c>
      <c r="S57" s="75" t="s">
        <v>325</v>
      </c>
      <c r="T57" s="75" t="s">
        <v>325</v>
      </c>
      <c r="U57" s="75" t="s">
        <v>325</v>
      </c>
      <c r="V57" s="75" t="s">
        <v>325</v>
      </c>
      <c r="W57" s="75" t="s">
        <v>325</v>
      </c>
      <c r="X57" s="75" t="s">
        <v>325</v>
      </c>
      <c r="Y57" s="75" t="s">
        <v>325</v>
      </c>
      <c r="Z57" s="1" t="s">
        <v>320</v>
      </c>
      <c r="AA57" s="75" t="s">
        <v>325</v>
      </c>
      <c r="AB57" s="75" t="s">
        <v>325</v>
      </c>
      <c r="AC57" s="75" t="s">
        <v>325</v>
      </c>
      <c r="AD57" s="75" t="s">
        <v>325</v>
      </c>
      <c r="AE57" s="75" t="s">
        <v>325</v>
      </c>
      <c r="AF57" s="75" t="s">
        <v>325</v>
      </c>
      <c r="AG57" s="75" t="s">
        <v>325</v>
      </c>
      <c r="AH57" s="75" t="s">
        <v>325</v>
      </c>
      <c r="AI57" s="75" t="s">
        <v>325</v>
      </c>
      <c r="AJ57" s="75" t="s">
        <v>324</v>
      </c>
      <c r="AK57" s="75" t="s">
        <v>324</v>
      </c>
      <c r="AL57" s="75" t="s">
        <v>324</v>
      </c>
      <c r="AM57" s="75" t="s">
        <v>324</v>
      </c>
      <c r="AN57" s="75" t="s">
        <v>324</v>
      </c>
      <c r="AO57" s="75" t="s">
        <v>324</v>
      </c>
      <c r="AP57" s="75" t="s">
        <v>324</v>
      </c>
      <c r="AQ57" s="75" t="s">
        <v>324</v>
      </c>
      <c r="AR57" s="75" t="s">
        <v>324</v>
      </c>
      <c r="AS57" s="75" t="s">
        <v>325</v>
      </c>
      <c r="AT57" s="75" t="s">
        <v>325</v>
      </c>
      <c r="AU57" s="75" t="s">
        <v>325</v>
      </c>
      <c r="AV57" s="75" t="s">
        <v>325</v>
      </c>
      <c r="AW57" s="75" t="s">
        <v>325</v>
      </c>
      <c r="AX57" s="75" t="s">
        <v>325</v>
      </c>
      <c r="AY57" s="75" t="s">
        <v>325</v>
      </c>
      <c r="AZ57" s="75" t="s">
        <v>325</v>
      </c>
      <c r="BA57" s="75" t="s">
        <v>325</v>
      </c>
      <c r="BB57" s="75" t="s">
        <v>325</v>
      </c>
      <c r="BC57" s="75" t="s">
        <v>325</v>
      </c>
      <c r="BD57" s="75" t="s">
        <v>325</v>
      </c>
      <c r="BE57" s="75" t="s">
        <v>325</v>
      </c>
      <c r="BF57" s="75" t="s">
        <v>325</v>
      </c>
      <c r="BG57" s="75" t="s">
        <v>325</v>
      </c>
      <c r="BH57" s="75" t="s">
        <v>325</v>
      </c>
      <c r="BI57" s="75" t="s">
        <v>325</v>
      </c>
      <c r="BJ57" s="1" t="s">
        <v>320</v>
      </c>
      <c r="BK57" s="75" t="s">
        <v>325</v>
      </c>
      <c r="BL57" s="75" t="s">
        <v>325</v>
      </c>
      <c r="BM57" s="75" t="s">
        <v>325</v>
      </c>
      <c r="BN57" s="75" t="s">
        <v>325</v>
      </c>
      <c r="BO57" s="75" t="s">
        <v>325</v>
      </c>
      <c r="BP57" s="75" t="s">
        <v>325</v>
      </c>
    </row>
    <row r="58" customFormat="false" ht="12.75" hidden="false" customHeight="false" outlineLevel="0" collapsed="false">
      <c r="A58" s="1" t="n">
        <f aca="false">A57-1</f>
        <v>1969</v>
      </c>
      <c r="B58" s="1" t="n">
        <f aca="false">B57-1</f>
        <v>1969</v>
      </c>
      <c r="C58" s="1" t="s">
        <v>323</v>
      </c>
      <c r="D58" s="1" t="s">
        <v>323</v>
      </c>
      <c r="E58" s="1" t="s">
        <v>323</v>
      </c>
      <c r="F58" s="1" t="s">
        <v>323</v>
      </c>
      <c r="G58" s="75" t="s">
        <v>324</v>
      </c>
      <c r="H58" s="75" t="s">
        <v>324</v>
      </c>
      <c r="I58" s="75" t="s">
        <v>324</v>
      </c>
      <c r="J58" s="75" t="s">
        <v>324</v>
      </c>
      <c r="K58" s="75" t="s">
        <v>325</v>
      </c>
      <c r="L58" s="75" t="s">
        <v>325</v>
      </c>
      <c r="M58" s="75" t="s">
        <v>325</v>
      </c>
      <c r="N58" s="75" t="s">
        <v>325</v>
      </c>
      <c r="O58" s="75" t="s">
        <v>324</v>
      </c>
      <c r="P58" s="1" t="s">
        <v>320</v>
      </c>
      <c r="Q58" s="75" t="s">
        <v>324</v>
      </c>
      <c r="R58" s="75" t="s">
        <v>324</v>
      </c>
      <c r="S58" s="75" t="s">
        <v>325</v>
      </c>
      <c r="T58" s="75" t="s">
        <v>325</v>
      </c>
      <c r="U58" s="75" t="s">
        <v>325</v>
      </c>
      <c r="V58" s="75" t="s">
        <v>325</v>
      </c>
      <c r="W58" s="75" t="s">
        <v>325</v>
      </c>
      <c r="X58" s="75" t="s">
        <v>325</v>
      </c>
      <c r="Y58" s="75" t="s">
        <v>325</v>
      </c>
      <c r="Z58" s="1" t="s">
        <v>320</v>
      </c>
      <c r="AA58" s="75" t="s">
        <v>325</v>
      </c>
      <c r="AB58" s="75" t="s">
        <v>325</v>
      </c>
      <c r="AC58" s="75" t="s">
        <v>325</v>
      </c>
      <c r="AD58" s="75" t="s">
        <v>325</v>
      </c>
      <c r="AE58" s="75" t="s">
        <v>325</v>
      </c>
      <c r="AF58" s="75" t="s">
        <v>325</v>
      </c>
      <c r="AG58" s="75" t="s">
        <v>325</v>
      </c>
      <c r="AH58" s="75" t="s">
        <v>325</v>
      </c>
      <c r="AI58" s="75" t="s">
        <v>325</v>
      </c>
      <c r="AJ58" s="75" t="s">
        <v>324</v>
      </c>
      <c r="AK58" s="75" t="s">
        <v>324</v>
      </c>
      <c r="AL58" s="75" t="s">
        <v>324</v>
      </c>
      <c r="AM58" s="75" t="s">
        <v>324</v>
      </c>
      <c r="AN58" s="75" t="s">
        <v>324</v>
      </c>
      <c r="AO58" s="75" t="s">
        <v>324</v>
      </c>
      <c r="AP58" s="75" t="s">
        <v>324</v>
      </c>
      <c r="AQ58" s="75" t="s">
        <v>324</v>
      </c>
      <c r="AR58" s="75" t="s">
        <v>324</v>
      </c>
      <c r="AS58" s="75" t="s">
        <v>325</v>
      </c>
      <c r="AT58" s="75" t="s">
        <v>325</v>
      </c>
      <c r="AU58" s="75" t="s">
        <v>325</v>
      </c>
      <c r="AV58" s="75" t="s">
        <v>325</v>
      </c>
      <c r="AW58" s="75" t="s">
        <v>325</v>
      </c>
      <c r="AX58" s="75" t="s">
        <v>325</v>
      </c>
      <c r="AY58" s="75" t="s">
        <v>325</v>
      </c>
      <c r="AZ58" s="75" t="s">
        <v>325</v>
      </c>
      <c r="BA58" s="75" t="s">
        <v>325</v>
      </c>
      <c r="BB58" s="75" t="s">
        <v>325</v>
      </c>
      <c r="BC58" s="75" t="s">
        <v>325</v>
      </c>
      <c r="BD58" s="75" t="s">
        <v>325</v>
      </c>
      <c r="BE58" s="75" t="s">
        <v>325</v>
      </c>
      <c r="BF58" s="75" t="s">
        <v>325</v>
      </c>
      <c r="BG58" s="75" t="s">
        <v>325</v>
      </c>
      <c r="BH58" s="75" t="s">
        <v>325</v>
      </c>
      <c r="BI58" s="75" t="s">
        <v>325</v>
      </c>
      <c r="BJ58" s="1" t="s">
        <v>320</v>
      </c>
      <c r="BK58" s="75" t="s">
        <v>325</v>
      </c>
      <c r="BL58" s="75" t="s">
        <v>325</v>
      </c>
      <c r="BM58" s="75" t="s">
        <v>325</v>
      </c>
      <c r="BN58" s="75" t="s">
        <v>325</v>
      </c>
      <c r="BO58" s="75" t="s">
        <v>325</v>
      </c>
      <c r="BP58" s="75" t="s">
        <v>325</v>
      </c>
    </row>
    <row r="59" customFormat="false" ht="12.75" hidden="false" customHeight="false" outlineLevel="0" collapsed="false">
      <c r="A59" s="1" t="n">
        <f aca="false">A58-1</f>
        <v>1968</v>
      </c>
      <c r="B59" s="1" t="n">
        <f aca="false">B58-1</f>
        <v>1968</v>
      </c>
      <c r="C59" s="1" t="s">
        <v>323</v>
      </c>
      <c r="D59" s="1" t="s">
        <v>323</v>
      </c>
      <c r="E59" s="1" t="s">
        <v>323</v>
      </c>
      <c r="F59" s="1" t="s">
        <v>323</v>
      </c>
      <c r="G59" s="75" t="s">
        <v>324</v>
      </c>
      <c r="H59" s="75" t="s">
        <v>324</v>
      </c>
      <c r="I59" s="75" t="s">
        <v>324</v>
      </c>
      <c r="J59" s="75" t="s">
        <v>324</v>
      </c>
      <c r="K59" s="75" t="s">
        <v>325</v>
      </c>
      <c r="L59" s="75" t="s">
        <v>325</v>
      </c>
      <c r="M59" s="75" t="s">
        <v>325</v>
      </c>
      <c r="N59" s="75" t="s">
        <v>325</v>
      </c>
      <c r="O59" s="75" t="s">
        <v>324</v>
      </c>
      <c r="P59" s="1" t="s">
        <v>320</v>
      </c>
      <c r="Q59" s="75" t="s">
        <v>324</v>
      </c>
      <c r="R59" s="75" t="s">
        <v>324</v>
      </c>
      <c r="S59" s="75" t="s">
        <v>325</v>
      </c>
      <c r="T59" s="75" t="s">
        <v>325</v>
      </c>
      <c r="U59" s="75" t="s">
        <v>325</v>
      </c>
      <c r="V59" s="75" t="s">
        <v>325</v>
      </c>
      <c r="W59" s="75" t="s">
        <v>325</v>
      </c>
      <c r="X59" s="75" t="s">
        <v>325</v>
      </c>
      <c r="Y59" s="75" t="s">
        <v>325</v>
      </c>
      <c r="Z59" s="1" t="s">
        <v>320</v>
      </c>
      <c r="AA59" s="75" t="s">
        <v>325</v>
      </c>
      <c r="AB59" s="75" t="s">
        <v>325</v>
      </c>
      <c r="AC59" s="75" t="s">
        <v>325</v>
      </c>
      <c r="AD59" s="75" t="s">
        <v>325</v>
      </c>
      <c r="AE59" s="75" t="s">
        <v>325</v>
      </c>
      <c r="AF59" s="75" t="s">
        <v>325</v>
      </c>
      <c r="AG59" s="75" t="s">
        <v>325</v>
      </c>
      <c r="AH59" s="75" t="s">
        <v>325</v>
      </c>
      <c r="AI59" s="75" t="s">
        <v>325</v>
      </c>
      <c r="AJ59" s="75" t="s">
        <v>324</v>
      </c>
      <c r="AK59" s="75" t="s">
        <v>324</v>
      </c>
      <c r="AL59" s="75" t="s">
        <v>324</v>
      </c>
      <c r="AM59" s="75" t="s">
        <v>324</v>
      </c>
      <c r="AN59" s="75" t="s">
        <v>324</v>
      </c>
      <c r="AO59" s="75" t="s">
        <v>324</v>
      </c>
      <c r="AP59" s="75" t="s">
        <v>324</v>
      </c>
      <c r="AQ59" s="75" t="s">
        <v>324</v>
      </c>
      <c r="AR59" s="75" t="s">
        <v>324</v>
      </c>
      <c r="AS59" s="75" t="s">
        <v>325</v>
      </c>
      <c r="AT59" s="75" t="s">
        <v>325</v>
      </c>
      <c r="AU59" s="75" t="s">
        <v>325</v>
      </c>
      <c r="AV59" s="75" t="s">
        <v>325</v>
      </c>
      <c r="AW59" s="75" t="s">
        <v>325</v>
      </c>
      <c r="AX59" s="75" t="s">
        <v>325</v>
      </c>
      <c r="AY59" s="75" t="s">
        <v>325</v>
      </c>
      <c r="AZ59" s="75" t="s">
        <v>325</v>
      </c>
      <c r="BA59" s="75" t="s">
        <v>325</v>
      </c>
      <c r="BB59" s="75" t="s">
        <v>325</v>
      </c>
      <c r="BC59" s="75" t="s">
        <v>325</v>
      </c>
      <c r="BD59" s="75" t="s">
        <v>325</v>
      </c>
      <c r="BE59" s="75" t="s">
        <v>325</v>
      </c>
      <c r="BF59" s="75" t="s">
        <v>325</v>
      </c>
      <c r="BG59" s="75" t="s">
        <v>325</v>
      </c>
      <c r="BH59" s="75" t="s">
        <v>325</v>
      </c>
      <c r="BI59" s="75" t="s">
        <v>325</v>
      </c>
      <c r="BJ59" s="1" t="s">
        <v>320</v>
      </c>
      <c r="BK59" s="75" t="s">
        <v>325</v>
      </c>
      <c r="BL59" s="75" t="s">
        <v>325</v>
      </c>
      <c r="BM59" s="75" t="s">
        <v>325</v>
      </c>
      <c r="BN59" s="75" t="s">
        <v>325</v>
      </c>
      <c r="BO59" s="75" t="s">
        <v>325</v>
      </c>
      <c r="BP59" s="75" t="s">
        <v>325</v>
      </c>
    </row>
    <row r="60" customFormat="false" ht="12.75" hidden="false" customHeight="false" outlineLevel="0" collapsed="false">
      <c r="A60" s="1" t="n">
        <f aca="false">A59-1</f>
        <v>1967</v>
      </c>
      <c r="B60" s="1" t="n">
        <f aca="false">B59-1</f>
        <v>1967</v>
      </c>
      <c r="C60" s="1" t="s">
        <v>323</v>
      </c>
      <c r="D60" s="1" t="s">
        <v>323</v>
      </c>
      <c r="E60" s="1" t="s">
        <v>323</v>
      </c>
      <c r="F60" s="1" t="s">
        <v>323</v>
      </c>
      <c r="G60" s="75" t="s">
        <v>324</v>
      </c>
      <c r="H60" s="75" t="s">
        <v>324</v>
      </c>
      <c r="I60" s="75" t="s">
        <v>324</v>
      </c>
      <c r="J60" s="75" t="s">
        <v>324</v>
      </c>
      <c r="K60" s="75" t="s">
        <v>325</v>
      </c>
      <c r="L60" s="75" t="s">
        <v>325</v>
      </c>
      <c r="M60" s="75" t="s">
        <v>325</v>
      </c>
      <c r="N60" s="75" t="s">
        <v>325</v>
      </c>
      <c r="O60" s="75" t="s">
        <v>324</v>
      </c>
      <c r="P60" s="1" t="s">
        <v>320</v>
      </c>
      <c r="Q60" s="75" t="s">
        <v>324</v>
      </c>
      <c r="R60" s="75" t="s">
        <v>324</v>
      </c>
      <c r="S60" s="75" t="s">
        <v>325</v>
      </c>
      <c r="T60" s="75" t="s">
        <v>325</v>
      </c>
      <c r="U60" s="75" t="s">
        <v>325</v>
      </c>
      <c r="V60" s="75" t="s">
        <v>325</v>
      </c>
      <c r="W60" s="75" t="s">
        <v>325</v>
      </c>
      <c r="X60" s="75" t="s">
        <v>325</v>
      </c>
      <c r="Y60" s="75" t="s">
        <v>325</v>
      </c>
      <c r="Z60" s="1" t="s">
        <v>320</v>
      </c>
      <c r="AA60" s="75" t="s">
        <v>325</v>
      </c>
      <c r="AB60" s="75" t="s">
        <v>325</v>
      </c>
      <c r="AC60" s="75" t="s">
        <v>325</v>
      </c>
      <c r="AD60" s="75" t="s">
        <v>325</v>
      </c>
      <c r="AE60" s="75" t="s">
        <v>325</v>
      </c>
      <c r="AF60" s="75" t="s">
        <v>325</v>
      </c>
      <c r="AG60" s="75" t="s">
        <v>325</v>
      </c>
      <c r="AH60" s="75" t="s">
        <v>325</v>
      </c>
      <c r="AI60" s="75" t="s">
        <v>325</v>
      </c>
      <c r="AJ60" s="75" t="s">
        <v>324</v>
      </c>
      <c r="AK60" s="75" t="s">
        <v>324</v>
      </c>
      <c r="AL60" s="75" t="s">
        <v>324</v>
      </c>
      <c r="AM60" s="75" t="s">
        <v>324</v>
      </c>
      <c r="AN60" s="75" t="s">
        <v>324</v>
      </c>
      <c r="AO60" s="75" t="s">
        <v>324</v>
      </c>
      <c r="AP60" s="75" t="s">
        <v>324</v>
      </c>
      <c r="AQ60" s="75" t="s">
        <v>324</v>
      </c>
      <c r="AR60" s="75" t="s">
        <v>324</v>
      </c>
      <c r="AS60" s="75" t="s">
        <v>325</v>
      </c>
      <c r="AT60" s="75" t="s">
        <v>325</v>
      </c>
      <c r="AU60" s="75" t="s">
        <v>325</v>
      </c>
      <c r="AV60" s="75" t="s">
        <v>325</v>
      </c>
      <c r="AW60" s="75" t="s">
        <v>325</v>
      </c>
      <c r="AX60" s="75" t="s">
        <v>325</v>
      </c>
      <c r="AY60" s="75" t="s">
        <v>325</v>
      </c>
      <c r="AZ60" s="75" t="s">
        <v>325</v>
      </c>
      <c r="BA60" s="75" t="s">
        <v>325</v>
      </c>
      <c r="BB60" s="75" t="s">
        <v>325</v>
      </c>
      <c r="BC60" s="75" t="s">
        <v>325</v>
      </c>
      <c r="BD60" s="75" t="s">
        <v>325</v>
      </c>
      <c r="BE60" s="75" t="s">
        <v>325</v>
      </c>
      <c r="BF60" s="75" t="s">
        <v>325</v>
      </c>
      <c r="BG60" s="75" t="s">
        <v>325</v>
      </c>
      <c r="BH60" s="75" t="s">
        <v>325</v>
      </c>
      <c r="BI60" s="75" t="s">
        <v>325</v>
      </c>
      <c r="BJ60" s="1" t="s">
        <v>320</v>
      </c>
      <c r="BK60" s="75" t="s">
        <v>325</v>
      </c>
      <c r="BL60" s="75" t="s">
        <v>325</v>
      </c>
      <c r="BM60" s="75" t="s">
        <v>325</v>
      </c>
      <c r="BN60" s="75" t="s">
        <v>325</v>
      </c>
      <c r="BO60" s="75" t="s">
        <v>325</v>
      </c>
      <c r="BP60" s="75" t="s">
        <v>325</v>
      </c>
    </row>
    <row r="61" customFormat="false" ht="12.75" hidden="false" customHeight="false" outlineLevel="0" collapsed="false">
      <c r="A61" s="1" t="n">
        <f aca="false">A60-1</f>
        <v>1966</v>
      </c>
      <c r="B61" s="1" t="n">
        <f aca="false">B60-1</f>
        <v>1966</v>
      </c>
      <c r="C61" s="1" t="s">
        <v>323</v>
      </c>
      <c r="D61" s="1" t="s">
        <v>323</v>
      </c>
      <c r="E61" s="1" t="s">
        <v>323</v>
      </c>
      <c r="F61" s="1" t="s">
        <v>323</v>
      </c>
      <c r="G61" s="75" t="s">
        <v>324</v>
      </c>
      <c r="H61" s="75" t="s">
        <v>324</v>
      </c>
      <c r="I61" s="75" t="s">
        <v>324</v>
      </c>
      <c r="J61" s="75" t="s">
        <v>324</v>
      </c>
      <c r="K61" s="75" t="s">
        <v>325</v>
      </c>
      <c r="L61" s="75" t="s">
        <v>325</v>
      </c>
      <c r="M61" s="75" t="s">
        <v>325</v>
      </c>
      <c r="N61" s="75" t="s">
        <v>325</v>
      </c>
      <c r="O61" s="75" t="s">
        <v>324</v>
      </c>
      <c r="P61" s="1" t="s">
        <v>320</v>
      </c>
      <c r="Q61" s="75" t="s">
        <v>324</v>
      </c>
      <c r="R61" s="75" t="s">
        <v>324</v>
      </c>
      <c r="S61" s="75" t="s">
        <v>325</v>
      </c>
      <c r="T61" s="75" t="s">
        <v>325</v>
      </c>
      <c r="U61" s="75" t="s">
        <v>325</v>
      </c>
      <c r="V61" s="75" t="s">
        <v>325</v>
      </c>
      <c r="W61" s="75" t="s">
        <v>325</v>
      </c>
      <c r="X61" s="75" t="s">
        <v>325</v>
      </c>
      <c r="Y61" s="75" t="s">
        <v>325</v>
      </c>
      <c r="Z61" s="1" t="s">
        <v>320</v>
      </c>
      <c r="AA61" s="75" t="s">
        <v>325</v>
      </c>
      <c r="AB61" s="75" t="s">
        <v>325</v>
      </c>
      <c r="AC61" s="75" t="s">
        <v>325</v>
      </c>
      <c r="AD61" s="75" t="s">
        <v>325</v>
      </c>
      <c r="AE61" s="75" t="s">
        <v>325</v>
      </c>
      <c r="AF61" s="75" t="s">
        <v>325</v>
      </c>
      <c r="AG61" s="75" t="s">
        <v>325</v>
      </c>
      <c r="AH61" s="75" t="s">
        <v>325</v>
      </c>
      <c r="AI61" s="75" t="s">
        <v>325</v>
      </c>
      <c r="AJ61" s="75" t="s">
        <v>324</v>
      </c>
      <c r="AK61" s="75" t="s">
        <v>324</v>
      </c>
      <c r="AL61" s="75" t="s">
        <v>324</v>
      </c>
      <c r="AM61" s="75" t="s">
        <v>324</v>
      </c>
      <c r="AN61" s="75" t="s">
        <v>324</v>
      </c>
      <c r="AO61" s="75" t="s">
        <v>324</v>
      </c>
      <c r="AP61" s="75" t="s">
        <v>324</v>
      </c>
      <c r="AQ61" s="75" t="s">
        <v>324</v>
      </c>
      <c r="AR61" s="75" t="s">
        <v>324</v>
      </c>
      <c r="AS61" s="75" t="s">
        <v>325</v>
      </c>
      <c r="AT61" s="75" t="s">
        <v>325</v>
      </c>
      <c r="AU61" s="75" t="s">
        <v>325</v>
      </c>
      <c r="AV61" s="75" t="s">
        <v>325</v>
      </c>
      <c r="AW61" s="75" t="s">
        <v>325</v>
      </c>
      <c r="AX61" s="75" t="s">
        <v>325</v>
      </c>
      <c r="AY61" s="75" t="s">
        <v>325</v>
      </c>
      <c r="AZ61" s="75" t="s">
        <v>325</v>
      </c>
      <c r="BA61" s="75" t="s">
        <v>325</v>
      </c>
      <c r="BB61" s="75" t="s">
        <v>325</v>
      </c>
      <c r="BC61" s="75" t="s">
        <v>325</v>
      </c>
      <c r="BD61" s="75" t="s">
        <v>325</v>
      </c>
      <c r="BE61" s="75" t="s">
        <v>325</v>
      </c>
      <c r="BF61" s="75" t="s">
        <v>325</v>
      </c>
      <c r="BG61" s="75" t="s">
        <v>325</v>
      </c>
      <c r="BH61" s="75" t="s">
        <v>325</v>
      </c>
      <c r="BI61" s="75" t="s">
        <v>325</v>
      </c>
      <c r="BJ61" s="1" t="s">
        <v>320</v>
      </c>
      <c r="BK61" s="75" t="s">
        <v>325</v>
      </c>
      <c r="BL61" s="75" t="s">
        <v>325</v>
      </c>
      <c r="BM61" s="75" t="s">
        <v>325</v>
      </c>
      <c r="BN61" s="75" t="s">
        <v>325</v>
      </c>
      <c r="BO61" s="75" t="s">
        <v>325</v>
      </c>
      <c r="BP61" s="75" t="s">
        <v>325</v>
      </c>
    </row>
    <row r="62" customFormat="false" ht="12.75" hidden="false" customHeight="false" outlineLevel="0" collapsed="false">
      <c r="A62" s="1" t="n">
        <f aca="false">A61-1</f>
        <v>1965</v>
      </c>
      <c r="B62" s="1" t="n">
        <f aca="false">B61-1</f>
        <v>1965</v>
      </c>
      <c r="C62" s="1" t="s">
        <v>323</v>
      </c>
      <c r="D62" s="1" t="s">
        <v>323</v>
      </c>
      <c r="E62" s="1" t="s">
        <v>323</v>
      </c>
      <c r="F62" s="1" t="s">
        <v>323</v>
      </c>
      <c r="G62" s="75" t="s">
        <v>324</v>
      </c>
      <c r="H62" s="75" t="s">
        <v>324</v>
      </c>
      <c r="I62" s="75" t="s">
        <v>324</v>
      </c>
      <c r="J62" s="75" t="s">
        <v>324</v>
      </c>
      <c r="K62" s="75" t="s">
        <v>325</v>
      </c>
      <c r="L62" s="75" t="s">
        <v>325</v>
      </c>
      <c r="M62" s="75" t="s">
        <v>325</v>
      </c>
      <c r="N62" s="75" t="s">
        <v>325</v>
      </c>
      <c r="O62" s="75" t="s">
        <v>324</v>
      </c>
      <c r="P62" s="1" t="s">
        <v>320</v>
      </c>
      <c r="Q62" s="75" t="s">
        <v>324</v>
      </c>
      <c r="R62" s="75" t="s">
        <v>324</v>
      </c>
      <c r="S62" s="75" t="s">
        <v>325</v>
      </c>
      <c r="T62" s="75" t="s">
        <v>325</v>
      </c>
      <c r="U62" s="75" t="s">
        <v>325</v>
      </c>
      <c r="V62" s="75" t="s">
        <v>325</v>
      </c>
      <c r="W62" s="75" t="s">
        <v>325</v>
      </c>
      <c r="X62" s="75" t="s">
        <v>325</v>
      </c>
      <c r="Y62" s="75" t="s">
        <v>325</v>
      </c>
      <c r="Z62" s="1" t="s">
        <v>320</v>
      </c>
      <c r="AA62" s="75" t="s">
        <v>325</v>
      </c>
      <c r="AB62" s="75" t="s">
        <v>325</v>
      </c>
      <c r="AC62" s="75" t="s">
        <v>325</v>
      </c>
      <c r="AD62" s="75" t="s">
        <v>325</v>
      </c>
      <c r="AE62" s="75" t="s">
        <v>325</v>
      </c>
      <c r="AF62" s="75" t="s">
        <v>325</v>
      </c>
      <c r="AG62" s="75" t="s">
        <v>325</v>
      </c>
      <c r="AH62" s="75" t="s">
        <v>325</v>
      </c>
      <c r="AI62" s="75" t="s">
        <v>325</v>
      </c>
      <c r="AJ62" s="75" t="s">
        <v>324</v>
      </c>
      <c r="AK62" s="75" t="s">
        <v>324</v>
      </c>
      <c r="AL62" s="75" t="s">
        <v>324</v>
      </c>
      <c r="AM62" s="75" t="s">
        <v>324</v>
      </c>
      <c r="AN62" s="75" t="s">
        <v>324</v>
      </c>
      <c r="AO62" s="75" t="s">
        <v>324</v>
      </c>
      <c r="AP62" s="75" t="s">
        <v>324</v>
      </c>
      <c r="AQ62" s="75" t="s">
        <v>324</v>
      </c>
      <c r="AR62" s="75" t="s">
        <v>324</v>
      </c>
      <c r="AS62" s="75" t="s">
        <v>325</v>
      </c>
      <c r="AT62" s="75" t="s">
        <v>325</v>
      </c>
      <c r="AU62" s="75" t="s">
        <v>325</v>
      </c>
      <c r="AV62" s="75" t="s">
        <v>325</v>
      </c>
      <c r="AW62" s="75" t="s">
        <v>325</v>
      </c>
      <c r="AX62" s="75" t="s">
        <v>325</v>
      </c>
      <c r="AY62" s="75" t="s">
        <v>325</v>
      </c>
      <c r="AZ62" s="75" t="s">
        <v>325</v>
      </c>
      <c r="BA62" s="75" t="s">
        <v>325</v>
      </c>
      <c r="BB62" s="75" t="s">
        <v>325</v>
      </c>
      <c r="BC62" s="75" t="s">
        <v>325</v>
      </c>
      <c r="BD62" s="75" t="s">
        <v>325</v>
      </c>
      <c r="BE62" s="75" t="s">
        <v>325</v>
      </c>
      <c r="BF62" s="75" t="s">
        <v>325</v>
      </c>
      <c r="BG62" s="75" t="s">
        <v>325</v>
      </c>
      <c r="BH62" s="75" t="s">
        <v>325</v>
      </c>
      <c r="BI62" s="75" t="s">
        <v>325</v>
      </c>
      <c r="BJ62" s="1" t="s">
        <v>320</v>
      </c>
      <c r="BK62" s="75" t="s">
        <v>325</v>
      </c>
      <c r="BL62" s="75" t="s">
        <v>325</v>
      </c>
      <c r="BM62" s="75" t="s">
        <v>325</v>
      </c>
      <c r="BN62" s="75" t="s">
        <v>325</v>
      </c>
      <c r="BO62" s="75" t="s">
        <v>325</v>
      </c>
      <c r="BP62" s="75" t="s">
        <v>325</v>
      </c>
    </row>
    <row r="63" customFormat="false" ht="12.75" hidden="false" customHeight="false" outlineLevel="0" collapsed="false">
      <c r="A63" s="1" t="n">
        <f aca="false">A62-1</f>
        <v>1964</v>
      </c>
      <c r="B63" s="1" t="n">
        <f aca="false">B62-1</f>
        <v>1964</v>
      </c>
      <c r="C63" s="1" t="s">
        <v>323</v>
      </c>
      <c r="D63" s="1" t="s">
        <v>323</v>
      </c>
      <c r="E63" s="1" t="s">
        <v>323</v>
      </c>
      <c r="F63" s="1" t="s">
        <v>323</v>
      </c>
      <c r="G63" s="75" t="s">
        <v>324</v>
      </c>
      <c r="H63" s="75" t="s">
        <v>324</v>
      </c>
      <c r="I63" s="75" t="s">
        <v>324</v>
      </c>
      <c r="J63" s="75" t="s">
        <v>324</v>
      </c>
      <c r="K63" s="75" t="s">
        <v>325</v>
      </c>
      <c r="L63" s="75" t="s">
        <v>325</v>
      </c>
      <c r="M63" s="75" t="s">
        <v>325</v>
      </c>
      <c r="N63" s="75" t="s">
        <v>325</v>
      </c>
      <c r="O63" s="75" t="s">
        <v>324</v>
      </c>
      <c r="P63" s="1" t="s">
        <v>320</v>
      </c>
      <c r="Q63" s="75" t="s">
        <v>324</v>
      </c>
      <c r="R63" s="75" t="s">
        <v>324</v>
      </c>
      <c r="S63" s="75" t="s">
        <v>325</v>
      </c>
      <c r="T63" s="75" t="s">
        <v>325</v>
      </c>
      <c r="U63" s="75" t="s">
        <v>325</v>
      </c>
      <c r="V63" s="75" t="s">
        <v>325</v>
      </c>
      <c r="W63" s="75" t="s">
        <v>325</v>
      </c>
      <c r="X63" s="75" t="s">
        <v>325</v>
      </c>
      <c r="Y63" s="75" t="s">
        <v>325</v>
      </c>
      <c r="Z63" s="1" t="s">
        <v>320</v>
      </c>
      <c r="AA63" s="75" t="s">
        <v>325</v>
      </c>
      <c r="AB63" s="75" t="s">
        <v>325</v>
      </c>
      <c r="AC63" s="75" t="s">
        <v>325</v>
      </c>
      <c r="AD63" s="75" t="s">
        <v>325</v>
      </c>
      <c r="AE63" s="75" t="s">
        <v>325</v>
      </c>
      <c r="AF63" s="75" t="s">
        <v>325</v>
      </c>
      <c r="AG63" s="75" t="s">
        <v>325</v>
      </c>
      <c r="AH63" s="75" t="s">
        <v>325</v>
      </c>
      <c r="AI63" s="75" t="s">
        <v>325</v>
      </c>
      <c r="AJ63" s="75" t="s">
        <v>324</v>
      </c>
      <c r="AK63" s="75" t="s">
        <v>324</v>
      </c>
      <c r="AL63" s="75" t="s">
        <v>324</v>
      </c>
      <c r="AM63" s="75" t="s">
        <v>324</v>
      </c>
      <c r="AN63" s="75" t="s">
        <v>324</v>
      </c>
      <c r="AO63" s="75" t="s">
        <v>324</v>
      </c>
      <c r="AP63" s="75" t="s">
        <v>324</v>
      </c>
      <c r="AQ63" s="75" t="s">
        <v>324</v>
      </c>
      <c r="AR63" s="75" t="s">
        <v>324</v>
      </c>
      <c r="AS63" s="75" t="s">
        <v>325</v>
      </c>
      <c r="AT63" s="75" t="s">
        <v>325</v>
      </c>
      <c r="AU63" s="75" t="s">
        <v>325</v>
      </c>
      <c r="AV63" s="75" t="s">
        <v>325</v>
      </c>
      <c r="AW63" s="75" t="s">
        <v>325</v>
      </c>
      <c r="AX63" s="75" t="s">
        <v>325</v>
      </c>
      <c r="AY63" s="75" t="s">
        <v>325</v>
      </c>
      <c r="AZ63" s="75" t="s">
        <v>325</v>
      </c>
      <c r="BA63" s="75" t="s">
        <v>325</v>
      </c>
      <c r="BB63" s="75" t="s">
        <v>325</v>
      </c>
      <c r="BC63" s="75" t="s">
        <v>325</v>
      </c>
      <c r="BD63" s="75" t="s">
        <v>325</v>
      </c>
      <c r="BE63" s="75" t="s">
        <v>325</v>
      </c>
      <c r="BF63" s="75" t="s">
        <v>325</v>
      </c>
      <c r="BG63" s="75" t="s">
        <v>325</v>
      </c>
      <c r="BH63" s="75" t="s">
        <v>325</v>
      </c>
      <c r="BI63" s="75" t="s">
        <v>325</v>
      </c>
      <c r="BJ63" s="1" t="s">
        <v>320</v>
      </c>
      <c r="BK63" s="75" t="s">
        <v>325</v>
      </c>
      <c r="BL63" s="75" t="s">
        <v>325</v>
      </c>
      <c r="BM63" s="75" t="s">
        <v>325</v>
      </c>
      <c r="BN63" s="75" t="s">
        <v>325</v>
      </c>
      <c r="BO63" s="75" t="s">
        <v>325</v>
      </c>
      <c r="BP63" s="75" t="s">
        <v>325</v>
      </c>
    </row>
    <row r="64" customFormat="false" ht="12.75" hidden="false" customHeight="false" outlineLevel="0" collapsed="false">
      <c r="A64" s="1" t="n">
        <f aca="false">A63-1</f>
        <v>1963</v>
      </c>
      <c r="B64" s="1" t="n">
        <f aca="false">B63-1</f>
        <v>1963</v>
      </c>
      <c r="C64" s="1" t="s">
        <v>323</v>
      </c>
      <c r="D64" s="1" t="s">
        <v>323</v>
      </c>
      <c r="E64" s="1" t="s">
        <v>323</v>
      </c>
      <c r="F64" s="1" t="s">
        <v>323</v>
      </c>
      <c r="G64" s="75" t="s">
        <v>324</v>
      </c>
      <c r="H64" s="75" t="s">
        <v>324</v>
      </c>
      <c r="I64" s="75" t="s">
        <v>324</v>
      </c>
      <c r="J64" s="75" t="s">
        <v>324</v>
      </c>
      <c r="K64" s="75" t="s">
        <v>325</v>
      </c>
      <c r="L64" s="75" t="s">
        <v>325</v>
      </c>
      <c r="M64" s="75" t="s">
        <v>325</v>
      </c>
      <c r="N64" s="75" t="s">
        <v>325</v>
      </c>
      <c r="O64" s="75" t="s">
        <v>324</v>
      </c>
      <c r="P64" s="1" t="s">
        <v>320</v>
      </c>
      <c r="Q64" s="75" t="s">
        <v>324</v>
      </c>
      <c r="R64" s="75" t="s">
        <v>324</v>
      </c>
      <c r="S64" s="75" t="s">
        <v>325</v>
      </c>
      <c r="T64" s="75" t="s">
        <v>325</v>
      </c>
      <c r="U64" s="75" t="s">
        <v>325</v>
      </c>
      <c r="V64" s="75" t="s">
        <v>325</v>
      </c>
      <c r="W64" s="75" t="s">
        <v>325</v>
      </c>
      <c r="X64" s="75" t="s">
        <v>325</v>
      </c>
      <c r="Y64" s="75" t="s">
        <v>325</v>
      </c>
      <c r="Z64" s="1" t="s">
        <v>320</v>
      </c>
      <c r="AA64" s="75" t="s">
        <v>325</v>
      </c>
      <c r="AB64" s="75" t="s">
        <v>325</v>
      </c>
      <c r="AC64" s="75" t="s">
        <v>325</v>
      </c>
      <c r="AD64" s="75" t="s">
        <v>325</v>
      </c>
      <c r="AE64" s="75" t="s">
        <v>325</v>
      </c>
      <c r="AF64" s="75" t="s">
        <v>325</v>
      </c>
      <c r="AG64" s="75" t="s">
        <v>325</v>
      </c>
      <c r="AH64" s="75" t="s">
        <v>325</v>
      </c>
      <c r="AI64" s="75" t="s">
        <v>325</v>
      </c>
      <c r="AJ64" s="75" t="s">
        <v>324</v>
      </c>
      <c r="AK64" s="75" t="s">
        <v>324</v>
      </c>
      <c r="AL64" s="75" t="s">
        <v>324</v>
      </c>
      <c r="AM64" s="75" t="s">
        <v>324</v>
      </c>
      <c r="AN64" s="75" t="s">
        <v>324</v>
      </c>
      <c r="AO64" s="75" t="s">
        <v>324</v>
      </c>
      <c r="AP64" s="75" t="s">
        <v>324</v>
      </c>
      <c r="AQ64" s="75" t="s">
        <v>324</v>
      </c>
      <c r="AR64" s="75" t="s">
        <v>324</v>
      </c>
      <c r="AS64" s="75" t="s">
        <v>325</v>
      </c>
      <c r="AT64" s="75" t="s">
        <v>325</v>
      </c>
      <c r="AU64" s="75" t="s">
        <v>325</v>
      </c>
      <c r="AV64" s="75" t="s">
        <v>325</v>
      </c>
      <c r="AW64" s="75" t="s">
        <v>325</v>
      </c>
      <c r="AX64" s="75" t="s">
        <v>325</v>
      </c>
      <c r="AY64" s="75" t="s">
        <v>325</v>
      </c>
      <c r="AZ64" s="75" t="s">
        <v>325</v>
      </c>
      <c r="BA64" s="75" t="s">
        <v>325</v>
      </c>
      <c r="BB64" s="75" t="s">
        <v>325</v>
      </c>
      <c r="BC64" s="75" t="s">
        <v>325</v>
      </c>
      <c r="BD64" s="75" t="s">
        <v>325</v>
      </c>
      <c r="BE64" s="75" t="s">
        <v>325</v>
      </c>
      <c r="BF64" s="75" t="s">
        <v>325</v>
      </c>
      <c r="BG64" s="75" t="s">
        <v>325</v>
      </c>
      <c r="BH64" s="75" t="s">
        <v>325</v>
      </c>
      <c r="BI64" s="75" t="s">
        <v>325</v>
      </c>
      <c r="BJ64" s="1" t="s">
        <v>320</v>
      </c>
      <c r="BK64" s="75" t="s">
        <v>325</v>
      </c>
      <c r="BL64" s="75" t="s">
        <v>325</v>
      </c>
      <c r="BM64" s="75" t="s">
        <v>325</v>
      </c>
      <c r="BN64" s="75" t="s">
        <v>325</v>
      </c>
      <c r="BO64" s="75" t="s">
        <v>325</v>
      </c>
      <c r="BP64" s="75" t="s">
        <v>325</v>
      </c>
    </row>
    <row r="65" customFormat="false" ht="12.75" hidden="false" customHeight="false" outlineLevel="0" collapsed="false">
      <c r="A65" s="1" t="n">
        <f aca="false">A64-1</f>
        <v>1962</v>
      </c>
      <c r="B65" s="1" t="n">
        <f aca="false">B64-1</f>
        <v>1962</v>
      </c>
      <c r="C65" s="1" t="s">
        <v>323</v>
      </c>
      <c r="D65" s="1" t="s">
        <v>323</v>
      </c>
      <c r="E65" s="1" t="s">
        <v>323</v>
      </c>
      <c r="F65" s="1" t="s">
        <v>323</v>
      </c>
      <c r="G65" s="75" t="s">
        <v>324</v>
      </c>
      <c r="H65" s="75" t="s">
        <v>324</v>
      </c>
      <c r="I65" s="75" t="s">
        <v>324</v>
      </c>
      <c r="J65" s="75" t="s">
        <v>324</v>
      </c>
      <c r="K65" s="75" t="s">
        <v>325</v>
      </c>
      <c r="L65" s="75" t="s">
        <v>325</v>
      </c>
      <c r="M65" s="75" t="s">
        <v>325</v>
      </c>
      <c r="N65" s="75" t="s">
        <v>325</v>
      </c>
      <c r="O65" s="75" t="s">
        <v>324</v>
      </c>
      <c r="P65" s="1" t="s">
        <v>320</v>
      </c>
      <c r="Q65" s="75" t="s">
        <v>324</v>
      </c>
      <c r="R65" s="75" t="s">
        <v>324</v>
      </c>
      <c r="S65" s="75" t="s">
        <v>325</v>
      </c>
      <c r="T65" s="75" t="s">
        <v>325</v>
      </c>
      <c r="U65" s="75" t="s">
        <v>325</v>
      </c>
      <c r="V65" s="75" t="s">
        <v>325</v>
      </c>
      <c r="W65" s="75" t="s">
        <v>325</v>
      </c>
      <c r="X65" s="75" t="s">
        <v>325</v>
      </c>
      <c r="Y65" s="75" t="s">
        <v>325</v>
      </c>
      <c r="Z65" s="1" t="s">
        <v>320</v>
      </c>
      <c r="AA65" s="75" t="s">
        <v>325</v>
      </c>
      <c r="AB65" s="75" t="s">
        <v>325</v>
      </c>
      <c r="AC65" s="75" t="s">
        <v>325</v>
      </c>
      <c r="AD65" s="75" t="s">
        <v>325</v>
      </c>
      <c r="AE65" s="75" t="s">
        <v>325</v>
      </c>
      <c r="AF65" s="75" t="s">
        <v>325</v>
      </c>
      <c r="AG65" s="75" t="s">
        <v>325</v>
      </c>
      <c r="AH65" s="75" t="s">
        <v>325</v>
      </c>
      <c r="AI65" s="75" t="s">
        <v>325</v>
      </c>
      <c r="AJ65" s="75" t="s">
        <v>324</v>
      </c>
      <c r="AK65" s="75" t="s">
        <v>324</v>
      </c>
      <c r="AL65" s="75" t="s">
        <v>324</v>
      </c>
      <c r="AM65" s="75" t="s">
        <v>324</v>
      </c>
      <c r="AN65" s="75" t="s">
        <v>324</v>
      </c>
      <c r="AO65" s="75" t="s">
        <v>324</v>
      </c>
      <c r="AP65" s="75" t="s">
        <v>324</v>
      </c>
      <c r="AQ65" s="75" t="s">
        <v>324</v>
      </c>
      <c r="AR65" s="75" t="s">
        <v>324</v>
      </c>
      <c r="AS65" s="75" t="s">
        <v>325</v>
      </c>
      <c r="AT65" s="75" t="s">
        <v>325</v>
      </c>
      <c r="AU65" s="75" t="s">
        <v>325</v>
      </c>
      <c r="AV65" s="75" t="s">
        <v>325</v>
      </c>
      <c r="AW65" s="75" t="s">
        <v>325</v>
      </c>
      <c r="AX65" s="75" t="s">
        <v>325</v>
      </c>
      <c r="AY65" s="75" t="s">
        <v>325</v>
      </c>
      <c r="AZ65" s="75" t="s">
        <v>325</v>
      </c>
      <c r="BA65" s="75" t="s">
        <v>325</v>
      </c>
      <c r="BB65" s="75" t="s">
        <v>325</v>
      </c>
      <c r="BC65" s="75" t="s">
        <v>325</v>
      </c>
      <c r="BD65" s="75" t="s">
        <v>325</v>
      </c>
      <c r="BE65" s="75" t="s">
        <v>325</v>
      </c>
      <c r="BF65" s="75" t="s">
        <v>325</v>
      </c>
      <c r="BG65" s="75" t="s">
        <v>325</v>
      </c>
      <c r="BH65" s="75" t="s">
        <v>325</v>
      </c>
      <c r="BI65" s="75" t="s">
        <v>325</v>
      </c>
      <c r="BJ65" s="1" t="s">
        <v>320</v>
      </c>
      <c r="BK65" s="75" t="s">
        <v>325</v>
      </c>
      <c r="BL65" s="75" t="s">
        <v>325</v>
      </c>
      <c r="BM65" s="75" t="s">
        <v>325</v>
      </c>
      <c r="BN65" s="75" t="s">
        <v>325</v>
      </c>
      <c r="BO65" s="75" t="s">
        <v>325</v>
      </c>
      <c r="BP65" s="75" t="s">
        <v>325</v>
      </c>
    </row>
    <row r="66" customFormat="false" ht="12.75" hidden="false" customHeight="false" outlineLevel="0" collapsed="false">
      <c r="A66" s="1" t="n">
        <f aca="false">A65-1</f>
        <v>1961</v>
      </c>
      <c r="B66" s="1" t="n">
        <f aca="false">B65-1</f>
        <v>1961</v>
      </c>
      <c r="C66" s="1" t="s">
        <v>323</v>
      </c>
      <c r="D66" s="1" t="s">
        <v>323</v>
      </c>
      <c r="E66" s="1" t="s">
        <v>323</v>
      </c>
      <c r="F66" s="1" t="s">
        <v>323</v>
      </c>
      <c r="G66" s="75" t="s">
        <v>324</v>
      </c>
      <c r="H66" s="75" t="s">
        <v>324</v>
      </c>
      <c r="I66" s="75" t="s">
        <v>324</v>
      </c>
      <c r="J66" s="75" t="s">
        <v>324</v>
      </c>
      <c r="K66" s="75" t="s">
        <v>325</v>
      </c>
      <c r="L66" s="75" t="s">
        <v>325</v>
      </c>
      <c r="M66" s="75" t="s">
        <v>325</v>
      </c>
      <c r="N66" s="75" t="s">
        <v>325</v>
      </c>
      <c r="O66" s="75" t="s">
        <v>324</v>
      </c>
      <c r="P66" s="1" t="s">
        <v>320</v>
      </c>
      <c r="Q66" s="75" t="s">
        <v>324</v>
      </c>
      <c r="R66" s="75" t="s">
        <v>324</v>
      </c>
      <c r="S66" s="75" t="s">
        <v>325</v>
      </c>
      <c r="T66" s="75" t="s">
        <v>325</v>
      </c>
      <c r="U66" s="75" t="s">
        <v>325</v>
      </c>
      <c r="V66" s="75" t="s">
        <v>325</v>
      </c>
      <c r="W66" s="75" t="s">
        <v>325</v>
      </c>
      <c r="X66" s="75" t="s">
        <v>325</v>
      </c>
      <c r="Y66" s="75" t="s">
        <v>325</v>
      </c>
      <c r="Z66" s="1" t="s">
        <v>320</v>
      </c>
      <c r="AA66" s="75" t="s">
        <v>325</v>
      </c>
      <c r="AB66" s="75" t="s">
        <v>325</v>
      </c>
      <c r="AC66" s="75" t="s">
        <v>325</v>
      </c>
      <c r="AD66" s="75" t="s">
        <v>325</v>
      </c>
      <c r="AE66" s="75" t="s">
        <v>325</v>
      </c>
      <c r="AF66" s="75" t="s">
        <v>325</v>
      </c>
      <c r="AG66" s="75" t="s">
        <v>325</v>
      </c>
      <c r="AH66" s="75" t="s">
        <v>325</v>
      </c>
      <c r="AI66" s="75" t="s">
        <v>325</v>
      </c>
      <c r="AJ66" s="75" t="s">
        <v>324</v>
      </c>
      <c r="AK66" s="75" t="s">
        <v>324</v>
      </c>
      <c r="AL66" s="75" t="s">
        <v>324</v>
      </c>
      <c r="AM66" s="75" t="s">
        <v>324</v>
      </c>
      <c r="AN66" s="75" t="s">
        <v>324</v>
      </c>
      <c r="AO66" s="75" t="s">
        <v>324</v>
      </c>
      <c r="AP66" s="75" t="s">
        <v>324</v>
      </c>
      <c r="AQ66" s="75" t="s">
        <v>324</v>
      </c>
      <c r="AR66" s="75" t="s">
        <v>324</v>
      </c>
      <c r="AS66" s="75" t="s">
        <v>325</v>
      </c>
      <c r="AT66" s="75" t="s">
        <v>325</v>
      </c>
      <c r="AU66" s="75" t="s">
        <v>325</v>
      </c>
      <c r="AV66" s="75" t="s">
        <v>325</v>
      </c>
      <c r="AW66" s="75" t="s">
        <v>325</v>
      </c>
      <c r="AX66" s="75" t="s">
        <v>325</v>
      </c>
      <c r="AY66" s="75" t="s">
        <v>325</v>
      </c>
      <c r="AZ66" s="75" t="s">
        <v>325</v>
      </c>
      <c r="BA66" s="75" t="s">
        <v>325</v>
      </c>
      <c r="BB66" s="75" t="s">
        <v>325</v>
      </c>
      <c r="BC66" s="75" t="s">
        <v>325</v>
      </c>
      <c r="BD66" s="75" t="s">
        <v>325</v>
      </c>
      <c r="BE66" s="75" t="s">
        <v>325</v>
      </c>
      <c r="BF66" s="75" t="s">
        <v>325</v>
      </c>
      <c r="BG66" s="75" t="s">
        <v>325</v>
      </c>
      <c r="BH66" s="75" t="s">
        <v>325</v>
      </c>
      <c r="BI66" s="75" t="s">
        <v>325</v>
      </c>
      <c r="BJ66" s="1" t="s">
        <v>320</v>
      </c>
      <c r="BK66" s="75" t="s">
        <v>325</v>
      </c>
      <c r="BL66" s="75" t="s">
        <v>325</v>
      </c>
      <c r="BM66" s="75" t="s">
        <v>325</v>
      </c>
      <c r="BN66" s="75" t="s">
        <v>325</v>
      </c>
      <c r="BO66" s="75" t="s">
        <v>325</v>
      </c>
      <c r="BP66" s="75" t="s">
        <v>325</v>
      </c>
    </row>
    <row r="67" customFormat="false" ht="12.75" hidden="false" customHeight="false" outlineLevel="0" collapsed="false">
      <c r="A67" s="1" t="n">
        <f aca="false">A66-1</f>
        <v>1960</v>
      </c>
      <c r="B67" s="1" t="n">
        <f aca="false">B66-1</f>
        <v>1960</v>
      </c>
      <c r="C67" s="1" t="s">
        <v>323</v>
      </c>
      <c r="D67" s="1" t="s">
        <v>323</v>
      </c>
      <c r="E67" s="1" t="s">
        <v>323</v>
      </c>
      <c r="F67" s="1" t="s">
        <v>323</v>
      </c>
      <c r="G67" s="75" t="s">
        <v>324</v>
      </c>
      <c r="H67" s="75" t="s">
        <v>324</v>
      </c>
      <c r="I67" s="75" t="s">
        <v>324</v>
      </c>
      <c r="J67" s="75" t="s">
        <v>324</v>
      </c>
      <c r="K67" s="75" t="s">
        <v>325</v>
      </c>
      <c r="L67" s="75" t="s">
        <v>325</v>
      </c>
      <c r="M67" s="75" t="s">
        <v>325</v>
      </c>
      <c r="N67" s="75" t="s">
        <v>325</v>
      </c>
      <c r="O67" s="75" t="s">
        <v>324</v>
      </c>
      <c r="P67" s="1" t="s">
        <v>320</v>
      </c>
      <c r="Q67" s="75" t="s">
        <v>324</v>
      </c>
      <c r="R67" s="75" t="s">
        <v>324</v>
      </c>
      <c r="S67" s="75" t="s">
        <v>325</v>
      </c>
      <c r="T67" s="75" t="s">
        <v>325</v>
      </c>
      <c r="U67" s="75" t="s">
        <v>325</v>
      </c>
      <c r="V67" s="75" t="s">
        <v>325</v>
      </c>
      <c r="W67" s="75" t="s">
        <v>325</v>
      </c>
      <c r="X67" s="75" t="s">
        <v>325</v>
      </c>
      <c r="Y67" s="75" t="s">
        <v>325</v>
      </c>
      <c r="Z67" s="1" t="s">
        <v>320</v>
      </c>
      <c r="AA67" s="75" t="s">
        <v>325</v>
      </c>
      <c r="AB67" s="75" t="s">
        <v>325</v>
      </c>
      <c r="AC67" s="75" t="s">
        <v>325</v>
      </c>
      <c r="AD67" s="75" t="s">
        <v>325</v>
      </c>
      <c r="AE67" s="75" t="s">
        <v>325</v>
      </c>
      <c r="AF67" s="75" t="s">
        <v>325</v>
      </c>
      <c r="AG67" s="75" t="s">
        <v>325</v>
      </c>
      <c r="AH67" s="75" t="s">
        <v>325</v>
      </c>
      <c r="AI67" s="75" t="s">
        <v>325</v>
      </c>
      <c r="AJ67" s="75" t="s">
        <v>324</v>
      </c>
      <c r="AK67" s="75" t="s">
        <v>324</v>
      </c>
      <c r="AL67" s="75" t="s">
        <v>324</v>
      </c>
      <c r="AM67" s="75" t="s">
        <v>324</v>
      </c>
      <c r="AN67" s="75" t="s">
        <v>324</v>
      </c>
      <c r="AO67" s="75" t="s">
        <v>324</v>
      </c>
      <c r="AP67" s="75" t="s">
        <v>324</v>
      </c>
      <c r="AQ67" s="75" t="s">
        <v>324</v>
      </c>
      <c r="AR67" s="75" t="s">
        <v>324</v>
      </c>
      <c r="AS67" s="75" t="s">
        <v>325</v>
      </c>
      <c r="AT67" s="75" t="s">
        <v>325</v>
      </c>
      <c r="AU67" s="75" t="s">
        <v>325</v>
      </c>
      <c r="AV67" s="75" t="s">
        <v>325</v>
      </c>
      <c r="AW67" s="75" t="s">
        <v>325</v>
      </c>
      <c r="AX67" s="75" t="s">
        <v>325</v>
      </c>
      <c r="AY67" s="75" t="s">
        <v>325</v>
      </c>
      <c r="AZ67" s="75" t="s">
        <v>325</v>
      </c>
      <c r="BA67" s="75" t="s">
        <v>325</v>
      </c>
      <c r="BB67" s="75" t="s">
        <v>325</v>
      </c>
      <c r="BC67" s="75" t="s">
        <v>325</v>
      </c>
      <c r="BD67" s="75" t="s">
        <v>325</v>
      </c>
      <c r="BE67" s="75" t="s">
        <v>325</v>
      </c>
      <c r="BF67" s="75" t="s">
        <v>325</v>
      </c>
      <c r="BG67" s="75" t="s">
        <v>325</v>
      </c>
      <c r="BH67" s="75" t="s">
        <v>325</v>
      </c>
      <c r="BI67" s="75" t="s">
        <v>325</v>
      </c>
      <c r="BJ67" s="1" t="s">
        <v>320</v>
      </c>
      <c r="BK67" s="75" t="s">
        <v>325</v>
      </c>
      <c r="BL67" s="75" t="s">
        <v>325</v>
      </c>
      <c r="BM67" s="75" t="s">
        <v>325</v>
      </c>
      <c r="BN67" s="75" t="s">
        <v>325</v>
      </c>
      <c r="BO67" s="75" t="s">
        <v>325</v>
      </c>
      <c r="BP67" s="75" t="s">
        <v>325</v>
      </c>
    </row>
    <row r="68" customFormat="false" ht="12.75" hidden="false" customHeight="false" outlineLevel="0" collapsed="false">
      <c r="A68" s="1" t="n">
        <f aca="false">A67-1</f>
        <v>1959</v>
      </c>
      <c r="B68" s="1" t="n">
        <f aca="false">B67-1</f>
        <v>1959</v>
      </c>
      <c r="C68" s="1" t="s">
        <v>323</v>
      </c>
      <c r="D68" s="1" t="s">
        <v>323</v>
      </c>
      <c r="E68" s="1" t="s">
        <v>323</v>
      </c>
      <c r="F68" s="1" t="s">
        <v>323</v>
      </c>
      <c r="G68" s="75" t="s">
        <v>324</v>
      </c>
      <c r="H68" s="75" t="s">
        <v>324</v>
      </c>
      <c r="I68" s="75" t="s">
        <v>324</v>
      </c>
      <c r="J68" s="75" t="s">
        <v>324</v>
      </c>
      <c r="K68" s="75" t="s">
        <v>325</v>
      </c>
      <c r="L68" s="75" t="s">
        <v>325</v>
      </c>
      <c r="M68" s="75" t="s">
        <v>325</v>
      </c>
      <c r="N68" s="75" t="s">
        <v>325</v>
      </c>
      <c r="O68" s="75" t="s">
        <v>324</v>
      </c>
      <c r="P68" s="1" t="s">
        <v>320</v>
      </c>
      <c r="Q68" s="75" t="s">
        <v>324</v>
      </c>
      <c r="R68" s="75" t="s">
        <v>324</v>
      </c>
      <c r="S68" s="75" t="s">
        <v>325</v>
      </c>
      <c r="T68" s="75" t="s">
        <v>325</v>
      </c>
      <c r="U68" s="75" t="s">
        <v>325</v>
      </c>
      <c r="V68" s="75" t="s">
        <v>325</v>
      </c>
      <c r="W68" s="75" t="s">
        <v>325</v>
      </c>
      <c r="X68" s="75" t="s">
        <v>325</v>
      </c>
      <c r="Y68" s="75" t="s">
        <v>325</v>
      </c>
      <c r="Z68" s="1" t="s">
        <v>320</v>
      </c>
      <c r="AA68" s="75" t="s">
        <v>325</v>
      </c>
      <c r="AB68" s="75" t="s">
        <v>325</v>
      </c>
      <c r="AC68" s="75" t="s">
        <v>325</v>
      </c>
      <c r="AD68" s="75" t="s">
        <v>325</v>
      </c>
      <c r="AE68" s="75" t="s">
        <v>325</v>
      </c>
      <c r="AF68" s="75" t="s">
        <v>325</v>
      </c>
      <c r="AG68" s="75" t="s">
        <v>325</v>
      </c>
      <c r="AH68" s="75" t="s">
        <v>325</v>
      </c>
      <c r="AI68" s="75" t="s">
        <v>325</v>
      </c>
      <c r="AJ68" s="75" t="s">
        <v>324</v>
      </c>
      <c r="AK68" s="75" t="s">
        <v>324</v>
      </c>
      <c r="AL68" s="75" t="s">
        <v>324</v>
      </c>
      <c r="AM68" s="75" t="s">
        <v>324</v>
      </c>
      <c r="AN68" s="75" t="s">
        <v>324</v>
      </c>
      <c r="AO68" s="75" t="s">
        <v>324</v>
      </c>
      <c r="AP68" s="75" t="s">
        <v>324</v>
      </c>
      <c r="AQ68" s="75" t="s">
        <v>324</v>
      </c>
      <c r="AR68" s="75" t="s">
        <v>324</v>
      </c>
      <c r="AS68" s="75" t="s">
        <v>325</v>
      </c>
      <c r="AT68" s="75" t="s">
        <v>325</v>
      </c>
      <c r="AU68" s="75" t="s">
        <v>325</v>
      </c>
      <c r="AV68" s="75" t="s">
        <v>325</v>
      </c>
      <c r="AW68" s="75" t="s">
        <v>325</v>
      </c>
      <c r="AX68" s="75" t="s">
        <v>325</v>
      </c>
      <c r="AY68" s="75" t="s">
        <v>325</v>
      </c>
      <c r="AZ68" s="75" t="s">
        <v>325</v>
      </c>
      <c r="BA68" s="75" t="s">
        <v>325</v>
      </c>
      <c r="BB68" s="75" t="s">
        <v>325</v>
      </c>
      <c r="BC68" s="75" t="s">
        <v>325</v>
      </c>
      <c r="BD68" s="75" t="s">
        <v>325</v>
      </c>
      <c r="BE68" s="75" t="s">
        <v>325</v>
      </c>
      <c r="BF68" s="75" t="s">
        <v>325</v>
      </c>
      <c r="BG68" s="75" t="s">
        <v>325</v>
      </c>
      <c r="BH68" s="75" t="s">
        <v>325</v>
      </c>
      <c r="BI68" s="75" t="s">
        <v>325</v>
      </c>
      <c r="BJ68" s="1" t="s">
        <v>320</v>
      </c>
      <c r="BK68" s="75" t="s">
        <v>325</v>
      </c>
      <c r="BL68" s="75" t="s">
        <v>325</v>
      </c>
      <c r="BM68" s="75" t="s">
        <v>325</v>
      </c>
      <c r="BN68" s="75" t="s">
        <v>325</v>
      </c>
      <c r="BO68" s="75" t="s">
        <v>325</v>
      </c>
      <c r="BP68" s="75" t="s">
        <v>325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68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selection pane="topLeft" activeCell="B7" activeCellId="0" sqref="B7"/>
    </sheetView>
  </sheetViews>
  <sheetFormatPr defaultColWidth="11.71484375" defaultRowHeight="12.8" zeroHeight="false" outlineLevelRow="0" outlineLevelCol="0"/>
  <sheetData>
    <row r="1" customFormat="false" ht="12.75" hidden="false" customHeight="false" outlineLevel="0" collapsed="false">
      <c r="A1" s="6" t="s">
        <v>232</v>
      </c>
      <c r="B1" s="6" t="s">
        <v>315</v>
      </c>
      <c r="C1" s="6" t="s">
        <v>316</v>
      </c>
      <c r="D1" s="6" t="s">
        <v>317</v>
      </c>
      <c r="E1" s="6" t="s">
        <v>318</v>
      </c>
      <c r="F1" s="6" t="str">
        <f aca="false">metadata!B2</f>
        <v>PC_MINI_G</v>
      </c>
      <c r="G1" s="6" t="str">
        <f aca="false">metadata!B3</f>
        <v>PC_SMALL_G</v>
      </c>
      <c r="H1" s="6" t="str">
        <f aca="false">metadata!B4</f>
        <v>PC_MEDIUM_G</v>
      </c>
      <c r="I1" s="6" t="str">
        <f aca="false">metadata!B5</f>
        <v>PC_SUV_G</v>
      </c>
      <c r="J1" s="6" t="str">
        <f aca="false">metadata!B6</f>
        <v>PC_MINI_D</v>
      </c>
      <c r="K1" s="6" t="str">
        <f aca="false">metadata!B7</f>
        <v>PC_SMALL_D</v>
      </c>
      <c r="L1" s="6" t="str">
        <f aca="false">metadata!B8</f>
        <v>PC_MEDIUM_D</v>
      </c>
      <c r="M1" s="6" t="str">
        <f aca="false">metadata!B9</f>
        <v>PC_SUV_D</v>
      </c>
      <c r="N1" s="6" t="str">
        <f aca="false">metadata!B10</f>
        <v>PC_ELEC</v>
      </c>
      <c r="O1" s="6" t="str">
        <f aca="false">metadata!B11</f>
        <v>PC_SMALL_HY</v>
      </c>
      <c r="P1" s="6" t="str">
        <f aca="false">metadata!B12</f>
        <v>TAXI_SMALL_G</v>
      </c>
      <c r="Q1" s="6" t="str">
        <f aca="false">metadata!B13</f>
        <v>TAXI_SMALL_GLP</v>
      </c>
      <c r="R1" s="6" t="str">
        <f aca="false">metadata!B14</f>
        <v>LCV_NI_G</v>
      </c>
      <c r="S1" s="6" t="str">
        <f aca="false">metadata!B15</f>
        <v>LCV_NII_G</v>
      </c>
      <c r="T1" s="6" t="str">
        <f aca="false">metadata!B16</f>
        <v>LCV_NIII_G</v>
      </c>
      <c r="U1" s="6" t="str">
        <f aca="false">metadata!B17</f>
        <v>LCV_NI_D</v>
      </c>
      <c r="V1" s="6" t="str">
        <f aca="false">metadata!B18</f>
        <v>LCV_NII_D</v>
      </c>
      <c r="W1" s="6" t="str">
        <f aca="false">metadata!B19</f>
        <v>LCV_NIII_D</v>
      </c>
      <c r="X1" s="6" t="str">
        <f aca="false">metadata!B20</f>
        <v>LCV_ELEC</v>
      </c>
      <c r="Y1" s="6" t="str">
        <f aca="false">metadata!B21</f>
        <v>LCV_HY</v>
      </c>
      <c r="Z1" s="6" t="str">
        <f aca="false">metadata!B22</f>
        <v>TRUCKS_RT_7_D</v>
      </c>
      <c r="AA1" s="6" t="str">
        <f aca="false">metadata!B23</f>
        <v>TRUCKS_RT_7_12_D</v>
      </c>
      <c r="AB1" s="6" t="str">
        <f aca="false">metadata!B24</f>
        <v>TRUCKS_RT_12_14_D</v>
      </c>
      <c r="AC1" s="6" t="str">
        <f aca="false">metadata!B25</f>
        <v>TRUCKS_RT_14_16_D</v>
      </c>
      <c r="AD1" s="6" t="str">
        <f aca="false">metadata!B26</f>
        <v>TRUCKS_RT_16_20_D</v>
      </c>
      <c r="AE1" s="6" t="str">
        <f aca="false">metadata!B27</f>
        <v>TRUCKS_RT_20_26_D</v>
      </c>
      <c r="AF1" s="6" t="str">
        <f aca="false">metadata!B28</f>
        <v>TRUCKS_RT_26_28_D</v>
      </c>
      <c r="AG1" s="6" t="str">
        <f aca="false">metadata!B29</f>
        <v>TRUCKS_RT_28_32_D</v>
      </c>
      <c r="AH1" s="1" t="str">
        <f aca="false">metadata!B30</f>
        <v>TRUCKS_RT_32_D</v>
      </c>
      <c r="AI1" s="1" t="str">
        <f aca="false">metadata!B31</f>
        <v>TRUCKS_RT_7_G</v>
      </c>
      <c r="AJ1" s="1" t="str">
        <f aca="false">metadata!B32</f>
        <v>TRUCKS_RT_7_12_G</v>
      </c>
      <c r="AK1" s="1" t="str">
        <f aca="false">metadata!B33</f>
        <v>TRUCKS_RT_12_14_G</v>
      </c>
      <c r="AL1" s="1" t="str">
        <f aca="false">metadata!B34</f>
        <v>TRUCKS_RT_14_16_G</v>
      </c>
      <c r="AM1" s="1" t="str">
        <f aca="false">metadata!B35</f>
        <v>TRUCKS_RT_16_20_G</v>
      </c>
      <c r="AN1" s="1" t="str">
        <f aca="false">metadata!B36</f>
        <v>TRUCKS_RT_20_26_G</v>
      </c>
      <c r="AO1" s="1" t="str">
        <f aca="false">metadata!B37</f>
        <v>TRUCKS_RT_26_28_G</v>
      </c>
      <c r="AP1" s="1" t="str">
        <f aca="false">metadata!B38</f>
        <v>TRUCKS_RT_28_32_G</v>
      </c>
      <c r="AQ1" s="1" t="str">
        <f aca="false">metadata!B39</f>
        <v>TRUCKS_RT_32_G</v>
      </c>
      <c r="AR1" s="1" t="str">
        <f aca="false">metadata!B40</f>
        <v>TRUCKS_AT_16_20_D</v>
      </c>
      <c r="AS1" s="6" t="str">
        <f aca="false">metadata!B41</f>
        <v>TRUCKS_AT_20_28_D</v>
      </c>
      <c r="AT1" s="6" t="str">
        <f aca="false">metadata!B42</f>
        <v>TRUCKS_AT_28_34_D</v>
      </c>
      <c r="AU1" s="1" t="str">
        <f aca="false">metadata!B43</f>
        <v>TRUCKS_AT_34_40_D</v>
      </c>
      <c r="AV1" s="1" t="str">
        <f aca="false">metadata!B44</f>
        <v>TRUCKS_AT_40_50_D</v>
      </c>
      <c r="AW1" s="1" t="str">
        <f aca="false">metadata!B45</f>
        <v>TRUCKS_AT_50_60_D</v>
      </c>
      <c r="AX1" s="1" t="str">
        <f aca="false">metadata!B46</f>
        <v>TRUCKS_ELEC</v>
      </c>
      <c r="AY1" s="1" t="str">
        <f aca="false">metadata!B47</f>
        <v>BUS_UB_15_D</v>
      </c>
      <c r="AZ1" s="1" t="str">
        <f aca="false">metadata!B48</f>
        <v>BUS_UB_15_18_D</v>
      </c>
      <c r="BA1" s="1" t="str">
        <f aca="false">metadata!B49</f>
        <v>BUS_UB_18_D</v>
      </c>
      <c r="BB1" s="1" t="str">
        <f aca="false">metadata!B50</f>
        <v>BUS_UB_15_G</v>
      </c>
      <c r="BC1" s="1" t="str">
        <f aca="false">metadata!B51</f>
        <v>BUS_UB_15_18_G</v>
      </c>
      <c r="BD1" s="1" t="str">
        <f aca="false">metadata!B52</f>
        <v>BUS_UB_18_G</v>
      </c>
      <c r="BE1" s="1" t="str">
        <f aca="false">metadata!B53</f>
        <v>BUS_COACH_17_D</v>
      </c>
      <c r="BF1" s="1" t="str">
        <f aca="false">metadata!B54</f>
        <v>BUS_COACH_18_D</v>
      </c>
      <c r="BG1" s="1" t="str">
        <f aca="false">metadata!B55</f>
        <v>BUS_COACH_17_G</v>
      </c>
      <c r="BH1" s="1" t="str">
        <f aca="false">metadata!B56</f>
        <v>BUS_COACH_18_G</v>
      </c>
      <c r="BI1" s="1" t="str">
        <f aca="false">metadata!B57</f>
        <v>BUS_UB_15_HY</v>
      </c>
      <c r="BJ1" s="1" t="str">
        <f aca="false">metadata!B58</f>
        <v>BUS_ELEC</v>
      </c>
      <c r="BK1" s="1" t="str">
        <f aca="false">metadata!B59</f>
        <v>MC_2S_50_G</v>
      </c>
      <c r="BL1" s="1" t="str">
        <f aca="false">metadata!B60</f>
        <v>MC_4S_50_250_G</v>
      </c>
      <c r="BM1" s="1" t="str">
        <f aca="false">metadata!B61</f>
        <v>MC_4S_250_750_G</v>
      </c>
      <c r="BN1" s="1" t="str">
        <f aca="false">metadata!B62</f>
        <v>MC_4S_750_G</v>
      </c>
      <c r="BO1" s="1" t="str">
        <f aca="false">metadata!B63</f>
        <v>MC_ELEC</v>
      </c>
    </row>
    <row r="2" customFormat="false" ht="12.75" hidden="false" customHeight="false" outlineLevel="0" collapsed="false">
      <c r="A2" s="6" t="n">
        <v>2025</v>
      </c>
      <c r="B2" s="1" t="s">
        <v>319</v>
      </c>
      <c r="C2" s="1" t="s">
        <v>319</v>
      </c>
      <c r="D2" s="1" t="n">
        <v>3</v>
      </c>
      <c r="E2" s="1" t="n">
        <v>3</v>
      </c>
      <c r="F2" s="1" t="str">
        <f aca="false">$B2</f>
        <v>III</v>
      </c>
      <c r="G2" s="1" t="str">
        <f aca="false">$B2</f>
        <v>III</v>
      </c>
      <c r="H2" s="1" t="str">
        <f aca="false">$B2</f>
        <v>III</v>
      </c>
      <c r="I2" s="1" t="str">
        <f aca="false">$B2</f>
        <v>III</v>
      </c>
      <c r="J2" s="1" t="str">
        <f aca="false">$B2</f>
        <v>III</v>
      </c>
      <c r="K2" s="1" t="str">
        <f aca="false">$B2</f>
        <v>III</v>
      </c>
      <c r="L2" s="1" t="str">
        <f aca="false">$B2</f>
        <v>III</v>
      </c>
      <c r="M2" s="1" t="str">
        <f aca="false">$B2</f>
        <v>III</v>
      </c>
      <c r="N2" s="1" t="str">
        <f aca="false">$B2</f>
        <v>III</v>
      </c>
      <c r="O2" s="1" t="str">
        <f aca="false">$B2</f>
        <v>III</v>
      </c>
      <c r="P2" s="1" t="str">
        <f aca="false">$B2</f>
        <v>III</v>
      </c>
      <c r="Q2" s="1" t="str">
        <f aca="false">$B2</f>
        <v>III</v>
      </c>
      <c r="R2" s="1" t="str">
        <f aca="false">$B2</f>
        <v>III</v>
      </c>
      <c r="S2" s="1" t="str">
        <f aca="false">$B2</f>
        <v>III</v>
      </c>
      <c r="T2" s="1" t="str">
        <f aca="false">$B2</f>
        <v>III</v>
      </c>
      <c r="U2" s="1" t="str">
        <f aca="false">$B2</f>
        <v>III</v>
      </c>
      <c r="V2" s="1" t="str">
        <f aca="false">$B2</f>
        <v>III</v>
      </c>
      <c r="W2" s="1" t="str">
        <f aca="false">$B2</f>
        <v>III</v>
      </c>
      <c r="X2" s="1" t="str">
        <f aca="false">$B2</f>
        <v>III</v>
      </c>
      <c r="Y2" s="1" t="str">
        <f aca="false">$B2</f>
        <v>III</v>
      </c>
      <c r="Z2" s="1" t="str">
        <f aca="false">$B2</f>
        <v>III</v>
      </c>
      <c r="AA2" s="1" t="str">
        <f aca="false">$B2</f>
        <v>III</v>
      </c>
      <c r="AB2" s="1" t="str">
        <f aca="false">$B2</f>
        <v>III</v>
      </c>
      <c r="AC2" s="1" t="str">
        <f aca="false">$B2</f>
        <v>III</v>
      </c>
      <c r="AD2" s="1" t="str">
        <f aca="false">$B2</f>
        <v>III</v>
      </c>
      <c r="AE2" s="1" t="str">
        <f aca="false">$B2</f>
        <v>III</v>
      </c>
      <c r="AF2" s="1" t="str">
        <f aca="false">$B2</f>
        <v>III</v>
      </c>
      <c r="AG2" s="1" t="str">
        <f aca="false">$B2</f>
        <v>III</v>
      </c>
      <c r="AH2" s="1" t="str">
        <f aca="false">$B2</f>
        <v>III</v>
      </c>
      <c r="AI2" s="1" t="str">
        <f aca="false">$B2</f>
        <v>III</v>
      </c>
      <c r="AJ2" s="1" t="str">
        <f aca="false">$B2</f>
        <v>III</v>
      </c>
      <c r="AK2" s="1" t="str">
        <f aca="false">$B2</f>
        <v>III</v>
      </c>
      <c r="AL2" s="1" t="str">
        <f aca="false">$B2</f>
        <v>III</v>
      </c>
      <c r="AM2" s="1" t="str">
        <f aca="false">$B2</f>
        <v>III</v>
      </c>
      <c r="AN2" s="1" t="str">
        <f aca="false">$B2</f>
        <v>III</v>
      </c>
      <c r="AO2" s="1" t="str">
        <f aca="false">$B2</f>
        <v>III</v>
      </c>
      <c r="AP2" s="1" t="str">
        <f aca="false">$B2</f>
        <v>III</v>
      </c>
      <c r="AQ2" s="1" t="str">
        <f aca="false">$B2</f>
        <v>III</v>
      </c>
      <c r="AR2" s="1" t="str">
        <f aca="false">$B2</f>
        <v>III</v>
      </c>
      <c r="AS2" s="1" t="str">
        <f aca="false">$B2</f>
        <v>III</v>
      </c>
      <c r="AT2" s="1" t="str">
        <f aca="false">$B2</f>
        <v>III</v>
      </c>
      <c r="AU2" s="1" t="str">
        <f aca="false">$B2</f>
        <v>III</v>
      </c>
      <c r="AV2" s="1" t="str">
        <f aca="false">$B2</f>
        <v>III</v>
      </c>
      <c r="AW2" s="1" t="str">
        <f aca="false">$B2</f>
        <v>III</v>
      </c>
      <c r="AX2" s="1" t="str">
        <f aca="false">$B2</f>
        <v>III</v>
      </c>
      <c r="AY2" s="1" t="str">
        <f aca="false">$B2</f>
        <v>III</v>
      </c>
      <c r="AZ2" s="1" t="str">
        <f aca="false">$B2</f>
        <v>III</v>
      </c>
      <c r="BA2" s="1" t="str">
        <f aca="false">$B2</f>
        <v>III</v>
      </c>
      <c r="BB2" s="1" t="str">
        <f aca="false">$B2</f>
        <v>III</v>
      </c>
      <c r="BC2" s="1" t="str">
        <f aca="false">$B2</f>
        <v>III</v>
      </c>
      <c r="BD2" s="1" t="str">
        <f aca="false">$B2</f>
        <v>III</v>
      </c>
      <c r="BE2" s="1" t="str">
        <f aca="false">$B2</f>
        <v>III</v>
      </c>
      <c r="BF2" s="1" t="str">
        <f aca="false">$B2</f>
        <v>III</v>
      </c>
      <c r="BG2" s="1" t="str">
        <f aca="false">$B2</f>
        <v>III</v>
      </c>
      <c r="BH2" s="1" t="str">
        <f aca="false">$B2</f>
        <v>III</v>
      </c>
      <c r="BI2" s="1" t="str">
        <f aca="false">$B2</f>
        <v>III</v>
      </c>
      <c r="BJ2" s="1" t="str">
        <f aca="false">$B2</f>
        <v>III</v>
      </c>
      <c r="BK2" s="1" t="str">
        <f aca="false">$B2</f>
        <v>III</v>
      </c>
      <c r="BL2" s="1" t="str">
        <f aca="false">$B2</f>
        <v>III</v>
      </c>
      <c r="BM2" s="1" t="str">
        <f aca="false">$B2</f>
        <v>III</v>
      </c>
      <c r="BN2" s="1" t="str">
        <f aca="false">$B2</f>
        <v>III</v>
      </c>
      <c r="BO2" s="1" t="str">
        <f aca="false">$B2</f>
        <v>III</v>
      </c>
    </row>
    <row r="3" customFormat="false" ht="12.75" hidden="false" customHeight="false" outlineLevel="0" collapsed="false">
      <c r="A3" s="6" t="n">
        <v>2024</v>
      </c>
      <c r="B3" s="1" t="s">
        <v>319</v>
      </c>
      <c r="C3" s="1" t="s">
        <v>319</v>
      </c>
      <c r="D3" s="1" t="n">
        <v>3</v>
      </c>
      <c r="E3" s="1" t="n">
        <v>3</v>
      </c>
      <c r="F3" s="1" t="str">
        <f aca="false">$B3</f>
        <v>III</v>
      </c>
      <c r="G3" s="1" t="str">
        <f aca="false">$B3</f>
        <v>III</v>
      </c>
      <c r="H3" s="1" t="str">
        <f aca="false">$B3</f>
        <v>III</v>
      </c>
      <c r="I3" s="1" t="str">
        <f aca="false">$B3</f>
        <v>III</v>
      </c>
      <c r="J3" s="1" t="str">
        <f aca="false">$B3</f>
        <v>III</v>
      </c>
      <c r="K3" s="1" t="str">
        <f aca="false">$B3</f>
        <v>III</v>
      </c>
      <c r="L3" s="1" t="str">
        <f aca="false">$B3</f>
        <v>III</v>
      </c>
      <c r="M3" s="1" t="str">
        <f aca="false">$B3</f>
        <v>III</v>
      </c>
      <c r="N3" s="1" t="str">
        <f aca="false">$B3</f>
        <v>III</v>
      </c>
      <c r="O3" s="1" t="str">
        <f aca="false">$B3</f>
        <v>III</v>
      </c>
      <c r="P3" s="1" t="str">
        <f aca="false">$B3</f>
        <v>III</v>
      </c>
      <c r="Q3" s="1" t="str">
        <f aca="false">$B3</f>
        <v>III</v>
      </c>
      <c r="R3" s="1" t="str">
        <f aca="false">$B3</f>
        <v>III</v>
      </c>
      <c r="S3" s="1" t="str">
        <f aca="false">$B3</f>
        <v>III</v>
      </c>
      <c r="T3" s="1" t="str">
        <f aca="false">$B3</f>
        <v>III</v>
      </c>
      <c r="U3" s="1" t="str">
        <f aca="false">$B3</f>
        <v>III</v>
      </c>
      <c r="V3" s="1" t="str">
        <f aca="false">$B3</f>
        <v>III</v>
      </c>
      <c r="W3" s="1" t="str">
        <f aca="false">$B3</f>
        <v>III</v>
      </c>
      <c r="X3" s="1" t="str">
        <f aca="false">$B3</f>
        <v>III</v>
      </c>
      <c r="Y3" s="1" t="str">
        <f aca="false">$B3</f>
        <v>III</v>
      </c>
      <c r="Z3" s="1" t="str">
        <f aca="false">$B3</f>
        <v>III</v>
      </c>
      <c r="AA3" s="1" t="str">
        <f aca="false">$B3</f>
        <v>III</v>
      </c>
      <c r="AB3" s="1" t="str">
        <f aca="false">$B3</f>
        <v>III</v>
      </c>
      <c r="AC3" s="1" t="str">
        <f aca="false">$B3</f>
        <v>III</v>
      </c>
      <c r="AD3" s="1" t="str">
        <f aca="false">$B3</f>
        <v>III</v>
      </c>
      <c r="AE3" s="1" t="str">
        <f aca="false">$B3</f>
        <v>III</v>
      </c>
      <c r="AF3" s="1" t="str">
        <f aca="false">$B3</f>
        <v>III</v>
      </c>
      <c r="AG3" s="1" t="str">
        <f aca="false">$B3</f>
        <v>III</v>
      </c>
      <c r="AH3" s="1" t="str">
        <f aca="false">$B3</f>
        <v>III</v>
      </c>
      <c r="AI3" s="1" t="str">
        <f aca="false">$B3</f>
        <v>III</v>
      </c>
      <c r="AJ3" s="1" t="str">
        <f aca="false">$B3</f>
        <v>III</v>
      </c>
      <c r="AK3" s="1" t="str">
        <f aca="false">$B3</f>
        <v>III</v>
      </c>
      <c r="AL3" s="1" t="str">
        <f aca="false">$B3</f>
        <v>III</v>
      </c>
      <c r="AM3" s="1" t="str">
        <f aca="false">$B3</f>
        <v>III</v>
      </c>
      <c r="AN3" s="1" t="str">
        <f aca="false">$B3</f>
        <v>III</v>
      </c>
      <c r="AO3" s="1" t="str">
        <f aca="false">$B3</f>
        <v>III</v>
      </c>
      <c r="AP3" s="1" t="str">
        <f aca="false">$B3</f>
        <v>III</v>
      </c>
      <c r="AQ3" s="1" t="str">
        <f aca="false">$B3</f>
        <v>III</v>
      </c>
      <c r="AR3" s="1" t="str">
        <f aca="false">$B3</f>
        <v>III</v>
      </c>
      <c r="AS3" s="1" t="str">
        <f aca="false">$B3</f>
        <v>III</v>
      </c>
      <c r="AT3" s="1" t="str">
        <f aca="false">$B3</f>
        <v>III</v>
      </c>
      <c r="AU3" s="1" t="str">
        <f aca="false">$B3</f>
        <v>III</v>
      </c>
      <c r="AV3" s="1" t="str">
        <f aca="false">$B3</f>
        <v>III</v>
      </c>
      <c r="AW3" s="1" t="str">
        <f aca="false">$B3</f>
        <v>III</v>
      </c>
      <c r="AX3" s="1" t="str">
        <f aca="false">$B3</f>
        <v>III</v>
      </c>
      <c r="AY3" s="1" t="str">
        <f aca="false">$B3</f>
        <v>III</v>
      </c>
      <c r="AZ3" s="1" t="str">
        <f aca="false">$B3</f>
        <v>III</v>
      </c>
      <c r="BA3" s="1" t="str">
        <f aca="false">$B3</f>
        <v>III</v>
      </c>
      <c r="BB3" s="1" t="str">
        <f aca="false">$B3</f>
        <v>III</v>
      </c>
      <c r="BC3" s="1" t="str">
        <f aca="false">$B3</f>
        <v>III</v>
      </c>
      <c r="BD3" s="1" t="str">
        <f aca="false">$B3</f>
        <v>III</v>
      </c>
      <c r="BE3" s="1" t="str">
        <f aca="false">$B3</f>
        <v>III</v>
      </c>
      <c r="BF3" s="1" t="str">
        <f aca="false">$B3</f>
        <v>III</v>
      </c>
      <c r="BG3" s="1" t="str">
        <f aca="false">$B3</f>
        <v>III</v>
      </c>
      <c r="BH3" s="1" t="str">
        <f aca="false">$B3</f>
        <v>III</v>
      </c>
      <c r="BI3" s="1" t="str">
        <f aca="false">$B3</f>
        <v>III</v>
      </c>
      <c r="BJ3" s="1" t="str">
        <f aca="false">$B3</f>
        <v>III</v>
      </c>
      <c r="BK3" s="1" t="str">
        <f aca="false">$B3</f>
        <v>III</v>
      </c>
      <c r="BL3" s="1" t="str">
        <f aca="false">$B3</f>
        <v>III</v>
      </c>
      <c r="BM3" s="1" t="str">
        <f aca="false">$B3</f>
        <v>III</v>
      </c>
      <c r="BN3" s="1" t="str">
        <f aca="false">$B3</f>
        <v>III</v>
      </c>
      <c r="BO3" s="1" t="str">
        <f aca="false">$B3</f>
        <v>III</v>
      </c>
    </row>
    <row r="4" customFormat="false" ht="12.75" hidden="false" customHeight="false" outlineLevel="0" collapsed="false">
      <c r="A4" s="6" t="n">
        <v>2023</v>
      </c>
      <c r="B4" s="1" t="s">
        <v>319</v>
      </c>
      <c r="C4" s="1" t="s">
        <v>319</v>
      </c>
      <c r="D4" s="1" t="n">
        <v>3</v>
      </c>
      <c r="E4" s="1" t="n">
        <v>3</v>
      </c>
      <c r="F4" s="1" t="str">
        <f aca="false">$B4</f>
        <v>III</v>
      </c>
      <c r="G4" s="1" t="str">
        <f aca="false">$B4</f>
        <v>III</v>
      </c>
      <c r="H4" s="1" t="str">
        <f aca="false">$B4</f>
        <v>III</v>
      </c>
      <c r="I4" s="1" t="str">
        <f aca="false">$B4</f>
        <v>III</v>
      </c>
      <c r="J4" s="1" t="str">
        <f aca="false">$B4</f>
        <v>III</v>
      </c>
      <c r="K4" s="1" t="str">
        <f aca="false">$B4</f>
        <v>III</v>
      </c>
      <c r="L4" s="1" t="str">
        <f aca="false">$B4</f>
        <v>III</v>
      </c>
      <c r="M4" s="1" t="str">
        <f aca="false">$B4</f>
        <v>III</v>
      </c>
      <c r="N4" s="1" t="str">
        <f aca="false">$B4</f>
        <v>III</v>
      </c>
      <c r="O4" s="1" t="str">
        <f aca="false">$B4</f>
        <v>III</v>
      </c>
      <c r="P4" s="1" t="str">
        <f aca="false">$B4</f>
        <v>III</v>
      </c>
      <c r="Q4" s="1" t="str">
        <f aca="false">$B4</f>
        <v>III</v>
      </c>
      <c r="R4" s="1" t="str">
        <f aca="false">$B4</f>
        <v>III</v>
      </c>
      <c r="S4" s="1" t="str">
        <f aca="false">$B4</f>
        <v>III</v>
      </c>
      <c r="T4" s="1" t="str">
        <f aca="false">$B4</f>
        <v>III</v>
      </c>
      <c r="U4" s="1" t="str">
        <f aca="false">$B4</f>
        <v>III</v>
      </c>
      <c r="V4" s="1" t="str">
        <f aca="false">$B4</f>
        <v>III</v>
      </c>
      <c r="W4" s="1" t="str">
        <f aca="false">$B4</f>
        <v>III</v>
      </c>
      <c r="X4" s="1" t="str">
        <f aca="false">$B4</f>
        <v>III</v>
      </c>
      <c r="Y4" s="1" t="str">
        <f aca="false">$B4</f>
        <v>III</v>
      </c>
      <c r="Z4" s="1" t="str">
        <f aca="false">$B4</f>
        <v>III</v>
      </c>
      <c r="AA4" s="1" t="str">
        <f aca="false">$B4</f>
        <v>III</v>
      </c>
      <c r="AB4" s="1" t="str">
        <f aca="false">$B4</f>
        <v>III</v>
      </c>
      <c r="AC4" s="1" t="str">
        <f aca="false">$B4</f>
        <v>III</v>
      </c>
      <c r="AD4" s="1" t="str">
        <f aca="false">$B4</f>
        <v>III</v>
      </c>
      <c r="AE4" s="1" t="str">
        <f aca="false">$B4</f>
        <v>III</v>
      </c>
      <c r="AF4" s="1" t="str">
        <f aca="false">$B4</f>
        <v>III</v>
      </c>
      <c r="AG4" s="1" t="str">
        <f aca="false">$B4</f>
        <v>III</v>
      </c>
      <c r="AH4" s="1" t="str">
        <f aca="false">$B4</f>
        <v>III</v>
      </c>
      <c r="AI4" s="1" t="str">
        <f aca="false">$B4</f>
        <v>III</v>
      </c>
      <c r="AJ4" s="1" t="str">
        <f aca="false">$B4</f>
        <v>III</v>
      </c>
      <c r="AK4" s="1" t="str">
        <f aca="false">$B4</f>
        <v>III</v>
      </c>
      <c r="AL4" s="1" t="str">
        <f aca="false">$B4</f>
        <v>III</v>
      </c>
      <c r="AM4" s="1" t="str">
        <f aca="false">$B4</f>
        <v>III</v>
      </c>
      <c r="AN4" s="1" t="str">
        <f aca="false">$B4</f>
        <v>III</v>
      </c>
      <c r="AO4" s="1" t="str">
        <f aca="false">$B4</f>
        <v>III</v>
      </c>
      <c r="AP4" s="1" t="str">
        <f aca="false">$B4</f>
        <v>III</v>
      </c>
      <c r="AQ4" s="1" t="str">
        <f aca="false">$B4</f>
        <v>III</v>
      </c>
      <c r="AR4" s="1" t="str">
        <f aca="false">$B4</f>
        <v>III</v>
      </c>
      <c r="AS4" s="1" t="str">
        <f aca="false">$B4</f>
        <v>III</v>
      </c>
      <c r="AT4" s="1" t="str">
        <f aca="false">$B4</f>
        <v>III</v>
      </c>
      <c r="AU4" s="1" t="str">
        <f aca="false">$B4</f>
        <v>III</v>
      </c>
      <c r="AV4" s="1" t="str">
        <f aca="false">$B4</f>
        <v>III</v>
      </c>
      <c r="AW4" s="1" t="str">
        <f aca="false">$B4</f>
        <v>III</v>
      </c>
      <c r="AX4" s="1" t="str">
        <f aca="false">$B4</f>
        <v>III</v>
      </c>
      <c r="AY4" s="1" t="str">
        <f aca="false">$B4</f>
        <v>III</v>
      </c>
      <c r="AZ4" s="1" t="str">
        <f aca="false">$B4</f>
        <v>III</v>
      </c>
      <c r="BA4" s="1" t="str">
        <f aca="false">$B4</f>
        <v>III</v>
      </c>
      <c r="BB4" s="1" t="str">
        <f aca="false">$B4</f>
        <v>III</v>
      </c>
      <c r="BC4" s="1" t="str">
        <f aca="false">$B4</f>
        <v>III</v>
      </c>
      <c r="BD4" s="1" t="str">
        <f aca="false">$B4</f>
        <v>III</v>
      </c>
      <c r="BE4" s="1" t="str">
        <f aca="false">$B4</f>
        <v>III</v>
      </c>
      <c r="BF4" s="1" t="str">
        <f aca="false">$B4</f>
        <v>III</v>
      </c>
      <c r="BG4" s="1" t="str">
        <f aca="false">$B4</f>
        <v>III</v>
      </c>
      <c r="BH4" s="1" t="str">
        <f aca="false">$B4</f>
        <v>III</v>
      </c>
      <c r="BI4" s="1" t="str">
        <f aca="false">$B4</f>
        <v>III</v>
      </c>
      <c r="BJ4" s="1" t="str">
        <f aca="false">$B4</f>
        <v>III</v>
      </c>
      <c r="BK4" s="1" t="str">
        <f aca="false">$B4</f>
        <v>III</v>
      </c>
      <c r="BL4" s="1" t="str">
        <f aca="false">$B4</f>
        <v>III</v>
      </c>
      <c r="BM4" s="1" t="str">
        <f aca="false">$B4</f>
        <v>III</v>
      </c>
      <c r="BN4" s="1" t="str">
        <f aca="false">$B4</f>
        <v>III</v>
      </c>
      <c r="BO4" s="1" t="str">
        <f aca="false">$B4</f>
        <v>III</v>
      </c>
    </row>
    <row r="5" customFormat="false" ht="12.75" hidden="false" customHeight="false" outlineLevel="0" collapsed="false">
      <c r="A5" s="6" t="n">
        <v>2022</v>
      </c>
      <c r="B5" s="1" t="s">
        <v>319</v>
      </c>
      <c r="C5" s="1" t="s">
        <v>319</v>
      </c>
      <c r="D5" s="1" t="n">
        <v>3</v>
      </c>
      <c r="E5" s="1" t="n">
        <v>3</v>
      </c>
      <c r="F5" s="1" t="str">
        <f aca="false">$B5</f>
        <v>III</v>
      </c>
      <c r="G5" s="1" t="str">
        <f aca="false">$B5</f>
        <v>III</v>
      </c>
      <c r="H5" s="1" t="str">
        <f aca="false">$B5</f>
        <v>III</v>
      </c>
      <c r="I5" s="1" t="str">
        <f aca="false">$B5</f>
        <v>III</v>
      </c>
      <c r="J5" s="1" t="str">
        <f aca="false">$B5</f>
        <v>III</v>
      </c>
      <c r="K5" s="1" t="str">
        <f aca="false">$B5</f>
        <v>III</v>
      </c>
      <c r="L5" s="1" t="str">
        <f aca="false">$B5</f>
        <v>III</v>
      </c>
      <c r="M5" s="1" t="str">
        <f aca="false">$B5</f>
        <v>III</v>
      </c>
      <c r="N5" s="1" t="str">
        <f aca="false">$B5</f>
        <v>III</v>
      </c>
      <c r="O5" s="1" t="str">
        <f aca="false">$B5</f>
        <v>III</v>
      </c>
      <c r="P5" s="1" t="str">
        <f aca="false">$B5</f>
        <v>III</v>
      </c>
      <c r="Q5" s="1" t="str">
        <f aca="false">$B5</f>
        <v>III</v>
      </c>
      <c r="R5" s="1" t="str">
        <f aca="false">$B5</f>
        <v>III</v>
      </c>
      <c r="S5" s="1" t="str">
        <f aca="false">$B5</f>
        <v>III</v>
      </c>
      <c r="T5" s="1" t="str">
        <f aca="false">$B5</f>
        <v>III</v>
      </c>
      <c r="U5" s="1" t="str">
        <f aca="false">$B5</f>
        <v>III</v>
      </c>
      <c r="V5" s="1" t="str">
        <f aca="false">$B5</f>
        <v>III</v>
      </c>
      <c r="W5" s="1" t="str">
        <f aca="false">$B5</f>
        <v>III</v>
      </c>
      <c r="X5" s="1" t="str">
        <f aca="false">$B5</f>
        <v>III</v>
      </c>
      <c r="Y5" s="1" t="str">
        <f aca="false">$B5</f>
        <v>III</v>
      </c>
      <c r="Z5" s="1" t="str">
        <f aca="false">$B5</f>
        <v>III</v>
      </c>
      <c r="AA5" s="1" t="str">
        <f aca="false">$B5</f>
        <v>III</v>
      </c>
      <c r="AB5" s="1" t="str">
        <f aca="false">$B5</f>
        <v>III</v>
      </c>
      <c r="AC5" s="1" t="str">
        <f aca="false">$B5</f>
        <v>III</v>
      </c>
      <c r="AD5" s="1" t="str">
        <f aca="false">$B5</f>
        <v>III</v>
      </c>
      <c r="AE5" s="1" t="str">
        <f aca="false">$B5</f>
        <v>III</v>
      </c>
      <c r="AF5" s="1" t="str">
        <f aca="false">$B5</f>
        <v>III</v>
      </c>
      <c r="AG5" s="1" t="str">
        <f aca="false">$B5</f>
        <v>III</v>
      </c>
      <c r="AH5" s="1" t="str">
        <f aca="false">$B5</f>
        <v>III</v>
      </c>
      <c r="AI5" s="1" t="str">
        <f aca="false">$B5</f>
        <v>III</v>
      </c>
      <c r="AJ5" s="1" t="str">
        <f aca="false">$B5</f>
        <v>III</v>
      </c>
      <c r="AK5" s="1" t="str">
        <f aca="false">$B5</f>
        <v>III</v>
      </c>
      <c r="AL5" s="1" t="str">
        <f aca="false">$B5</f>
        <v>III</v>
      </c>
      <c r="AM5" s="1" t="str">
        <f aca="false">$B5</f>
        <v>III</v>
      </c>
      <c r="AN5" s="1" t="str">
        <f aca="false">$B5</f>
        <v>III</v>
      </c>
      <c r="AO5" s="1" t="str">
        <f aca="false">$B5</f>
        <v>III</v>
      </c>
      <c r="AP5" s="1" t="str">
        <f aca="false">$B5</f>
        <v>III</v>
      </c>
      <c r="AQ5" s="1" t="str">
        <f aca="false">$B5</f>
        <v>III</v>
      </c>
      <c r="AR5" s="1" t="str">
        <f aca="false">$B5</f>
        <v>III</v>
      </c>
      <c r="AS5" s="1" t="str">
        <f aca="false">$B5</f>
        <v>III</v>
      </c>
      <c r="AT5" s="1" t="str">
        <f aca="false">$B5</f>
        <v>III</v>
      </c>
      <c r="AU5" s="1" t="str">
        <f aca="false">$B5</f>
        <v>III</v>
      </c>
      <c r="AV5" s="1" t="str">
        <f aca="false">$B5</f>
        <v>III</v>
      </c>
      <c r="AW5" s="1" t="str">
        <f aca="false">$B5</f>
        <v>III</v>
      </c>
      <c r="AX5" s="1" t="str">
        <f aca="false">$B5</f>
        <v>III</v>
      </c>
      <c r="AY5" s="1" t="str">
        <f aca="false">$B5</f>
        <v>III</v>
      </c>
      <c r="AZ5" s="1" t="str">
        <f aca="false">$B5</f>
        <v>III</v>
      </c>
      <c r="BA5" s="1" t="str">
        <f aca="false">$B5</f>
        <v>III</v>
      </c>
      <c r="BB5" s="1" t="str">
        <f aca="false">$B5</f>
        <v>III</v>
      </c>
      <c r="BC5" s="1" t="str">
        <f aca="false">$B5</f>
        <v>III</v>
      </c>
      <c r="BD5" s="1" t="str">
        <f aca="false">$B5</f>
        <v>III</v>
      </c>
      <c r="BE5" s="1" t="str">
        <f aca="false">$B5</f>
        <v>III</v>
      </c>
      <c r="BF5" s="1" t="str">
        <f aca="false">$B5</f>
        <v>III</v>
      </c>
      <c r="BG5" s="1" t="str">
        <f aca="false">$B5</f>
        <v>III</v>
      </c>
      <c r="BH5" s="1" t="str">
        <f aca="false">$B5</f>
        <v>III</v>
      </c>
      <c r="BI5" s="1" t="str">
        <f aca="false">$B5</f>
        <v>III</v>
      </c>
      <c r="BJ5" s="1" t="str">
        <f aca="false">$B5</f>
        <v>III</v>
      </c>
      <c r="BK5" s="1" t="str">
        <f aca="false">$B5</f>
        <v>III</v>
      </c>
      <c r="BL5" s="1" t="str">
        <f aca="false">$B5</f>
        <v>III</v>
      </c>
      <c r="BM5" s="1" t="str">
        <f aca="false">$B5</f>
        <v>III</v>
      </c>
      <c r="BN5" s="1" t="str">
        <f aca="false">$B5</f>
        <v>III</v>
      </c>
      <c r="BO5" s="1" t="str">
        <f aca="false">$B5</f>
        <v>III</v>
      </c>
    </row>
    <row r="6" customFormat="false" ht="12.75" hidden="false" customHeight="false" outlineLevel="0" collapsed="false">
      <c r="A6" s="6" t="n">
        <v>2021</v>
      </c>
      <c r="B6" s="1" t="s">
        <v>319</v>
      </c>
      <c r="C6" s="1" t="s">
        <v>319</v>
      </c>
      <c r="D6" s="1" t="n">
        <v>3</v>
      </c>
      <c r="E6" s="1" t="n">
        <v>3</v>
      </c>
      <c r="F6" s="1" t="str">
        <f aca="false">$B6</f>
        <v>III</v>
      </c>
      <c r="G6" s="1" t="str">
        <f aca="false">$B6</f>
        <v>III</v>
      </c>
      <c r="H6" s="1" t="str">
        <f aca="false">$B6</f>
        <v>III</v>
      </c>
      <c r="I6" s="1" t="str">
        <f aca="false">$B6</f>
        <v>III</v>
      </c>
      <c r="J6" s="1" t="str">
        <f aca="false">$B6</f>
        <v>III</v>
      </c>
      <c r="K6" s="1" t="str">
        <f aca="false">$B6</f>
        <v>III</v>
      </c>
      <c r="L6" s="1" t="str">
        <f aca="false">$B6</f>
        <v>III</v>
      </c>
      <c r="M6" s="1" t="str">
        <f aca="false">$B6</f>
        <v>III</v>
      </c>
      <c r="N6" s="1" t="str">
        <f aca="false">$B6</f>
        <v>III</v>
      </c>
      <c r="O6" s="1" t="str">
        <f aca="false">$B6</f>
        <v>III</v>
      </c>
      <c r="P6" s="1" t="str">
        <f aca="false">$B6</f>
        <v>III</v>
      </c>
      <c r="Q6" s="1" t="str">
        <f aca="false">$B6</f>
        <v>III</v>
      </c>
      <c r="R6" s="1" t="str">
        <f aca="false">$B6</f>
        <v>III</v>
      </c>
      <c r="S6" s="1" t="str">
        <f aca="false">$B6</f>
        <v>III</v>
      </c>
      <c r="T6" s="1" t="str">
        <f aca="false">$B6</f>
        <v>III</v>
      </c>
      <c r="U6" s="1" t="str">
        <f aca="false">$B6</f>
        <v>III</v>
      </c>
      <c r="V6" s="1" t="str">
        <f aca="false">$B6</f>
        <v>III</v>
      </c>
      <c r="W6" s="1" t="str">
        <f aca="false">$B6</f>
        <v>III</v>
      </c>
      <c r="X6" s="1" t="str">
        <f aca="false">$B6</f>
        <v>III</v>
      </c>
      <c r="Y6" s="1" t="str">
        <f aca="false">$B6</f>
        <v>III</v>
      </c>
      <c r="Z6" s="1" t="str">
        <f aca="false">$B6</f>
        <v>III</v>
      </c>
      <c r="AA6" s="1" t="str">
        <f aca="false">$B6</f>
        <v>III</v>
      </c>
      <c r="AB6" s="1" t="str">
        <f aca="false">$B6</f>
        <v>III</v>
      </c>
      <c r="AC6" s="1" t="str">
        <f aca="false">$B6</f>
        <v>III</v>
      </c>
      <c r="AD6" s="1" t="str">
        <f aca="false">$B6</f>
        <v>III</v>
      </c>
      <c r="AE6" s="1" t="str">
        <f aca="false">$B6</f>
        <v>III</v>
      </c>
      <c r="AF6" s="1" t="str">
        <f aca="false">$B6</f>
        <v>III</v>
      </c>
      <c r="AG6" s="1" t="str">
        <f aca="false">$B6</f>
        <v>III</v>
      </c>
      <c r="AH6" s="1" t="str">
        <f aca="false">$B6</f>
        <v>III</v>
      </c>
      <c r="AI6" s="1" t="str">
        <f aca="false">$B6</f>
        <v>III</v>
      </c>
      <c r="AJ6" s="1" t="str">
        <f aca="false">$B6</f>
        <v>III</v>
      </c>
      <c r="AK6" s="1" t="str">
        <f aca="false">$B6</f>
        <v>III</v>
      </c>
      <c r="AL6" s="1" t="str">
        <f aca="false">$B6</f>
        <v>III</v>
      </c>
      <c r="AM6" s="1" t="str">
        <f aca="false">$B6</f>
        <v>III</v>
      </c>
      <c r="AN6" s="1" t="str">
        <f aca="false">$B6</f>
        <v>III</v>
      </c>
      <c r="AO6" s="1" t="str">
        <f aca="false">$B6</f>
        <v>III</v>
      </c>
      <c r="AP6" s="1" t="str">
        <f aca="false">$B6</f>
        <v>III</v>
      </c>
      <c r="AQ6" s="1" t="str">
        <f aca="false">$B6</f>
        <v>III</v>
      </c>
      <c r="AR6" s="1" t="str">
        <f aca="false">$B6</f>
        <v>III</v>
      </c>
      <c r="AS6" s="1" t="str">
        <f aca="false">$B6</f>
        <v>III</v>
      </c>
      <c r="AT6" s="1" t="str">
        <f aca="false">$B6</f>
        <v>III</v>
      </c>
      <c r="AU6" s="1" t="str">
        <f aca="false">$B6</f>
        <v>III</v>
      </c>
      <c r="AV6" s="1" t="str">
        <f aca="false">$B6</f>
        <v>III</v>
      </c>
      <c r="AW6" s="1" t="str">
        <f aca="false">$B6</f>
        <v>III</v>
      </c>
      <c r="AX6" s="1" t="str">
        <f aca="false">$B6</f>
        <v>III</v>
      </c>
      <c r="AY6" s="1" t="str">
        <f aca="false">$B6</f>
        <v>III</v>
      </c>
      <c r="AZ6" s="1" t="str">
        <f aca="false">$B6</f>
        <v>III</v>
      </c>
      <c r="BA6" s="1" t="str">
        <f aca="false">$B6</f>
        <v>III</v>
      </c>
      <c r="BB6" s="1" t="str">
        <f aca="false">$B6</f>
        <v>III</v>
      </c>
      <c r="BC6" s="1" t="str">
        <f aca="false">$B6</f>
        <v>III</v>
      </c>
      <c r="BD6" s="1" t="str">
        <f aca="false">$B6</f>
        <v>III</v>
      </c>
      <c r="BE6" s="1" t="str">
        <f aca="false">$B6</f>
        <v>III</v>
      </c>
      <c r="BF6" s="1" t="str">
        <f aca="false">$B6</f>
        <v>III</v>
      </c>
      <c r="BG6" s="1" t="str">
        <f aca="false">$B6</f>
        <v>III</v>
      </c>
      <c r="BH6" s="1" t="str">
        <f aca="false">$B6</f>
        <v>III</v>
      </c>
      <c r="BI6" s="1" t="str">
        <f aca="false">$B6</f>
        <v>III</v>
      </c>
      <c r="BJ6" s="1" t="str">
        <f aca="false">$B6</f>
        <v>III</v>
      </c>
      <c r="BK6" s="1" t="str">
        <f aca="false">$B6</f>
        <v>III</v>
      </c>
      <c r="BL6" s="1" t="str">
        <f aca="false">$B6</f>
        <v>III</v>
      </c>
      <c r="BM6" s="1" t="str">
        <f aca="false">$B6</f>
        <v>III</v>
      </c>
      <c r="BN6" s="1" t="str">
        <f aca="false">$B6</f>
        <v>III</v>
      </c>
      <c r="BO6" s="1" t="str">
        <f aca="false">$B6</f>
        <v>III</v>
      </c>
    </row>
    <row r="7" customFormat="false" ht="12.75" hidden="false" customHeight="false" outlineLevel="0" collapsed="false">
      <c r="A7" s="6" t="n">
        <v>2020</v>
      </c>
      <c r="B7" s="1" t="s">
        <v>319</v>
      </c>
      <c r="C7" s="1" t="s">
        <v>319</v>
      </c>
      <c r="D7" s="1" t="n">
        <v>3</v>
      </c>
      <c r="E7" s="1" t="n">
        <v>3</v>
      </c>
      <c r="F7" s="1" t="str">
        <f aca="false">$B7</f>
        <v>III</v>
      </c>
      <c r="G7" s="1" t="str">
        <f aca="false">$B7</f>
        <v>III</v>
      </c>
      <c r="H7" s="1" t="str">
        <f aca="false">$B7</f>
        <v>III</v>
      </c>
      <c r="I7" s="1" t="str">
        <f aca="false">$B7</f>
        <v>III</v>
      </c>
      <c r="J7" s="1" t="str">
        <f aca="false">$B7</f>
        <v>III</v>
      </c>
      <c r="K7" s="1" t="str">
        <f aca="false">$B7</f>
        <v>III</v>
      </c>
      <c r="L7" s="1" t="str">
        <f aca="false">$B7</f>
        <v>III</v>
      </c>
      <c r="M7" s="1" t="str">
        <f aca="false">$B7</f>
        <v>III</v>
      </c>
      <c r="N7" s="1" t="str">
        <f aca="false">$B7</f>
        <v>III</v>
      </c>
      <c r="O7" s="1" t="str">
        <f aca="false">$B7</f>
        <v>III</v>
      </c>
      <c r="P7" s="1" t="str">
        <f aca="false">$B7</f>
        <v>III</v>
      </c>
      <c r="Q7" s="1" t="str">
        <f aca="false">$B7</f>
        <v>III</v>
      </c>
      <c r="R7" s="1" t="str">
        <f aca="false">$B7</f>
        <v>III</v>
      </c>
      <c r="S7" s="1" t="str">
        <f aca="false">$B7</f>
        <v>III</v>
      </c>
      <c r="T7" s="1" t="str">
        <f aca="false">$B7</f>
        <v>III</v>
      </c>
      <c r="U7" s="1" t="str">
        <f aca="false">$B7</f>
        <v>III</v>
      </c>
      <c r="V7" s="1" t="str">
        <f aca="false">$B7</f>
        <v>III</v>
      </c>
      <c r="W7" s="1" t="str">
        <f aca="false">$B7</f>
        <v>III</v>
      </c>
      <c r="X7" s="1" t="str">
        <f aca="false">$B7</f>
        <v>III</v>
      </c>
      <c r="Y7" s="1" t="str">
        <f aca="false">$B7</f>
        <v>III</v>
      </c>
      <c r="Z7" s="1" t="str">
        <f aca="false">$B7</f>
        <v>III</v>
      </c>
      <c r="AA7" s="1" t="str">
        <f aca="false">$B7</f>
        <v>III</v>
      </c>
      <c r="AB7" s="1" t="str">
        <f aca="false">$B7</f>
        <v>III</v>
      </c>
      <c r="AC7" s="1" t="str">
        <f aca="false">$B7</f>
        <v>III</v>
      </c>
      <c r="AD7" s="1" t="str">
        <f aca="false">$B7</f>
        <v>III</v>
      </c>
      <c r="AE7" s="1" t="str">
        <f aca="false">$B7</f>
        <v>III</v>
      </c>
      <c r="AF7" s="1" t="str">
        <f aca="false">$B7</f>
        <v>III</v>
      </c>
      <c r="AG7" s="1" t="str">
        <f aca="false">$B7</f>
        <v>III</v>
      </c>
      <c r="AH7" s="1" t="str">
        <f aca="false">$B7</f>
        <v>III</v>
      </c>
      <c r="AI7" s="1" t="str">
        <f aca="false">$B7</f>
        <v>III</v>
      </c>
      <c r="AJ7" s="1" t="str">
        <f aca="false">$B7</f>
        <v>III</v>
      </c>
      <c r="AK7" s="1" t="str">
        <f aca="false">$B7</f>
        <v>III</v>
      </c>
      <c r="AL7" s="1" t="str">
        <f aca="false">$B7</f>
        <v>III</v>
      </c>
      <c r="AM7" s="1" t="str">
        <f aca="false">$B7</f>
        <v>III</v>
      </c>
      <c r="AN7" s="1" t="str">
        <f aca="false">$B7</f>
        <v>III</v>
      </c>
      <c r="AO7" s="1" t="str">
        <f aca="false">$B7</f>
        <v>III</v>
      </c>
      <c r="AP7" s="1" t="str">
        <f aca="false">$B7</f>
        <v>III</v>
      </c>
      <c r="AQ7" s="1" t="str">
        <f aca="false">$B7</f>
        <v>III</v>
      </c>
      <c r="AR7" s="1" t="str">
        <f aca="false">$B7</f>
        <v>III</v>
      </c>
      <c r="AS7" s="1" t="str">
        <f aca="false">$B7</f>
        <v>III</v>
      </c>
      <c r="AT7" s="1" t="str">
        <f aca="false">$B7</f>
        <v>III</v>
      </c>
      <c r="AU7" s="1" t="str">
        <f aca="false">$B7</f>
        <v>III</v>
      </c>
      <c r="AV7" s="1" t="str">
        <f aca="false">$B7</f>
        <v>III</v>
      </c>
      <c r="AW7" s="1" t="str">
        <f aca="false">$B7</f>
        <v>III</v>
      </c>
      <c r="AX7" s="1" t="str">
        <f aca="false">$B7</f>
        <v>III</v>
      </c>
      <c r="AY7" s="1" t="str">
        <f aca="false">$B7</f>
        <v>III</v>
      </c>
      <c r="AZ7" s="1" t="str">
        <f aca="false">$B7</f>
        <v>III</v>
      </c>
      <c r="BA7" s="1" t="str">
        <f aca="false">$B7</f>
        <v>III</v>
      </c>
      <c r="BB7" s="1" t="str">
        <f aca="false">$B7</f>
        <v>III</v>
      </c>
      <c r="BC7" s="1" t="str">
        <f aca="false">$B7</f>
        <v>III</v>
      </c>
      <c r="BD7" s="1" t="str">
        <f aca="false">$B7</f>
        <v>III</v>
      </c>
      <c r="BE7" s="1" t="str">
        <f aca="false">$B7</f>
        <v>III</v>
      </c>
      <c r="BF7" s="1" t="str">
        <f aca="false">$B7</f>
        <v>III</v>
      </c>
      <c r="BG7" s="1" t="str">
        <f aca="false">$B7</f>
        <v>III</v>
      </c>
      <c r="BH7" s="1" t="str">
        <f aca="false">$B7</f>
        <v>III</v>
      </c>
      <c r="BI7" s="1" t="str">
        <f aca="false">$B7</f>
        <v>III</v>
      </c>
      <c r="BJ7" s="1" t="str">
        <f aca="false">$B7</f>
        <v>III</v>
      </c>
      <c r="BK7" s="1" t="str">
        <f aca="false">$B7</f>
        <v>III</v>
      </c>
      <c r="BL7" s="1" t="str">
        <f aca="false">$B7</f>
        <v>III</v>
      </c>
      <c r="BM7" s="1" t="str">
        <f aca="false">$B7</f>
        <v>III</v>
      </c>
      <c r="BN7" s="1" t="str">
        <f aca="false">$B7</f>
        <v>III</v>
      </c>
      <c r="BO7" s="1" t="str">
        <f aca="false">$B7</f>
        <v>III</v>
      </c>
    </row>
    <row r="8" customFormat="false" ht="12.75" hidden="false" customHeight="false" outlineLevel="0" collapsed="false">
      <c r="A8" s="1" t="n">
        <v>2019</v>
      </c>
      <c r="B8" s="1" t="s">
        <v>319</v>
      </c>
      <c r="C8" s="1" t="s">
        <v>319</v>
      </c>
      <c r="D8" s="1" t="n">
        <v>3</v>
      </c>
      <c r="E8" s="1" t="n">
        <v>3</v>
      </c>
      <c r="F8" s="1" t="str">
        <f aca="false">$B8</f>
        <v>III</v>
      </c>
      <c r="G8" s="1" t="str">
        <f aca="false">$B8</f>
        <v>III</v>
      </c>
      <c r="H8" s="1" t="str">
        <f aca="false">$B8</f>
        <v>III</v>
      </c>
      <c r="I8" s="1" t="str">
        <f aca="false">$B8</f>
        <v>III</v>
      </c>
      <c r="J8" s="1" t="str">
        <f aca="false">$B8</f>
        <v>III</v>
      </c>
      <c r="K8" s="1" t="str">
        <f aca="false">$B8</f>
        <v>III</v>
      </c>
      <c r="L8" s="1" t="str">
        <f aca="false">$B8</f>
        <v>III</v>
      </c>
      <c r="M8" s="1" t="str">
        <f aca="false">$B8</f>
        <v>III</v>
      </c>
      <c r="N8" s="1" t="str">
        <f aca="false">$B8</f>
        <v>III</v>
      </c>
      <c r="O8" s="1" t="str">
        <f aca="false">$B8</f>
        <v>III</v>
      </c>
      <c r="P8" s="1" t="str">
        <f aca="false">$B8</f>
        <v>III</v>
      </c>
      <c r="Q8" s="1" t="str">
        <f aca="false">$B8</f>
        <v>III</v>
      </c>
      <c r="R8" s="1" t="str">
        <f aca="false">$B8</f>
        <v>III</v>
      </c>
      <c r="S8" s="1" t="str">
        <f aca="false">$B8</f>
        <v>III</v>
      </c>
      <c r="T8" s="1" t="str">
        <f aca="false">$B8</f>
        <v>III</v>
      </c>
      <c r="U8" s="1" t="str">
        <f aca="false">$B8</f>
        <v>III</v>
      </c>
      <c r="V8" s="1" t="str">
        <f aca="false">$B8</f>
        <v>III</v>
      </c>
      <c r="W8" s="1" t="str">
        <f aca="false">$B8</f>
        <v>III</v>
      </c>
      <c r="X8" s="1" t="str">
        <f aca="false">$B8</f>
        <v>III</v>
      </c>
      <c r="Y8" s="1" t="str">
        <f aca="false">$B8</f>
        <v>III</v>
      </c>
      <c r="Z8" s="1" t="str">
        <f aca="false">$B8</f>
        <v>III</v>
      </c>
      <c r="AA8" s="1" t="str">
        <f aca="false">$B8</f>
        <v>III</v>
      </c>
      <c r="AB8" s="1" t="str">
        <f aca="false">$B8</f>
        <v>III</v>
      </c>
      <c r="AC8" s="1" t="str">
        <f aca="false">$B8</f>
        <v>III</v>
      </c>
      <c r="AD8" s="1" t="str">
        <f aca="false">$B8</f>
        <v>III</v>
      </c>
      <c r="AE8" s="1" t="str">
        <f aca="false">$B8</f>
        <v>III</v>
      </c>
      <c r="AF8" s="1" t="str">
        <f aca="false">$B8</f>
        <v>III</v>
      </c>
      <c r="AG8" s="1" t="str">
        <f aca="false">$B8</f>
        <v>III</v>
      </c>
      <c r="AH8" s="1" t="str">
        <f aca="false">$B8</f>
        <v>III</v>
      </c>
      <c r="AI8" s="1" t="str">
        <f aca="false">$B8</f>
        <v>III</v>
      </c>
      <c r="AJ8" s="1" t="str">
        <f aca="false">$B8</f>
        <v>III</v>
      </c>
      <c r="AK8" s="1" t="str">
        <f aca="false">$B8</f>
        <v>III</v>
      </c>
      <c r="AL8" s="1" t="str">
        <f aca="false">$B8</f>
        <v>III</v>
      </c>
      <c r="AM8" s="1" t="str">
        <f aca="false">$B8</f>
        <v>III</v>
      </c>
      <c r="AN8" s="1" t="str">
        <f aca="false">$B8</f>
        <v>III</v>
      </c>
      <c r="AO8" s="1" t="str">
        <f aca="false">$B8</f>
        <v>III</v>
      </c>
      <c r="AP8" s="1" t="str">
        <f aca="false">$B8</f>
        <v>III</v>
      </c>
      <c r="AQ8" s="1" t="str">
        <f aca="false">$B8</f>
        <v>III</v>
      </c>
      <c r="AR8" s="1" t="str">
        <f aca="false">$B8</f>
        <v>III</v>
      </c>
      <c r="AS8" s="1" t="str">
        <f aca="false">$B8</f>
        <v>III</v>
      </c>
      <c r="AT8" s="1" t="str">
        <f aca="false">$B8</f>
        <v>III</v>
      </c>
      <c r="AU8" s="1" t="str">
        <f aca="false">$B8</f>
        <v>III</v>
      </c>
      <c r="AV8" s="1" t="str">
        <f aca="false">$B8</f>
        <v>III</v>
      </c>
      <c r="AW8" s="1" t="str">
        <f aca="false">$B8</f>
        <v>III</v>
      </c>
      <c r="AX8" s="1" t="str">
        <f aca="false">$B8</f>
        <v>III</v>
      </c>
      <c r="AY8" s="1" t="str">
        <f aca="false">$B8</f>
        <v>III</v>
      </c>
      <c r="AZ8" s="1" t="str">
        <f aca="false">$B8</f>
        <v>III</v>
      </c>
      <c r="BA8" s="1" t="str">
        <f aca="false">$B8</f>
        <v>III</v>
      </c>
      <c r="BB8" s="1" t="str">
        <f aca="false">$B8</f>
        <v>III</v>
      </c>
      <c r="BC8" s="1" t="str">
        <f aca="false">$B8</f>
        <v>III</v>
      </c>
      <c r="BD8" s="1" t="str">
        <f aca="false">$B8</f>
        <v>III</v>
      </c>
      <c r="BE8" s="1" t="str">
        <f aca="false">$B8</f>
        <v>III</v>
      </c>
      <c r="BF8" s="1" t="str">
        <f aca="false">$B8</f>
        <v>III</v>
      </c>
      <c r="BG8" s="1" t="str">
        <f aca="false">$B8</f>
        <v>III</v>
      </c>
      <c r="BH8" s="1" t="str">
        <f aca="false">$B8</f>
        <v>III</v>
      </c>
      <c r="BI8" s="1" t="str">
        <f aca="false">$B8</f>
        <v>III</v>
      </c>
      <c r="BJ8" s="1" t="str">
        <f aca="false">$B8</f>
        <v>III</v>
      </c>
      <c r="BK8" s="1" t="str">
        <f aca="false">$B8</f>
        <v>III</v>
      </c>
      <c r="BL8" s="1" t="str">
        <f aca="false">$B8</f>
        <v>III</v>
      </c>
      <c r="BM8" s="1" t="str">
        <f aca="false">$B8</f>
        <v>III</v>
      </c>
      <c r="BN8" s="1" t="str">
        <f aca="false">$B8</f>
        <v>III</v>
      </c>
      <c r="BO8" s="1" t="str">
        <f aca="false">$B8</f>
        <v>III</v>
      </c>
    </row>
    <row r="9" customFormat="false" ht="12.75" hidden="false" customHeight="false" outlineLevel="0" collapsed="false">
      <c r="A9" s="1" t="n">
        <f aca="false">A8-1</f>
        <v>2018</v>
      </c>
      <c r="B9" s="1" t="s">
        <v>319</v>
      </c>
      <c r="C9" s="1" t="s">
        <v>319</v>
      </c>
      <c r="D9" s="1" t="n">
        <v>3</v>
      </c>
      <c r="E9" s="1" t="n">
        <v>3</v>
      </c>
      <c r="F9" s="1" t="str">
        <f aca="false">$B9</f>
        <v>III</v>
      </c>
      <c r="G9" s="1" t="str">
        <f aca="false">$B9</f>
        <v>III</v>
      </c>
      <c r="H9" s="1" t="str">
        <f aca="false">$B9</f>
        <v>III</v>
      </c>
      <c r="I9" s="1" t="str">
        <f aca="false">$B9</f>
        <v>III</v>
      </c>
      <c r="J9" s="1" t="str">
        <f aca="false">$B9</f>
        <v>III</v>
      </c>
      <c r="K9" s="1" t="str">
        <f aca="false">$B9</f>
        <v>III</v>
      </c>
      <c r="L9" s="1" t="str">
        <f aca="false">$B9</f>
        <v>III</v>
      </c>
      <c r="M9" s="1" t="str">
        <f aca="false">$B9</f>
        <v>III</v>
      </c>
      <c r="N9" s="1" t="str">
        <f aca="false">$B9</f>
        <v>III</v>
      </c>
      <c r="O9" s="1" t="str">
        <f aca="false">$B9</f>
        <v>III</v>
      </c>
      <c r="P9" s="1" t="str">
        <f aca="false">$B9</f>
        <v>III</v>
      </c>
      <c r="Q9" s="1" t="str">
        <f aca="false">$B9</f>
        <v>III</v>
      </c>
      <c r="R9" s="1" t="str">
        <f aca="false">$B9</f>
        <v>III</v>
      </c>
      <c r="S9" s="1" t="str">
        <f aca="false">$B9</f>
        <v>III</v>
      </c>
      <c r="T9" s="1" t="str">
        <f aca="false">$B9</f>
        <v>III</v>
      </c>
      <c r="U9" s="1" t="str">
        <f aca="false">$B9</f>
        <v>III</v>
      </c>
      <c r="V9" s="1" t="str">
        <f aca="false">$B9</f>
        <v>III</v>
      </c>
      <c r="W9" s="1" t="str">
        <f aca="false">$B9</f>
        <v>III</v>
      </c>
      <c r="X9" s="1" t="str">
        <f aca="false">$B9</f>
        <v>III</v>
      </c>
      <c r="Y9" s="1" t="str">
        <f aca="false">$B9</f>
        <v>III</v>
      </c>
      <c r="Z9" s="1" t="str">
        <f aca="false">$B9</f>
        <v>III</v>
      </c>
      <c r="AA9" s="1" t="str">
        <f aca="false">$B9</f>
        <v>III</v>
      </c>
      <c r="AB9" s="1" t="str">
        <f aca="false">$B9</f>
        <v>III</v>
      </c>
      <c r="AC9" s="1" t="str">
        <f aca="false">$B9</f>
        <v>III</v>
      </c>
      <c r="AD9" s="1" t="str">
        <f aca="false">$B9</f>
        <v>III</v>
      </c>
      <c r="AE9" s="1" t="str">
        <f aca="false">$B9</f>
        <v>III</v>
      </c>
      <c r="AF9" s="1" t="str">
        <f aca="false">$B9</f>
        <v>III</v>
      </c>
      <c r="AG9" s="1" t="str">
        <f aca="false">$B9</f>
        <v>III</v>
      </c>
      <c r="AH9" s="1" t="str">
        <f aca="false">$B9</f>
        <v>III</v>
      </c>
      <c r="AI9" s="1" t="str">
        <f aca="false">$B9</f>
        <v>III</v>
      </c>
      <c r="AJ9" s="1" t="str">
        <f aca="false">$B9</f>
        <v>III</v>
      </c>
      <c r="AK9" s="1" t="str">
        <f aca="false">$B9</f>
        <v>III</v>
      </c>
      <c r="AL9" s="1" t="str">
        <f aca="false">$B9</f>
        <v>III</v>
      </c>
      <c r="AM9" s="1" t="str">
        <f aca="false">$B9</f>
        <v>III</v>
      </c>
      <c r="AN9" s="1" t="str">
        <f aca="false">$B9</f>
        <v>III</v>
      </c>
      <c r="AO9" s="1" t="str">
        <f aca="false">$B9</f>
        <v>III</v>
      </c>
      <c r="AP9" s="1" t="str">
        <f aca="false">$B9</f>
        <v>III</v>
      </c>
      <c r="AQ9" s="1" t="str">
        <f aca="false">$B9</f>
        <v>III</v>
      </c>
      <c r="AR9" s="1" t="str">
        <f aca="false">$B9</f>
        <v>III</v>
      </c>
      <c r="AS9" s="1" t="str">
        <f aca="false">$B9</f>
        <v>III</v>
      </c>
      <c r="AT9" s="1" t="str">
        <f aca="false">$B9</f>
        <v>III</v>
      </c>
      <c r="AU9" s="1" t="str">
        <f aca="false">$B9</f>
        <v>III</v>
      </c>
      <c r="AV9" s="1" t="str">
        <f aca="false">$B9</f>
        <v>III</v>
      </c>
      <c r="AW9" s="1" t="str">
        <f aca="false">$B9</f>
        <v>III</v>
      </c>
      <c r="AX9" s="1" t="str">
        <f aca="false">$B9</f>
        <v>III</v>
      </c>
      <c r="AY9" s="1" t="str">
        <f aca="false">$B9</f>
        <v>III</v>
      </c>
      <c r="AZ9" s="1" t="str">
        <f aca="false">$B9</f>
        <v>III</v>
      </c>
      <c r="BA9" s="1" t="str">
        <f aca="false">$B9</f>
        <v>III</v>
      </c>
      <c r="BB9" s="1" t="str">
        <f aca="false">$B9</f>
        <v>III</v>
      </c>
      <c r="BC9" s="1" t="str">
        <f aca="false">$B9</f>
        <v>III</v>
      </c>
      <c r="BD9" s="1" t="str">
        <f aca="false">$B9</f>
        <v>III</v>
      </c>
      <c r="BE9" s="1" t="str">
        <f aca="false">$B9</f>
        <v>III</v>
      </c>
      <c r="BF9" s="1" t="str">
        <f aca="false">$B9</f>
        <v>III</v>
      </c>
      <c r="BG9" s="1" t="str">
        <f aca="false">$B9</f>
        <v>III</v>
      </c>
      <c r="BH9" s="1" t="str">
        <f aca="false">$B9</f>
        <v>III</v>
      </c>
      <c r="BI9" s="1" t="str">
        <f aca="false">$B9</f>
        <v>III</v>
      </c>
      <c r="BJ9" s="1" t="str">
        <f aca="false">$B9</f>
        <v>III</v>
      </c>
      <c r="BK9" s="1" t="str">
        <f aca="false">$B9</f>
        <v>III</v>
      </c>
      <c r="BL9" s="1" t="str">
        <f aca="false">$B9</f>
        <v>III</v>
      </c>
      <c r="BM9" s="1" t="str">
        <f aca="false">$B9</f>
        <v>III</v>
      </c>
      <c r="BN9" s="1" t="str">
        <f aca="false">$B9</f>
        <v>III</v>
      </c>
      <c r="BO9" s="1" t="str">
        <f aca="false">$B9</f>
        <v>III</v>
      </c>
    </row>
    <row r="10" customFormat="false" ht="12.75" hidden="false" customHeight="false" outlineLevel="0" collapsed="false">
      <c r="A10" s="1" t="n">
        <f aca="false">A9-1</f>
        <v>2017</v>
      </c>
      <c r="B10" s="1" t="s">
        <v>319</v>
      </c>
      <c r="C10" s="1" t="s">
        <v>319</v>
      </c>
      <c r="D10" s="1" t="n">
        <v>3</v>
      </c>
      <c r="E10" s="1" t="n">
        <v>3</v>
      </c>
      <c r="F10" s="1" t="str">
        <f aca="false">$B10</f>
        <v>III</v>
      </c>
      <c r="G10" s="1" t="str">
        <f aca="false">$B10</f>
        <v>III</v>
      </c>
      <c r="H10" s="1" t="str">
        <f aca="false">$B10</f>
        <v>III</v>
      </c>
      <c r="I10" s="1" t="str">
        <f aca="false">$B10</f>
        <v>III</v>
      </c>
      <c r="J10" s="1" t="str">
        <f aca="false">$B10</f>
        <v>III</v>
      </c>
      <c r="K10" s="1" t="str">
        <f aca="false">$B10</f>
        <v>III</v>
      </c>
      <c r="L10" s="1" t="str">
        <f aca="false">$B10</f>
        <v>III</v>
      </c>
      <c r="M10" s="1" t="str">
        <f aca="false">$B10</f>
        <v>III</v>
      </c>
      <c r="N10" s="1" t="str">
        <f aca="false">$B10</f>
        <v>III</v>
      </c>
      <c r="O10" s="1" t="str">
        <f aca="false">$B10</f>
        <v>III</v>
      </c>
      <c r="P10" s="1" t="str">
        <f aca="false">$B10</f>
        <v>III</v>
      </c>
      <c r="Q10" s="1" t="str">
        <f aca="false">$B10</f>
        <v>III</v>
      </c>
      <c r="R10" s="1" t="str">
        <f aca="false">$B10</f>
        <v>III</v>
      </c>
      <c r="S10" s="1" t="str">
        <f aca="false">$B10</f>
        <v>III</v>
      </c>
      <c r="T10" s="1" t="str">
        <f aca="false">$B10</f>
        <v>III</v>
      </c>
      <c r="U10" s="1" t="str">
        <f aca="false">$B10</f>
        <v>III</v>
      </c>
      <c r="V10" s="1" t="str">
        <f aca="false">$B10</f>
        <v>III</v>
      </c>
      <c r="W10" s="1" t="str">
        <f aca="false">$B10</f>
        <v>III</v>
      </c>
      <c r="X10" s="1" t="str">
        <f aca="false">$B10</f>
        <v>III</v>
      </c>
      <c r="Y10" s="1" t="str">
        <f aca="false">$B10</f>
        <v>III</v>
      </c>
      <c r="Z10" s="1" t="str">
        <f aca="false">$B10</f>
        <v>III</v>
      </c>
      <c r="AA10" s="1" t="str">
        <f aca="false">$B10</f>
        <v>III</v>
      </c>
      <c r="AB10" s="1" t="str">
        <f aca="false">$B10</f>
        <v>III</v>
      </c>
      <c r="AC10" s="1" t="str">
        <f aca="false">$B10</f>
        <v>III</v>
      </c>
      <c r="AD10" s="1" t="str">
        <f aca="false">$B10</f>
        <v>III</v>
      </c>
      <c r="AE10" s="1" t="str">
        <f aca="false">$B10</f>
        <v>III</v>
      </c>
      <c r="AF10" s="1" t="str">
        <f aca="false">$B10</f>
        <v>III</v>
      </c>
      <c r="AG10" s="1" t="str">
        <f aca="false">$B10</f>
        <v>III</v>
      </c>
      <c r="AH10" s="1" t="str">
        <f aca="false">$B10</f>
        <v>III</v>
      </c>
      <c r="AI10" s="1" t="str">
        <f aca="false">$B10</f>
        <v>III</v>
      </c>
      <c r="AJ10" s="1" t="str">
        <f aca="false">$B10</f>
        <v>III</v>
      </c>
      <c r="AK10" s="1" t="str">
        <f aca="false">$B10</f>
        <v>III</v>
      </c>
      <c r="AL10" s="1" t="str">
        <f aca="false">$B10</f>
        <v>III</v>
      </c>
      <c r="AM10" s="1" t="str">
        <f aca="false">$B10</f>
        <v>III</v>
      </c>
      <c r="AN10" s="1" t="str">
        <f aca="false">$B10</f>
        <v>III</v>
      </c>
      <c r="AO10" s="1" t="str">
        <f aca="false">$B10</f>
        <v>III</v>
      </c>
      <c r="AP10" s="1" t="str">
        <f aca="false">$B10</f>
        <v>III</v>
      </c>
      <c r="AQ10" s="1" t="str">
        <f aca="false">$B10</f>
        <v>III</v>
      </c>
      <c r="AR10" s="1" t="str">
        <f aca="false">$B10</f>
        <v>III</v>
      </c>
      <c r="AS10" s="1" t="str">
        <f aca="false">$B10</f>
        <v>III</v>
      </c>
      <c r="AT10" s="1" t="str">
        <f aca="false">$B10</f>
        <v>III</v>
      </c>
      <c r="AU10" s="1" t="str">
        <f aca="false">$B10</f>
        <v>III</v>
      </c>
      <c r="AV10" s="1" t="str">
        <f aca="false">$B10</f>
        <v>III</v>
      </c>
      <c r="AW10" s="1" t="str">
        <f aca="false">$B10</f>
        <v>III</v>
      </c>
      <c r="AX10" s="1" t="str">
        <f aca="false">$B10</f>
        <v>III</v>
      </c>
      <c r="AY10" s="1" t="str">
        <f aca="false">$B10</f>
        <v>III</v>
      </c>
      <c r="AZ10" s="1" t="str">
        <f aca="false">$B10</f>
        <v>III</v>
      </c>
      <c r="BA10" s="1" t="str">
        <f aca="false">$B10</f>
        <v>III</v>
      </c>
      <c r="BB10" s="1" t="str">
        <f aca="false">$B10</f>
        <v>III</v>
      </c>
      <c r="BC10" s="1" t="str">
        <f aca="false">$B10</f>
        <v>III</v>
      </c>
      <c r="BD10" s="1" t="str">
        <f aca="false">$B10</f>
        <v>III</v>
      </c>
      <c r="BE10" s="1" t="str">
        <f aca="false">$B10</f>
        <v>III</v>
      </c>
      <c r="BF10" s="1" t="str">
        <f aca="false">$B10</f>
        <v>III</v>
      </c>
      <c r="BG10" s="1" t="str">
        <f aca="false">$B10</f>
        <v>III</v>
      </c>
      <c r="BH10" s="1" t="str">
        <f aca="false">$B10</f>
        <v>III</v>
      </c>
      <c r="BI10" s="1" t="str">
        <f aca="false">$B10</f>
        <v>III</v>
      </c>
      <c r="BJ10" s="1" t="str">
        <f aca="false">$B10</f>
        <v>III</v>
      </c>
      <c r="BK10" s="1" t="str">
        <f aca="false">$B10</f>
        <v>III</v>
      </c>
      <c r="BL10" s="1" t="str">
        <f aca="false">$B10</f>
        <v>III</v>
      </c>
      <c r="BM10" s="1" t="str">
        <f aca="false">$B10</f>
        <v>III</v>
      </c>
      <c r="BN10" s="1" t="str">
        <f aca="false">$B10</f>
        <v>III</v>
      </c>
      <c r="BO10" s="1" t="str">
        <f aca="false">$B10</f>
        <v>III</v>
      </c>
    </row>
    <row r="11" customFormat="false" ht="12.75" hidden="false" customHeight="false" outlineLevel="0" collapsed="false">
      <c r="A11" s="1" t="n">
        <f aca="false">A10-1</f>
        <v>2016</v>
      </c>
      <c r="B11" s="1" t="s">
        <v>321</v>
      </c>
      <c r="C11" s="1" t="s">
        <v>321</v>
      </c>
      <c r="D11" s="1" t="n">
        <v>2</v>
      </c>
      <c r="E11" s="1" t="n">
        <v>2</v>
      </c>
      <c r="F11" s="1" t="str">
        <f aca="false">$B11</f>
        <v>II</v>
      </c>
      <c r="G11" s="1" t="str">
        <f aca="false">$B11</f>
        <v>II</v>
      </c>
      <c r="H11" s="1" t="str">
        <f aca="false">$B11</f>
        <v>II</v>
      </c>
      <c r="I11" s="1" t="str">
        <f aca="false">$B11</f>
        <v>II</v>
      </c>
      <c r="J11" s="1" t="str">
        <f aca="false">$B11</f>
        <v>II</v>
      </c>
      <c r="K11" s="1" t="str">
        <f aca="false">$B11</f>
        <v>II</v>
      </c>
      <c r="L11" s="1" t="str">
        <f aca="false">$B11</f>
        <v>II</v>
      </c>
      <c r="M11" s="1" t="str">
        <f aca="false">$B11</f>
        <v>II</v>
      </c>
      <c r="N11" s="1" t="str">
        <f aca="false">$B11</f>
        <v>II</v>
      </c>
      <c r="O11" s="1" t="str">
        <f aca="false">$B11</f>
        <v>II</v>
      </c>
      <c r="P11" s="1" t="str">
        <f aca="false">$B11</f>
        <v>II</v>
      </c>
      <c r="Q11" s="1" t="str">
        <f aca="false">$B11</f>
        <v>II</v>
      </c>
      <c r="R11" s="1" t="str">
        <f aca="false">$B11</f>
        <v>II</v>
      </c>
      <c r="S11" s="1" t="str">
        <f aca="false">$B11</f>
        <v>II</v>
      </c>
      <c r="T11" s="1" t="str">
        <f aca="false">$B11</f>
        <v>II</v>
      </c>
      <c r="U11" s="1" t="str">
        <f aca="false">$B11</f>
        <v>II</v>
      </c>
      <c r="V11" s="1" t="str">
        <f aca="false">$B11</f>
        <v>II</v>
      </c>
      <c r="W11" s="1" t="str">
        <f aca="false">$B11</f>
        <v>II</v>
      </c>
      <c r="X11" s="1" t="str">
        <f aca="false">$B11</f>
        <v>II</v>
      </c>
      <c r="Y11" s="1" t="str">
        <f aca="false">$B11</f>
        <v>II</v>
      </c>
      <c r="Z11" s="1" t="str">
        <f aca="false">$B11</f>
        <v>II</v>
      </c>
      <c r="AA11" s="1" t="str">
        <f aca="false">$B11</f>
        <v>II</v>
      </c>
      <c r="AB11" s="1" t="str">
        <f aca="false">$B11</f>
        <v>II</v>
      </c>
      <c r="AC11" s="1" t="str">
        <f aca="false">$B11</f>
        <v>II</v>
      </c>
      <c r="AD11" s="1" t="str">
        <f aca="false">$B11</f>
        <v>II</v>
      </c>
      <c r="AE11" s="1" t="str">
        <f aca="false">$B11</f>
        <v>II</v>
      </c>
      <c r="AF11" s="1" t="str">
        <f aca="false">$B11</f>
        <v>II</v>
      </c>
      <c r="AG11" s="1" t="str">
        <f aca="false">$B11</f>
        <v>II</v>
      </c>
      <c r="AH11" s="1" t="str">
        <f aca="false">$B11</f>
        <v>II</v>
      </c>
      <c r="AI11" s="1" t="str">
        <f aca="false">$B11</f>
        <v>II</v>
      </c>
      <c r="AJ11" s="1" t="str">
        <f aca="false">$B11</f>
        <v>II</v>
      </c>
      <c r="AK11" s="1" t="str">
        <f aca="false">$B11</f>
        <v>II</v>
      </c>
      <c r="AL11" s="1" t="str">
        <f aca="false">$B11</f>
        <v>II</v>
      </c>
      <c r="AM11" s="1" t="str">
        <f aca="false">$B11</f>
        <v>II</v>
      </c>
      <c r="AN11" s="1" t="str">
        <f aca="false">$B11</f>
        <v>II</v>
      </c>
      <c r="AO11" s="1" t="str">
        <f aca="false">$B11</f>
        <v>II</v>
      </c>
      <c r="AP11" s="1" t="str">
        <f aca="false">$B11</f>
        <v>II</v>
      </c>
      <c r="AQ11" s="1" t="str">
        <f aca="false">$B11</f>
        <v>II</v>
      </c>
      <c r="AR11" s="1" t="str">
        <f aca="false">$B11</f>
        <v>II</v>
      </c>
      <c r="AS11" s="1" t="str">
        <f aca="false">$B11</f>
        <v>II</v>
      </c>
      <c r="AT11" s="1" t="str">
        <f aca="false">$B11</f>
        <v>II</v>
      </c>
      <c r="AU11" s="1" t="str">
        <f aca="false">$B11</f>
        <v>II</v>
      </c>
      <c r="AV11" s="1" t="str">
        <f aca="false">$B11</f>
        <v>II</v>
      </c>
      <c r="AW11" s="1" t="str">
        <f aca="false">$B11</f>
        <v>II</v>
      </c>
      <c r="AX11" s="1" t="str">
        <f aca="false">$B11</f>
        <v>II</v>
      </c>
      <c r="AY11" s="1" t="str">
        <f aca="false">$B11</f>
        <v>II</v>
      </c>
      <c r="AZ11" s="1" t="str">
        <f aca="false">$B11</f>
        <v>II</v>
      </c>
      <c r="BA11" s="1" t="str">
        <f aca="false">$B11</f>
        <v>II</v>
      </c>
      <c r="BB11" s="1" t="str">
        <f aca="false">$B11</f>
        <v>II</v>
      </c>
      <c r="BC11" s="1" t="str">
        <f aca="false">$B11</f>
        <v>II</v>
      </c>
      <c r="BD11" s="1" t="str">
        <f aca="false">$B11</f>
        <v>II</v>
      </c>
      <c r="BE11" s="1" t="str">
        <f aca="false">$B11</f>
        <v>II</v>
      </c>
      <c r="BF11" s="1" t="str">
        <f aca="false">$B11</f>
        <v>II</v>
      </c>
      <c r="BG11" s="1" t="str">
        <f aca="false">$B11</f>
        <v>II</v>
      </c>
      <c r="BH11" s="1" t="str">
        <f aca="false">$B11</f>
        <v>II</v>
      </c>
      <c r="BI11" s="1" t="str">
        <f aca="false">$B11</f>
        <v>II</v>
      </c>
      <c r="BJ11" s="1" t="str">
        <f aca="false">$B11</f>
        <v>II</v>
      </c>
      <c r="BK11" s="1" t="str">
        <f aca="false">$B11</f>
        <v>II</v>
      </c>
      <c r="BL11" s="1" t="str">
        <f aca="false">$B11</f>
        <v>II</v>
      </c>
      <c r="BM11" s="1" t="str">
        <f aca="false">$B11</f>
        <v>II</v>
      </c>
      <c r="BN11" s="1" t="str">
        <f aca="false">$B11</f>
        <v>II</v>
      </c>
      <c r="BO11" s="1" t="str">
        <f aca="false">$B11</f>
        <v>II</v>
      </c>
    </row>
    <row r="12" customFormat="false" ht="12.75" hidden="false" customHeight="false" outlineLevel="0" collapsed="false">
      <c r="A12" s="1" t="n">
        <f aca="false">A11-1</f>
        <v>2015</v>
      </c>
      <c r="B12" s="1" t="s">
        <v>321</v>
      </c>
      <c r="C12" s="1" t="s">
        <v>321</v>
      </c>
      <c r="D12" s="1" t="n">
        <v>2</v>
      </c>
      <c r="E12" s="1" t="n">
        <v>2</v>
      </c>
      <c r="F12" s="1" t="str">
        <f aca="false">$B12</f>
        <v>II</v>
      </c>
      <c r="G12" s="1" t="str">
        <f aca="false">$B12</f>
        <v>II</v>
      </c>
      <c r="H12" s="1" t="str">
        <f aca="false">$B12</f>
        <v>II</v>
      </c>
      <c r="I12" s="1" t="str">
        <f aca="false">$B12</f>
        <v>II</v>
      </c>
      <c r="J12" s="1" t="str">
        <f aca="false">$B12</f>
        <v>II</v>
      </c>
      <c r="K12" s="1" t="str">
        <f aca="false">$B12</f>
        <v>II</v>
      </c>
      <c r="L12" s="1" t="str">
        <f aca="false">$B12</f>
        <v>II</v>
      </c>
      <c r="M12" s="1" t="str">
        <f aca="false">$B12</f>
        <v>II</v>
      </c>
      <c r="N12" s="1" t="str">
        <f aca="false">$B12</f>
        <v>II</v>
      </c>
      <c r="O12" s="1" t="str">
        <f aca="false">$B12</f>
        <v>II</v>
      </c>
      <c r="P12" s="1" t="str">
        <f aca="false">$B12</f>
        <v>II</v>
      </c>
      <c r="Q12" s="1" t="str">
        <f aca="false">$B12</f>
        <v>II</v>
      </c>
      <c r="R12" s="1" t="str">
        <f aca="false">$B12</f>
        <v>II</v>
      </c>
      <c r="S12" s="1" t="str">
        <f aca="false">$B12</f>
        <v>II</v>
      </c>
      <c r="T12" s="1" t="str">
        <f aca="false">$B12</f>
        <v>II</v>
      </c>
      <c r="U12" s="1" t="str">
        <f aca="false">$B12</f>
        <v>II</v>
      </c>
      <c r="V12" s="1" t="str">
        <f aca="false">$B12</f>
        <v>II</v>
      </c>
      <c r="W12" s="1" t="str">
        <f aca="false">$B12</f>
        <v>II</v>
      </c>
      <c r="X12" s="1" t="str">
        <f aca="false">$B12</f>
        <v>II</v>
      </c>
      <c r="Y12" s="1" t="str">
        <f aca="false">$B12</f>
        <v>II</v>
      </c>
      <c r="Z12" s="1" t="str">
        <f aca="false">$B12</f>
        <v>II</v>
      </c>
      <c r="AA12" s="1" t="str">
        <f aca="false">$B12</f>
        <v>II</v>
      </c>
      <c r="AB12" s="1" t="str">
        <f aca="false">$B12</f>
        <v>II</v>
      </c>
      <c r="AC12" s="1" t="str">
        <f aca="false">$B12</f>
        <v>II</v>
      </c>
      <c r="AD12" s="1" t="str">
        <f aca="false">$B12</f>
        <v>II</v>
      </c>
      <c r="AE12" s="1" t="str">
        <f aca="false">$B12</f>
        <v>II</v>
      </c>
      <c r="AF12" s="1" t="str">
        <f aca="false">$B12</f>
        <v>II</v>
      </c>
      <c r="AG12" s="1" t="str">
        <f aca="false">$B12</f>
        <v>II</v>
      </c>
      <c r="AH12" s="1" t="str">
        <f aca="false">$B12</f>
        <v>II</v>
      </c>
      <c r="AI12" s="1" t="str">
        <f aca="false">$B12</f>
        <v>II</v>
      </c>
      <c r="AJ12" s="1" t="str">
        <f aca="false">$B12</f>
        <v>II</v>
      </c>
      <c r="AK12" s="1" t="str">
        <f aca="false">$B12</f>
        <v>II</v>
      </c>
      <c r="AL12" s="1" t="str">
        <f aca="false">$B12</f>
        <v>II</v>
      </c>
      <c r="AM12" s="1" t="str">
        <f aca="false">$B12</f>
        <v>II</v>
      </c>
      <c r="AN12" s="1" t="str">
        <f aca="false">$B12</f>
        <v>II</v>
      </c>
      <c r="AO12" s="1" t="str">
        <f aca="false">$B12</f>
        <v>II</v>
      </c>
      <c r="AP12" s="1" t="str">
        <f aca="false">$B12</f>
        <v>II</v>
      </c>
      <c r="AQ12" s="1" t="str">
        <f aca="false">$B12</f>
        <v>II</v>
      </c>
      <c r="AR12" s="1" t="str">
        <f aca="false">$B12</f>
        <v>II</v>
      </c>
      <c r="AS12" s="1" t="str">
        <f aca="false">$B12</f>
        <v>II</v>
      </c>
      <c r="AT12" s="1" t="str">
        <f aca="false">$B12</f>
        <v>II</v>
      </c>
      <c r="AU12" s="1" t="str">
        <f aca="false">$B12</f>
        <v>II</v>
      </c>
      <c r="AV12" s="1" t="str">
        <f aca="false">$B12</f>
        <v>II</v>
      </c>
      <c r="AW12" s="1" t="str">
        <f aca="false">$B12</f>
        <v>II</v>
      </c>
      <c r="AX12" s="1" t="str">
        <f aca="false">$B12</f>
        <v>II</v>
      </c>
      <c r="AY12" s="1" t="str">
        <f aca="false">$B12</f>
        <v>II</v>
      </c>
      <c r="AZ12" s="1" t="str">
        <f aca="false">$B12</f>
        <v>II</v>
      </c>
      <c r="BA12" s="1" t="str">
        <f aca="false">$B12</f>
        <v>II</v>
      </c>
      <c r="BB12" s="1" t="str">
        <f aca="false">$B12</f>
        <v>II</v>
      </c>
      <c r="BC12" s="1" t="str">
        <f aca="false">$B12</f>
        <v>II</v>
      </c>
      <c r="BD12" s="1" t="str">
        <f aca="false">$B12</f>
        <v>II</v>
      </c>
      <c r="BE12" s="1" t="str">
        <f aca="false">$B12</f>
        <v>II</v>
      </c>
      <c r="BF12" s="1" t="str">
        <f aca="false">$B12</f>
        <v>II</v>
      </c>
      <c r="BG12" s="1" t="str">
        <f aca="false">$B12</f>
        <v>II</v>
      </c>
      <c r="BH12" s="1" t="str">
        <f aca="false">$B12</f>
        <v>II</v>
      </c>
      <c r="BI12" s="1" t="str">
        <f aca="false">$B12</f>
        <v>II</v>
      </c>
      <c r="BJ12" s="1" t="str">
        <f aca="false">$B12</f>
        <v>II</v>
      </c>
      <c r="BK12" s="1" t="str">
        <f aca="false">$B12</f>
        <v>II</v>
      </c>
      <c r="BL12" s="1" t="str">
        <f aca="false">$B12</f>
        <v>II</v>
      </c>
      <c r="BM12" s="1" t="str">
        <f aca="false">$B12</f>
        <v>II</v>
      </c>
      <c r="BN12" s="1" t="str">
        <f aca="false">$B12</f>
        <v>II</v>
      </c>
      <c r="BO12" s="1" t="str">
        <f aca="false">$B12</f>
        <v>II</v>
      </c>
    </row>
    <row r="13" customFormat="false" ht="12.75" hidden="false" customHeight="false" outlineLevel="0" collapsed="false">
      <c r="A13" s="1" t="n">
        <f aca="false">A12-1</f>
        <v>2014</v>
      </c>
      <c r="B13" s="1" t="s">
        <v>321</v>
      </c>
      <c r="C13" s="1" t="s">
        <v>321</v>
      </c>
      <c r="D13" s="1" t="n">
        <v>2</v>
      </c>
      <c r="E13" s="1" t="n">
        <v>2</v>
      </c>
      <c r="F13" s="1" t="str">
        <f aca="false">$B13</f>
        <v>II</v>
      </c>
      <c r="G13" s="1" t="str">
        <f aca="false">$B13</f>
        <v>II</v>
      </c>
      <c r="H13" s="1" t="str">
        <f aca="false">$B13</f>
        <v>II</v>
      </c>
      <c r="I13" s="1" t="str">
        <f aca="false">$B13</f>
        <v>II</v>
      </c>
      <c r="J13" s="1" t="str">
        <f aca="false">$B13</f>
        <v>II</v>
      </c>
      <c r="K13" s="1" t="str">
        <f aca="false">$B13</f>
        <v>II</v>
      </c>
      <c r="L13" s="1" t="str">
        <f aca="false">$B13</f>
        <v>II</v>
      </c>
      <c r="M13" s="1" t="str">
        <f aca="false">$B13</f>
        <v>II</v>
      </c>
      <c r="N13" s="1" t="str">
        <f aca="false">$B13</f>
        <v>II</v>
      </c>
      <c r="O13" s="1" t="str">
        <f aca="false">$B13</f>
        <v>II</v>
      </c>
      <c r="P13" s="1" t="str">
        <f aca="false">$B13</f>
        <v>II</v>
      </c>
      <c r="Q13" s="1" t="str">
        <f aca="false">$B13</f>
        <v>II</v>
      </c>
      <c r="R13" s="1" t="str">
        <f aca="false">$B13</f>
        <v>II</v>
      </c>
      <c r="S13" s="1" t="str">
        <f aca="false">$B13</f>
        <v>II</v>
      </c>
      <c r="T13" s="1" t="str">
        <f aca="false">$B13</f>
        <v>II</v>
      </c>
      <c r="U13" s="1" t="str">
        <f aca="false">$B13</f>
        <v>II</v>
      </c>
      <c r="V13" s="1" t="str">
        <f aca="false">$B13</f>
        <v>II</v>
      </c>
      <c r="W13" s="1" t="str">
        <f aca="false">$B13</f>
        <v>II</v>
      </c>
      <c r="X13" s="1" t="str">
        <f aca="false">$B13</f>
        <v>II</v>
      </c>
      <c r="Y13" s="1" t="str">
        <f aca="false">$B13</f>
        <v>II</v>
      </c>
      <c r="Z13" s="1" t="str">
        <f aca="false">$B13</f>
        <v>II</v>
      </c>
      <c r="AA13" s="1" t="str">
        <f aca="false">$B13</f>
        <v>II</v>
      </c>
      <c r="AB13" s="1" t="str">
        <f aca="false">$B13</f>
        <v>II</v>
      </c>
      <c r="AC13" s="1" t="str">
        <f aca="false">$B13</f>
        <v>II</v>
      </c>
      <c r="AD13" s="1" t="str">
        <f aca="false">$B13</f>
        <v>II</v>
      </c>
      <c r="AE13" s="1" t="str">
        <f aca="false">$B13</f>
        <v>II</v>
      </c>
      <c r="AF13" s="1" t="str">
        <f aca="false">$B13</f>
        <v>II</v>
      </c>
      <c r="AG13" s="1" t="str">
        <f aca="false">$B13</f>
        <v>II</v>
      </c>
      <c r="AH13" s="1" t="str">
        <f aca="false">$B13</f>
        <v>II</v>
      </c>
      <c r="AI13" s="1" t="str">
        <f aca="false">$B13</f>
        <v>II</v>
      </c>
      <c r="AJ13" s="1" t="str">
        <f aca="false">$B13</f>
        <v>II</v>
      </c>
      <c r="AK13" s="1" t="str">
        <f aca="false">$B13</f>
        <v>II</v>
      </c>
      <c r="AL13" s="1" t="str">
        <f aca="false">$B13</f>
        <v>II</v>
      </c>
      <c r="AM13" s="1" t="str">
        <f aca="false">$B13</f>
        <v>II</v>
      </c>
      <c r="AN13" s="1" t="str">
        <f aca="false">$B13</f>
        <v>II</v>
      </c>
      <c r="AO13" s="1" t="str">
        <f aca="false">$B13</f>
        <v>II</v>
      </c>
      <c r="AP13" s="1" t="str">
        <f aca="false">$B13</f>
        <v>II</v>
      </c>
      <c r="AQ13" s="1" t="str">
        <f aca="false">$B13</f>
        <v>II</v>
      </c>
      <c r="AR13" s="1" t="str">
        <f aca="false">$B13</f>
        <v>II</v>
      </c>
      <c r="AS13" s="1" t="str">
        <f aca="false">$B13</f>
        <v>II</v>
      </c>
      <c r="AT13" s="1" t="str">
        <f aca="false">$B13</f>
        <v>II</v>
      </c>
      <c r="AU13" s="1" t="str">
        <f aca="false">$B13</f>
        <v>II</v>
      </c>
      <c r="AV13" s="1" t="str">
        <f aca="false">$B13</f>
        <v>II</v>
      </c>
      <c r="AW13" s="1" t="str">
        <f aca="false">$B13</f>
        <v>II</v>
      </c>
      <c r="AX13" s="1" t="str">
        <f aca="false">$B13</f>
        <v>II</v>
      </c>
      <c r="AY13" s="1" t="str">
        <f aca="false">$B13</f>
        <v>II</v>
      </c>
      <c r="AZ13" s="1" t="str">
        <f aca="false">$B13</f>
        <v>II</v>
      </c>
      <c r="BA13" s="1" t="str">
        <f aca="false">$B13</f>
        <v>II</v>
      </c>
      <c r="BB13" s="1" t="str">
        <f aca="false">$B13</f>
        <v>II</v>
      </c>
      <c r="BC13" s="1" t="str">
        <f aca="false">$B13</f>
        <v>II</v>
      </c>
      <c r="BD13" s="1" t="str">
        <f aca="false">$B13</f>
        <v>II</v>
      </c>
      <c r="BE13" s="1" t="str">
        <f aca="false">$B13</f>
        <v>II</v>
      </c>
      <c r="BF13" s="1" t="str">
        <f aca="false">$B13</f>
        <v>II</v>
      </c>
      <c r="BG13" s="1" t="str">
        <f aca="false">$B13</f>
        <v>II</v>
      </c>
      <c r="BH13" s="1" t="str">
        <f aca="false">$B13</f>
        <v>II</v>
      </c>
      <c r="BI13" s="1" t="str">
        <f aca="false">$B13</f>
        <v>II</v>
      </c>
      <c r="BJ13" s="1" t="str">
        <f aca="false">$B13</f>
        <v>II</v>
      </c>
      <c r="BK13" s="1" t="str">
        <f aca="false">$B13</f>
        <v>II</v>
      </c>
      <c r="BL13" s="1" t="str">
        <f aca="false">$B13</f>
        <v>II</v>
      </c>
      <c r="BM13" s="1" t="str">
        <f aca="false">$B13</f>
        <v>II</v>
      </c>
      <c r="BN13" s="1" t="str">
        <f aca="false">$B13</f>
        <v>II</v>
      </c>
      <c r="BO13" s="1" t="str">
        <f aca="false">$B13</f>
        <v>II</v>
      </c>
    </row>
    <row r="14" customFormat="false" ht="12.75" hidden="false" customHeight="false" outlineLevel="0" collapsed="false">
      <c r="A14" s="1" t="n">
        <f aca="false">A13-1</f>
        <v>2013</v>
      </c>
      <c r="B14" s="1" t="s">
        <v>321</v>
      </c>
      <c r="C14" s="1" t="s">
        <v>321</v>
      </c>
      <c r="D14" s="1" t="n">
        <v>2</v>
      </c>
      <c r="E14" s="1" t="n">
        <v>2</v>
      </c>
      <c r="F14" s="1" t="str">
        <f aca="false">$B14</f>
        <v>II</v>
      </c>
      <c r="G14" s="1" t="str">
        <f aca="false">$B14</f>
        <v>II</v>
      </c>
      <c r="H14" s="1" t="str">
        <f aca="false">$B14</f>
        <v>II</v>
      </c>
      <c r="I14" s="1" t="str">
        <f aca="false">$B14</f>
        <v>II</v>
      </c>
      <c r="J14" s="1" t="str">
        <f aca="false">$B14</f>
        <v>II</v>
      </c>
      <c r="K14" s="1" t="str">
        <f aca="false">$B14</f>
        <v>II</v>
      </c>
      <c r="L14" s="1" t="str">
        <f aca="false">$B14</f>
        <v>II</v>
      </c>
      <c r="M14" s="1" t="str">
        <f aca="false">$B14</f>
        <v>II</v>
      </c>
      <c r="N14" s="1" t="str">
        <f aca="false">$B14</f>
        <v>II</v>
      </c>
      <c r="O14" s="1" t="str">
        <f aca="false">$B14</f>
        <v>II</v>
      </c>
      <c r="P14" s="1" t="str">
        <f aca="false">$B14</f>
        <v>II</v>
      </c>
      <c r="Q14" s="1" t="str">
        <f aca="false">$B14</f>
        <v>II</v>
      </c>
      <c r="R14" s="1" t="str">
        <f aca="false">$B14</f>
        <v>II</v>
      </c>
      <c r="S14" s="1" t="str">
        <f aca="false">$B14</f>
        <v>II</v>
      </c>
      <c r="T14" s="1" t="str">
        <f aca="false">$B14</f>
        <v>II</v>
      </c>
      <c r="U14" s="1" t="str">
        <f aca="false">$B14</f>
        <v>II</v>
      </c>
      <c r="V14" s="1" t="str">
        <f aca="false">$B14</f>
        <v>II</v>
      </c>
      <c r="W14" s="1" t="str">
        <f aca="false">$B14</f>
        <v>II</v>
      </c>
      <c r="X14" s="1" t="str">
        <f aca="false">$B14</f>
        <v>II</v>
      </c>
      <c r="Y14" s="1" t="str">
        <f aca="false">$B14</f>
        <v>II</v>
      </c>
      <c r="Z14" s="1" t="str">
        <f aca="false">$B14</f>
        <v>II</v>
      </c>
      <c r="AA14" s="1" t="str">
        <f aca="false">$B14</f>
        <v>II</v>
      </c>
      <c r="AB14" s="1" t="str">
        <f aca="false">$B14</f>
        <v>II</v>
      </c>
      <c r="AC14" s="1" t="str">
        <f aca="false">$B14</f>
        <v>II</v>
      </c>
      <c r="AD14" s="1" t="str">
        <f aca="false">$B14</f>
        <v>II</v>
      </c>
      <c r="AE14" s="1" t="str">
        <f aca="false">$B14</f>
        <v>II</v>
      </c>
      <c r="AF14" s="1" t="str">
        <f aca="false">$B14</f>
        <v>II</v>
      </c>
      <c r="AG14" s="1" t="str">
        <f aca="false">$B14</f>
        <v>II</v>
      </c>
      <c r="AH14" s="1" t="str">
        <f aca="false">$B14</f>
        <v>II</v>
      </c>
      <c r="AI14" s="1" t="str">
        <f aca="false">$B14</f>
        <v>II</v>
      </c>
      <c r="AJ14" s="1" t="str">
        <f aca="false">$B14</f>
        <v>II</v>
      </c>
      <c r="AK14" s="1" t="str">
        <f aca="false">$B14</f>
        <v>II</v>
      </c>
      <c r="AL14" s="1" t="str">
        <f aca="false">$B14</f>
        <v>II</v>
      </c>
      <c r="AM14" s="1" t="str">
        <f aca="false">$B14</f>
        <v>II</v>
      </c>
      <c r="AN14" s="1" t="str">
        <f aca="false">$B14</f>
        <v>II</v>
      </c>
      <c r="AO14" s="1" t="str">
        <f aca="false">$B14</f>
        <v>II</v>
      </c>
      <c r="AP14" s="1" t="str">
        <f aca="false">$B14</f>
        <v>II</v>
      </c>
      <c r="AQ14" s="1" t="str">
        <f aca="false">$B14</f>
        <v>II</v>
      </c>
      <c r="AR14" s="1" t="str">
        <f aca="false">$B14</f>
        <v>II</v>
      </c>
      <c r="AS14" s="1" t="str">
        <f aca="false">$B14</f>
        <v>II</v>
      </c>
      <c r="AT14" s="1" t="str">
        <f aca="false">$B14</f>
        <v>II</v>
      </c>
      <c r="AU14" s="1" t="str">
        <f aca="false">$B14</f>
        <v>II</v>
      </c>
      <c r="AV14" s="1" t="str">
        <f aca="false">$B14</f>
        <v>II</v>
      </c>
      <c r="AW14" s="1" t="str">
        <f aca="false">$B14</f>
        <v>II</v>
      </c>
      <c r="AX14" s="1" t="str">
        <f aca="false">$B14</f>
        <v>II</v>
      </c>
      <c r="AY14" s="1" t="str">
        <f aca="false">$B14</f>
        <v>II</v>
      </c>
      <c r="AZ14" s="1" t="str">
        <f aca="false">$B14</f>
        <v>II</v>
      </c>
      <c r="BA14" s="1" t="str">
        <f aca="false">$B14</f>
        <v>II</v>
      </c>
      <c r="BB14" s="1" t="str">
        <f aca="false">$B14</f>
        <v>II</v>
      </c>
      <c r="BC14" s="1" t="str">
        <f aca="false">$B14</f>
        <v>II</v>
      </c>
      <c r="BD14" s="1" t="str">
        <f aca="false">$B14</f>
        <v>II</v>
      </c>
      <c r="BE14" s="1" t="str">
        <f aca="false">$B14</f>
        <v>II</v>
      </c>
      <c r="BF14" s="1" t="str">
        <f aca="false">$B14</f>
        <v>II</v>
      </c>
      <c r="BG14" s="1" t="str">
        <f aca="false">$B14</f>
        <v>II</v>
      </c>
      <c r="BH14" s="1" t="str">
        <f aca="false">$B14</f>
        <v>II</v>
      </c>
      <c r="BI14" s="1" t="str">
        <f aca="false">$B14</f>
        <v>II</v>
      </c>
      <c r="BJ14" s="1" t="str">
        <f aca="false">$B14</f>
        <v>II</v>
      </c>
      <c r="BK14" s="1" t="str">
        <f aca="false">$B14</f>
        <v>II</v>
      </c>
      <c r="BL14" s="1" t="str">
        <f aca="false">$B14</f>
        <v>II</v>
      </c>
      <c r="BM14" s="1" t="str">
        <f aca="false">$B14</f>
        <v>II</v>
      </c>
      <c r="BN14" s="1" t="str">
        <f aca="false">$B14</f>
        <v>II</v>
      </c>
      <c r="BO14" s="1" t="str">
        <f aca="false">$B14</f>
        <v>II</v>
      </c>
    </row>
    <row r="15" customFormat="false" ht="12.75" hidden="false" customHeight="false" outlineLevel="0" collapsed="false">
      <c r="A15" s="1" t="n">
        <f aca="false">A14-1</f>
        <v>2012</v>
      </c>
      <c r="B15" s="1" t="s">
        <v>321</v>
      </c>
      <c r="C15" s="1" t="s">
        <v>321</v>
      </c>
      <c r="D15" s="1" t="n">
        <v>2</v>
      </c>
      <c r="E15" s="1" t="n">
        <v>2</v>
      </c>
      <c r="F15" s="1" t="str">
        <f aca="false">$B15</f>
        <v>II</v>
      </c>
      <c r="G15" s="1" t="str">
        <f aca="false">$B15</f>
        <v>II</v>
      </c>
      <c r="H15" s="1" t="str">
        <f aca="false">$B15</f>
        <v>II</v>
      </c>
      <c r="I15" s="1" t="str">
        <f aca="false">$B15</f>
        <v>II</v>
      </c>
      <c r="J15" s="1" t="str">
        <f aca="false">$B15</f>
        <v>II</v>
      </c>
      <c r="K15" s="1" t="str">
        <f aca="false">$B15</f>
        <v>II</v>
      </c>
      <c r="L15" s="1" t="str">
        <f aca="false">$B15</f>
        <v>II</v>
      </c>
      <c r="M15" s="1" t="str">
        <f aca="false">$B15</f>
        <v>II</v>
      </c>
      <c r="N15" s="1" t="str">
        <f aca="false">$B15</f>
        <v>II</v>
      </c>
      <c r="O15" s="1" t="str">
        <f aca="false">$B15</f>
        <v>II</v>
      </c>
      <c r="P15" s="1" t="str">
        <f aca="false">$B15</f>
        <v>II</v>
      </c>
      <c r="Q15" s="1" t="str">
        <f aca="false">$B15</f>
        <v>II</v>
      </c>
      <c r="R15" s="1" t="str">
        <f aca="false">$B15</f>
        <v>II</v>
      </c>
      <c r="S15" s="1" t="str">
        <f aca="false">$B15</f>
        <v>II</v>
      </c>
      <c r="T15" s="1" t="str">
        <f aca="false">$B15</f>
        <v>II</v>
      </c>
      <c r="U15" s="1" t="str">
        <f aca="false">$B15</f>
        <v>II</v>
      </c>
      <c r="V15" s="1" t="str">
        <f aca="false">$B15</f>
        <v>II</v>
      </c>
      <c r="W15" s="1" t="str">
        <f aca="false">$B15</f>
        <v>II</v>
      </c>
      <c r="X15" s="1" t="str">
        <f aca="false">$B15</f>
        <v>II</v>
      </c>
      <c r="Y15" s="1" t="str">
        <f aca="false">$B15</f>
        <v>II</v>
      </c>
      <c r="Z15" s="1" t="str">
        <f aca="false">$B15</f>
        <v>II</v>
      </c>
      <c r="AA15" s="1" t="str">
        <f aca="false">$B15</f>
        <v>II</v>
      </c>
      <c r="AB15" s="1" t="str">
        <f aca="false">$B15</f>
        <v>II</v>
      </c>
      <c r="AC15" s="1" t="str">
        <f aca="false">$B15</f>
        <v>II</v>
      </c>
      <c r="AD15" s="1" t="str">
        <f aca="false">$B15</f>
        <v>II</v>
      </c>
      <c r="AE15" s="1" t="str">
        <f aca="false">$B15</f>
        <v>II</v>
      </c>
      <c r="AF15" s="1" t="str">
        <f aca="false">$B15</f>
        <v>II</v>
      </c>
      <c r="AG15" s="1" t="str">
        <f aca="false">$B15</f>
        <v>II</v>
      </c>
      <c r="AH15" s="1" t="str">
        <f aca="false">$B15</f>
        <v>II</v>
      </c>
      <c r="AI15" s="1" t="str">
        <f aca="false">$B15</f>
        <v>II</v>
      </c>
      <c r="AJ15" s="1" t="str">
        <f aca="false">$B15</f>
        <v>II</v>
      </c>
      <c r="AK15" s="1" t="str">
        <f aca="false">$B15</f>
        <v>II</v>
      </c>
      <c r="AL15" s="1" t="str">
        <f aca="false">$B15</f>
        <v>II</v>
      </c>
      <c r="AM15" s="1" t="str">
        <f aca="false">$B15</f>
        <v>II</v>
      </c>
      <c r="AN15" s="1" t="str">
        <f aca="false">$B15</f>
        <v>II</v>
      </c>
      <c r="AO15" s="1" t="str">
        <f aca="false">$B15</f>
        <v>II</v>
      </c>
      <c r="AP15" s="1" t="str">
        <f aca="false">$B15</f>
        <v>II</v>
      </c>
      <c r="AQ15" s="1" t="str">
        <f aca="false">$B15</f>
        <v>II</v>
      </c>
      <c r="AR15" s="1" t="str">
        <f aca="false">$B15</f>
        <v>II</v>
      </c>
      <c r="AS15" s="1" t="str">
        <f aca="false">$B15</f>
        <v>II</v>
      </c>
      <c r="AT15" s="1" t="str">
        <f aca="false">$B15</f>
        <v>II</v>
      </c>
      <c r="AU15" s="1" t="str">
        <f aca="false">$B15</f>
        <v>II</v>
      </c>
      <c r="AV15" s="1" t="str">
        <f aca="false">$B15</f>
        <v>II</v>
      </c>
      <c r="AW15" s="1" t="str">
        <f aca="false">$B15</f>
        <v>II</v>
      </c>
      <c r="AX15" s="1" t="str">
        <f aca="false">$B15</f>
        <v>II</v>
      </c>
      <c r="AY15" s="1" t="str">
        <f aca="false">$B15</f>
        <v>II</v>
      </c>
      <c r="AZ15" s="1" t="str">
        <f aca="false">$B15</f>
        <v>II</v>
      </c>
      <c r="BA15" s="1" t="str">
        <f aca="false">$B15</f>
        <v>II</v>
      </c>
      <c r="BB15" s="1" t="str">
        <f aca="false">$B15</f>
        <v>II</v>
      </c>
      <c r="BC15" s="1" t="str">
        <f aca="false">$B15</f>
        <v>II</v>
      </c>
      <c r="BD15" s="1" t="str">
        <f aca="false">$B15</f>
        <v>II</v>
      </c>
      <c r="BE15" s="1" t="str">
        <f aca="false">$B15</f>
        <v>II</v>
      </c>
      <c r="BF15" s="1" t="str">
        <f aca="false">$B15</f>
        <v>II</v>
      </c>
      <c r="BG15" s="1" t="str">
        <f aca="false">$B15</f>
        <v>II</v>
      </c>
      <c r="BH15" s="1" t="str">
        <f aca="false">$B15</f>
        <v>II</v>
      </c>
      <c r="BI15" s="1" t="str">
        <f aca="false">$B15</f>
        <v>II</v>
      </c>
      <c r="BJ15" s="1" t="str">
        <f aca="false">$B15</f>
        <v>II</v>
      </c>
      <c r="BK15" s="1" t="str">
        <f aca="false">$B15</f>
        <v>II</v>
      </c>
      <c r="BL15" s="1" t="str">
        <f aca="false">$B15</f>
        <v>II</v>
      </c>
      <c r="BM15" s="1" t="str">
        <f aca="false">$B15</f>
        <v>II</v>
      </c>
      <c r="BN15" s="1" t="str">
        <f aca="false">$B15</f>
        <v>II</v>
      </c>
      <c r="BO15" s="1" t="str">
        <f aca="false">$B15</f>
        <v>II</v>
      </c>
    </row>
    <row r="16" customFormat="false" ht="12.75" hidden="false" customHeight="false" outlineLevel="0" collapsed="false">
      <c r="A16" s="1" t="n">
        <f aca="false">A15-1</f>
        <v>2011</v>
      </c>
      <c r="B16" s="1" t="s">
        <v>321</v>
      </c>
      <c r="C16" s="1" t="s">
        <v>321</v>
      </c>
      <c r="D16" s="1" t="n">
        <v>2</v>
      </c>
      <c r="E16" s="1" t="n">
        <v>2</v>
      </c>
      <c r="F16" s="1" t="str">
        <f aca="false">$B16</f>
        <v>II</v>
      </c>
      <c r="G16" s="1" t="str">
        <f aca="false">$B16</f>
        <v>II</v>
      </c>
      <c r="H16" s="1" t="str">
        <f aca="false">$B16</f>
        <v>II</v>
      </c>
      <c r="I16" s="1" t="str">
        <f aca="false">$B16</f>
        <v>II</v>
      </c>
      <c r="J16" s="1" t="str">
        <f aca="false">$B16</f>
        <v>II</v>
      </c>
      <c r="K16" s="1" t="str">
        <f aca="false">$B16</f>
        <v>II</v>
      </c>
      <c r="L16" s="1" t="str">
        <f aca="false">$B16</f>
        <v>II</v>
      </c>
      <c r="M16" s="1" t="str">
        <f aca="false">$B16</f>
        <v>II</v>
      </c>
      <c r="N16" s="1" t="str">
        <f aca="false">$B16</f>
        <v>II</v>
      </c>
      <c r="O16" s="1" t="str">
        <f aca="false">$B16</f>
        <v>II</v>
      </c>
      <c r="P16" s="1" t="str">
        <f aca="false">$B16</f>
        <v>II</v>
      </c>
      <c r="Q16" s="1" t="str">
        <f aca="false">$B16</f>
        <v>II</v>
      </c>
      <c r="R16" s="1" t="str">
        <f aca="false">$B16</f>
        <v>II</v>
      </c>
      <c r="S16" s="1" t="str">
        <f aca="false">$B16</f>
        <v>II</v>
      </c>
      <c r="T16" s="1" t="str">
        <f aca="false">$B16</f>
        <v>II</v>
      </c>
      <c r="U16" s="1" t="str">
        <f aca="false">$B16</f>
        <v>II</v>
      </c>
      <c r="V16" s="1" t="str">
        <f aca="false">$B16</f>
        <v>II</v>
      </c>
      <c r="W16" s="1" t="str">
        <f aca="false">$B16</f>
        <v>II</v>
      </c>
      <c r="X16" s="1" t="str">
        <f aca="false">$B16</f>
        <v>II</v>
      </c>
      <c r="Y16" s="1" t="str">
        <f aca="false">$B16</f>
        <v>II</v>
      </c>
      <c r="Z16" s="1" t="str">
        <f aca="false">$B16</f>
        <v>II</v>
      </c>
      <c r="AA16" s="1" t="str">
        <f aca="false">$B16</f>
        <v>II</v>
      </c>
      <c r="AB16" s="1" t="str">
        <f aca="false">$B16</f>
        <v>II</v>
      </c>
      <c r="AC16" s="1" t="str">
        <f aca="false">$B16</f>
        <v>II</v>
      </c>
      <c r="AD16" s="1" t="str">
        <f aca="false">$B16</f>
        <v>II</v>
      </c>
      <c r="AE16" s="1" t="str">
        <f aca="false">$B16</f>
        <v>II</v>
      </c>
      <c r="AF16" s="1" t="str">
        <f aca="false">$B16</f>
        <v>II</v>
      </c>
      <c r="AG16" s="1" t="str">
        <f aca="false">$B16</f>
        <v>II</v>
      </c>
      <c r="AH16" s="1" t="str">
        <f aca="false">$B16</f>
        <v>II</v>
      </c>
      <c r="AI16" s="1" t="str">
        <f aca="false">$B16</f>
        <v>II</v>
      </c>
      <c r="AJ16" s="1" t="str">
        <f aca="false">$B16</f>
        <v>II</v>
      </c>
      <c r="AK16" s="1" t="str">
        <f aca="false">$B16</f>
        <v>II</v>
      </c>
      <c r="AL16" s="1" t="str">
        <f aca="false">$B16</f>
        <v>II</v>
      </c>
      <c r="AM16" s="1" t="str">
        <f aca="false">$B16</f>
        <v>II</v>
      </c>
      <c r="AN16" s="1" t="str">
        <f aca="false">$B16</f>
        <v>II</v>
      </c>
      <c r="AO16" s="1" t="str">
        <f aca="false">$B16</f>
        <v>II</v>
      </c>
      <c r="AP16" s="1" t="str">
        <f aca="false">$B16</f>
        <v>II</v>
      </c>
      <c r="AQ16" s="1" t="str">
        <f aca="false">$B16</f>
        <v>II</v>
      </c>
      <c r="AR16" s="1" t="str">
        <f aca="false">$B16</f>
        <v>II</v>
      </c>
      <c r="AS16" s="1" t="str">
        <f aca="false">$B16</f>
        <v>II</v>
      </c>
      <c r="AT16" s="1" t="str">
        <f aca="false">$B16</f>
        <v>II</v>
      </c>
      <c r="AU16" s="1" t="str">
        <f aca="false">$B16</f>
        <v>II</v>
      </c>
      <c r="AV16" s="1" t="str">
        <f aca="false">$B16</f>
        <v>II</v>
      </c>
      <c r="AW16" s="1" t="str">
        <f aca="false">$B16</f>
        <v>II</v>
      </c>
      <c r="AX16" s="1" t="str">
        <f aca="false">$B16</f>
        <v>II</v>
      </c>
      <c r="AY16" s="1" t="str">
        <f aca="false">$B16</f>
        <v>II</v>
      </c>
      <c r="AZ16" s="1" t="str">
        <f aca="false">$B16</f>
        <v>II</v>
      </c>
      <c r="BA16" s="1" t="str">
        <f aca="false">$B16</f>
        <v>II</v>
      </c>
      <c r="BB16" s="1" t="str">
        <f aca="false">$B16</f>
        <v>II</v>
      </c>
      <c r="BC16" s="1" t="str">
        <f aca="false">$B16</f>
        <v>II</v>
      </c>
      <c r="BD16" s="1" t="str">
        <f aca="false">$B16</f>
        <v>II</v>
      </c>
      <c r="BE16" s="1" t="str">
        <f aca="false">$B16</f>
        <v>II</v>
      </c>
      <c r="BF16" s="1" t="str">
        <f aca="false">$B16</f>
        <v>II</v>
      </c>
      <c r="BG16" s="1" t="str">
        <f aca="false">$B16</f>
        <v>II</v>
      </c>
      <c r="BH16" s="1" t="str">
        <f aca="false">$B16</f>
        <v>II</v>
      </c>
      <c r="BI16" s="1" t="str">
        <f aca="false">$B16</f>
        <v>II</v>
      </c>
      <c r="BJ16" s="1" t="str">
        <f aca="false">$B16</f>
        <v>II</v>
      </c>
      <c r="BK16" s="1" t="str">
        <f aca="false">$B16</f>
        <v>II</v>
      </c>
      <c r="BL16" s="1" t="str">
        <f aca="false">$B16</f>
        <v>II</v>
      </c>
      <c r="BM16" s="1" t="str">
        <f aca="false">$B16</f>
        <v>II</v>
      </c>
      <c r="BN16" s="1" t="str">
        <f aca="false">$B16</f>
        <v>II</v>
      </c>
      <c r="BO16" s="1" t="str">
        <f aca="false">$B16</f>
        <v>II</v>
      </c>
    </row>
    <row r="17" customFormat="false" ht="12.75" hidden="false" customHeight="false" outlineLevel="0" collapsed="false">
      <c r="A17" s="1" t="n">
        <f aca="false">A16-1</f>
        <v>2010</v>
      </c>
      <c r="B17" s="1" t="s">
        <v>321</v>
      </c>
      <c r="C17" s="1" t="s">
        <v>321</v>
      </c>
      <c r="D17" s="1" t="n">
        <v>2</v>
      </c>
      <c r="E17" s="1" t="n">
        <v>2</v>
      </c>
      <c r="F17" s="1" t="str">
        <f aca="false">$B17</f>
        <v>II</v>
      </c>
      <c r="G17" s="1" t="str">
        <f aca="false">$B17</f>
        <v>II</v>
      </c>
      <c r="H17" s="1" t="str">
        <f aca="false">$B17</f>
        <v>II</v>
      </c>
      <c r="I17" s="1" t="str">
        <f aca="false">$B17</f>
        <v>II</v>
      </c>
      <c r="J17" s="1" t="str">
        <f aca="false">$B17</f>
        <v>II</v>
      </c>
      <c r="K17" s="1" t="str">
        <f aca="false">$B17</f>
        <v>II</v>
      </c>
      <c r="L17" s="1" t="str">
        <f aca="false">$B17</f>
        <v>II</v>
      </c>
      <c r="M17" s="1" t="str">
        <f aca="false">$B17</f>
        <v>II</v>
      </c>
      <c r="N17" s="1" t="str">
        <f aca="false">$B17</f>
        <v>II</v>
      </c>
      <c r="O17" s="1" t="str">
        <f aca="false">$B17</f>
        <v>II</v>
      </c>
      <c r="P17" s="1" t="str">
        <f aca="false">$B17</f>
        <v>II</v>
      </c>
      <c r="Q17" s="1" t="str">
        <f aca="false">$B17</f>
        <v>II</v>
      </c>
      <c r="R17" s="1" t="str">
        <f aca="false">$B17</f>
        <v>II</v>
      </c>
      <c r="S17" s="1" t="str">
        <f aca="false">$B17</f>
        <v>II</v>
      </c>
      <c r="T17" s="1" t="str">
        <f aca="false">$B17</f>
        <v>II</v>
      </c>
      <c r="U17" s="1" t="str">
        <f aca="false">$B17</f>
        <v>II</v>
      </c>
      <c r="V17" s="1" t="str">
        <f aca="false">$B17</f>
        <v>II</v>
      </c>
      <c r="W17" s="1" t="str">
        <f aca="false">$B17</f>
        <v>II</v>
      </c>
      <c r="X17" s="1" t="str">
        <f aca="false">$B17</f>
        <v>II</v>
      </c>
      <c r="Y17" s="1" t="str">
        <f aca="false">$B17</f>
        <v>II</v>
      </c>
      <c r="Z17" s="1" t="str">
        <f aca="false">$B17</f>
        <v>II</v>
      </c>
      <c r="AA17" s="1" t="str">
        <f aca="false">$B17</f>
        <v>II</v>
      </c>
      <c r="AB17" s="1" t="str">
        <f aca="false">$B17</f>
        <v>II</v>
      </c>
      <c r="AC17" s="1" t="str">
        <f aca="false">$B17</f>
        <v>II</v>
      </c>
      <c r="AD17" s="1" t="str">
        <f aca="false">$B17</f>
        <v>II</v>
      </c>
      <c r="AE17" s="1" t="str">
        <f aca="false">$B17</f>
        <v>II</v>
      </c>
      <c r="AF17" s="1" t="str">
        <f aca="false">$B17</f>
        <v>II</v>
      </c>
      <c r="AG17" s="1" t="str">
        <f aca="false">$B17</f>
        <v>II</v>
      </c>
      <c r="AH17" s="1" t="str">
        <f aca="false">$B17</f>
        <v>II</v>
      </c>
      <c r="AI17" s="1" t="str">
        <f aca="false">$B17</f>
        <v>II</v>
      </c>
      <c r="AJ17" s="1" t="str">
        <f aca="false">$B17</f>
        <v>II</v>
      </c>
      <c r="AK17" s="1" t="str">
        <f aca="false">$B17</f>
        <v>II</v>
      </c>
      <c r="AL17" s="1" t="str">
        <f aca="false">$B17</f>
        <v>II</v>
      </c>
      <c r="AM17" s="1" t="str">
        <f aca="false">$B17</f>
        <v>II</v>
      </c>
      <c r="AN17" s="1" t="str">
        <f aca="false">$B17</f>
        <v>II</v>
      </c>
      <c r="AO17" s="1" t="str">
        <f aca="false">$B17</f>
        <v>II</v>
      </c>
      <c r="AP17" s="1" t="str">
        <f aca="false">$B17</f>
        <v>II</v>
      </c>
      <c r="AQ17" s="1" t="str">
        <f aca="false">$B17</f>
        <v>II</v>
      </c>
      <c r="AR17" s="1" t="str">
        <f aca="false">$B17</f>
        <v>II</v>
      </c>
      <c r="AS17" s="1" t="str">
        <f aca="false">$B17</f>
        <v>II</v>
      </c>
      <c r="AT17" s="1" t="str">
        <f aca="false">$B17</f>
        <v>II</v>
      </c>
      <c r="AU17" s="1" t="str">
        <f aca="false">$B17</f>
        <v>II</v>
      </c>
      <c r="AV17" s="1" t="str">
        <f aca="false">$B17</f>
        <v>II</v>
      </c>
      <c r="AW17" s="1" t="str">
        <f aca="false">$B17</f>
        <v>II</v>
      </c>
      <c r="AX17" s="1" t="str">
        <f aca="false">$B17</f>
        <v>II</v>
      </c>
      <c r="AY17" s="1" t="str">
        <f aca="false">$B17</f>
        <v>II</v>
      </c>
      <c r="AZ17" s="1" t="str">
        <f aca="false">$B17</f>
        <v>II</v>
      </c>
      <c r="BA17" s="1" t="str">
        <f aca="false">$B17</f>
        <v>II</v>
      </c>
      <c r="BB17" s="1" t="str">
        <f aca="false">$B17</f>
        <v>II</v>
      </c>
      <c r="BC17" s="1" t="str">
        <f aca="false">$B17</f>
        <v>II</v>
      </c>
      <c r="BD17" s="1" t="str">
        <f aca="false">$B17</f>
        <v>II</v>
      </c>
      <c r="BE17" s="1" t="str">
        <f aca="false">$B17</f>
        <v>II</v>
      </c>
      <c r="BF17" s="1" t="str">
        <f aca="false">$B17</f>
        <v>II</v>
      </c>
      <c r="BG17" s="1" t="str">
        <f aca="false">$B17</f>
        <v>II</v>
      </c>
      <c r="BH17" s="1" t="str">
        <f aca="false">$B17</f>
        <v>II</v>
      </c>
      <c r="BI17" s="1" t="str">
        <f aca="false">$B17</f>
        <v>II</v>
      </c>
      <c r="BJ17" s="1" t="str">
        <f aca="false">$B17</f>
        <v>II</v>
      </c>
      <c r="BK17" s="1" t="str">
        <f aca="false">$B17</f>
        <v>II</v>
      </c>
      <c r="BL17" s="1" t="str">
        <f aca="false">$B17</f>
        <v>II</v>
      </c>
      <c r="BM17" s="1" t="str">
        <f aca="false">$B17</f>
        <v>II</v>
      </c>
      <c r="BN17" s="1" t="str">
        <f aca="false">$B17</f>
        <v>II</v>
      </c>
      <c r="BO17" s="1" t="str">
        <f aca="false">$B17</f>
        <v>II</v>
      </c>
    </row>
    <row r="18" customFormat="false" ht="12.75" hidden="false" customHeight="false" outlineLevel="0" collapsed="false">
      <c r="A18" s="1" t="n">
        <f aca="false">A17-1</f>
        <v>2009</v>
      </c>
      <c r="B18" s="1" t="s">
        <v>321</v>
      </c>
      <c r="C18" s="1" t="s">
        <v>321</v>
      </c>
      <c r="D18" s="1" t="n">
        <v>2</v>
      </c>
      <c r="E18" s="1" t="n">
        <v>2</v>
      </c>
      <c r="F18" s="1" t="str">
        <f aca="false">$B18</f>
        <v>II</v>
      </c>
      <c r="G18" s="1" t="str">
        <f aca="false">$B18</f>
        <v>II</v>
      </c>
      <c r="H18" s="1" t="str">
        <f aca="false">$B18</f>
        <v>II</v>
      </c>
      <c r="I18" s="1" t="str">
        <f aca="false">$B18</f>
        <v>II</v>
      </c>
      <c r="J18" s="1" t="str">
        <f aca="false">$B18</f>
        <v>II</v>
      </c>
      <c r="K18" s="1" t="str">
        <f aca="false">$B18</f>
        <v>II</v>
      </c>
      <c r="L18" s="1" t="str">
        <f aca="false">$B18</f>
        <v>II</v>
      </c>
      <c r="M18" s="1" t="str">
        <f aca="false">$B18</f>
        <v>II</v>
      </c>
      <c r="N18" s="1" t="str">
        <f aca="false">$B18</f>
        <v>II</v>
      </c>
      <c r="O18" s="1" t="str">
        <f aca="false">$B18</f>
        <v>II</v>
      </c>
      <c r="P18" s="1" t="str">
        <f aca="false">$B18</f>
        <v>II</v>
      </c>
      <c r="Q18" s="1" t="str">
        <f aca="false">$B18</f>
        <v>II</v>
      </c>
      <c r="R18" s="1" t="str">
        <f aca="false">$B18</f>
        <v>II</v>
      </c>
      <c r="S18" s="1" t="str">
        <f aca="false">$B18</f>
        <v>II</v>
      </c>
      <c r="T18" s="1" t="str">
        <f aca="false">$B18</f>
        <v>II</v>
      </c>
      <c r="U18" s="1" t="str">
        <f aca="false">$B18</f>
        <v>II</v>
      </c>
      <c r="V18" s="1" t="str">
        <f aca="false">$B18</f>
        <v>II</v>
      </c>
      <c r="W18" s="1" t="str">
        <f aca="false">$B18</f>
        <v>II</v>
      </c>
      <c r="X18" s="1" t="str">
        <f aca="false">$B18</f>
        <v>II</v>
      </c>
      <c r="Y18" s="1" t="str">
        <f aca="false">$B18</f>
        <v>II</v>
      </c>
      <c r="Z18" s="1" t="str">
        <f aca="false">$B18</f>
        <v>II</v>
      </c>
      <c r="AA18" s="1" t="str">
        <f aca="false">$B18</f>
        <v>II</v>
      </c>
      <c r="AB18" s="1" t="str">
        <f aca="false">$B18</f>
        <v>II</v>
      </c>
      <c r="AC18" s="1" t="str">
        <f aca="false">$B18</f>
        <v>II</v>
      </c>
      <c r="AD18" s="1" t="str">
        <f aca="false">$B18</f>
        <v>II</v>
      </c>
      <c r="AE18" s="1" t="str">
        <f aca="false">$B18</f>
        <v>II</v>
      </c>
      <c r="AF18" s="1" t="str">
        <f aca="false">$B18</f>
        <v>II</v>
      </c>
      <c r="AG18" s="1" t="str">
        <f aca="false">$B18</f>
        <v>II</v>
      </c>
      <c r="AH18" s="1" t="str">
        <f aca="false">$B18</f>
        <v>II</v>
      </c>
      <c r="AI18" s="1" t="str">
        <f aca="false">$B18</f>
        <v>II</v>
      </c>
      <c r="AJ18" s="1" t="str">
        <f aca="false">$B18</f>
        <v>II</v>
      </c>
      <c r="AK18" s="1" t="str">
        <f aca="false">$B18</f>
        <v>II</v>
      </c>
      <c r="AL18" s="1" t="str">
        <f aca="false">$B18</f>
        <v>II</v>
      </c>
      <c r="AM18" s="1" t="str">
        <f aca="false">$B18</f>
        <v>II</v>
      </c>
      <c r="AN18" s="1" t="str">
        <f aca="false">$B18</f>
        <v>II</v>
      </c>
      <c r="AO18" s="1" t="str">
        <f aca="false">$B18</f>
        <v>II</v>
      </c>
      <c r="AP18" s="1" t="str">
        <f aca="false">$B18</f>
        <v>II</v>
      </c>
      <c r="AQ18" s="1" t="str">
        <f aca="false">$B18</f>
        <v>II</v>
      </c>
      <c r="AR18" s="1" t="str">
        <f aca="false">$B18</f>
        <v>II</v>
      </c>
      <c r="AS18" s="1" t="str">
        <f aca="false">$B18</f>
        <v>II</v>
      </c>
      <c r="AT18" s="1" t="str">
        <f aca="false">$B18</f>
        <v>II</v>
      </c>
      <c r="AU18" s="1" t="str">
        <f aca="false">$B18</f>
        <v>II</v>
      </c>
      <c r="AV18" s="1" t="str">
        <f aca="false">$B18</f>
        <v>II</v>
      </c>
      <c r="AW18" s="1" t="str">
        <f aca="false">$B18</f>
        <v>II</v>
      </c>
      <c r="AX18" s="1" t="str">
        <f aca="false">$B18</f>
        <v>II</v>
      </c>
      <c r="AY18" s="1" t="str">
        <f aca="false">$B18</f>
        <v>II</v>
      </c>
      <c r="AZ18" s="1" t="str">
        <f aca="false">$B18</f>
        <v>II</v>
      </c>
      <c r="BA18" s="1" t="str">
        <f aca="false">$B18</f>
        <v>II</v>
      </c>
      <c r="BB18" s="1" t="str">
        <f aca="false">$B18</f>
        <v>II</v>
      </c>
      <c r="BC18" s="1" t="str">
        <f aca="false">$B18</f>
        <v>II</v>
      </c>
      <c r="BD18" s="1" t="str">
        <f aca="false">$B18</f>
        <v>II</v>
      </c>
      <c r="BE18" s="1" t="str">
        <f aca="false">$B18</f>
        <v>II</v>
      </c>
      <c r="BF18" s="1" t="str">
        <f aca="false">$B18</f>
        <v>II</v>
      </c>
      <c r="BG18" s="1" t="str">
        <f aca="false">$B18</f>
        <v>II</v>
      </c>
      <c r="BH18" s="1" t="str">
        <f aca="false">$B18</f>
        <v>II</v>
      </c>
      <c r="BI18" s="1" t="str">
        <f aca="false">$B18</f>
        <v>II</v>
      </c>
      <c r="BJ18" s="1" t="str">
        <f aca="false">$B18</f>
        <v>II</v>
      </c>
      <c r="BK18" s="1" t="str">
        <f aca="false">$B18</f>
        <v>II</v>
      </c>
      <c r="BL18" s="1" t="str">
        <f aca="false">$B18</f>
        <v>II</v>
      </c>
      <c r="BM18" s="1" t="str">
        <f aca="false">$B18</f>
        <v>II</v>
      </c>
      <c r="BN18" s="1" t="str">
        <f aca="false">$B18</f>
        <v>II</v>
      </c>
      <c r="BO18" s="1" t="str">
        <f aca="false">$B18</f>
        <v>II</v>
      </c>
    </row>
    <row r="19" customFormat="false" ht="12.75" hidden="false" customHeight="false" outlineLevel="0" collapsed="false">
      <c r="A19" s="1" t="n">
        <f aca="false">A18-1</f>
        <v>2008</v>
      </c>
      <c r="B19" s="1" t="s">
        <v>321</v>
      </c>
      <c r="C19" s="1" t="s">
        <v>321</v>
      </c>
      <c r="D19" s="1" t="n">
        <v>2</v>
      </c>
      <c r="E19" s="1" t="n">
        <v>2</v>
      </c>
      <c r="F19" s="1" t="str">
        <f aca="false">$B19</f>
        <v>II</v>
      </c>
      <c r="G19" s="1" t="str">
        <f aca="false">$B19</f>
        <v>II</v>
      </c>
      <c r="H19" s="1" t="str">
        <f aca="false">$B19</f>
        <v>II</v>
      </c>
      <c r="I19" s="1" t="str">
        <f aca="false">$B19</f>
        <v>II</v>
      </c>
      <c r="J19" s="1" t="str">
        <f aca="false">$B19</f>
        <v>II</v>
      </c>
      <c r="K19" s="1" t="str">
        <f aca="false">$B19</f>
        <v>II</v>
      </c>
      <c r="L19" s="1" t="str">
        <f aca="false">$B19</f>
        <v>II</v>
      </c>
      <c r="M19" s="1" t="str">
        <f aca="false">$B19</f>
        <v>II</v>
      </c>
      <c r="N19" s="1" t="str">
        <f aca="false">$B19</f>
        <v>II</v>
      </c>
      <c r="O19" s="1" t="str">
        <f aca="false">$B19</f>
        <v>II</v>
      </c>
      <c r="P19" s="1" t="str">
        <f aca="false">$B19</f>
        <v>II</v>
      </c>
      <c r="Q19" s="1" t="str">
        <f aca="false">$B19</f>
        <v>II</v>
      </c>
      <c r="R19" s="1" t="str">
        <f aca="false">$B19</f>
        <v>II</v>
      </c>
      <c r="S19" s="1" t="str">
        <f aca="false">$B19</f>
        <v>II</v>
      </c>
      <c r="T19" s="1" t="str">
        <f aca="false">$B19</f>
        <v>II</v>
      </c>
      <c r="U19" s="1" t="str">
        <f aca="false">$B19</f>
        <v>II</v>
      </c>
      <c r="V19" s="1" t="str">
        <f aca="false">$B19</f>
        <v>II</v>
      </c>
      <c r="W19" s="1" t="str">
        <f aca="false">$B19</f>
        <v>II</v>
      </c>
      <c r="X19" s="1" t="str">
        <f aca="false">$B19</f>
        <v>II</v>
      </c>
      <c r="Y19" s="1" t="str">
        <f aca="false">$B19</f>
        <v>II</v>
      </c>
      <c r="Z19" s="1" t="str">
        <f aca="false">$B19</f>
        <v>II</v>
      </c>
      <c r="AA19" s="1" t="str">
        <f aca="false">$B19</f>
        <v>II</v>
      </c>
      <c r="AB19" s="1" t="str">
        <f aca="false">$B19</f>
        <v>II</v>
      </c>
      <c r="AC19" s="1" t="str">
        <f aca="false">$B19</f>
        <v>II</v>
      </c>
      <c r="AD19" s="1" t="str">
        <f aca="false">$B19</f>
        <v>II</v>
      </c>
      <c r="AE19" s="1" t="str">
        <f aca="false">$B19</f>
        <v>II</v>
      </c>
      <c r="AF19" s="1" t="str">
        <f aca="false">$B19</f>
        <v>II</v>
      </c>
      <c r="AG19" s="1" t="str">
        <f aca="false">$B19</f>
        <v>II</v>
      </c>
      <c r="AH19" s="1" t="str">
        <f aca="false">$B19</f>
        <v>II</v>
      </c>
      <c r="AI19" s="1" t="str">
        <f aca="false">$B19</f>
        <v>II</v>
      </c>
      <c r="AJ19" s="1" t="str">
        <f aca="false">$B19</f>
        <v>II</v>
      </c>
      <c r="AK19" s="1" t="str">
        <f aca="false">$B19</f>
        <v>II</v>
      </c>
      <c r="AL19" s="1" t="str">
        <f aca="false">$B19</f>
        <v>II</v>
      </c>
      <c r="AM19" s="1" t="str">
        <f aca="false">$B19</f>
        <v>II</v>
      </c>
      <c r="AN19" s="1" t="str">
        <f aca="false">$B19</f>
        <v>II</v>
      </c>
      <c r="AO19" s="1" t="str">
        <f aca="false">$B19</f>
        <v>II</v>
      </c>
      <c r="AP19" s="1" t="str">
        <f aca="false">$B19</f>
        <v>II</v>
      </c>
      <c r="AQ19" s="1" t="str">
        <f aca="false">$B19</f>
        <v>II</v>
      </c>
      <c r="AR19" s="1" t="str">
        <f aca="false">$B19</f>
        <v>II</v>
      </c>
      <c r="AS19" s="1" t="str">
        <f aca="false">$B19</f>
        <v>II</v>
      </c>
      <c r="AT19" s="1" t="str">
        <f aca="false">$B19</f>
        <v>II</v>
      </c>
      <c r="AU19" s="1" t="str">
        <f aca="false">$B19</f>
        <v>II</v>
      </c>
      <c r="AV19" s="1" t="str">
        <f aca="false">$B19</f>
        <v>II</v>
      </c>
      <c r="AW19" s="1" t="str">
        <f aca="false">$B19</f>
        <v>II</v>
      </c>
      <c r="AX19" s="1" t="str">
        <f aca="false">$B19</f>
        <v>II</v>
      </c>
      <c r="AY19" s="1" t="str">
        <f aca="false">$B19</f>
        <v>II</v>
      </c>
      <c r="AZ19" s="1" t="str">
        <f aca="false">$B19</f>
        <v>II</v>
      </c>
      <c r="BA19" s="1" t="str">
        <f aca="false">$B19</f>
        <v>II</v>
      </c>
      <c r="BB19" s="1" t="str">
        <f aca="false">$B19</f>
        <v>II</v>
      </c>
      <c r="BC19" s="1" t="str">
        <f aca="false">$B19</f>
        <v>II</v>
      </c>
      <c r="BD19" s="1" t="str">
        <f aca="false">$B19</f>
        <v>II</v>
      </c>
      <c r="BE19" s="1" t="str">
        <f aca="false">$B19</f>
        <v>II</v>
      </c>
      <c r="BF19" s="1" t="str">
        <f aca="false">$B19</f>
        <v>II</v>
      </c>
      <c r="BG19" s="1" t="str">
        <f aca="false">$B19</f>
        <v>II</v>
      </c>
      <c r="BH19" s="1" t="str">
        <f aca="false">$B19</f>
        <v>II</v>
      </c>
      <c r="BI19" s="1" t="str">
        <f aca="false">$B19</f>
        <v>II</v>
      </c>
      <c r="BJ19" s="1" t="str">
        <f aca="false">$B19</f>
        <v>II</v>
      </c>
      <c r="BK19" s="1" t="str">
        <f aca="false">$B19</f>
        <v>II</v>
      </c>
      <c r="BL19" s="1" t="str">
        <f aca="false">$B19</f>
        <v>II</v>
      </c>
      <c r="BM19" s="1" t="str">
        <f aca="false">$B19</f>
        <v>II</v>
      </c>
      <c r="BN19" s="1" t="str">
        <f aca="false">$B19</f>
        <v>II</v>
      </c>
      <c r="BO19" s="1" t="str">
        <f aca="false">$B19</f>
        <v>II</v>
      </c>
    </row>
    <row r="20" customFormat="false" ht="12.75" hidden="false" customHeight="false" outlineLevel="0" collapsed="false">
      <c r="A20" s="1" t="n">
        <f aca="false">A19-1</f>
        <v>2007</v>
      </c>
      <c r="B20" s="1" t="s">
        <v>321</v>
      </c>
      <c r="C20" s="1" t="s">
        <v>321</v>
      </c>
      <c r="D20" s="1" t="n">
        <v>2</v>
      </c>
      <c r="E20" s="1" t="n">
        <v>2</v>
      </c>
      <c r="F20" s="1" t="str">
        <f aca="false">$B20</f>
        <v>II</v>
      </c>
      <c r="G20" s="1" t="str">
        <f aca="false">$B20</f>
        <v>II</v>
      </c>
      <c r="H20" s="1" t="str">
        <f aca="false">$B20</f>
        <v>II</v>
      </c>
      <c r="I20" s="1" t="str">
        <f aca="false">$B20</f>
        <v>II</v>
      </c>
      <c r="J20" s="1" t="str">
        <f aca="false">$B20</f>
        <v>II</v>
      </c>
      <c r="K20" s="1" t="str">
        <f aca="false">$B20</f>
        <v>II</v>
      </c>
      <c r="L20" s="1" t="str">
        <f aca="false">$B20</f>
        <v>II</v>
      </c>
      <c r="M20" s="1" t="str">
        <f aca="false">$B20</f>
        <v>II</v>
      </c>
      <c r="N20" s="1" t="str">
        <f aca="false">$B20</f>
        <v>II</v>
      </c>
      <c r="O20" s="1" t="str">
        <f aca="false">$B20</f>
        <v>II</v>
      </c>
      <c r="P20" s="1" t="str">
        <f aca="false">$B20</f>
        <v>II</v>
      </c>
      <c r="Q20" s="1" t="str">
        <f aca="false">$B20</f>
        <v>II</v>
      </c>
      <c r="R20" s="1" t="str">
        <f aca="false">$B20</f>
        <v>II</v>
      </c>
      <c r="S20" s="1" t="str">
        <f aca="false">$B20</f>
        <v>II</v>
      </c>
      <c r="T20" s="1" t="str">
        <f aca="false">$B20</f>
        <v>II</v>
      </c>
      <c r="U20" s="1" t="str">
        <f aca="false">$B20</f>
        <v>II</v>
      </c>
      <c r="V20" s="1" t="str">
        <f aca="false">$B20</f>
        <v>II</v>
      </c>
      <c r="W20" s="1" t="str">
        <f aca="false">$B20</f>
        <v>II</v>
      </c>
      <c r="X20" s="1" t="str">
        <f aca="false">$B20</f>
        <v>II</v>
      </c>
      <c r="Y20" s="1" t="str">
        <f aca="false">$B20</f>
        <v>II</v>
      </c>
      <c r="Z20" s="1" t="str">
        <f aca="false">$B20</f>
        <v>II</v>
      </c>
      <c r="AA20" s="1" t="str">
        <f aca="false">$B20</f>
        <v>II</v>
      </c>
      <c r="AB20" s="1" t="str">
        <f aca="false">$B20</f>
        <v>II</v>
      </c>
      <c r="AC20" s="1" t="str">
        <f aca="false">$B20</f>
        <v>II</v>
      </c>
      <c r="AD20" s="1" t="str">
        <f aca="false">$B20</f>
        <v>II</v>
      </c>
      <c r="AE20" s="1" t="str">
        <f aca="false">$B20</f>
        <v>II</v>
      </c>
      <c r="AF20" s="1" t="str">
        <f aca="false">$B20</f>
        <v>II</v>
      </c>
      <c r="AG20" s="1" t="str">
        <f aca="false">$B20</f>
        <v>II</v>
      </c>
      <c r="AH20" s="1" t="str">
        <f aca="false">$B20</f>
        <v>II</v>
      </c>
      <c r="AI20" s="1" t="str">
        <f aca="false">$B20</f>
        <v>II</v>
      </c>
      <c r="AJ20" s="1" t="str">
        <f aca="false">$B20</f>
        <v>II</v>
      </c>
      <c r="AK20" s="1" t="str">
        <f aca="false">$B20</f>
        <v>II</v>
      </c>
      <c r="AL20" s="1" t="str">
        <f aca="false">$B20</f>
        <v>II</v>
      </c>
      <c r="AM20" s="1" t="str">
        <f aca="false">$B20</f>
        <v>II</v>
      </c>
      <c r="AN20" s="1" t="str">
        <f aca="false">$B20</f>
        <v>II</v>
      </c>
      <c r="AO20" s="1" t="str">
        <f aca="false">$B20</f>
        <v>II</v>
      </c>
      <c r="AP20" s="1" t="str">
        <f aca="false">$B20</f>
        <v>II</v>
      </c>
      <c r="AQ20" s="1" t="str">
        <f aca="false">$B20</f>
        <v>II</v>
      </c>
      <c r="AR20" s="1" t="str">
        <f aca="false">$B20</f>
        <v>II</v>
      </c>
      <c r="AS20" s="1" t="str">
        <f aca="false">$B20</f>
        <v>II</v>
      </c>
      <c r="AT20" s="1" t="str">
        <f aca="false">$B20</f>
        <v>II</v>
      </c>
      <c r="AU20" s="1" t="str">
        <f aca="false">$B20</f>
        <v>II</v>
      </c>
      <c r="AV20" s="1" t="str">
        <f aca="false">$B20</f>
        <v>II</v>
      </c>
      <c r="AW20" s="1" t="str">
        <f aca="false">$B20</f>
        <v>II</v>
      </c>
      <c r="AX20" s="1" t="str">
        <f aca="false">$B20</f>
        <v>II</v>
      </c>
      <c r="AY20" s="1" t="str">
        <f aca="false">$B20</f>
        <v>II</v>
      </c>
      <c r="AZ20" s="1" t="str">
        <f aca="false">$B20</f>
        <v>II</v>
      </c>
      <c r="BA20" s="1" t="str">
        <f aca="false">$B20</f>
        <v>II</v>
      </c>
      <c r="BB20" s="1" t="str">
        <f aca="false">$B20</f>
        <v>II</v>
      </c>
      <c r="BC20" s="1" t="str">
        <f aca="false">$B20</f>
        <v>II</v>
      </c>
      <c r="BD20" s="1" t="str">
        <f aca="false">$B20</f>
        <v>II</v>
      </c>
      <c r="BE20" s="1" t="str">
        <f aca="false">$B20</f>
        <v>II</v>
      </c>
      <c r="BF20" s="1" t="str">
        <f aca="false">$B20</f>
        <v>II</v>
      </c>
      <c r="BG20" s="1" t="str">
        <f aca="false">$B20</f>
        <v>II</v>
      </c>
      <c r="BH20" s="1" t="str">
        <f aca="false">$B20</f>
        <v>II</v>
      </c>
      <c r="BI20" s="1" t="str">
        <f aca="false">$B20</f>
        <v>II</v>
      </c>
      <c r="BJ20" s="1" t="str">
        <f aca="false">$B20</f>
        <v>II</v>
      </c>
      <c r="BK20" s="1" t="str">
        <f aca="false">$B20</f>
        <v>II</v>
      </c>
      <c r="BL20" s="1" t="str">
        <f aca="false">$B20</f>
        <v>II</v>
      </c>
      <c r="BM20" s="1" t="str">
        <f aca="false">$B20</f>
        <v>II</v>
      </c>
      <c r="BN20" s="1" t="str">
        <f aca="false">$B20</f>
        <v>II</v>
      </c>
      <c r="BO20" s="1" t="str">
        <f aca="false">$B20</f>
        <v>II</v>
      </c>
    </row>
    <row r="21" customFormat="false" ht="12.75" hidden="false" customHeight="false" outlineLevel="0" collapsed="false">
      <c r="A21" s="1" t="n">
        <f aca="false">A20-1</f>
        <v>2006</v>
      </c>
      <c r="B21" s="1" t="s">
        <v>321</v>
      </c>
      <c r="C21" s="1" t="s">
        <v>321</v>
      </c>
      <c r="D21" s="1" t="n">
        <v>2</v>
      </c>
      <c r="E21" s="1" t="n">
        <v>2</v>
      </c>
      <c r="F21" s="1" t="str">
        <f aca="false">$B21</f>
        <v>II</v>
      </c>
      <c r="G21" s="1" t="str">
        <f aca="false">$B21</f>
        <v>II</v>
      </c>
      <c r="H21" s="1" t="str">
        <f aca="false">$B21</f>
        <v>II</v>
      </c>
      <c r="I21" s="1" t="str">
        <f aca="false">$B21</f>
        <v>II</v>
      </c>
      <c r="J21" s="1" t="str">
        <f aca="false">$B21</f>
        <v>II</v>
      </c>
      <c r="K21" s="1" t="str">
        <f aca="false">$B21</f>
        <v>II</v>
      </c>
      <c r="L21" s="1" t="str">
        <f aca="false">$B21</f>
        <v>II</v>
      </c>
      <c r="M21" s="1" t="str">
        <f aca="false">$B21</f>
        <v>II</v>
      </c>
      <c r="N21" s="1" t="str">
        <f aca="false">$B21</f>
        <v>II</v>
      </c>
      <c r="O21" s="1" t="str">
        <f aca="false">$B21</f>
        <v>II</v>
      </c>
      <c r="P21" s="1" t="str">
        <f aca="false">$B21</f>
        <v>II</v>
      </c>
      <c r="Q21" s="1" t="str">
        <f aca="false">$B21</f>
        <v>II</v>
      </c>
      <c r="R21" s="1" t="str">
        <f aca="false">$B21</f>
        <v>II</v>
      </c>
      <c r="S21" s="1" t="str">
        <f aca="false">$B21</f>
        <v>II</v>
      </c>
      <c r="T21" s="1" t="str">
        <f aca="false">$B21</f>
        <v>II</v>
      </c>
      <c r="U21" s="1" t="str">
        <f aca="false">$B21</f>
        <v>II</v>
      </c>
      <c r="V21" s="1" t="str">
        <f aca="false">$B21</f>
        <v>II</v>
      </c>
      <c r="W21" s="1" t="str">
        <f aca="false">$B21</f>
        <v>II</v>
      </c>
      <c r="X21" s="1" t="str">
        <f aca="false">$B21</f>
        <v>II</v>
      </c>
      <c r="Y21" s="1" t="str">
        <f aca="false">$B21</f>
        <v>II</v>
      </c>
      <c r="Z21" s="1" t="str">
        <f aca="false">$B21</f>
        <v>II</v>
      </c>
      <c r="AA21" s="1" t="str">
        <f aca="false">$B21</f>
        <v>II</v>
      </c>
      <c r="AB21" s="1" t="str">
        <f aca="false">$B21</f>
        <v>II</v>
      </c>
      <c r="AC21" s="1" t="str">
        <f aca="false">$B21</f>
        <v>II</v>
      </c>
      <c r="AD21" s="1" t="str">
        <f aca="false">$B21</f>
        <v>II</v>
      </c>
      <c r="AE21" s="1" t="str">
        <f aca="false">$B21</f>
        <v>II</v>
      </c>
      <c r="AF21" s="1" t="str">
        <f aca="false">$B21</f>
        <v>II</v>
      </c>
      <c r="AG21" s="1" t="str">
        <f aca="false">$B21</f>
        <v>II</v>
      </c>
      <c r="AH21" s="1" t="str">
        <f aca="false">$B21</f>
        <v>II</v>
      </c>
      <c r="AI21" s="1" t="str">
        <f aca="false">$B21</f>
        <v>II</v>
      </c>
      <c r="AJ21" s="1" t="str">
        <f aca="false">$B21</f>
        <v>II</v>
      </c>
      <c r="AK21" s="1" t="str">
        <f aca="false">$B21</f>
        <v>II</v>
      </c>
      <c r="AL21" s="1" t="str">
        <f aca="false">$B21</f>
        <v>II</v>
      </c>
      <c r="AM21" s="1" t="str">
        <f aca="false">$B21</f>
        <v>II</v>
      </c>
      <c r="AN21" s="1" t="str">
        <f aca="false">$B21</f>
        <v>II</v>
      </c>
      <c r="AO21" s="1" t="str">
        <f aca="false">$B21</f>
        <v>II</v>
      </c>
      <c r="AP21" s="1" t="str">
        <f aca="false">$B21</f>
        <v>II</v>
      </c>
      <c r="AQ21" s="1" t="str">
        <f aca="false">$B21</f>
        <v>II</v>
      </c>
      <c r="AR21" s="1" t="str">
        <f aca="false">$B21</f>
        <v>II</v>
      </c>
      <c r="AS21" s="1" t="str">
        <f aca="false">$B21</f>
        <v>II</v>
      </c>
      <c r="AT21" s="1" t="str">
        <f aca="false">$B21</f>
        <v>II</v>
      </c>
      <c r="AU21" s="1" t="str">
        <f aca="false">$B21</f>
        <v>II</v>
      </c>
      <c r="AV21" s="1" t="str">
        <f aca="false">$B21</f>
        <v>II</v>
      </c>
      <c r="AW21" s="1" t="str">
        <f aca="false">$B21</f>
        <v>II</v>
      </c>
      <c r="AX21" s="1" t="str">
        <f aca="false">$B21</f>
        <v>II</v>
      </c>
      <c r="AY21" s="1" t="str">
        <f aca="false">$B21</f>
        <v>II</v>
      </c>
      <c r="AZ21" s="1" t="str">
        <f aca="false">$B21</f>
        <v>II</v>
      </c>
      <c r="BA21" s="1" t="str">
        <f aca="false">$B21</f>
        <v>II</v>
      </c>
      <c r="BB21" s="1" t="str">
        <f aca="false">$B21</f>
        <v>II</v>
      </c>
      <c r="BC21" s="1" t="str">
        <f aca="false">$B21</f>
        <v>II</v>
      </c>
      <c r="BD21" s="1" t="str">
        <f aca="false">$B21</f>
        <v>II</v>
      </c>
      <c r="BE21" s="1" t="str">
        <f aca="false">$B21</f>
        <v>II</v>
      </c>
      <c r="BF21" s="1" t="str">
        <f aca="false">$B21</f>
        <v>II</v>
      </c>
      <c r="BG21" s="1" t="str">
        <f aca="false">$B21</f>
        <v>II</v>
      </c>
      <c r="BH21" s="1" t="str">
        <f aca="false">$B21</f>
        <v>II</v>
      </c>
      <c r="BI21" s="1" t="str">
        <f aca="false">$B21</f>
        <v>II</v>
      </c>
      <c r="BJ21" s="1" t="str">
        <f aca="false">$B21</f>
        <v>II</v>
      </c>
      <c r="BK21" s="1" t="str">
        <f aca="false">$B21</f>
        <v>II</v>
      </c>
      <c r="BL21" s="1" t="str">
        <f aca="false">$B21</f>
        <v>II</v>
      </c>
      <c r="BM21" s="1" t="str">
        <f aca="false">$B21</f>
        <v>II</v>
      </c>
      <c r="BN21" s="1" t="str">
        <f aca="false">$B21</f>
        <v>II</v>
      </c>
      <c r="BO21" s="1" t="str">
        <f aca="false">$B21</f>
        <v>II</v>
      </c>
    </row>
    <row r="22" customFormat="false" ht="12.75" hidden="false" customHeight="false" outlineLevel="0" collapsed="false">
      <c r="A22" s="1" t="n">
        <f aca="false">A21-1</f>
        <v>2005</v>
      </c>
      <c r="B22" s="1" t="s">
        <v>321</v>
      </c>
      <c r="C22" s="1" t="s">
        <v>321</v>
      </c>
      <c r="D22" s="1" t="n">
        <v>2</v>
      </c>
      <c r="E22" s="1" t="n">
        <v>2</v>
      </c>
      <c r="F22" s="1" t="str">
        <f aca="false">$B22</f>
        <v>II</v>
      </c>
      <c r="G22" s="1" t="str">
        <f aca="false">$B22</f>
        <v>II</v>
      </c>
      <c r="H22" s="1" t="str">
        <f aca="false">$B22</f>
        <v>II</v>
      </c>
      <c r="I22" s="1" t="str">
        <f aca="false">$B22</f>
        <v>II</v>
      </c>
      <c r="J22" s="1" t="str">
        <f aca="false">$B22</f>
        <v>II</v>
      </c>
      <c r="K22" s="1" t="str">
        <f aca="false">$B22</f>
        <v>II</v>
      </c>
      <c r="L22" s="1" t="str">
        <f aca="false">$B22</f>
        <v>II</v>
      </c>
      <c r="M22" s="1" t="str">
        <f aca="false">$B22</f>
        <v>II</v>
      </c>
      <c r="N22" s="1" t="str">
        <f aca="false">$B22</f>
        <v>II</v>
      </c>
      <c r="O22" s="1" t="str">
        <f aca="false">$B22</f>
        <v>II</v>
      </c>
      <c r="P22" s="1" t="str">
        <f aca="false">$B22</f>
        <v>II</v>
      </c>
      <c r="Q22" s="1" t="str">
        <f aca="false">$B22</f>
        <v>II</v>
      </c>
      <c r="R22" s="1" t="str">
        <f aca="false">$B22</f>
        <v>II</v>
      </c>
      <c r="S22" s="1" t="str">
        <f aca="false">$B22</f>
        <v>II</v>
      </c>
      <c r="T22" s="1" t="str">
        <f aca="false">$B22</f>
        <v>II</v>
      </c>
      <c r="U22" s="1" t="str">
        <f aca="false">$B22</f>
        <v>II</v>
      </c>
      <c r="V22" s="1" t="str">
        <f aca="false">$B22</f>
        <v>II</v>
      </c>
      <c r="W22" s="1" t="str">
        <f aca="false">$B22</f>
        <v>II</v>
      </c>
      <c r="X22" s="1" t="str">
        <f aca="false">$B22</f>
        <v>II</v>
      </c>
      <c r="Y22" s="1" t="str">
        <f aca="false">$B22</f>
        <v>II</v>
      </c>
      <c r="Z22" s="1" t="str">
        <f aca="false">$B22</f>
        <v>II</v>
      </c>
      <c r="AA22" s="1" t="str">
        <f aca="false">$B22</f>
        <v>II</v>
      </c>
      <c r="AB22" s="1" t="str">
        <f aca="false">$B22</f>
        <v>II</v>
      </c>
      <c r="AC22" s="1" t="str">
        <f aca="false">$B22</f>
        <v>II</v>
      </c>
      <c r="AD22" s="1" t="str">
        <f aca="false">$B22</f>
        <v>II</v>
      </c>
      <c r="AE22" s="1" t="str">
        <f aca="false">$B22</f>
        <v>II</v>
      </c>
      <c r="AF22" s="1" t="str">
        <f aca="false">$B22</f>
        <v>II</v>
      </c>
      <c r="AG22" s="1" t="str">
        <f aca="false">$B22</f>
        <v>II</v>
      </c>
      <c r="AH22" s="1" t="str">
        <f aca="false">$B22</f>
        <v>II</v>
      </c>
      <c r="AI22" s="1" t="str">
        <f aca="false">$B22</f>
        <v>II</v>
      </c>
      <c r="AJ22" s="1" t="str">
        <f aca="false">$B22</f>
        <v>II</v>
      </c>
      <c r="AK22" s="1" t="str">
        <f aca="false">$B22</f>
        <v>II</v>
      </c>
      <c r="AL22" s="1" t="str">
        <f aca="false">$B22</f>
        <v>II</v>
      </c>
      <c r="AM22" s="1" t="str">
        <f aca="false">$B22</f>
        <v>II</v>
      </c>
      <c r="AN22" s="1" t="str">
        <f aca="false">$B22</f>
        <v>II</v>
      </c>
      <c r="AO22" s="1" t="str">
        <f aca="false">$B22</f>
        <v>II</v>
      </c>
      <c r="AP22" s="1" t="str">
        <f aca="false">$B22</f>
        <v>II</v>
      </c>
      <c r="AQ22" s="1" t="str">
        <f aca="false">$B22</f>
        <v>II</v>
      </c>
      <c r="AR22" s="1" t="str">
        <f aca="false">$B22</f>
        <v>II</v>
      </c>
      <c r="AS22" s="1" t="str">
        <f aca="false">$B22</f>
        <v>II</v>
      </c>
      <c r="AT22" s="1" t="str">
        <f aca="false">$B22</f>
        <v>II</v>
      </c>
      <c r="AU22" s="1" t="str">
        <f aca="false">$B22</f>
        <v>II</v>
      </c>
      <c r="AV22" s="1" t="str">
        <f aca="false">$B22</f>
        <v>II</v>
      </c>
      <c r="AW22" s="1" t="str">
        <f aca="false">$B22</f>
        <v>II</v>
      </c>
      <c r="AX22" s="1" t="str">
        <f aca="false">$B22</f>
        <v>II</v>
      </c>
      <c r="AY22" s="1" t="str">
        <f aca="false">$B22</f>
        <v>II</v>
      </c>
      <c r="AZ22" s="1" t="str">
        <f aca="false">$B22</f>
        <v>II</v>
      </c>
      <c r="BA22" s="1" t="str">
        <f aca="false">$B22</f>
        <v>II</v>
      </c>
      <c r="BB22" s="1" t="str">
        <f aca="false">$B22</f>
        <v>II</v>
      </c>
      <c r="BC22" s="1" t="str">
        <f aca="false">$B22</f>
        <v>II</v>
      </c>
      <c r="BD22" s="1" t="str">
        <f aca="false">$B22</f>
        <v>II</v>
      </c>
      <c r="BE22" s="1" t="str">
        <f aca="false">$B22</f>
        <v>II</v>
      </c>
      <c r="BF22" s="1" t="str">
        <f aca="false">$B22</f>
        <v>II</v>
      </c>
      <c r="BG22" s="1" t="str">
        <f aca="false">$B22</f>
        <v>II</v>
      </c>
      <c r="BH22" s="1" t="str">
        <f aca="false">$B22</f>
        <v>II</v>
      </c>
      <c r="BI22" s="1" t="str">
        <f aca="false">$B22</f>
        <v>II</v>
      </c>
      <c r="BJ22" s="1" t="str">
        <f aca="false">$B22</f>
        <v>II</v>
      </c>
      <c r="BK22" s="1" t="str">
        <f aca="false">$B22</f>
        <v>II</v>
      </c>
      <c r="BL22" s="1" t="str">
        <f aca="false">$B22</f>
        <v>II</v>
      </c>
      <c r="BM22" s="1" t="str">
        <f aca="false">$B22</f>
        <v>II</v>
      </c>
      <c r="BN22" s="1" t="str">
        <f aca="false">$B22</f>
        <v>II</v>
      </c>
      <c r="BO22" s="1" t="str">
        <f aca="false">$B22</f>
        <v>II</v>
      </c>
    </row>
    <row r="23" customFormat="false" ht="12.75" hidden="false" customHeight="false" outlineLevel="0" collapsed="false">
      <c r="A23" s="1" t="n">
        <f aca="false">A22-1</f>
        <v>2004</v>
      </c>
      <c r="B23" s="1" t="s">
        <v>321</v>
      </c>
      <c r="C23" s="1" t="s">
        <v>321</v>
      </c>
      <c r="D23" s="1" t="n">
        <v>2</v>
      </c>
      <c r="E23" s="1" t="n">
        <v>2</v>
      </c>
      <c r="F23" s="1" t="str">
        <f aca="false">$B23</f>
        <v>II</v>
      </c>
      <c r="G23" s="1" t="str">
        <f aca="false">$B23</f>
        <v>II</v>
      </c>
      <c r="H23" s="1" t="str">
        <f aca="false">$B23</f>
        <v>II</v>
      </c>
      <c r="I23" s="1" t="str">
        <f aca="false">$B23</f>
        <v>II</v>
      </c>
      <c r="J23" s="1" t="str">
        <f aca="false">$B23</f>
        <v>II</v>
      </c>
      <c r="K23" s="1" t="str">
        <f aca="false">$B23</f>
        <v>II</v>
      </c>
      <c r="L23" s="1" t="str">
        <f aca="false">$B23</f>
        <v>II</v>
      </c>
      <c r="M23" s="1" t="str">
        <f aca="false">$B23</f>
        <v>II</v>
      </c>
      <c r="N23" s="1" t="str">
        <f aca="false">$B23</f>
        <v>II</v>
      </c>
      <c r="O23" s="1" t="str">
        <f aca="false">$B23</f>
        <v>II</v>
      </c>
      <c r="P23" s="1" t="str">
        <f aca="false">$B23</f>
        <v>II</v>
      </c>
      <c r="Q23" s="1" t="str">
        <f aca="false">$B23</f>
        <v>II</v>
      </c>
      <c r="R23" s="1" t="str">
        <f aca="false">$B23</f>
        <v>II</v>
      </c>
      <c r="S23" s="1" t="str">
        <f aca="false">$B23</f>
        <v>II</v>
      </c>
      <c r="T23" s="1" t="str">
        <f aca="false">$B23</f>
        <v>II</v>
      </c>
      <c r="U23" s="1" t="str">
        <f aca="false">$B23</f>
        <v>II</v>
      </c>
      <c r="V23" s="1" t="str">
        <f aca="false">$B23</f>
        <v>II</v>
      </c>
      <c r="W23" s="1" t="str">
        <f aca="false">$B23</f>
        <v>II</v>
      </c>
      <c r="X23" s="1" t="str">
        <f aca="false">$B23</f>
        <v>II</v>
      </c>
      <c r="Y23" s="1" t="str">
        <f aca="false">$B23</f>
        <v>II</v>
      </c>
      <c r="Z23" s="1" t="str">
        <f aca="false">$B23</f>
        <v>II</v>
      </c>
      <c r="AA23" s="1" t="str">
        <f aca="false">$B23</f>
        <v>II</v>
      </c>
      <c r="AB23" s="1" t="str">
        <f aca="false">$B23</f>
        <v>II</v>
      </c>
      <c r="AC23" s="1" t="str">
        <f aca="false">$B23</f>
        <v>II</v>
      </c>
      <c r="AD23" s="1" t="str">
        <f aca="false">$B23</f>
        <v>II</v>
      </c>
      <c r="AE23" s="1" t="str">
        <f aca="false">$B23</f>
        <v>II</v>
      </c>
      <c r="AF23" s="1" t="str">
        <f aca="false">$B23</f>
        <v>II</v>
      </c>
      <c r="AG23" s="1" t="str">
        <f aca="false">$B23</f>
        <v>II</v>
      </c>
      <c r="AH23" s="1" t="str">
        <f aca="false">$B23</f>
        <v>II</v>
      </c>
      <c r="AI23" s="1" t="str">
        <f aca="false">$B23</f>
        <v>II</v>
      </c>
      <c r="AJ23" s="1" t="str">
        <f aca="false">$B23</f>
        <v>II</v>
      </c>
      <c r="AK23" s="1" t="str">
        <f aca="false">$B23</f>
        <v>II</v>
      </c>
      <c r="AL23" s="1" t="str">
        <f aca="false">$B23</f>
        <v>II</v>
      </c>
      <c r="AM23" s="1" t="str">
        <f aca="false">$B23</f>
        <v>II</v>
      </c>
      <c r="AN23" s="1" t="str">
        <f aca="false">$B23</f>
        <v>II</v>
      </c>
      <c r="AO23" s="1" t="str">
        <f aca="false">$B23</f>
        <v>II</v>
      </c>
      <c r="AP23" s="1" t="str">
        <f aca="false">$B23</f>
        <v>II</v>
      </c>
      <c r="AQ23" s="1" t="str">
        <f aca="false">$B23</f>
        <v>II</v>
      </c>
      <c r="AR23" s="1" t="str">
        <f aca="false">$B23</f>
        <v>II</v>
      </c>
      <c r="AS23" s="1" t="str">
        <f aca="false">$B23</f>
        <v>II</v>
      </c>
      <c r="AT23" s="1" t="str">
        <f aca="false">$B23</f>
        <v>II</v>
      </c>
      <c r="AU23" s="1" t="str">
        <f aca="false">$B23</f>
        <v>II</v>
      </c>
      <c r="AV23" s="1" t="str">
        <f aca="false">$B23</f>
        <v>II</v>
      </c>
      <c r="AW23" s="1" t="str">
        <f aca="false">$B23</f>
        <v>II</v>
      </c>
      <c r="AX23" s="1" t="str">
        <f aca="false">$B23</f>
        <v>II</v>
      </c>
      <c r="AY23" s="1" t="str">
        <f aca="false">$B23</f>
        <v>II</v>
      </c>
      <c r="AZ23" s="1" t="str">
        <f aca="false">$B23</f>
        <v>II</v>
      </c>
      <c r="BA23" s="1" t="str">
        <f aca="false">$B23</f>
        <v>II</v>
      </c>
      <c r="BB23" s="1" t="str">
        <f aca="false">$B23</f>
        <v>II</v>
      </c>
      <c r="BC23" s="1" t="str">
        <f aca="false">$B23</f>
        <v>II</v>
      </c>
      <c r="BD23" s="1" t="str">
        <f aca="false">$B23</f>
        <v>II</v>
      </c>
      <c r="BE23" s="1" t="str">
        <f aca="false">$B23</f>
        <v>II</v>
      </c>
      <c r="BF23" s="1" t="str">
        <f aca="false">$B23</f>
        <v>II</v>
      </c>
      <c r="BG23" s="1" t="str">
        <f aca="false">$B23</f>
        <v>II</v>
      </c>
      <c r="BH23" s="1" t="str">
        <f aca="false">$B23</f>
        <v>II</v>
      </c>
      <c r="BI23" s="1" t="str">
        <f aca="false">$B23</f>
        <v>II</v>
      </c>
      <c r="BJ23" s="1" t="str">
        <f aca="false">$B23</f>
        <v>II</v>
      </c>
      <c r="BK23" s="1" t="str">
        <f aca="false">$B23</f>
        <v>II</v>
      </c>
      <c r="BL23" s="1" t="str">
        <f aca="false">$B23</f>
        <v>II</v>
      </c>
      <c r="BM23" s="1" t="str">
        <f aca="false">$B23</f>
        <v>II</v>
      </c>
      <c r="BN23" s="1" t="str">
        <f aca="false">$B23</f>
        <v>II</v>
      </c>
      <c r="BO23" s="1" t="str">
        <f aca="false">$B23</f>
        <v>II</v>
      </c>
    </row>
    <row r="24" customFormat="false" ht="12.75" hidden="false" customHeight="false" outlineLevel="0" collapsed="false">
      <c r="A24" s="1" t="n">
        <f aca="false">A23-1</f>
        <v>2003</v>
      </c>
      <c r="B24" s="1" t="s">
        <v>321</v>
      </c>
      <c r="C24" s="1" t="s">
        <v>321</v>
      </c>
      <c r="D24" s="1" t="n">
        <v>2</v>
      </c>
      <c r="E24" s="1" t="n">
        <v>2</v>
      </c>
      <c r="F24" s="1" t="str">
        <f aca="false">$B24</f>
        <v>II</v>
      </c>
      <c r="G24" s="1" t="str">
        <f aca="false">$B24</f>
        <v>II</v>
      </c>
      <c r="H24" s="1" t="str">
        <f aca="false">$B24</f>
        <v>II</v>
      </c>
      <c r="I24" s="1" t="str">
        <f aca="false">$B24</f>
        <v>II</v>
      </c>
      <c r="J24" s="1" t="str">
        <f aca="false">$B24</f>
        <v>II</v>
      </c>
      <c r="K24" s="1" t="str">
        <f aca="false">$B24</f>
        <v>II</v>
      </c>
      <c r="L24" s="1" t="str">
        <f aca="false">$B24</f>
        <v>II</v>
      </c>
      <c r="M24" s="1" t="str">
        <f aca="false">$B24</f>
        <v>II</v>
      </c>
      <c r="N24" s="1" t="str">
        <f aca="false">$B24</f>
        <v>II</v>
      </c>
      <c r="O24" s="1" t="str">
        <f aca="false">$B24</f>
        <v>II</v>
      </c>
      <c r="P24" s="1" t="str">
        <f aca="false">$B24</f>
        <v>II</v>
      </c>
      <c r="Q24" s="1" t="str">
        <f aca="false">$B24</f>
        <v>II</v>
      </c>
      <c r="R24" s="1" t="str">
        <f aca="false">$B24</f>
        <v>II</v>
      </c>
      <c r="S24" s="1" t="str">
        <f aca="false">$B24</f>
        <v>II</v>
      </c>
      <c r="T24" s="1" t="str">
        <f aca="false">$B24</f>
        <v>II</v>
      </c>
      <c r="U24" s="1" t="str">
        <f aca="false">$B24</f>
        <v>II</v>
      </c>
      <c r="V24" s="1" t="str">
        <f aca="false">$B24</f>
        <v>II</v>
      </c>
      <c r="W24" s="1" t="str">
        <f aca="false">$B24</f>
        <v>II</v>
      </c>
      <c r="X24" s="1" t="str">
        <f aca="false">$B24</f>
        <v>II</v>
      </c>
      <c r="Y24" s="1" t="str">
        <f aca="false">$B24</f>
        <v>II</v>
      </c>
      <c r="Z24" s="1" t="str">
        <f aca="false">$B24</f>
        <v>II</v>
      </c>
      <c r="AA24" s="1" t="str">
        <f aca="false">$B24</f>
        <v>II</v>
      </c>
      <c r="AB24" s="1" t="str">
        <f aca="false">$B24</f>
        <v>II</v>
      </c>
      <c r="AC24" s="1" t="str">
        <f aca="false">$B24</f>
        <v>II</v>
      </c>
      <c r="AD24" s="1" t="str">
        <f aca="false">$B24</f>
        <v>II</v>
      </c>
      <c r="AE24" s="1" t="str">
        <f aca="false">$B24</f>
        <v>II</v>
      </c>
      <c r="AF24" s="1" t="str">
        <f aca="false">$B24</f>
        <v>II</v>
      </c>
      <c r="AG24" s="1" t="str">
        <f aca="false">$B24</f>
        <v>II</v>
      </c>
      <c r="AH24" s="1" t="str">
        <f aca="false">$B24</f>
        <v>II</v>
      </c>
      <c r="AI24" s="1" t="str">
        <f aca="false">$B24</f>
        <v>II</v>
      </c>
      <c r="AJ24" s="1" t="str">
        <f aca="false">$B24</f>
        <v>II</v>
      </c>
      <c r="AK24" s="1" t="str">
        <f aca="false">$B24</f>
        <v>II</v>
      </c>
      <c r="AL24" s="1" t="str">
        <f aca="false">$B24</f>
        <v>II</v>
      </c>
      <c r="AM24" s="1" t="str">
        <f aca="false">$B24</f>
        <v>II</v>
      </c>
      <c r="AN24" s="1" t="str">
        <f aca="false">$B24</f>
        <v>II</v>
      </c>
      <c r="AO24" s="1" t="str">
        <f aca="false">$B24</f>
        <v>II</v>
      </c>
      <c r="AP24" s="1" t="str">
        <f aca="false">$B24</f>
        <v>II</v>
      </c>
      <c r="AQ24" s="1" t="str">
        <f aca="false">$B24</f>
        <v>II</v>
      </c>
      <c r="AR24" s="1" t="str">
        <f aca="false">$B24</f>
        <v>II</v>
      </c>
      <c r="AS24" s="1" t="str">
        <f aca="false">$B24</f>
        <v>II</v>
      </c>
      <c r="AT24" s="1" t="str">
        <f aca="false">$B24</f>
        <v>II</v>
      </c>
      <c r="AU24" s="1" t="str">
        <f aca="false">$B24</f>
        <v>II</v>
      </c>
      <c r="AV24" s="1" t="str">
        <f aca="false">$B24</f>
        <v>II</v>
      </c>
      <c r="AW24" s="1" t="str">
        <f aca="false">$B24</f>
        <v>II</v>
      </c>
      <c r="AX24" s="1" t="str">
        <f aca="false">$B24</f>
        <v>II</v>
      </c>
      <c r="AY24" s="1" t="str">
        <f aca="false">$B24</f>
        <v>II</v>
      </c>
      <c r="AZ24" s="1" t="str">
        <f aca="false">$B24</f>
        <v>II</v>
      </c>
      <c r="BA24" s="1" t="str">
        <f aca="false">$B24</f>
        <v>II</v>
      </c>
      <c r="BB24" s="1" t="str">
        <f aca="false">$B24</f>
        <v>II</v>
      </c>
      <c r="BC24" s="1" t="str">
        <f aca="false">$B24</f>
        <v>II</v>
      </c>
      <c r="BD24" s="1" t="str">
        <f aca="false">$B24</f>
        <v>II</v>
      </c>
      <c r="BE24" s="1" t="str">
        <f aca="false">$B24</f>
        <v>II</v>
      </c>
      <c r="BF24" s="1" t="str">
        <f aca="false">$B24</f>
        <v>II</v>
      </c>
      <c r="BG24" s="1" t="str">
        <f aca="false">$B24</f>
        <v>II</v>
      </c>
      <c r="BH24" s="1" t="str">
        <f aca="false">$B24</f>
        <v>II</v>
      </c>
      <c r="BI24" s="1" t="str">
        <f aca="false">$B24</f>
        <v>II</v>
      </c>
      <c r="BJ24" s="1" t="str">
        <f aca="false">$B24</f>
        <v>II</v>
      </c>
      <c r="BK24" s="1" t="str">
        <f aca="false">$B24</f>
        <v>II</v>
      </c>
      <c r="BL24" s="1" t="str">
        <f aca="false">$B24</f>
        <v>II</v>
      </c>
      <c r="BM24" s="1" t="str">
        <f aca="false">$B24</f>
        <v>II</v>
      </c>
      <c r="BN24" s="1" t="str">
        <f aca="false">$B24</f>
        <v>II</v>
      </c>
      <c r="BO24" s="1" t="str">
        <f aca="false">$B24</f>
        <v>II</v>
      </c>
    </row>
    <row r="25" customFormat="false" ht="12.75" hidden="false" customHeight="false" outlineLevel="0" collapsed="false">
      <c r="A25" s="1" t="n">
        <f aca="false">A24-1</f>
        <v>2002</v>
      </c>
      <c r="B25" s="1" t="s">
        <v>321</v>
      </c>
      <c r="C25" s="1" t="s">
        <v>321</v>
      </c>
      <c r="D25" s="1" t="n">
        <v>2</v>
      </c>
      <c r="E25" s="1" t="n">
        <v>2</v>
      </c>
      <c r="F25" s="1" t="str">
        <f aca="false">$B25</f>
        <v>II</v>
      </c>
      <c r="G25" s="1" t="str">
        <f aca="false">$B25</f>
        <v>II</v>
      </c>
      <c r="H25" s="1" t="str">
        <f aca="false">$B25</f>
        <v>II</v>
      </c>
      <c r="I25" s="1" t="str">
        <f aca="false">$B25</f>
        <v>II</v>
      </c>
      <c r="J25" s="1" t="str">
        <f aca="false">$B25</f>
        <v>II</v>
      </c>
      <c r="K25" s="1" t="str">
        <f aca="false">$B25</f>
        <v>II</v>
      </c>
      <c r="L25" s="1" t="str">
        <f aca="false">$B25</f>
        <v>II</v>
      </c>
      <c r="M25" s="1" t="str">
        <f aca="false">$B25</f>
        <v>II</v>
      </c>
      <c r="N25" s="1" t="str">
        <f aca="false">$B25</f>
        <v>II</v>
      </c>
      <c r="O25" s="1" t="str">
        <f aca="false">$B25</f>
        <v>II</v>
      </c>
      <c r="P25" s="1" t="str">
        <f aca="false">$B25</f>
        <v>II</v>
      </c>
      <c r="Q25" s="1" t="str">
        <f aca="false">$B25</f>
        <v>II</v>
      </c>
      <c r="R25" s="1" t="str">
        <f aca="false">$B25</f>
        <v>II</v>
      </c>
      <c r="S25" s="1" t="str">
        <f aca="false">$B25</f>
        <v>II</v>
      </c>
      <c r="T25" s="1" t="str">
        <f aca="false">$B25</f>
        <v>II</v>
      </c>
      <c r="U25" s="1" t="str">
        <f aca="false">$B25</f>
        <v>II</v>
      </c>
      <c r="V25" s="1" t="str">
        <f aca="false">$B25</f>
        <v>II</v>
      </c>
      <c r="W25" s="1" t="str">
        <f aca="false">$B25</f>
        <v>II</v>
      </c>
      <c r="X25" s="1" t="str">
        <f aca="false">$B25</f>
        <v>II</v>
      </c>
      <c r="Y25" s="1" t="str">
        <f aca="false">$B25</f>
        <v>II</v>
      </c>
      <c r="Z25" s="1" t="str">
        <f aca="false">$B25</f>
        <v>II</v>
      </c>
      <c r="AA25" s="1" t="str">
        <f aca="false">$B25</f>
        <v>II</v>
      </c>
      <c r="AB25" s="1" t="str">
        <f aca="false">$B25</f>
        <v>II</v>
      </c>
      <c r="AC25" s="1" t="str">
        <f aca="false">$B25</f>
        <v>II</v>
      </c>
      <c r="AD25" s="1" t="str">
        <f aca="false">$B25</f>
        <v>II</v>
      </c>
      <c r="AE25" s="1" t="str">
        <f aca="false">$B25</f>
        <v>II</v>
      </c>
      <c r="AF25" s="1" t="str">
        <f aca="false">$B25</f>
        <v>II</v>
      </c>
      <c r="AG25" s="1" t="str">
        <f aca="false">$B25</f>
        <v>II</v>
      </c>
      <c r="AH25" s="1" t="str">
        <f aca="false">$B25</f>
        <v>II</v>
      </c>
      <c r="AI25" s="1" t="str">
        <f aca="false">$B25</f>
        <v>II</v>
      </c>
      <c r="AJ25" s="1" t="str">
        <f aca="false">$B25</f>
        <v>II</v>
      </c>
      <c r="AK25" s="1" t="str">
        <f aca="false">$B25</f>
        <v>II</v>
      </c>
      <c r="AL25" s="1" t="str">
        <f aca="false">$B25</f>
        <v>II</v>
      </c>
      <c r="AM25" s="1" t="str">
        <f aca="false">$B25</f>
        <v>II</v>
      </c>
      <c r="AN25" s="1" t="str">
        <f aca="false">$B25</f>
        <v>II</v>
      </c>
      <c r="AO25" s="1" t="str">
        <f aca="false">$B25</f>
        <v>II</v>
      </c>
      <c r="AP25" s="1" t="str">
        <f aca="false">$B25</f>
        <v>II</v>
      </c>
      <c r="AQ25" s="1" t="str">
        <f aca="false">$B25</f>
        <v>II</v>
      </c>
      <c r="AR25" s="1" t="str">
        <f aca="false">$B25</f>
        <v>II</v>
      </c>
      <c r="AS25" s="1" t="str">
        <f aca="false">$B25</f>
        <v>II</v>
      </c>
      <c r="AT25" s="1" t="str">
        <f aca="false">$B25</f>
        <v>II</v>
      </c>
      <c r="AU25" s="1" t="str">
        <f aca="false">$B25</f>
        <v>II</v>
      </c>
      <c r="AV25" s="1" t="str">
        <f aca="false">$B25</f>
        <v>II</v>
      </c>
      <c r="AW25" s="1" t="str">
        <f aca="false">$B25</f>
        <v>II</v>
      </c>
      <c r="AX25" s="1" t="str">
        <f aca="false">$B25</f>
        <v>II</v>
      </c>
      <c r="AY25" s="1" t="str">
        <f aca="false">$B25</f>
        <v>II</v>
      </c>
      <c r="AZ25" s="1" t="str">
        <f aca="false">$B25</f>
        <v>II</v>
      </c>
      <c r="BA25" s="1" t="str">
        <f aca="false">$B25</f>
        <v>II</v>
      </c>
      <c r="BB25" s="1" t="str">
        <f aca="false">$B25</f>
        <v>II</v>
      </c>
      <c r="BC25" s="1" t="str">
        <f aca="false">$B25</f>
        <v>II</v>
      </c>
      <c r="BD25" s="1" t="str">
        <f aca="false">$B25</f>
        <v>II</v>
      </c>
      <c r="BE25" s="1" t="str">
        <f aca="false">$B25</f>
        <v>II</v>
      </c>
      <c r="BF25" s="1" t="str">
        <f aca="false">$B25</f>
        <v>II</v>
      </c>
      <c r="BG25" s="1" t="str">
        <f aca="false">$B25</f>
        <v>II</v>
      </c>
      <c r="BH25" s="1" t="str">
        <f aca="false">$B25</f>
        <v>II</v>
      </c>
      <c r="BI25" s="1" t="str">
        <f aca="false">$B25</f>
        <v>II</v>
      </c>
      <c r="BJ25" s="1" t="str">
        <f aca="false">$B25</f>
        <v>II</v>
      </c>
      <c r="BK25" s="1" t="str">
        <f aca="false">$B25</f>
        <v>II</v>
      </c>
      <c r="BL25" s="1" t="str">
        <f aca="false">$B25</f>
        <v>II</v>
      </c>
      <c r="BM25" s="1" t="str">
        <f aca="false">$B25</f>
        <v>II</v>
      </c>
      <c r="BN25" s="1" t="str">
        <f aca="false">$B25</f>
        <v>II</v>
      </c>
      <c r="BO25" s="1" t="str">
        <f aca="false">$B25</f>
        <v>II</v>
      </c>
    </row>
    <row r="26" customFormat="false" ht="12.75" hidden="false" customHeight="false" outlineLevel="0" collapsed="false">
      <c r="A26" s="1" t="n">
        <f aca="false">A25-1</f>
        <v>2001</v>
      </c>
      <c r="B26" s="1" t="s">
        <v>322</v>
      </c>
      <c r="C26" s="1" t="s">
        <v>322</v>
      </c>
      <c r="D26" s="1" t="n">
        <v>1</v>
      </c>
      <c r="E26" s="1" t="n">
        <v>1</v>
      </c>
      <c r="F26" s="1" t="str">
        <f aca="false">$B26</f>
        <v>I</v>
      </c>
      <c r="G26" s="1" t="str">
        <f aca="false">$B26</f>
        <v>I</v>
      </c>
      <c r="H26" s="1" t="str">
        <f aca="false">$B26</f>
        <v>I</v>
      </c>
      <c r="I26" s="1" t="str">
        <f aca="false">$B26</f>
        <v>I</v>
      </c>
      <c r="J26" s="1" t="str">
        <f aca="false">$B26</f>
        <v>I</v>
      </c>
      <c r="K26" s="1" t="str">
        <f aca="false">$B26</f>
        <v>I</v>
      </c>
      <c r="L26" s="1" t="str">
        <f aca="false">$B26</f>
        <v>I</v>
      </c>
      <c r="M26" s="1" t="str">
        <f aca="false">$B26</f>
        <v>I</v>
      </c>
      <c r="N26" s="1" t="str">
        <f aca="false">$B26</f>
        <v>I</v>
      </c>
      <c r="O26" s="1" t="str">
        <f aca="false">$B26</f>
        <v>I</v>
      </c>
      <c r="P26" s="1" t="str">
        <f aca="false">$B26</f>
        <v>I</v>
      </c>
      <c r="Q26" s="1" t="str">
        <f aca="false">$B26</f>
        <v>I</v>
      </c>
      <c r="R26" s="1" t="str">
        <f aca="false">$B26</f>
        <v>I</v>
      </c>
      <c r="S26" s="1" t="str">
        <f aca="false">$B26</f>
        <v>I</v>
      </c>
      <c r="T26" s="1" t="str">
        <f aca="false">$B26</f>
        <v>I</v>
      </c>
      <c r="U26" s="1" t="str">
        <f aca="false">$B26</f>
        <v>I</v>
      </c>
      <c r="V26" s="1" t="str">
        <f aca="false">$B26</f>
        <v>I</v>
      </c>
      <c r="W26" s="1" t="str">
        <f aca="false">$B26</f>
        <v>I</v>
      </c>
      <c r="X26" s="1" t="str">
        <f aca="false">$B26</f>
        <v>I</v>
      </c>
      <c r="Y26" s="1" t="str">
        <f aca="false">$B26</f>
        <v>I</v>
      </c>
      <c r="Z26" s="1" t="str">
        <f aca="false">$B26</f>
        <v>I</v>
      </c>
      <c r="AA26" s="1" t="str">
        <f aca="false">$B26</f>
        <v>I</v>
      </c>
      <c r="AB26" s="1" t="str">
        <f aca="false">$B26</f>
        <v>I</v>
      </c>
      <c r="AC26" s="1" t="str">
        <f aca="false">$B26</f>
        <v>I</v>
      </c>
      <c r="AD26" s="1" t="str">
        <f aca="false">$B26</f>
        <v>I</v>
      </c>
      <c r="AE26" s="1" t="str">
        <f aca="false">$B26</f>
        <v>I</v>
      </c>
      <c r="AF26" s="1" t="str">
        <f aca="false">$B26</f>
        <v>I</v>
      </c>
      <c r="AG26" s="1" t="str">
        <f aca="false">$B26</f>
        <v>I</v>
      </c>
      <c r="AH26" s="1" t="str">
        <f aca="false">$B26</f>
        <v>I</v>
      </c>
      <c r="AI26" s="1" t="str">
        <f aca="false">$B26</f>
        <v>I</v>
      </c>
      <c r="AJ26" s="1" t="str">
        <f aca="false">$B26</f>
        <v>I</v>
      </c>
      <c r="AK26" s="1" t="str">
        <f aca="false">$B26</f>
        <v>I</v>
      </c>
      <c r="AL26" s="1" t="str">
        <f aca="false">$B26</f>
        <v>I</v>
      </c>
      <c r="AM26" s="1" t="str">
        <f aca="false">$B26</f>
        <v>I</v>
      </c>
      <c r="AN26" s="1" t="str">
        <f aca="false">$B26</f>
        <v>I</v>
      </c>
      <c r="AO26" s="1" t="str">
        <f aca="false">$B26</f>
        <v>I</v>
      </c>
      <c r="AP26" s="1" t="str">
        <f aca="false">$B26</f>
        <v>I</v>
      </c>
      <c r="AQ26" s="1" t="str">
        <f aca="false">$B26</f>
        <v>I</v>
      </c>
      <c r="AR26" s="1" t="str">
        <f aca="false">$B26</f>
        <v>I</v>
      </c>
      <c r="AS26" s="1" t="str">
        <f aca="false">$B26</f>
        <v>I</v>
      </c>
      <c r="AT26" s="1" t="str">
        <f aca="false">$B26</f>
        <v>I</v>
      </c>
      <c r="AU26" s="1" t="str">
        <f aca="false">$B26</f>
        <v>I</v>
      </c>
      <c r="AV26" s="1" t="str">
        <f aca="false">$B26</f>
        <v>I</v>
      </c>
      <c r="AW26" s="1" t="str">
        <f aca="false">$B26</f>
        <v>I</v>
      </c>
      <c r="AX26" s="1" t="str">
        <f aca="false">$B26</f>
        <v>I</v>
      </c>
      <c r="AY26" s="1" t="str">
        <f aca="false">$B26</f>
        <v>I</v>
      </c>
      <c r="AZ26" s="1" t="str">
        <f aca="false">$B26</f>
        <v>I</v>
      </c>
      <c r="BA26" s="1" t="str">
        <f aca="false">$B26</f>
        <v>I</v>
      </c>
      <c r="BB26" s="1" t="str">
        <f aca="false">$B26</f>
        <v>I</v>
      </c>
      <c r="BC26" s="1" t="str">
        <f aca="false">$B26</f>
        <v>I</v>
      </c>
      <c r="BD26" s="1" t="str">
        <f aca="false">$B26</f>
        <v>I</v>
      </c>
      <c r="BE26" s="1" t="str">
        <f aca="false">$B26</f>
        <v>I</v>
      </c>
      <c r="BF26" s="1" t="str">
        <f aca="false">$B26</f>
        <v>I</v>
      </c>
      <c r="BG26" s="1" t="str">
        <f aca="false">$B26</f>
        <v>I</v>
      </c>
      <c r="BH26" s="1" t="str">
        <f aca="false">$B26</f>
        <v>I</v>
      </c>
      <c r="BI26" s="1" t="str">
        <f aca="false">$B26</f>
        <v>I</v>
      </c>
      <c r="BJ26" s="1" t="str">
        <f aca="false">$B26</f>
        <v>I</v>
      </c>
      <c r="BK26" s="1" t="str">
        <f aca="false">$B26</f>
        <v>I</v>
      </c>
      <c r="BL26" s="1" t="str">
        <f aca="false">$B26</f>
        <v>I</v>
      </c>
      <c r="BM26" s="1" t="str">
        <f aca="false">$B26</f>
        <v>I</v>
      </c>
      <c r="BN26" s="1" t="str">
        <f aca="false">$B26</f>
        <v>I</v>
      </c>
      <c r="BO26" s="1" t="str">
        <f aca="false">$B26</f>
        <v>I</v>
      </c>
    </row>
    <row r="27" customFormat="false" ht="12.75" hidden="false" customHeight="false" outlineLevel="0" collapsed="false">
      <c r="A27" s="1" t="n">
        <f aca="false">A26-1</f>
        <v>2000</v>
      </c>
      <c r="B27" s="1" t="s">
        <v>322</v>
      </c>
      <c r="C27" s="1" t="s">
        <v>322</v>
      </c>
      <c r="D27" s="1" t="n">
        <v>1</v>
      </c>
      <c r="E27" s="1" t="n">
        <v>1</v>
      </c>
      <c r="F27" s="1" t="str">
        <f aca="false">$B27</f>
        <v>I</v>
      </c>
      <c r="G27" s="1" t="str">
        <f aca="false">$B27</f>
        <v>I</v>
      </c>
      <c r="H27" s="1" t="str">
        <f aca="false">$B27</f>
        <v>I</v>
      </c>
      <c r="I27" s="1" t="str">
        <f aca="false">$B27</f>
        <v>I</v>
      </c>
      <c r="J27" s="1" t="str">
        <f aca="false">$B27</f>
        <v>I</v>
      </c>
      <c r="K27" s="1" t="str">
        <f aca="false">$B27</f>
        <v>I</v>
      </c>
      <c r="L27" s="1" t="str">
        <f aca="false">$B27</f>
        <v>I</v>
      </c>
      <c r="M27" s="1" t="str">
        <f aca="false">$B27</f>
        <v>I</v>
      </c>
      <c r="N27" s="1" t="str">
        <f aca="false">$B27</f>
        <v>I</v>
      </c>
      <c r="O27" s="1" t="str">
        <f aca="false">$B27</f>
        <v>I</v>
      </c>
      <c r="P27" s="1" t="str">
        <f aca="false">$B27</f>
        <v>I</v>
      </c>
      <c r="Q27" s="1" t="str">
        <f aca="false">$B27</f>
        <v>I</v>
      </c>
      <c r="R27" s="1" t="str">
        <f aca="false">$B27</f>
        <v>I</v>
      </c>
      <c r="S27" s="1" t="str">
        <f aca="false">$B27</f>
        <v>I</v>
      </c>
      <c r="T27" s="1" t="str">
        <f aca="false">$B27</f>
        <v>I</v>
      </c>
      <c r="U27" s="1" t="str">
        <f aca="false">$B27</f>
        <v>I</v>
      </c>
      <c r="V27" s="1" t="str">
        <f aca="false">$B27</f>
        <v>I</v>
      </c>
      <c r="W27" s="1" t="str">
        <f aca="false">$B27</f>
        <v>I</v>
      </c>
      <c r="X27" s="1" t="str">
        <f aca="false">$B27</f>
        <v>I</v>
      </c>
      <c r="Y27" s="1" t="str">
        <f aca="false">$B27</f>
        <v>I</v>
      </c>
      <c r="Z27" s="1" t="str">
        <f aca="false">$B27</f>
        <v>I</v>
      </c>
      <c r="AA27" s="1" t="str">
        <f aca="false">$B27</f>
        <v>I</v>
      </c>
      <c r="AB27" s="1" t="str">
        <f aca="false">$B27</f>
        <v>I</v>
      </c>
      <c r="AC27" s="1" t="str">
        <f aca="false">$B27</f>
        <v>I</v>
      </c>
      <c r="AD27" s="1" t="str">
        <f aca="false">$B27</f>
        <v>I</v>
      </c>
      <c r="AE27" s="1" t="str">
        <f aca="false">$B27</f>
        <v>I</v>
      </c>
      <c r="AF27" s="1" t="str">
        <f aca="false">$B27</f>
        <v>I</v>
      </c>
      <c r="AG27" s="1" t="str">
        <f aca="false">$B27</f>
        <v>I</v>
      </c>
      <c r="AH27" s="1" t="str">
        <f aca="false">$B27</f>
        <v>I</v>
      </c>
      <c r="AI27" s="1" t="str">
        <f aca="false">$B27</f>
        <v>I</v>
      </c>
      <c r="AJ27" s="1" t="str">
        <f aca="false">$B27</f>
        <v>I</v>
      </c>
      <c r="AK27" s="1" t="str">
        <f aca="false">$B27</f>
        <v>I</v>
      </c>
      <c r="AL27" s="1" t="str">
        <f aca="false">$B27</f>
        <v>I</v>
      </c>
      <c r="AM27" s="1" t="str">
        <f aca="false">$B27</f>
        <v>I</v>
      </c>
      <c r="AN27" s="1" t="str">
        <f aca="false">$B27</f>
        <v>I</v>
      </c>
      <c r="AO27" s="1" t="str">
        <f aca="false">$B27</f>
        <v>I</v>
      </c>
      <c r="AP27" s="1" t="str">
        <f aca="false">$B27</f>
        <v>I</v>
      </c>
      <c r="AQ27" s="1" t="str">
        <f aca="false">$B27</f>
        <v>I</v>
      </c>
      <c r="AR27" s="1" t="str">
        <f aca="false">$B27</f>
        <v>I</v>
      </c>
      <c r="AS27" s="1" t="str">
        <f aca="false">$B27</f>
        <v>I</v>
      </c>
      <c r="AT27" s="1" t="str">
        <f aca="false">$B27</f>
        <v>I</v>
      </c>
      <c r="AU27" s="1" t="str">
        <f aca="false">$B27</f>
        <v>I</v>
      </c>
      <c r="AV27" s="1" t="str">
        <f aca="false">$B27</f>
        <v>I</v>
      </c>
      <c r="AW27" s="1" t="str">
        <f aca="false">$B27</f>
        <v>I</v>
      </c>
      <c r="AX27" s="1" t="str">
        <f aca="false">$B27</f>
        <v>I</v>
      </c>
      <c r="AY27" s="1" t="str">
        <f aca="false">$B27</f>
        <v>I</v>
      </c>
      <c r="AZ27" s="1" t="str">
        <f aca="false">$B27</f>
        <v>I</v>
      </c>
      <c r="BA27" s="1" t="str">
        <f aca="false">$B27</f>
        <v>I</v>
      </c>
      <c r="BB27" s="1" t="str">
        <f aca="false">$B27</f>
        <v>I</v>
      </c>
      <c r="BC27" s="1" t="str">
        <f aca="false">$B27</f>
        <v>I</v>
      </c>
      <c r="BD27" s="1" t="str">
        <f aca="false">$B27</f>
        <v>I</v>
      </c>
      <c r="BE27" s="1" t="str">
        <f aca="false">$B27</f>
        <v>I</v>
      </c>
      <c r="BF27" s="1" t="str">
        <f aca="false">$B27</f>
        <v>I</v>
      </c>
      <c r="BG27" s="1" t="str">
        <f aca="false">$B27</f>
        <v>I</v>
      </c>
      <c r="BH27" s="1" t="str">
        <f aca="false">$B27</f>
        <v>I</v>
      </c>
      <c r="BI27" s="1" t="str">
        <f aca="false">$B27</f>
        <v>I</v>
      </c>
      <c r="BJ27" s="1" t="str">
        <f aca="false">$B27</f>
        <v>I</v>
      </c>
      <c r="BK27" s="1" t="str">
        <f aca="false">$B27</f>
        <v>I</v>
      </c>
      <c r="BL27" s="1" t="str">
        <f aca="false">$B27</f>
        <v>I</v>
      </c>
      <c r="BM27" s="1" t="str">
        <f aca="false">$B27</f>
        <v>I</v>
      </c>
      <c r="BN27" s="1" t="str">
        <f aca="false">$B27</f>
        <v>I</v>
      </c>
      <c r="BO27" s="1" t="str">
        <f aca="false">$B27</f>
        <v>I</v>
      </c>
    </row>
    <row r="28" customFormat="false" ht="12.75" hidden="false" customHeight="false" outlineLevel="0" collapsed="false">
      <c r="A28" s="1" t="n">
        <f aca="false">A27-1</f>
        <v>1999</v>
      </c>
      <c r="B28" s="1" t="s">
        <v>323</v>
      </c>
      <c r="C28" s="1" t="s">
        <v>323</v>
      </c>
      <c r="D28" s="1" t="s">
        <v>323</v>
      </c>
      <c r="E28" s="1" t="s">
        <v>323</v>
      </c>
      <c r="F28" s="75" t="s">
        <v>326</v>
      </c>
      <c r="G28" s="75" t="s">
        <v>326</v>
      </c>
      <c r="H28" s="75" t="s">
        <v>326</v>
      </c>
      <c r="I28" s="75" t="s">
        <v>326</v>
      </c>
      <c r="J28" s="75" t="s">
        <v>326</v>
      </c>
      <c r="K28" s="75" t="s">
        <v>326</v>
      </c>
      <c r="L28" s="75" t="s">
        <v>326</v>
      </c>
      <c r="M28" s="75" t="s">
        <v>326</v>
      </c>
      <c r="N28" s="75" t="s">
        <v>326</v>
      </c>
      <c r="O28" s="75" t="s">
        <v>326</v>
      </c>
      <c r="P28" s="75" t="s">
        <v>326</v>
      </c>
      <c r="Q28" s="75" t="s">
        <v>326</v>
      </c>
      <c r="R28" s="75" t="s">
        <v>326</v>
      </c>
      <c r="S28" s="75" t="s">
        <v>326</v>
      </c>
      <c r="T28" s="75" t="s">
        <v>326</v>
      </c>
      <c r="U28" s="75" t="s">
        <v>326</v>
      </c>
      <c r="V28" s="75" t="s">
        <v>326</v>
      </c>
      <c r="W28" s="75" t="s">
        <v>326</v>
      </c>
      <c r="X28" s="75" t="s">
        <v>326</v>
      </c>
      <c r="Y28" s="75" t="s">
        <v>326</v>
      </c>
      <c r="Z28" s="75" t="s">
        <v>326</v>
      </c>
      <c r="AA28" s="75" t="s">
        <v>326</v>
      </c>
      <c r="AB28" s="75" t="s">
        <v>326</v>
      </c>
      <c r="AC28" s="75" t="s">
        <v>326</v>
      </c>
      <c r="AD28" s="75" t="s">
        <v>326</v>
      </c>
      <c r="AE28" s="75" t="s">
        <v>326</v>
      </c>
      <c r="AF28" s="75" t="s">
        <v>326</v>
      </c>
      <c r="AG28" s="75" t="s">
        <v>326</v>
      </c>
      <c r="AH28" s="75" t="s">
        <v>326</v>
      </c>
      <c r="AI28" s="75" t="s">
        <v>326</v>
      </c>
      <c r="AJ28" s="75" t="s">
        <v>326</v>
      </c>
      <c r="AK28" s="75" t="s">
        <v>326</v>
      </c>
      <c r="AL28" s="75" t="s">
        <v>326</v>
      </c>
      <c r="AM28" s="75" t="s">
        <v>326</v>
      </c>
      <c r="AN28" s="75" t="s">
        <v>326</v>
      </c>
      <c r="AO28" s="75" t="s">
        <v>326</v>
      </c>
      <c r="AP28" s="75" t="s">
        <v>326</v>
      </c>
      <c r="AQ28" s="75" t="s">
        <v>326</v>
      </c>
      <c r="AR28" s="75" t="s">
        <v>326</v>
      </c>
      <c r="AS28" s="75" t="s">
        <v>326</v>
      </c>
      <c r="AT28" s="75" t="s">
        <v>326</v>
      </c>
      <c r="AU28" s="75" t="s">
        <v>326</v>
      </c>
      <c r="AV28" s="75" t="s">
        <v>326</v>
      </c>
      <c r="AW28" s="75" t="s">
        <v>326</v>
      </c>
      <c r="AX28" s="75" t="s">
        <v>326</v>
      </c>
      <c r="AY28" s="75" t="s">
        <v>326</v>
      </c>
      <c r="AZ28" s="75" t="s">
        <v>326</v>
      </c>
      <c r="BA28" s="75" t="s">
        <v>326</v>
      </c>
      <c r="BB28" s="75" t="s">
        <v>326</v>
      </c>
      <c r="BC28" s="75" t="s">
        <v>326</v>
      </c>
      <c r="BD28" s="75" t="s">
        <v>326</v>
      </c>
      <c r="BE28" s="75" t="s">
        <v>326</v>
      </c>
      <c r="BF28" s="75" t="s">
        <v>326</v>
      </c>
      <c r="BG28" s="75" t="s">
        <v>326</v>
      </c>
      <c r="BH28" s="75" t="s">
        <v>326</v>
      </c>
      <c r="BI28" s="75" t="s">
        <v>326</v>
      </c>
      <c r="BJ28" s="75" t="s">
        <v>326</v>
      </c>
      <c r="BK28" s="75" t="s">
        <v>326</v>
      </c>
      <c r="BL28" s="75" t="s">
        <v>326</v>
      </c>
      <c r="BM28" s="75" t="s">
        <v>326</v>
      </c>
      <c r="BN28" s="75" t="s">
        <v>326</v>
      </c>
      <c r="BO28" s="75" t="s">
        <v>326</v>
      </c>
    </row>
    <row r="29" customFormat="false" ht="12.75" hidden="false" customHeight="false" outlineLevel="0" collapsed="false">
      <c r="A29" s="1" t="n">
        <f aca="false">A28-1</f>
        <v>1998</v>
      </c>
      <c r="B29" s="1" t="s">
        <v>323</v>
      </c>
      <c r="C29" s="1" t="s">
        <v>323</v>
      </c>
      <c r="D29" s="1" t="s">
        <v>323</v>
      </c>
      <c r="E29" s="1" t="s">
        <v>323</v>
      </c>
      <c r="F29" s="75" t="s">
        <v>326</v>
      </c>
      <c r="G29" s="75" t="s">
        <v>326</v>
      </c>
      <c r="H29" s="75" t="s">
        <v>326</v>
      </c>
      <c r="I29" s="75" t="s">
        <v>326</v>
      </c>
      <c r="J29" s="75" t="s">
        <v>326</v>
      </c>
      <c r="K29" s="75" t="s">
        <v>326</v>
      </c>
      <c r="L29" s="75" t="s">
        <v>326</v>
      </c>
      <c r="M29" s="75" t="s">
        <v>326</v>
      </c>
      <c r="N29" s="75" t="s">
        <v>326</v>
      </c>
      <c r="O29" s="75" t="s">
        <v>326</v>
      </c>
      <c r="P29" s="75" t="s">
        <v>326</v>
      </c>
      <c r="Q29" s="75" t="s">
        <v>326</v>
      </c>
      <c r="R29" s="75" t="s">
        <v>326</v>
      </c>
      <c r="S29" s="75" t="s">
        <v>326</v>
      </c>
      <c r="T29" s="75" t="s">
        <v>326</v>
      </c>
      <c r="U29" s="75" t="s">
        <v>326</v>
      </c>
      <c r="V29" s="75" t="s">
        <v>326</v>
      </c>
      <c r="W29" s="75" t="s">
        <v>326</v>
      </c>
      <c r="X29" s="75" t="s">
        <v>326</v>
      </c>
      <c r="Y29" s="75" t="s">
        <v>326</v>
      </c>
      <c r="Z29" s="75" t="s">
        <v>326</v>
      </c>
      <c r="AA29" s="75" t="s">
        <v>326</v>
      </c>
      <c r="AB29" s="75" t="s">
        <v>326</v>
      </c>
      <c r="AC29" s="75" t="s">
        <v>326</v>
      </c>
      <c r="AD29" s="75" t="s">
        <v>326</v>
      </c>
      <c r="AE29" s="75" t="s">
        <v>326</v>
      </c>
      <c r="AF29" s="75" t="s">
        <v>326</v>
      </c>
      <c r="AG29" s="75" t="s">
        <v>326</v>
      </c>
      <c r="AH29" s="75" t="s">
        <v>326</v>
      </c>
      <c r="AI29" s="75" t="s">
        <v>326</v>
      </c>
      <c r="AJ29" s="75" t="s">
        <v>326</v>
      </c>
      <c r="AK29" s="75" t="s">
        <v>326</v>
      </c>
      <c r="AL29" s="75" t="s">
        <v>326</v>
      </c>
      <c r="AM29" s="75" t="s">
        <v>326</v>
      </c>
      <c r="AN29" s="75" t="s">
        <v>326</v>
      </c>
      <c r="AO29" s="75" t="s">
        <v>326</v>
      </c>
      <c r="AP29" s="75" t="s">
        <v>326</v>
      </c>
      <c r="AQ29" s="75" t="s">
        <v>326</v>
      </c>
      <c r="AR29" s="75" t="s">
        <v>326</v>
      </c>
      <c r="AS29" s="75" t="s">
        <v>326</v>
      </c>
      <c r="AT29" s="75" t="s">
        <v>326</v>
      </c>
      <c r="AU29" s="75" t="s">
        <v>326</v>
      </c>
      <c r="AV29" s="75" t="s">
        <v>326</v>
      </c>
      <c r="AW29" s="75" t="s">
        <v>326</v>
      </c>
      <c r="AX29" s="75" t="s">
        <v>326</v>
      </c>
      <c r="AY29" s="75" t="s">
        <v>326</v>
      </c>
      <c r="AZ29" s="75" t="s">
        <v>326</v>
      </c>
      <c r="BA29" s="75" t="s">
        <v>326</v>
      </c>
      <c r="BB29" s="75" t="s">
        <v>326</v>
      </c>
      <c r="BC29" s="75" t="s">
        <v>326</v>
      </c>
      <c r="BD29" s="75" t="s">
        <v>326</v>
      </c>
      <c r="BE29" s="75" t="s">
        <v>326</v>
      </c>
      <c r="BF29" s="75" t="s">
        <v>326</v>
      </c>
      <c r="BG29" s="75" t="s">
        <v>326</v>
      </c>
      <c r="BH29" s="75" t="s">
        <v>326</v>
      </c>
      <c r="BI29" s="75" t="s">
        <v>326</v>
      </c>
      <c r="BJ29" s="75" t="s">
        <v>326</v>
      </c>
      <c r="BK29" s="75" t="s">
        <v>326</v>
      </c>
      <c r="BL29" s="75" t="s">
        <v>326</v>
      </c>
      <c r="BM29" s="75" t="s">
        <v>326</v>
      </c>
      <c r="BN29" s="75" t="s">
        <v>326</v>
      </c>
      <c r="BO29" s="75" t="s">
        <v>326</v>
      </c>
    </row>
    <row r="30" customFormat="false" ht="12.75" hidden="false" customHeight="false" outlineLevel="0" collapsed="false">
      <c r="A30" s="1" t="n">
        <f aca="false">A29-1</f>
        <v>1997</v>
      </c>
      <c r="B30" s="1" t="s">
        <v>323</v>
      </c>
      <c r="C30" s="1" t="s">
        <v>323</v>
      </c>
      <c r="D30" s="1" t="s">
        <v>323</v>
      </c>
      <c r="E30" s="1" t="s">
        <v>323</v>
      </c>
      <c r="F30" s="75" t="s">
        <v>326</v>
      </c>
      <c r="G30" s="75" t="s">
        <v>326</v>
      </c>
      <c r="H30" s="75" t="s">
        <v>326</v>
      </c>
      <c r="I30" s="75" t="s">
        <v>326</v>
      </c>
      <c r="J30" s="75" t="s">
        <v>326</v>
      </c>
      <c r="K30" s="75" t="s">
        <v>326</v>
      </c>
      <c r="L30" s="75" t="s">
        <v>326</v>
      </c>
      <c r="M30" s="75" t="s">
        <v>326</v>
      </c>
      <c r="N30" s="75" t="s">
        <v>326</v>
      </c>
      <c r="O30" s="75" t="s">
        <v>326</v>
      </c>
      <c r="P30" s="75" t="s">
        <v>326</v>
      </c>
      <c r="Q30" s="75" t="s">
        <v>326</v>
      </c>
      <c r="R30" s="75" t="s">
        <v>326</v>
      </c>
      <c r="S30" s="75" t="s">
        <v>326</v>
      </c>
      <c r="T30" s="75" t="s">
        <v>326</v>
      </c>
      <c r="U30" s="75" t="s">
        <v>326</v>
      </c>
      <c r="V30" s="75" t="s">
        <v>326</v>
      </c>
      <c r="W30" s="75" t="s">
        <v>326</v>
      </c>
      <c r="X30" s="75" t="s">
        <v>326</v>
      </c>
      <c r="Y30" s="75" t="s">
        <v>326</v>
      </c>
      <c r="Z30" s="75" t="s">
        <v>326</v>
      </c>
      <c r="AA30" s="75" t="s">
        <v>326</v>
      </c>
      <c r="AB30" s="75" t="s">
        <v>326</v>
      </c>
      <c r="AC30" s="75" t="s">
        <v>326</v>
      </c>
      <c r="AD30" s="75" t="s">
        <v>326</v>
      </c>
      <c r="AE30" s="75" t="s">
        <v>326</v>
      </c>
      <c r="AF30" s="75" t="s">
        <v>326</v>
      </c>
      <c r="AG30" s="75" t="s">
        <v>326</v>
      </c>
      <c r="AH30" s="75" t="s">
        <v>326</v>
      </c>
      <c r="AI30" s="75" t="s">
        <v>326</v>
      </c>
      <c r="AJ30" s="75" t="s">
        <v>326</v>
      </c>
      <c r="AK30" s="75" t="s">
        <v>326</v>
      </c>
      <c r="AL30" s="75" t="s">
        <v>326</v>
      </c>
      <c r="AM30" s="75" t="s">
        <v>326</v>
      </c>
      <c r="AN30" s="75" t="s">
        <v>326</v>
      </c>
      <c r="AO30" s="75" t="s">
        <v>326</v>
      </c>
      <c r="AP30" s="75" t="s">
        <v>326</v>
      </c>
      <c r="AQ30" s="75" t="s">
        <v>326</v>
      </c>
      <c r="AR30" s="75" t="s">
        <v>326</v>
      </c>
      <c r="AS30" s="75" t="s">
        <v>326</v>
      </c>
      <c r="AT30" s="75" t="s">
        <v>326</v>
      </c>
      <c r="AU30" s="75" t="s">
        <v>326</v>
      </c>
      <c r="AV30" s="75" t="s">
        <v>326</v>
      </c>
      <c r="AW30" s="75" t="s">
        <v>326</v>
      </c>
      <c r="AX30" s="75" t="s">
        <v>326</v>
      </c>
      <c r="AY30" s="75" t="s">
        <v>326</v>
      </c>
      <c r="AZ30" s="75" t="s">
        <v>326</v>
      </c>
      <c r="BA30" s="75" t="s">
        <v>326</v>
      </c>
      <c r="BB30" s="75" t="s">
        <v>326</v>
      </c>
      <c r="BC30" s="75" t="s">
        <v>326</v>
      </c>
      <c r="BD30" s="75" t="s">
        <v>326</v>
      </c>
      <c r="BE30" s="75" t="s">
        <v>326</v>
      </c>
      <c r="BF30" s="75" t="s">
        <v>326</v>
      </c>
      <c r="BG30" s="75" t="s">
        <v>326</v>
      </c>
      <c r="BH30" s="75" t="s">
        <v>326</v>
      </c>
      <c r="BI30" s="75" t="s">
        <v>326</v>
      </c>
      <c r="BJ30" s="75" t="s">
        <v>326</v>
      </c>
      <c r="BK30" s="75" t="s">
        <v>326</v>
      </c>
      <c r="BL30" s="75" t="s">
        <v>326</v>
      </c>
      <c r="BM30" s="75" t="s">
        <v>326</v>
      </c>
      <c r="BN30" s="75" t="s">
        <v>326</v>
      </c>
      <c r="BO30" s="75" t="s">
        <v>326</v>
      </c>
    </row>
    <row r="31" customFormat="false" ht="12.75" hidden="false" customHeight="false" outlineLevel="0" collapsed="false">
      <c r="A31" s="1" t="n">
        <f aca="false">A30-1</f>
        <v>1996</v>
      </c>
      <c r="B31" s="1" t="s">
        <v>323</v>
      </c>
      <c r="C31" s="1" t="s">
        <v>323</v>
      </c>
      <c r="D31" s="1" t="s">
        <v>323</v>
      </c>
      <c r="E31" s="1" t="s">
        <v>323</v>
      </c>
      <c r="F31" s="75" t="s">
        <v>326</v>
      </c>
      <c r="G31" s="75" t="s">
        <v>326</v>
      </c>
      <c r="H31" s="75" t="s">
        <v>326</v>
      </c>
      <c r="I31" s="75" t="s">
        <v>326</v>
      </c>
      <c r="J31" s="75" t="s">
        <v>326</v>
      </c>
      <c r="K31" s="75" t="s">
        <v>326</v>
      </c>
      <c r="L31" s="75" t="s">
        <v>326</v>
      </c>
      <c r="M31" s="75" t="s">
        <v>326</v>
      </c>
      <c r="N31" s="75" t="s">
        <v>326</v>
      </c>
      <c r="O31" s="75" t="s">
        <v>326</v>
      </c>
      <c r="P31" s="75" t="s">
        <v>326</v>
      </c>
      <c r="Q31" s="75" t="s">
        <v>326</v>
      </c>
      <c r="R31" s="75" t="s">
        <v>326</v>
      </c>
      <c r="S31" s="75" t="s">
        <v>326</v>
      </c>
      <c r="T31" s="75" t="s">
        <v>326</v>
      </c>
      <c r="U31" s="75" t="s">
        <v>326</v>
      </c>
      <c r="V31" s="75" t="s">
        <v>326</v>
      </c>
      <c r="W31" s="75" t="s">
        <v>326</v>
      </c>
      <c r="X31" s="75" t="s">
        <v>326</v>
      </c>
      <c r="Y31" s="75" t="s">
        <v>326</v>
      </c>
      <c r="Z31" s="75" t="s">
        <v>326</v>
      </c>
      <c r="AA31" s="75" t="s">
        <v>326</v>
      </c>
      <c r="AB31" s="75" t="s">
        <v>326</v>
      </c>
      <c r="AC31" s="75" t="s">
        <v>326</v>
      </c>
      <c r="AD31" s="75" t="s">
        <v>326</v>
      </c>
      <c r="AE31" s="75" t="s">
        <v>326</v>
      </c>
      <c r="AF31" s="75" t="s">
        <v>326</v>
      </c>
      <c r="AG31" s="75" t="s">
        <v>326</v>
      </c>
      <c r="AH31" s="75" t="s">
        <v>326</v>
      </c>
      <c r="AI31" s="75" t="s">
        <v>326</v>
      </c>
      <c r="AJ31" s="75" t="s">
        <v>326</v>
      </c>
      <c r="AK31" s="75" t="s">
        <v>326</v>
      </c>
      <c r="AL31" s="75" t="s">
        <v>326</v>
      </c>
      <c r="AM31" s="75" t="s">
        <v>326</v>
      </c>
      <c r="AN31" s="75" t="s">
        <v>326</v>
      </c>
      <c r="AO31" s="75" t="s">
        <v>326</v>
      </c>
      <c r="AP31" s="75" t="s">
        <v>326</v>
      </c>
      <c r="AQ31" s="75" t="s">
        <v>326</v>
      </c>
      <c r="AR31" s="75" t="s">
        <v>326</v>
      </c>
      <c r="AS31" s="75" t="s">
        <v>326</v>
      </c>
      <c r="AT31" s="75" t="s">
        <v>326</v>
      </c>
      <c r="AU31" s="75" t="s">
        <v>326</v>
      </c>
      <c r="AV31" s="75" t="s">
        <v>326</v>
      </c>
      <c r="AW31" s="75" t="s">
        <v>326</v>
      </c>
      <c r="AX31" s="75" t="s">
        <v>326</v>
      </c>
      <c r="AY31" s="75" t="s">
        <v>326</v>
      </c>
      <c r="AZ31" s="75" t="s">
        <v>326</v>
      </c>
      <c r="BA31" s="75" t="s">
        <v>326</v>
      </c>
      <c r="BB31" s="75" t="s">
        <v>326</v>
      </c>
      <c r="BC31" s="75" t="s">
        <v>326</v>
      </c>
      <c r="BD31" s="75" t="s">
        <v>326</v>
      </c>
      <c r="BE31" s="75" t="s">
        <v>326</v>
      </c>
      <c r="BF31" s="75" t="s">
        <v>326</v>
      </c>
      <c r="BG31" s="75" t="s">
        <v>326</v>
      </c>
      <c r="BH31" s="75" t="s">
        <v>326</v>
      </c>
      <c r="BI31" s="75" t="s">
        <v>326</v>
      </c>
      <c r="BJ31" s="75" t="s">
        <v>326</v>
      </c>
      <c r="BK31" s="75" t="s">
        <v>326</v>
      </c>
      <c r="BL31" s="75" t="s">
        <v>326</v>
      </c>
      <c r="BM31" s="75" t="s">
        <v>326</v>
      </c>
      <c r="BN31" s="75" t="s">
        <v>326</v>
      </c>
      <c r="BO31" s="75" t="s">
        <v>326</v>
      </c>
    </row>
    <row r="32" customFormat="false" ht="12.75" hidden="false" customHeight="false" outlineLevel="0" collapsed="false">
      <c r="A32" s="1" t="n">
        <f aca="false">A31-1</f>
        <v>1995</v>
      </c>
      <c r="B32" s="1" t="s">
        <v>323</v>
      </c>
      <c r="C32" s="1" t="s">
        <v>323</v>
      </c>
      <c r="D32" s="1" t="s">
        <v>323</v>
      </c>
      <c r="E32" s="1" t="s">
        <v>323</v>
      </c>
      <c r="F32" s="75" t="s">
        <v>326</v>
      </c>
      <c r="G32" s="75" t="s">
        <v>326</v>
      </c>
      <c r="H32" s="75" t="s">
        <v>326</v>
      </c>
      <c r="I32" s="75" t="s">
        <v>326</v>
      </c>
      <c r="J32" s="75" t="s">
        <v>326</v>
      </c>
      <c r="K32" s="75" t="s">
        <v>326</v>
      </c>
      <c r="L32" s="75" t="s">
        <v>326</v>
      </c>
      <c r="M32" s="75" t="s">
        <v>326</v>
      </c>
      <c r="N32" s="75" t="s">
        <v>326</v>
      </c>
      <c r="O32" s="75" t="s">
        <v>326</v>
      </c>
      <c r="P32" s="75" t="s">
        <v>326</v>
      </c>
      <c r="Q32" s="75" t="s">
        <v>326</v>
      </c>
      <c r="R32" s="75" t="s">
        <v>326</v>
      </c>
      <c r="S32" s="75" t="s">
        <v>326</v>
      </c>
      <c r="T32" s="75" t="s">
        <v>326</v>
      </c>
      <c r="U32" s="75" t="s">
        <v>326</v>
      </c>
      <c r="V32" s="75" t="s">
        <v>326</v>
      </c>
      <c r="W32" s="75" t="s">
        <v>326</v>
      </c>
      <c r="X32" s="75" t="s">
        <v>326</v>
      </c>
      <c r="Y32" s="75" t="s">
        <v>326</v>
      </c>
      <c r="Z32" s="75" t="s">
        <v>326</v>
      </c>
      <c r="AA32" s="75" t="s">
        <v>326</v>
      </c>
      <c r="AB32" s="75" t="s">
        <v>326</v>
      </c>
      <c r="AC32" s="75" t="s">
        <v>326</v>
      </c>
      <c r="AD32" s="75" t="s">
        <v>326</v>
      </c>
      <c r="AE32" s="75" t="s">
        <v>326</v>
      </c>
      <c r="AF32" s="75" t="s">
        <v>326</v>
      </c>
      <c r="AG32" s="75" t="s">
        <v>326</v>
      </c>
      <c r="AH32" s="75" t="s">
        <v>326</v>
      </c>
      <c r="AI32" s="75" t="s">
        <v>326</v>
      </c>
      <c r="AJ32" s="75" t="s">
        <v>326</v>
      </c>
      <c r="AK32" s="75" t="s">
        <v>326</v>
      </c>
      <c r="AL32" s="75" t="s">
        <v>326</v>
      </c>
      <c r="AM32" s="75" t="s">
        <v>326</v>
      </c>
      <c r="AN32" s="75" t="s">
        <v>326</v>
      </c>
      <c r="AO32" s="75" t="s">
        <v>326</v>
      </c>
      <c r="AP32" s="75" t="s">
        <v>326</v>
      </c>
      <c r="AQ32" s="75" t="s">
        <v>326</v>
      </c>
      <c r="AR32" s="75" t="s">
        <v>326</v>
      </c>
      <c r="AS32" s="75" t="s">
        <v>326</v>
      </c>
      <c r="AT32" s="75" t="s">
        <v>326</v>
      </c>
      <c r="AU32" s="75" t="s">
        <v>326</v>
      </c>
      <c r="AV32" s="75" t="s">
        <v>326</v>
      </c>
      <c r="AW32" s="75" t="s">
        <v>326</v>
      </c>
      <c r="AX32" s="75" t="s">
        <v>326</v>
      </c>
      <c r="AY32" s="75" t="s">
        <v>326</v>
      </c>
      <c r="AZ32" s="75" t="s">
        <v>326</v>
      </c>
      <c r="BA32" s="75" t="s">
        <v>326</v>
      </c>
      <c r="BB32" s="75" t="s">
        <v>326</v>
      </c>
      <c r="BC32" s="75" t="s">
        <v>326</v>
      </c>
      <c r="BD32" s="75" t="s">
        <v>326</v>
      </c>
      <c r="BE32" s="75" t="s">
        <v>326</v>
      </c>
      <c r="BF32" s="75" t="s">
        <v>326</v>
      </c>
      <c r="BG32" s="75" t="s">
        <v>326</v>
      </c>
      <c r="BH32" s="75" t="s">
        <v>326</v>
      </c>
      <c r="BI32" s="75" t="s">
        <v>326</v>
      </c>
      <c r="BJ32" s="75" t="s">
        <v>326</v>
      </c>
      <c r="BK32" s="75" t="s">
        <v>326</v>
      </c>
      <c r="BL32" s="75" t="s">
        <v>326</v>
      </c>
      <c r="BM32" s="75" t="s">
        <v>326</v>
      </c>
      <c r="BN32" s="75" t="s">
        <v>326</v>
      </c>
      <c r="BO32" s="75" t="s">
        <v>326</v>
      </c>
    </row>
    <row r="33" customFormat="false" ht="12.75" hidden="false" customHeight="false" outlineLevel="0" collapsed="false">
      <c r="A33" s="1" t="n">
        <f aca="false">A32-1</f>
        <v>1994</v>
      </c>
      <c r="B33" s="1" t="s">
        <v>323</v>
      </c>
      <c r="C33" s="1" t="s">
        <v>323</v>
      </c>
      <c r="D33" s="1" t="s">
        <v>323</v>
      </c>
      <c r="E33" s="1" t="s">
        <v>323</v>
      </c>
      <c r="F33" s="75" t="s">
        <v>326</v>
      </c>
      <c r="G33" s="75" t="s">
        <v>326</v>
      </c>
      <c r="H33" s="75" t="s">
        <v>326</v>
      </c>
      <c r="I33" s="75" t="s">
        <v>326</v>
      </c>
      <c r="J33" s="75" t="s">
        <v>326</v>
      </c>
      <c r="K33" s="75" t="s">
        <v>326</v>
      </c>
      <c r="L33" s="75" t="s">
        <v>326</v>
      </c>
      <c r="M33" s="75" t="s">
        <v>326</v>
      </c>
      <c r="N33" s="75" t="s">
        <v>326</v>
      </c>
      <c r="O33" s="75" t="s">
        <v>326</v>
      </c>
      <c r="P33" s="75" t="s">
        <v>326</v>
      </c>
      <c r="Q33" s="75" t="s">
        <v>326</v>
      </c>
      <c r="R33" s="75" t="s">
        <v>326</v>
      </c>
      <c r="S33" s="75" t="s">
        <v>326</v>
      </c>
      <c r="T33" s="75" t="s">
        <v>326</v>
      </c>
      <c r="U33" s="75" t="s">
        <v>326</v>
      </c>
      <c r="V33" s="75" t="s">
        <v>326</v>
      </c>
      <c r="W33" s="75" t="s">
        <v>326</v>
      </c>
      <c r="X33" s="75" t="s">
        <v>326</v>
      </c>
      <c r="Y33" s="75" t="s">
        <v>326</v>
      </c>
      <c r="Z33" s="75" t="s">
        <v>326</v>
      </c>
      <c r="AA33" s="75" t="s">
        <v>326</v>
      </c>
      <c r="AB33" s="75" t="s">
        <v>326</v>
      </c>
      <c r="AC33" s="75" t="s">
        <v>326</v>
      </c>
      <c r="AD33" s="75" t="s">
        <v>326</v>
      </c>
      <c r="AE33" s="75" t="s">
        <v>326</v>
      </c>
      <c r="AF33" s="75" t="s">
        <v>326</v>
      </c>
      <c r="AG33" s="75" t="s">
        <v>326</v>
      </c>
      <c r="AH33" s="75" t="s">
        <v>326</v>
      </c>
      <c r="AI33" s="75" t="s">
        <v>326</v>
      </c>
      <c r="AJ33" s="75" t="s">
        <v>326</v>
      </c>
      <c r="AK33" s="75" t="s">
        <v>326</v>
      </c>
      <c r="AL33" s="75" t="s">
        <v>326</v>
      </c>
      <c r="AM33" s="75" t="s">
        <v>326</v>
      </c>
      <c r="AN33" s="75" t="s">
        <v>326</v>
      </c>
      <c r="AO33" s="75" t="s">
        <v>326</v>
      </c>
      <c r="AP33" s="75" t="s">
        <v>326</v>
      </c>
      <c r="AQ33" s="75" t="s">
        <v>326</v>
      </c>
      <c r="AR33" s="75" t="s">
        <v>326</v>
      </c>
      <c r="AS33" s="75" t="s">
        <v>326</v>
      </c>
      <c r="AT33" s="75" t="s">
        <v>326</v>
      </c>
      <c r="AU33" s="75" t="s">
        <v>326</v>
      </c>
      <c r="AV33" s="75" t="s">
        <v>326</v>
      </c>
      <c r="AW33" s="75" t="s">
        <v>326</v>
      </c>
      <c r="AX33" s="75" t="s">
        <v>326</v>
      </c>
      <c r="AY33" s="75" t="s">
        <v>326</v>
      </c>
      <c r="AZ33" s="75" t="s">
        <v>326</v>
      </c>
      <c r="BA33" s="75" t="s">
        <v>326</v>
      </c>
      <c r="BB33" s="75" t="s">
        <v>326</v>
      </c>
      <c r="BC33" s="75" t="s">
        <v>326</v>
      </c>
      <c r="BD33" s="75" t="s">
        <v>326</v>
      </c>
      <c r="BE33" s="75" t="s">
        <v>326</v>
      </c>
      <c r="BF33" s="75" t="s">
        <v>326</v>
      </c>
      <c r="BG33" s="75" t="s">
        <v>326</v>
      </c>
      <c r="BH33" s="75" t="s">
        <v>326</v>
      </c>
      <c r="BI33" s="75" t="s">
        <v>326</v>
      </c>
      <c r="BJ33" s="75" t="s">
        <v>326</v>
      </c>
      <c r="BK33" s="75" t="s">
        <v>326</v>
      </c>
      <c r="BL33" s="75" t="s">
        <v>326</v>
      </c>
      <c r="BM33" s="75" t="s">
        <v>326</v>
      </c>
      <c r="BN33" s="75" t="s">
        <v>326</v>
      </c>
      <c r="BO33" s="75" t="s">
        <v>326</v>
      </c>
    </row>
    <row r="34" customFormat="false" ht="12.75" hidden="false" customHeight="false" outlineLevel="0" collapsed="false">
      <c r="A34" s="1" t="n">
        <f aca="false">A33-1</f>
        <v>1993</v>
      </c>
      <c r="B34" s="1" t="s">
        <v>323</v>
      </c>
      <c r="C34" s="1" t="s">
        <v>323</v>
      </c>
      <c r="D34" s="1" t="s">
        <v>323</v>
      </c>
      <c r="E34" s="1" t="s">
        <v>323</v>
      </c>
      <c r="F34" s="75" t="s">
        <v>326</v>
      </c>
      <c r="G34" s="75" t="s">
        <v>326</v>
      </c>
      <c r="H34" s="75" t="s">
        <v>326</v>
      </c>
      <c r="I34" s="75" t="s">
        <v>326</v>
      </c>
      <c r="J34" s="75" t="s">
        <v>326</v>
      </c>
      <c r="K34" s="75" t="s">
        <v>326</v>
      </c>
      <c r="L34" s="75" t="s">
        <v>326</v>
      </c>
      <c r="M34" s="75" t="s">
        <v>326</v>
      </c>
      <c r="N34" s="75" t="s">
        <v>326</v>
      </c>
      <c r="O34" s="75" t="s">
        <v>326</v>
      </c>
      <c r="P34" s="75" t="s">
        <v>326</v>
      </c>
      <c r="Q34" s="75" t="s">
        <v>326</v>
      </c>
      <c r="R34" s="75" t="s">
        <v>326</v>
      </c>
      <c r="S34" s="75" t="s">
        <v>326</v>
      </c>
      <c r="T34" s="75" t="s">
        <v>326</v>
      </c>
      <c r="U34" s="75" t="s">
        <v>326</v>
      </c>
      <c r="V34" s="75" t="s">
        <v>326</v>
      </c>
      <c r="W34" s="75" t="s">
        <v>326</v>
      </c>
      <c r="X34" s="75" t="s">
        <v>326</v>
      </c>
      <c r="Y34" s="75" t="s">
        <v>326</v>
      </c>
      <c r="Z34" s="75" t="s">
        <v>326</v>
      </c>
      <c r="AA34" s="75" t="s">
        <v>326</v>
      </c>
      <c r="AB34" s="75" t="s">
        <v>326</v>
      </c>
      <c r="AC34" s="75" t="s">
        <v>326</v>
      </c>
      <c r="AD34" s="75" t="s">
        <v>326</v>
      </c>
      <c r="AE34" s="75" t="s">
        <v>326</v>
      </c>
      <c r="AF34" s="75" t="s">
        <v>326</v>
      </c>
      <c r="AG34" s="75" t="s">
        <v>326</v>
      </c>
      <c r="AH34" s="75" t="s">
        <v>326</v>
      </c>
      <c r="AI34" s="75" t="s">
        <v>326</v>
      </c>
      <c r="AJ34" s="75" t="s">
        <v>326</v>
      </c>
      <c r="AK34" s="75" t="s">
        <v>326</v>
      </c>
      <c r="AL34" s="75" t="s">
        <v>326</v>
      </c>
      <c r="AM34" s="75" t="s">
        <v>326</v>
      </c>
      <c r="AN34" s="75" t="s">
        <v>326</v>
      </c>
      <c r="AO34" s="75" t="s">
        <v>326</v>
      </c>
      <c r="AP34" s="75" t="s">
        <v>326</v>
      </c>
      <c r="AQ34" s="75" t="s">
        <v>326</v>
      </c>
      <c r="AR34" s="75" t="s">
        <v>326</v>
      </c>
      <c r="AS34" s="75" t="s">
        <v>326</v>
      </c>
      <c r="AT34" s="75" t="s">
        <v>326</v>
      </c>
      <c r="AU34" s="75" t="s">
        <v>326</v>
      </c>
      <c r="AV34" s="75" t="s">
        <v>326</v>
      </c>
      <c r="AW34" s="75" t="s">
        <v>326</v>
      </c>
      <c r="AX34" s="75" t="s">
        <v>326</v>
      </c>
      <c r="AY34" s="75" t="s">
        <v>326</v>
      </c>
      <c r="AZ34" s="75" t="s">
        <v>326</v>
      </c>
      <c r="BA34" s="75" t="s">
        <v>326</v>
      </c>
      <c r="BB34" s="75" t="s">
        <v>326</v>
      </c>
      <c r="BC34" s="75" t="s">
        <v>326</v>
      </c>
      <c r="BD34" s="75" t="s">
        <v>326</v>
      </c>
      <c r="BE34" s="75" t="s">
        <v>326</v>
      </c>
      <c r="BF34" s="75" t="s">
        <v>326</v>
      </c>
      <c r="BG34" s="75" t="s">
        <v>326</v>
      </c>
      <c r="BH34" s="75" t="s">
        <v>326</v>
      </c>
      <c r="BI34" s="75" t="s">
        <v>326</v>
      </c>
      <c r="BJ34" s="75" t="s">
        <v>326</v>
      </c>
      <c r="BK34" s="75" t="s">
        <v>326</v>
      </c>
      <c r="BL34" s="75" t="s">
        <v>326</v>
      </c>
      <c r="BM34" s="75" t="s">
        <v>326</v>
      </c>
      <c r="BN34" s="75" t="s">
        <v>326</v>
      </c>
      <c r="BO34" s="75" t="s">
        <v>326</v>
      </c>
    </row>
    <row r="35" customFormat="false" ht="12.75" hidden="false" customHeight="false" outlineLevel="0" collapsed="false">
      <c r="A35" s="1" t="n">
        <f aca="false">A34-1</f>
        <v>1992</v>
      </c>
      <c r="B35" s="1" t="s">
        <v>323</v>
      </c>
      <c r="C35" s="1" t="s">
        <v>323</v>
      </c>
      <c r="D35" s="1" t="s">
        <v>323</v>
      </c>
      <c r="E35" s="1" t="s">
        <v>323</v>
      </c>
      <c r="F35" s="75" t="s">
        <v>326</v>
      </c>
      <c r="G35" s="75" t="s">
        <v>326</v>
      </c>
      <c r="H35" s="75" t="s">
        <v>326</v>
      </c>
      <c r="I35" s="75" t="s">
        <v>326</v>
      </c>
      <c r="J35" s="75" t="s">
        <v>326</v>
      </c>
      <c r="K35" s="75" t="s">
        <v>326</v>
      </c>
      <c r="L35" s="75" t="s">
        <v>326</v>
      </c>
      <c r="M35" s="75" t="s">
        <v>326</v>
      </c>
      <c r="N35" s="75" t="s">
        <v>326</v>
      </c>
      <c r="O35" s="75" t="s">
        <v>326</v>
      </c>
      <c r="P35" s="75" t="s">
        <v>326</v>
      </c>
      <c r="Q35" s="75" t="s">
        <v>326</v>
      </c>
      <c r="R35" s="75" t="s">
        <v>326</v>
      </c>
      <c r="S35" s="75" t="s">
        <v>326</v>
      </c>
      <c r="T35" s="75" t="s">
        <v>326</v>
      </c>
      <c r="U35" s="75" t="s">
        <v>326</v>
      </c>
      <c r="V35" s="75" t="s">
        <v>326</v>
      </c>
      <c r="W35" s="75" t="s">
        <v>326</v>
      </c>
      <c r="X35" s="75" t="s">
        <v>326</v>
      </c>
      <c r="Y35" s="75" t="s">
        <v>326</v>
      </c>
      <c r="Z35" s="75" t="s">
        <v>326</v>
      </c>
      <c r="AA35" s="75" t="s">
        <v>326</v>
      </c>
      <c r="AB35" s="75" t="s">
        <v>326</v>
      </c>
      <c r="AC35" s="75" t="s">
        <v>326</v>
      </c>
      <c r="AD35" s="75" t="s">
        <v>326</v>
      </c>
      <c r="AE35" s="75" t="s">
        <v>326</v>
      </c>
      <c r="AF35" s="75" t="s">
        <v>326</v>
      </c>
      <c r="AG35" s="75" t="s">
        <v>326</v>
      </c>
      <c r="AH35" s="75" t="s">
        <v>326</v>
      </c>
      <c r="AI35" s="75" t="s">
        <v>326</v>
      </c>
      <c r="AJ35" s="75" t="s">
        <v>326</v>
      </c>
      <c r="AK35" s="75" t="s">
        <v>326</v>
      </c>
      <c r="AL35" s="75" t="s">
        <v>326</v>
      </c>
      <c r="AM35" s="75" t="s">
        <v>326</v>
      </c>
      <c r="AN35" s="75" t="s">
        <v>326</v>
      </c>
      <c r="AO35" s="75" t="s">
        <v>326</v>
      </c>
      <c r="AP35" s="75" t="s">
        <v>326</v>
      </c>
      <c r="AQ35" s="75" t="s">
        <v>326</v>
      </c>
      <c r="AR35" s="75" t="s">
        <v>326</v>
      </c>
      <c r="AS35" s="75" t="s">
        <v>326</v>
      </c>
      <c r="AT35" s="75" t="s">
        <v>326</v>
      </c>
      <c r="AU35" s="75" t="s">
        <v>326</v>
      </c>
      <c r="AV35" s="75" t="s">
        <v>326</v>
      </c>
      <c r="AW35" s="75" t="s">
        <v>326</v>
      </c>
      <c r="AX35" s="75" t="s">
        <v>326</v>
      </c>
      <c r="AY35" s="75" t="s">
        <v>326</v>
      </c>
      <c r="AZ35" s="75" t="s">
        <v>326</v>
      </c>
      <c r="BA35" s="75" t="s">
        <v>326</v>
      </c>
      <c r="BB35" s="75" t="s">
        <v>326</v>
      </c>
      <c r="BC35" s="75" t="s">
        <v>326</v>
      </c>
      <c r="BD35" s="75" t="s">
        <v>326</v>
      </c>
      <c r="BE35" s="75" t="s">
        <v>326</v>
      </c>
      <c r="BF35" s="75" t="s">
        <v>326</v>
      </c>
      <c r="BG35" s="75" t="s">
        <v>326</v>
      </c>
      <c r="BH35" s="75" t="s">
        <v>326</v>
      </c>
      <c r="BI35" s="75" t="s">
        <v>326</v>
      </c>
      <c r="BJ35" s="75" t="s">
        <v>326</v>
      </c>
      <c r="BK35" s="75" t="s">
        <v>326</v>
      </c>
      <c r="BL35" s="75" t="s">
        <v>326</v>
      </c>
      <c r="BM35" s="75" t="s">
        <v>326</v>
      </c>
      <c r="BN35" s="75" t="s">
        <v>326</v>
      </c>
      <c r="BO35" s="75" t="s">
        <v>326</v>
      </c>
    </row>
    <row r="36" customFormat="false" ht="12.75" hidden="false" customHeight="false" outlineLevel="0" collapsed="false">
      <c r="A36" s="1" t="n">
        <f aca="false">A35-1</f>
        <v>1991</v>
      </c>
      <c r="B36" s="1" t="s">
        <v>323</v>
      </c>
      <c r="C36" s="1" t="s">
        <v>323</v>
      </c>
      <c r="D36" s="1" t="s">
        <v>323</v>
      </c>
      <c r="E36" s="1" t="s">
        <v>323</v>
      </c>
      <c r="F36" s="75" t="s">
        <v>326</v>
      </c>
      <c r="G36" s="75" t="s">
        <v>326</v>
      </c>
      <c r="H36" s="75" t="s">
        <v>326</v>
      </c>
      <c r="I36" s="75" t="s">
        <v>326</v>
      </c>
      <c r="J36" s="75" t="s">
        <v>326</v>
      </c>
      <c r="K36" s="75" t="s">
        <v>326</v>
      </c>
      <c r="L36" s="75" t="s">
        <v>326</v>
      </c>
      <c r="M36" s="75" t="s">
        <v>326</v>
      </c>
      <c r="N36" s="75" t="s">
        <v>326</v>
      </c>
      <c r="O36" s="75" t="s">
        <v>326</v>
      </c>
      <c r="P36" s="75" t="s">
        <v>326</v>
      </c>
      <c r="Q36" s="75" t="s">
        <v>326</v>
      </c>
      <c r="R36" s="75" t="s">
        <v>326</v>
      </c>
      <c r="S36" s="75" t="s">
        <v>326</v>
      </c>
      <c r="T36" s="75" t="s">
        <v>326</v>
      </c>
      <c r="U36" s="75" t="s">
        <v>326</v>
      </c>
      <c r="V36" s="75" t="s">
        <v>326</v>
      </c>
      <c r="W36" s="75" t="s">
        <v>326</v>
      </c>
      <c r="X36" s="75" t="s">
        <v>326</v>
      </c>
      <c r="Y36" s="75" t="s">
        <v>326</v>
      </c>
      <c r="Z36" s="75" t="s">
        <v>326</v>
      </c>
      <c r="AA36" s="75" t="s">
        <v>326</v>
      </c>
      <c r="AB36" s="75" t="s">
        <v>326</v>
      </c>
      <c r="AC36" s="75" t="s">
        <v>326</v>
      </c>
      <c r="AD36" s="75" t="s">
        <v>326</v>
      </c>
      <c r="AE36" s="75" t="s">
        <v>326</v>
      </c>
      <c r="AF36" s="75" t="s">
        <v>326</v>
      </c>
      <c r="AG36" s="75" t="s">
        <v>326</v>
      </c>
      <c r="AH36" s="75" t="s">
        <v>326</v>
      </c>
      <c r="AI36" s="75" t="s">
        <v>326</v>
      </c>
      <c r="AJ36" s="75" t="s">
        <v>326</v>
      </c>
      <c r="AK36" s="75" t="s">
        <v>326</v>
      </c>
      <c r="AL36" s="75" t="s">
        <v>326</v>
      </c>
      <c r="AM36" s="75" t="s">
        <v>326</v>
      </c>
      <c r="AN36" s="75" t="s">
        <v>326</v>
      </c>
      <c r="AO36" s="75" t="s">
        <v>326</v>
      </c>
      <c r="AP36" s="75" t="s">
        <v>326</v>
      </c>
      <c r="AQ36" s="75" t="s">
        <v>326</v>
      </c>
      <c r="AR36" s="75" t="s">
        <v>326</v>
      </c>
      <c r="AS36" s="75" t="s">
        <v>326</v>
      </c>
      <c r="AT36" s="75" t="s">
        <v>326</v>
      </c>
      <c r="AU36" s="75" t="s">
        <v>326</v>
      </c>
      <c r="AV36" s="75" t="s">
        <v>326</v>
      </c>
      <c r="AW36" s="75" t="s">
        <v>326</v>
      </c>
      <c r="AX36" s="75" t="s">
        <v>326</v>
      </c>
      <c r="AY36" s="75" t="s">
        <v>326</v>
      </c>
      <c r="AZ36" s="75" t="s">
        <v>326</v>
      </c>
      <c r="BA36" s="75" t="s">
        <v>326</v>
      </c>
      <c r="BB36" s="75" t="s">
        <v>326</v>
      </c>
      <c r="BC36" s="75" t="s">
        <v>326</v>
      </c>
      <c r="BD36" s="75" t="s">
        <v>326</v>
      </c>
      <c r="BE36" s="75" t="s">
        <v>326</v>
      </c>
      <c r="BF36" s="75" t="s">
        <v>326</v>
      </c>
      <c r="BG36" s="75" t="s">
        <v>326</v>
      </c>
      <c r="BH36" s="75" t="s">
        <v>326</v>
      </c>
      <c r="BI36" s="75" t="s">
        <v>326</v>
      </c>
      <c r="BJ36" s="75" t="s">
        <v>326</v>
      </c>
      <c r="BK36" s="75" t="s">
        <v>326</v>
      </c>
      <c r="BL36" s="75" t="s">
        <v>326</v>
      </c>
      <c r="BM36" s="75" t="s">
        <v>326</v>
      </c>
      <c r="BN36" s="75" t="s">
        <v>326</v>
      </c>
      <c r="BO36" s="75" t="s">
        <v>326</v>
      </c>
    </row>
    <row r="37" customFormat="false" ht="12.75" hidden="false" customHeight="false" outlineLevel="0" collapsed="false">
      <c r="A37" s="1" t="n">
        <f aca="false">A36-1</f>
        <v>1990</v>
      </c>
      <c r="B37" s="1" t="s">
        <v>323</v>
      </c>
      <c r="C37" s="1" t="s">
        <v>323</v>
      </c>
      <c r="D37" s="1" t="s">
        <v>323</v>
      </c>
      <c r="E37" s="1" t="s">
        <v>323</v>
      </c>
      <c r="F37" s="75" t="s">
        <v>326</v>
      </c>
      <c r="G37" s="75" t="s">
        <v>326</v>
      </c>
      <c r="H37" s="75" t="s">
        <v>326</v>
      </c>
      <c r="I37" s="75" t="s">
        <v>326</v>
      </c>
      <c r="J37" s="75" t="s">
        <v>326</v>
      </c>
      <c r="K37" s="75" t="s">
        <v>326</v>
      </c>
      <c r="L37" s="75" t="s">
        <v>326</v>
      </c>
      <c r="M37" s="75" t="s">
        <v>326</v>
      </c>
      <c r="N37" s="75" t="s">
        <v>326</v>
      </c>
      <c r="O37" s="75" t="s">
        <v>326</v>
      </c>
      <c r="P37" s="75" t="s">
        <v>326</v>
      </c>
      <c r="Q37" s="75" t="s">
        <v>326</v>
      </c>
      <c r="R37" s="75" t="s">
        <v>326</v>
      </c>
      <c r="S37" s="75" t="s">
        <v>326</v>
      </c>
      <c r="T37" s="75" t="s">
        <v>326</v>
      </c>
      <c r="U37" s="75" t="s">
        <v>326</v>
      </c>
      <c r="V37" s="75" t="s">
        <v>326</v>
      </c>
      <c r="W37" s="75" t="s">
        <v>326</v>
      </c>
      <c r="X37" s="75" t="s">
        <v>326</v>
      </c>
      <c r="Y37" s="75" t="s">
        <v>326</v>
      </c>
      <c r="Z37" s="75" t="s">
        <v>326</v>
      </c>
      <c r="AA37" s="75" t="s">
        <v>326</v>
      </c>
      <c r="AB37" s="75" t="s">
        <v>326</v>
      </c>
      <c r="AC37" s="75" t="s">
        <v>326</v>
      </c>
      <c r="AD37" s="75" t="s">
        <v>326</v>
      </c>
      <c r="AE37" s="75" t="s">
        <v>326</v>
      </c>
      <c r="AF37" s="75" t="s">
        <v>326</v>
      </c>
      <c r="AG37" s="75" t="s">
        <v>326</v>
      </c>
      <c r="AH37" s="75" t="s">
        <v>326</v>
      </c>
      <c r="AI37" s="75" t="s">
        <v>326</v>
      </c>
      <c r="AJ37" s="75" t="s">
        <v>326</v>
      </c>
      <c r="AK37" s="75" t="s">
        <v>326</v>
      </c>
      <c r="AL37" s="75" t="s">
        <v>326</v>
      </c>
      <c r="AM37" s="75" t="s">
        <v>326</v>
      </c>
      <c r="AN37" s="75" t="s">
        <v>326</v>
      </c>
      <c r="AO37" s="75" t="s">
        <v>326</v>
      </c>
      <c r="AP37" s="75" t="s">
        <v>326</v>
      </c>
      <c r="AQ37" s="75" t="s">
        <v>326</v>
      </c>
      <c r="AR37" s="75" t="s">
        <v>326</v>
      </c>
      <c r="AS37" s="75" t="s">
        <v>326</v>
      </c>
      <c r="AT37" s="75" t="s">
        <v>326</v>
      </c>
      <c r="AU37" s="75" t="s">
        <v>326</v>
      </c>
      <c r="AV37" s="75" t="s">
        <v>326</v>
      </c>
      <c r="AW37" s="75" t="s">
        <v>326</v>
      </c>
      <c r="AX37" s="75" t="s">
        <v>326</v>
      </c>
      <c r="AY37" s="75" t="s">
        <v>326</v>
      </c>
      <c r="AZ37" s="75" t="s">
        <v>326</v>
      </c>
      <c r="BA37" s="75" t="s">
        <v>326</v>
      </c>
      <c r="BB37" s="75" t="s">
        <v>326</v>
      </c>
      <c r="BC37" s="75" t="s">
        <v>326</v>
      </c>
      <c r="BD37" s="75" t="s">
        <v>326</v>
      </c>
      <c r="BE37" s="75" t="s">
        <v>326</v>
      </c>
      <c r="BF37" s="75" t="s">
        <v>326</v>
      </c>
      <c r="BG37" s="75" t="s">
        <v>326</v>
      </c>
      <c r="BH37" s="75" t="s">
        <v>326</v>
      </c>
      <c r="BI37" s="75" t="s">
        <v>326</v>
      </c>
      <c r="BJ37" s="75" t="s">
        <v>326</v>
      </c>
      <c r="BK37" s="75" t="s">
        <v>326</v>
      </c>
      <c r="BL37" s="75" t="s">
        <v>326</v>
      </c>
      <c r="BM37" s="75" t="s">
        <v>326</v>
      </c>
      <c r="BN37" s="75" t="s">
        <v>326</v>
      </c>
      <c r="BO37" s="75" t="s">
        <v>326</v>
      </c>
    </row>
    <row r="38" customFormat="false" ht="12.75" hidden="false" customHeight="false" outlineLevel="0" collapsed="false">
      <c r="A38" s="1" t="n">
        <f aca="false">A37-1</f>
        <v>1989</v>
      </c>
      <c r="B38" s="1" t="s">
        <v>323</v>
      </c>
      <c r="C38" s="1" t="s">
        <v>323</v>
      </c>
      <c r="D38" s="1" t="s">
        <v>323</v>
      </c>
      <c r="E38" s="1" t="s">
        <v>323</v>
      </c>
      <c r="F38" s="75" t="s">
        <v>326</v>
      </c>
      <c r="G38" s="75" t="s">
        <v>326</v>
      </c>
      <c r="H38" s="75" t="s">
        <v>326</v>
      </c>
      <c r="I38" s="75" t="s">
        <v>326</v>
      </c>
      <c r="J38" s="75" t="s">
        <v>326</v>
      </c>
      <c r="K38" s="75" t="s">
        <v>326</v>
      </c>
      <c r="L38" s="75" t="s">
        <v>326</v>
      </c>
      <c r="M38" s="75" t="s">
        <v>326</v>
      </c>
      <c r="N38" s="75" t="s">
        <v>326</v>
      </c>
      <c r="O38" s="75" t="s">
        <v>326</v>
      </c>
      <c r="P38" s="75" t="s">
        <v>326</v>
      </c>
      <c r="Q38" s="75" t="s">
        <v>326</v>
      </c>
      <c r="R38" s="75" t="s">
        <v>326</v>
      </c>
      <c r="S38" s="75" t="s">
        <v>326</v>
      </c>
      <c r="T38" s="75" t="s">
        <v>326</v>
      </c>
      <c r="U38" s="75" t="s">
        <v>326</v>
      </c>
      <c r="V38" s="75" t="s">
        <v>326</v>
      </c>
      <c r="W38" s="75" t="s">
        <v>326</v>
      </c>
      <c r="X38" s="75" t="s">
        <v>326</v>
      </c>
      <c r="Y38" s="75" t="s">
        <v>326</v>
      </c>
      <c r="Z38" s="75" t="s">
        <v>326</v>
      </c>
      <c r="AA38" s="75" t="s">
        <v>326</v>
      </c>
      <c r="AB38" s="75" t="s">
        <v>326</v>
      </c>
      <c r="AC38" s="75" t="s">
        <v>326</v>
      </c>
      <c r="AD38" s="75" t="s">
        <v>326</v>
      </c>
      <c r="AE38" s="75" t="s">
        <v>326</v>
      </c>
      <c r="AF38" s="75" t="s">
        <v>326</v>
      </c>
      <c r="AG38" s="75" t="s">
        <v>326</v>
      </c>
      <c r="AH38" s="75" t="s">
        <v>326</v>
      </c>
      <c r="AI38" s="75" t="s">
        <v>326</v>
      </c>
      <c r="AJ38" s="75" t="s">
        <v>326</v>
      </c>
      <c r="AK38" s="75" t="s">
        <v>326</v>
      </c>
      <c r="AL38" s="75" t="s">
        <v>326</v>
      </c>
      <c r="AM38" s="75" t="s">
        <v>326</v>
      </c>
      <c r="AN38" s="75" t="s">
        <v>326</v>
      </c>
      <c r="AO38" s="75" t="s">
        <v>326</v>
      </c>
      <c r="AP38" s="75" t="s">
        <v>326</v>
      </c>
      <c r="AQ38" s="75" t="s">
        <v>326</v>
      </c>
      <c r="AR38" s="75" t="s">
        <v>326</v>
      </c>
      <c r="AS38" s="75" t="s">
        <v>326</v>
      </c>
      <c r="AT38" s="75" t="s">
        <v>326</v>
      </c>
      <c r="AU38" s="75" t="s">
        <v>326</v>
      </c>
      <c r="AV38" s="75" t="s">
        <v>326</v>
      </c>
      <c r="AW38" s="75" t="s">
        <v>326</v>
      </c>
      <c r="AX38" s="75" t="s">
        <v>326</v>
      </c>
      <c r="AY38" s="75" t="s">
        <v>326</v>
      </c>
      <c r="AZ38" s="75" t="s">
        <v>326</v>
      </c>
      <c r="BA38" s="75" t="s">
        <v>326</v>
      </c>
      <c r="BB38" s="75" t="s">
        <v>326</v>
      </c>
      <c r="BC38" s="75" t="s">
        <v>326</v>
      </c>
      <c r="BD38" s="75" t="s">
        <v>326</v>
      </c>
      <c r="BE38" s="75" t="s">
        <v>326</v>
      </c>
      <c r="BF38" s="75" t="s">
        <v>326</v>
      </c>
      <c r="BG38" s="75" t="s">
        <v>326</v>
      </c>
      <c r="BH38" s="75" t="s">
        <v>326</v>
      </c>
      <c r="BI38" s="75" t="s">
        <v>326</v>
      </c>
      <c r="BJ38" s="75" t="s">
        <v>326</v>
      </c>
      <c r="BK38" s="75" t="s">
        <v>326</v>
      </c>
      <c r="BL38" s="75" t="s">
        <v>326</v>
      </c>
      <c r="BM38" s="75" t="s">
        <v>326</v>
      </c>
      <c r="BN38" s="75" t="s">
        <v>326</v>
      </c>
      <c r="BO38" s="75" t="s">
        <v>326</v>
      </c>
    </row>
    <row r="39" customFormat="false" ht="12.75" hidden="false" customHeight="false" outlineLevel="0" collapsed="false">
      <c r="A39" s="1" t="n">
        <f aca="false">A38-1</f>
        <v>1988</v>
      </c>
      <c r="B39" s="1" t="s">
        <v>323</v>
      </c>
      <c r="C39" s="1" t="s">
        <v>323</v>
      </c>
      <c r="D39" s="1" t="s">
        <v>323</v>
      </c>
      <c r="E39" s="1" t="s">
        <v>323</v>
      </c>
      <c r="F39" s="75" t="s">
        <v>326</v>
      </c>
      <c r="G39" s="75" t="s">
        <v>326</v>
      </c>
      <c r="H39" s="75" t="s">
        <v>326</v>
      </c>
      <c r="I39" s="75" t="s">
        <v>326</v>
      </c>
      <c r="J39" s="75" t="s">
        <v>326</v>
      </c>
      <c r="K39" s="75" t="s">
        <v>326</v>
      </c>
      <c r="L39" s="75" t="s">
        <v>326</v>
      </c>
      <c r="M39" s="75" t="s">
        <v>326</v>
      </c>
      <c r="N39" s="75" t="s">
        <v>326</v>
      </c>
      <c r="O39" s="75" t="s">
        <v>326</v>
      </c>
      <c r="P39" s="75" t="s">
        <v>326</v>
      </c>
      <c r="Q39" s="75" t="s">
        <v>326</v>
      </c>
      <c r="R39" s="75" t="s">
        <v>326</v>
      </c>
      <c r="S39" s="75" t="s">
        <v>326</v>
      </c>
      <c r="T39" s="75" t="s">
        <v>326</v>
      </c>
      <c r="U39" s="75" t="s">
        <v>326</v>
      </c>
      <c r="V39" s="75" t="s">
        <v>326</v>
      </c>
      <c r="W39" s="75" t="s">
        <v>326</v>
      </c>
      <c r="X39" s="75" t="s">
        <v>326</v>
      </c>
      <c r="Y39" s="75" t="s">
        <v>326</v>
      </c>
      <c r="Z39" s="75" t="s">
        <v>326</v>
      </c>
      <c r="AA39" s="75" t="s">
        <v>326</v>
      </c>
      <c r="AB39" s="75" t="s">
        <v>326</v>
      </c>
      <c r="AC39" s="75" t="s">
        <v>326</v>
      </c>
      <c r="AD39" s="75" t="s">
        <v>326</v>
      </c>
      <c r="AE39" s="75" t="s">
        <v>326</v>
      </c>
      <c r="AF39" s="75" t="s">
        <v>326</v>
      </c>
      <c r="AG39" s="75" t="s">
        <v>326</v>
      </c>
      <c r="AH39" s="75" t="s">
        <v>326</v>
      </c>
      <c r="AI39" s="75" t="s">
        <v>326</v>
      </c>
      <c r="AJ39" s="75" t="s">
        <v>326</v>
      </c>
      <c r="AK39" s="75" t="s">
        <v>326</v>
      </c>
      <c r="AL39" s="75" t="s">
        <v>326</v>
      </c>
      <c r="AM39" s="75" t="s">
        <v>326</v>
      </c>
      <c r="AN39" s="75" t="s">
        <v>326</v>
      </c>
      <c r="AO39" s="75" t="s">
        <v>326</v>
      </c>
      <c r="AP39" s="75" t="s">
        <v>326</v>
      </c>
      <c r="AQ39" s="75" t="s">
        <v>326</v>
      </c>
      <c r="AR39" s="75" t="s">
        <v>326</v>
      </c>
      <c r="AS39" s="75" t="s">
        <v>326</v>
      </c>
      <c r="AT39" s="75" t="s">
        <v>326</v>
      </c>
      <c r="AU39" s="75" t="s">
        <v>326</v>
      </c>
      <c r="AV39" s="75" t="s">
        <v>326</v>
      </c>
      <c r="AW39" s="75" t="s">
        <v>326</v>
      </c>
      <c r="AX39" s="75" t="s">
        <v>326</v>
      </c>
      <c r="AY39" s="75" t="s">
        <v>326</v>
      </c>
      <c r="AZ39" s="75" t="s">
        <v>326</v>
      </c>
      <c r="BA39" s="75" t="s">
        <v>326</v>
      </c>
      <c r="BB39" s="75" t="s">
        <v>326</v>
      </c>
      <c r="BC39" s="75" t="s">
        <v>326</v>
      </c>
      <c r="BD39" s="75" t="s">
        <v>326</v>
      </c>
      <c r="BE39" s="75" t="s">
        <v>326</v>
      </c>
      <c r="BF39" s="75" t="s">
        <v>326</v>
      </c>
      <c r="BG39" s="75" t="s">
        <v>326</v>
      </c>
      <c r="BH39" s="75" t="s">
        <v>326</v>
      </c>
      <c r="BI39" s="75" t="s">
        <v>326</v>
      </c>
      <c r="BJ39" s="75" t="s">
        <v>326</v>
      </c>
      <c r="BK39" s="75" t="s">
        <v>326</v>
      </c>
      <c r="BL39" s="75" t="s">
        <v>326</v>
      </c>
      <c r="BM39" s="75" t="s">
        <v>326</v>
      </c>
      <c r="BN39" s="75" t="s">
        <v>326</v>
      </c>
      <c r="BO39" s="75" t="s">
        <v>326</v>
      </c>
    </row>
    <row r="40" customFormat="false" ht="12.75" hidden="false" customHeight="false" outlineLevel="0" collapsed="false">
      <c r="A40" s="1" t="n">
        <f aca="false">A39-1</f>
        <v>1987</v>
      </c>
      <c r="B40" s="1" t="s">
        <v>323</v>
      </c>
      <c r="C40" s="1" t="s">
        <v>323</v>
      </c>
      <c r="D40" s="1" t="s">
        <v>323</v>
      </c>
      <c r="E40" s="1" t="s">
        <v>323</v>
      </c>
      <c r="F40" s="75" t="s">
        <v>326</v>
      </c>
      <c r="G40" s="75" t="s">
        <v>326</v>
      </c>
      <c r="H40" s="75" t="s">
        <v>326</v>
      </c>
      <c r="I40" s="75" t="s">
        <v>326</v>
      </c>
      <c r="J40" s="75" t="s">
        <v>326</v>
      </c>
      <c r="K40" s="75" t="s">
        <v>326</v>
      </c>
      <c r="L40" s="75" t="s">
        <v>326</v>
      </c>
      <c r="M40" s="75" t="s">
        <v>326</v>
      </c>
      <c r="N40" s="75" t="s">
        <v>326</v>
      </c>
      <c r="O40" s="75" t="s">
        <v>326</v>
      </c>
      <c r="P40" s="75" t="s">
        <v>326</v>
      </c>
      <c r="Q40" s="75" t="s">
        <v>326</v>
      </c>
      <c r="R40" s="75" t="s">
        <v>326</v>
      </c>
      <c r="S40" s="75" t="s">
        <v>326</v>
      </c>
      <c r="T40" s="75" t="s">
        <v>326</v>
      </c>
      <c r="U40" s="75" t="s">
        <v>326</v>
      </c>
      <c r="V40" s="75" t="s">
        <v>326</v>
      </c>
      <c r="W40" s="75" t="s">
        <v>326</v>
      </c>
      <c r="X40" s="75" t="s">
        <v>326</v>
      </c>
      <c r="Y40" s="75" t="s">
        <v>326</v>
      </c>
      <c r="Z40" s="75" t="s">
        <v>326</v>
      </c>
      <c r="AA40" s="75" t="s">
        <v>326</v>
      </c>
      <c r="AB40" s="75" t="s">
        <v>326</v>
      </c>
      <c r="AC40" s="75" t="s">
        <v>326</v>
      </c>
      <c r="AD40" s="75" t="s">
        <v>326</v>
      </c>
      <c r="AE40" s="75" t="s">
        <v>326</v>
      </c>
      <c r="AF40" s="75" t="s">
        <v>326</v>
      </c>
      <c r="AG40" s="75" t="s">
        <v>326</v>
      </c>
      <c r="AH40" s="75" t="s">
        <v>326</v>
      </c>
      <c r="AI40" s="75" t="s">
        <v>326</v>
      </c>
      <c r="AJ40" s="75" t="s">
        <v>326</v>
      </c>
      <c r="AK40" s="75" t="s">
        <v>326</v>
      </c>
      <c r="AL40" s="75" t="s">
        <v>326</v>
      </c>
      <c r="AM40" s="75" t="s">
        <v>326</v>
      </c>
      <c r="AN40" s="75" t="s">
        <v>326</v>
      </c>
      <c r="AO40" s="75" t="s">
        <v>326</v>
      </c>
      <c r="AP40" s="75" t="s">
        <v>326</v>
      </c>
      <c r="AQ40" s="75" t="s">
        <v>326</v>
      </c>
      <c r="AR40" s="75" t="s">
        <v>326</v>
      </c>
      <c r="AS40" s="75" t="s">
        <v>326</v>
      </c>
      <c r="AT40" s="75" t="s">
        <v>326</v>
      </c>
      <c r="AU40" s="75" t="s">
        <v>326</v>
      </c>
      <c r="AV40" s="75" t="s">
        <v>326</v>
      </c>
      <c r="AW40" s="75" t="s">
        <v>326</v>
      </c>
      <c r="AX40" s="75" t="s">
        <v>326</v>
      </c>
      <c r="AY40" s="75" t="s">
        <v>326</v>
      </c>
      <c r="AZ40" s="75" t="s">
        <v>326</v>
      </c>
      <c r="BA40" s="75" t="s">
        <v>326</v>
      </c>
      <c r="BB40" s="75" t="s">
        <v>326</v>
      </c>
      <c r="BC40" s="75" t="s">
        <v>326</v>
      </c>
      <c r="BD40" s="75" t="s">
        <v>326</v>
      </c>
      <c r="BE40" s="75" t="s">
        <v>326</v>
      </c>
      <c r="BF40" s="75" t="s">
        <v>326</v>
      </c>
      <c r="BG40" s="75" t="s">
        <v>326</v>
      </c>
      <c r="BH40" s="75" t="s">
        <v>326</v>
      </c>
      <c r="BI40" s="75" t="s">
        <v>326</v>
      </c>
      <c r="BJ40" s="75" t="s">
        <v>326</v>
      </c>
      <c r="BK40" s="75" t="s">
        <v>326</v>
      </c>
      <c r="BL40" s="75" t="s">
        <v>326</v>
      </c>
      <c r="BM40" s="75" t="s">
        <v>326</v>
      </c>
      <c r="BN40" s="75" t="s">
        <v>326</v>
      </c>
      <c r="BO40" s="75" t="s">
        <v>326</v>
      </c>
    </row>
    <row r="41" customFormat="false" ht="12.75" hidden="false" customHeight="false" outlineLevel="0" collapsed="false">
      <c r="A41" s="1" t="n">
        <f aca="false">A40-1</f>
        <v>1986</v>
      </c>
      <c r="B41" s="1" t="s">
        <v>323</v>
      </c>
      <c r="C41" s="1" t="s">
        <v>323</v>
      </c>
      <c r="D41" s="1" t="s">
        <v>323</v>
      </c>
      <c r="E41" s="1" t="s">
        <v>323</v>
      </c>
      <c r="F41" s="75" t="s">
        <v>326</v>
      </c>
      <c r="G41" s="75" t="s">
        <v>326</v>
      </c>
      <c r="H41" s="75" t="s">
        <v>326</v>
      </c>
      <c r="I41" s="75" t="s">
        <v>326</v>
      </c>
      <c r="J41" s="75" t="s">
        <v>326</v>
      </c>
      <c r="K41" s="75" t="s">
        <v>326</v>
      </c>
      <c r="L41" s="75" t="s">
        <v>326</v>
      </c>
      <c r="M41" s="75" t="s">
        <v>326</v>
      </c>
      <c r="N41" s="75" t="s">
        <v>326</v>
      </c>
      <c r="O41" s="75" t="s">
        <v>326</v>
      </c>
      <c r="P41" s="75" t="s">
        <v>326</v>
      </c>
      <c r="Q41" s="75" t="s">
        <v>326</v>
      </c>
      <c r="R41" s="75" t="s">
        <v>326</v>
      </c>
      <c r="S41" s="75" t="s">
        <v>326</v>
      </c>
      <c r="T41" s="75" t="s">
        <v>326</v>
      </c>
      <c r="U41" s="75" t="s">
        <v>326</v>
      </c>
      <c r="V41" s="75" t="s">
        <v>326</v>
      </c>
      <c r="W41" s="75" t="s">
        <v>326</v>
      </c>
      <c r="X41" s="75" t="s">
        <v>326</v>
      </c>
      <c r="Y41" s="75" t="s">
        <v>326</v>
      </c>
      <c r="Z41" s="75" t="s">
        <v>326</v>
      </c>
      <c r="AA41" s="75" t="s">
        <v>326</v>
      </c>
      <c r="AB41" s="75" t="s">
        <v>326</v>
      </c>
      <c r="AC41" s="75" t="s">
        <v>326</v>
      </c>
      <c r="AD41" s="75" t="s">
        <v>326</v>
      </c>
      <c r="AE41" s="75" t="s">
        <v>326</v>
      </c>
      <c r="AF41" s="75" t="s">
        <v>326</v>
      </c>
      <c r="AG41" s="75" t="s">
        <v>326</v>
      </c>
      <c r="AH41" s="75" t="s">
        <v>326</v>
      </c>
      <c r="AI41" s="75" t="s">
        <v>326</v>
      </c>
      <c r="AJ41" s="75" t="s">
        <v>326</v>
      </c>
      <c r="AK41" s="75" t="s">
        <v>326</v>
      </c>
      <c r="AL41" s="75" t="s">
        <v>326</v>
      </c>
      <c r="AM41" s="75" t="s">
        <v>326</v>
      </c>
      <c r="AN41" s="75" t="s">
        <v>326</v>
      </c>
      <c r="AO41" s="75" t="s">
        <v>326</v>
      </c>
      <c r="AP41" s="75" t="s">
        <v>326</v>
      </c>
      <c r="AQ41" s="75" t="s">
        <v>326</v>
      </c>
      <c r="AR41" s="75" t="s">
        <v>326</v>
      </c>
      <c r="AS41" s="75" t="s">
        <v>326</v>
      </c>
      <c r="AT41" s="75" t="s">
        <v>326</v>
      </c>
      <c r="AU41" s="75" t="s">
        <v>326</v>
      </c>
      <c r="AV41" s="75" t="s">
        <v>326</v>
      </c>
      <c r="AW41" s="75" t="s">
        <v>326</v>
      </c>
      <c r="AX41" s="75" t="s">
        <v>326</v>
      </c>
      <c r="AY41" s="75" t="s">
        <v>326</v>
      </c>
      <c r="AZ41" s="75" t="s">
        <v>326</v>
      </c>
      <c r="BA41" s="75" t="s">
        <v>326</v>
      </c>
      <c r="BB41" s="75" t="s">
        <v>326</v>
      </c>
      <c r="BC41" s="75" t="s">
        <v>326</v>
      </c>
      <c r="BD41" s="75" t="s">
        <v>326</v>
      </c>
      <c r="BE41" s="75" t="s">
        <v>326</v>
      </c>
      <c r="BF41" s="75" t="s">
        <v>326</v>
      </c>
      <c r="BG41" s="75" t="s">
        <v>326</v>
      </c>
      <c r="BH41" s="75" t="s">
        <v>326</v>
      </c>
      <c r="BI41" s="75" t="s">
        <v>326</v>
      </c>
      <c r="BJ41" s="75" t="s">
        <v>326</v>
      </c>
      <c r="BK41" s="75" t="s">
        <v>326</v>
      </c>
      <c r="BL41" s="75" t="s">
        <v>326</v>
      </c>
      <c r="BM41" s="75" t="s">
        <v>326</v>
      </c>
      <c r="BN41" s="75" t="s">
        <v>326</v>
      </c>
      <c r="BO41" s="75" t="s">
        <v>326</v>
      </c>
    </row>
    <row r="42" customFormat="false" ht="12.75" hidden="false" customHeight="false" outlineLevel="0" collapsed="false">
      <c r="A42" s="1" t="n">
        <f aca="false">A41-1</f>
        <v>1985</v>
      </c>
      <c r="B42" s="1" t="s">
        <v>323</v>
      </c>
      <c r="C42" s="1" t="s">
        <v>323</v>
      </c>
      <c r="D42" s="1" t="s">
        <v>323</v>
      </c>
      <c r="E42" s="1" t="s">
        <v>323</v>
      </c>
      <c r="F42" s="75" t="s">
        <v>326</v>
      </c>
      <c r="G42" s="75" t="s">
        <v>326</v>
      </c>
      <c r="H42" s="75" t="s">
        <v>326</v>
      </c>
      <c r="I42" s="75" t="s">
        <v>326</v>
      </c>
      <c r="J42" s="75" t="s">
        <v>326</v>
      </c>
      <c r="K42" s="75" t="s">
        <v>326</v>
      </c>
      <c r="L42" s="75" t="s">
        <v>326</v>
      </c>
      <c r="M42" s="75" t="s">
        <v>326</v>
      </c>
      <c r="N42" s="75" t="s">
        <v>326</v>
      </c>
      <c r="O42" s="75" t="s">
        <v>326</v>
      </c>
      <c r="P42" s="75" t="s">
        <v>326</v>
      </c>
      <c r="Q42" s="75" t="s">
        <v>326</v>
      </c>
      <c r="R42" s="75" t="s">
        <v>326</v>
      </c>
      <c r="S42" s="75" t="s">
        <v>326</v>
      </c>
      <c r="T42" s="75" t="s">
        <v>326</v>
      </c>
      <c r="U42" s="75" t="s">
        <v>326</v>
      </c>
      <c r="V42" s="75" t="s">
        <v>326</v>
      </c>
      <c r="W42" s="75" t="s">
        <v>326</v>
      </c>
      <c r="X42" s="75" t="s">
        <v>326</v>
      </c>
      <c r="Y42" s="75" t="s">
        <v>326</v>
      </c>
      <c r="Z42" s="75" t="s">
        <v>326</v>
      </c>
      <c r="AA42" s="75" t="s">
        <v>326</v>
      </c>
      <c r="AB42" s="75" t="s">
        <v>326</v>
      </c>
      <c r="AC42" s="75" t="s">
        <v>326</v>
      </c>
      <c r="AD42" s="75" t="s">
        <v>326</v>
      </c>
      <c r="AE42" s="75" t="s">
        <v>326</v>
      </c>
      <c r="AF42" s="75" t="s">
        <v>326</v>
      </c>
      <c r="AG42" s="75" t="s">
        <v>326</v>
      </c>
      <c r="AH42" s="75" t="s">
        <v>326</v>
      </c>
      <c r="AI42" s="75" t="s">
        <v>326</v>
      </c>
      <c r="AJ42" s="75" t="s">
        <v>326</v>
      </c>
      <c r="AK42" s="75" t="s">
        <v>326</v>
      </c>
      <c r="AL42" s="75" t="s">
        <v>326</v>
      </c>
      <c r="AM42" s="75" t="s">
        <v>326</v>
      </c>
      <c r="AN42" s="75" t="s">
        <v>326</v>
      </c>
      <c r="AO42" s="75" t="s">
        <v>326</v>
      </c>
      <c r="AP42" s="75" t="s">
        <v>326</v>
      </c>
      <c r="AQ42" s="75" t="s">
        <v>326</v>
      </c>
      <c r="AR42" s="75" t="s">
        <v>326</v>
      </c>
      <c r="AS42" s="75" t="s">
        <v>326</v>
      </c>
      <c r="AT42" s="75" t="s">
        <v>326</v>
      </c>
      <c r="AU42" s="75" t="s">
        <v>326</v>
      </c>
      <c r="AV42" s="75" t="s">
        <v>326</v>
      </c>
      <c r="AW42" s="75" t="s">
        <v>326</v>
      </c>
      <c r="AX42" s="75" t="s">
        <v>326</v>
      </c>
      <c r="AY42" s="75" t="s">
        <v>326</v>
      </c>
      <c r="AZ42" s="75" t="s">
        <v>326</v>
      </c>
      <c r="BA42" s="75" t="s">
        <v>326</v>
      </c>
      <c r="BB42" s="75" t="s">
        <v>326</v>
      </c>
      <c r="BC42" s="75" t="s">
        <v>326</v>
      </c>
      <c r="BD42" s="75" t="s">
        <v>326</v>
      </c>
      <c r="BE42" s="75" t="s">
        <v>326</v>
      </c>
      <c r="BF42" s="75" t="s">
        <v>326</v>
      </c>
      <c r="BG42" s="75" t="s">
        <v>326</v>
      </c>
      <c r="BH42" s="75" t="s">
        <v>326</v>
      </c>
      <c r="BI42" s="75" t="s">
        <v>326</v>
      </c>
      <c r="BJ42" s="75" t="s">
        <v>326</v>
      </c>
      <c r="BK42" s="75" t="s">
        <v>326</v>
      </c>
      <c r="BL42" s="75" t="s">
        <v>326</v>
      </c>
      <c r="BM42" s="75" t="s">
        <v>326</v>
      </c>
      <c r="BN42" s="75" t="s">
        <v>326</v>
      </c>
      <c r="BO42" s="75" t="s">
        <v>326</v>
      </c>
    </row>
    <row r="43" customFormat="false" ht="12.75" hidden="false" customHeight="false" outlineLevel="0" collapsed="false">
      <c r="A43" s="1" t="n">
        <f aca="false">A42-1</f>
        <v>1984</v>
      </c>
      <c r="B43" s="1" t="s">
        <v>323</v>
      </c>
      <c r="C43" s="1" t="s">
        <v>323</v>
      </c>
      <c r="D43" s="1" t="s">
        <v>323</v>
      </c>
      <c r="E43" s="1" t="s">
        <v>323</v>
      </c>
      <c r="F43" s="75" t="s">
        <v>326</v>
      </c>
      <c r="G43" s="75" t="s">
        <v>326</v>
      </c>
      <c r="H43" s="75" t="s">
        <v>326</v>
      </c>
      <c r="I43" s="75" t="s">
        <v>326</v>
      </c>
      <c r="J43" s="75" t="s">
        <v>326</v>
      </c>
      <c r="K43" s="75" t="s">
        <v>326</v>
      </c>
      <c r="L43" s="75" t="s">
        <v>326</v>
      </c>
      <c r="M43" s="75" t="s">
        <v>326</v>
      </c>
      <c r="N43" s="75" t="s">
        <v>326</v>
      </c>
      <c r="O43" s="75" t="s">
        <v>326</v>
      </c>
      <c r="P43" s="75" t="s">
        <v>326</v>
      </c>
      <c r="Q43" s="75" t="s">
        <v>326</v>
      </c>
      <c r="R43" s="75" t="s">
        <v>326</v>
      </c>
      <c r="S43" s="75" t="s">
        <v>326</v>
      </c>
      <c r="T43" s="75" t="s">
        <v>326</v>
      </c>
      <c r="U43" s="75" t="s">
        <v>326</v>
      </c>
      <c r="V43" s="75" t="s">
        <v>326</v>
      </c>
      <c r="W43" s="75" t="s">
        <v>326</v>
      </c>
      <c r="X43" s="75" t="s">
        <v>326</v>
      </c>
      <c r="Y43" s="75" t="s">
        <v>326</v>
      </c>
      <c r="Z43" s="75" t="s">
        <v>326</v>
      </c>
      <c r="AA43" s="75" t="s">
        <v>326</v>
      </c>
      <c r="AB43" s="75" t="s">
        <v>326</v>
      </c>
      <c r="AC43" s="75" t="s">
        <v>326</v>
      </c>
      <c r="AD43" s="75" t="s">
        <v>326</v>
      </c>
      <c r="AE43" s="75" t="s">
        <v>326</v>
      </c>
      <c r="AF43" s="75" t="s">
        <v>326</v>
      </c>
      <c r="AG43" s="75" t="s">
        <v>326</v>
      </c>
      <c r="AH43" s="75" t="s">
        <v>326</v>
      </c>
      <c r="AI43" s="75" t="s">
        <v>326</v>
      </c>
      <c r="AJ43" s="75" t="s">
        <v>326</v>
      </c>
      <c r="AK43" s="75" t="s">
        <v>326</v>
      </c>
      <c r="AL43" s="75" t="s">
        <v>326</v>
      </c>
      <c r="AM43" s="75" t="s">
        <v>326</v>
      </c>
      <c r="AN43" s="75" t="s">
        <v>326</v>
      </c>
      <c r="AO43" s="75" t="s">
        <v>326</v>
      </c>
      <c r="AP43" s="75" t="s">
        <v>326</v>
      </c>
      <c r="AQ43" s="75" t="s">
        <v>326</v>
      </c>
      <c r="AR43" s="75" t="s">
        <v>326</v>
      </c>
      <c r="AS43" s="75" t="s">
        <v>326</v>
      </c>
      <c r="AT43" s="75" t="s">
        <v>326</v>
      </c>
      <c r="AU43" s="75" t="s">
        <v>326</v>
      </c>
      <c r="AV43" s="75" t="s">
        <v>326</v>
      </c>
      <c r="AW43" s="75" t="s">
        <v>326</v>
      </c>
      <c r="AX43" s="75" t="s">
        <v>326</v>
      </c>
      <c r="AY43" s="75" t="s">
        <v>326</v>
      </c>
      <c r="AZ43" s="75" t="s">
        <v>326</v>
      </c>
      <c r="BA43" s="75" t="s">
        <v>326</v>
      </c>
      <c r="BB43" s="75" t="s">
        <v>326</v>
      </c>
      <c r="BC43" s="75" t="s">
        <v>326</v>
      </c>
      <c r="BD43" s="75" t="s">
        <v>326</v>
      </c>
      <c r="BE43" s="75" t="s">
        <v>326</v>
      </c>
      <c r="BF43" s="75" t="s">
        <v>326</v>
      </c>
      <c r="BG43" s="75" t="s">
        <v>326</v>
      </c>
      <c r="BH43" s="75" t="s">
        <v>326</v>
      </c>
      <c r="BI43" s="75" t="s">
        <v>326</v>
      </c>
      <c r="BJ43" s="75" t="s">
        <v>326</v>
      </c>
      <c r="BK43" s="75" t="s">
        <v>326</v>
      </c>
      <c r="BL43" s="75" t="s">
        <v>326</v>
      </c>
      <c r="BM43" s="75" t="s">
        <v>326</v>
      </c>
      <c r="BN43" s="75" t="s">
        <v>326</v>
      </c>
      <c r="BO43" s="75" t="s">
        <v>326</v>
      </c>
    </row>
    <row r="44" customFormat="false" ht="12.75" hidden="false" customHeight="false" outlineLevel="0" collapsed="false">
      <c r="A44" s="1" t="n">
        <f aca="false">A43-1</f>
        <v>1983</v>
      </c>
      <c r="B44" s="1" t="s">
        <v>323</v>
      </c>
      <c r="C44" s="1" t="s">
        <v>323</v>
      </c>
      <c r="D44" s="1" t="s">
        <v>323</v>
      </c>
      <c r="E44" s="1" t="s">
        <v>323</v>
      </c>
      <c r="F44" s="75" t="s">
        <v>326</v>
      </c>
      <c r="G44" s="75" t="s">
        <v>326</v>
      </c>
      <c r="H44" s="75" t="s">
        <v>326</v>
      </c>
      <c r="I44" s="75" t="s">
        <v>326</v>
      </c>
      <c r="J44" s="75" t="s">
        <v>326</v>
      </c>
      <c r="K44" s="75" t="s">
        <v>326</v>
      </c>
      <c r="L44" s="75" t="s">
        <v>326</v>
      </c>
      <c r="M44" s="75" t="s">
        <v>326</v>
      </c>
      <c r="N44" s="75" t="s">
        <v>326</v>
      </c>
      <c r="O44" s="75" t="s">
        <v>326</v>
      </c>
      <c r="P44" s="75" t="s">
        <v>326</v>
      </c>
      <c r="Q44" s="75" t="s">
        <v>326</v>
      </c>
      <c r="R44" s="75" t="s">
        <v>326</v>
      </c>
      <c r="S44" s="75" t="s">
        <v>326</v>
      </c>
      <c r="T44" s="75" t="s">
        <v>326</v>
      </c>
      <c r="U44" s="75" t="s">
        <v>326</v>
      </c>
      <c r="V44" s="75" t="s">
        <v>326</v>
      </c>
      <c r="W44" s="75" t="s">
        <v>326</v>
      </c>
      <c r="X44" s="75" t="s">
        <v>326</v>
      </c>
      <c r="Y44" s="75" t="s">
        <v>326</v>
      </c>
      <c r="Z44" s="75" t="s">
        <v>326</v>
      </c>
      <c r="AA44" s="75" t="s">
        <v>326</v>
      </c>
      <c r="AB44" s="75" t="s">
        <v>326</v>
      </c>
      <c r="AC44" s="75" t="s">
        <v>326</v>
      </c>
      <c r="AD44" s="75" t="s">
        <v>326</v>
      </c>
      <c r="AE44" s="75" t="s">
        <v>326</v>
      </c>
      <c r="AF44" s="75" t="s">
        <v>326</v>
      </c>
      <c r="AG44" s="75" t="s">
        <v>326</v>
      </c>
      <c r="AH44" s="75" t="s">
        <v>326</v>
      </c>
      <c r="AI44" s="75" t="s">
        <v>326</v>
      </c>
      <c r="AJ44" s="75" t="s">
        <v>326</v>
      </c>
      <c r="AK44" s="75" t="s">
        <v>326</v>
      </c>
      <c r="AL44" s="75" t="s">
        <v>326</v>
      </c>
      <c r="AM44" s="75" t="s">
        <v>326</v>
      </c>
      <c r="AN44" s="75" t="s">
        <v>326</v>
      </c>
      <c r="AO44" s="75" t="s">
        <v>326</v>
      </c>
      <c r="AP44" s="75" t="s">
        <v>326</v>
      </c>
      <c r="AQ44" s="75" t="s">
        <v>326</v>
      </c>
      <c r="AR44" s="75" t="s">
        <v>326</v>
      </c>
      <c r="AS44" s="75" t="s">
        <v>326</v>
      </c>
      <c r="AT44" s="75" t="s">
        <v>326</v>
      </c>
      <c r="AU44" s="75" t="s">
        <v>326</v>
      </c>
      <c r="AV44" s="75" t="s">
        <v>326</v>
      </c>
      <c r="AW44" s="75" t="s">
        <v>326</v>
      </c>
      <c r="AX44" s="75" t="s">
        <v>326</v>
      </c>
      <c r="AY44" s="75" t="s">
        <v>326</v>
      </c>
      <c r="AZ44" s="75" t="s">
        <v>326</v>
      </c>
      <c r="BA44" s="75" t="s">
        <v>326</v>
      </c>
      <c r="BB44" s="75" t="s">
        <v>326</v>
      </c>
      <c r="BC44" s="75" t="s">
        <v>326</v>
      </c>
      <c r="BD44" s="75" t="s">
        <v>326</v>
      </c>
      <c r="BE44" s="75" t="s">
        <v>326</v>
      </c>
      <c r="BF44" s="75" t="s">
        <v>326</v>
      </c>
      <c r="BG44" s="75" t="s">
        <v>326</v>
      </c>
      <c r="BH44" s="75" t="s">
        <v>326</v>
      </c>
      <c r="BI44" s="75" t="s">
        <v>326</v>
      </c>
      <c r="BJ44" s="75" t="s">
        <v>326</v>
      </c>
      <c r="BK44" s="75" t="s">
        <v>326</v>
      </c>
      <c r="BL44" s="75" t="s">
        <v>326</v>
      </c>
      <c r="BM44" s="75" t="s">
        <v>326</v>
      </c>
      <c r="BN44" s="75" t="s">
        <v>326</v>
      </c>
      <c r="BO44" s="75" t="s">
        <v>326</v>
      </c>
    </row>
    <row r="45" customFormat="false" ht="12.75" hidden="false" customHeight="false" outlineLevel="0" collapsed="false">
      <c r="A45" s="1" t="n">
        <f aca="false">A44-1</f>
        <v>1982</v>
      </c>
      <c r="B45" s="1" t="s">
        <v>323</v>
      </c>
      <c r="C45" s="1" t="s">
        <v>323</v>
      </c>
      <c r="D45" s="1" t="s">
        <v>323</v>
      </c>
      <c r="E45" s="1" t="s">
        <v>323</v>
      </c>
      <c r="F45" s="75" t="s">
        <v>326</v>
      </c>
      <c r="G45" s="75" t="s">
        <v>326</v>
      </c>
      <c r="H45" s="75" t="s">
        <v>326</v>
      </c>
      <c r="I45" s="75" t="s">
        <v>326</v>
      </c>
      <c r="J45" s="75" t="s">
        <v>326</v>
      </c>
      <c r="K45" s="75" t="s">
        <v>326</v>
      </c>
      <c r="L45" s="75" t="s">
        <v>326</v>
      </c>
      <c r="M45" s="75" t="s">
        <v>326</v>
      </c>
      <c r="N45" s="75" t="s">
        <v>326</v>
      </c>
      <c r="O45" s="75" t="s">
        <v>326</v>
      </c>
      <c r="P45" s="75" t="s">
        <v>326</v>
      </c>
      <c r="Q45" s="75" t="s">
        <v>326</v>
      </c>
      <c r="R45" s="75" t="s">
        <v>326</v>
      </c>
      <c r="S45" s="75" t="s">
        <v>326</v>
      </c>
      <c r="T45" s="75" t="s">
        <v>326</v>
      </c>
      <c r="U45" s="75" t="s">
        <v>326</v>
      </c>
      <c r="V45" s="75" t="s">
        <v>326</v>
      </c>
      <c r="W45" s="75" t="s">
        <v>326</v>
      </c>
      <c r="X45" s="75" t="s">
        <v>326</v>
      </c>
      <c r="Y45" s="75" t="s">
        <v>326</v>
      </c>
      <c r="Z45" s="75" t="s">
        <v>326</v>
      </c>
      <c r="AA45" s="75" t="s">
        <v>326</v>
      </c>
      <c r="AB45" s="75" t="s">
        <v>326</v>
      </c>
      <c r="AC45" s="75" t="s">
        <v>326</v>
      </c>
      <c r="AD45" s="75" t="s">
        <v>326</v>
      </c>
      <c r="AE45" s="75" t="s">
        <v>326</v>
      </c>
      <c r="AF45" s="75" t="s">
        <v>326</v>
      </c>
      <c r="AG45" s="75" t="s">
        <v>326</v>
      </c>
      <c r="AH45" s="75" t="s">
        <v>326</v>
      </c>
      <c r="AI45" s="75" t="s">
        <v>326</v>
      </c>
      <c r="AJ45" s="75" t="s">
        <v>326</v>
      </c>
      <c r="AK45" s="75" t="s">
        <v>326</v>
      </c>
      <c r="AL45" s="75" t="s">
        <v>326</v>
      </c>
      <c r="AM45" s="75" t="s">
        <v>326</v>
      </c>
      <c r="AN45" s="75" t="s">
        <v>326</v>
      </c>
      <c r="AO45" s="75" t="s">
        <v>326</v>
      </c>
      <c r="AP45" s="75" t="s">
        <v>326</v>
      </c>
      <c r="AQ45" s="75" t="s">
        <v>326</v>
      </c>
      <c r="AR45" s="75" t="s">
        <v>326</v>
      </c>
      <c r="AS45" s="75" t="s">
        <v>326</v>
      </c>
      <c r="AT45" s="75" t="s">
        <v>326</v>
      </c>
      <c r="AU45" s="75" t="s">
        <v>326</v>
      </c>
      <c r="AV45" s="75" t="s">
        <v>326</v>
      </c>
      <c r="AW45" s="75" t="s">
        <v>326</v>
      </c>
      <c r="AX45" s="75" t="s">
        <v>326</v>
      </c>
      <c r="AY45" s="75" t="s">
        <v>326</v>
      </c>
      <c r="AZ45" s="75" t="s">
        <v>326</v>
      </c>
      <c r="BA45" s="75" t="s">
        <v>326</v>
      </c>
      <c r="BB45" s="75" t="s">
        <v>326</v>
      </c>
      <c r="BC45" s="75" t="s">
        <v>326</v>
      </c>
      <c r="BD45" s="75" t="s">
        <v>326</v>
      </c>
      <c r="BE45" s="75" t="s">
        <v>326</v>
      </c>
      <c r="BF45" s="75" t="s">
        <v>326</v>
      </c>
      <c r="BG45" s="75" t="s">
        <v>326</v>
      </c>
      <c r="BH45" s="75" t="s">
        <v>326</v>
      </c>
      <c r="BI45" s="75" t="s">
        <v>326</v>
      </c>
      <c r="BJ45" s="75" t="s">
        <v>326</v>
      </c>
      <c r="BK45" s="75" t="s">
        <v>326</v>
      </c>
      <c r="BL45" s="75" t="s">
        <v>326</v>
      </c>
      <c r="BM45" s="75" t="s">
        <v>326</v>
      </c>
      <c r="BN45" s="75" t="s">
        <v>326</v>
      </c>
      <c r="BO45" s="75" t="s">
        <v>326</v>
      </c>
    </row>
    <row r="46" customFormat="false" ht="12.75" hidden="false" customHeight="false" outlineLevel="0" collapsed="false">
      <c r="A46" s="1" t="n">
        <f aca="false">A45-1</f>
        <v>1981</v>
      </c>
      <c r="B46" s="1" t="s">
        <v>323</v>
      </c>
      <c r="C46" s="1" t="s">
        <v>323</v>
      </c>
      <c r="D46" s="1" t="s">
        <v>323</v>
      </c>
      <c r="E46" s="1" t="s">
        <v>323</v>
      </c>
      <c r="F46" s="75" t="s">
        <v>326</v>
      </c>
      <c r="G46" s="75" t="s">
        <v>326</v>
      </c>
      <c r="H46" s="75" t="s">
        <v>326</v>
      </c>
      <c r="I46" s="75" t="s">
        <v>326</v>
      </c>
      <c r="J46" s="75" t="s">
        <v>326</v>
      </c>
      <c r="K46" s="75" t="s">
        <v>326</v>
      </c>
      <c r="L46" s="75" t="s">
        <v>326</v>
      </c>
      <c r="M46" s="75" t="s">
        <v>326</v>
      </c>
      <c r="N46" s="75" t="s">
        <v>326</v>
      </c>
      <c r="O46" s="75" t="s">
        <v>326</v>
      </c>
      <c r="P46" s="75" t="s">
        <v>326</v>
      </c>
      <c r="Q46" s="75" t="s">
        <v>326</v>
      </c>
      <c r="R46" s="75" t="s">
        <v>326</v>
      </c>
      <c r="S46" s="75" t="s">
        <v>326</v>
      </c>
      <c r="T46" s="75" t="s">
        <v>326</v>
      </c>
      <c r="U46" s="75" t="s">
        <v>326</v>
      </c>
      <c r="V46" s="75" t="s">
        <v>326</v>
      </c>
      <c r="W46" s="75" t="s">
        <v>326</v>
      </c>
      <c r="X46" s="75" t="s">
        <v>326</v>
      </c>
      <c r="Y46" s="75" t="s">
        <v>326</v>
      </c>
      <c r="Z46" s="75" t="s">
        <v>326</v>
      </c>
      <c r="AA46" s="75" t="s">
        <v>326</v>
      </c>
      <c r="AB46" s="75" t="s">
        <v>326</v>
      </c>
      <c r="AC46" s="75" t="s">
        <v>326</v>
      </c>
      <c r="AD46" s="75" t="s">
        <v>326</v>
      </c>
      <c r="AE46" s="75" t="s">
        <v>326</v>
      </c>
      <c r="AF46" s="75" t="s">
        <v>326</v>
      </c>
      <c r="AG46" s="75" t="s">
        <v>326</v>
      </c>
      <c r="AH46" s="75" t="s">
        <v>326</v>
      </c>
      <c r="AI46" s="75" t="s">
        <v>326</v>
      </c>
      <c r="AJ46" s="75" t="s">
        <v>326</v>
      </c>
      <c r="AK46" s="75" t="s">
        <v>326</v>
      </c>
      <c r="AL46" s="75" t="s">
        <v>326</v>
      </c>
      <c r="AM46" s="75" t="s">
        <v>326</v>
      </c>
      <c r="AN46" s="75" t="s">
        <v>326</v>
      </c>
      <c r="AO46" s="75" t="s">
        <v>326</v>
      </c>
      <c r="AP46" s="75" t="s">
        <v>326</v>
      </c>
      <c r="AQ46" s="75" t="s">
        <v>326</v>
      </c>
      <c r="AR46" s="75" t="s">
        <v>326</v>
      </c>
      <c r="AS46" s="75" t="s">
        <v>326</v>
      </c>
      <c r="AT46" s="75" t="s">
        <v>326</v>
      </c>
      <c r="AU46" s="75" t="s">
        <v>326</v>
      </c>
      <c r="AV46" s="75" t="s">
        <v>326</v>
      </c>
      <c r="AW46" s="75" t="s">
        <v>326</v>
      </c>
      <c r="AX46" s="75" t="s">
        <v>326</v>
      </c>
      <c r="AY46" s="75" t="s">
        <v>326</v>
      </c>
      <c r="AZ46" s="75" t="s">
        <v>326</v>
      </c>
      <c r="BA46" s="75" t="s">
        <v>326</v>
      </c>
      <c r="BB46" s="75" t="s">
        <v>326</v>
      </c>
      <c r="BC46" s="75" t="s">
        <v>326</v>
      </c>
      <c r="BD46" s="75" t="s">
        <v>326</v>
      </c>
      <c r="BE46" s="75" t="s">
        <v>326</v>
      </c>
      <c r="BF46" s="75" t="s">
        <v>326</v>
      </c>
      <c r="BG46" s="75" t="s">
        <v>326</v>
      </c>
      <c r="BH46" s="75" t="s">
        <v>326</v>
      </c>
      <c r="BI46" s="75" t="s">
        <v>326</v>
      </c>
      <c r="BJ46" s="75" t="s">
        <v>326</v>
      </c>
      <c r="BK46" s="75" t="s">
        <v>326</v>
      </c>
      <c r="BL46" s="75" t="s">
        <v>326</v>
      </c>
      <c r="BM46" s="75" t="s">
        <v>326</v>
      </c>
      <c r="BN46" s="75" t="s">
        <v>326</v>
      </c>
      <c r="BO46" s="75" t="s">
        <v>326</v>
      </c>
    </row>
    <row r="47" customFormat="false" ht="12.75" hidden="false" customHeight="false" outlineLevel="0" collapsed="false">
      <c r="A47" s="1" t="n">
        <f aca="false">A46-1</f>
        <v>1980</v>
      </c>
      <c r="B47" s="1" t="s">
        <v>323</v>
      </c>
      <c r="C47" s="1" t="s">
        <v>323</v>
      </c>
      <c r="D47" s="1" t="s">
        <v>323</v>
      </c>
      <c r="E47" s="1" t="s">
        <v>323</v>
      </c>
      <c r="F47" s="75" t="s">
        <v>326</v>
      </c>
      <c r="G47" s="75" t="s">
        <v>326</v>
      </c>
      <c r="H47" s="75" t="s">
        <v>326</v>
      </c>
      <c r="I47" s="75" t="s">
        <v>326</v>
      </c>
      <c r="J47" s="75" t="s">
        <v>326</v>
      </c>
      <c r="K47" s="75" t="s">
        <v>326</v>
      </c>
      <c r="L47" s="75" t="s">
        <v>326</v>
      </c>
      <c r="M47" s="75" t="s">
        <v>326</v>
      </c>
      <c r="N47" s="75" t="s">
        <v>326</v>
      </c>
      <c r="O47" s="75" t="s">
        <v>326</v>
      </c>
      <c r="P47" s="75" t="s">
        <v>326</v>
      </c>
      <c r="Q47" s="75" t="s">
        <v>326</v>
      </c>
      <c r="R47" s="75" t="s">
        <v>326</v>
      </c>
      <c r="S47" s="75" t="s">
        <v>326</v>
      </c>
      <c r="T47" s="75" t="s">
        <v>326</v>
      </c>
      <c r="U47" s="75" t="s">
        <v>326</v>
      </c>
      <c r="V47" s="75" t="s">
        <v>326</v>
      </c>
      <c r="W47" s="75" t="s">
        <v>326</v>
      </c>
      <c r="X47" s="75" t="s">
        <v>326</v>
      </c>
      <c r="Y47" s="75" t="s">
        <v>326</v>
      </c>
      <c r="Z47" s="75" t="s">
        <v>326</v>
      </c>
      <c r="AA47" s="75" t="s">
        <v>326</v>
      </c>
      <c r="AB47" s="75" t="s">
        <v>326</v>
      </c>
      <c r="AC47" s="75" t="s">
        <v>326</v>
      </c>
      <c r="AD47" s="75" t="s">
        <v>326</v>
      </c>
      <c r="AE47" s="75" t="s">
        <v>326</v>
      </c>
      <c r="AF47" s="75" t="s">
        <v>326</v>
      </c>
      <c r="AG47" s="75" t="s">
        <v>326</v>
      </c>
      <c r="AH47" s="75" t="s">
        <v>326</v>
      </c>
      <c r="AI47" s="75" t="s">
        <v>326</v>
      </c>
      <c r="AJ47" s="75" t="s">
        <v>326</v>
      </c>
      <c r="AK47" s="75" t="s">
        <v>326</v>
      </c>
      <c r="AL47" s="75" t="s">
        <v>326</v>
      </c>
      <c r="AM47" s="75" t="s">
        <v>326</v>
      </c>
      <c r="AN47" s="75" t="s">
        <v>326</v>
      </c>
      <c r="AO47" s="75" t="s">
        <v>326</v>
      </c>
      <c r="AP47" s="75" t="s">
        <v>326</v>
      </c>
      <c r="AQ47" s="75" t="s">
        <v>326</v>
      </c>
      <c r="AR47" s="75" t="s">
        <v>326</v>
      </c>
      <c r="AS47" s="75" t="s">
        <v>326</v>
      </c>
      <c r="AT47" s="75" t="s">
        <v>326</v>
      </c>
      <c r="AU47" s="75" t="s">
        <v>326</v>
      </c>
      <c r="AV47" s="75" t="s">
        <v>326</v>
      </c>
      <c r="AW47" s="75" t="s">
        <v>326</v>
      </c>
      <c r="AX47" s="75" t="s">
        <v>326</v>
      </c>
      <c r="AY47" s="75" t="s">
        <v>326</v>
      </c>
      <c r="AZ47" s="75" t="s">
        <v>326</v>
      </c>
      <c r="BA47" s="75" t="s">
        <v>326</v>
      </c>
      <c r="BB47" s="75" t="s">
        <v>326</v>
      </c>
      <c r="BC47" s="75" t="s">
        <v>326</v>
      </c>
      <c r="BD47" s="75" t="s">
        <v>326</v>
      </c>
      <c r="BE47" s="75" t="s">
        <v>326</v>
      </c>
      <c r="BF47" s="75" t="s">
        <v>326</v>
      </c>
      <c r="BG47" s="75" t="s">
        <v>326</v>
      </c>
      <c r="BH47" s="75" t="s">
        <v>326</v>
      </c>
      <c r="BI47" s="75" t="s">
        <v>326</v>
      </c>
      <c r="BJ47" s="75" t="s">
        <v>326</v>
      </c>
      <c r="BK47" s="75" t="s">
        <v>326</v>
      </c>
      <c r="BL47" s="75" t="s">
        <v>326</v>
      </c>
      <c r="BM47" s="75" t="s">
        <v>326</v>
      </c>
      <c r="BN47" s="75" t="s">
        <v>326</v>
      </c>
      <c r="BO47" s="75" t="s">
        <v>326</v>
      </c>
    </row>
    <row r="48" customFormat="false" ht="12.75" hidden="false" customHeight="false" outlineLevel="0" collapsed="false">
      <c r="A48" s="1" t="n">
        <f aca="false">A47-1</f>
        <v>1979</v>
      </c>
      <c r="B48" s="1" t="s">
        <v>323</v>
      </c>
      <c r="C48" s="1" t="s">
        <v>323</v>
      </c>
      <c r="D48" s="1" t="s">
        <v>323</v>
      </c>
      <c r="E48" s="1" t="s">
        <v>323</v>
      </c>
      <c r="F48" s="75" t="s">
        <v>326</v>
      </c>
      <c r="G48" s="75" t="s">
        <v>326</v>
      </c>
      <c r="H48" s="75" t="s">
        <v>326</v>
      </c>
      <c r="I48" s="75" t="s">
        <v>326</v>
      </c>
      <c r="J48" s="75" t="s">
        <v>326</v>
      </c>
      <c r="K48" s="75" t="s">
        <v>326</v>
      </c>
      <c r="L48" s="75" t="s">
        <v>326</v>
      </c>
      <c r="M48" s="75" t="s">
        <v>326</v>
      </c>
      <c r="N48" s="75" t="s">
        <v>326</v>
      </c>
      <c r="O48" s="75" t="s">
        <v>326</v>
      </c>
      <c r="P48" s="75" t="s">
        <v>326</v>
      </c>
      <c r="Q48" s="75" t="s">
        <v>326</v>
      </c>
      <c r="R48" s="75" t="s">
        <v>326</v>
      </c>
      <c r="S48" s="75" t="s">
        <v>326</v>
      </c>
      <c r="T48" s="75" t="s">
        <v>326</v>
      </c>
      <c r="U48" s="75" t="s">
        <v>326</v>
      </c>
      <c r="V48" s="75" t="s">
        <v>326</v>
      </c>
      <c r="W48" s="75" t="s">
        <v>326</v>
      </c>
      <c r="X48" s="75" t="s">
        <v>326</v>
      </c>
      <c r="Y48" s="75" t="s">
        <v>326</v>
      </c>
      <c r="Z48" s="75" t="s">
        <v>326</v>
      </c>
      <c r="AA48" s="75" t="s">
        <v>326</v>
      </c>
      <c r="AB48" s="75" t="s">
        <v>326</v>
      </c>
      <c r="AC48" s="75" t="s">
        <v>326</v>
      </c>
      <c r="AD48" s="75" t="s">
        <v>326</v>
      </c>
      <c r="AE48" s="75" t="s">
        <v>326</v>
      </c>
      <c r="AF48" s="75" t="s">
        <v>326</v>
      </c>
      <c r="AG48" s="75" t="s">
        <v>326</v>
      </c>
      <c r="AH48" s="75" t="s">
        <v>326</v>
      </c>
      <c r="AI48" s="75" t="s">
        <v>326</v>
      </c>
      <c r="AJ48" s="75" t="s">
        <v>326</v>
      </c>
      <c r="AK48" s="75" t="s">
        <v>326</v>
      </c>
      <c r="AL48" s="75" t="s">
        <v>326</v>
      </c>
      <c r="AM48" s="75" t="s">
        <v>326</v>
      </c>
      <c r="AN48" s="75" t="s">
        <v>326</v>
      </c>
      <c r="AO48" s="75" t="s">
        <v>326</v>
      </c>
      <c r="AP48" s="75" t="s">
        <v>326</v>
      </c>
      <c r="AQ48" s="75" t="s">
        <v>326</v>
      </c>
      <c r="AR48" s="75" t="s">
        <v>326</v>
      </c>
      <c r="AS48" s="75" t="s">
        <v>326</v>
      </c>
      <c r="AT48" s="75" t="s">
        <v>326</v>
      </c>
      <c r="AU48" s="75" t="s">
        <v>326</v>
      </c>
      <c r="AV48" s="75" t="s">
        <v>326</v>
      </c>
      <c r="AW48" s="75" t="s">
        <v>326</v>
      </c>
      <c r="AX48" s="75" t="s">
        <v>326</v>
      </c>
      <c r="AY48" s="75" t="s">
        <v>326</v>
      </c>
      <c r="AZ48" s="75" t="s">
        <v>326</v>
      </c>
      <c r="BA48" s="75" t="s">
        <v>326</v>
      </c>
      <c r="BB48" s="75" t="s">
        <v>326</v>
      </c>
      <c r="BC48" s="75" t="s">
        <v>326</v>
      </c>
      <c r="BD48" s="75" t="s">
        <v>326</v>
      </c>
      <c r="BE48" s="75" t="s">
        <v>326</v>
      </c>
      <c r="BF48" s="75" t="s">
        <v>326</v>
      </c>
      <c r="BG48" s="75" t="s">
        <v>326</v>
      </c>
      <c r="BH48" s="75" t="s">
        <v>326</v>
      </c>
      <c r="BI48" s="75" t="s">
        <v>326</v>
      </c>
      <c r="BJ48" s="75" t="s">
        <v>326</v>
      </c>
      <c r="BK48" s="75" t="s">
        <v>326</v>
      </c>
      <c r="BL48" s="75" t="s">
        <v>326</v>
      </c>
      <c r="BM48" s="75" t="s">
        <v>326</v>
      </c>
      <c r="BN48" s="75" t="s">
        <v>326</v>
      </c>
      <c r="BO48" s="75" t="s">
        <v>326</v>
      </c>
    </row>
    <row r="49" customFormat="false" ht="12.75" hidden="false" customHeight="false" outlineLevel="0" collapsed="false">
      <c r="A49" s="1" t="n">
        <f aca="false">A48-1</f>
        <v>1978</v>
      </c>
      <c r="B49" s="1" t="s">
        <v>323</v>
      </c>
      <c r="C49" s="1" t="s">
        <v>323</v>
      </c>
      <c r="D49" s="1" t="s">
        <v>323</v>
      </c>
      <c r="E49" s="1" t="s">
        <v>323</v>
      </c>
      <c r="F49" s="75" t="s">
        <v>326</v>
      </c>
      <c r="G49" s="75" t="s">
        <v>326</v>
      </c>
      <c r="H49" s="75" t="s">
        <v>326</v>
      </c>
      <c r="I49" s="75" t="s">
        <v>326</v>
      </c>
      <c r="J49" s="75" t="s">
        <v>326</v>
      </c>
      <c r="K49" s="75" t="s">
        <v>326</v>
      </c>
      <c r="L49" s="75" t="s">
        <v>326</v>
      </c>
      <c r="M49" s="75" t="s">
        <v>326</v>
      </c>
      <c r="N49" s="75" t="s">
        <v>326</v>
      </c>
      <c r="O49" s="75" t="s">
        <v>326</v>
      </c>
      <c r="P49" s="75" t="s">
        <v>326</v>
      </c>
      <c r="Q49" s="75" t="s">
        <v>326</v>
      </c>
      <c r="R49" s="75" t="s">
        <v>326</v>
      </c>
      <c r="S49" s="75" t="s">
        <v>326</v>
      </c>
      <c r="T49" s="75" t="s">
        <v>326</v>
      </c>
      <c r="U49" s="75" t="s">
        <v>326</v>
      </c>
      <c r="V49" s="75" t="s">
        <v>326</v>
      </c>
      <c r="W49" s="75" t="s">
        <v>326</v>
      </c>
      <c r="X49" s="75" t="s">
        <v>326</v>
      </c>
      <c r="Y49" s="75" t="s">
        <v>326</v>
      </c>
      <c r="Z49" s="75" t="s">
        <v>326</v>
      </c>
      <c r="AA49" s="75" t="s">
        <v>326</v>
      </c>
      <c r="AB49" s="75" t="s">
        <v>326</v>
      </c>
      <c r="AC49" s="75" t="s">
        <v>326</v>
      </c>
      <c r="AD49" s="75" t="s">
        <v>326</v>
      </c>
      <c r="AE49" s="75" t="s">
        <v>326</v>
      </c>
      <c r="AF49" s="75" t="s">
        <v>326</v>
      </c>
      <c r="AG49" s="75" t="s">
        <v>326</v>
      </c>
      <c r="AH49" s="75" t="s">
        <v>326</v>
      </c>
      <c r="AI49" s="75" t="s">
        <v>326</v>
      </c>
      <c r="AJ49" s="75" t="s">
        <v>326</v>
      </c>
      <c r="AK49" s="75" t="s">
        <v>326</v>
      </c>
      <c r="AL49" s="75" t="s">
        <v>326</v>
      </c>
      <c r="AM49" s="75" t="s">
        <v>326</v>
      </c>
      <c r="AN49" s="75" t="s">
        <v>326</v>
      </c>
      <c r="AO49" s="75" t="s">
        <v>326</v>
      </c>
      <c r="AP49" s="75" t="s">
        <v>326</v>
      </c>
      <c r="AQ49" s="75" t="s">
        <v>326</v>
      </c>
      <c r="AR49" s="75" t="s">
        <v>326</v>
      </c>
      <c r="AS49" s="75" t="s">
        <v>326</v>
      </c>
      <c r="AT49" s="75" t="s">
        <v>326</v>
      </c>
      <c r="AU49" s="75" t="s">
        <v>326</v>
      </c>
      <c r="AV49" s="75" t="s">
        <v>326</v>
      </c>
      <c r="AW49" s="75" t="s">
        <v>326</v>
      </c>
      <c r="AX49" s="75" t="s">
        <v>326</v>
      </c>
      <c r="AY49" s="75" t="s">
        <v>326</v>
      </c>
      <c r="AZ49" s="75" t="s">
        <v>326</v>
      </c>
      <c r="BA49" s="75" t="s">
        <v>326</v>
      </c>
      <c r="BB49" s="75" t="s">
        <v>326</v>
      </c>
      <c r="BC49" s="75" t="s">
        <v>326</v>
      </c>
      <c r="BD49" s="75" t="s">
        <v>326</v>
      </c>
      <c r="BE49" s="75" t="s">
        <v>326</v>
      </c>
      <c r="BF49" s="75" t="s">
        <v>326</v>
      </c>
      <c r="BG49" s="75" t="s">
        <v>326</v>
      </c>
      <c r="BH49" s="75" t="s">
        <v>326</v>
      </c>
      <c r="BI49" s="75" t="s">
        <v>326</v>
      </c>
      <c r="BJ49" s="75" t="s">
        <v>326</v>
      </c>
      <c r="BK49" s="75" t="s">
        <v>326</v>
      </c>
      <c r="BL49" s="75" t="s">
        <v>326</v>
      </c>
      <c r="BM49" s="75" t="s">
        <v>326</v>
      </c>
      <c r="BN49" s="75" t="s">
        <v>326</v>
      </c>
      <c r="BO49" s="75" t="s">
        <v>326</v>
      </c>
    </row>
    <row r="50" customFormat="false" ht="12.75" hidden="false" customHeight="false" outlineLevel="0" collapsed="false">
      <c r="A50" s="1" t="n">
        <f aca="false">A49-1</f>
        <v>1977</v>
      </c>
      <c r="B50" s="1" t="s">
        <v>323</v>
      </c>
      <c r="C50" s="1" t="s">
        <v>323</v>
      </c>
      <c r="D50" s="1" t="s">
        <v>323</v>
      </c>
      <c r="E50" s="1" t="s">
        <v>323</v>
      </c>
      <c r="F50" s="75" t="s">
        <v>326</v>
      </c>
      <c r="G50" s="75" t="s">
        <v>326</v>
      </c>
      <c r="H50" s="75" t="s">
        <v>326</v>
      </c>
      <c r="I50" s="75" t="s">
        <v>326</v>
      </c>
      <c r="J50" s="75" t="s">
        <v>326</v>
      </c>
      <c r="K50" s="75" t="s">
        <v>326</v>
      </c>
      <c r="L50" s="75" t="s">
        <v>326</v>
      </c>
      <c r="M50" s="75" t="s">
        <v>326</v>
      </c>
      <c r="N50" s="75" t="s">
        <v>326</v>
      </c>
      <c r="O50" s="75" t="s">
        <v>326</v>
      </c>
      <c r="P50" s="75" t="s">
        <v>326</v>
      </c>
      <c r="Q50" s="75" t="s">
        <v>326</v>
      </c>
      <c r="R50" s="75" t="s">
        <v>326</v>
      </c>
      <c r="S50" s="75" t="s">
        <v>326</v>
      </c>
      <c r="T50" s="75" t="s">
        <v>326</v>
      </c>
      <c r="U50" s="75" t="s">
        <v>326</v>
      </c>
      <c r="V50" s="75" t="s">
        <v>326</v>
      </c>
      <c r="W50" s="75" t="s">
        <v>326</v>
      </c>
      <c r="X50" s="75" t="s">
        <v>326</v>
      </c>
      <c r="Y50" s="75" t="s">
        <v>326</v>
      </c>
      <c r="Z50" s="75" t="s">
        <v>326</v>
      </c>
      <c r="AA50" s="75" t="s">
        <v>326</v>
      </c>
      <c r="AB50" s="75" t="s">
        <v>326</v>
      </c>
      <c r="AC50" s="75" t="s">
        <v>326</v>
      </c>
      <c r="AD50" s="75" t="s">
        <v>326</v>
      </c>
      <c r="AE50" s="75" t="s">
        <v>326</v>
      </c>
      <c r="AF50" s="75" t="s">
        <v>326</v>
      </c>
      <c r="AG50" s="75" t="s">
        <v>326</v>
      </c>
      <c r="AH50" s="75" t="s">
        <v>326</v>
      </c>
      <c r="AI50" s="75" t="s">
        <v>326</v>
      </c>
      <c r="AJ50" s="75" t="s">
        <v>326</v>
      </c>
      <c r="AK50" s="75" t="s">
        <v>326</v>
      </c>
      <c r="AL50" s="75" t="s">
        <v>326</v>
      </c>
      <c r="AM50" s="75" t="s">
        <v>326</v>
      </c>
      <c r="AN50" s="75" t="s">
        <v>326</v>
      </c>
      <c r="AO50" s="75" t="s">
        <v>326</v>
      </c>
      <c r="AP50" s="75" t="s">
        <v>326</v>
      </c>
      <c r="AQ50" s="75" t="s">
        <v>326</v>
      </c>
      <c r="AR50" s="75" t="s">
        <v>326</v>
      </c>
      <c r="AS50" s="75" t="s">
        <v>326</v>
      </c>
      <c r="AT50" s="75" t="s">
        <v>326</v>
      </c>
      <c r="AU50" s="75" t="s">
        <v>326</v>
      </c>
      <c r="AV50" s="75" t="s">
        <v>326</v>
      </c>
      <c r="AW50" s="75" t="s">
        <v>326</v>
      </c>
      <c r="AX50" s="75" t="s">
        <v>326</v>
      </c>
      <c r="AY50" s="75" t="s">
        <v>326</v>
      </c>
      <c r="AZ50" s="75" t="s">
        <v>326</v>
      </c>
      <c r="BA50" s="75" t="s">
        <v>326</v>
      </c>
      <c r="BB50" s="75" t="s">
        <v>326</v>
      </c>
      <c r="BC50" s="75" t="s">
        <v>326</v>
      </c>
      <c r="BD50" s="75" t="s">
        <v>326</v>
      </c>
      <c r="BE50" s="75" t="s">
        <v>326</v>
      </c>
      <c r="BF50" s="75" t="s">
        <v>326</v>
      </c>
      <c r="BG50" s="75" t="s">
        <v>326</v>
      </c>
      <c r="BH50" s="75" t="s">
        <v>326</v>
      </c>
      <c r="BI50" s="75" t="s">
        <v>326</v>
      </c>
      <c r="BJ50" s="75" t="s">
        <v>326</v>
      </c>
      <c r="BK50" s="75" t="s">
        <v>326</v>
      </c>
      <c r="BL50" s="75" t="s">
        <v>326</v>
      </c>
      <c r="BM50" s="75" t="s">
        <v>326</v>
      </c>
      <c r="BN50" s="75" t="s">
        <v>326</v>
      </c>
      <c r="BO50" s="75" t="s">
        <v>326</v>
      </c>
    </row>
    <row r="51" customFormat="false" ht="12.75" hidden="false" customHeight="false" outlineLevel="0" collapsed="false">
      <c r="A51" s="1" t="n">
        <f aca="false">A50-1</f>
        <v>1976</v>
      </c>
      <c r="B51" s="1" t="s">
        <v>323</v>
      </c>
      <c r="C51" s="1" t="s">
        <v>323</v>
      </c>
      <c r="D51" s="1" t="s">
        <v>323</v>
      </c>
      <c r="E51" s="1" t="s">
        <v>323</v>
      </c>
      <c r="F51" s="75" t="s">
        <v>326</v>
      </c>
      <c r="G51" s="75" t="s">
        <v>326</v>
      </c>
      <c r="H51" s="75" t="s">
        <v>326</v>
      </c>
      <c r="I51" s="75" t="s">
        <v>326</v>
      </c>
      <c r="J51" s="75" t="s">
        <v>326</v>
      </c>
      <c r="K51" s="75" t="s">
        <v>326</v>
      </c>
      <c r="L51" s="75" t="s">
        <v>326</v>
      </c>
      <c r="M51" s="75" t="s">
        <v>326</v>
      </c>
      <c r="N51" s="75" t="s">
        <v>326</v>
      </c>
      <c r="O51" s="75" t="s">
        <v>326</v>
      </c>
      <c r="P51" s="75" t="s">
        <v>326</v>
      </c>
      <c r="Q51" s="75" t="s">
        <v>326</v>
      </c>
      <c r="R51" s="75" t="s">
        <v>326</v>
      </c>
      <c r="S51" s="75" t="s">
        <v>326</v>
      </c>
      <c r="T51" s="75" t="s">
        <v>326</v>
      </c>
      <c r="U51" s="75" t="s">
        <v>326</v>
      </c>
      <c r="V51" s="75" t="s">
        <v>326</v>
      </c>
      <c r="W51" s="75" t="s">
        <v>326</v>
      </c>
      <c r="X51" s="75" t="s">
        <v>326</v>
      </c>
      <c r="Y51" s="75" t="s">
        <v>326</v>
      </c>
      <c r="Z51" s="75" t="s">
        <v>326</v>
      </c>
      <c r="AA51" s="75" t="s">
        <v>326</v>
      </c>
      <c r="AB51" s="75" t="s">
        <v>326</v>
      </c>
      <c r="AC51" s="75" t="s">
        <v>326</v>
      </c>
      <c r="AD51" s="75" t="s">
        <v>326</v>
      </c>
      <c r="AE51" s="75" t="s">
        <v>326</v>
      </c>
      <c r="AF51" s="75" t="s">
        <v>326</v>
      </c>
      <c r="AG51" s="75" t="s">
        <v>326</v>
      </c>
      <c r="AH51" s="75" t="s">
        <v>326</v>
      </c>
      <c r="AI51" s="75" t="s">
        <v>326</v>
      </c>
      <c r="AJ51" s="75" t="s">
        <v>326</v>
      </c>
      <c r="AK51" s="75" t="s">
        <v>326</v>
      </c>
      <c r="AL51" s="75" t="s">
        <v>326</v>
      </c>
      <c r="AM51" s="75" t="s">
        <v>326</v>
      </c>
      <c r="AN51" s="75" t="s">
        <v>326</v>
      </c>
      <c r="AO51" s="75" t="s">
        <v>326</v>
      </c>
      <c r="AP51" s="75" t="s">
        <v>326</v>
      </c>
      <c r="AQ51" s="75" t="s">
        <v>326</v>
      </c>
      <c r="AR51" s="75" t="s">
        <v>326</v>
      </c>
      <c r="AS51" s="75" t="s">
        <v>326</v>
      </c>
      <c r="AT51" s="75" t="s">
        <v>326</v>
      </c>
      <c r="AU51" s="75" t="s">
        <v>326</v>
      </c>
      <c r="AV51" s="75" t="s">
        <v>326</v>
      </c>
      <c r="AW51" s="75" t="s">
        <v>326</v>
      </c>
      <c r="AX51" s="75" t="s">
        <v>326</v>
      </c>
      <c r="AY51" s="75" t="s">
        <v>326</v>
      </c>
      <c r="AZ51" s="75" t="s">
        <v>326</v>
      </c>
      <c r="BA51" s="75" t="s">
        <v>326</v>
      </c>
      <c r="BB51" s="75" t="s">
        <v>326</v>
      </c>
      <c r="BC51" s="75" t="s">
        <v>326</v>
      </c>
      <c r="BD51" s="75" t="s">
        <v>326</v>
      </c>
      <c r="BE51" s="75" t="s">
        <v>326</v>
      </c>
      <c r="BF51" s="75" t="s">
        <v>326</v>
      </c>
      <c r="BG51" s="75" t="s">
        <v>326</v>
      </c>
      <c r="BH51" s="75" t="s">
        <v>326</v>
      </c>
      <c r="BI51" s="75" t="s">
        <v>326</v>
      </c>
      <c r="BJ51" s="75" t="s">
        <v>326</v>
      </c>
      <c r="BK51" s="75" t="s">
        <v>326</v>
      </c>
      <c r="BL51" s="75" t="s">
        <v>326</v>
      </c>
      <c r="BM51" s="75" t="s">
        <v>326</v>
      </c>
      <c r="BN51" s="75" t="s">
        <v>326</v>
      </c>
      <c r="BO51" s="75" t="s">
        <v>326</v>
      </c>
    </row>
    <row r="52" customFormat="false" ht="12.75" hidden="false" customHeight="false" outlineLevel="0" collapsed="false">
      <c r="A52" s="1" t="n">
        <f aca="false">A51-1</f>
        <v>1975</v>
      </c>
      <c r="B52" s="1" t="s">
        <v>323</v>
      </c>
      <c r="C52" s="1" t="s">
        <v>323</v>
      </c>
      <c r="D52" s="1" t="s">
        <v>323</v>
      </c>
      <c r="E52" s="1" t="s">
        <v>323</v>
      </c>
      <c r="F52" s="75" t="s">
        <v>326</v>
      </c>
      <c r="G52" s="75" t="s">
        <v>326</v>
      </c>
      <c r="H52" s="75" t="s">
        <v>326</v>
      </c>
      <c r="I52" s="75" t="s">
        <v>326</v>
      </c>
      <c r="J52" s="75" t="s">
        <v>326</v>
      </c>
      <c r="K52" s="75" t="s">
        <v>326</v>
      </c>
      <c r="L52" s="75" t="s">
        <v>326</v>
      </c>
      <c r="M52" s="75" t="s">
        <v>326</v>
      </c>
      <c r="N52" s="75" t="s">
        <v>326</v>
      </c>
      <c r="O52" s="75" t="s">
        <v>326</v>
      </c>
      <c r="P52" s="75" t="s">
        <v>326</v>
      </c>
      <c r="Q52" s="75" t="s">
        <v>326</v>
      </c>
      <c r="R52" s="75" t="s">
        <v>326</v>
      </c>
      <c r="S52" s="75" t="s">
        <v>326</v>
      </c>
      <c r="T52" s="75" t="s">
        <v>326</v>
      </c>
      <c r="U52" s="75" t="s">
        <v>326</v>
      </c>
      <c r="V52" s="75" t="s">
        <v>326</v>
      </c>
      <c r="W52" s="75" t="s">
        <v>326</v>
      </c>
      <c r="X52" s="75" t="s">
        <v>326</v>
      </c>
      <c r="Y52" s="75" t="s">
        <v>326</v>
      </c>
      <c r="Z52" s="75" t="s">
        <v>326</v>
      </c>
      <c r="AA52" s="75" t="s">
        <v>326</v>
      </c>
      <c r="AB52" s="75" t="s">
        <v>326</v>
      </c>
      <c r="AC52" s="75" t="s">
        <v>326</v>
      </c>
      <c r="AD52" s="75" t="s">
        <v>326</v>
      </c>
      <c r="AE52" s="75" t="s">
        <v>326</v>
      </c>
      <c r="AF52" s="75" t="s">
        <v>326</v>
      </c>
      <c r="AG52" s="75" t="s">
        <v>326</v>
      </c>
      <c r="AH52" s="75" t="s">
        <v>326</v>
      </c>
      <c r="AI52" s="75" t="s">
        <v>326</v>
      </c>
      <c r="AJ52" s="75" t="s">
        <v>326</v>
      </c>
      <c r="AK52" s="75" t="s">
        <v>326</v>
      </c>
      <c r="AL52" s="75" t="s">
        <v>326</v>
      </c>
      <c r="AM52" s="75" t="s">
        <v>326</v>
      </c>
      <c r="AN52" s="75" t="s">
        <v>326</v>
      </c>
      <c r="AO52" s="75" t="s">
        <v>326</v>
      </c>
      <c r="AP52" s="75" t="s">
        <v>326</v>
      </c>
      <c r="AQ52" s="75" t="s">
        <v>326</v>
      </c>
      <c r="AR52" s="75" t="s">
        <v>326</v>
      </c>
      <c r="AS52" s="75" t="s">
        <v>326</v>
      </c>
      <c r="AT52" s="75" t="s">
        <v>326</v>
      </c>
      <c r="AU52" s="75" t="s">
        <v>326</v>
      </c>
      <c r="AV52" s="75" t="s">
        <v>326</v>
      </c>
      <c r="AW52" s="75" t="s">
        <v>326</v>
      </c>
      <c r="AX52" s="75" t="s">
        <v>326</v>
      </c>
      <c r="AY52" s="75" t="s">
        <v>326</v>
      </c>
      <c r="AZ52" s="75" t="s">
        <v>326</v>
      </c>
      <c r="BA52" s="75" t="s">
        <v>326</v>
      </c>
      <c r="BB52" s="75" t="s">
        <v>326</v>
      </c>
      <c r="BC52" s="75" t="s">
        <v>326</v>
      </c>
      <c r="BD52" s="75" t="s">
        <v>326</v>
      </c>
      <c r="BE52" s="75" t="s">
        <v>326</v>
      </c>
      <c r="BF52" s="75" t="s">
        <v>326</v>
      </c>
      <c r="BG52" s="75" t="s">
        <v>326</v>
      </c>
      <c r="BH52" s="75" t="s">
        <v>326</v>
      </c>
      <c r="BI52" s="75" t="s">
        <v>326</v>
      </c>
      <c r="BJ52" s="75" t="s">
        <v>326</v>
      </c>
      <c r="BK52" s="75" t="s">
        <v>326</v>
      </c>
      <c r="BL52" s="75" t="s">
        <v>326</v>
      </c>
      <c r="BM52" s="75" t="s">
        <v>326</v>
      </c>
      <c r="BN52" s="75" t="s">
        <v>326</v>
      </c>
      <c r="BO52" s="75" t="s">
        <v>326</v>
      </c>
    </row>
    <row r="53" customFormat="false" ht="12.75" hidden="false" customHeight="false" outlineLevel="0" collapsed="false">
      <c r="A53" s="1" t="n">
        <f aca="false">A52-1</f>
        <v>1974</v>
      </c>
      <c r="B53" s="1" t="s">
        <v>323</v>
      </c>
      <c r="C53" s="1" t="s">
        <v>323</v>
      </c>
      <c r="D53" s="1" t="s">
        <v>323</v>
      </c>
      <c r="E53" s="1" t="s">
        <v>323</v>
      </c>
      <c r="F53" s="75" t="s">
        <v>326</v>
      </c>
      <c r="G53" s="75" t="s">
        <v>326</v>
      </c>
      <c r="H53" s="75" t="s">
        <v>326</v>
      </c>
      <c r="I53" s="75" t="s">
        <v>326</v>
      </c>
      <c r="J53" s="75" t="s">
        <v>326</v>
      </c>
      <c r="K53" s="75" t="s">
        <v>326</v>
      </c>
      <c r="L53" s="75" t="s">
        <v>326</v>
      </c>
      <c r="M53" s="75" t="s">
        <v>326</v>
      </c>
      <c r="N53" s="75" t="s">
        <v>326</v>
      </c>
      <c r="O53" s="75" t="s">
        <v>326</v>
      </c>
      <c r="P53" s="75" t="s">
        <v>326</v>
      </c>
      <c r="Q53" s="75" t="s">
        <v>326</v>
      </c>
      <c r="R53" s="75" t="s">
        <v>326</v>
      </c>
      <c r="S53" s="75" t="s">
        <v>326</v>
      </c>
      <c r="T53" s="75" t="s">
        <v>326</v>
      </c>
      <c r="U53" s="75" t="s">
        <v>326</v>
      </c>
      <c r="V53" s="75" t="s">
        <v>326</v>
      </c>
      <c r="W53" s="75" t="s">
        <v>326</v>
      </c>
      <c r="X53" s="75" t="s">
        <v>326</v>
      </c>
      <c r="Y53" s="75" t="s">
        <v>326</v>
      </c>
      <c r="Z53" s="75" t="s">
        <v>326</v>
      </c>
      <c r="AA53" s="75" t="s">
        <v>326</v>
      </c>
      <c r="AB53" s="75" t="s">
        <v>326</v>
      </c>
      <c r="AC53" s="75" t="s">
        <v>326</v>
      </c>
      <c r="AD53" s="75" t="s">
        <v>326</v>
      </c>
      <c r="AE53" s="75" t="s">
        <v>326</v>
      </c>
      <c r="AF53" s="75" t="s">
        <v>326</v>
      </c>
      <c r="AG53" s="75" t="s">
        <v>326</v>
      </c>
      <c r="AH53" s="75" t="s">
        <v>326</v>
      </c>
      <c r="AI53" s="75" t="s">
        <v>326</v>
      </c>
      <c r="AJ53" s="75" t="s">
        <v>326</v>
      </c>
      <c r="AK53" s="75" t="s">
        <v>326</v>
      </c>
      <c r="AL53" s="75" t="s">
        <v>326</v>
      </c>
      <c r="AM53" s="75" t="s">
        <v>326</v>
      </c>
      <c r="AN53" s="75" t="s">
        <v>326</v>
      </c>
      <c r="AO53" s="75" t="s">
        <v>326</v>
      </c>
      <c r="AP53" s="75" t="s">
        <v>326</v>
      </c>
      <c r="AQ53" s="75" t="s">
        <v>326</v>
      </c>
      <c r="AR53" s="75" t="s">
        <v>326</v>
      </c>
      <c r="AS53" s="75" t="s">
        <v>326</v>
      </c>
      <c r="AT53" s="75" t="s">
        <v>326</v>
      </c>
      <c r="AU53" s="75" t="s">
        <v>326</v>
      </c>
      <c r="AV53" s="75" t="s">
        <v>326</v>
      </c>
      <c r="AW53" s="75" t="s">
        <v>326</v>
      </c>
      <c r="AX53" s="75" t="s">
        <v>326</v>
      </c>
      <c r="AY53" s="75" t="s">
        <v>326</v>
      </c>
      <c r="AZ53" s="75" t="s">
        <v>326</v>
      </c>
      <c r="BA53" s="75" t="s">
        <v>326</v>
      </c>
      <c r="BB53" s="75" t="s">
        <v>326</v>
      </c>
      <c r="BC53" s="75" t="s">
        <v>326</v>
      </c>
      <c r="BD53" s="75" t="s">
        <v>326</v>
      </c>
      <c r="BE53" s="75" t="s">
        <v>326</v>
      </c>
      <c r="BF53" s="75" t="s">
        <v>326</v>
      </c>
      <c r="BG53" s="75" t="s">
        <v>326</v>
      </c>
      <c r="BH53" s="75" t="s">
        <v>326</v>
      </c>
      <c r="BI53" s="75" t="s">
        <v>326</v>
      </c>
      <c r="BJ53" s="75" t="s">
        <v>326</v>
      </c>
      <c r="BK53" s="75" t="s">
        <v>326</v>
      </c>
      <c r="BL53" s="75" t="s">
        <v>326</v>
      </c>
      <c r="BM53" s="75" t="s">
        <v>326</v>
      </c>
      <c r="BN53" s="75" t="s">
        <v>326</v>
      </c>
      <c r="BO53" s="75" t="s">
        <v>326</v>
      </c>
    </row>
    <row r="54" customFormat="false" ht="12.75" hidden="false" customHeight="false" outlineLevel="0" collapsed="false">
      <c r="A54" s="1" t="n">
        <f aca="false">A53-1</f>
        <v>1973</v>
      </c>
      <c r="B54" s="1" t="s">
        <v>323</v>
      </c>
      <c r="C54" s="1" t="s">
        <v>323</v>
      </c>
      <c r="D54" s="1" t="s">
        <v>323</v>
      </c>
      <c r="E54" s="1" t="s">
        <v>323</v>
      </c>
      <c r="F54" s="75" t="s">
        <v>326</v>
      </c>
      <c r="G54" s="75" t="s">
        <v>326</v>
      </c>
      <c r="H54" s="75" t="s">
        <v>326</v>
      </c>
      <c r="I54" s="75" t="s">
        <v>326</v>
      </c>
      <c r="J54" s="75" t="s">
        <v>326</v>
      </c>
      <c r="K54" s="75" t="s">
        <v>326</v>
      </c>
      <c r="L54" s="75" t="s">
        <v>326</v>
      </c>
      <c r="M54" s="75" t="s">
        <v>326</v>
      </c>
      <c r="N54" s="75" t="s">
        <v>326</v>
      </c>
      <c r="O54" s="75" t="s">
        <v>326</v>
      </c>
      <c r="P54" s="75" t="s">
        <v>326</v>
      </c>
      <c r="Q54" s="75" t="s">
        <v>326</v>
      </c>
      <c r="R54" s="75" t="s">
        <v>326</v>
      </c>
      <c r="S54" s="75" t="s">
        <v>326</v>
      </c>
      <c r="T54" s="75" t="s">
        <v>326</v>
      </c>
      <c r="U54" s="75" t="s">
        <v>326</v>
      </c>
      <c r="V54" s="75" t="s">
        <v>326</v>
      </c>
      <c r="W54" s="75" t="s">
        <v>326</v>
      </c>
      <c r="X54" s="75" t="s">
        <v>326</v>
      </c>
      <c r="Y54" s="75" t="s">
        <v>326</v>
      </c>
      <c r="Z54" s="75" t="s">
        <v>326</v>
      </c>
      <c r="AA54" s="75" t="s">
        <v>326</v>
      </c>
      <c r="AB54" s="75" t="s">
        <v>326</v>
      </c>
      <c r="AC54" s="75" t="s">
        <v>326</v>
      </c>
      <c r="AD54" s="75" t="s">
        <v>326</v>
      </c>
      <c r="AE54" s="75" t="s">
        <v>326</v>
      </c>
      <c r="AF54" s="75" t="s">
        <v>326</v>
      </c>
      <c r="AG54" s="75" t="s">
        <v>326</v>
      </c>
      <c r="AH54" s="75" t="s">
        <v>326</v>
      </c>
      <c r="AI54" s="75" t="s">
        <v>326</v>
      </c>
      <c r="AJ54" s="75" t="s">
        <v>326</v>
      </c>
      <c r="AK54" s="75" t="s">
        <v>326</v>
      </c>
      <c r="AL54" s="75" t="s">
        <v>326</v>
      </c>
      <c r="AM54" s="75" t="s">
        <v>326</v>
      </c>
      <c r="AN54" s="75" t="s">
        <v>326</v>
      </c>
      <c r="AO54" s="75" t="s">
        <v>326</v>
      </c>
      <c r="AP54" s="75" t="s">
        <v>326</v>
      </c>
      <c r="AQ54" s="75" t="s">
        <v>326</v>
      </c>
      <c r="AR54" s="75" t="s">
        <v>326</v>
      </c>
      <c r="AS54" s="75" t="s">
        <v>326</v>
      </c>
      <c r="AT54" s="75" t="s">
        <v>326</v>
      </c>
      <c r="AU54" s="75" t="s">
        <v>326</v>
      </c>
      <c r="AV54" s="75" t="s">
        <v>326</v>
      </c>
      <c r="AW54" s="75" t="s">
        <v>326</v>
      </c>
      <c r="AX54" s="75" t="s">
        <v>326</v>
      </c>
      <c r="AY54" s="75" t="s">
        <v>326</v>
      </c>
      <c r="AZ54" s="75" t="s">
        <v>326</v>
      </c>
      <c r="BA54" s="75" t="s">
        <v>326</v>
      </c>
      <c r="BB54" s="75" t="s">
        <v>326</v>
      </c>
      <c r="BC54" s="75" t="s">
        <v>326</v>
      </c>
      <c r="BD54" s="75" t="s">
        <v>326</v>
      </c>
      <c r="BE54" s="75" t="s">
        <v>326</v>
      </c>
      <c r="BF54" s="75" t="s">
        <v>326</v>
      </c>
      <c r="BG54" s="75" t="s">
        <v>326</v>
      </c>
      <c r="BH54" s="75" t="s">
        <v>326</v>
      </c>
      <c r="BI54" s="75" t="s">
        <v>326</v>
      </c>
      <c r="BJ54" s="75" t="s">
        <v>326</v>
      </c>
      <c r="BK54" s="75" t="s">
        <v>326</v>
      </c>
      <c r="BL54" s="75" t="s">
        <v>326</v>
      </c>
      <c r="BM54" s="75" t="s">
        <v>326</v>
      </c>
      <c r="BN54" s="75" t="s">
        <v>326</v>
      </c>
      <c r="BO54" s="75" t="s">
        <v>326</v>
      </c>
    </row>
    <row r="55" customFormat="false" ht="12.75" hidden="false" customHeight="false" outlineLevel="0" collapsed="false">
      <c r="A55" s="1" t="n">
        <f aca="false">A54-1</f>
        <v>1972</v>
      </c>
      <c r="B55" s="1" t="s">
        <v>323</v>
      </c>
      <c r="C55" s="1" t="s">
        <v>323</v>
      </c>
      <c r="D55" s="1" t="s">
        <v>323</v>
      </c>
      <c r="E55" s="1" t="s">
        <v>323</v>
      </c>
      <c r="F55" s="75" t="s">
        <v>326</v>
      </c>
      <c r="G55" s="75" t="s">
        <v>326</v>
      </c>
      <c r="H55" s="75" t="s">
        <v>326</v>
      </c>
      <c r="I55" s="75" t="s">
        <v>326</v>
      </c>
      <c r="J55" s="75" t="s">
        <v>326</v>
      </c>
      <c r="K55" s="75" t="s">
        <v>326</v>
      </c>
      <c r="L55" s="75" t="s">
        <v>326</v>
      </c>
      <c r="M55" s="75" t="s">
        <v>326</v>
      </c>
      <c r="N55" s="75" t="s">
        <v>326</v>
      </c>
      <c r="O55" s="75" t="s">
        <v>326</v>
      </c>
      <c r="P55" s="75" t="s">
        <v>326</v>
      </c>
      <c r="Q55" s="75" t="s">
        <v>326</v>
      </c>
      <c r="R55" s="75" t="s">
        <v>326</v>
      </c>
      <c r="S55" s="75" t="s">
        <v>326</v>
      </c>
      <c r="T55" s="75" t="s">
        <v>326</v>
      </c>
      <c r="U55" s="75" t="s">
        <v>326</v>
      </c>
      <c r="V55" s="75" t="s">
        <v>326</v>
      </c>
      <c r="W55" s="75" t="s">
        <v>326</v>
      </c>
      <c r="X55" s="75" t="s">
        <v>326</v>
      </c>
      <c r="Y55" s="75" t="s">
        <v>326</v>
      </c>
      <c r="Z55" s="75" t="s">
        <v>326</v>
      </c>
      <c r="AA55" s="75" t="s">
        <v>326</v>
      </c>
      <c r="AB55" s="75" t="s">
        <v>326</v>
      </c>
      <c r="AC55" s="75" t="s">
        <v>326</v>
      </c>
      <c r="AD55" s="75" t="s">
        <v>326</v>
      </c>
      <c r="AE55" s="75" t="s">
        <v>326</v>
      </c>
      <c r="AF55" s="75" t="s">
        <v>326</v>
      </c>
      <c r="AG55" s="75" t="s">
        <v>326</v>
      </c>
      <c r="AH55" s="75" t="s">
        <v>326</v>
      </c>
      <c r="AI55" s="75" t="s">
        <v>326</v>
      </c>
      <c r="AJ55" s="75" t="s">
        <v>326</v>
      </c>
      <c r="AK55" s="75" t="s">
        <v>326</v>
      </c>
      <c r="AL55" s="75" t="s">
        <v>326</v>
      </c>
      <c r="AM55" s="75" t="s">
        <v>326</v>
      </c>
      <c r="AN55" s="75" t="s">
        <v>326</v>
      </c>
      <c r="AO55" s="75" t="s">
        <v>326</v>
      </c>
      <c r="AP55" s="75" t="s">
        <v>326</v>
      </c>
      <c r="AQ55" s="75" t="s">
        <v>326</v>
      </c>
      <c r="AR55" s="75" t="s">
        <v>326</v>
      </c>
      <c r="AS55" s="75" t="s">
        <v>326</v>
      </c>
      <c r="AT55" s="75" t="s">
        <v>326</v>
      </c>
      <c r="AU55" s="75" t="s">
        <v>326</v>
      </c>
      <c r="AV55" s="75" t="s">
        <v>326</v>
      </c>
      <c r="AW55" s="75" t="s">
        <v>326</v>
      </c>
      <c r="AX55" s="75" t="s">
        <v>326</v>
      </c>
      <c r="AY55" s="75" t="s">
        <v>326</v>
      </c>
      <c r="AZ55" s="75" t="s">
        <v>326</v>
      </c>
      <c r="BA55" s="75" t="s">
        <v>326</v>
      </c>
      <c r="BB55" s="75" t="s">
        <v>326</v>
      </c>
      <c r="BC55" s="75" t="s">
        <v>326</v>
      </c>
      <c r="BD55" s="75" t="s">
        <v>326</v>
      </c>
      <c r="BE55" s="75" t="s">
        <v>326</v>
      </c>
      <c r="BF55" s="75" t="s">
        <v>326</v>
      </c>
      <c r="BG55" s="75" t="s">
        <v>326</v>
      </c>
      <c r="BH55" s="75" t="s">
        <v>326</v>
      </c>
      <c r="BI55" s="75" t="s">
        <v>326</v>
      </c>
      <c r="BJ55" s="75" t="s">
        <v>326</v>
      </c>
      <c r="BK55" s="75" t="s">
        <v>326</v>
      </c>
      <c r="BL55" s="75" t="s">
        <v>326</v>
      </c>
      <c r="BM55" s="75" t="s">
        <v>326</v>
      </c>
      <c r="BN55" s="75" t="s">
        <v>326</v>
      </c>
      <c r="BO55" s="75" t="s">
        <v>326</v>
      </c>
    </row>
    <row r="56" customFormat="false" ht="12.75" hidden="false" customHeight="false" outlineLevel="0" collapsed="false">
      <c r="A56" s="1" t="n">
        <f aca="false">A55-1</f>
        <v>1971</v>
      </c>
      <c r="B56" s="1" t="s">
        <v>323</v>
      </c>
      <c r="C56" s="1" t="s">
        <v>323</v>
      </c>
      <c r="D56" s="1" t="s">
        <v>323</v>
      </c>
      <c r="E56" s="1" t="s">
        <v>323</v>
      </c>
      <c r="F56" s="75" t="s">
        <v>326</v>
      </c>
      <c r="G56" s="75" t="s">
        <v>326</v>
      </c>
      <c r="H56" s="75" t="s">
        <v>326</v>
      </c>
      <c r="I56" s="75" t="s">
        <v>326</v>
      </c>
      <c r="J56" s="75" t="s">
        <v>326</v>
      </c>
      <c r="K56" s="75" t="s">
        <v>326</v>
      </c>
      <c r="L56" s="75" t="s">
        <v>326</v>
      </c>
      <c r="M56" s="75" t="s">
        <v>326</v>
      </c>
      <c r="N56" s="75" t="s">
        <v>326</v>
      </c>
      <c r="O56" s="75" t="s">
        <v>326</v>
      </c>
      <c r="P56" s="75" t="s">
        <v>326</v>
      </c>
      <c r="Q56" s="75" t="s">
        <v>326</v>
      </c>
      <c r="R56" s="75" t="s">
        <v>326</v>
      </c>
      <c r="S56" s="75" t="s">
        <v>326</v>
      </c>
      <c r="T56" s="75" t="s">
        <v>326</v>
      </c>
      <c r="U56" s="75" t="s">
        <v>326</v>
      </c>
      <c r="V56" s="75" t="s">
        <v>326</v>
      </c>
      <c r="W56" s="75" t="s">
        <v>326</v>
      </c>
      <c r="X56" s="75" t="s">
        <v>326</v>
      </c>
      <c r="Y56" s="75" t="s">
        <v>326</v>
      </c>
      <c r="Z56" s="75" t="s">
        <v>326</v>
      </c>
      <c r="AA56" s="75" t="s">
        <v>326</v>
      </c>
      <c r="AB56" s="75" t="s">
        <v>326</v>
      </c>
      <c r="AC56" s="75" t="s">
        <v>326</v>
      </c>
      <c r="AD56" s="75" t="s">
        <v>326</v>
      </c>
      <c r="AE56" s="75" t="s">
        <v>326</v>
      </c>
      <c r="AF56" s="75" t="s">
        <v>326</v>
      </c>
      <c r="AG56" s="75" t="s">
        <v>326</v>
      </c>
      <c r="AH56" s="75" t="s">
        <v>326</v>
      </c>
      <c r="AI56" s="75" t="s">
        <v>326</v>
      </c>
      <c r="AJ56" s="75" t="s">
        <v>326</v>
      </c>
      <c r="AK56" s="75" t="s">
        <v>326</v>
      </c>
      <c r="AL56" s="75" t="s">
        <v>326</v>
      </c>
      <c r="AM56" s="75" t="s">
        <v>326</v>
      </c>
      <c r="AN56" s="75" t="s">
        <v>326</v>
      </c>
      <c r="AO56" s="75" t="s">
        <v>326</v>
      </c>
      <c r="AP56" s="75" t="s">
        <v>326</v>
      </c>
      <c r="AQ56" s="75" t="s">
        <v>326</v>
      </c>
      <c r="AR56" s="75" t="s">
        <v>326</v>
      </c>
      <c r="AS56" s="75" t="s">
        <v>326</v>
      </c>
      <c r="AT56" s="75" t="s">
        <v>326</v>
      </c>
      <c r="AU56" s="75" t="s">
        <v>326</v>
      </c>
      <c r="AV56" s="75" t="s">
        <v>326</v>
      </c>
      <c r="AW56" s="75" t="s">
        <v>326</v>
      </c>
      <c r="AX56" s="75" t="s">
        <v>326</v>
      </c>
      <c r="AY56" s="75" t="s">
        <v>326</v>
      </c>
      <c r="AZ56" s="75" t="s">
        <v>326</v>
      </c>
      <c r="BA56" s="75" t="s">
        <v>326</v>
      </c>
      <c r="BB56" s="75" t="s">
        <v>326</v>
      </c>
      <c r="BC56" s="75" t="s">
        <v>326</v>
      </c>
      <c r="BD56" s="75" t="s">
        <v>326</v>
      </c>
      <c r="BE56" s="75" t="s">
        <v>326</v>
      </c>
      <c r="BF56" s="75" t="s">
        <v>326</v>
      </c>
      <c r="BG56" s="75" t="s">
        <v>326</v>
      </c>
      <c r="BH56" s="75" t="s">
        <v>326</v>
      </c>
      <c r="BI56" s="75" t="s">
        <v>326</v>
      </c>
      <c r="BJ56" s="75" t="s">
        <v>326</v>
      </c>
      <c r="BK56" s="75" t="s">
        <v>326</v>
      </c>
      <c r="BL56" s="75" t="s">
        <v>326</v>
      </c>
      <c r="BM56" s="75" t="s">
        <v>326</v>
      </c>
      <c r="BN56" s="75" t="s">
        <v>326</v>
      </c>
      <c r="BO56" s="75" t="s">
        <v>326</v>
      </c>
    </row>
    <row r="57" customFormat="false" ht="12.75" hidden="false" customHeight="false" outlineLevel="0" collapsed="false">
      <c r="A57" s="1" t="n">
        <f aca="false">A56-1</f>
        <v>1970</v>
      </c>
      <c r="B57" s="1" t="s">
        <v>323</v>
      </c>
      <c r="C57" s="1" t="s">
        <v>323</v>
      </c>
      <c r="D57" s="1" t="s">
        <v>323</v>
      </c>
      <c r="E57" s="1" t="s">
        <v>323</v>
      </c>
      <c r="F57" s="75" t="s">
        <v>326</v>
      </c>
      <c r="G57" s="75" t="s">
        <v>326</v>
      </c>
      <c r="H57" s="75" t="s">
        <v>326</v>
      </c>
      <c r="I57" s="75" t="s">
        <v>326</v>
      </c>
      <c r="J57" s="75" t="s">
        <v>326</v>
      </c>
      <c r="K57" s="75" t="s">
        <v>326</v>
      </c>
      <c r="L57" s="75" t="s">
        <v>326</v>
      </c>
      <c r="M57" s="75" t="s">
        <v>326</v>
      </c>
      <c r="N57" s="75" t="s">
        <v>326</v>
      </c>
      <c r="O57" s="75" t="s">
        <v>326</v>
      </c>
      <c r="P57" s="75" t="s">
        <v>326</v>
      </c>
      <c r="Q57" s="75" t="s">
        <v>326</v>
      </c>
      <c r="R57" s="75" t="s">
        <v>326</v>
      </c>
      <c r="S57" s="75" t="s">
        <v>326</v>
      </c>
      <c r="T57" s="75" t="s">
        <v>326</v>
      </c>
      <c r="U57" s="75" t="s">
        <v>326</v>
      </c>
      <c r="V57" s="75" t="s">
        <v>326</v>
      </c>
      <c r="W57" s="75" t="s">
        <v>326</v>
      </c>
      <c r="X57" s="75" t="s">
        <v>326</v>
      </c>
      <c r="Y57" s="75" t="s">
        <v>326</v>
      </c>
      <c r="Z57" s="75" t="s">
        <v>326</v>
      </c>
      <c r="AA57" s="75" t="s">
        <v>326</v>
      </c>
      <c r="AB57" s="75" t="s">
        <v>326</v>
      </c>
      <c r="AC57" s="75" t="s">
        <v>326</v>
      </c>
      <c r="AD57" s="75" t="s">
        <v>326</v>
      </c>
      <c r="AE57" s="75" t="s">
        <v>326</v>
      </c>
      <c r="AF57" s="75" t="s">
        <v>326</v>
      </c>
      <c r="AG57" s="75" t="s">
        <v>326</v>
      </c>
      <c r="AH57" s="75" t="s">
        <v>326</v>
      </c>
      <c r="AI57" s="75" t="s">
        <v>326</v>
      </c>
      <c r="AJ57" s="75" t="s">
        <v>326</v>
      </c>
      <c r="AK57" s="75" t="s">
        <v>326</v>
      </c>
      <c r="AL57" s="75" t="s">
        <v>326</v>
      </c>
      <c r="AM57" s="75" t="s">
        <v>326</v>
      </c>
      <c r="AN57" s="75" t="s">
        <v>326</v>
      </c>
      <c r="AO57" s="75" t="s">
        <v>326</v>
      </c>
      <c r="AP57" s="75" t="s">
        <v>326</v>
      </c>
      <c r="AQ57" s="75" t="s">
        <v>326</v>
      </c>
      <c r="AR57" s="75" t="s">
        <v>326</v>
      </c>
      <c r="AS57" s="75" t="s">
        <v>326</v>
      </c>
      <c r="AT57" s="75" t="s">
        <v>326</v>
      </c>
      <c r="AU57" s="75" t="s">
        <v>326</v>
      </c>
      <c r="AV57" s="75" t="s">
        <v>326</v>
      </c>
      <c r="AW57" s="75" t="s">
        <v>326</v>
      </c>
      <c r="AX57" s="75" t="s">
        <v>326</v>
      </c>
      <c r="AY57" s="75" t="s">
        <v>326</v>
      </c>
      <c r="AZ57" s="75" t="s">
        <v>326</v>
      </c>
      <c r="BA57" s="75" t="s">
        <v>326</v>
      </c>
      <c r="BB57" s="75" t="s">
        <v>326</v>
      </c>
      <c r="BC57" s="75" t="s">
        <v>326</v>
      </c>
      <c r="BD57" s="75" t="s">
        <v>326</v>
      </c>
      <c r="BE57" s="75" t="s">
        <v>326</v>
      </c>
      <c r="BF57" s="75" t="s">
        <v>326</v>
      </c>
      <c r="BG57" s="75" t="s">
        <v>326</v>
      </c>
      <c r="BH57" s="75" t="s">
        <v>326</v>
      </c>
      <c r="BI57" s="75" t="s">
        <v>326</v>
      </c>
      <c r="BJ57" s="75" t="s">
        <v>326</v>
      </c>
      <c r="BK57" s="75" t="s">
        <v>326</v>
      </c>
      <c r="BL57" s="75" t="s">
        <v>326</v>
      </c>
      <c r="BM57" s="75" t="s">
        <v>326</v>
      </c>
      <c r="BN57" s="75" t="s">
        <v>326</v>
      </c>
      <c r="BO57" s="75" t="s">
        <v>326</v>
      </c>
    </row>
    <row r="58" customFormat="false" ht="12.75" hidden="false" customHeight="false" outlineLevel="0" collapsed="false">
      <c r="A58" s="1" t="n">
        <f aca="false">A57-1</f>
        <v>1969</v>
      </c>
      <c r="B58" s="1" t="s">
        <v>323</v>
      </c>
      <c r="C58" s="1" t="s">
        <v>323</v>
      </c>
      <c r="D58" s="1" t="s">
        <v>323</v>
      </c>
      <c r="E58" s="1" t="s">
        <v>323</v>
      </c>
      <c r="F58" s="75" t="s">
        <v>326</v>
      </c>
      <c r="G58" s="75" t="s">
        <v>326</v>
      </c>
      <c r="H58" s="75" t="s">
        <v>326</v>
      </c>
      <c r="I58" s="75" t="s">
        <v>326</v>
      </c>
      <c r="J58" s="75" t="s">
        <v>326</v>
      </c>
      <c r="K58" s="75" t="s">
        <v>326</v>
      </c>
      <c r="L58" s="75" t="s">
        <v>326</v>
      </c>
      <c r="M58" s="75" t="s">
        <v>326</v>
      </c>
      <c r="N58" s="75" t="s">
        <v>326</v>
      </c>
      <c r="O58" s="75" t="s">
        <v>326</v>
      </c>
      <c r="P58" s="75" t="s">
        <v>326</v>
      </c>
      <c r="Q58" s="75" t="s">
        <v>326</v>
      </c>
      <c r="R58" s="75" t="s">
        <v>326</v>
      </c>
      <c r="S58" s="75" t="s">
        <v>326</v>
      </c>
      <c r="T58" s="75" t="s">
        <v>326</v>
      </c>
      <c r="U58" s="75" t="s">
        <v>326</v>
      </c>
      <c r="V58" s="75" t="s">
        <v>326</v>
      </c>
      <c r="W58" s="75" t="s">
        <v>326</v>
      </c>
      <c r="X58" s="75" t="s">
        <v>326</v>
      </c>
      <c r="Y58" s="75" t="s">
        <v>326</v>
      </c>
      <c r="Z58" s="75" t="s">
        <v>326</v>
      </c>
      <c r="AA58" s="75" t="s">
        <v>326</v>
      </c>
      <c r="AB58" s="75" t="s">
        <v>326</v>
      </c>
      <c r="AC58" s="75" t="s">
        <v>326</v>
      </c>
      <c r="AD58" s="75" t="s">
        <v>326</v>
      </c>
      <c r="AE58" s="75" t="s">
        <v>326</v>
      </c>
      <c r="AF58" s="75" t="s">
        <v>326</v>
      </c>
      <c r="AG58" s="75" t="s">
        <v>326</v>
      </c>
      <c r="AH58" s="75" t="s">
        <v>326</v>
      </c>
      <c r="AI58" s="75" t="s">
        <v>326</v>
      </c>
      <c r="AJ58" s="75" t="s">
        <v>326</v>
      </c>
      <c r="AK58" s="75" t="s">
        <v>326</v>
      </c>
      <c r="AL58" s="75" t="s">
        <v>326</v>
      </c>
      <c r="AM58" s="75" t="s">
        <v>326</v>
      </c>
      <c r="AN58" s="75" t="s">
        <v>326</v>
      </c>
      <c r="AO58" s="75" t="s">
        <v>326</v>
      </c>
      <c r="AP58" s="75" t="s">
        <v>326</v>
      </c>
      <c r="AQ58" s="75" t="s">
        <v>326</v>
      </c>
      <c r="AR58" s="75" t="s">
        <v>326</v>
      </c>
      <c r="AS58" s="75" t="s">
        <v>326</v>
      </c>
      <c r="AT58" s="75" t="s">
        <v>326</v>
      </c>
      <c r="AU58" s="75" t="s">
        <v>326</v>
      </c>
      <c r="AV58" s="75" t="s">
        <v>326</v>
      </c>
      <c r="AW58" s="75" t="s">
        <v>326</v>
      </c>
      <c r="AX58" s="75" t="s">
        <v>326</v>
      </c>
      <c r="AY58" s="75" t="s">
        <v>326</v>
      </c>
      <c r="AZ58" s="75" t="s">
        <v>326</v>
      </c>
      <c r="BA58" s="75" t="s">
        <v>326</v>
      </c>
      <c r="BB58" s="75" t="s">
        <v>326</v>
      </c>
      <c r="BC58" s="75" t="s">
        <v>326</v>
      </c>
      <c r="BD58" s="75" t="s">
        <v>326</v>
      </c>
      <c r="BE58" s="75" t="s">
        <v>326</v>
      </c>
      <c r="BF58" s="75" t="s">
        <v>326</v>
      </c>
      <c r="BG58" s="75" t="s">
        <v>326</v>
      </c>
      <c r="BH58" s="75" t="s">
        <v>326</v>
      </c>
      <c r="BI58" s="75" t="s">
        <v>326</v>
      </c>
      <c r="BJ58" s="75" t="s">
        <v>326</v>
      </c>
      <c r="BK58" s="75" t="s">
        <v>326</v>
      </c>
      <c r="BL58" s="75" t="s">
        <v>326</v>
      </c>
      <c r="BM58" s="75" t="s">
        <v>326</v>
      </c>
      <c r="BN58" s="75" t="s">
        <v>326</v>
      </c>
      <c r="BO58" s="75" t="s">
        <v>326</v>
      </c>
    </row>
    <row r="59" customFormat="false" ht="12.75" hidden="false" customHeight="false" outlineLevel="0" collapsed="false">
      <c r="A59" s="1" t="n">
        <f aca="false">A58-1</f>
        <v>1968</v>
      </c>
      <c r="B59" s="1" t="s">
        <v>323</v>
      </c>
      <c r="C59" s="1" t="s">
        <v>323</v>
      </c>
      <c r="D59" s="1" t="s">
        <v>323</v>
      </c>
      <c r="E59" s="1" t="s">
        <v>323</v>
      </c>
      <c r="F59" s="75" t="s">
        <v>326</v>
      </c>
      <c r="G59" s="75" t="s">
        <v>326</v>
      </c>
      <c r="H59" s="75" t="s">
        <v>326</v>
      </c>
      <c r="I59" s="75" t="s">
        <v>326</v>
      </c>
      <c r="J59" s="75" t="s">
        <v>326</v>
      </c>
      <c r="K59" s="75" t="s">
        <v>326</v>
      </c>
      <c r="L59" s="75" t="s">
        <v>326</v>
      </c>
      <c r="M59" s="75" t="s">
        <v>326</v>
      </c>
      <c r="N59" s="75" t="s">
        <v>326</v>
      </c>
      <c r="O59" s="75" t="s">
        <v>326</v>
      </c>
      <c r="P59" s="75" t="s">
        <v>326</v>
      </c>
      <c r="Q59" s="75" t="s">
        <v>326</v>
      </c>
      <c r="R59" s="75" t="s">
        <v>326</v>
      </c>
      <c r="S59" s="75" t="s">
        <v>326</v>
      </c>
      <c r="T59" s="75" t="s">
        <v>326</v>
      </c>
      <c r="U59" s="75" t="s">
        <v>326</v>
      </c>
      <c r="V59" s="75" t="s">
        <v>326</v>
      </c>
      <c r="W59" s="75" t="s">
        <v>326</v>
      </c>
      <c r="X59" s="75" t="s">
        <v>326</v>
      </c>
      <c r="Y59" s="75" t="s">
        <v>326</v>
      </c>
      <c r="Z59" s="75" t="s">
        <v>326</v>
      </c>
      <c r="AA59" s="75" t="s">
        <v>326</v>
      </c>
      <c r="AB59" s="75" t="s">
        <v>326</v>
      </c>
      <c r="AC59" s="75" t="s">
        <v>326</v>
      </c>
      <c r="AD59" s="75" t="s">
        <v>326</v>
      </c>
      <c r="AE59" s="75" t="s">
        <v>326</v>
      </c>
      <c r="AF59" s="75" t="s">
        <v>326</v>
      </c>
      <c r="AG59" s="75" t="s">
        <v>326</v>
      </c>
      <c r="AH59" s="75" t="s">
        <v>326</v>
      </c>
      <c r="AI59" s="75" t="s">
        <v>326</v>
      </c>
      <c r="AJ59" s="75" t="s">
        <v>326</v>
      </c>
      <c r="AK59" s="75" t="s">
        <v>326</v>
      </c>
      <c r="AL59" s="75" t="s">
        <v>326</v>
      </c>
      <c r="AM59" s="75" t="s">
        <v>326</v>
      </c>
      <c r="AN59" s="75" t="s">
        <v>326</v>
      </c>
      <c r="AO59" s="75" t="s">
        <v>326</v>
      </c>
      <c r="AP59" s="75" t="s">
        <v>326</v>
      </c>
      <c r="AQ59" s="75" t="s">
        <v>326</v>
      </c>
      <c r="AR59" s="75" t="s">
        <v>326</v>
      </c>
      <c r="AS59" s="75" t="s">
        <v>326</v>
      </c>
      <c r="AT59" s="75" t="s">
        <v>326</v>
      </c>
      <c r="AU59" s="75" t="s">
        <v>326</v>
      </c>
      <c r="AV59" s="75" t="s">
        <v>326</v>
      </c>
      <c r="AW59" s="75" t="s">
        <v>326</v>
      </c>
      <c r="AX59" s="75" t="s">
        <v>326</v>
      </c>
      <c r="AY59" s="75" t="s">
        <v>326</v>
      </c>
      <c r="AZ59" s="75" t="s">
        <v>326</v>
      </c>
      <c r="BA59" s="75" t="s">
        <v>326</v>
      </c>
      <c r="BB59" s="75" t="s">
        <v>326</v>
      </c>
      <c r="BC59" s="75" t="s">
        <v>326</v>
      </c>
      <c r="BD59" s="75" t="s">
        <v>326</v>
      </c>
      <c r="BE59" s="75" t="s">
        <v>326</v>
      </c>
      <c r="BF59" s="75" t="s">
        <v>326</v>
      </c>
      <c r="BG59" s="75" t="s">
        <v>326</v>
      </c>
      <c r="BH59" s="75" t="s">
        <v>326</v>
      </c>
      <c r="BI59" s="75" t="s">
        <v>326</v>
      </c>
      <c r="BJ59" s="75" t="s">
        <v>326</v>
      </c>
      <c r="BK59" s="75" t="s">
        <v>326</v>
      </c>
      <c r="BL59" s="75" t="s">
        <v>326</v>
      </c>
      <c r="BM59" s="75" t="s">
        <v>326</v>
      </c>
      <c r="BN59" s="75" t="s">
        <v>326</v>
      </c>
      <c r="BO59" s="75" t="s">
        <v>326</v>
      </c>
    </row>
    <row r="60" customFormat="false" ht="12.75" hidden="false" customHeight="false" outlineLevel="0" collapsed="false">
      <c r="A60" s="1" t="n">
        <f aca="false">A59-1</f>
        <v>1967</v>
      </c>
      <c r="B60" s="1" t="s">
        <v>323</v>
      </c>
      <c r="C60" s="1" t="s">
        <v>323</v>
      </c>
      <c r="D60" s="1" t="s">
        <v>323</v>
      </c>
      <c r="E60" s="1" t="s">
        <v>323</v>
      </c>
      <c r="F60" s="75" t="s">
        <v>326</v>
      </c>
      <c r="G60" s="75" t="s">
        <v>326</v>
      </c>
      <c r="H60" s="75" t="s">
        <v>326</v>
      </c>
      <c r="I60" s="75" t="s">
        <v>326</v>
      </c>
      <c r="J60" s="75" t="s">
        <v>326</v>
      </c>
      <c r="K60" s="75" t="s">
        <v>326</v>
      </c>
      <c r="L60" s="75" t="s">
        <v>326</v>
      </c>
      <c r="M60" s="75" t="s">
        <v>326</v>
      </c>
      <c r="N60" s="75" t="s">
        <v>326</v>
      </c>
      <c r="O60" s="75" t="s">
        <v>326</v>
      </c>
      <c r="P60" s="75" t="s">
        <v>326</v>
      </c>
      <c r="Q60" s="75" t="s">
        <v>326</v>
      </c>
      <c r="R60" s="75" t="s">
        <v>326</v>
      </c>
      <c r="S60" s="75" t="s">
        <v>326</v>
      </c>
      <c r="T60" s="75" t="s">
        <v>326</v>
      </c>
      <c r="U60" s="75" t="s">
        <v>326</v>
      </c>
      <c r="V60" s="75" t="s">
        <v>326</v>
      </c>
      <c r="W60" s="75" t="s">
        <v>326</v>
      </c>
      <c r="X60" s="75" t="s">
        <v>326</v>
      </c>
      <c r="Y60" s="75" t="s">
        <v>326</v>
      </c>
      <c r="Z60" s="75" t="s">
        <v>326</v>
      </c>
      <c r="AA60" s="75" t="s">
        <v>326</v>
      </c>
      <c r="AB60" s="75" t="s">
        <v>326</v>
      </c>
      <c r="AC60" s="75" t="s">
        <v>326</v>
      </c>
      <c r="AD60" s="75" t="s">
        <v>326</v>
      </c>
      <c r="AE60" s="75" t="s">
        <v>326</v>
      </c>
      <c r="AF60" s="75" t="s">
        <v>326</v>
      </c>
      <c r="AG60" s="75" t="s">
        <v>326</v>
      </c>
      <c r="AH60" s="75" t="s">
        <v>326</v>
      </c>
      <c r="AI60" s="75" t="s">
        <v>326</v>
      </c>
      <c r="AJ60" s="75" t="s">
        <v>326</v>
      </c>
      <c r="AK60" s="75" t="s">
        <v>326</v>
      </c>
      <c r="AL60" s="75" t="s">
        <v>326</v>
      </c>
      <c r="AM60" s="75" t="s">
        <v>326</v>
      </c>
      <c r="AN60" s="75" t="s">
        <v>326</v>
      </c>
      <c r="AO60" s="75" t="s">
        <v>326</v>
      </c>
      <c r="AP60" s="75" t="s">
        <v>326</v>
      </c>
      <c r="AQ60" s="75" t="s">
        <v>326</v>
      </c>
      <c r="AR60" s="75" t="s">
        <v>326</v>
      </c>
      <c r="AS60" s="75" t="s">
        <v>326</v>
      </c>
      <c r="AT60" s="75" t="s">
        <v>326</v>
      </c>
      <c r="AU60" s="75" t="s">
        <v>326</v>
      </c>
      <c r="AV60" s="75" t="s">
        <v>326</v>
      </c>
      <c r="AW60" s="75" t="s">
        <v>326</v>
      </c>
      <c r="AX60" s="75" t="s">
        <v>326</v>
      </c>
      <c r="AY60" s="75" t="s">
        <v>326</v>
      </c>
      <c r="AZ60" s="75" t="s">
        <v>326</v>
      </c>
      <c r="BA60" s="75" t="s">
        <v>326</v>
      </c>
      <c r="BB60" s="75" t="s">
        <v>326</v>
      </c>
      <c r="BC60" s="75" t="s">
        <v>326</v>
      </c>
      <c r="BD60" s="75" t="s">
        <v>326</v>
      </c>
      <c r="BE60" s="75" t="s">
        <v>326</v>
      </c>
      <c r="BF60" s="75" t="s">
        <v>326</v>
      </c>
      <c r="BG60" s="75" t="s">
        <v>326</v>
      </c>
      <c r="BH60" s="75" t="s">
        <v>326</v>
      </c>
      <c r="BI60" s="75" t="s">
        <v>326</v>
      </c>
      <c r="BJ60" s="75" t="s">
        <v>326</v>
      </c>
      <c r="BK60" s="75" t="s">
        <v>326</v>
      </c>
      <c r="BL60" s="75" t="s">
        <v>326</v>
      </c>
      <c r="BM60" s="75" t="s">
        <v>326</v>
      </c>
      <c r="BN60" s="75" t="s">
        <v>326</v>
      </c>
      <c r="BO60" s="75" t="s">
        <v>326</v>
      </c>
    </row>
    <row r="61" customFormat="false" ht="12.75" hidden="false" customHeight="false" outlineLevel="0" collapsed="false">
      <c r="A61" s="1" t="n">
        <f aca="false">A60-1</f>
        <v>1966</v>
      </c>
      <c r="B61" s="1" t="s">
        <v>323</v>
      </c>
      <c r="C61" s="1" t="s">
        <v>323</v>
      </c>
      <c r="D61" s="1" t="s">
        <v>323</v>
      </c>
      <c r="E61" s="1" t="s">
        <v>323</v>
      </c>
      <c r="F61" s="75" t="s">
        <v>326</v>
      </c>
      <c r="G61" s="75" t="s">
        <v>326</v>
      </c>
      <c r="H61" s="75" t="s">
        <v>326</v>
      </c>
      <c r="I61" s="75" t="s">
        <v>326</v>
      </c>
      <c r="J61" s="75" t="s">
        <v>326</v>
      </c>
      <c r="K61" s="75" t="s">
        <v>326</v>
      </c>
      <c r="L61" s="75" t="s">
        <v>326</v>
      </c>
      <c r="M61" s="75" t="s">
        <v>326</v>
      </c>
      <c r="N61" s="75" t="s">
        <v>326</v>
      </c>
      <c r="O61" s="75" t="s">
        <v>326</v>
      </c>
      <c r="P61" s="75" t="s">
        <v>326</v>
      </c>
      <c r="Q61" s="75" t="s">
        <v>326</v>
      </c>
      <c r="R61" s="75" t="s">
        <v>326</v>
      </c>
      <c r="S61" s="75" t="s">
        <v>326</v>
      </c>
      <c r="T61" s="75" t="s">
        <v>326</v>
      </c>
      <c r="U61" s="75" t="s">
        <v>326</v>
      </c>
      <c r="V61" s="75" t="s">
        <v>326</v>
      </c>
      <c r="W61" s="75" t="s">
        <v>326</v>
      </c>
      <c r="X61" s="75" t="s">
        <v>326</v>
      </c>
      <c r="Y61" s="75" t="s">
        <v>326</v>
      </c>
      <c r="Z61" s="75" t="s">
        <v>326</v>
      </c>
      <c r="AA61" s="75" t="s">
        <v>326</v>
      </c>
      <c r="AB61" s="75" t="s">
        <v>326</v>
      </c>
      <c r="AC61" s="75" t="s">
        <v>326</v>
      </c>
      <c r="AD61" s="75" t="s">
        <v>326</v>
      </c>
      <c r="AE61" s="75" t="s">
        <v>326</v>
      </c>
      <c r="AF61" s="75" t="s">
        <v>326</v>
      </c>
      <c r="AG61" s="75" t="s">
        <v>326</v>
      </c>
      <c r="AH61" s="75" t="s">
        <v>326</v>
      </c>
      <c r="AI61" s="75" t="s">
        <v>326</v>
      </c>
      <c r="AJ61" s="75" t="s">
        <v>326</v>
      </c>
      <c r="AK61" s="75" t="s">
        <v>326</v>
      </c>
      <c r="AL61" s="75" t="s">
        <v>326</v>
      </c>
      <c r="AM61" s="75" t="s">
        <v>326</v>
      </c>
      <c r="AN61" s="75" t="s">
        <v>326</v>
      </c>
      <c r="AO61" s="75" t="s">
        <v>326</v>
      </c>
      <c r="AP61" s="75" t="s">
        <v>326</v>
      </c>
      <c r="AQ61" s="75" t="s">
        <v>326</v>
      </c>
      <c r="AR61" s="75" t="s">
        <v>326</v>
      </c>
      <c r="AS61" s="75" t="s">
        <v>326</v>
      </c>
      <c r="AT61" s="75" t="s">
        <v>326</v>
      </c>
      <c r="AU61" s="75" t="s">
        <v>326</v>
      </c>
      <c r="AV61" s="75" t="s">
        <v>326</v>
      </c>
      <c r="AW61" s="75" t="s">
        <v>326</v>
      </c>
      <c r="AX61" s="75" t="s">
        <v>326</v>
      </c>
      <c r="AY61" s="75" t="s">
        <v>326</v>
      </c>
      <c r="AZ61" s="75" t="s">
        <v>326</v>
      </c>
      <c r="BA61" s="75" t="s">
        <v>326</v>
      </c>
      <c r="BB61" s="75" t="s">
        <v>326</v>
      </c>
      <c r="BC61" s="75" t="s">
        <v>326</v>
      </c>
      <c r="BD61" s="75" t="s">
        <v>326</v>
      </c>
      <c r="BE61" s="75" t="s">
        <v>326</v>
      </c>
      <c r="BF61" s="75" t="s">
        <v>326</v>
      </c>
      <c r="BG61" s="75" t="s">
        <v>326</v>
      </c>
      <c r="BH61" s="75" t="s">
        <v>326</v>
      </c>
      <c r="BI61" s="75" t="s">
        <v>326</v>
      </c>
      <c r="BJ61" s="75" t="s">
        <v>326</v>
      </c>
      <c r="BK61" s="75" t="s">
        <v>326</v>
      </c>
      <c r="BL61" s="75" t="s">
        <v>326</v>
      </c>
      <c r="BM61" s="75" t="s">
        <v>326</v>
      </c>
      <c r="BN61" s="75" t="s">
        <v>326</v>
      </c>
      <c r="BO61" s="75" t="s">
        <v>326</v>
      </c>
    </row>
    <row r="62" customFormat="false" ht="12.75" hidden="false" customHeight="false" outlineLevel="0" collapsed="false">
      <c r="A62" s="1" t="n">
        <f aca="false">A61-1</f>
        <v>1965</v>
      </c>
      <c r="B62" s="1" t="s">
        <v>323</v>
      </c>
      <c r="C62" s="1" t="s">
        <v>323</v>
      </c>
      <c r="D62" s="1" t="s">
        <v>323</v>
      </c>
      <c r="E62" s="1" t="s">
        <v>323</v>
      </c>
      <c r="F62" s="75" t="s">
        <v>326</v>
      </c>
      <c r="G62" s="75" t="s">
        <v>326</v>
      </c>
      <c r="H62" s="75" t="s">
        <v>326</v>
      </c>
      <c r="I62" s="75" t="s">
        <v>326</v>
      </c>
      <c r="J62" s="75" t="s">
        <v>326</v>
      </c>
      <c r="K62" s="75" t="s">
        <v>326</v>
      </c>
      <c r="L62" s="75" t="s">
        <v>326</v>
      </c>
      <c r="M62" s="75" t="s">
        <v>326</v>
      </c>
      <c r="N62" s="75" t="s">
        <v>326</v>
      </c>
      <c r="O62" s="75" t="s">
        <v>326</v>
      </c>
      <c r="P62" s="75" t="s">
        <v>326</v>
      </c>
      <c r="Q62" s="75" t="s">
        <v>326</v>
      </c>
      <c r="R62" s="75" t="s">
        <v>326</v>
      </c>
      <c r="S62" s="75" t="s">
        <v>326</v>
      </c>
      <c r="T62" s="75" t="s">
        <v>326</v>
      </c>
      <c r="U62" s="75" t="s">
        <v>326</v>
      </c>
      <c r="V62" s="75" t="s">
        <v>326</v>
      </c>
      <c r="W62" s="75" t="s">
        <v>326</v>
      </c>
      <c r="X62" s="75" t="s">
        <v>326</v>
      </c>
      <c r="Y62" s="75" t="s">
        <v>326</v>
      </c>
      <c r="Z62" s="75" t="s">
        <v>326</v>
      </c>
      <c r="AA62" s="75" t="s">
        <v>326</v>
      </c>
      <c r="AB62" s="75" t="s">
        <v>326</v>
      </c>
      <c r="AC62" s="75" t="s">
        <v>326</v>
      </c>
      <c r="AD62" s="75" t="s">
        <v>326</v>
      </c>
      <c r="AE62" s="75" t="s">
        <v>326</v>
      </c>
      <c r="AF62" s="75" t="s">
        <v>326</v>
      </c>
      <c r="AG62" s="75" t="s">
        <v>326</v>
      </c>
      <c r="AH62" s="75" t="s">
        <v>326</v>
      </c>
      <c r="AI62" s="75" t="s">
        <v>326</v>
      </c>
      <c r="AJ62" s="75" t="s">
        <v>326</v>
      </c>
      <c r="AK62" s="75" t="s">
        <v>326</v>
      </c>
      <c r="AL62" s="75" t="s">
        <v>326</v>
      </c>
      <c r="AM62" s="75" t="s">
        <v>326</v>
      </c>
      <c r="AN62" s="75" t="s">
        <v>326</v>
      </c>
      <c r="AO62" s="75" t="s">
        <v>326</v>
      </c>
      <c r="AP62" s="75" t="s">
        <v>326</v>
      </c>
      <c r="AQ62" s="75" t="s">
        <v>326</v>
      </c>
      <c r="AR62" s="75" t="s">
        <v>326</v>
      </c>
      <c r="AS62" s="75" t="s">
        <v>326</v>
      </c>
      <c r="AT62" s="75" t="s">
        <v>326</v>
      </c>
      <c r="AU62" s="75" t="s">
        <v>326</v>
      </c>
      <c r="AV62" s="75" t="s">
        <v>326</v>
      </c>
      <c r="AW62" s="75" t="s">
        <v>326</v>
      </c>
      <c r="AX62" s="75" t="s">
        <v>326</v>
      </c>
      <c r="AY62" s="75" t="s">
        <v>326</v>
      </c>
      <c r="AZ62" s="75" t="s">
        <v>326</v>
      </c>
      <c r="BA62" s="75" t="s">
        <v>326</v>
      </c>
      <c r="BB62" s="75" t="s">
        <v>326</v>
      </c>
      <c r="BC62" s="75" t="s">
        <v>326</v>
      </c>
      <c r="BD62" s="75" t="s">
        <v>326</v>
      </c>
      <c r="BE62" s="75" t="s">
        <v>326</v>
      </c>
      <c r="BF62" s="75" t="s">
        <v>326</v>
      </c>
      <c r="BG62" s="75" t="s">
        <v>326</v>
      </c>
      <c r="BH62" s="75" t="s">
        <v>326</v>
      </c>
      <c r="BI62" s="75" t="s">
        <v>326</v>
      </c>
      <c r="BJ62" s="75" t="s">
        <v>326</v>
      </c>
      <c r="BK62" s="75" t="s">
        <v>326</v>
      </c>
      <c r="BL62" s="75" t="s">
        <v>326</v>
      </c>
      <c r="BM62" s="75" t="s">
        <v>326</v>
      </c>
      <c r="BN62" s="75" t="s">
        <v>326</v>
      </c>
      <c r="BO62" s="75" t="s">
        <v>326</v>
      </c>
    </row>
    <row r="63" customFormat="false" ht="12.75" hidden="false" customHeight="false" outlineLevel="0" collapsed="false">
      <c r="A63" s="1" t="n">
        <f aca="false">A62-1</f>
        <v>1964</v>
      </c>
      <c r="B63" s="1" t="s">
        <v>323</v>
      </c>
      <c r="C63" s="1" t="s">
        <v>323</v>
      </c>
      <c r="D63" s="1" t="s">
        <v>323</v>
      </c>
      <c r="E63" s="1" t="s">
        <v>323</v>
      </c>
      <c r="F63" s="75" t="s">
        <v>326</v>
      </c>
      <c r="G63" s="75" t="s">
        <v>326</v>
      </c>
      <c r="H63" s="75" t="s">
        <v>326</v>
      </c>
      <c r="I63" s="75" t="s">
        <v>326</v>
      </c>
      <c r="J63" s="75" t="s">
        <v>326</v>
      </c>
      <c r="K63" s="75" t="s">
        <v>326</v>
      </c>
      <c r="L63" s="75" t="s">
        <v>326</v>
      </c>
      <c r="M63" s="75" t="s">
        <v>326</v>
      </c>
      <c r="N63" s="75" t="s">
        <v>326</v>
      </c>
      <c r="O63" s="75" t="s">
        <v>326</v>
      </c>
      <c r="P63" s="75" t="s">
        <v>326</v>
      </c>
      <c r="Q63" s="75" t="s">
        <v>326</v>
      </c>
      <c r="R63" s="75" t="s">
        <v>326</v>
      </c>
      <c r="S63" s="75" t="s">
        <v>326</v>
      </c>
      <c r="T63" s="75" t="s">
        <v>326</v>
      </c>
      <c r="U63" s="75" t="s">
        <v>326</v>
      </c>
      <c r="V63" s="75" t="s">
        <v>326</v>
      </c>
      <c r="W63" s="75" t="s">
        <v>326</v>
      </c>
      <c r="X63" s="75" t="s">
        <v>326</v>
      </c>
      <c r="Y63" s="75" t="s">
        <v>326</v>
      </c>
      <c r="Z63" s="75" t="s">
        <v>326</v>
      </c>
      <c r="AA63" s="75" t="s">
        <v>326</v>
      </c>
      <c r="AB63" s="75" t="s">
        <v>326</v>
      </c>
      <c r="AC63" s="75" t="s">
        <v>326</v>
      </c>
      <c r="AD63" s="75" t="s">
        <v>326</v>
      </c>
      <c r="AE63" s="75" t="s">
        <v>326</v>
      </c>
      <c r="AF63" s="75" t="s">
        <v>326</v>
      </c>
      <c r="AG63" s="75" t="s">
        <v>326</v>
      </c>
      <c r="AH63" s="75" t="s">
        <v>326</v>
      </c>
      <c r="AI63" s="75" t="s">
        <v>326</v>
      </c>
      <c r="AJ63" s="75" t="s">
        <v>326</v>
      </c>
      <c r="AK63" s="75" t="s">
        <v>326</v>
      </c>
      <c r="AL63" s="75" t="s">
        <v>326</v>
      </c>
      <c r="AM63" s="75" t="s">
        <v>326</v>
      </c>
      <c r="AN63" s="75" t="s">
        <v>326</v>
      </c>
      <c r="AO63" s="75" t="s">
        <v>326</v>
      </c>
      <c r="AP63" s="75" t="s">
        <v>326</v>
      </c>
      <c r="AQ63" s="75" t="s">
        <v>326</v>
      </c>
      <c r="AR63" s="75" t="s">
        <v>326</v>
      </c>
      <c r="AS63" s="75" t="s">
        <v>326</v>
      </c>
      <c r="AT63" s="75" t="s">
        <v>326</v>
      </c>
      <c r="AU63" s="75" t="s">
        <v>326</v>
      </c>
      <c r="AV63" s="75" t="s">
        <v>326</v>
      </c>
      <c r="AW63" s="75" t="s">
        <v>326</v>
      </c>
      <c r="AX63" s="75" t="s">
        <v>326</v>
      </c>
      <c r="AY63" s="75" t="s">
        <v>326</v>
      </c>
      <c r="AZ63" s="75" t="s">
        <v>326</v>
      </c>
      <c r="BA63" s="75" t="s">
        <v>326</v>
      </c>
      <c r="BB63" s="75" t="s">
        <v>326</v>
      </c>
      <c r="BC63" s="75" t="s">
        <v>326</v>
      </c>
      <c r="BD63" s="75" t="s">
        <v>326</v>
      </c>
      <c r="BE63" s="75" t="s">
        <v>326</v>
      </c>
      <c r="BF63" s="75" t="s">
        <v>326</v>
      </c>
      <c r="BG63" s="75" t="s">
        <v>326</v>
      </c>
      <c r="BH63" s="75" t="s">
        <v>326</v>
      </c>
      <c r="BI63" s="75" t="s">
        <v>326</v>
      </c>
      <c r="BJ63" s="75" t="s">
        <v>326</v>
      </c>
      <c r="BK63" s="75" t="s">
        <v>326</v>
      </c>
      <c r="BL63" s="75" t="s">
        <v>326</v>
      </c>
      <c r="BM63" s="75" t="s">
        <v>326</v>
      </c>
      <c r="BN63" s="75" t="s">
        <v>326</v>
      </c>
      <c r="BO63" s="75" t="s">
        <v>326</v>
      </c>
    </row>
    <row r="64" customFormat="false" ht="12.75" hidden="false" customHeight="false" outlineLevel="0" collapsed="false">
      <c r="A64" s="1" t="n">
        <f aca="false">A63-1</f>
        <v>1963</v>
      </c>
      <c r="B64" s="1" t="s">
        <v>323</v>
      </c>
      <c r="C64" s="1" t="s">
        <v>323</v>
      </c>
      <c r="D64" s="1" t="s">
        <v>323</v>
      </c>
      <c r="E64" s="1" t="s">
        <v>323</v>
      </c>
      <c r="F64" s="75" t="s">
        <v>326</v>
      </c>
      <c r="G64" s="75" t="s">
        <v>326</v>
      </c>
      <c r="H64" s="75" t="s">
        <v>326</v>
      </c>
      <c r="I64" s="75" t="s">
        <v>326</v>
      </c>
      <c r="J64" s="75" t="s">
        <v>326</v>
      </c>
      <c r="K64" s="75" t="s">
        <v>326</v>
      </c>
      <c r="L64" s="75" t="s">
        <v>326</v>
      </c>
      <c r="M64" s="75" t="s">
        <v>326</v>
      </c>
      <c r="N64" s="75" t="s">
        <v>326</v>
      </c>
      <c r="O64" s="75" t="s">
        <v>326</v>
      </c>
      <c r="P64" s="75" t="s">
        <v>326</v>
      </c>
      <c r="Q64" s="75" t="s">
        <v>326</v>
      </c>
      <c r="R64" s="75" t="s">
        <v>326</v>
      </c>
      <c r="S64" s="75" t="s">
        <v>326</v>
      </c>
      <c r="T64" s="75" t="s">
        <v>326</v>
      </c>
      <c r="U64" s="75" t="s">
        <v>326</v>
      </c>
      <c r="V64" s="75" t="s">
        <v>326</v>
      </c>
      <c r="W64" s="75" t="s">
        <v>326</v>
      </c>
      <c r="X64" s="75" t="s">
        <v>326</v>
      </c>
      <c r="Y64" s="75" t="s">
        <v>326</v>
      </c>
      <c r="Z64" s="75" t="s">
        <v>326</v>
      </c>
      <c r="AA64" s="75" t="s">
        <v>326</v>
      </c>
      <c r="AB64" s="75" t="s">
        <v>326</v>
      </c>
      <c r="AC64" s="75" t="s">
        <v>326</v>
      </c>
      <c r="AD64" s="75" t="s">
        <v>326</v>
      </c>
      <c r="AE64" s="75" t="s">
        <v>326</v>
      </c>
      <c r="AF64" s="75" t="s">
        <v>326</v>
      </c>
      <c r="AG64" s="75" t="s">
        <v>326</v>
      </c>
      <c r="AH64" s="75" t="s">
        <v>326</v>
      </c>
      <c r="AI64" s="75" t="s">
        <v>326</v>
      </c>
      <c r="AJ64" s="75" t="s">
        <v>326</v>
      </c>
      <c r="AK64" s="75" t="s">
        <v>326</v>
      </c>
      <c r="AL64" s="75" t="s">
        <v>326</v>
      </c>
      <c r="AM64" s="75" t="s">
        <v>326</v>
      </c>
      <c r="AN64" s="75" t="s">
        <v>326</v>
      </c>
      <c r="AO64" s="75" t="s">
        <v>326</v>
      </c>
      <c r="AP64" s="75" t="s">
        <v>326</v>
      </c>
      <c r="AQ64" s="75" t="s">
        <v>326</v>
      </c>
      <c r="AR64" s="75" t="s">
        <v>326</v>
      </c>
      <c r="AS64" s="75" t="s">
        <v>326</v>
      </c>
      <c r="AT64" s="75" t="s">
        <v>326</v>
      </c>
      <c r="AU64" s="75" t="s">
        <v>326</v>
      </c>
      <c r="AV64" s="75" t="s">
        <v>326</v>
      </c>
      <c r="AW64" s="75" t="s">
        <v>326</v>
      </c>
      <c r="AX64" s="75" t="s">
        <v>326</v>
      </c>
      <c r="AY64" s="75" t="s">
        <v>326</v>
      </c>
      <c r="AZ64" s="75" t="s">
        <v>326</v>
      </c>
      <c r="BA64" s="75" t="s">
        <v>326</v>
      </c>
      <c r="BB64" s="75" t="s">
        <v>326</v>
      </c>
      <c r="BC64" s="75" t="s">
        <v>326</v>
      </c>
      <c r="BD64" s="75" t="s">
        <v>326</v>
      </c>
      <c r="BE64" s="75" t="s">
        <v>326</v>
      </c>
      <c r="BF64" s="75" t="s">
        <v>326</v>
      </c>
      <c r="BG64" s="75" t="s">
        <v>326</v>
      </c>
      <c r="BH64" s="75" t="s">
        <v>326</v>
      </c>
      <c r="BI64" s="75" t="s">
        <v>326</v>
      </c>
      <c r="BJ64" s="75" t="s">
        <v>326</v>
      </c>
      <c r="BK64" s="75" t="s">
        <v>326</v>
      </c>
      <c r="BL64" s="75" t="s">
        <v>326</v>
      </c>
      <c r="BM64" s="75" t="s">
        <v>326</v>
      </c>
      <c r="BN64" s="75" t="s">
        <v>326</v>
      </c>
      <c r="BO64" s="75" t="s">
        <v>326</v>
      </c>
    </row>
    <row r="65" customFormat="false" ht="12.75" hidden="false" customHeight="false" outlineLevel="0" collapsed="false">
      <c r="A65" s="1" t="n">
        <f aca="false">A64-1</f>
        <v>1962</v>
      </c>
      <c r="B65" s="1" t="s">
        <v>323</v>
      </c>
      <c r="C65" s="1" t="s">
        <v>323</v>
      </c>
      <c r="D65" s="1" t="s">
        <v>323</v>
      </c>
      <c r="E65" s="1" t="s">
        <v>323</v>
      </c>
      <c r="F65" s="75" t="s">
        <v>326</v>
      </c>
      <c r="G65" s="75" t="s">
        <v>326</v>
      </c>
      <c r="H65" s="75" t="s">
        <v>326</v>
      </c>
      <c r="I65" s="75" t="s">
        <v>326</v>
      </c>
      <c r="J65" s="75" t="s">
        <v>326</v>
      </c>
      <c r="K65" s="75" t="s">
        <v>326</v>
      </c>
      <c r="L65" s="75" t="s">
        <v>326</v>
      </c>
      <c r="M65" s="75" t="s">
        <v>326</v>
      </c>
      <c r="N65" s="75" t="s">
        <v>326</v>
      </c>
      <c r="O65" s="75" t="s">
        <v>326</v>
      </c>
      <c r="P65" s="75" t="s">
        <v>326</v>
      </c>
      <c r="Q65" s="75" t="s">
        <v>326</v>
      </c>
      <c r="R65" s="75" t="s">
        <v>326</v>
      </c>
      <c r="S65" s="75" t="s">
        <v>326</v>
      </c>
      <c r="T65" s="75" t="s">
        <v>326</v>
      </c>
      <c r="U65" s="75" t="s">
        <v>326</v>
      </c>
      <c r="V65" s="75" t="s">
        <v>326</v>
      </c>
      <c r="W65" s="75" t="s">
        <v>326</v>
      </c>
      <c r="X65" s="75" t="s">
        <v>326</v>
      </c>
      <c r="Y65" s="75" t="s">
        <v>326</v>
      </c>
      <c r="Z65" s="75" t="s">
        <v>326</v>
      </c>
      <c r="AA65" s="75" t="s">
        <v>326</v>
      </c>
      <c r="AB65" s="75" t="s">
        <v>326</v>
      </c>
      <c r="AC65" s="75" t="s">
        <v>326</v>
      </c>
      <c r="AD65" s="75" t="s">
        <v>326</v>
      </c>
      <c r="AE65" s="75" t="s">
        <v>326</v>
      </c>
      <c r="AF65" s="75" t="s">
        <v>326</v>
      </c>
      <c r="AG65" s="75" t="s">
        <v>326</v>
      </c>
      <c r="AH65" s="75" t="s">
        <v>326</v>
      </c>
      <c r="AI65" s="75" t="s">
        <v>326</v>
      </c>
      <c r="AJ65" s="75" t="s">
        <v>326</v>
      </c>
      <c r="AK65" s="75" t="s">
        <v>326</v>
      </c>
      <c r="AL65" s="75" t="s">
        <v>326</v>
      </c>
      <c r="AM65" s="75" t="s">
        <v>326</v>
      </c>
      <c r="AN65" s="75" t="s">
        <v>326</v>
      </c>
      <c r="AO65" s="75" t="s">
        <v>326</v>
      </c>
      <c r="AP65" s="75" t="s">
        <v>326</v>
      </c>
      <c r="AQ65" s="75" t="s">
        <v>326</v>
      </c>
      <c r="AR65" s="75" t="s">
        <v>326</v>
      </c>
      <c r="AS65" s="75" t="s">
        <v>326</v>
      </c>
      <c r="AT65" s="75" t="s">
        <v>326</v>
      </c>
      <c r="AU65" s="75" t="s">
        <v>326</v>
      </c>
      <c r="AV65" s="75" t="s">
        <v>326</v>
      </c>
      <c r="AW65" s="75" t="s">
        <v>326</v>
      </c>
      <c r="AX65" s="75" t="s">
        <v>326</v>
      </c>
      <c r="AY65" s="75" t="s">
        <v>326</v>
      </c>
      <c r="AZ65" s="75" t="s">
        <v>326</v>
      </c>
      <c r="BA65" s="75" t="s">
        <v>326</v>
      </c>
      <c r="BB65" s="75" t="s">
        <v>326</v>
      </c>
      <c r="BC65" s="75" t="s">
        <v>326</v>
      </c>
      <c r="BD65" s="75" t="s">
        <v>326</v>
      </c>
      <c r="BE65" s="75" t="s">
        <v>326</v>
      </c>
      <c r="BF65" s="75" t="s">
        <v>326</v>
      </c>
      <c r="BG65" s="75" t="s">
        <v>326</v>
      </c>
      <c r="BH65" s="75" t="s">
        <v>326</v>
      </c>
      <c r="BI65" s="75" t="s">
        <v>326</v>
      </c>
      <c r="BJ65" s="75" t="s">
        <v>326</v>
      </c>
      <c r="BK65" s="75" t="s">
        <v>326</v>
      </c>
      <c r="BL65" s="75" t="s">
        <v>326</v>
      </c>
      <c r="BM65" s="75" t="s">
        <v>326</v>
      </c>
      <c r="BN65" s="75" t="s">
        <v>326</v>
      </c>
      <c r="BO65" s="75" t="s">
        <v>326</v>
      </c>
    </row>
    <row r="66" customFormat="false" ht="12.75" hidden="false" customHeight="false" outlineLevel="0" collapsed="false">
      <c r="A66" s="1" t="n">
        <f aca="false">A65-1</f>
        <v>1961</v>
      </c>
      <c r="B66" s="1" t="s">
        <v>323</v>
      </c>
      <c r="C66" s="1" t="s">
        <v>323</v>
      </c>
      <c r="D66" s="1" t="s">
        <v>323</v>
      </c>
      <c r="E66" s="1" t="s">
        <v>323</v>
      </c>
      <c r="F66" s="75" t="s">
        <v>326</v>
      </c>
      <c r="G66" s="75" t="s">
        <v>326</v>
      </c>
      <c r="H66" s="75" t="s">
        <v>326</v>
      </c>
      <c r="I66" s="75" t="s">
        <v>326</v>
      </c>
      <c r="J66" s="75" t="s">
        <v>326</v>
      </c>
      <c r="K66" s="75" t="s">
        <v>326</v>
      </c>
      <c r="L66" s="75" t="s">
        <v>326</v>
      </c>
      <c r="M66" s="75" t="s">
        <v>326</v>
      </c>
      <c r="N66" s="75" t="s">
        <v>326</v>
      </c>
      <c r="O66" s="75" t="s">
        <v>326</v>
      </c>
      <c r="P66" s="75" t="s">
        <v>326</v>
      </c>
      <c r="Q66" s="75" t="s">
        <v>326</v>
      </c>
      <c r="R66" s="75" t="s">
        <v>326</v>
      </c>
      <c r="S66" s="75" t="s">
        <v>326</v>
      </c>
      <c r="T66" s="75" t="s">
        <v>326</v>
      </c>
      <c r="U66" s="75" t="s">
        <v>326</v>
      </c>
      <c r="V66" s="75" t="s">
        <v>326</v>
      </c>
      <c r="W66" s="75" t="s">
        <v>326</v>
      </c>
      <c r="X66" s="75" t="s">
        <v>326</v>
      </c>
      <c r="Y66" s="75" t="s">
        <v>326</v>
      </c>
      <c r="Z66" s="75" t="s">
        <v>326</v>
      </c>
      <c r="AA66" s="75" t="s">
        <v>326</v>
      </c>
      <c r="AB66" s="75" t="s">
        <v>326</v>
      </c>
      <c r="AC66" s="75" t="s">
        <v>326</v>
      </c>
      <c r="AD66" s="75" t="s">
        <v>326</v>
      </c>
      <c r="AE66" s="75" t="s">
        <v>326</v>
      </c>
      <c r="AF66" s="75" t="s">
        <v>326</v>
      </c>
      <c r="AG66" s="75" t="s">
        <v>326</v>
      </c>
      <c r="AH66" s="75" t="s">
        <v>326</v>
      </c>
      <c r="AI66" s="75" t="s">
        <v>326</v>
      </c>
      <c r="AJ66" s="75" t="s">
        <v>326</v>
      </c>
      <c r="AK66" s="75" t="s">
        <v>326</v>
      </c>
      <c r="AL66" s="75" t="s">
        <v>326</v>
      </c>
      <c r="AM66" s="75" t="s">
        <v>326</v>
      </c>
      <c r="AN66" s="75" t="s">
        <v>326</v>
      </c>
      <c r="AO66" s="75" t="s">
        <v>326</v>
      </c>
      <c r="AP66" s="75" t="s">
        <v>326</v>
      </c>
      <c r="AQ66" s="75" t="s">
        <v>326</v>
      </c>
      <c r="AR66" s="75" t="s">
        <v>326</v>
      </c>
      <c r="AS66" s="75" t="s">
        <v>326</v>
      </c>
      <c r="AT66" s="75" t="s">
        <v>326</v>
      </c>
      <c r="AU66" s="75" t="s">
        <v>326</v>
      </c>
      <c r="AV66" s="75" t="s">
        <v>326</v>
      </c>
      <c r="AW66" s="75" t="s">
        <v>326</v>
      </c>
      <c r="AX66" s="75" t="s">
        <v>326</v>
      </c>
      <c r="AY66" s="75" t="s">
        <v>326</v>
      </c>
      <c r="AZ66" s="75" t="s">
        <v>326</v>
      </c>
      <c r="BA66" s="75" t="s">
        <v>326</v>
      </c>
      <c r="BB66" s="75" t="s">
        <v>326</v>
      </c>
      <c r="BC66" s="75" t="s">
        <v>326</v>
      </c>
      <c r="BD66" s="75" t="s">
        <v>326</v>
      </c>
      <c r="BE66" s="75" t="s">
        <v>326</v>
      </c>
      <c r="BF66" s="75" t="s">
        <v>326</v>
      </c>
      <c r="BG66" s="75" t="s">
        <v>326</v>
      </c>
      <c r="BH66" s="75" t="s">
        <v>326</v>
      </c>
      <c r="BI66" s="75" t="s">
        <v>326</v>
      </c>
      <c r="BJ66" s="75" t="s">
        <v>326</v>
      </c>
      <c r="BK66" s="75" t="s">
        <v>326</v>
      </c>
      <c r="BL66" s="75" t="s">
        <v>326</v>
      </c>
      <c r="BM66" s="75" t="s">
        <v>326</v>
      </c>
      <c r="BN66" s="75" t="s">
        <v>326</v>
      </c>
      <c r="BO66" s="75" t="s">
        <v>326</v>
      </c>
    </row>
    <row r="67" customFormat="false" ht="12.75" hidden="false" customHeight="false" outlineLevel="0" collapsed="false">
      <c r="A67" s="1" t="n">
        <f aca="false">A66-1</f>
        <v>1960</v>
      </c>
      <c r="B67" s="1" t="s">
        <v>323</v>
      </c>
      <c r="C67" s="1" t="s">
        <v>323</v>
      </c>
      <c r="D67" s="1" t="s">
        <v>323</v>
      </c>
      <c r="E67" s="1" t="s">
        <v>323</v>
      </c>
      <c r="F67" s="75" t="s">
        <v>326</v>
      </c>
      <c r="G67" s="75" t="s">
        <v>326</v>
      </c>
      <c r="H67" s="75" t="s">
        <v>326</v>
      </c>
      <c r="I67" s="75" t="s">
        <v>326</v>
      </c>
      <c r="J67" s="75" t="s">
        <v>326</v>
      </c>
      <c r="K67" s="75" t="s">
        <v>326</v>
      </c>
      <c r="L67" s="75" t="s">
        <v>326</v>
      </c>
      <c r="M67" s="75" t="s">
        <v>326</v>
      </c>
      <c r="N67" s="75" t="s">
        <v>326</v>
      </c>
      <c r="O67" s="75" t="s">
        <v>326</v>
      </c>
      <c r="P67" s="75" t="s">
        <v>326</v>
      </c>
      <c r="Q67" s="75" t="s">
        <v>326</v>
      </c>
      <c r="R67" s="75" t="s">
        <v>326</v>
      </c>
      <c r="S67" s="75" t="s">
        <v>326</v>
      </c>
      <c r="T67" s="75" t="s">
        <v>326</v>
      </c>
      <c r="U67" s="75" t="s">
        <v>326</v>
      </c>
      <c r="V67" s="75" t="s">
        <v>326</v>
      </c>
      <c r="W67" s="75" t="s">
        <v>326</v>
      </c>
      <c r="X67" s="75" t="s">
        <v>326</v>
      </c>
      <c r="Y67" s="75" t="s">
        <v>326</v>
      </c>
      <c r="Z67" s="75" t="s">
        <v>326</v>
      </c>
      <c r="AA67" s="75" t="s">
        <v>326</v>
      </c>
      <c r="AB67" s="75" t="s">
        <v>326</v>
      </c>
      <c r="AC67" s="75" t="s">
        <v>326</v>
      </c>
      <c r="AD67" s="75" t="s">
        <v>326</v>
      </c>
      <c r="AE67" s="75" t="s">
        <v>326</v>
      </c>
      <c r="AF67" s="75" t="s">
        <v>326</v>
      </c>
      <c r="AG67" s="75" t="s">
        <v>326</v>
      </c>
      <c r="AH67" s="75" t="s">
        <v>326</v>
      </c>
      <c r="AI67" s="75" t="s">
        <v>326</v>
      </c>
      <c r="AJ67" s="75" t="s">
        <v>326</v>
      </c>
      <c r="AK67" s="75" t="s">
        <v>326</v>
      </c>
      <c r="AL67" s="75" t="s">
        <v>326</v>
      </c>
      <c r="AM67" s="75" t="s">
        <v>326</v>
      </c>
      <c r="AN67" s="75" t="s">
        <v>326</v>
      </c>
      <c r="AO67" s="75" t="s">
        <v>326</v>
      </c>
      <c r="AP67" s="75" t="s">
        <v>326</v>
      </c>
      <c r="AQ67" s="75" t="s">
        <v>326</v>
      </c>
      <c r="AR67" s="75" t="s">
        <v>326</v>
      </c>
      <c r="AS67" s="75" t="s">
        <v>326</v>
      </c>
      <c r="AT67" s="75" t="s">
        <v>326</v>
      </c>
      <c r="AU67" s="75" t="s">
        <v>326</v>
      </c>
      <c r="AV67" s="75" t="s">
        <v>326</v>
      </c>
      <c r="AW67" s="75" t="s">
        <v>326</v>
      </c>
      <c r="AX67" s="75" t="s">
        <v>326</v>
      </c>
      <c r="AY67" s="75" t="s">
        <v>326</v>
      </c>
      <c r="AZ67" s="75" t="s">
        <v>326</v>
      </c>
      <c r="BA67" s="75" t="s">
        <v>326</v>
      </c>
      <c r="BB67" s="75" t="s">
        <v>326</v>
      </c>
      <c r="BC67" s="75" t="s">
        <v>326</v>
      </c>
      <c r="BD67" s="75" t="s">
        <v>326</v>
      </c>
      <c r="BE67" s="75" t="s">
        <v>326</v>
      </c>
      <c r="BF67" s="75" t="s">
        <v>326</v>
      </c>
      <c r="BG67" s="75" t="s">
        <v>326</v>
      </c>
      <c r="BH67" s="75" t="s">
        <v>326</v>
      </c>
      <c r="BI67" s="75" t="s">
        <v>326</v>
      </c>
      <c r="BJ67" s="75" t="s">
        <v>326</v>
      </c>
      <c r="BK67" s="75" t="s">
        <v>326</v>
      </c>
      <c r="BL67" s="75" t="s">
        <v>326</v>
      </c>
      <c r="BM67" s="75" t="s">
        <v>326</v>
      </c>
      <c r="BN67" s="75" t="s">
        <v>326</v>
      </c>
      <c r="BO67" s="75" t="s">
        <v>326</v>
      </c>
    </row>
    <row r="68" customFormat="false" ht="12.75" hidden="false" customHeight="false" outlineLevel="0" collapsed="false">
      <c r="A68" s="1" t="n">
        <f aca="false">A67-1</f>
        <v>1959</v>
      </c>
      <c r="B68" s="1" t="s">
        <v>323</v>
      </c>
      <c r="C68" s="1" t="s">
        <v>323</v>
      </c>
      <c r="D68" s="1" t="s">
        <v>323</v>
      </c>
      <c r="E68" s="1" t="s">
        <v>323</v>
      </c>
      <c r="F68" s="75" t="s">
        <v>326</v>
      </c>
      <c r="G68" s="75" t="s">
        <v>326</v>
      </c>
      <c r="H68" s="75" t="s">
        <v>326</v>
      </c>
      <c r="I68" s="75" t="s">
        <v>326</v>
      </c>
      <c r="J68" s="75" t="s">
        <v>326</v>
      </c>
      <c r="K68" s="75" t="s">
        <v>326</v>
      </c>
      <c r="L68" s="75" t="s">
        <v>326</v>
      </c>
      <c r="M68" s="75" t="s">
        <v>326</v>
      </c>
      <c r="N68" s="75" t="s">
        <v>326</v>
      </c>
      <c r="O68" s="75" t="s">
        <v>326</v>
      </c>
      <c r="P68" s="75" t="s">
        <v>326</v>
      </c>
      <c r="Q68" s="75" t="s">
        <v>326</v>
      </c>
      <c r="R68" s="75" t="s">
        <v>326</v>
      </c>
      <c r="S68" s="75" t="s">
        <v>326</v>
      </c>
      <c r="T68" s="75" t="s">
        <v>326</v>
      </c>
      <c r="U68" s="75" t="s">
        <v>326</v>
      </c>
      <c r="V68" s="75" t="s">
        <v>326</v>
      </c>
      <c r="W68" s="75" t="s">
        <v>326</v>
      </c>
      <c r="X68" s="75" t="s">
        <v>326</v>
      </c>
      <c r="Y68" s="75" t="s">
        <v>326</v>
      </c>
      <c r="Z68" s="75" t="s">
        <v>326</v>
      </c>
      <c r="AA68" s="75" t="s">
        <v>326</v>
      </c>
      <c r="AB68" s="75" t="s">
        <v>326</v>
      </c>
      <c r="AC68" s="75" t="s">
        <v>326</v>
      </c>
      <c r="AD68" s="75" t="s">
        <v>326</v>
      </c>
      <c r="AE68" s="75" t="s">
        <v>326</v>
      </c>
      <c r="AF68" s="75" t="s">
        <v>326</v>
      </c>
      <c r="AG68" s="75" t="s">
        <v>326</v>
      </c>
      <c r="AH68" s="75" t="s">
        <v>326</v>
      </c>
      <c r="AI68" s="75" t="s">
        <v>326</v>
      </c>
      <c r="AJ68" s="75" t="s">
        <v>326</v>
      </c>
      <c r="AK68" s="75" t="s">
        <v>326</v>
      </c>
      <c r="AL68" s="75" t="s">
        <v>326</v>
      </c>
      <c r="AM68" s="75" t="s">
        <v>326</v>
      </c>
      <c r="AN68" s="75" t="s">
        <v>326</v>
      </c>
      <c r="AO68" s="75" t="s">
        <v>326</v>
      </c>
      <c r="AP68" s="75" t="s">
        <v>326</v>
      </c>
      <c r="AQ68" s="75" t="s">
        <v>326</v>
      </c>
      <c r="AR68" s="75" t="s">
        <v>326</v>
      </c>
      <c r="AS68" s="75" t="s">
        <v>326</v>
      </c>
      <c r="AT68" s="75" t="s">
        <v>326</v>
      </c>
      <c r="AU68" s="75" t="s">
        <v>326</v>
      </c>
      <c r="AV68" s="75" t="s">
        <v>326</v>
      </c>
      <c r="AW68" s="75" t="s">
        <v>326</v>
      </c>
      <c r="AX68" s="75" t="s">
        <v>326</v>
      </c>
      <c r="AY68" s="75" t="s">
        <v>326</v>
      </c>
      <c r="AZ68" s="75" t="s">
        <v>326</v>
      </c>
      <c r="BA68" s="75" t="s">
        <v>326</v>
      </c>
      <c r="BB68" s="75" t="s">
        <v>326</v>
      </c>
      <c r="BC68" s="75" t="s">
        <v>326</v>
      </c>
      <c r="BD68" s="75" t="s">
        <v>326</v>
      </c>
      <c r="BE68" s="75" t="s">
        <v>326</v>
      </c>
      <c r="BF68" s="75" t="s">
        <v>326</v>
      </c>
      <c r="BG68" s="75" t="s">
        <v>326</v>
      </c>
      <c r="BH68" s="75" t="s">
        <v>326</v>
      </c>
      <c r="BI68" s="75" t="s">
        <v>326</v>
      </c>
      <c r="BJ68" s="75" t="s">
        <v>326</v>
      </c>
      <c r="BK68" s="75" t="s">
        <v>326</v>
      </c>
      <c r="BL68" s="75" t="s">
        <v>326</v>
      </c>
      <c r="BM68" s="75" t="s">
        <v>326</v>
      </c>
      <c r="BN68" s="75" t="s">
        <v>326</v>
      </c>
      <c r="BO68" s="75" t="s">
        <v>326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68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selection pane="topLeft" activeCell="B7" activeCellId="0" sqref="B7"/>
    </sheetView>
  </sheetViews>
  <sheetFormatPr defaultColWidth="11.71484375" defaultRowHeight="12.8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.15"/>
    <col collapsed="false" customWidth="true" hidden="false" outlineLevel="0" max="3" min="3" style="1" width="6.14"/>
    <col collapsed="false" customWidth="true" hidden="false" outlineLevel="0" max="5" min="4" style="1" width="4.14"/>
    <col collapsed="false" customWidth="true" hidden="false" outlineLevel="0" max="6" min="6" style="1" width="11.29"/>
    <col collapsed="false" customWidth="true" hidden="false" outlineLevel="0" max="7" min="7" style="1" width="13.42"/>
    <col collapsed="false" customWidth="true" hidden="false" outlineLevel="0" max="8" min="8" style="1" width="14.86"/>
    <col collapsed="false" customWidth="true" hidden="false" outlineLevel="0" max="9" min="9" style="1" width="11.14"/>
    <col collapsed="false" customWidth="true" hidden="false" outlineLevel="0" max="10" min="10" style="1" width="11.29"/>
    <col collapsed="false" customWidth="true" hidden="false" outlineLevel="0" max="11" min="11" style="1" width="13.29"/>
    <col collapsed="false" customWidth="true" hidden="false" outlineLevel="0" max="12" min="12" style="1" width="14.71"/>
    <col collapsed="false" customWidth="true" hidden="false" outlineLevel="0" max="13" min="13" style="1" width="13.15"/>
    <col collapsed="false" customWidth="true" hidden="false" outlineLevel="0" max="14" min="14" style="1" width="9.71"/>
    <col collapsed="false" customWidth="true" hidden="false" outlineLevel="0" max="15" min="15" style="1" width="14.42"/>
    <col collapsed="false" customWidth="true" hidden="false" outlineLevel="0" max="16" min="16" style="1" width="14.86"/>
    <col collapsed="false" customWidth="true" hidden="false" outlineLevel="0" max="17" min="17" style="1" width="17.15"/>
    <col collapsed="false" customWidth="true" hidden="false" outlineLevel="0" max="25" min="18" style="1" width="13.15"/>
    <col collapsed="false" customWidth="true" hidden="false" outlineLevel="0" max="26" min="26" style="1" width="16.57"/>
    <col collapsed="false" customWidth="true" hidden="false" outlineLevel="0" max="27" min="27" style="1" width="19.71"/>
    <col collapsed="false" customWidth="true" hidden="false" outlineLevel="0" max="33" min="28" style="1" width="20.57"/>
    <col collapsed="false" customWidth="true" hidden="false" outlineLevel="0" max="34" min="34" style="1" width="17.57"/>
    <col collapsed="false" customWidth="true" hidden="false" outlineLevel="0" max="35" min="35" style="1" width="16.84"/>
    <col collapsed="false" customWidth="true" hidden="false" outlineLevel="0" max="36" min="36" style="1" width="19.71"/>
    <col collapsed="false" customWidth="true" hidden="false" outlineLevel="0" max="42" min="37" style="1" width="20.71"/>
    <col collapsed="false" customWidth="true" hidden="false" outlineLevel="0" max="43" min="43" style="1" width="17.71"/>
    <col collapsed="false" customWidth="true" hidden="false" outlineLevel="0" max="49" min="44" style="1" width="20.42"/>
    <col collapsed="false" customWidth="true" hidden="false" outlineLevel="0" max="50" min="50" style="1" width="14.57"/>
    <col collapsed="false" customWidth="true" hidden="false" outlineLevel="0" max="51" min="51" style="1" width="14"/>
    <col collapsed="false" customWidth="true" hidden="false" outlineLevel="0" max="52" min="52" style="1" width="17"/>
    <col collapsed="false" customWidth="true" hidden="false" outlineLevel="0" max="53" min="53" style="1" width="14"/>
    <col collapsed="false" customWidth="true" hidden="false" outlineLevel="0" max="54" min="54" style="1" width="14.14"/>
    <col collapsed="false" customWidth="true" hidden="false" outlineLevel="0" max="55" min="55" style="1" width="17.15"/>
    <col collapsed="false" customWidth="true" hidden="false" outlineLevel="0" max="56" min="56" style="1" width="14.14"/>
    <col collapsed="false" customWidth="true" hidden="false" outlineLevel="0" max="58" min="57" style="1" width="18"/>
    <col collapsed="false" customWidth="true" hidden="false" outlineLevel="0" max="60" min="59" style="1" width="18.29"/>
    <col collapsed="false" customWidth="true" hidden="false" outlineLevel="0" max="61" min="61" style="1" width="15.29"/>
    <col collapsed="false" customWidth="true" hidden="false" outlineLevel="0" max="63" min="62" style="1" width="13.15"/>
    <col collapsed="false" customWidth="true" hidden="false" outlineLevel="0" max="64" min="64" style="1" width="17.15"/>
    <col collapsed="false" customWidth="true" hidden="false" outlineLevel="0" max="65" min="65" style="1" width="18.14"/>
    <col collapsed="false" customWidth="true" hidden="false" outlineLevel="0" max="66" min="66" style="1" width="14.14"/>
    <col collapsed="false" customWidth="true" hidden="false" outlineLevel="0" max="67" min="67" style="1" width="13.15"/>
  </cols>
  <sheetData>
    <row r="1" customFormat="false" ht="12.75" hidden="false" customHeight="false" outlineLevel="0" collapsed="false">
      <c r="A1" s="6" t="s">
        <v>232</v>
      </c>
      <c r="B1" s="6" t="s">
        <v>315</v>
      </c>
      <c r="C1" s="6" t="s">
        <v>316</v>
      </c>
      <c r="D1" s="6" t="s">
        <v>317</v>
      </c>
      <c r="E1" s="6" t="s">
        <v>318</v>
      </c>
      <c r="F1" s="6" t="str">
        <f aca="false">metadata!B2</f>
        <v>PC_MINI_G</v>
      </c>
      <c r="G1" s="6" t="str">
        <f aca="false">metadata!B3</f>
        <v>PC_SMALL_G</v>
      </c>
      <c r="H1" s="6" t="str">
        <f aca="false">metadata!B4</f>
        <v>PC_MEDIUM_G</v>
      </c>
      <c r="I1" s="6" t="str">
        <f aca="false">metadata!B5</f>
        <v>PC_SUV_G</v>
      </c>
      <c r="J1" s="6" t="str">
        <f aca="false">metadata!B6</f>
        <v>PC_MINI_D</v>
      </c>
      <c r="K1" s="6" t="str">
        <f aca="false">metadata!B7</f>
        <v>PC_SMALL_D</v>
      </c>
      <c r="L1" s="6" t="str">
        <f aca="false">metadata!B8</f>
        <v>PC_MEDIUM_D</v>
      </c>
      <c r="M1" s="6" t="str">
        <f aca="false">metadata!B9</f>
        <v>PC_SUV_D</v>
      </c>
      <c r="N1" s="6" t="str">
        <f aca="false">metadata!B10</f>
        <v>PC_ELEC</v>
      </c>
      <c r="O1" s="6" t="str">
        <f aca="false">metadata!B11</f>
        <v>PC_SMALL_HY</v>
      </c>
      <c r="P1" s="6" t="str">
        <f aca="false">metadata!B12</f>
        <v>TAXI_SMALL_G</v>
      </c>
      <c r="Q1" s="6" t="str">
        <f aca="false">metadata!B13</f>
        <v>TAXI_SMALL_GLP</v>
      </c>
      <c r="R1" s="6" t="str">
        <f aca="false">metadata!B14</f>
        <v>LCV_NI_G</v>
      </c>
      <c r="S1" s="6" t="str">
        <f aca="false">metadata!B15</f>
        <v>LCV_NII_G</v>
      </c>
      <c r="T1" s="6" t="str">
        <f aca="false">metadata!B16</f>
        <v>LCV_NIII_G</v>
      </c>
      <c r="U1" s="6" t="str">
        <f aca="false">metadata!B17</f>
        <v>LCV_NI_D</v>
      </c>
      <c r="V1" s="6" t="str">
        <f aca="false">metadata!B18</f>
        <v>LCV_NII_D</v>
      </c>
      <c r="W1" s="6" t="str">
        <f aca="false">metadata!B19</f>
        <v>LCV_NIII_D</v>
      </c>
      <c r="X1" s="6" t="str">
        <f aca="false">metadata!B20</f>
        <v>LCV_ELEC</v>
      </c>
      <c r="Y1" s="6" t="str">
        <f aca="false">metadata!B21</f>
        <v>LCV_HY</v>
      </c>
      <c r="Z1" s="6" t="str">
        <f aca="false">metadata!B22</f>
        <v>TRUCKS_RT_7_D</v>
      </c>
      <c r="AA1" s="6" t="str">
        <f aca="false">metadata!B23</f>
        <v>TRUCKS_RT_7_12_D</v>
      </c>
      <c r="AB1" s="6" t="str">
        <f aca="false">metadata!B24</f>
        <v>TRUCKS_RT_12_14_D</v>
      </c>
      <c r="AC1" s="6" t="str">
        <f aca="false">metadata!B25</f>
        <v>TRUCKS_RT_14_16_D</v>
      </c>
      <c r="AD1" s="6" t="str">
        <f aca="false">metadata!B26</f>
        <v>TRUCKS_RT_16_20_D</v>
      </c>
      <c r="AE1" s="6" t="str">
        <f aca="false">metadata!B27</f>
        <v>TRUCKS_RT_20_26_D</v>
      </c>
      <c r="AF1" s="6" t="str">
        <f aca="false">metadata!B28</f>
        <v>TRUCKS_RT_26_28_D</v>
      </c>
      <c r="AG1" s="6" t="str">
        <f aca="false">metadata!B29</f>
        <v>TRUCKS_RT_28_32_D</v>
      </c>
      <c r="AH1" s="1" t="str">
        <f aca="false">metadata!B30</f>
        <v>TRUCKS_RT_32_D</v>
      </c>
      <c r="AI1" s="1" t="str">
        <f aca="false">metadata!B31</f>
        <v>TRUCKS_RT_7_G</v>
      </c>
      <c r="AJ1" s="1" t="str">
        <f aca="false">metadata!B32</f>
        <v>TRUCKS_RT_7_12_G</v>
      </c>
      <c r="AK1" s="1" t="str">
        <f aca="false">metadata!B33</f>
        <v>TRUCKS_RT_12_14_G</v>
      </c>
      <c r="AL1" s="1" t="str">
        <f aca="false">metadata!B34</f>
        <v>TRUCKS_RT_14_16_G</v>
      </c>
      <c r="AM1" s="1" t="str">
        <f aca="false">metadata!B35</f>
        <v>TRUCKS_RT_16_20_G</v>
      </c>
      <c r="AN1" s="1" t="str">
        <f aca="false">metadata!B36</f>
        <v>TRUCKS_RT_20_26_G</v>
      </c>
      <c r="AO1" s="1" t="str">
        <f aca="false">metadata!B37</f>
        <v>TRUCKS_RT_26_28_G</v>
      </c>
      <c r="AP1" s="1" t="str">
        <f aca="false">metadata!B38</f>
        <v>TRUCKS_RT_28_32_G</v>
      </c>
      <c r="AQ1" s="1" t="str">
        <f aca="false">metadata!B39</f>
        <v>TRUCKS_RT_32_G</v>
      </c>
      <c r="AR1" s="1" t="str">
        <f aca="false">metadata!B40</f>
        <v>TRUCKS_AT_16_20_D</v>
      </c>
      <c r="AS1" s="6" t="str">
        <f aca="false">metadata!B41</f>
        <v>TRUCKS_AT_20_28_D</v>
      </c>
      <c r="AT1" s="6" t="str">
        <f aca="false">metadata!B42</f>
        <v>TRUCKS_AT_28_34_D</v>
      </c>
      <c r="AU1" s="1" t="str">
        <f aca="false">metadata!B43</f>
        <v>TRUCKS_AT_34_40_D</v>
      </c>
      <c r="AV1" s="1" t="str">
        <f aca="false">metadata!B44</f>
        <v>TRUCKS_AT_40_50_D</v>
      </c>
      <c r="AW1" s="1" t="str">
        <f aca="false">metadata!B45</f>
        <v>TRUCKS_AT_50_60_D</v>
      </c>
      <c r="AX1" s="1" t="str">
        <f aca="false">metadata!B46</f>
        <v>TRUCKS_ELEC</v>
      </c>
      <c r="AY1" s="1" t="str">
        <f aca="false">metadata!B47</f>
        <v>BUS_UB_15_D</v>
      </c>
      <c r="AZ1" s="1" t="str">
        <f aca="false">metadata!B48</f>
        <v>BUS_UB_15_18_D</v>
      </c>
      <c r="BA1" s="1" t="str">
        <f aca="false">metadata!B49</f>
        <v>BUS_UB_18_D</v>
      </c>
      <c r="BB1" s="1" t="str">
        <f aca="false">metadata!B50</f>
        <v>BUS_UB_15_G</v>
      </c>
      <c r="BC1" s="1" t="str">
        <f aca="false">metadata!B51</f>
        <v>BUS_UB_15_18_G</v>
      </c>
      <c r="BD1" s="1" t="str">
        <f aca="false">metadata!B52</f>
        <v>BUS_UB_18_G</v>
      </c>
      <c r="BE1" s="1" t="str">
        <f aca="false">metadata!B53</f>
        <v>BUS_COACH_17_D</v>
      </c>
      <c r="BF1" s="1" t="str">
        <f aca="false">metadata!B54</f>
        <v>BUS_COACH_18_D</v>
      </c>
      <c r="BG1" s="1" t="str">
        <f aca="false">metadata!B55</f>
        <v>BUS_COACH_17_G</v>
      </c>
      <c r="BH1" s="1" t="str">
        <f aca="false">metadata!B56</f>
        <v>BUS_COACH_18_G</v>
      </c>
      <c r="BI1" s="1" t="str">
        <f aca="false">metadata!B57</f>
        <v>BUS_UB_15_HY</v>
      </c>
      <c r="BJ1" s="1" t="str">
        <f aca="false">metadata!B58</f>
        <v>BUS_ELEC</v>
      </c>
      <c r="BK1" s="1" t="str">
        <f aca="false">metadata!B59</f>
        <v>MC_2S_50_G</v>
      </c>
      <c r="BL1" s="1" t="str">
        <f aca="false">metadata!B60</f>
        <v>MC_4S_50_250_G</v>
      </c>
      <c r="BM1" s="1" t="str">
        <f aca="false">metadata!B61</f>
        <v>MC_4S_250_750_G</v>
      </c>
      <c r="BN1" s="1" t="str">
        <f aca="false">metadata!B62</f>
        <v>MC_4S_750_G</v>
      </c>
      <c r="BO1" s="1" t="str">
        <f aca="false">metadata!B63</f>
        <v>MC_ELEC</v>
      </c>
    </row>
    <row r="2" customFormat="false" ht="12.75" hidden="false" customHeight="false" outlineLevel="0" collapsed="false">
      <c r="A2" s="6" t="n">
        <v>2025</v>
      </c>
      <c r="B2" s="1" t="n">
        <v>3</v>
      </c>
      <c r="C2" s="1" t="s">
        <v>319</v>
      </c>
      <c r="D2" s="1" t="n">
        <v>3</v>
      </c>
      <c r="E2" s="1" t="n">
        <v>3</v>
      </c>
      <c r="F2" s="1" t="str">
        <f aca="false">IF($B2=3,"PFI","")</f>
        <v>PFI</v>
      </c>
      <c r="G2" s="1" t="str">
        <f aca="false">IF($B2=3,"PFI","")</f>
        <v>PFI</v>
      </c>
      <c r="H2" s="1" t="str">
        <f aca="false">IF($B2=3,"PFI","")</f>
        <v>PFI</v>
      </c>
      <c r="I2" s="1" t="str">
        <f aca="false">IF($B2=3,"PFI","")</f>
        <v>PFI</v>
      </c>
      <c r="J2" s="1" t="str">
        <f aca="false">IF($B2=3,"PFI","")</f>
        <v>PFI</v>
      </c>
      <c r="K2" s="1" t="str">
        <f aca="false">IF($B2=3,"PFI","")</f>
        <v>PFI</v>
      </c>
      <c r="L2" s="1" t="str">
        <f aca="false">IF($B2=3,"DPF","")</f>
        <v>DPF</v>
      </c>
      <c r="M2" s="1" t="str">
        <f aca="false">IF($B2=3,"DPF","")</f>
        <v>DPF</v>
      </c>
      <c r="N2" s="1" t="str">
        <f aca="false">IF($B2=3,"DPF","")</f>
        <v>DPF</v>
      </c>
      <c r="O2" s="1" t="str">
        <f aca="false">IF($B2=3,"PFI","")</f>
        <v>PFI</v>
      </c>
      <c r="P2" s="1" t="str">
        <f aca="false">IF($B2=3,"PFI","")</f>
        <v>PFI</v>
      </c>
      <c r="R2" s="1" t="str">
        <f aca="false">IF($B2=3,"PFI","")</f>
        <v>PFI</v>
      </c>
      <c r="S2" s="1" t="str">
        <f aca="false">IF($B2=3,"PFI","")</f>
        <v>PFI</v>
      </c>
      <c r="T2" s="1" t="str">
        <f aca="false">IF($B2=3,"PFI","")</f>
        <v>PFI</v>
      </c>
      <c r="U2" s="1" t="str">
        <f aca="false">IF($B2=3,"DPF","")</f>
        <v>DPF</v>
      </c>
      <c r="V2" s="1" t="str">
        <f aca="false">IF($B2=3,"DPF","")</f>
        <v>DPF</v>
      </c>
      <c r="W2" s="1" t="str">
        <f aca="false">IF($B2=3,"DPF","")</f>
        <v>DPF</v>
      </c>
      <c r="X2" s="1" t="str">
        <f aca="false">IF($B2=3,"DPF","")</f>
        <v>DPF</v>
      </c>
      <c r="Y2" s="1" t="str">
        <f aca="false">IF($B2=3,"DPF","")</f>
        <v>DPF</v>
      </c>
      <c r="Z2" s="1" t="str">
        <f aca="false">IF($B2=3,"DPF","")</f>
        <v>DPF</v>
      </c>
      <c r="AA2" s="1" t="str">
        <f aca="false">IF($B2=3,"DPF","")</f>
        <v>DPF</v>
      </c>
      <c r="AB2" s="1" t="str">
        <f aca="false">IF($B2=3,"DPF","")</f>
        <v>DPF</v>
      </c>
      <c r="AC2" s="1" t="str">
        <f aca="false">IF($B2=3,"DPF","")</f>
        <v>DPF</v>
      </c>
      <c r="AD2" s="1" t="str">
        <f aca="false">IF($B2=3,"DPF","")</f>
        <v>DPF</v>
      </c>
      <c r="AE2" s="1" t="str">
        <f aca="false">IF($B2=3,"DPF","")</f>
        <v>DPF</v>
      </c>
      <c r="AF2" s="1" t="str">
        <f aca="false">IF($B2=3,"DPF","")</f>
        <v>DPF</v>
      </c>
      <c r="AG2" s="1" t="str">
        <f aca="false">IF($B2=3,"DPF","")</f>
        <v>DPF</v>
      </c>
      <c r="AH2" s="1" t="str">
        <f aca="false">IF($B2=3,"DPF","")</f>
        <v>DPF</v>
      </c>
      <c r="AI2" s="1" t="str">
        <f aca="false">IF($B2=3,"PFI","")</f>
        <v>PFI</v>
      </c>
      <c r="AJ2" s="1" t="str">
        <f aca="false">IF($B2=3,"PFI","")</f>
        <v>PFI</v>
      </c>
      <c r="AK2" s="1" t="str">
        <f aca="false">IF($B2=3,"PFI","")</f>
        <v>PFI</v>
      </c>
      <c r="AL2" s="1" t="str">
        <f aca="false">IF($B2=3,"PFI","")</f>
        <v>PFI</v>
      </c>
      <c r="AM2" s="1" t="str">
        <f aca="false">IF($B2=3,"PFI","")</f>
        <v>PFI</v>
      </c>
      <c r="AN2" s="1" t="str">
        <f aca="false">IF($B2=3,"PFI","")</f>
        <v>PFI</v>
      </c>
      <c r="AO2" s="1" t="str">
        <f aca="false">IF($B2=3,"PFI","")</f>
        <v>PFI</v>
      </c>
      <c r="AP2" s="1" t="str">
        <f aca="false">IF($B2=3,"PFI","")</f>
        <v>PFI</v>
      </c>
      <c r="AQ2" s="1" t="str">
        <f aca="false">IF($B2=3,"PFI","")</f>
        <v>PFI</v>
      </c>
      <c r="AR2" s="1" t="str">
        <f aca="false">IF($B2=3,"DPF","")</f>
        <v>DPF</v>
      </c>
      <c r="AS2" s="1" t="str">
        <f aca="false">IF($B2=3,"DPF","")</f>
        <v>DPF</v>
      </c>
      <c r="AT2" s="1" t="str">
        <f aca="false">IF($B2=3,"DPF","")</f>
        <v>DPF</v>
      </c>
      <c r="AU2" s="1" t="str">
        <f aca="false">IF($B2=3,"DPF","")</f>
        <v>DPF</v>
      </c>
      <c r="AV2" s="1" t="str">
        <f aca="false">IF($B2=3,"DPF","")</f>
        <v>DPF</v>
      </c>
      <c r="AW2" s="1" t="str">
        <f aca="false">IF($B2=3,"DPF","")</f>
        <v>DPF</v>
      </c>
      <c r="AY2" s="1" t="str">
        <f aca="false">IF($B2=3,"DPF","")</f>
        <v>DPF</v>
      </c>
      <c r="AZ2" s="1" t="str">
        <f aca="false">IF($B2=3,"DPF","")</f>
        <v>DPF</v>
      </c>
      <c r="BA2" s="1" t="str">
        <f aca="false">IF($B2=3,"DPF","")</f>
        <v>DPF</v>
      </c>
      <c r="BB2" s="1" t="str">
        <f aca="false">IF($B2=3,"PFI","")</f>
        <v>PFI</v>
      </c>
      <c r="BC2" s="1" t="str">
        <f aca="false">IF($B2=3,"PFI","")</f>
        <v>PFI</v>
      </c>
      <c r="BD2" s="1" t="str">
        <f aca="false">IF($B2=3,"PFI","")</f>
        <v>PFI</v>
      </c>
      <c r="BE2" s="1" t="str">
        <f aca="false">IF($B2=3,"DPF","")</f>
        <v>DPF</v>
      </c>
      <c r="BF2" s="1" t="str">
        <f aca="false">IF($B2=3,"DPF","")</f>
        <v>DPF</v>
      </c>
      <c r="BG2" s="1" t="str">
        <f aca="false">IF($B2=3,"PFI","")</f>
        <v>PFI</v>
      </c>
      <c r="BH2" s="1" t="str">
        <f aca="false">IF($B2=3,"PFI","")</f>
        <v>PFI</v>
      </c>
      <c r="BI2" s="1" t="str">
        <f aca="false">IF($B2=3,"DPF","")</f>
        <v>DPF</v>
      </c>
      <c r="BK2" s="1" t="str">
        <f aca="false">IF($B2=3,"PFI","")</f>
        <v>PFI</v>
      </c>
      <c r="BL2" s="1" t="str">
        <f aca="false">IF($B2=3,"PFI","")</f>
        <v>PFI</v>
      </c>
      <c r="BM2" s="1" t="str">
        <f aca="false">IF($B2=3,"PFI","")</f>
        <v>PFI</v>
      </c>
      <c r="BN2" s="1" t="str">
        <f aca="false">IF($B2=3,"PFI","")</f>
        <v>PFI</v>
      </c>
      <c r="BO2" s="1" t="str">
        <f aca="false">IF($B2=3,"PFI","")</f>
        <v>PFI</v>
      </c>
    </row>
    <row r="3" customFormat="false" ht="12.75" hidden="false" customHeight="false" outlineLevel="0" collapsed="false">
      <c r="A3" s="6" t="n">
        <v>2024</v>
      </c>
      <c r="B3" s="1" t="n">
        <v>3</v>
      </c>
      <c r="C3" s="1" t="s">
        <v>319</v>
      </c>
      <c r="D3" s="1" t="n">
        <v>3</v>
      </c>
      <c r="E3" s="1" t="n">
        <v>3</v>
      </c>
      <c r="F3" s="1" t="str">
        <f aca="false">IF($B3=3,"PFI","")</f>
        <v>PFI</v>
      </c>
      <c r="G3" s="1" t="str">
        <f aca="false">IF($B3=3,"PFI","")</f>
        <v>PFI</v>
      </c>
      <c r="H3" s="1" t="str">
        <f aca="false">IF($B3=3,"PFI","")</f>
        <v>PFI</v>
      </c>
      <c r="I3" s="1" t="str">
        <f aca="false">IF($B3=3,"PFI","")</f>
        <v>PFI</v>
      </c>
      <c r="J3" s="1" t="str">
        <f aca="false">IF($B3=3,"PFI","")</f>
        <v>PFI</v>
      </c>
      <c r="K3" s="1" t="str">
        <f aca="false">IF($B3=3,"PFI","")</f>
        <v>PFI</v>
      </c>
      <c r="L3" s="1" t="str">
        <f aca="false">IF($B3=3,"DPF","")</f>
        <v>DPF</v>
      </c>
      <c r="M3" s="1" t="str">
        <f aca="false">IF($B3=3,"DPF","")</f>
        <v>DPF</v>
      </c>
      <c r="N3" s="1" t="str">
        <f aca="false">IF($B3=3,"DPF","")</f>
        <v>DPF</v>
      </c>
      <c r="O3" s="1" t="str">
        <f aca="false">IF($B3=3,"PFI","")</f>
        <v>PFI</v>
      </c>
      <c r="P3" s="1" t="str">
        <f aca="false">IF($B3=3,"PFI","")</f>
        <v>PFI</v>
      </c>
      <c r="R3" s="1" t="str">
        <f aca="false">IF($B3=3,"PFI","")</f>
        <v>PFI</v>
      </c>
      <c r="S3" s="1" t="str">
        <f aca="false">IF($B3=3,"PFI","")</f>
        <v>PFI</v>
      </c>
      <c r="T3" s="1" t="str">
        <f aca="false">IF($B3=3,"PFI","")</f>
        <v>PFI</v>
      </c>
      <c r="U3" s="1" t="str">
        <f aca="false">IF($B3=3,"DPF","")</f>
        <v>DPF</v>
      </c>
      <c r="V3" s="1" t="str">
        <f aca="false">IF($B3=3,"DPF","")</f>
        <v>DPF</v>
      </c>
      <c r="W3" s="1" t="str">
        <f aca="false">IF($B3=3,"DPF","")</f>
        <v>DPF</v>
      </c>
      <c r="X3" s="1" t="str">
        <f aca="false">IF($B3=3,"DPF","")</f>
        <v>DPF</v>
      </c>
      <c r="Y3" s="1" t="str">
        <f aca="false">IF($B3=3,"DPF","")</f>
        <v>DPF</v>
      </c>
      <c r="Z3" s="1" t="str">
        <f aca="false">IF($B3=3,"DPF","")</f>
        <v>DPF</v>
      </c>
      <c r="AA3" s="1" t="str">
        <f aca="false">IF($B3=3,"DPF","")</f>
        <v>DPF</v>
      </c>
      <c r="AB3" s="1" t="str">
        <f aca="false">IF($B3=3,"DPF","")</f>
        <v>DPF</v>
      </c>
      <c r="AC3" s="1" t="str">
        <f aca="false">IF($B3=3,"DPF","")</f>
        <v>DPF</v>
      </c>
      <c r="AD3" s="1" t="str">
        <f aca="false">IF($B3=3,"DPF","")</f>
        <v>DPF</v>
      </c>
      <c r="AE3" s="1" t="str">
        <f aca="false">IF($B3=3,"DPF","")</f>
        <v>DPF</v>
      </c>
      <c r="AF3" s="1" t="str">
        <f aca="false">IF($B3=3,"DPF","")</f>
        <v>DPF</v>
      </c>
      <c r="AG3" s="1" t="str">
        <f aca="false">IF($B3=3,"DPF","")</f>
        <v>DPF</v>
      </c>
      <c r="AH3" s="1" t="str">
        <f aca="false">IF($B3=3,"DPF","")</f>
        <v>DPF</v>
      </c>
      <c r="AI3" s="1" t="str">
        <f aca="false">IF($B3=3,"PFI","")</f>
        <v>PFI</v>
      </c>
      <c r="AJ3" s="1" t="str">
        <f aca="false">IF($B3=3,"PFI","")</f>
        <v>PFI</v>
      </c>
      <c r="AK3" s="1" t="str">
        <f aca="false">IF($B3=3,"PFI","")</f>
        <v>PFI</v>
      </c>
      <c r="AL3" s="1" t="str">
        <f aca="false">IF($B3=3,"PFI","")</f>
        <v>PFI</v>
      </c>
      <c r="AM3" s="1" t="str">
        <f aca="false">IF($B3=3,"PFI","")</f>
        <v>PFI</v>
      </c>
      <c r="AN3" s="1" t="str">
        <f aca="false">IF($B3=3,"PFI","")</f>
        <v>PFI</v>
      </c>
      <c r="AO3" s="1" t="str">
        <f aca="false">IF($B3=3,"PFI","")</f>
        <v>PFI</v>
      </c>
      <c r="AP3" s="1" t="str">
        <f aca="false">IF($B3=3,"PFI","")</f>
        <v>PFI</v>
      </c>
      <c r="AQ3" s="1" t="str">
        <f aca="false">IF($B3=3,"PFI","")</f>
        <v>PFI</v>
      </c>
      <c r="AR3" s="1" t="str">
        <f aca="false">IF($B3=3,"DPF","")</f>
        <v>DPF</v>
      </c>
      <c r="AS3" s="1" t="str">
        <f aca="false">IF($B3=3,"DPF","")</f>
        <v>DPF</v>
      </c>
      <c r="AT3" s="1" t="str">
        <f aca="false">IF($B3=3,"DPF","")</f>
        <v>DPF</v>
      </c>
      <c r="AU3" s="1" t="str">
        <f aca="false">IF($B3=3,"DPF","")</f>
        <v>DPF</v>
      </c>
      <c r="AV3" s="1" t="str">
        <f aca="false">IF($B3=3,"DPF","")</f>
        <v>DPF</v>
      </c>
      <c r="AW3" s="1" t="str">
        <f aca="false">IF($B3=3,"DPF","")</f>
        <v>DPF</v>
      </c>
      <c r="AY3" s="1" t="str">
        <f aca="false">IF($B3=3,"DPF","")</f>
        <v>DPF</v>
      </c>
      <c r="AZ3" s="1" t="str">
        <f aca="false">IF($B3=3,"DPF","")</f>
        <v>DPF</v>
      </c>
      <c r="BA3" s="1" t="str">
        <f aca="false">IF($B3=3,"DPF","")</f>
        <v>DPF</v>
      </c>
      <c r="BB3" s="1" t="str">
        <f aca="false">IF($B3=3,"PFI","")</f>
        <v>PFI</v>
      </c>
      <c r="BC3" s="1" t="str">
        <f aca="false">IF($B3=3,"PFI","")</f>
        <v>PFI</v>
      </c>
      <c r="BD3" s="1" t="str">
        <f aca="false">IF($B3=3,"PFI","")</f>
        <v>PFI</v>
      </c>
      <c r="BE3" s="1" t="str">
        <f aca="false">IF($B3=3,"DPF","")</f>
        <v>DPF</v>
      </c>
      <c r="BF3" s="1" t="str">
        <f aca="false">IF($B3=3,"DPF","")</f>
        <v>DPF</v>
      </c>
      <c r="BG3" s="1" t="str">
        <f aca="false">IF($B3=3,"PFI","")</f>
        <v>PFI</v>
      </c>
      <c r="BH3" s="1" t="str">
        <f aca="false">IF($B3=3,"PFI","")</f>
        <v>PFI</v>
      </c>
      <c r="BI3" s="1" t="str">
        <f aca="false">IF($B3=3,"DPF","")</f>
        <v>DPF</v>
      </c>
      <c r="BK3" s="1" t="str">
        <f aca="false">IF($B3=3,"PFI","")</f>
        <v>PFI</v>
      </c>
      <c r="BL3" s="1" t="str">
        <f aca="false">IF($B3=3,"PFI","")</f>
        <v>PFI</v>
      </c>
      <c r="BM3" s="1" t="str">
        <f aca="false">IF($B3=3,"PFI","")</f>
        <v>PFI</v>
      </c>
      <c r="BN3" s="1" t="str">
        <f aca="false">IF($B3=3,"PFI","")</f>
        <v>PFI</v>
      </c>
      <c r="BO3" s="1" t="str">
        <f aca="false">IF($B3=3,"PFI","")</f>
        <v>PFI</v>
      </c>
    </row>
    <row r="4" customFormat="false" ht="12.75" hidden="false" customHeight="false" outlineLevel="0" collapsed="false">
      <c r="A4" s="6" t="n">
        <v>2023</v>
      </c>
      <c r="B4" s="1" t="n">
        <v>3</v>
      </c>
      <c r="C4" s="1" t="s">
        <v>319</v>
      </c>
      <c r="D4" s="1" t="n">
        <v>3</v>
      </c>
      <c r="E4" s="1" t="n">
        <v>3</v>
      </c>
      <c r="F4" s="1" t="str">
        <f aca="false">IF($B4=3,"PFI","")</f>
        <v>PFI</v>
      </c>
      <c r="G4" s="1" t="str">
        <f aca="false">IF($B4=3,"PFI","")</f>
        <v>PFI</v>
      </c>
      <c r="H4" s="1" t="str">
        <f aca="false">IF($B4=3,"PFI","")</f>
        <v>PFI</v>
      </c>
      <c r="I4" s="1" t="str">
        <f aca="false">IF($B4=3,"PFI","")</f>
        <v>PFI</v>
      </c>
      <c r="J4" s="1" t="str">
        <f aca="false">IF($B4=3,"PFI","")</f>
        <v>PFI</v>
      </c>
      <c r="K4" s="1" t="str">
        <f aca="false">IF($B4=3,"PFI","")</f>
        <v>PFI</v>
      </c>
      <c r="L4" s="1" t="str">
        <f aca="false">IF($B4=3,"DPF","")</f>
        <v>DPF</v>
      </c>
      <c r="M4" s="1" t="str">
        <f aca="false">IF($B4=3,"DPF","")</f>
        <v>DPF</v>
      </c>
      <c r="N4" s="1" t="str">
        <f aca="false">IF($B4=3,"DPF","")</f>
        <v>DPF</v>
      </c>
      <c r="O4" s="1" t="str">
        <f aca="false">IF($B4=3,"PFI","")</f>
        <v>PFI</v>
      </c>
      <c r="P4" s="1" t="str">
        <f aca="false">IF($B4=3,"PFI","")</f>
        <v>PFI</v>
      </c>
      <c r="R4" s="1" t="str">
        <f aca="false">IF($B4=3,"PFI","")</f>
        <v>PFI</v>
      </c>
      <c r="S4" s="1" t="str">
        <f aca="false">IF($B4=3,"PFI","")</f>
        <v>PFI</v>
      </c>
      <c r="T4" s="1" t="str">
        <f aca="false">IF($B4=3,"PFI","")</f>
        <v>PFI</v>
      </c>
      <c r="U4" s="1" t="str">
        <f aca="false">IF($B4=3,"DPF","")</f>
        <v>DPF</v>
      </c>
      <c r="V4" s="1" t="str">
        <f aca="false">IF($B4=3,"DPF","")</f>
        <v>DPF</v>
      </c>
      <c r="W4" s="1" t="str">
        <f aca="false">IF($B4=3,"DPF","")</f>
        <v>DPF</v>
      </c>
      <c r="X4" s="1" t="str">
        <f aca="false">IF($B4=3,"DPF","")</f>
        <v>DPF</v>
      </c>
      <c r="Y4" s="1" t="str">
        <f aca="false">IF($B4=3,"DPF","")</f>
        <v>DPF</v>
      </c>
      <c r="Z4" s="1" t="str">
        <f aca="false">IF($B4=3,"DPF","")</f>
        <v>DPF</v>
      </c>
      <c r="AA4" s="1" t="str">
        <f aca="false">IF($B4=3,"DPF","")</f>
        <v>DPF</v>
      </c>
      <c r="AB4" s="1" t="str">
        <f aca="false">IF($B4=3,"DPF","")</f>
        <v>DPF</v>
      </c>
      <c r="AC4" s="1" t="str">
        <f aca="false">IF($B4=3,"DPF","")</f>
        <v>DPF</v>
      </c>
      <c r="AD4" s="1" t="str">
        <f aca="false">IF($B4=3,"DPF","")</f>
        <v>DPF</v>
      </c>
      <c r="AE4" s="1" t="str">
        <f aca="false">IF($B4=3,"DPF","")</f>
        <v>DPF</v>
      </c>
      <c r="AF4" s="1" t="str">
        <f aca="false">IF($B4=3,"DPF","")</f>
        <v>DPF</v>
      </c>
      <c r="AG4" s="1" t="str">
        <f aca="false">IF($B4=3,"DPF","")</f>
        <v>DPF</v>
      </c>
      <c r="AH4" s="1" t="str">
        <f aca="false">IF($B4=3,"DPF","")</f>
        <v>DPF</v>
      </c>
      <c r="AI4" s="1" t="str">
        <f aca="false">IF($B4=3,"PFI","")</f>
        <v>PFI</v>
      </c>
      <c r="AJ4" s="1" t="str">
        <f aca="false">IF($B4=3,"PFI","")</f>
        <v>PFI</v>
      </c>
      <c r="AK4" s="1" t="str">
        <f aca="false">IF($B4=3,"PFI","")</f>
        <v>PFI</v>
      </c>
      <c r="AL4" s="1" t="str">
        <f aca="false">IF($B4=3,"PFI","")</f>
        <v>PFI</v>
      </c>
      <c r="AM4" s="1" t="str">
        <f aca="false">IF($B4=3,"PFI","")</f>
        <v>PFI</v>
      </c>
      <c r="AN4" s="1" t="str">
        <f aca="false">IF($B4=3,"PFI","")</f>
        <v>PFI</v>
      </c>
      <c r="AO4" s="1" t="str">
        <f aca="false">IF($B4=3,"PFI","")</f>
        <v>PFI</v>
      </c>
      <c r="AP4" s="1" t="str">
        <f aca="false">IF($B4=3,"PFI","")</f>
        <v>PFI</v>
      </c>
      <c r="AQ4" s="1" t="str">
        <f aca="false">IF($B4=3,"PFI","")</f>
        <v>PFI</v>
      </c>
      <c r="AR4" s="1" t="str">
        <f aca="false">IF($B4=3,"DPF","")</f>
        <v>DPF</v>
      </c>
      <c r="AS4" s="1" t="str">
        <f aca="false">IF($B4=3,"DPF","")</f>
        <v>DPF</v>
      </c>
      <c r="AT4" s="1" t="str">
        <f aca="false">IF($B4=3,"DPF","")</f>
        <v>DPF</v>
      </c>
      <c r="AU4" s="1" t="str">
        <f aca="false">IF($B4=3,"DPF","")</f>
        <v>DPF</v>
      </c>
      <c r="AV4" s="1" t="str">
        <f aca="false">IF($B4=3,"DPF","")</f>
        <v>DPF</v>
      </c>
      <c r="AW4" s="1" t="str">
        <f aca="false">IF($B4=3,"DPF","")</f>
        <v>DPF</v>
      </c>
      <c r="AY4" s="1" t="str">
        <f aca="false">IF($B4=3,"DPF","")</f>
        <v>DPF</v>
      </c>
      <c r="AZ4" s="1" t="str">
        <f aca="false">IF($B4=3,"DPF","")</f>
        <v>DPF</v>
      </c>
      <c r="BA4" s="1" t="str">
        <f aca="false">IF($B4=3,"DPF","")</f>
        <v>DPF</v>
      </c>
      <c r="BB4" s="1" t="str">
        <f aca="false">IF($B4=3,"PFI","")</f>
        <v>PFI</v>
      </c>
      <c r="BC4" s="1" t="str">
        <f aca="false">IF($B4=3,"PFI","")</f>
        <v>PFI</v>
      </c>
      <c r="BD4" s="1" t="str">
        <f aca="false">IF($B4=3,"PFI","")</f>
        <v>PFI</v>
      </c>
      <c r="BE4" s="1" t="str">
        <f aca="false">IF($B4=3,"DPF","")</f>
        <v>DPF</v>
      </c>
      <c r="BF4" s="1" t="str">
        <f aca="false">IF($B4=3,"DPF","")</f>
        <v>DPF</v>
      </c>
      <c r="BG4" s="1" t="str">
        <f aca="false">IF($B4=3,"PFI","")</f>
        <v>PFI</v>
      </c>
      <c r="BH4" s="1" t="str">
        <f aca="false">IF($B4=3,"PFI","")</f>
        <v>PFI</v>
      </c>
      <c r="BI4" s="1" t="str">
        <f aca="false">IF($B4=3,"DPF","")</f>
        <v>DPF</v>
      </c>
      <c r="BK4" s="1" t="str">
        <f aca="false">IF($B4=3,"PFI","")</f>
        <v>PFI</v>
      </c>
      <c r="BL4" s="1" t="str">
        <f aca="false">IF($B4=3,"PFI","")</f>
        <v>PFI</v>
      </c>
      <c r="BM4" s="1" t="str">
        <f aca="false">IF($B4=3,"PFI","")</f>
        <v>PFI</v>
      </c>
      <c r="BN4" s="1" t="str">
        <f aca="false">IF($B4=3,"PFI","")</f>
        <v>PFI</v>
      </c>
      <c r="BO4" s="1" t="str">
        <f aca="false">IF($B4=3,"PFI","")</f>
        <v>PFI</v>
      </c>
    </row>
    <row r="5" customFormat="false" ht="12.75" hidden="false" customHeight="false" outlineLevel="0" collapsed="false">
      <c r="A5" s="6" t="n">
        <v>2022</v>
      </c>
      <c r="B5" s="1" t="n">
        <v>3</v>
      </c>
      <c r="C5" s="1" t="s">
        <v>319</v>
      </c>
      <c r="D5" s="1" t="n">
        <v>3</v>
      </c>
      <c r="E5" s="1" t="n">
        <v>3</v>
      </c>
      <c r="F5" s="1" t="str">
        <f aca="false">IF($B5=3,"PFI","")</f>
        <v>PFI</v>
      </c>
      <c r="G5" s="1" t="str">
        <f aca="false">IF($B5=3,"PFI","")</f>
        <v>PFI</v>
      </c>
      <c r="H5" s="1" t="str">
        <f aca="false">IF($B5=3,"PFI","")</f>
        <v>PFI</v>
      </c>
      <c r="I5" s="1" t="str">
        <f aca="false">IF($B5=3,"PFI","")</f>
        <v>PFI</v>
      </c>
      <c r="J5" s="1" t="str">
        <f aca="false">IF($B5=3,"PFI","")</f>
        <v>PFI</v>
      </c>
      <c r="K5" s="1" t="str">
        <f aca="false">IF($B5=3,"PFI","")</f>
        <v>PFI</v>
      </c>
      <c r="L5" s="1" t="str">
        <f aca="false">IF($B5=3,"DPF","")</f>
        <v>DPF</v>
      </c>
      <c r="M5" s="1" t="str">
        <f aca="false">IF($B5=3,"DPF","")</f>
        <v>DPF</v>
      </c>
      <c r="N5" s="1" t="str">
        <f aca="false">IF($B5=3,"DPF","")</f>
        <v>DPF</v>
      </c>
      <c r="O5" s="1" t="str">
        <f aca="false">IF($B5=3,"PFI","")</f>
        <v>PFI</v>
      </c>
      <c r="P5" s="1" t="str">
        <f aca="false">IF($B5=3,"PFI","")</f>
        <v>PFI</v>
      </c>
      <c r="R5" s="1" t="str">
        <f aca="false">IF($B5=3,"PFI","")</f>
        <v>PFI</v>
      </c>
      <c r="S5" s="1" t="str">
        <f aca="false">IF($B5=3,"PFI","")</f>
        <v>PFI</v>
      </c>
      <c r="T5" s="1" t="str">
        <f aca="false">IF($B5=3,"PFI","")</f>
        <v>PFI</v>
      </c>
      <c r="U5" s="1" t="str">
        <f aca="false">IF($B5=3,"DPF","")</f>
        <v>DPF</v>
      </c>
      <c r="V5" s="1" t="str">
        <f aca="false">IF($B5=3,"DPF","")</f>
        <v>DPF</v>
      </c>
      <c r="W5" s="1" t="str">
        <f aca="false">IF($B5=3,"DPF","")</f>
        <v>DPF</v>
      </c>
      <c r="X5" s="1" t="str">
        <f aca="false">IF($B5=3,"DPF","")</f>
        <v>DPF</v>
      </c>
      <c r="Y5" s="1" t="str">
        <f aca="false">IF($B5=3,"DPF","")</f>
        <v>DPF</v>
      </c>
      <c r="Z5" s="1" t="str">
        <f aca="false">IF($B5=3,"DPF","")</f>
        <v>DPF</v>
      </c>
      <c r="AA5" s="1" t="str">
        <f aca="false">IF($B5=3,"DPF","")</f>
        <v>DPF</v>
      </c>
      <c r="AB5" s="1" t="str">
        <f aca="false">IF($B5=3,"DPF","")</f>
        <v>DPF</v>
      </c>
      <c r="AC5" s="1" t="str">
        <f aca="false">IF($B5=3,"DPF","")</f>
        <v>DPF</v>
      </c>
      <c r="AD5" s="1" t="str">
        <f aca="false">IF($B5=3,"DPF","")</f>
        <v>DPF</v>
      </c>
      <c r="AE5" s="1" t="str">
        <f aca="false">IF($B5=3,"DPF","")</f>
        <v>DPF</v>
      </c>
      <c r="AF5" s="1" t="str">
        <f aca="false">IF($B5=3,"DPF","")</f>
        <v>DPF</v>
      </c>
      <c r="AG5" s="1" t="str">
        <f aca="false">IF($B5=3,"DPF","")</f>
        <v>DPF</v>
      </c>
      <c r="AH5" s="1" t="str">
        <f aca="false">IF($B5=3,"DPF","")</f>
        <v>DPF</v>
      </c>
      <c r="AI5" s="1" t="str">
        <f aca="false">IF($B5=3,"PFI","")</f>
        <v>PFI</v>
      </c>
      <c r="AJ5" s="1" t="str">
        <f aca="false">IF($B5=3,"PFI","")</f>
        <v>PFI</v>
      </c>
      <c r="AK5" s="1" t="str">
        <f aca="false">IF($B5=3,"PFI","")</f>
        <v>PFI</v>
      </c>
      <c r="AL5" s="1" t="str">
        <f aca="false">IF($B5=3,"PFI","")</f>
        <v>PFI</v>
      </c>
      <c r="AM5" s="1" t="str">
        <f aca="false">IF($B5=3,"PFI","")</f>
        <v>PFI</v>
      </c>
      <c r="AN5" s="1" t="str">
        <f aca="false">IF($B5=3,"PFI","")</f>
        <v>PFI</v>
      </c>
      <c r="AO5" s="1" t="str">
        <f aca="false">IF($B5=3,"PFI","")</f>
        <v>PFI</v>
      </c>
      <c r="AP5" s="1" t="str">
        <f aca="false">IF($B5=3,"PFI","")</f>
        <v>PFI</v>
      </c>
      <c r="AQ5" s="1" t="str">
        <f aca="false">IF($B5=3,"PFI","")</f>
        <v>PFI</v>
      </c>
      <c r="AR5" s="1" t="str">
        <f aca="false">IF($B5=3,"DPF","")</f>
        <v>DPF</v>
      </c>
      <c r="AS5" s="1" t="str">
        <f aca="false">IF($B5=3,"DPF","")</f>
        <v>DPF</v>
      </c>
      <c r="AT5" s="1" t="str">
        <f aca="false">IF($B5=3,"DPF","")</f>
        <v>DPF</v>
      </c>
      <c r="AU5" s="1" t="str">
        <f aca="false">IF($B5=3,"DPF","")</f>
        <v>DPF</v>
      </c>
      <c r="AV5" s="1" t="str">
        <f aca="false">IF($B5=3,"DPF","")</f>
        <v>DPF</v>
      </c>
      <c r="AW5" s="1" t="str">
        <f aca="false">IF($B5=3,"DPF","")</f>
        <v>DPF</v>
      </c>
      <c r="AY5" s="1" t="str">
        <f aca="false">IF($B5=3,"DPF","")</f>
        <v>DPF</v>
      </c>
      <c r="AZ5" s="1" t="str">
        <f aca="false">IF($B5=3,"DPF","")</f>
        <v>DPF</v>
      </c>
      <c r="BA5" s="1" t="str">
        <f aca="false">IF($B5=3,"DPF","")</f>
        <v>DPF</v>
      </c>
      <c r="BB5" s="1" t="str">
        <f aca="false">IF($B5=3,"PFI","")</f>
        <v>PFI</v>
      </c>
      <c r="BC5" s="1" t="str">
        <f aca="false">IF($B5=3,"PFI","")</f>
        <v>PFI</v>
      </c>
      <c r="BD5" s="1" t="str">
        <f aca="false">IF($B5=3,"PFI","")</f>
        <v>PFI</v>
      </c>
      <c r="BE5" s="1" t="str">
        <f aca="false">IF($B5=3,"DPF","")</f>
        <v>DPF</v>
      </c>
      <c r="BF5" s="1" t="str">
        <f aca="false">IF($B5=3,"DPF","")</f>
        <v>DPF</v>
      </c>
      <c r="BG5" s="1" t="str">
        <f aca="false">IF($B5=3,"PFI","")</f>
        <v>PFI</v>
      </c>
      <c r="BH5" s="1" t="str">
        <f aca="false">IF($B5=3,"PFI","")</f>
        <v>PFI</v>
      </c>
      <c r="BI5" s="1" t="str">
        <f aca="false">IF($B5=3,"DPF","")</f>
        <v>DPF</v>
      </c>
      <c r="BK5" s="1" t="str">
        <f aca="false">IF($B5=3,"PFI","")</f>
        <v>PFI</v>
      </c>
      <c r="BL5" s="1" t="str">
        <f aca="false">IF($B5=3,"PFI","")</f>
        <v>PFI</v>
      </c>
      <c r="BM5" s="1" t="str">
        <f aca="false">IF($B5=3,"PFI","")</f>
        <v>PFI</v>
      </c>
      <c r="BN5" s="1" t="str">
        <f aca="false">IF($B5=3,"PFI","")</f>
        <v>PFI</v>
      </c>
      <c r="BO5" s="1" t="str">
        <f aca="false">IF($B5=3,"PFI","")</f>
        <v>PFI</v>
      </c>
    </row>
    <row r="6" customFormat="false" ht="12.75" hidden="false" customHeight="false" outlineLevel="0" collapsed="false">
      <c r="A6" s="6" t="n">
        <v>2021</v>
      </c>
      <c r="B6" s="1" t="n">
        <v>3</v>
      </c>
      <c r="C6" s="1" t="s">
        <v>319</v>
      </c>
      <c r="D6" s="1" t="n">
        <v>3</v>
      </c>
      <c r="E6" s="1" t="n">
        <v>3</v>
      </c>
      <c r="F6" s="1" t="str">
        <f aca="false">IF($B6=3,"PFI","")</f>
        <v>PFI</v>
      </c>
      <c r="G6" s="1" t="str">
        <f aca="false">IF($B6=3,"PFI","")</f>
        <v>PFI</v>
      </c>
      <c r="H6" s="1" t="str">
        <f aca="false">IF($B6=3,"PFI","")</f>
        <v>PFI</v>
      </c>
      <c r="I6" s="1" t="str">
        <f aca="false">IF($B6=3,"PFI","")</f>
        <v>PFI</v>
      </c>
      <c r="J6" s="1" t="str">
        <f aca="false">IF($B6=3,"PFI","")</f>
        <v>PFI</v>
      </c>
      <c r="K6" s="1" t="str">
        <f aca="false">IF($B6=3,"PFI","")</f>
        <v>PFI</v>
      </c>
      <c r="L6" s="1" t="str">
        <f aca="false">IF($B6=3,"DPF","")</f>
        <v>DPF</v>
      </c>
      <c r="M6" s="1" t="str">
        <f aca="false">IF($B6=3,"DPF","")</f>
        <v>DPF</v>
      </c>
      <c r="N6" s="1" t="str">
        <f aca="false">IF($B6=3,"DPF","")</f>
        <v>DPF</v>
      </c>
      <c r="O6" s="1" t="str">
        <f aca="false">IF($B6=3,"PFI","")</f>
        <v>PFI</v>
      </c>
      <c r="P6" s="1" t="str">
        <f aca="false">IF($B6=3,"PFI","")</f>
        <v>PFI</v>
      </c>
      <c r="R6" s="1" t="str">
        <f aca="false">IF($B6=3,"PFI","")</f>
        <v>PFI</v>
      </c>
      <c r="S6" s="1" t="str">
        <f aca="false">IF($B6=3,"PFI","")</f>
        <v>PFI</v>
      </c>
      <c r="T6" s="1" t="str">
        <f aca="false">IF($B6=3,"PFI","")</f>
        <v>PFI</v>
      </c>
      <c r="U6" s="1" t="str">
        <f aca="false">IF($B6=3,"DPF","")</f>
        <v>DPF</v>
      </c>
      <c r="V6" s="1" t="str">
        <f aca="false">IF($B6=3,"DPF","")</f>
        <v>DPF</v>
      </c>
      <c r="W6" s="1" t="str">
        <f aca="false">IF($B6=3,"DPF","")</f>
        <v>DPF</v>
      </c>
      <c r="X6" s="1" t="str">
        <f aca="false">IF($B6=3,"DPF","")</f>
        <v>DPF</v>
      </c>
      <c r="Y6" s="1" t="str">
        <f aca="false">IF($B6=3,"DPF","")</f>
        <v>DPF</v>
      </c>
      <c r="Z6" s="1" t="str">
        <f aca="false">IF($B6=3,"DPF","")</f>
        <v>DPF</v>
      </c>
      <c r="AA6" s="1" t="str">
        <f aca="false">IF($B6=3,"DPF","")</f>
        <v>DPF</v>
      </c>
      <c r="AB6" s="1" t="str">
        <f aca="false">IF($B6=3,"DPF","")</f>
        <v>DPF</v>
      </c>
      <c r="AC6" s="1" t="str">
        <f aca="false">IF($B6=3,"DPF","")</f>
        <v>DPF</v>
      </c>
      <c r="AD6" s="1" t="str">
        <f aca="false">IF($B6=3,"DPF","")</f>
        <v>DPF</v>
      </c>
      <c r="AE6" s="1" t="str">
        <f aca="false">IF($B6=3,"DPF","")</f>
        <v>DPF</v>
      </c>
      <c r="AF6" s="1" t="str">
        <f aca="false">IF($B6=3,"DPF","")</f>
        <v>DPF</v>
      </c>
      <c r="AG6" s="1" t="str">
        <f aca="false">IF($B6=3,"DPF","")</f>
        <v>DPF</v>
      </c>
      <c r="AH6" s="1" t="str">
        <f aca="false">IF($B6=3,"DPF","")</f>
        <v>DPF</v>
      </c>
      <c r="AI6" s="1" t="str">
        <f aca="false">IF($B6=3,"PFI","")</f>
        <v>PFI</v>
      </c>
      <c r="AJ6" s="1" t="str">
        <f aca="false">IF($B6=3,"PFI","")</f>
        <v>PFI</v>
      </c>
      <c r="AK6" s="1" t="str">
        <f aca="false">IF($B6=3,"PFI","")</f>
        <v>PFI</v>
      </c>
      <c r="AL6" s="1" t="str">
        <f aca="false">IF($B6=3,"PFI","")</f>
        <v>PFI</v>
      </c>
      <c r="AM6" s="1" t="str">
        <f aca="false">IF($B6=3,"PFI","")</f>
        <v>PFI</v>
      </c>
      <c r="AN6" s="1" t="str">
        <f aca="false">IF($B6=3,"PFI","")</f>
        <v>PFI</v>
      </c>
      <c r="AO6" s="1" t="str">
        <f aca="false">IF($B6=3,"PFI","")</f>
        <v>PFI</v>
      </c>
      <c r="AP6" s="1" t="str">
        <f aca="false">IF($B6=3,"PFI","")</f>
        <v>PFI</v>
      </c>
      <c r="AQ6" s="1" t="str">
        <f aca="false">IF($B6=3,"PFI","")</f>
        <v>PFI</v>
      </c>
      <c r="AR6" s="1" t="str">
        <f aca="false">IF($B6=3,"DPF","")</f>
        <v>DPF</v>
      </c>
      <c r="AS6" s="1" t="str">
        <f aca="false">IF($B6=3,"DPF","")</f>
        <v>DPF</v>
      </c>
      <c r="AT6" s="1" t="str">
        <f aca="false">IF($B6=3,"DPF","")</f>
        <v>DPF</v>
      </c>
      <c r="AU6" s="1" t="str">
        <f aca="false">IF($B6=3,"DPF","")</f>
        <v>DPF</v>
      </c>
      <c r="AV6" s="1" t="str">
        <f aca="false">IF($B6=3,"DPF","")</f>
        <v>DPF</v>
      </c>
      <c r="AW6" s="1" t="str">
        <f aca="false">IF($B6=3,"DPF","")</f>
        <v>DPF</v>
      </c>
      <c r="AY6" s="1" t="str">
        <f aca="false">IF($B6=3,"DPF","")</f>
        <v>DPF</v>
      </c>
      <c r="AZ6" s="1" t="str">
        <f aca="false">IF($B6=3,"DPF","")</f>
        <v>DPF</v>
      </c>
      <c r="BA6" s="1" t="str">
        <f aca="false">IF($B6=3,"DPF","")</f>
        <v>DPF</v>
      </c>
      <c r="BB6" s="1" t="str">
        <f aca="false">IF($B6=3,"PFI","")</f>
        <v>PFI</v>
      </c>
      <c r="BC6" s="1" t="str">
        <f aca="false">IF($B6=3,"PFI","")</f>
        <v>PFI</v>
      </c>
      <c r="BD6" s="1" t="str">
        <f aca="false">IF($B6=3,"PFI","")</f>
        <v>PFI</v>
      </c>
      <c r="BE6" s="1" t="str">
        <f aca="false">IF($B6=3,"DPF","")</f>
        <v>DPF</v>
      </c>
      <c r="BF6" s="1" t="str">
        <f aca="false">IF($B6=3,"DPF","")</f>
        <v>DPF</v>
      </c>
      <c r="BG6" s="1" t="str">
        <f aca="false">IF($B6=3,"PFI","")</f>
        <v>PFI</v>
      </c>
      <c r="BH6" s="1" t="str">
        <f aca="false">IF($B6=3,"PFI","")</f>
        <v>PFI</v>
      </c>
      <c r="BI6" s="1" t="str">
        <f aca="false">IF($B6=3,"DPF","")</f>
        <v>DPF</v>
      </c>
      <c r="BK6" s="1" t="str">
        <f aca="false">IF($B6=3,"PFI","")</f>
        <v>PFI</v>
      </c>
      <c r="BL6" s="1" t="str">
        <f aca="false">IF($B6=3,"PFI","")</f>
        <v>PFI</v>
      </c>
      <c r="BM6" s="1" t="str">
        <f aca="false">IF($B6=3,"PFI","")</f>
        <v>PFI</v>
      </c>
      <c r="BN6" s="1" t="str">
        <f aca="false">IF($B6=3,"PFI","")</f>
        <v>PFI</v>
      </c>
      <c r="BO6" s="1" t="str">
        <f aca="false">IF($B6=3,"PFI","")</f>
        <v>PFI</v>
      </c>
    </row>
    <row r="7" customFormat="false" ht="12.75" hidden="false" customHeight="false" outlineLevel="0" collapsed="false">
      <c r="A7" s="6" t="n">
        <v>2020</v>
      </c>
      <c r="B7" s="1" t="n">
        <v>3</v>
      </c>
      <c r="C7" s="1" t="s">
        <v>319</v>
      </c>
      <c r="D7" s="1" t="n">
        <v>3</v>
      </c>
      <c r="E7" s="1" t="n">
        <v>3</v>
      </c>
      <c r="F7" s="1" t="str">
        <f aca="false">IF($B7=3,"PFI","")</f>
        <v>PFI</v>
      </c>
      <c r="G7" s="1" t="str">
        <f aca="false">IF($B7=3,"PFI","")</f>
        <v>PFI</v>
      </c>
      <c r="H7" s="1" t="str">
        <f aca="false">IF($B7=3,"PFI","")</f>
        <v>PFI</v>
      </c>
      <c r="I7" s="1" t="str">
        <f aca="false">IF($B7=3,"PFI","")</f>
        <v>PFI</v>
      </c>
      <c r="J7" s="1" t="str">
        <f aca="false">IF($B7=3,"PFI","")</f>
        <v>PFI</v>
      </c>
      <c r="K7" s="1" t="str">
        <f aca="false">IF($B7=3,"PFI","")</f>
        <v>PFI</v>
      </c>
      <c r="L7" s="1" t="str">
        <f aca="false">IF($B7=3,"DPF","")</f>
        <v>DPF</v>
      </c>
      <c r="M7" s="1" t="str">
        <f aca="false">IF($B7=3,"DPF","")</f>
        <v>DPF</v>
      </c>
      <c r="N7" s="1" t="str">
        <f aca="false">IF($B7=3,"DPF","")</f>
        <v>DPF</v>
      </c>
      <c r="O7" s="1" t="str">
        <f aca="false">IF($B7=3,"PFI","")</f>
        <v>PFI</v>
      </c>
      <c r="P7" s="1" t="str">
        <f aca="false">IF($B7=3,"PFI","")</f>
        <v>PFI</v>
      </c>
      <c r="R7" s="1" t="str">
        <f aca="false">IF($B7=3,"PFI","")</f>
        <v>PFI</v>
      </c>
      <c r="S7" s="1" t="str">
        <f aca="false">IF($B7=3,"PFI","")</f>
        <v>PFI</v>
      </c>
      <c r="T7" s="1" t="str">
        <f aca="false">IF($B7=3,"PFI","")</f>
        <v>PFI</v>
      </c>
      <c r="U7" s="1" t="str">
        <f aca="false">IF($B7=3,"DPF","")</f>
        <v>DPF</v>
      </c>
      <c r="V7" s="1" t="str">
        <f aca="false">IF($B7=3,"DPF","")</f>
        <v>DPF</v>
      </c>
      <c r="W7" s="1" t="str">
        <f aca="false">IF($B7=3,"DPF","")</f>
        <v>DPF</v>
      </c>
      <c r="X7" s="1" t="str">
        <f aca="false">IF($B7=3,"DPF","")</f>
        <v>DPF</v>
      </c>
      <c r="Y7" s="1" t="str">
        <f aca="false">IF($B7=3,"DPF","")</f>
        <v>DPF</v>
      </c>
      <c r="Z7" s="1" t="str">
        <f aca="false">IF($B7=3,"DPF","")</f>
        <v>DPF</v>
      </c>
      <c r="AA7" s="1" t="str">
        <f aca="false">IF($B7=3,"DPF","")</f>
        <v>DPF</v>
      </c>
      <c r="AB7" s="1" t="str">
        <f aca="false">IF($B7=3,"DPF","")</f>
        <v>DPF</v>
      </c>
      <c r="AC7" s="1" t="str">
        <f aca="false">IF($B7=3,"DPF","")</f>
        <v>DPF</v>
      </c>
      <c r="AD7" s="1" t="str">
        <f aca="false">IF($B7=3,"DPF","")</f>
        <v>DPF</v>
      </c>
      <c r="AE7" s="1" t="str">
        <f aca="false">IF($B7=3,"DPF","")</f>
        <v>DPF</v>
      </c>
      <c r="AF7" s="1" t="str">
        <f aca="false">IF($B7=3,"DPF","")</f>
        <v>DPF</v>
      </c>
      <c r="AG7" s="1" t="str">
        <f aca="false">IF($B7=3,"DPF","")</f>
        <v>DPF</v>
      </c>
      <c r="AH7" s="1" t="str">
        <f aca="false">IF($B7=3,"DPF","")</f>
        <v>DPF</v>
      </c>
      <c r="AI7" s="1" t="str">
        <f aca="false">IF($B7=3,"PFI","")</f>
        <v>PFI</v>
      </c>
      <c r="AJ7" s="1" t="str">
        <f aca="false">IF($B7=3,"PFI","")</f>
        <v>PFI</v>
      </c>
      <c r="AK7" s="1" t="str">
        <f aca="false">IF($B7=3,"PFI","")</f>
        <v>PFI</v>
      </c>
      <c r="AL7" s="1" t="str">
        <f aca="false">IF($B7=3,"PFI","")</f>
        <v>PFI</v>
      </c>
      <c r="AM7" s="1" t="str">
        <f aca="false">IF($B7=3,"PFI","")</f>
        <v>PFI</v>
      </c>
      <c r="AN7" s="1" t="str">
        <f aca="false">IF($B7=3,"PFI","")</f>
        <v>PFI</v>
      </c>
      <c r="AO7" s="1" t="str">
        <f aca="false">IF($B7=3,"PFI","")</f>
        <v>PFI</v>
      </c>
      <c r="AP7" s="1" t="str">
        <f aca="false">IF($B7=3,"PFI","")</f>
        <v>PFI</v>
      </c>
      <c r="AQ7" s="1" t="str">
        <f aca="false">IF($B7=3,"PFI","")</f>
        <v>PFI</v>
      </c>
      <c r="AR7" s="1" t="str">
        <f aca="false">IF($B7=3,"DPF","")</f>
        <v>DPF</v>
      </c>
      <c r="AS7" s="1" t="str">
        <f aca="false">IF($B7=3,"DPF","")</f>
        <v>DPF</v>
      </c>
      <c r="AT7" s="1" t="str">
        <f aca="false">IF($B7=3,"DPF","")</f>
        <v>DPF</v>
      </c>
      <c r="AU7" s="1" t="str">
        <f aca="false">IF($B7=3,"DPF","")</f>
        <v>DPF</v>
      </c>
      <c r="AV7" s="1" t="str">
        <f aca="false">IF($B7=3,"DPF","")</f>
        <v>DPF</v>
      </c>
      <c r="AW7" s="1" t="str">
        <f aca="false">IF($B7=3,"DPF","")</f>
        <v>DPF</v>
      </c>
      <c r="AY7" s="1" t="str">
        <f aca="false">IF($B7=3,"DPF","")</f>
        <v>DPF</v>
      </c>
      <c r="AZ7" s="1" t="str">
        <f aca="false">IF($B7=3,"DPF","")</f>
        <v>DPF</v>
      </c>
      <c r="BA7" s="1" t="str">
        <f aca="false">IF($B7=3,"DPF","")</f>
        <v>DPF</v>
      </c>
      <c r="BB7" s="1" t="str">
        <f aca="false">IF($B7=3,"PFI","")</f>
        <v>PFI</v>
      </c>
      <c r="BC7" s="1" t="str">
        <f aca="false">IF($B7=3,"PFI","")</f>
        <v>PFI</v>
      </c>
      <c r="BD7" s="1" t="str">
        <f aca="false">IF($B7=3,"PFI","")</f>
        <v>PFI</v>
      </c>
      <c r="BE7" s="1" t="str">
        <f aca="false">IF($B7=3,"DPF","")</f>
        <v>DPF</v>
      </c>
      <c r="BF7" s="1" t="str">
        <f aca="false">IF($B7=3,"DPF","")</f>
        <v>DPF</v>
      </c>
      <c r="BG7" s="1" t="str">
        <f aca="false">IF($B7=3,"PFI","")</f>
        <v>PFI</v>
      </c>
      <c r="BH7" s="1" t="str">
        <f aca="false">IF($B7=3,"PFI","")</f>
        <v>PFI</v>
      </c>
      <c r="BI7" s="1" t="str">
        <f aca="false">IF($B7=3,"DPF","")</f>
        <v>DPF</v>
      </c>
      <c r="BK7" s="1" t="str">
        <f aca="false">IF($B7=3,"PFI","")</f>
        <v>PFI</v>
      </c>
      <c r="BL7" s="1" t="str">
        <f aca="false">IF($B7=3,"PFI","")</f>
        <v>PFI</v>
      </c>
      <c r="BM7" s="1" t="str">
        <f aca="false">IF($B7=3,"PFI","")</f>
        <v>PFI</v>
      </c>
      <c r="BN7" s="1" t="str">
        <f aca="false">IF($B7=3,"PFI","")</f>
        <v>PFI</v>
      </c>
      <c r="BO7" s="1" t="str">
        <f aca="false">IF($B7=3,"PFI","")</f>
        <v>PFI</v>
      </c>
    </row>
    <row r="8" customFormat="false" ht="12.75" hidden="false" customHeight="false" outlineLevel="0" collapsed="false">
      <c r="A8" s="1" t="n">
        <v>2019</v>
      </c>
      <c r="B8" s="1" t="n">
        <v>3</v>
      </c>
      <c r="C8" s="1" t="s">
        <v>319</v>
      </c>
      <c r="D8" s="1" t="n">
        <v>3</v>
      </c>
      <c r="E8" s="1" t="n">
        <v>3</v>
      </c>
      <c r="F8" s="1" t="str">
        <f aca="false">IF($B8=3,"PFI","")</f>
        <v>PFI</v>
      </c>
      <c r="G8" s="1" t="str">
        <f aca="false">IF($B8=3,"PFI","")</f>
        <v>PFI</v>
      </c>
      <c r="H8" s="1" t="str">
        <f aca="false">IF($B8=3,"PFI","")</f>
        <v>PFI</v>
      </c>
      <c r="I8" s="1" t="str">
        <f aca="false">IF($B8=3,"PFI","")</f>
        <v>PFI</v>
      </c>
      <c r="J8" s="1" t="str">
        <f aca="false">IF($B8=3,"PFI","")</f>
        <v>PFI</v>
      </c>
      <c r="K8" s="1" t="str">
        <f aca="false">IF($B8=3,"PFI","")</f>
        <v>PFI</v>
      </c>
      <c r="L8" s="1" t="str">
        <f aca="false">IF($B8=3,"DPF","")</f>
        <v>DPF</v>
      </c>
      <c r="M8" s="1" t="str">
        <f aca="false">IF($B8=3,"DPF","")</f>
        <v>DPF</v>
      </c>
      <c r="N8" s="1" t="str">
        <f aca="false">IF($B8=3,"DPF","")</f>
        <v>DPF</v>
      </c>
      <c r="O8" s="1" t="str">
        <f aca="false">IF($B8=3,"PFI","")</f>
        <v>PFI</v>
      </c>
      <c r="P8" s="1" t="str">
        <f aca="false">IF($B8=3,"PFI","")</f>
        <v>PFI</v>
      </c>
      <c r="R8" s="1" t="str">
        <f aca="false">IF($B8=3,"PFI","")</f>
        <v>PFI</v>
      </c>
      <c r="S8" s="1" t="str">
        <f aca="false">IF($B8=3,"PFI","")</f>
        <v>PFI</v>
      </c>
      <c r="T8" s="1" t="str">
        <f aca="false">IF($B8=3,"PFI","")</f>
        <v>PFI</v>
      </c>
      <c r="U8" s="1" t="str">
        <f aca="false">IF($B8=3,"DPF","")</f>
        <v>DPF</v>
      </c>
      <c r="V8" s="1" t="str">
        <f aca="false">IF($B8=3,"DPF","")</f>
        <v>DPF</v>
      </c>
      <c r="W8" s="1" t="str">
        <f aca="false">IF($B8=3,"DPF","")</f>
        <v>DPF</v>
      </c>
      <c r="X8" s="1" t="str">
        <f aca="false">IF($B8=3,"DPF","")</f>
        <v>DPF</v>
      </c>
      <c r="Y8" s="1" t="str">
        <f aca="false">IF($B8=3,"DPF","")</f>
        <v>DPF</v>
      </c>
      <c r="Z8" s="1" t="str">
        <f aca="false">IF($B8=3,"DPF","")</f>
        <v>DPF</v>
      </c>
      <c r="AA8" s="1" t="str">
        <f aca="false">IF($B8=3,"DPF","")</f>
        <v>DPF</v>
      </c>
      <c r="AB8" s="1" t="str">
        <f aca="false">IF($B8=3,"DPF","")</f>
        <v>DPF</v>
      </c>
      <c r="AC8" s="1" t="str">
        <f aca="false">IF($B8=3,"DPF","")</f>
        <v>DPF</v>
      </c>
      <c r="AD8" s="1" t="str">
        <f aca="false">IF($B8=3,"DPF","")</f>
        <v>DPF</v>
      </c>
      <c r="AE8" s="1" t="str">
        <f aca="false">IF($B8=3,"DPF","")</f>
        <v>DPF</v>
      </c>
      <c r="AF8" s="1" t="str">
        <f aca="false">IF($B8=3,"DPF","")</f>
        <v>DPF</v>
      </c>
      <c r="AG8" s="1" t="str">
        <f aca="false">IF($B8=3,"DPF","")</f>
        <v>DPF</v>
      </c>
      <c r="AH8" s="1" t="str">
        <f aca="false">IF($B8=3,"DPF","")</f>
        <v>DPF</v>
      </c>
      <c r="AI8" s="1" t="str">
        <f aca="false">IF($B8=3,"PFI","")</f>
        <v>PFI</v>
      </c>
      <c r="AJ8" s="1" t="str">
        <f aca="false">IF($B8=3,"PFI","")</f>
        <v>PFI</v>
      </c>
      <c r="AK8" s="1" t="str">
        <f aca="false">IF($B8=3,"PFI","")</f>
        <v>PFI</v>
      </c>
      <c r="AL8" s="1" t="str">
        <f aca="false">IF($B8=3,"PFI","")</f>
        <v>PFI</v>
      </c>
      <c r="AM8" s="1" t="str">
        <f aca="false">IF($B8=3,"PFI","")</f>
        <v>PFI</v>
      </c>
      <c r="AN8" s="1" t="str">
        <f aca="false">IF($B8=3,"PFI","")</f>
        <v>PFI</v>
      </c>
      <c r="AO8" s="1" t="str">
        <f aca="false">IF($B8=3,"PFI","")</f>
        <v>PFI</v>
      </c>
      <c r="AP8" s="1" t="str">
        <f aca="false">IF($B8=3,"PFI","")</f>
        <v>PFI</v>
      </c>
      <c r="AQ8" s="1" t="str">
        <f aca="false">IF($B8=3,"PFI","")</f>
        <v>PFI</v>
      </c>
      <c r="AR8" s="1" t="str">
        <f aca="false">IF($B8=3,"DPF","")</f>
        <v>DPF</v>
      </c>
      <c r="AS8" s="1" t="str">
        <f aca="false">IF($B8=3,"DPF","")</f>
        <v>DPF</v>
      </c>
      <c r="AT8" s="1" t="str">
        <f aca="false">IF($B8=3,"DPF","")</f>
        <v>DPF</v>
      </c>
      <c r="AU8" s="1" t="str">
        <f aca="false">IF($B8=3,"DPF","")</f>
        <v>DPF</v>
      </c>
      <c r="AV8" s="1" t="str">
        <f aca="false">IF($B8=3,"DPF","")</f>
        <v>DPF</v>
      </c>
      <c r="AW8" s="1" t="str">
        <f aca="false">IF($B8=3,"DPF","")</f>
        <v>DPF</v>
      </c>
      <c r="AY8" s="1" t="str">
        <f aca="false">IF($B8=3,"DPF","")</f>
        <v>DPF</v>
      </c>
      <c r="AZ8" s="1" t="str">
        <f aca="false">IF($B8=3,"DPF","")</f>
        <v>DPF</v>
      </c>
      <c r="BA8" s="1" t="str">
        <f aca="false">IF($B8=3,"DPF","")</f>
        <v>DPF</v>
      </c>
      <c r="BB8" s="1" t="str">
        <f aca="false">IF($B8=3,"PFI","")</f>
        <v>PFI</v>
      </c>
      <c r="BC8" s="1" t="str">
        <f aca="false">IF($B8=3,"PFI","")</f>
        <v>PFI</v>
      </c>
      <c r="BD8" s="1" t="str">
        <f aca="false">IF($B8=3,"PFI","")</f>
        <v>PFI</v>
      </c>
      <c r="BE8" s="1" t="str">
        <f aca="false">IF($B8=3,"DPF","")</f>
        <v>DPF</v>
      </c>
      <c r="BF8" s="1" t="str">
        <f aca="false">IF($B8=3,"DPF","")</f>
        <v>DPF</v>
      </c>
      <c r="BG8" s="1" t="str">
        <f aca="false">IF($B8=3,"PFI","")</f>
        <v>PFI</v>
      </c>
      <c r="BH8" s="1" t="str">
        <f aca="false">IF($B8=3,"PFI","")</f>
        <v>PFI</v>
      </c>
      <c r="BI8" s="1" t="str">
        <f aca="false">IF($B8=3,"DPF","")</f>
        <v>DPF</v>
      </c>
      <c r="BK8" s="1" t="str">
        <f aca="false">IF($B8=3,"PFI","")</f>
        <v>PFI</v>
      </c>
      <c r="BL8" s="1" t="str">
        <f aca="false">IF($B8=3,"PFI","")</f>
        <v>PFI</v>
      </c>
      <c r="BM8" s="1" t="str">
        <f aca="false">IF($B8=3,"PFI","")</f>
        <v>PFI</v>
      </c>
      <c r="BN8" s="1" t="str">
        <f aca="false">IF($B8=3,"PFI","")</f>
        <v>PFI</v>
      </c>
      <c r="BO8" s="1" t="str">
        <f aca="false">IF($B8=3,"PFI","")</f>
        <v>PFI</v>
      </c>
    </row>
    <row r="9" customFormat="false" ht="12.75" hidden="false" customHeight="false" outlineLevel="0" collapsed="false">
      <c r="A9" s="1" t="n">
        <f aca="false">A8-1</f>
        <v>2018</v>
      </c>
      <c r="B9" s="1" t="n">
        <v>3</v>
      </c>
      <c r="C9" s="1" t="s">
        <v>319</v>
      </c>
      <c r="D9" s="1" t="n">
        <v>3</v>
      </c>
      <c r="E9" s="1" t="n">
        <v>3</v>
      </c>
      <c r="F9" s="1" t="str">
        <f aca="false">IF($B9=3,"PFI","")</f>
        <v>PFI</v>
      </c>
      <c r="G9" s="1" t="str">
        <f aca="false">IF($B9=3,"PFI","")</f>
        <v>PFI</v>
      </c>
      <c r="H9" s="1" t="str">
        <f aca="false">IF($B9=3,"PFI","")</f>
        <v>PFI</v>
      </c>
      <c r="I9" s="1" t="str">
        <f aca="false">IF($B9=3,"PFI","")</f>
        <v>PFI</v>
      </c>
      <c r="J9" s="1" t="str">
        <f aca="false">IF($B9=3,"PFI","")</f>
        <v>PFI</v>
      </c>
      <c r="K9" s="1" t="str">
        <f aca="false">IF($B9=3,"PFI","")</f>
        <v>PFI</v>
      </c>
      <c r="L9" s="1" t="str">
        <f aca="false">IF($B9=3,"DPF","")</f>
        <v>DPF</v>
      </c>
      <c r="M9" s="1" t="str">
        <f aca="false">IF($B9=3,"DPF","")</f>
        <v>DPF</v>
      </c>
      <c r="N9" s="1" t="str">
        <f aca="false">IF($B9=3,"DPF","")</f>
        <v>DPF</v>
      </c>
      <c r="O9" s="1" t="str">
        <f aca="false">IF($B9=3,"PFI","")</f>
        <v>PFI</v>
      </c>
      <c r="P9" s="1" t="str">
        <f aca="false">IF($B9=3,"PFI","")</f>
        <v>PFI</v>
      </c>
      <c r="R9" s="1" t="str">
        <f aca="false">IF($B9=3,"PFI","")</f>
        <v>PFI</v>
      </c>
      <c r="S9" s="1" t="str">
        <f aca="false">IF($B9=3,"PFI","")</f>
        <v>PFI</v>
      </c>
      <c r="T9" s="1" t="str">
        <f aca="false">IF($B9=3,"PFI","")</f>
        <v>PFI</v>
      </c>
      <c r="U9" s="1" t="str">
        <f aca="false">IF($B9=3,"DPF","")</f>
        <v>DPF</v>
      </c>
      <c r="V9" s="1" t="str">
        <f aca="false">IF($B9=3,"DPF","")</f>
        <v>DPF</v>
      </c>
      <c r="W9" s="1" t="str">
        <f aca="false">IF($B9=3,"DPF","")</f>
        <v>DPF</v>
      </c>
      <c r="X9" s="1" t="str">
        <f aca="false">IF($B9=3,"DPF","")</f>
        <v>DPF</v>
      </c>
      <c r="Y9" s="1" t="str">
        <f aca="false">IF($B9=3,"DPF","")</f>
        <v>DPF</v>
      </c>
      <c r="Z9" s="1" t="str">
        <f aca="false">IF($B9=3,"DPF","")</f>
        <v>DPF</v>
      </c>
      <c r="AA9" s="1" t="str">
        <f aca="false">IF($B9=3,"DPF","")</f>
        <v>DPF</v>
      </c>
      <c r="AB9" s="1" t="str">
        <f aca="false">IF($B9=3,"DPF","")</f>
        <v>DPF</v>
      </c>
      <c r="AC9" s="1" t="str">
        <f aca="false">IF($B9=3,"DPF","")</f>
        <v>DPF</v>
      </c>
      <c r="AD9" s="1" t="str">
        <f aca="false">IF($B9=3,"DPF","")</f>
        <v>DPF</v>
      </c>
      <c r="AE9" s="1" t="str">
        <f aca="false">IF($B9=3,"DPF","")</f>
        <v>DPF</v>
      </c>
      <c r="AF9" s="1" t="str">
        <f aca="false">IF($B9=3,"DPF","")</f>
        <v>DPF</v>
      </c>
      <c r="AG9" s="1" t="str">
        <f aca="false">IF($B9=3,"DPF","")</f>
        <v>DPF</v>
      </c>
      <c r="AH9" s="1" t="str">
        <f aca="false">IF($B9=3,"DPF","")</f>
        <v>DPF</v>
      </c>
      <c r="AI9" s="1" t="str">
        <f aca="false">IF($B9=3,"PFI","")</f>
        <v>PFI</v>
      </c>
      <c r="AJ9" s="1" t="str">
        <f aca="false">IF($B9=3,"PFI","")</f>
        <v>PFI</v>
      </c>
      <c r="AK9" s="1" t="str">
        <f aca="false">IF($B9=3,"PFI","")</f>
        <v>PFI</v>
      </c>
      <c r="AL9" s="1" t="str">
        <f aca="false">IF($B9=3,"PFI","")</f>
        <v>PFI</v>
      </c>
      <c r="AM9" s="1" t="str">
        <f aca="false">IF($B9=3,"PFI","")</f>
        <v>PFI</v>
      </c>
      <c r="AN9" s="1" t="str">
        <f aca="false">IF($B9=3,"PFI","")</f>
        <v>PFI</v>
      </c>
      <c r="AO9" s="1" t="str">
        <f aca="false">IF($B9=3,"PFI","")</f>
        <v>PFI</v>
      </c>
      <c r="AP9" s="1" t="str">
        <f aca="false">IF($B9=3,"PFI","")</f>
        <v>PFI</v>
      </c>
      <c r="AQ9" s="1" t="str">
        <f aca="false">IF($B9=3,"PFI","")</f>
        <v>PFI</v>
      </c>
      <c r="AR9" s="1" t="str">
        <f aca="false">IF($B9=3,"DPF","")</f>
        <v>DPF</v>
      </c>
      <c r="AS9" s="1" t="str">
        <f aca="false">IF($B9=3,"DPF","")</f>
        <v>DPF</v>
      </c>
      <c r="AT9" s="1" t="str">
        <f aca="false">IF($B9=3,"DPF","")</f>
        <v>DPF</v>
      </c>
      <c r="AU9" s="1" t="str">
        <f aca="false">IF($B9=3,"DPF","")</f>
        <v>DPF</v>
      </c>
      <c r="AV9" s="1" t="str">
        <f aca="false">IF($B9=3,"DPF","")</f>
        <v>DPF</v>
      </c>
      <c r="AW9" s="1" t="str">
        <f aca="false">IF($B9=3,"DPF","")</f>
        <v>DPF</v>
      </c>
      <c r="AY9" s="1" t="str">
        <f aca="false">IF($B9=3,"DPF","")</f>
        <v>DPF</v>
      </c>
      <c r="AZ9" s="1" t="str">
        <f aca="false">IF($B9=3,"DPF","")</f>
        <v>DPF</v>
      </c>
      <c r="BA9" s="1" t="str">
        <f aca="false">IF($B9=3,"DPF","")</f>
        <v>DPF</v>
      </c>
      <c r="BB9" s="1" t="str">
        <f aca="false">IF($B9=3,"PFI","")</f>
        <v>PFI</v>
      </c>
      <c r="BC9" s="1" t="str">
        <f aca="false">IF($B9=3,"PFI","")</f>
        <v>PFI</v>
      </c>
      <c r="BD9" s="1" t="str">
        <f aca="false">IF($B9=3,"PFI","")</f>
        <v>PFI</v>
      </c>
      <c r="BE9" s="1" t="str">
        <f aca="false">IF($B9=3,"DPF","")</f>
        <v>DPF</v>
      </c>
      <c r="BF9" s="1" t="str">
        <f aca="false">IF($B9=3,"DPF","")</f>
        <v>DPF</v>
      </c>
      <c r="BG9" s="1" t="str">
        <f aca="false">IF($B9=3,"PFI","")</f>
        <v>PFI</v>
      </c>
      <c r="BH9" s="1" t="str">
        <f aca="false">IF($B9=3,"PFI","")</f>
        <v>PFI</v>
      </c>
      <c r="BI9" s="1" t="str">
        <f aca="false">IF($B9=3,"DPF","")</f>
        <v>DPF</v>
      </c>
      <c r="BK9" s="1" t="str">
        <f aca="false">IF($B9=3,"PFI","")</f>
        <v>PFI</v>
      </c>
      <c r="BL9" s="1" t="str">
        <f aca="false">IF($B9=3,"PFI","")</f>
        <v>PFI</v>
      </c>
      <c r="BM9" s="1" t="str">
        <f aca="false">IF($B9=3,"PFI","")</f>
        <v>PFI</v>
      </c>
      <c r="BN9" s="1" t="str">
        <f aca="false">IF($B9=3,"PFI","")</f>
        <v>PFI</v>
      </c>
      <c r="BO9" s="1" t="str">
        <f aca="false">IF($B9=3,"PFI","")</f>
        <v>PFI</v>
      </c>
    </row>
    <row r="10" customFormat="false" ht="12.75" hidden="false" customHeight="false" outlineLevel="0" collapsed="false">
      <c r="A10" s="1" t="n">
        <f aca="false">A9-1</f>
        <v>2017</v>
      </c>
      <c r="B10" s="1" t="n">
        <v>3</v>
      </c>
      <c r="C10" s="1" t="s">
        <v>319</v>
      </c>
      <c r="D10" s="1" t="n">
        <v>3</v>
      </c>
      <c r="E10" s="1" t="n">
        <v>3</v>
      </c>
      <c r="F10" s="1" t="str">
        <f aca="false">IF($B10=3,"PFI","")</f>
        <v>PFI</v>
      </c>
      <c r="G10" s="1" t="str">
        <f aca="false">IF($B10=3,"PFI","")</f>
        <v>PFI</v>
      </c>
      <c r="H10" s="1" t="str">
        <f aca="false">IF($B10=3,"PFI","")</f>
        <v>PFI</v>
      </c>
      <c r="I10" s="1" t="str">
        <f aca="false">IF($B10=3,"PFI","")</f>
        <v>PFI</v>
      </c>
      <c r="J10" s="1" t="str">
        <f aca="false">IF($B10=3,"PFI","")</f>
        <v>PFI</v>
      </c>
      <c r="K10" s="1" t="str">
        <f aca="false">IF($B10=3,"PFI","")</f>
        <v>PFI</v>
      </c>
      <c r="L10" s="1" t="str">
        <f aca="false">IF($B10=3,"DPF","")</f>
        <v>DPF</v>
      </c>
      <c r="M10" s="1" t="str">
        <f aca="false">IF($B10=3,"DPF","")</f>
        <v>DPF</v>
      </c>
      <c r="N10" s="1" t="str">
        <f aca="false">IF($B10=3,"DPF","")</f>
        <v>DPF</v>
      </c>
      <c r="O10" s="1" t="str">
        <f aca="false">IF($B10=3,"PFI","")</f>
        <v>PFI</v>
      </c>
      <c r="P10" s="1" t="str">
        <f aca="false">IF($B10=3,"PFI","")</f>
        <v>PFI</v>
      </c>
      <c r="R10" s="1" t="str">
        <f aca="false">IF($B10=3,"PFI","")</f>
        <v>PFI</v>
      </c>
      <c r="S10" s="1" t="str">
        <f aca="false">IF($B10=3,"PFI","")</f>
        <v>PFI</v>
      </c>
      <c r="T10" s="1" t="str">
        <f aca="false">IF($B10=3,"PFI","")</f>
        <v>PFI</v>
      </c>
      <c r="U10" s="1" t="str">
        <f aca="false">IF($B10=3,"DPF","")</f>
        <v>DPF</v>
      </c>
      <c r="V10" s="1" t="str">
        <f aca="false">IF($B10=3,"DPF","")</f>
        <v>DPF</v>
      </c>
      <c r="W10" s="1" t="str">
        <f aca="false">IF($B10=3,"DPF","")</f>
        <v>DPF</v>
      </c>
      <c r="X10" s="1" t="str">
        <f aca="false">IF($B10=3,"DPF","")</f>
        <v>DPF</v>
      </c>
      <c r="Y10" s="1" t="str">
        <f aca="false">IF($B10=3,"DPF","")</f>
        <v>DPF</v>
      </c>
      <c r="Z10" s="1" t="str">
        <f aca="false">IF($B10=3,"DPF","")</f>
        <v>DPF</v>
      </c>
      <c r="AA10" s="1" t="str">
        <f aca="false">IF($B10=3,"DPF","")</f>
        <v>DPF</v>
      </c>
      <c r="AB10" s="1" t="str">
        <f aca="false">IF($B10=3,"DPF","")</f>
        <v>DPF</v>
      </c>
      <c r="AC10" s="1" t="str">
        <f aca="false">IF($B10=3,"DPF","")</f>
        <v>DPF</v>
      </c>
      <c r="AD10" s="1" t="str">
        <f aca="false">IF($B10=3,"DPF","")</f>
        <v>DPF</v>
      </c>
      <c r="AE10" s="1" t="str">
        <f aca="false">IF($B10=3,"DPF","")</f>
        <v>DPF</v>
      </c>
      <c r="AF10" s="1" t="str">
        <f aca="false">IF($B10=3,"DPF","")</f>
        <v>DPF</v>
      </c>
      <c r="AG10" s="1" t="str">
        <f aca="false">IF($B10=3,"DPF","")</f>
        <v>DPF</v>
      </c>
      <c r="AH10" s="1" t="str">
        <f aca="false">IF($B10=3,"DPF","")</f>
        <v>DPF</v>
      </c>
      <c r="AI10" s="1" t="str">
        <f aca="false">IF($B10=3,"PFI","")</f>
        <v>PFI</v>
      </c>
      <c r="AJ10" s="1" t="str">
        <f aca="false">IF($B10=3,"PFI","")</f>
        <v>PFI</v>
      </c>
      <c r="AK10" s="1" t="str">
        <f aca="false">IF($B10=3,"PFI","")</f>
        <v>PFI</v>
      </c>
      <c r="AL10" s="1" t="str">
        <f aca="false">IF($B10=3,"PFI","")</f>
        <v>PFI</v>
      </c>
      <c r="AM10" s="1" t="str">
        <f aca="false">IF($B10=3,"PFI","")</f>
        <v>PFI</v>
      </c>
      <c r="AN10" s="1" t="str">
        <f aca="false">IF($B10=3,"PFI","")</f>
        <v>PFI</v>
      </c>
      <c r="AO10" s="1" t="str">
        <f aca="false">IF($B10=3,"PFI","")</f>
        <v>PFI</v>
      </c>
      <c r="AP10" s="1" t="str">
        <f aca="false">IF($B10=3,"PFI","")</f>
        <v>PFI</v>
      </c>
      <c r="AQ10" s="1" t="str">
        <f aca="false">IF($B10=3,"PFI","")</f>
        <v>PFI</v>
      </c>
      <c r="AR10" s="1" t="str">
        <f aca="false">IF($B10=3,"DPF","")</f>
        <v>DPF</v>
      </c>
      <c r="AS10" s="1" t="str">
        <f aca="false">IF($B10=3,"DPF","")</f>
        <v>DPF</v>
      </c>
      <c r="AT10" s="1" t="str">
        <f aca="false">IF($B10=3,"DPF","")</f>
        <v>DPF</v>
      </c>
      <c r="AU10" s="1" t="str">
        <f aca="false">IF($B10=3,"DPF","")</f>
        <v>DPF</v>
      </c>
      <c r="AV10" s="1" t="str">
        <f aca="false">IF($B10=3,"DPF","")</f>
        <v>DPF</v>
      </c>
      <c r="AW10" s="1" t="str">
        <f aca="false">IF($B10=3,"DPF","")</f>
        <v>DPF</v>
      </c>
      <c r="AY10" s="1" t="str">
        <f aca="false">IF($B10=3,"DPF","")</f>
        <v>DPF</v>
      </c>
      <c r="AZ10" s="1" t="str">
        <f aca="false">IF($B10=3,"DPF","")</f>
        <v>DPF</v>
      </c>
      <c r="BA10" s="1" t="str">
        <f aca="false">IF($B10=3,"DPF","")</f>
        <v>DPF</v>
      </c>
      <c r="BB10" s="1" t="str">
        <f aca="false">IF($B10=3,"PFI","")</f>
        <v>PFI</v>
      </c>
      <c r="BC10" s="1" t="str">
        <f aca="false">IF($B10=3,"PFI","")</f>
        <v>PFI</v>
      </c>
      <c r="BD10" s="1" t="str">
        <f aca="false">IF($B10=3,"PFI","")</f>
        <v>PFI</v>
      </c>
      <c r="BE10" s="1" t="str">
        <f aca="false">IF($B10=3,"DPF","")</f>
        <v>DPF</v>
      </c>
      <c r="BF10" s="1" t="str">
        <f aca="false">IF($B10=3,"DPF","")</f>
        <v>DPF</v>
      </c>
      <c r="BG10" s="1" t="str">
        <f aca="false">IF($B10=3,"PFI","")</f>
        <v>PFI</v>
      </c>
      <c r="BH10" s="1" t="str">
        <f aca="false">IF($B10=3,"PFI","")</f>
        <v>PFI</v>
      </c>
      <c r="BI10" s="1" t="str">
        <f aca="false">IF($B10=3,"DPF","")</f>
        <v>DPF</v>
      </c>
      <c r="BK10" s="1" t="str">
        <f aca="false">IF($B10=3,"PFI","")</f>
        <v>PFI</v>
      </c>
      <c r="BL10" s="1" t="str">
        <f aca="false">IF($B10=3,"PFI","")</f>
        <v>PFI</v>
      </c>
      <c r="BM10" s="1" t="str">
        <f aca="false">IF($B10=3,"PFI","")</f>
        <v>PFI</v>
      </c>
      <c r="BN10" s="1" t="str">
        <f aca="false">IF($B10=3,"PFI","")</f>
        <v>PFI</v>
      </c>
      <c r="BO10" s="1" t="str">
        <f aca="false">IF($B10=3,"PFI","")</f>
        <v>PFI</v>
      </c>
    </row>
    <row r="11" customFormat="false" ht="12.75" hidden="false" customHeight="false" outlineLevel="0" collapsed="false">
      <c r="A11" s="1" t="n">
        <f aca="false">A10-1</f>
        <v>2016</v>
      </c>
      <c r="B11" s="1" t="n">
        <v>2</v>
      </c>
      <c r="C11" s="1" t="s">
        <v>321</v>
      </c>
      <c r="D11" s="1" t="n">
        <v>2</v>
      </c>
      <c r="E11" s="1" t="n">
        <v>2</v>
      </c>
      <c r="F11" s="1" t="str">
        <f aca="false">IF($B11=3,"PFI","")</f>
        <v/>
      </c>
      <c r="G11" s="1" t="str">
        <f aca="false">IF($B11=3,"PFI","")</f>
        <v/>
      </c>
      <c r="H11" s="1" t="str">
        <f aca="false">IF($B11=3,"PFI","")</f>
        <v/>
      </c>
      <c r="I11" s="1" t="str">
        <f aca="false">IF($B11=3,"PFI","")</f>
        <v/>
      </c>
      <c r="J11" s="1" t="str">
        <f aca="false">IF($B11=3,"PFI","")</f>
        <v/>
      </c>
      <c r="K11" s="1" t="str">
        <f aca="false">IF($B11=3,"PFI","")</f>
        <v/>
      </c>
      <c r="L11" s="1" t="str">
        <f aca="false">IF($B11=3,"DPF","")</f>
        <v/>
      </c>
      <c r="M11" s="1" t="str">
        <f aca="false">IF($B11=3,"DPF","")</f>
        <v/>
      </c>
      <c r="N11" s="1" t="str">
        <f aca="false">IF($B11=3,"DPF","")</f>
        <v/>
      </c>
      <c r="O11" s="1" t="str">
        <f aca="false">IF($B11=3,"PFI","")</f>
        <v/>
      </c>
      <c r="P11" s="1" t="str">
        <f aca="false">IF($B11=3,"PFI","")</f>
        <v/>
      </c>
      <c r="R11" s="1" t="str">
        <f aca="false">IF($B11=3,"PFI","")</f>
        <v/>
      </c>
      <c r="S11" s="1" t="str">
        <f aca="false">IF($B11=3,"PFI","")</f>
        <v/>
      </c>
      <c r="T11" s="1" t="str">
        <f aca="false">IF($B11=3,"PFI","")</f>
        <v/>
      </c>
      <c r="U11" s="1" t="str">
        <f aca="false">IF($B11=3,"DPF","")</f>
        <v/>
      </c>
      <c r="V11" s="1" t="str">
        <f aca="false">IF($B11=3,"DPF","")</f>
        <v/>
      </c>
      <c r="W11" s="1" t="str">
        <f aca="false">IF($B11=3,"DPF","")</f>
        <v/>
      </c>
      <c r="X11" s="1" t="str">
        <f aca="false">IF($B11=3,"DPF","")</f>
        <v/>
      </c>
      <c r="Y11" s="1" t="str">
        <f aca="false">IF($B11=3,"DPF","")</f>
        <v/>
      </c>
      <c r="Z11" s="1" t="str">
        <f aca="false">IF($B11=3,"DPF","")</f>
        <v/>
      </c>
      <c r="AA11" s="1" t="str">
        <f aca="false">IF($B11=3,"DPF","")</f>
        <v/>
      </c>
      <c r="AB11" s="1" t="str">
        <f aca="false">IF($B11=3,"DPF","")</f>
        <v/>
      </c>
      <c r="AC11" s="1" t="str">
        <f aca="false">IF($B11=3,"DPF","")</f>
        <v/>
      </c>
      <c r="AD11" s="1" t="str">
        <f aca="false">IF($B11=3,"DPF","")</f>
        <v/>
      </c>
      <c r="AE11" s="1" t="str">
        <f aca="false">IF($B11=3,"DPF","")</f>
        <v/>
      </c>
      <c r="AF11" s="1" t="str">
        <f aca="false">IF($B11=3,"DPF","")</f>
        <v/>
      </c>
      <c r="AG11" s="1" t="str">
        <f aca="false">IF($B11=3,"DPF","")</f>
        <v/>
      </c>
      <c r="AH11" s="1" t="str">
        <f aca="false">IF($B11=3,"DPF","")</f>
        <v/>
      </c>
      <c r="AI11" s="1" t="str">
        <f aca="false">IF($B11=3,"PFI","")</f>
        <v/>
      </c>
      <c r="AJ11" s="1" t="str">
        <f aca="false">IF($B11=3,"PFI","")</f>
        <v/>
      </c>
      <c r="AK11" s="1" t="str">
        <f aca="false">IF($B11=3,"PFI","")</f>
        <v/>
      </c>
      <c r="AL11" s="1" t="str">
        <f aca="false">IF($B11=3,"PFI","")</f>
        <v/>
      </c>
      <c r="AM11" s="1" t="str">
        <f aca="false">IF($B11=3,"PFI","")</f>
        <v/>
      </c>
      <c r="AN11" s="1" t="str">
        <f aca="false">IF($B11=3,"PFI","")</f>
        <v/>
      </c>
      <c r="AO11" s="1" t="str">
        <f aca="false">IF($B11=3,"PFI","")</f>
        <v/>
      </c>
      <c r="AP11" s="1" t="str">
        <f aca="false">IF($B11=3,"PFI","")</f>
        <v/>
      </c>
      <c r="AQ11" s="1" t="str">
        <f aca="false">IF($B11=3,"PFI","")</f>
        <v/>
      </c>
      <c r="AR11" s="1" t="str">
        <f aca="false">IF($B11=3,"DPF","")</f>
        <v/>
      </c>
      <c r="AS11" s="1" t="str">
        <f aca="false">IF($B11=3,"DPF","")</f>
        <v/>
      </c>
      <c r="AT11" s="1" t="str">
        <f aca="false">IF($B11=3,"DPF","")</f>
        <v/>
      </c>
      <c r="AU11" s="1" t="str">
        <f aca="false">IF($B11=3,"DPF","")</f>
        <v/>
      </c>
      <c r="AV11" s="1" t="str">
        <f aca="false">IF($B11=3,"DPF","")</f>
        <v/>
      </c>
      <c r="AW11" s="1" t="str">
        <f aca="false">IF($B11=3,"DPF","")</f>
        <v/>
      </c>
      <c r="AY11" s="1" t="str">
        <f aca="false">IF($B11=3,"DPF","")</f>
        <v/>
      </c>
      <c r="AZ11" s="1" t="str">
        <f aca="false">IF($B11=3,"DPF","")</f>
        <v/>
      </c>
      <c r="BA11" s="1" t="str">
        <f aca="false">IF($B11=3,"DPF","")</f>
        <v/>
      </c>
      <c r="BB11" s="1" t="str">
        <f aca="false">IF($B11=3,"PFI","")</f>
        <v/>
      </c>
      <c r="BC11" s="1" t="str">
        <f aca="false">IF($B11=3,"PFI","")</f>
        <v/>
      </c>
      <c r="BD11" s="1" t="str">
        <f aca="false">IF($B11=3,"PFI","")</f>
        <v/>
      </c>
      <c r="BE11" s="1" t="str">
        <f aca="false">IF($B11=3,"DPF","")</f>
        <v/>
      </c>
      <c r="BF11" s="1" t="str">
        <f aca="false">IF($B11=3,"DPF","")</f>
        <v/>
      </c>
      <c r="BG11" s="1" t="str">
        <f aca="false">IF($B11=3,"PFI","")</f>
        <v/>
      </c>
      <c r="BH11" s="1" t="str">
        <f aca="false">IF($B11=3,"PFI","")</f>
        <v/>
      </c>
      <c r="BI11" s="1" t="str">
        <f aca="false">IF($B11=3,"DPF","")</f>
        <v/>
      </c>
      <c r="BK11" s="1" t="str">
        <f aca="false">IF($B11=3,"PFI","")</f>
        <v/>
      </c>
      <c r="BL11" s="1" t="str">
        <f aca="false">IF($B11=3,"PFI","")</f>
        <v/>
      </c>
      <c r="BM11" s="1" t="str">
        <f aca="false">IF($B11=3,"PFI","")</f>
        <v/>
      </c>
      <c r="BN11" s="1" t="str">
        <f aca="false">IF($B11=3,"PFI","")</f>
        <v/>
      </c>
      <c r="BO11" s="1" t="str">
        <f aca="false">IF($B11=3,"PFI","")</f>
        <v/>
      </c>
    </row>
    <row r="12" customFormat="false" ht="12.75" hidden="false" customHeight="false" outlineLevel="0" collapsed="false">
      <c r="A12" s="1" t="n">
        <f aca="false">A11-1</f>
        <v>2015</v>
      </c>
      <c r="B12" s="1" t="n">
        <v>2</v>
      </c>
      <c r="C12" s="1" t="s">
        <v>321</v>
      </c>
      <c r="D12" s="1" t="n">
        <v>2</v>
      </c>
      <c r="E12" s="1" t="n">
        <v>2</v>
      </c>
      <c r="F12" s="1" t="str">
        <f aca="false">IF($B12=3,"PFI","")</f>
        <v/>
      </c>
      <c r="G12" s="1" t="str">
        <f aca="false">IF($B12=3,"PFI","")</f>
        <v/>
      </c>
      <c r="H12" s="1" t="str">
        <f aca="false">IF($B12=3,"PFI","")</f>
        <v/>
      </c>
      <c r="I12" s="1" t="str">
        <f aca="false">IF($B12=3,"PFI","")</f>
        <v/>
      </c>
      <c r="J12" s="1" t="str">
        <f aca="false">IF($B12=3,"PFI","")</f>
        <v/>
      </c>
      <c r="K12" s="1" t="str">
        <f aca="false">IF($B12=3,"PFI","")</f>
        <v/>
      </c>
      <c r="L12" s="1" t="str">
        <f aca="false">IF($B12=3,"DPF","")</f>
        <v/>
      </c>
      <c r="M12" s="1" t="str">
        <f aca="false">IF($B12=3,"DPF","")</f>
        <v/>
      </c>
      <c r="N12" s="1" t="str">
        <f aca="false">IF($B12=3,"DPF","")</f>
        <v/>
      </c>
      <c r="O12" s="1" t="str">
        <f aca="false">IF($B12=3,"PFI","")</f>
        <v/>
      </c>
      <c r="P12" s="1" t="str">
        <f aca="false">IF($B12=3,"PFI","")</f>
        <v/>
      </c>
      <c r="R12" s="1" t="str">
        <f aca="false">IF($B12=3,"PFI","")</f>
        <v/>
      </c>
      <c r="S12" s="1" t="str">
        <f aca="false">IF($B12=3,"PFI","")</f>
        <v/>
      </c>
      <c r="T12" s="1" t="str">
        <f aca="false">IF($B12=3,"PFI","")</f>
        <v/>
      </c>
      <c r="U12" s="1" t="str">
        <f aca="false">IF($B12=3,"DPF","")</f>
        <v/>
      </c>
      <c r="V12" s="1" t="str">
        <f aca="false">IF($B12=3,"DPF","")</f>
        <v/>
      </c>
      <c r="W12" s="1" t="str">
        <f aca="false">IF($B12=3,"DPF","")</f>
        <v/>
      </c>
      <c r="X12" s="1" t="str">
        <f aca="false">IF($B12=3,"DPF","")</f>
        <v/>
      </c>
      <c r="Y12" s="1" t="str">
        <f aca="false">IF($B12=3,"DPF","")</f>
        <v/>
      </c>
      <c r="Z12" s="1" t="str">
        <f aca="false">IF($B12=3,"DPF","")</f>
        <v/>
      </c>
      <c r="AA12" s="1" t="str">
        <f aca="false">IF($B12=3,"DPF","")</f>
        <v/>
      </c>
      <c r="AB12" s="1" t="str">
        <f aca="false">IF($B12=3,"DPF","")</f>
        <v/>
      </c>
      <c r="AC12" s="1" t="str">
        <f aca="false">IF($B12=3,"DPF","")</f>
        <v/>
      </c>
      <c r="AD12" s="1" t="str">
        <f aca="false">IF($B12=3,"DPF","")</f>
        <v/>
      </c>
      <c r="AE12" s="1" t="str">
        <f aca="false">IF($B12=3,"DPF","")</f>
        <v/>
      </c>
      <c r="AF12" s="1" t="str">
        <f aca="false">IF($B12=3,"DPF","")</f>
        <v/>
      </c>
      <c r="AG12" s="1" t="str">
        <f aca="false">IF($B12=3,"DPF","")</f>
        <v/>
      </c>
      <c r="AH12" s="1" t="str">
        <f aca="false">IF($B12=3,"DPF","")</f>
        <v/>
      </c>
      <c r="AI12" s="1" t="str">
        <f aca="false">IF($B12=3,"PFI","")</f>
        <v/>
      </c>
      <c r="AJ12" s="1" t="str">
        <f aca="false">IF($B12=3,"PFI","")</f>
        <v/>
      </c>
      <c r="AK12" s="1" t="str">
        <f aca="false">IF($B12=3,"PFI","")</f>
        <v/>
      </c>
      <c r="AL12" s="1" t="str">
        <f aca="false">IF($B12=3,"PFI","")</f>
        <v/>
      </c>
      <c r="AM12" s="1" t="str">
        <f aca="false">IF($B12=3,"PFI","")</f>
        <v/>
      </c>
      <c r="AN12" s="1" t="str">
        <f aca="false">IF($B12=3,"PFI","")</f>
        <v/>
      </c>
      <c r="AO12" s="1" t="str">
        <f aca="false">IF($B12=3,"PFI","")</f>
        <v/>
      </c>
      <c r="AP12" s="1" t="str">
        <f aca="false">IF($B12=3,"PFI","")</f>
        <v/>
      </c>
      <c r="AQ12" s="1" t="str">
        <f aca="false">IF($B12=3,"PFI","")</f>
        <v/>
      </c>
      <c r="AR12" s="1" t="str">
        <f aca="false">IF($B12=3,"DPF","")</f>
        <v/>
      </c>
      <c r="AS12" s="1" t="str">
        <f aca="false">IF($B12=3,"DPF","")</f>
        <v/>
      </c>
      <c r="AT12" s="1" t="str">
        <f aca="false">IF($B12=3,"DPF","")</f>
        <v/>
      </c>
      <c r="AU12" s="1" t="str">
        <f aca="false">IF($B12=3,"DPF","")</f>
        <v/>
      </c>
      <c r="AV12" s="1" t="str">
        <f aca="false">IF($B12=3,"DPF","")</f>
        <v/>
      </c>
      <c r="AW12" s="1" t="str">
        <f aca="false">IF($B12=3,"DPF","")</f>
        <v/>
      </c>
      <c r="AY12" s="1" t="str">
        <f aca="false">IF($B12=3,"DPF","")</f>
        <v/>
      </c>
      <c r="AZ12" s="1" t="str">
        <f aca="false">IF($B12=3,"DPF","")</f>
        <v/>
      </c>
      <c r="BA12" s="1" t="str">
        <f aca="false">IF($B12=3,"DPF","")</f>
        <v/>
      </c>
      <c r="BB12" s="1" t="str">
        <f aca="false">IF($B12=3,"PFI","")</f>
        <v/>
      </c>
      <c r="BC12" s="1" t="str">
        <f aca="false">IF($B12=3,"PFI","")</f>
        <v/>
      </c>
      <c r="BD12" s="1" t="str">
        <f aca="false">IF($B12=3,"PFI","")</f>
        <v/>
      </c>
      <c r="BE12" s="1" t="str">
        <f aca="false">IF($B12=3,"DPF","")</f>
        <v/>
      </c>
      <c r="BF12" s="1" t="str">
        <f aca="false">IF($B12=3,"DPF","")</f>
        <v/>
      </c>
      <c r="BG12" s="1" t="str">
        <f aca="false">IF($B12=3,"PFI","")</f>
        <v/>
      </c>
      <c r="BH12" s="1" t="str">
        <f aca="false">IF($B12=3,"PFI","")</f>
        <v/>
      </c>
      <c r="BI12" s="1" t="str">
        <f aca="false">IF($B12=3,"DPF","")</f>
        <v/>
      </c>
      <c r="BK12" s="1" t="str">
        <f aca="false">IF($B12=3,"PFI","")</f>
        <v/>
      </c>
      <c r="BL12" s="1" t="str">
        <f aca="false">IF($B12=3,"PFI","")</f>
        <v/>
      </c>
      <c r="BM12" s="1" t="str">
        <f aca="false">IF($B12=3,"PFI","")</f>
        <v/>
      </c>
      <c r="BN12" s="1" t="str">
        <f aca="false">IF($B12=3,"PFI","")</f>
        <v/>
      </c>
      <c r="BO12" s="1" t="str">
        <f aca="false">IF($B12=3,"PFI","")</f>
        <v/>
      </c>
    </row>
    <row r="13" customFormat="false" ht="12.75" hidden="false" customHeight="false" outlineLevel="0" collapsed="false">
      <c r="A13" s="1" t="n">
        <f aca="false">A12-1</f>
        <v>2014</v>
      </c>
      <c r="B13" s="1" t="n">
        <v>2</v>
      </c>
      <c r="C13" s="1" t="s">
        <v>321</v>
      </c>
      <c r="D13" s="1" t="n">
        <v>2</v>
      </c>
      <c r="E13" s="1" t="n">
        <v>2</v>
      </c>
      <c r="F13" s="1" t="str">
        <f aca="false">IF($B13=3,"PFI","")</f>
        <v/>
      </c>
      <c r="G13" s="1" t="str">
        <f aca="false">IF($B13=3,"PFI","")</f>
        <v/>
      </c>
      <c r="H13" s="1" t="str">
        <f aca="false">IF($B13=3,"PFI","")</f>
        <v/>
      </c>
      <c r="I13" s="1" t="str">
        <f aca="false">IF($B13=3,"PFI","")</f>
        <v/>
      </c>
      <c r="J13" s="1" t="str">
        <f aca="false">IF($B13=3,"PFI","")</f>
        <v/>
      </c>
      <c r="K13" s="1" t="str">
        <f aca="false">IF($B13=3,"PFI","")</f>
        <v/>
      </c>
      <c r="L13" s="1" t="str">
        <f aca="false">IF($B13=3,"DPF","")</f>
        <v/>
      </c>
      <c r="M13" s="1" t="str">
        <f aca="false">IF($B13=3,"DPF","")</f>
        <v/>
      </c>
      <c r="N13" s="1" t="str">
        <f aca="false">IF($B13=3,"DPF","")</f>
        <v/>
      </c>
      <c r="O13" s="1" t="str">
        <f aca="false">IF($B13=3,"PFI","")</f>
        <v/>
      </c>
      <c r="P13" s="1" t="str">
        <f aca="false">IF($B13=3,"PFI","")</f>
        <v/>
      </c>
      <c r="R13" s="1" t="str">
        <f aca="false">IF($B13=3,"PFI","")</f>
        <v/>
      </c>
      <c r="S13" s="1" t="str">
        <f aca="false">IF($B13=3,"PFI","")</f>
        <v/>
      </c>
      <c r="T13" s="1" t="str">
        <f aca="false">IF($B13=3,"PFI","")</f>
        <v/>
      </c>
      <c r="U13" s="1" t="str">
        <f aca="false">IF($B13=3,"DPF","")</f>
        <v/>
      </c>
      <c r="V13" s="1" t="str">
        <f aca="false">IF($B13=3,"DPF","")</f>
        <v/>
      </c>
      <c r="W13" s="1" t="str">
        <f aca="false">IF($B13=3,"DPF","")</f>
        <v/>
      </c>
      <c r="X13" s="1" t="str">
        <f aca="false">IF($B13=3,"DPF","")</f>
        <v/>
      </c>
      <c r="Y13" s="1" t="str">
        <f aca="false">IF($B13=3,"DPF","")</f>
        <v/>
      </c>
      <c r="Z13" s="1" t="str">
        <f aca="false">IF($B13=3,"DPF","")</f>
        <v/>
      </c>
      <c r="AA13" s="1" t="str">
        <f aca="false">IF($B13=3,"DPF","")</f>
        <v/>
      </c>
      <c r="AB13" s="1" t="str">
        <f aca="false">IF($B13=3,"DPF","")</f>
        <v/>
      </c>
      <c r="AC13" s="1" t="str">
        <f aca="false">IF($B13=3,"DPF","")</f>
        <v/>
      </c>
      <c r="AD13" s="1" t="str">
        <f aca="false">IF($B13=3,"DPF","")</f>
        <v/>
      </c>
      <c r="AE13" s="1" t="str">
        <f aca="false">IF($B13=3,"DPF","")</f>
        <v/>
      </c>
      <c r="AF13" s="1" t="str">
        <f aca="false">IF($B13=3,"DPF","")</f>
        <v/>
      </c>
      <c r="AG13" s="1" t="str">
        <f aca="false">IF($B13=3,"DPF","")</f>
        <v/>
      </c>
      <c r="AH13" s="1" t="str">
        <f aca="false">IF($B13=3,"DPF","")</f>
        <v/>
      </c>
      <c r="AI13" s="1" t="str">
        <f aca="false">IF($B13=3,"PFI","")</f>
        <v/>
      </c>
      <c r="AJ13" s="1" t="str">
        <f aca="false">IF($B13=3,"PFI","")</f>
        <v/>
      </c>
      <c r="AK13" s="1" t="str">
        <f aca="false">IF($B13=3,"PFI","")</f>
        <v/>
      </c>
      <c r="AL13" s="1" t="str">
        <f aca="false">IF($B13=3,"PFI","")</f>
        <v/>
      </c>
      <c r="AM13" s="1" t="str">
        <f aca="false">IF($B13=3,"PFI","")</f>
        <v/>
      </c>
      <c r="AN13" s="1" t="str">
        <f aca="false">IF($B13=3,"PFI","")</f>
        <v/>
      </c>
      <c r="AO13" s="1" t="str">
        <f aca="false">IF($B13=3,"PFI","")</f>
        <v/>
      </c>
      <c r="AP13" s="1" t="str">
        <f aca="false">IF($B13=3,"PFI","")</f>
        <v/>
      </c>
      <c r="AQ13" s="1" t="str">
        <f aca="false">IF($B13=3,"PFI","")</f>
        <v/>
      </c>
      <c r="AR13" s="1" t="str">
        <f aca="false">IF($B13=3,"DPF","")</f>
        <v/>
      </c>
      <c r="AS13" s="1" t="str">
        <f aca="false">IF($B13=3,"DPF","")</f>
        <v/>
      </c>
      <c r="AT13" s="1" t="str">
        <f aca="false">IF($B13=3,"DPF","")</f>
        <v/>
      </c>
      <c r="AU13" s="1" t="str">
        <f aca="false">IF($B13=3,"DPF","")</f>
        <v/>
      </c>
      <c r="AV13" s="1" t="str">
        <f aca="false">IF($B13=3,"DPF","")</f>
        <v/>
      </c>
      <c r="AW13" s="1" t="str">
        <f aca="false">IF($B13=3,"DPF","")</f>
        <v/>
      </c>
      <c r="AY13" s="1" t="str">
        <f aca="false">IF($B13=3,"DPF","")</f>
        <v/>
      </c>
      <c r="AZ13" s="1" t="str">
        <f aca="false">IF($B13=3,"DPF","")</f>
        <v/>
      </c>
      <c r="BA13" s="1" t="str">
        <f aca="false">IF($B13=3,"DPF","")</f>
        <v/>
      </c>
      <c r="BB13" s="1" t="str">
        <f aca="false">IF($B13=3,"PFI","")</f>
        <v/>
      </c>
      <c r="BC13" s="1" t="str">
        <f aca="false">IF($B13=3,"PFI","")</f>
        <v/>
      </c>
      <c r="BD13" s="1" t="str">
        <f aca="false">IF($B13=3,"PFI","")</f>
        <v/>
      </c>
      <c r="BE13" s="1" t="str">
        <f aca="false">IF($B13=3,"DPF","")</f>
        <v/>
      </c>
      <c r="BF13" s="1" t="str">
        <f aca="false">IF($B13=3,"DPF","")</f>
        <v/>
      </c>
      <c r="BG13" s="1" t="str">
        <f aca="false">IF($B13=3,"PFI","")</f>
        <v/>
      </c>
      <c r="BH13" s="1" t="str">
        <f aca="false">IF($B13=3,"PFI","")</f>
        <v/>
      </c>
      <c r="BI13" s="1" t="str">
        <f aca="false">IF($B13=3,"DPF","")</f>
        <v/>
      </c>
      <c r="BK13" s="1" t="str">
        <f aca="false">IF($B13=3,"PFI","")</f>
        <v/>
      </c>
      <c r="BL13" s="1" t="str">
        <f aca="false">IF($B13=3,"PFI","")</f>
        <v/>
      </c>
      <c r="BM13" s="1" t="str">
        <f aca="false">IF($B13=3,"PFI","")</f>
        <v/>
      </c>
      <c r="BN13" s="1" t="str">
        <f aca="false">IF($B13=3,"PFI","")</f>
        <v/>
      </c>
      <c r="BO13" s="1" t="str">
        <f aca="false">IF($B13=3,"PFI","")</f>
        <v/>
      </c>
    </row>
    <row r="14" customFormat="false" ht="12.75" hidden="false" customHeight="false" outlineLevel="0" collapsed="false">
      <c r="A14" s="1" t="n">
        <f aca="false">A13-1</f>
        <v>2013</v>
      </c>
      <c r="B14" s="1" t="n">
        <v>2</v>
      </c>
      <c r="C14" s="1" t="s">
        <v>321</v>
      </c>
      <c r="D14" s="1" t="n">
        <v>2</v>
      </c>
      <c r="E14" s="1" t="n">
        <v>2</v>
      </c>
      <c r="F14" s="1" t="str">
        <f aca="false">IF($B14=3,"PFI","")</f>
        <v/>
      </c>
      <c r="G14" s="1" t="str">
        <f aca="false">IF($B14=3,"PFI","")</f>
        <v/>
      </c>
      <c r="H14" s="1" t="str">
        <f aca="false">IF($B14=3,"PFI","")</f>
        <v/>
      </c>
      <c r="I14" s="1" t="str">
        <f aca="false">IF($B14=3,"PFI","")</f>
        <v/>
      </c>
      <c r="J14" s="1" t="str">
        <f aca="false">IF($B14=3,"PFI","")</f>
        <v/>
      </c>
      <c r="K14" s="1" t="str">
        <f aca="false">IF($B14=3,"PFI","")</f>
        <v/>
      </c>
      <c r="L14" s="1" t="str">
        <f aca="false">IF($B14=3,"DPF","")</f>
        <v/>
      </c>
      <c r="M14" s="1" t="str">
        <f aca="false">IF($B14=3,"DPF","")</f>
        <v/>
      </c>
      <c r="N14" s="1" t="str">
        <f aca="false">IF($B14=3,"DPF","")</f>
        <v/>
      </c>
      <c r="O14" s="1" t="str">
        <f aca="false">IF($B14=3,"PFI","")</f>
        <v/>
      </c>
      <c r="P14" s="1" t="str">
        <f aca="false">IF($B14=3,"PFI","")</f>
        <v/>
      </c>
      <c r="R14" s="1" t="str">
        <f aca="false">IF($B14=3,"PFI","")</f>
        <v/>
      </c>
      <c r="S14" s="1" t="str">
        <f aca="false">IF($B14=3,"PFI","")</f>
        <v/>
      </c>
      <c r="T14" s="1" t="str">
        <f aca="false">IF($B14=3,"PFI","")</f>
        <v/>
      </c>
      <c r="U14" s="1" t="str">
        <f aca="false">IF($B14=3,"DPF","")</f>
        <v/>
      </c>
      <c r="V14" s="1" t="str">
        <f aca="false">IF($B14=3,"DPF","")</f>
        <v/>
      </c>
      <c r="W14" s="1" t="str">
        <f aca="false">IF($B14=3,"DPF","")</f>
        <v/>
      </c>
      <c r="X14" s="1" t="str">
        <f aca="false">IF($B14=3,"DPF","")</f>
        <v/>
      </c>
      <c r="Y14" s="1" t="str">
        <f aca="false">IF($B14=3,"DPF","")</f>
        <v/>
      </c>
      <c r="Z14" s="1" t="str">
        <f aca="false">IF($B14=3,"DPF","")</f>
        <v/>
      </c>
      <c r="AA14" s="1" t="str">
        <f aca="false">IF($B14=3,"DPF","")</f>
        <v/>
      </c>
      <c r="AB14" s="1" t="str">
        <f aca="false">IF($B14=3,"DPF","")</f>
        <v/>
      </c>
      <c r="AC14" s="1" t="str">
        <f aca="false">IF($B14=3,"DPF","")</f>
        <v/>
      </c>
      <c r="AD14" s="1" t="str">
        <f aca="false">IF($B14=3,"DPF","")</f>
        <v/>
      </c>
      <c r="AE14" s="1" t="str">
        <f aca="false">IF($B14=3,"DPF","")</f>
        <v/>
      </c>
      <c r="AF14" s="1" t="str">
        <f aca="false">IF($B14=3,"DPF","")</f>
        <v/>
      </c>
      <c r="AG14" s="1" t="str">
        <f aca="false">IF($B14=3,"DPF","")</f>
        <v/>
      </c>
      <c r="AH14" s="1" t="str">
        <f aca="false">IF($B14=3,"DPF","")</f>
        <v/>
      </c>
      <c r="AI14" s="1" t="str">
        <f aca="false">IF($B14=3,"PFI","")</f>
        <v/>
      </c>
      <c r="AJ14" s="1" t="str">
        <f aca="false">IF($B14=3,"PFI","")</f>
        <v/>
      </c>
      <c r="AK14" s="1" t="str">
        <f aca="false">IF($B14=3,"PFI","")</f>
        <v/>
      </c>
      <c r="AL14" s="1" t="str">
        <f aca="false">IF($B14=3,"PFI","")</f>
        <v/>
      </c>
      <c r="AM14" s="1" t="str">
        <f aca="false">IF($B14=3,"PFI","")</f>
        <v/>
      </c>
      <c r="AN14" s="1" t="str">
        <f aca="false">IF($B14=3,"PFI","")</f>
        <v/>
      </c>
      <c r="AO14" s="1" t="str">
        <f aca="false">IF($B14=3,"PFI","")</f>
        <v/>
      </c>
      <c r="AP14" s="1" t="str">
        <f aca="false">IF($B14=3,"PFI","")</f>
        <v/>
      </c>
      <c r="AQ14" s="1" t="str">
        <f aca="false">IF($B14=3,"PFI","")</f>
        <v/>
      </c>
      <c r="AR14" s="1" t="str">
        <f aca="false">IF($B14=3,"DPF","")</f>
        <v/>
      </c>
      <c r="AS14" s="1" t="str">
        <f aca="false">IF($B14=3,"DPF","")</f>
        <v/>
      </c>
      <c r="AT14" s="1" t="str">
        <f aca="false">IF($B14=3,"DPF","")</f>
        <v/>
      </c>
      <c r="AU14" s="1" t="str">
        <f aca="false">IF($B14=3,"DPF","")</f>
        <v/>
      </c>
      <c r="AV14" s="1" t="str">
        <f aca="false">IF($B14=3,"DPF","")</f>
        <v/>
      </c>
      <c r="AW14" s="1" t="str">
        <f aca="false">IF($B14=3,"DPF","")</f>
        <v/>
      </c>
      <c r="AY14" s="1" t="str">
        <f aca="false">IF($B14=3,"DPF","")</f>
        <v/>
      </c>
      <c r="AZ14" s="1" t="str">
        <f aca="false">IF($B14=3,"DPF","")</f>
        <v/>
      </c>
      <c r="BA14" s="1" t="str">
        <f aca="false">IF($B14=3,"DPF","")</f>
        <v/>
      </c>
      <c r="BB14" s="1" t="str">
        <f aca="false">IF($B14=3,"PFI","")</f>
        <v/>
      </c>
      <c r="BC14" s="1" t="str">
        <f aca="false">IF($B14=3,"PFI","")</f>
        <v/>
      </c>
      <c r="BD14" s="1" t="str">
        <f aca="false">IF($B14=3,"PFI","")</f>
        <v/>
      </c>
      <c r="BE14" s="1" t="str">
        <f aca="false">IF($B14=3,"DPF","")</f>
        <v/>
      </c>
      <c r="BF14" s="1" t="str">
        <f aca="false">IF($B14=3,"DPF","")</f>
        <v/>
      </c>
      <c r="BG14" s="1" t="str">
        <f aca="false">IF($B14=3,"PFI","")</f>
        <v/>
      </c>
      <c r="BH14" s="1" t="str">
        <f aca="false">IF($B14=3,"PFI","")</f>
        <v/>
      </c>
      <c r="BI14" s="1" t="str">
        <f aca="false">IF($B14=3,"DPF","")</f>
        <v/>
      </c>
      <c r="BK14" s="1" t="str">
        <f aca="false">IF($B14=3,"PFI","")</f>
        <v/>
      </c>
      <c r="BL14" s="1" t="str">
        <f aca="false">IF($B14=3,"PFI","")</f>
        <v/>
      </c>
      <c r="BM14" s="1" t="str">
        <f aca="false">IF($B14=3,"PFI","")</f>
        <v/>
      </c>
      <c r="BN14" s="1" t="str">
        <f aca="false">IF($B14=3,"PFI","")</f>
        <v/>
      </c>
      <c r="BO14" s="1" t="str">
        <f aca="false">IF($B14=3,"PFI","")</f>
        <v/>
      </c>
    </row>
    <row r="15" customFormat="false" ht="12.75" hidden="false" customHeight="false" outlineLevel="0" collapsed="false">
      <c r="A15" s="1" t="n">
        <f aca="false">A14-1</f>
        <v>2012</v>
      </c>
      <c r="B15" s="1" t="n">
        <v>2</v>
      </c>
      <c r="C15" s="1" t="s">
        <v>321</v>
      </c>
      <c r="D15" s="1" t="n">
        <v>2</v>
      </c>
      <c r="E15" s="1" t="n">
        <v>2</v>
      </c>
      <c r="F15" s="1" t="str">
        <f aca="false">IF($B15=3,"PFI","")</f>
        <v/>
      </c>
      <c r="G15" s="1" t="str">
        <f aca="false">IF($B15=3,"PFI","")</f>
        <v/>
      </c>
      <c r="H15" s="1" t="str">
        <f aca="false">IF($B15=3,"PFI","")</f>
        <v/>
      </c>
      <c r="I15" s="1" t="str">
        <f aca="false">IF($B15=3,"PFI","")</f>
        <v/>
      </c>
      <c r="J15" s="1" t="str">
        <f aca="false">IF($B15=3,"PFI","")</f>
        <v/>
      </c>
      <c r="K15" s="1" t="str">
        <f aca="false">IF($B15=3,"PFI","")</f>
        <v/>
      </c>
      <c r="L15" s="1" t="str">
        <f aca="false">IF($B15=3,"DPF","")</f>
        <v/>
      </c>
      <c r="M15" s="1" t="str">
        <f aca="false">IF($B15=3,"DPF","")</f>
        <v/>
      </c>
      <c r="N15" s="1" t="str">
        <f aca="false">IF($B15=3,"DPF","")</f>
        <v/>
      </c>
      <c r="O15" s="1" t="str">
        <f aca="false">IF($B15=3,"PFI","")</f>
        <v/>
      </c>
      <c r="P15" s="1" t="str">
        <f aca="false">IF($B15=3,"PFI","")</f>
        <v/>
      </c>
      <c r="R15" s="1" t="str">
        <f aca="false">IF($B15=3,"PFI","")</f>
        <v/>
      </c>
      <c r="S15" s="1" t="str">
        <f aca="false">IF($B15=3,"PFI","")</f>
        <v/>
      </c>
      <c r="T15" s="1" t="str">
        <f aca="false">IF($B15=3,"PFI","")</f>
        <v/>
      </c>
      <c r="U15" s="1" t="str">
        <f aca="false">IF($B15=3,"DPF","")</f>
        <v/>
      </c>
      <c r="V15" s="1" t="str">
        <f aca="false">IF($B15=3,"DPF","")</f>
        <v/>
      </c>
      <c r="W15" s="1" t="str">
        <f aca="false">IF($B15=3,"DPF","")</f>
        <v/>
      </c>
      <c r="X15" s="1" t="str">
        <f aca="false">IF($B15=3,"DPF","")</f>
        <v/>
      </c>
      <c r="Y15" s="1" t="str">
        <f aca="false">IF($B15=3,"DPF","")</f>
        <v/>
      </c>
      <c r="Z15" s="1" t="str">
        <f aca="false">IF($B15=3,"DPF","")</f>
        <v/>
      </c>
      <c r="AA15" s="1" t="str">
        <f aca="false">IF($B15=3,"DPF","")</f>
        <v/>
      </c>
      <c r="AB15" s="1" t="str">
        <f aca="false">IF($B15=3,"DPF","")</f>
        <v/>
      </c>
      <c r="AC15" s="1" t="str">
        <f aca="false">IF($B15=3,"DPF","")</f>
        <v/>
      </c>
      <c r="AD15" s="1" t="str">
        <f aca="false">IF($B15=3,"DPF","")</f>
        <v/>
      </c>
      <c r="AE15" s="1" t="str">
        <f aca="false">IF($B15=3,"DPF","")</f>
        <v/>
      </c>
      <c r="AF15" s="1" t="str">
        <f aca="false">IF($B15=3,"DPF","")</f>
        <v/>
      </c>
      <c r="AG15" s="1" t="str">
        <f aca="false">IF($B15=3,"DPF","")</f>
        <v/>
      </c>
      <c r="AH15" s="1" t="str">
        <f aca="false">IF($B15=3,"DPF","")</f>
        <v/>
      </c>
      <c r="AI15" s="1" t="str">
        <f aca="false">IF($B15=3,"PFI","")</f>
        <v/>
      </c>
      <c r="AJ15" s="1" t="str">
        <f aca="false">IF($B15=3,"PFI","")</f>
        <v/>
      </c>
      <c r="AK15" s="1" t="str">
        <f aca="false">IF($B15=3,"PFI","")</f>
        <v/>
      </c>
      <c r="AL15" s="1" t="str">
        <f aca="false">IF($B15=3,"PFI","")</f>
        <v/>
      </c>
      <c r="AM15" s="1" t="str">
        <f aca="false">IF($B15=3,"PFI","")</f>
        <v/>
      </c>
      <c r="AN15" s="1" t="str">
        <f aca="false">IF($B15=3,"PFI","")</f>
        <v/>
      </c>
      <c r="AO15" s="1" t="str">
        <f aca="false">IF($B15=3,"PFI","")</f>
        <v/>
      </c>
      <c r="AP15" s="1" t="str">
        <f aca="false">IF($B15=3,"PFI","")</f>
        <v/>
      </c>
      <c r="AQ15" s="1" t="str">
        <f aca="false">IF($B15=3,"PFI","")</f>
        <v/>
      </c>
      <c r="AR15" s="1" t="str">
        <f aca="false">IF($B15=3,"DPF","")</f>
        <v/>
      </c>
      <c r="AS15" s="1" t="str">
        <f aca="false">IF($B15=3,"DPF","")</f>
        <v/>
      </c>
      <c r="AT15" s="1" t="str">
        <f aca="false">IF($B15=3,"DPF","")</f>
        <v/>
      </c>
      <c r="AU15" s="1" t="str">
        <f aca="false">IF($B15=3,"DPF","")</f>
        <v/>
      </c>
      <c r="AV15" s="1" t="str">
        <f aca="false">IF($B15=3,"DPF","")</f>
        <v/>
      </c>
      <c r="AW15" s="1" t="str">
        <f aca="false">IF($B15=3,"DPF","")</f>
        <v/>
      </c>
      <c r="AY15" s="1" t="str">
        <f aca="false">IF($B15=3,"DPF","")</f>
        <v/>
      </c>
      <c r="AZ15" s="1" t="str">
        <f aca="false">IF($B15=3,"DPF","")</f>
        <v/>
      </c>
      <c r="BA15" s="1" t="str">
        <f aca="false">IF($B15=3,"DPF","")</f>
        <v/>
      </c>
      <c r="BB15" s="1" t="str">
        <f aca="false">IF($B15=3,"PFI","")</f>
        <v/>
      </c>
      <c r="BC15" s="1" t="str">
        <f aca="false">IF($B15=3,"PFI","")</f>
        <v/>
      </c>
      <c r="BD15" s="1" t="str">
        <f aca="false">IF($B15=3,"PFI","")</f>
        <v/>
      </c>
      <c r="BE15" s="1" t="str">
        <f aca="false">IF($B15=3,"DPF","")</f>
        <v/>
      </c>
      <c r="BF15" s="1" t="str">
        <f aca="false">IF($B15=3,"DPF","")</f>
        <v/>
      </c>
      <c r="BG15" s="1" t="str">
        <f aca="false">IF($B15=3,"PFI","")</f>
        <v/>
      </c>
      <c r="BH15" s="1" t="str">
        <f aca="false">IF($B15=3,"PFI","")</f>
        <v/>
      </c>
      <c r="BI15" s="1" t="str">
        <f aca="false">IF($B15=3,"DPF","")</f>
        <v/>
      </c>
      <c r="BK15" s="1" t="str">
        <f aca="false">IF($B15=3,"PFI","")</f>
        <v/>
      </c>
      <c r="BL15" s="1" t="str">
        <f aca="false">IF($B15=3,"PFI","")</f>
        <v/>
      </c>
      <c r="BM15" s="1" t="str">
        <f aca="false">IF($B15=3,"PFI","")</f>
        <v/>
      </c>
      <c r="BN15" s="1" t="str">
        <f aca="false">IF($B15=3,"PFI","")</f>
        <v/>
      </c>
      <c r="BO15" s="1" t="str">
        <f aca="false">IF($B15=3,"PFI","")</f>
        <v/>
      </c>
    </row>
    <row r="16" customFormat="false" ht="12.75" hidden="false" customHeight="false" outlineLevel="0" collapsed="false">
      <c r="A16" s="1" t="n">
        <f aca="false">A15-1</f>
        <v>2011</v>
      </c>
      <c r="B16" s="1" t="n">
        <v>2</v>
      </c>
      <c r="C16" s="1" t="s">
        <v>321</v>
      </c>
      <c r="D16" s="1" t="n">
        <v>2</v>
      </c>
      <c r="E16" s="1" t="n">
        <v>2</v>
      </c>
      <c r="F16" s="1" t="str">
        <f aca="false">IF($B16=3,"PFI","")</f>
        <v/>
      </c>
      <c r="G16" s="1" t="str">
        <f aca="false">IF($B16=3,"PFI","")</f>
        <v/>
      </c>
      <c r="H16" s="1" t="str">
        <f aca="false">IF($B16=3,"PFI","")</f>
        <v/>
      </c>
      <c r="I16" s="1" t="str">
        <f aca="false">IF($B16=3,"PFI","")</f>
        <v/>
      </c>
      <c r="J16" s="1" t="str">
        <f aca="false">IF($B16=3,"PFI","")</f>
        <v/>
      </c>
      <c r="K16" s="1" t="str">
        <f aca="false">IF($B16=3,"PFI","")</f>
        <v/>
      </c>
      <c r="L16" s="1" t="str">
        <f aca="false">IF($B16=3,"DPF","")</f>
        <v/>
      </c>
      <c r="M16" s="1" t="str">
        <f aca="false">IF($B16=3,"DPF","")</f>
        <v/>
      </c>
      <c r="N16" s="1" t="str">
        <f aca="false">IF($B16=3,"DPF","")</f>
        <v/>
      </c>
      <c r="O16" s="1" t="str">
        <f aca="false">IF($B16=3,"PFI","")</f>
        <v/>
      </c>
      <c r="P16" s="1" t="str">
        <f aca="false">IF($B16=3,"PFI","")</f>
        <v/>
      </c>
      <c r="R16" s="1" t="str">
        <f aca="false">IF($B16=3,"PFI","")</f>
        <v/>
      </c>
      <c r="S16" s="1" t="str">
        <f aca="false">IF($B16=3,"PFI","")</f>
        <v/>
      </c>
      <c r="T16" s="1" t="str">
        <f aca="false">IF($B16=3,"PFI","")</f>
        <v/>
      </c>
      <c r="U16" s="1" t="str">
        <f aca="false">IF($B16=3,"DPF","")</f>
        <v/>
      </c>
      <c r="V16" s="1" t="str">
        <f aca="false">IF($B16=3,"DPF","")</f>
        <v/>
      </c>
      <c r="W16" s="1" t="str">
        <f aca="false">IF($B16=3,"DPF","")</f>
        <v/>
      </c>
      <c r="X16" s="1" t="str">
        <f aca="false">IF($B16=3,"DPF","")</f>
        <v/>
      </c>
      <c r="Y16" s="1" t="str">
        <f aca="false">IF($B16=3,"DPF","")</f>
        <v/>
      </c>
      <c r="Z16" s="1" t="str">
        <f aca="false">IF($B16=3,"DPF","")</f>
        <v/>
      </c>
      <c r="AA16" s="1" t="str">
        <f aca="false">IF($B16=3,"DPF","")</f>
        <v/>
      </c>
      <c r="AB16" s="1" t="str">
        <f aca="false">IF($B16=3,"DPF","")</f>
        <v/>
      </c>
      <c r="AC16" s="1" t="str">
        <f aca="false">IF($B16=3,"DPF","")</f>
        <v/>
      </c>
      <c r="AD16" s="1" t="str">
        <f aca="false">IF($B16=3,"DPF","")</f>
        <v/>
      </c>
      <c r="AE16" s="1" t="str">
        <f aca="false">IF($B16=3,"DPF","")</f>
        <v/>
      </c>
      <c r="AF16" s="1" t="str">
        <f aca="false">IF($B16=3,"DPF","")</f>
        <v/>
      </c>
      <c r="AG16" s="1" t="str">
        <f aca="false">IF($B16=3,"DPF","")</f>
        <v/>
      </c>
      <c r="AH16" s="1" t="str">
        <f aca="false">IF($B16=3,"DPF","")</f>
        <v/>
      </c>
      <c r="AI16" s="1" t="str">
        <f aca="false">IF($B16=3,"PFI","")</f>
        <v/>
      </c>
      <c r="AJ16" s="1" t="str">
        <f aca="false">IF($B16=3,"PFI","")</f>
        <v/>
      </c>
      <c r="AK16" s="1" t="str">
        <f aca="false">IF($B16=3,"PFI","")</f>
        <v/>
      </c>
      <c r="AL16" s="1" t="str">
        <f aca="false">IF($B16=3,"PFI","")</f>
        <v/>
      </c>
      <c r="AM16" s="1" t="str">
        <f aca="false">IF($B16=3,"PFI","")</f>
        <v/>
      </c>
      <c r="AN16" s="1" t="str">
        <f aca="false">IF($B16=3,"PFI","")</f>
        <v/>
      </c>
      <c r="AO16" s="1" t="str">
        <f aca="false">IF($B16=3,"PFI","")</f>
        <v/>
      </c>
      <c r="AP16" s="1" t="str">
        <f aca="false">IF($B16=3,"PFI","")</f>
        <v/>
      </c>
      <c r="AQ16" s="1" t="str">
        <f aca="false">IF($B16=3,"PFI","")</f>
        <v/>
      </c>
      <c r="AR16" s="1" t="str">
        <f aca="false">IF($B16=3,"DPF","")</f>
        <v/>
      </c>
      <c r="AS16" s="1" t="str">
        <f aca="false">IF($B16=3,"DPF","")</f>
        <v/>
      </c>
      <c r="AT16" s="1" t="str">
        <f aca="false">IF($B16=3,"DPF","")</f>
        <v/>
      </c>
      <c r="AU16" s="1" t="str">
        <f aca="false">IF($B16=3,"DPF","")</f>
        <v/>
      </c>
      <c r="AV16" s="1" t="str">
        <f aca="false">IF($B16=3,"DPF","")</f>
        <v/>
      </c>
      <c r="AW16" s="1" t="str">
        <f aca="false">IF($B16=3,"DPF","")</f>
        <v/>
      </c>
      <c r="AY16" s="1" t="str">
        <f aca="false">IF($B16=3,"DPF","")</f>
        <v/>
      </c>
      <c r="AZ16" s="1" t="str">
        <f aca="false">IF($B16=3,"DPF","")</f>
        <v/>
      </c>
      <c r="BA16" s="1" t="str">
        <f aca="false">IF($B16=3,"DPF","")</f>
        <v/>
      </c>
      <c r="BB16" s="1" t="str">
        <f aca="false">IF($B16=3,"PFI","")</f>
        <v/>
      </c>
      <c r="BC16" s="1" t="str">
        <f aca="false">IF($B16=3,"PFI","")</f>
        <v/>
      </c>
      <c r="BD16" s="1" t="str">
        <f aca="false">IF($B16=3,"PFI","")</f>
        <v/>
      </c>
      <c r="BE16" s="1" t="str">
        <f aca="false">IF($B16=3,"DPF","")</f>
        <v/>
      </c>
      <c r="BF16" s="1" t="str">
        <f aca="false">IF($B16=3,"DPF","")</f>
        <v/>
      </c>
      <c r="BG16" s="1" t="str">
        <f aca="false">IF($B16=3,"PFI","")</f>
        <v/>
      </c>
      <c r="BH16" s="1" t="str">
        <f aca="false">IF($B16=3,"PFI","")</f>
        <v/>
      </c>
      <c r="BI16" s="1" t="str">
        <f aca="false">IF($B16=3,"DPF","")</f>
        <v/>
      </c>
      <c r="BK16" s="1" t="str">
        <f aca="false">IF($B16=3,"PFI","")</f>
        <v/>
      </c>
      <c r="BL16" s="1" t="str">
        <f aca="false">IF($B16=3,"PFI","")</f>
        <v/>
      </c>
      <c r="BM16" s="1" t="str">
        <f aca="false">IF($B16=3,"PFI","")</f>
        <v/>
      </c>
      <c r="BN16" s="1" t="str">
        <f aca="false">IF($B16=3,"PFI","")</f>
        <v/>
      </c>
      <c r="BO16" s="1" t="str">
        <f aca="false">IF($B16=3,"PFI","")</f>
        <v/>
      </c>
    </row>
    <row r="17" customFormat="false" ht="12.75" hidden="false" customHeight="false" outlineLevel="0" collapsed="false">
      <c r="A17" s="1" t="n">
        <f aca="false">A16-1</f>
        <v>2010</v>
      </c>
      <c r="B17" s="1" t="n">
        <v>2</v>
      </c>
      <c r="C17" s="1" t="s">
        <v>321</v>
      </c>
      <c r="D17" s="1" t="n">
        <v>2</v>
      </c>
      <c r="E17" s="1" t="n">
        <v>2</v>
      </c>
      <c r="F17" s="1" t="str">
        <f aca="false">IF($B17=3,"PFI","")</f>
        <v/>
      </c>
      <c r="G17" s="1" t="str">
        <f aca="false">IF($B17=3,"PFI","")</f>
        <v/>
      </c>
      <c r="H17" s="1" t="str">
        <f aca="false">IF($B17=3,"PFI","")</f>
        <v/>
      </c>
      <c r="I17" s="1" t="str">
        <f aca="false">IF($B17=3,"PFI","")</f>
        <v/>
      </c>
      <c r="J17" s="1" t="str">
        <f aca="false">IF($B17=3,"PFI","")</f>
        <v/>
      </c>
      <c r="K17" s="1" t="str">
        <f aca="false">IF($B17=3,"PFI","")</f>
        <v/>
      </c>
      <c r="L17" s="1" t="str">
        <f aca="false">IF($B17=3,"DPF","")</f>
        <v/>
      </c>
      <c r="M17" s="1" t="str">
        <f aca="false">IF($B17=3,"DPF","")</f>
        <v/>
      </c>
      <c r="N17" s="1" t="str">
        <f aca="false">IF($B17=3,"DPF","")</f>
        <v/>
      </c>
      <c r="O17" s="1" t="str">
        <f aca="false">IF($B17=3,"PFI","")</f>
        <v/>
      </c>
      <c r="P17" s="1" t="str">
        <f aca="false">IF($B17=3,"PFI","")</f>
        <v/>
      </c>
      <c r="R17" s="1" t="str">
        <f aca="false">IF($B17=3,"PFI","")</f>
        <v/>
      </c>
      <c r="S17" s="1" t="str">
        <f aca="false">IF($B17=3,"PFI","")</f>
        <v/>
      </c>
      <c r="T17" s="1" t="str">
        <f aca="false">IF($B17=3,"PFI","")</f>
        <v/>
      </c>
      <c r="U17" s="1" t="str">
        <f aca="false">IF($B17=3,"DPF","")</f>
        <v/>
      </c>
      <c r="V17" s="1" t="str">
        <f aca="false">IF($B17=3,"DPF","")</f>
        <v/>
      </c>
      <c r="W17" s="1" t="str">
        <f aca="false">IF($B17=3,"DPF","")</f>
        <v/>
      </c>
      <c r="X17" s="1" t="str">
        <f aca="false">IF($B17=3,"DPF","")</f>
        <v/>
      </c>
      <c r="Y17" s="1" t="str">
        <f aca="false">IF($B17=3,"DPF","")</f>
        <v/>
      </c>
      <c r="Z17" s="1" t="str">
        <f aca="false">IF($B17=3,"DPF","")</f>
        <v/>
      </c>
      <c r="AA17" s="1" t="str">
        <f aca="false">IF($B17=3,"DPF","")</f>
        <v/>
      </c>
      <c r="AB17" s="1" t="str">
        <f aca="false">IF($B17=3,"DPF","")</f>
        <v/>
      </c>
      <c r="AC17" s="1" t="str">
        <f aca="false">IF($B17=3,"DPF","")</f>
        <v/>
      </c>
      <c r="AD17" s="1" t="str">
        <f aca="false">IF($B17=3,"DPF","")</f>
        <v/>
      </c>
      <c r="AE17" s="1" t="str">
        <f aca="false">IF($B17=3,"DPF","")</f>
        <v/>
      </c>
      <c r="AF17" s="1" t="str">
        <f aca="false">IF($B17=3,"DPF","")</f>
        <v/>
      </c>
      <c r="AG17" s="1" t="str">
        <f aca="false">IF($B17=3,"DPF","")</f>
        <v/>
      </c>
      <c r="AH17" s="1" t="str">
        <f aca="false">IF($B17=3,"DPF","")</f>
        <v/>
      </c>
      <c r="AI17" s="1" t="str">
        <f aca="false">IF($B17=3,"PFI","")</f>
        <v/>
      </c>
      <c r="AJ17" s="1" t="str">
        <f aca="false">IF($B17=3,"PFI","")</f>
        <v/>
      </c>
      <c r="AK17" s="1" t="str">
        <f aca="false">IF($B17=3,"PFI","")</f>
        <v/>
      </c>
      <c r="AL17" s="1" t="str">
        <f aca="false">IF($B17=3,"PFI","")</f>
        <v/>
      </c>
      <c r="AM17" s="1" t="str">
        <f aca="false">IF($B17=3,"PFI","")</f>
        <v/>
      </c>
      <c r="AN17" s="1" t="str">
        <f aca="false">IF($B17=3,"PFI","")</f>
        <v/>
      </c>
      <c r="AO17" s="1" t="str">
        <f aca="false">IF($B17=3,"PFI","")</f>
        <v/>
      </c>
      <c r="AP17" s="1" t="str">
        <f aca="false">IF($B17=3,"PFI","")</f>
        <v/>
      </c>
      <c r="AQ17" s="1" t="str">
        <f aca="false">IF($B17=3,"PFI","")</f>
        <v/>
      </c>
      <c r="AR17" s="1" t="str">
        <f aca="false">IF($B17=3,"DPF","")</f>
        <v/>
      </c>
      <c r="AS17" s="1" t="str">
        <f aca="false">IF($B17=3,"DPF","")</f>
        <v/>
      </c>
      <c r="AT17" s="1" t="str">
        <f aca="false">IF($B17=3,"DPF","")</f>
        <v/>
      </c>
      <c r="AU17" s="1" t="str">
        <f aca="false">IF($B17=3,"DPF","")</f>
        <v/>
      </c>
      <c r="AV17" s="1" t="str">
        <f aca="false">IF($B17=3,"DPF","")</f>
        <v/>
      </c>
      <c r="AW17" s="1" t="str">
        <f aca="false">IF($B17=3,"DPF","")</f>
        <v/>
      </c>
      <c r="AY17" s="1" t="str">
        <f aca="false">IF($B17=3,"DPF","")</f>
        <v/>
      </c>
      <c r="AZ17" s="1" t="str">
        <f aca="false">IF($B17=3,"DPF","")</f>
        <v/>
      </c>
      <c r="BA17" s="1" t="str">
        <f aca="false">IF($B17=3,"DPF","")</f>
        <v/>
      </c>
      <c r="BB17" s="1" t="str">
        <f aca="false">IF($B17=3,"PFI","")</f>
        <v/>
      </c>
      <c r="BC17" s="1" t="str">
        <f aca="false">IF($B17=3,"PFI","")</f>
        <v/>
      </c>
      <c r="BD17" s="1" t="str">
        <f aca="false">IF($B17=3,"PFI","")</f>
        <v/>
      </c>
      <c r="BE17" s="1" t="str">
        <f aca="false">IF($B17=3,"DPF","")</f>
        <v/>
      </c>
      <c r="BF17" s="1" t="str">
        <f aca="false">IF($B17=3,"DPF","")</f>
        <v/>
      </c>
      <c r="BG17" s="1" t="str">
        <f aca="false">IF($B17=3,"PFI","")</f>
        <v/>
      </c>
      <c r="BH17" s="1" t="str">
        <f aca="false">IF($B17=3,"PFI","")</f>
        <v/>
      </c>
      <c r="BI17" s="1" t="str">
        <f aca="false">IF($B17=3,"DPF","")</f>
        <v/>
      </c>
      <c r="BK17" s="1" t="str">
        <f aca="false">IF($B17=3,"PFI","")</f>
        <v/>
      </c>
      <c r="BL17" s="1" t="str">
        <f aca="false">IF($B17=3,"PFI","")</f>
        <v/>
      </c>
      <c r="BM17" s="1" t="str">
        <f aca="false">IF($B17=3,"PFI","")</f>
        <v/>
      </c>
      <c r="BN17" s="1" t="str">
        <f aca="false">IF($B17=3,"PFI","")</f>
        <v/>
      </c>
      <c r="BO17" s="1" t="str">
        <f aca="false">IF($B17=3,"PFI","")</f>
        <v/>
      </c>
    </row>
    <row r="18" customFormat="false" ht="12.75" hidden="false" customHeight="false" outlineLevel="0" collapsed="false">
      <c r="A18" s="1" t="n">
        <f aca="false">A17-1</f>
        <v>2009</v>
      </c>
      <c r="B18" s="1" t="n">
        <v>2</v>
      </c>
      <c r="C18" s="1" t="s">
        <v>321</v>
      </c>
      <c r="D18" s="1" t="n">
        <v>2</v>
      </c>
      <c r="E18" s="1" t="n">
        <v>2</v>
      </c>
      <c r="F18" s="1" t="str">
        <f aca="false">IF($B18=3,"PFI","")</f>
        <v/>
      </c>
      <c r="G18" s="1" t="str">
        <f aca="false">IF($B18=3,"PFI","")</f>
        <v/>
      </c>
      <c r="H18" s="1" t="str">
        <f aca="false">IF($B18=3,"PFI","")</f>
        <v/>
      </c>
      <c r="I18" s="1" t="str">
        <f aca="false">IF($B18=3,"PFI","")</f>
        <v/>
      </c>
      <c r="J18" s="1" t="str">
        <f aca="false">IF($B18=3,"PFI","")</f>
        <v/>
      </c>
      <c r="K18" s="1" t="str">
        <f aca="false">IF($B18=3,"PFI","")</f>
        <v/>
      </c>
      <c r="L18" s="1" t="str">
        <f aca="false">IF($B18=3,"DPF","")</f>
        <v/>
      </c>
      <c r="M18" s="1" t="str">
        <f aca="false">IF($B18=3,"DPF","")</f>
        <v/>
      </c>
      <c r="N18" s="1" t="str">
        <f aca="false">IF($B18=3,"DPF","")</f>
        <v/>
      </c>
      <c r="O18" s="1" t="str">
        <f aca="false">IF($B18=3,"PFI","")</f>
        <v/>
      </c>
      <c r="P18" s="1" t="str">
        <f aca="false">IF($B18=3,"PFI","")</f>
        <v/>
      </c>
      <c r="R18" s="1" t="str">
        <f aca="false">IF($B18=3,"PFI","")</f>
        <v/>
      </c>
      <c r="S18" s="1" t="str">
        <f aca="false">IF($B18=3,"PFI","")</f>
        <v/>
      </c>
      <c r="T18" s="1" t="str">
        <f aca="false">IF($B18=3,"PFI","")</f>
        <v/>
      </c>
      <c r="U18" s="1" t="str">
        <f aca="false">IF($B18=3,"DPF","")</f>
        <v/>
      </c>
      <c r="V18" s="1" t="str">
        <f aca="false">IF($B18=3,"DPF","")</f>
        <v/>
      </c>
      <c r="W18" s="1" t="str">
        <f aca="false">IF($B18=3,"DPF","")</f>
        <v/>
      </c>
      <c r="X18" s="1" t="str">
        <f aca="false">IF($B18=3,"DPF","")</f>
        <v/>
      </c>
      <c r="Y18" s="1" t="str">
        <f aca="false">IF($B18=3,"DPF","")</f>
        <v/>
      </c>
      <c r="Z18" s="1" t="str">
        <f aca="false">IF($B18=3,"DPF","")</f>
        <v/>
      </c>
      <c r="AA18" s="1" t="str">
        <f aca="false">IF($B18=3,"DPF","")</f>
        <v/>
      </c>
      <c r="AB18" s="1" t="str">
        <f aca="false">IF($B18=3,"DPF","")</f>
        <v/>
      </c>
      <c r="AC18" s="1" t="str">
        <f aca="false">IF($B18=3,"DPF","")</f>
        <v/>
      </c>
      <c r="AD18" s="1" t="str">
        <f aca="false">IF($B18=3,"DPF","")</f>
        <v/>
      </c>
      <c r="AE18" s="1" t="str">
        <f aca="false">IF($B18=3,"DPF","")</f>
        <v/>
      </c>
      <c r="AF18" s="1" t="str">
        <f aca="false">IF($B18=3,"DPF","")</f>
        <v/>
      </c>
      <c r="AG18" s="1" t="str">
        <f aca="false">IF($B18=3,"DPF","")</f>
        <v/>
      </c>
      <c r="AH18" s="1" t="str">
        <f aca="false">IF($B18=3,"DPF","")</f>
        <v/>
      </c>
      <c r="AI18" s="1" t="str">
        <f aca="false">IF($B18=3,"PFI","")</f>
        <v/>
      </c>
      <c r="AJ18" s="1" t="str">
        <f aca="false">IF($B18=3,"PFI","")</f>
        <v/>
      </c>
      <c r="AK18" s="1" t="str">
        <f aca="false">IF($B18=3,"PFI","")</f>
        <v/>
      </c>
      <c r="AL18" s="1" t="str">
        <f aca="false">IF($B18=3,"PFI","")</f>
        <v/>
      </c>
      <c r="AM18" s="1" t="str">
        <f aca="false">IF($B18=3,"PFI","")</f>
        <v/>
      </c>
      <c r="AN18" s="1" t="str">
        <f aca="false">IF($B18=3,"PFI","")</f>
        <v/>
      </c>
      <c r="AO18" s="1" t="str">
        <f aca="false">IF($B18=3,"PFI","")</f>
        <v/>
      </c>
      <c r="AP18" s="1" t="str">
        <f aca="false">IF($B18=3,"PFI","")</f>
        <v/>
      </c>
      <c r="AQ18" s="1" t="str">
        <f aca="false">IF($B18=3,"PFI","")</f>
        <v/>
      </c>
      <c r="AR18" s="1" t="str">
        <f aca="false">IF($B18=3,"DPF","")</f>
        <v/>
      </c>
      <c r="AS18" s="1" t="str">
        <f aca="false">IF($B18=3,"DPF","")</f>
        <v/>
      </c>
      <c r="AT18" s="1" t="str">
        <f aca="false">IF($B18=3,"DPF","")</f>
        <v/>
      </c>
      <c r="AU18" s="1" t="str">
        <f aca="false">IF($B18=3,"DPF","")</f>
        <v/>
      </c>
      <c r="AV18" s="1" t="str">
        <f aca="false">IF($B18=3,"DPF","")</f>
        <v/>
      </c>
      <c r="AW18" s="1" t="str">
        <f aca="false">IF($B18=3,"DPF","")</f>
        <v/>
      </c>
      <c r="AY18" s="1" t="str">
        <f aca="false">IF($B18=3,"DPF","")</f>
        <v/>
      </c>
      <c r="AZ18" s="1" t="str">
        <f aca="false">IF($B18=3,"DPF","")</f>
        <v/>
      </c>
      <c r="BA18" s="1" t="str">
        <f aca="false">IF($B18=3,"DPF","")</f>
        <v/>
      </c>
      <c r="BB18" s="1" t="str">
        <f aca="false">IF($B18=3,"PFI","")</f>
        <v/>
      </c>
      <c r="BC18" s="1" t="str">
        <f aca="false">IF($B18=3,"PFI","")</f>
        <v/>
      </c>
      <c r="BD18" s="1" t="str">
        <f aca="false">IF($B18=3,"PFI","")</f>
        <v/>
      </c>
      <c r="BE18" s="1" t="str">
        <f aca="false">IF($B18=3,"DPF","")</f>
        <v/>
      </c>
      <c r="BF18" s="1" t="str">
        <f aca="false">IF($B18=3,"DPF","")</f>
        <v/>
      </c>
      <c r="BG18" s="1" t="str">
        <f aca="false">IF($B18=3,"PFI","")</f>
        <v/>
      </c>
      <c r="BH18" s="1" t="str">
        <f aca="false">IF($B18=3,"PFI","")</f>
        <v/>
      </c>
      <c r="BI18" s="1" t="str">
        <f aca="false">IF($B18=3,"DPF","")</f>
        <v/>
      </c>
      <c r="BK18" s="1" t="str">
        <f aca="false">IF($B18=3,"PFI","")</f>
        <v/>
      </c>
      <c r="BL18" s="1" t="str">
        <f aca="false">IF($B18=3,"PFI","")</f>
        <v/>
      </c>
      <c r="BM18" s="1" t="str">
        <f aca="false">IF($B18=3,"PFI","")</f>
        <v/>
      </c>
      <c r="BN18" s="1" t="str">
        <f aca="false">IF($B18=3,"PFI","")</f>
        <v/>
      </c>
      <c r="BO18" s="1" t="str">
        <f aca="false">IF($B18=3,"PFI","")</f>
        <v/>
      </c>
    </row>
    <row r="19" customFormat="false" ht="12.75" hidden="false" customHeight="false" outlineLevel="0" collapsed="false">
      <c r="A19" s="1" t="n">
        <f aca="false">A18-1</f>
        <v>2008</v>
      </c>
      <c r="B19" s="1" t="n">
        <v>2</v>
      </c>
      <c r="C19" s="1" t="s">
        <v>321</v>
      </c>
      <c r="D19" s="1" t="n">
        <v>2</v>
      </c>
      <c r="E19" s="1" t="n">
        <v>2</v>
      </c>
      <c r="F19" s="1" t="str">
        <f aca="false">IF($B19=3,"PFI","")</f>
        <v/>
      </c>
      <c r="G19" s="1" t="str">
        <f aca="false">IF($B19=3,"PFI","")</f>
        <v/>
      </c>
      <c r="H19" s="1" t="str">
        <f aca="false">IF($B19=3,"PFI","")</f>
        <v/>
      </c>
      <c r="I19" s="1" t="str">
        <f aca="false">IF($B19=3,"PFI","")</f>
        <v/>
      </c>
      <c r="J19" s="1" t="str">
        <f aca="false">IF($B19=3,"PFI","")</f>
        <v/>
      </c>
      <c r="K19" s="1" t="str">
        <f aca="false">IF($B19=3,"PFI","")</f>
        <v/>
      </c>
      <c r="L19" s="1" t="str">
        <f aca="false">IF($B19=3,"DPF","")</f>
        <v/>
      </c>
      <c r="M19" s="1" t="str">
        <f aca="false">IF($B19=3,"DPF","")</f>
        <v/>
      </c>
      <c r="N19" s="1" t="str">
        <f aca="false">IF($B19=3,"DPF","")</f>
        <v/>
      </c>
      <c r="O19" s="1" t="str">
        <f aca="false">IF($B19=3,"PFI","")</f>
        <v/>
      </c>
      <c r="P19" s="1" t="str">
        <f aca="false">IF($B19=3,"PFI","")</f>
        <v/>
      </c>
      <c r="R19" s="1" t="str">
        <f aca="false">IF($B19=3,"PFI","")</f>
        <v/>
      </c>
      <c r="S19" s="1" t="str">
        <f aca="false">IF($B19=3,"PFI","")</f>
        <v/>
      </c>
      <c r="T19" s="1" t="str">
        <f aca="false">IF($B19=3,"PFI","")</f>
        <v/>
      </c>
      <c r="U19" s="1" t="str">
        <f aca="false">IF($B19=3,"DPF","")</f>
        <v/>
      </c>
      <c r="V19" s="1" t="str">
        <f aca="false">IF($B19=3,"DPF","")</f>
        <v/>
      </c>
      <c r="W19" s="1" t="str">
        <f aca="false">IF($B19=3,"DPF","")</f>
        <v/>
      </c>
      <c r="X19" s="1" t="str">
        <f aca="false">IF($B19=3,"DPF","")</f>
        <v/>
      </c>
      <c r="Y19" s="1" t="str">
        <f aca="false">IF($B19=3,"DPF","")</f>
        <v/>
      </c>
      <c r="Z19" s="1" t="str">
        <f aca="false">IF($B19=3,"DPF","")</f>
        <v/>
      </c>
      <c r="AA19" s="1" t="str">
        <f aca="false">IF($B19=3,"DPF","")</f>
        <v/>
      </c>
      <c r="AB19" s="1" t="str">
        <f aca="false">IF($B19=3,"DPF","")</f>
        <v/>
      </c>
      <c r="AC19" s="1" t="str">
        <f aca="false">IF($B19=3,"DPF","")</f>
        <v/>
      </c>
      <c r="AD19" s="1" t="str">
        <f aca="false">IF($B19=3,"DPF","")</f>
        <v/>
      </c>
      <c r="AE19" s="1" t="str">
        <f aca="false">IF($B19=3,"DPF","")</f>
        <v/>
      </c>
      <c r="AF19" s="1" t="str">
        <f aca="false">IF($B19=3,"DPF","")</f>
        <v/>
      </c>
      <c r="AG19" s="1" t="str">
        <f aca="false">IF($B19=3,"DPF","")</f>
        <v/>
      </c>
      <c r="AH19" s="1" t="str">
        <f aca="false">IF($B19=3,"DPF","")</f>
        <v/>
      </c>
      <c r="AI19" s="1" t="str">
        <f aca="false">IF($B19=3,"PFI","")</f>
        <v/>
      </c>
      <c r="AJ19" s="1" t="str">
        <f aca="false">IF($B19=3,"PFI","")</f>
        <v/>
      </c>
      <c r="AK19" s="1" t="str">
        <f aca="false">IF($B19=3,"PFI","")</f>
        <v/>
      </c>
      <c r="AL19" s="1" t="str">
        <f aca="false">IF($B19=3,"PFI","")</f>
        <v/>
      </c>
      <c r="AM19" s="1" t="str">
        <f aca="false">IF($B19=3,"PFI","")</f>
        <v/>
      </c>
      <c r="AN19" s="1" t="str">
        <f aca="false">IF($B19=3,"PFI","")</f>
        <v/>
      </c>
      <c r="AO19" s="1" t="str">
        <f aca="false">IF($B19=3,"PFI","")</f>
        <v/>
      </c>
      <c r="AP19" s="1" t="str">
        <f aca="false">IF($B19=3,"PFI","")</f>
        <v/>
      </c>
      <c r="AQ19" s="1" t="str">
        <f aca="false">IF($B19=3,"PFI","")</f>
        <v/>
      </c>
      <c r="AR19" s="1" t="str">
        <f aca="false">IF($B19=3,"DPF","")</f>
        <v/>
      </c>
      <c r="AS19" s="1" t="str">
        <f aca="false">IF($B19=3,"DPF","")</f>
        <v/>
      </c>
      <c r="AT19" s="1" t="str">
        <f aca="false">IF($B19=3,"DPF","")</f>
        <v/>
      </c>
      <c r="AU19" s="1" t="str">
        <f aca="false">IF($B19=3,"DPF","")</f>
        <v/>
      </c>
      <c r="AV19" s="1" t="str">
        <f aca="false">IF($B19=3,"DPF","")</f>
        <v/>
      </c>
      <c r="AW19" s="1" t="str">
        <f aca="false">IF($B19=3,"DPF","")</f>
        <v/>
      </c>
      <c r="AY19" s="1" t="str">
        <f aca="false">IF($B19=3,"DPF","")</f>
        <v/>
      </c>
      <c r="AZ19" s="1" t="str">
        <f aca="false">IF($B19=3,"DPF","")</f>
        <v/>
      </c>
      <c r="BA19" s="1" t="str">
        <f aca="false">IF($B19=3,"DPF","")</f>
        <v/>
      </c>
      <c r="BB19" s="1" t="str">
        <f aca="false">IF($B19=3,"PFI","")</f>
        <v/>
      </c>
      <c r="BC19" s="1" t="str">
        <f aca="false">IF($B19=3,"PFI","")</f>
        <v/>
      </c>
      <c r="BD19" s="1" t="str">
        <f aca="false">IF($B19=3,"PFI","")</f>
        <v/>
      </c>
      <c r="BE19" s="1" t="str">
        <f aca="false">IF($B19=3,"DPF","")</f>
        <v/>
      </c>
      <c r="BF19" s="1" t="str">
        <f aca="false">IF($B19=3,"DPF","")</f>
        <v/>
      </c>
      <c r="BG19" s="1" t="str">
        <f aca="false">IF($B19=3,"PFI","")</f>
        <v/>
      </c>
      <c r="BH19" s="1" t="str">
        <f aca="false">IF($B19=3,"PFI","")</f>
        <v/>
      </c>
      <c r="BI19" s="1" t="str">
        <f aca="false">IF($B19=3,"DPF","")</f>
        <v/>
      </c>
      <c r="BK19" s="1" t="str">
        <f aca="false">IF($B19=3,"PFI","")</f>
        <v/>
      </c>
      <c r="BL19" s="1" t="str">
        <f aca="false">IF($B19=3,"PFI","")</f>
        <v/>
      </c>
      <c r="BM19" s="1" t="str">
        <f aca="false">IF($B19=3,"PFI","")</f>
        <v/>
      </c>
      <c r="BN19" s="1" t="str">
        <f aca="false">IF($B19=3,"PFI","")</f>
        <v/>
      </c>
      <c r="BO19" s="1" t="str">
        <f aca="false">IF($B19=3,"PFI","")</f>
        <v/>
      </c>
    </row>
    <row r="20" customFormat="false" ht="12.75" hidden="false" customHeight="false" outlineLevel="0" collapsed="false">
      <c r="A20" s="1" t="n">
        <f aca="false">A19-1</f>
        <v>2007</v>
      </c>
      <c r="B20" s="1" t="n">
        <v>2</v>
      </c>
      <c r="C20" s="1" t="s">
        <v>321</v>
      </c>
      <c r="D20" s="1" t="n">
        <v>2</v>
      </c>
      <c r="E20" s="1" t="n">
        <v>2</v>
      </c>
      <c r="F20" s="1" t="str">
        <f aca="false">IF($B20=3,"PFI","")</f>
        <v/>
      </c>
      <c r="G20" s="1" t="str">
        <f aca="false">IF($B20=3,"PFI","")</f>
        <v/>
      </c>
      <c r="H20" s="1" t="str">
        <f aca="false">IF($B20=3,"PFI","")</f>
        <v/>
      </c>
      <c r="I20" s="1" t="str">
        <f aca="false">IF($B20=3,"PFI","")</f>
        <v/>
      </c>
      <c r="J20" s="1" t="str">
        <f aca="false">IF($B20=3,"PFI","")</f>
        <v/>
      </c>
      <c r="K20" s="1" t="str">
        <f aca="false">IF($B20=3,"PFI","")</f>
        <v/>
      </c>
      <c r="L20" s="1" t="str">
        <f aca="false">IF($B20=3,"DPF","")</f>
        <v/>
      </c>
      <c r="M20" s="1" t="str">
        <f aca="false">IF($B20=3,"DPF","")</f>
        <v/>
      </c>
      <c r="N20" s="1" t="str">
        <f aca="false">IF($B20=3,"DPF","")</f>
        <v/>
      </c>
      <c r="O20" s="1" t="str">
        <f aca="false">IF($B20=3,"PFI","")</f>
        <v/>
      </c>
      <c r="P20" s="1" t="str">
        <f aca="false">IF($B20=3,"PFI","")</f>
        <v/>
      </c>
      <c r="R20" s="1" t="str">
        <f aca="false">IF($B20=3,"PFI","")</f>
        <v/>
      </c>
      <c r="S20" s="1" t="str">
        <f aca="false">IF($B20=3,"PFI","")</f>
        <v/>
      </c>
      <c r="T20" s="1" t="str">
        <f aca="false">IF($B20=3,"PFI","")</f>
        <v/>
      </c>
      <c r="U20" s="1" t="str">
        <f aca="false">IF($B20=3,"DPF","")</f>
        <v/>
      </c>
      <c r="V20" s="1" t="str">
        <f aca="false">IF($B20=3,"DPF","")</f>
        <v/>
      </c>
      <c r="W20" s="1" t="str">
        <f aca="false">IF($B20=3,"DPF","")</f>
        <v/>
      </c>
      <c r="X20" s="1" t="str">
        <f aca="false">IF($B20=3,"DPF","")</f>
        <v/>
      </c>
      <c r="Y20" s="1" t="str">
        <f aca="false">IF($B20=3,"DPF","")</f>
        <v/>
      </c>
      <c r="Z20" s="1" t="str">
        <f aca="false">IF($B20=3,"DPF","")</f>
        <v/>
      </c>
      <c r="AA20" s="1" t="str">
        <f aca="false">IF($B20=3,"DPF","")</f>
        <v/>
      </c>
      <c r="AB20" s="1" t="str">
        <f aca="false">IF($B20=3,"DPF","")</f>
        <v/>
      </c>
      <c r="AC20" s="1" t="str">
        <f aca="false">IF($B20=3,"DPF","")</f>
        <v/>
      </c>
      <c r="AD20" s="1" t="str">
        <f aca="false">IF($B20=3,"DPF","")</f>
        <v/>
      </c>
      <c r="AE20" s="1" t="str">
        <f aca="false">IF($B20=3,"DPF","")</f>
        <v/>
      </c>
      <c r="AF20" s="1" t="str">
        <f aca="false">IF($B20=3,"DPF","")</f>
        <v/>
      </c>
      <c r="AG20" s="1" t="str">
        <f aca="false">IF($B20=3,"DPF","")</f>
        <v/>
      </c>
      <c r="AH20" s="1" t="str">
        <f aca="false">IF($B20=3,"DPF","")</f>
        <v/>
      </c>
      <c r="AI20" s="1" t="str">
        <f aca="false">IF($B20=3,"PFI","")</f>
        <v/>
      </c>
      <c r="AJ20" s="1" t="str">
        <f aca="false">IF($B20=3,"PFI","")</f>
        <v/>
      </c>
      <c r="AK20" s="1" t="str">
        <f aca="false">IF($B20=3,"PFI","")</f>
        <v/>
      </c>
      <c r="AL20" s="1" t="str">
        <f aca="false">IF($B20=3,"PFI","")</f>
        <v/>
      </c>
      <c r="AM20" s="1" t="str">
        <f aca="false">IF($B20=3,"PFI","")</f>
        <v/>
      </c>
      <c r="AN20" s="1" t="str">
        <f aca="false">IF($B20=3,"PFI","")</f>
        <v/>
      </c>
      <c r="AO20" s="1" t="str">
        <f aca="false">IF($B20=3,"PFI","")</f>
        <v/>
      </c>
      <c r="AP20" s="1" t="str">
        <f aca="false">IF($B20=3,"PFI","")</f>
        <v/>
      </c>
      <c r="AQ20" s="1" t="str">
        <f aca="false">IF($B20=3,"PFI","")</f>
        <v/>
      </c>
      <c r="AR20" s="1" t="str">
        <f aca="false">IF($B20=3,"DPF","")</f>
        <v/>
      </c>
      <c r="AS20" s="1" t="str">
        <f aca="false">IF($B20=3,"DPF","")</f>
        <v/>
      </c>
      <c r="AT20" s="1" t="str">
        <f aca="false">IF($B20=3,"DPF","")</f>
        <v/>
      </c>
      <c r="AU20" s="1" t="str">
        <f aca="false">IF($B20=3,"DPF","")</f>
        <v/>
      </c>
      <c r="AV20" s="1" t="str">
        <f aca="false">IF($B20=3,"DPF","")</f>
        <v/>
      </c>
      <c r="AW20" s="1" t="str">
        <f aca="false">IF($B20=3,"DPF","")</f>
        <v/>
      </c>
      <c r="AY20" s="1" t="str">
        <f aca="false">IF($B20=3,"DPF","")</f>
        <v/>
      </c>
      <c r="AZ20" s="1" t="str">
        <f aca="false">IF($B20=3,"DPF","")</f>
        <v/>
      </c>
      <c r="BA20" s="1" t="str">
        <f aca="false">IF($B20=3,"DPF","")</f>
        <v/>
      </c>
      <c r="BB20" s="1" t="str">
        <f aca="false">IF($B20=3,"PFI","")</f>
        <v/>
      </c>
      <c r="BC20" s="1" t="str">
        <f aca="false">IF($B20=3,"PFI","")</f>
        <v/>
      </c>
      <c r="BD20" s="1" t="str">
        <f aca="false">IF($B20=3,"PFI","")</f>
        <v/>
      </c>
      <c r="BE20" s="1" t="str">
        <f aca="false">IF($B20=3,"DPF","")</f>
        <v/>
      </c>
      <c r="BF20" s="1" t="str">
        <f aca="false">IF($B20=3,"DPF","")</f>
        <v/>
      </c>
      <c r="BG20" s="1" t="str">
        <f aca="false">IF($B20=3,"PFI","")</f>
        <v/>
      </c>
      <c r="BH20" s="1" t="str">
        <f aca="false">IF($B20=3,"PFI","")</f>
        <v/>
      </c>
      <c r="BI20" s="1" t="str">
        <f aca="false">IF($B20=3,"DPF","")</f>
        <v/>
      </c>
      <c r="BK20" s="1" t="str">
        <f aca="false">IF($B20=3,"PFI","")</f>
        <v/>
      </c>
      <c r="BL20" s="1" t="str">
        <f aca="false">IF($B20=3,"PFI","")</f>
        <v/>
      </c>
      <c r="BM20" s="1" t="str">
        <f aca="false">IF($B20=3,"PFI","")</f>
        <v/>
      </c>
      <c r="BN20" s="1" t="str">
        <f aca="false">IF($B20=3,"PFI","")</f>
        <v/>
      </c>
      <c r="BO20" s="1" t="str">
        <f aca="false">IF($B20=3,"PFI","")</f>
        <v/>
      </c>
    </row>
    <row r="21" customFormat="false" ht="12.75" hidden="false" customHeight="false" outlineLevel="0" collapsed="false">
      <c r="A21" s="1" t="n">
        <f aca="false">A20-1</f>
        <v>2006</v>
      </c>
      <c r="B21" s="1" t="n">
        <v>2</v>
      </c>
      <c r="C21" s="1" t="s">
        <v>321</v>
      </c>
      <c r="D21" s="1" t="n">
        <v>2</v>
      </c>
      <c r="E21" s="1" t="n">
        <v>2</v>
      </c>
      <c r="F21" s="1" t="str">
        <f aca="false">IF($B21=3,"PFI","")</f>
        <v/>
      </c>
      <c r="G21" s="1" t="str">
        <f aca="false">IF($B21=3,"PFI","")</f>
        <v/>
      </c>
      <c r="H21" s="1" t="str">
        <f aca="false">IF($B21=3,"PFI","")</f>
        <v/>
      </c>
      <c r="I21" s="1" t="str">
        <f aca="false">IF($B21=3,"PFI","")</f>
        <v/>
      </c>
      <c r="J21" s="1" t="str">
        <f aca="false">IF($B21=3,"PFI","")</f>
        <v/>
      </c>
      <c r="K21" s="1" t="str">
        <f aca="false">IF($B21=3,"PFI","")</f>
        <v/>
      </c>
      <c r="L21" s="1" t="str">
        <f aca="false">IF($B21=3,"DPF","")</f>
        <v/>
      </c>
      <c r="M21" s="1" t="str">
        <f aca="false">IF($B21=3,"DPF","")</f>
        <v/>
      </c>
      <c r="N21" s="1" t="str">
        <f aca="false">IF($B21=3,"DPF","")</f>
        <v/>
      </c>
      <c r="O21" s="1" t="str">
        <f aca="false">IF($B21=3,"PFI","")</f>
        <v/>
      </c>
      <c r="P21" s="1" t="str">
        <f aca="false">IF($B21=3,"PFI","")</f>
        <v/>
      </c>
      <c r="R21" s="1" t="str">
        <f aca="false">IF($B21=3,"PFI","")</f>
        <v/>
      </c>
      <c r="S21" s="1" t="str">
        <f aca="false">IF($B21=3,"PFI","")</f>
        <v/>
      </c>
      <c r="T21" s="1" t="str">
        <f aca="false">IF($B21=3,"PFI","")</f>
        <v/>
      </c>
      <c r="U21" s="1" t="str">
        <f aca="false">IF($B21=3,"DPF","")</f>
        <v/>
      </c>
      <c r="V21" s="1" t="str">
        <f aca="false">IF($B21=3,"DPF","")</f>
        <v/>
      </c>
      <c r="W21" s="1" t="str">
        <f aca="false">IF($B21=3,"DPF","")</f>
        <v/>
      </c>
      <c r="X21" s="1" t="str">
        <f aca="false">IF($B21=3,"DPF","")</f>
        <v/>
      </c>
      <c r="Y21" s="1" t="str">
        <f aca="false">IF($B21=3,"DPF","")</f>
        <v/>
      </c>
      <c r="Z21" s="1" t="str">
        <f aca="false">IF($B21=3,"DPF","")</f>
        <v/>
      </c>
      <c r="AA21" s="1" t="str">
        <f aca="false">IF($B21=3,"DPF","")</f>
        <v/>
      </c>
      <c r="AB21" s="1" t="str">
        <f aca="false">IF($B21=3,"DPF","")</f>
        <v/>
      </c>
      <c r="AC21" s="1" t="str">
        <f aca="false">IF($B21=3,"DPF","")</f>
        <v/>
      </c>
      <c r="AD21" s="1" t="str">
        <f aca="false">IF($B21=3,"DPF","")</f>
        <v/>
      </c>
      <c r="AE21" s="1" t="str">
        <f aca="false">IF($B21=3,"DPF","")</f>
        <v/>
      </c>
      <c r="AF21" s="1" t="str">
        <f aca="false">IF($B21=3,"DPF","")</f>
        <v/>
      </c>
      <c r="AG21" s="1" t="str">
        <f aca="false">IF($B21=3,"DPF","")</f>
        <v/>
      </c>
      <c r="AH21" s="1" t="str">
        <f aca="false">IF($B21=3,"DPF","")</f>
        <v/>
      </c>
      <c r="AI21" s="1" t="str">
        <f aca="false">IF($B21=3,"PFI","")</f>
        <v/>
      </c>
      <c r="AJ21" s="1" t="str">
        <f aca="false">IF($B21=3,"PFI","")</f>
        <v/>
      </c>
      <c r="AK21" s="1" t="str">
        <f aca="false">IF($B21=3,"PFI","")</f>
        <v/>
      </c>
      <c r="AL21" s="1" t="str">
        <f aca="false">IF($B21=3,"PFI","")</f>
        <v/>
      </c>
      <c r="AM21" s="1" t="str">
        <f aca="false">IF($B21=3,"PFI","")</f>
        <v/>
      </c>
      <c r="AN21" s="1" t="str">
        <f aca="false">IF($B21=3,"PFI","")</f>
        <v/>
      </c>
      <c r="AO21" s="1" t="str">
        <f aca="false">IF($B21=3,"PFI","")</f>
        <v/>
      </c>
      <c r="AP21" s="1" t="str">
        <f aca="false">IF($B21=3,"PFI","")</f>
        <v/>
      </c>
      <c r="AQ21" s="1" t="str">
        <f aca="false">IF($B21=3,"PFI","")</f>
        <v/>
      </c>
      <c r="AR21" s="1" t="str">
        <f aca="false">IF($B21=3,"DPF","")</f>
        <v/>
      </c>
      <c r="AS21" s="1" t="str">
        <f aca="false">IF($B21=3,"DPF","")</f>
        <v/>
      </c>
      <c r="AT21" s="1" t="str">
        <f aca="false">IF($B21=3,"DPF","")</f>
        <v/>
      </c>
      <c r="AU21" s="1" t="str">
        <f aca="false">IF($B21=3,"DPF","")</f>
        <v/>
      </c>
      <c r="AV21" s="1" t="str">
        <f aca="false">IF($B21=3,"DPF","")</f>
        <v/>
      </c>
      <c r="AW21" s="1" t="str">
        <f aca="false">IF($B21=3,"DPF","")</f>
        <v/>
      </c>
      <c r="AY21" s="1" t="str">
        <f aca="false">IF($B21=3,"DPF","")</f>
        <v/>
      </c>
      <c r="AZ21" s="1" t="str">
        <f aca="false">IF($B21=3,"DPF","")</f>
        <v/>
      </c>
      <c r="BA21" s="1" t="str">
        <f aca="false">IF($B21=3,"DPF","")</f>
        <v/>
      </c>
      <c r="BB21" s="1" t="str">
        <f aca="false">IF($B21=3,"PFI","")</f>
        <v/>
      </c>
      <c r="BC21" s="1" t="str">
        <f aca="false">IF($B21=3,"PFI","")</f>
        <v/>
      </c>
      <c r="BD21" s="1" t="str">
        <f aca="false">IF($B21=3,"PFI","")</f>
        <v/>
      </c>
      <c r="BE21" s="1" t="str">
        <f aca="false">IF($B21=3,"DPF","")</f>
        <v/>
      </c>
      <c r="BF21" s="1" t="str">
        <f aca="false">IF($B21=3,"DPF","")</f>
        <v/>
      </c>
      <c r="BG21" s="1" t="str">
        <f aca="false">IF($B21=3,"PFI","")</f>
        <v/>
      </c>
      <c r="BH21" s="1" t="str">
        <f aca="false">IF($B21=3,"PFI","")</f>
        <v/>
      </c>
      <c r="BI21" s="1" t="str">
        <f aca="false">IF($B21=3,"DPF","")</f>
        <v/>
      </c>
      <c r="BK21" s="1" t="str">
        <f aca="false">IF($B21=3,"PFI","")</f>
        <v/>
      </c>
      <c r="BL21" s="1" t="str">
        <f aca="false">IF($B21=3,"PFI","")</f>
        <v/>
      </c>
      <c r="BM21" s="1" t="str">
        <f aca="false">IF($B21=3,"PFI","")</f>
        <v/>
      </c>
      <c r="BN21" s="1" t="str">
        <f aca="false">IF($B21=3,"PFI","")</f>
        <v/>
      </c>
      <c r="BO21" s="1" t="str">
        <f aca="false">IF($B21=3,"PFI","")</f>
        <v/>
      </c>
    </row>
    <row r="22" customFormat="false" ht="12.75" hidden="false" customHeight="false" outlineLevel="0" collapsed="false">
      <c r="A22" s="1" t="n">
        <f aca="false">A21-1</f>
        <v>2005</v>
      </c>
      <c r="B22" s="1" t="n">
        <v>2</v>
      </c>
      <c r="C22" s="1" t="s">
        <v>321</v>
      </c>
      <c r="D22" s="1" t="n">
        <v>2</v>
      </c>
      <c r="E22" s="1" t="n">
        <v>2</v>
      </c>
      <c r="F22" s="1" t="str">
        <f aca="false">IF($B22=3,"PFI","")</f>
        <v/>
      </c>
      <c r="G22" s="1" t="str">
        <f aca="false">IF($B22=3,"PFI","")</f>
        <v/>
      </c>
      <c r="H22" s="1" t="str">
        <f aca="false">IF($B22=3,"PFI","")</f>
        <v/>
      </c>
      <c r="I22" s="1" t="str">
        <f aca="false">IF($B22=3,"PFI","")</f>
        <v/>
      </c>
      <c r="J22" s="1" t="str">
        <f aca="false">IF($B22=3,"PFI","")</f>
        <v/>
      </c>
      <c r="K22" s="1" t="str">
        <f aca="false">IF($B22=3,"PFI","")</f>
        <v/>
      </c>
      <c r="L22" s="1" t="str">
        <f aca="false">IF($B22=3,"DPF","")</f>
        <v/>
      </c>
      <c r="M22" s="1" t="str">
        <f aca="false">IF($B22=3,"DPF","")</f>
        <v/>
      </c>
      <c r="N22" s="1" t="str">
        <f aca="false">IF($B22=3,"DPF","")</f>
        <v/>
      </c>
      <c r="O22" s="1" t="str">
        <f aca="false">IF($B22=3,"PFI","")</f>
        <v/>
      </c>
      <c r="P22" s="1" t="str">
        <f aca="false">IF($B22=3,"PFI","")</f>
        <v/>
      </c>
      <c r="R22" s="1" t="str">
        <f aca="false">IF($B22=3,"PFI","")</f>
        <v/>
      </c>
      <c r="S22" s="1" t="str">
        <f aca="false">IF($B22=3,"PFI","")</f>
        <v/>
      </c>
      <c r="T22" s="1" t="str">
        <f aca="false">IF($B22=3,"PFI","")</f>
        <v/>
      </c>
      <c r="U22" s="1" t="str">
        <f aca="false">IF($B22=3,"DPF","")</f>
        <v/>
      </c>
      <c r="V22" s="1" t="str">
        <f aca="false">IF($B22=3,"DPF","")</f>
        <v/>
      </c>
      <c r="W22" s="1" t="str">
        <f aca="false">IF($B22=3,"DPF","")</f>
        <v/>
      </c>
      <c r="X22" s="1" t="str">
        <f aca="false">IF($B22=3,"DPF","")</f>
        <v/>
      </c>
      <c r="Y22" s="1" t="str">
        <f aca="false">IF($B22=3,"DPF","")</f>
        <v/>
      </c>
      <c r="Z22" s="1" t="str">
        <f aca="false">IF($B22=3,"DPF","")</f>
        <v/>
      </c>
      <c r="AA22" s="1" t="str">
        <f aca="false">IF($B22=3,"DPF","")</f>
        <v/>
      </c>
      <c r="AB22" s="1" t="str">
        <f aca="false">IF($B22=3,"DPF","")</f>
        <v/>
      </c>
      <c r="AC22" s="1" t="str">
        <f aca="false">IF($B22=3,"DPF","")</f>
        <v/>
      </c>
      <c r="AD22" s="1" t="str">
        <f aca="false">IF($B22=3,"DPF","")</f>
        <v/>
      </c>
      <c r="AE22" s="1" t="str">
        <f aca="false">IF($B22=3,"DPF","")</f>
        <v/>
      </c>
      <c r="AF22" s="1" t="str">
        <f aca="false">IF($B22=3,"DPF","")</f>
        <v/>
      </c>
      <c r="AG22" s="1" t="str">
        <f aca="false">IF($B22=3,"DPF","")</f>
        <v/>
      </c>
      <c r="AH22" s="1" t="str">
        <f aca="false">IF($B22=3,"DPF","")</f>
        <v/>
      </c>
      <c r="AI22" s="1" t="str">
        <f aca="false">IF($B22=3,"PFI","")</f>
        <v/>
      </c>
      <c r="AJ22" s="1" t="str">
        <f aca="false">IF($B22=3,"PFI","")</f>
        <v/>
      </c>
      <c r="AK22" s="1" t="str">
        <f aca="false">IF($B22=3,"PFI","")</f>
        <v/>
      </c>
      <c r="AL22" s="1" t="str">
        <f aca="false">IF($B22=3,"PFI","")</f>
        <v/>
      </c>
      <c r="AM22" s="1" t="str">
        <f aca="false">IF($B22=3,"PFI","")</f>
        <v/>
      </c>
      <c r="AN22" s="1" t="str">
        <f aca="false">IF($B22=3,"PFI","")</f>
        <v/>
      </c>
      <c r="AO22" s="1" t="str">
        <f aca="false">IF($B22=3,"PFI","")</f>
        <v/>
      </c>
      <c r="AP22" s="1" t="str">
        <f aca="false">IF($B22=3,"PFI","")</f>
        <v/>
      </c>
      <c r="AQ22" s="1" t="str">
        <f aca="false">IF($B22=3,"PFI","")</f>
        <v/>
      </c>
      <c r="AR22" s="1" t="str">
        <f aca="false">IF($B22=3,"DPF","")</f>
        <v/>
      </c>
      <c r="AS22" s="1" t="str">
        <f aca="false">IF($B22=3,"DPF","")</f>
        <v/>
      </c>
      <c r="AT22" s="1" t="str">
        <f aca="false">IF($B22=3,"DPF","")</f>
        <v/>
      </c>
      <c r="AU22" s="1" t="str">
        <f aca="false">IF($B22=3,"DPF","")</f>
        <v/>
      </c>
      <c r="AV22" s="1" t="str">
        <f aca="false">IF($B22=3,"DPF","")</f>
        <v/>
      </c>
      <c r="AW22" s="1" t="str">
        <f aca="false">IF($B22=3,"DPF","")</f>
        <v/>
      </c>
      <c r="AY22" s="1" t="str">
        <f aca="false">IF($B22=3,"DPF","")</f>
        <v/>
      </c>
      <c r="AZ22" s="1" t="str">
        <f aca="false">IF($B22=3,"DPF","")</f>
        <v/>
      </c>
      <c r="BA22" s="1" t="str">
        <f aca="false">IF($B22=3,"DPF","")</f>
        <v/>
      </c>
      <c r="BB22" s="1" t="str">
        <f aca="false">IF($B22=3,"PFI","")</f>
        <v/>
      </c>
      <c r="BC22" s="1" t="str">
        <f aca="false">IF($B22=3,"PFI","")</f>
        <v/>
      </c>
      <c r="BD22" s="1" t="str">
        <f aca="false">IF($B22=3,"PFI","")</f>
        <v/>
      </c>
      <c r="BE22" s="1" t="str">
        <f aca="false">IF($B22=3,"DPF","")</f>
        <v/>
      </c>
      <c r="BF22" s="1" t="str">
        <f aca="false">IF($B22=3,"DPF","")</f>
        <v/>
      </c>
      <c r="BG22" s="1" t="str">
        <f aca="false">IF($B22=3,"PFI","")</f>
        <v/>
      </c>
      <c r="BH22" s="1" t="str">
        <f aca="false">IF($B22=3,"PFI","")</f>
        <v/>
      </c>
      <c r="BI22" s="1" t="str">
        <f aca="false">IF($B22=3,"DPF","")</f>
        <v/>
      </c>
      <c r="BK22" s="1" t="str">
        <f aca="false">IF($B22=3,"PFI","")</f>
        <v/>
      </c>
      <c r="BL22" s="1" t="str">
        <f aca="false">IF($B22=3,"PFI","")</f>
        <v/>
      </c>
      <c r="BM22" s="1" t="str">
        <f aca="false">IF($B22=3,"PFI","")</f>
        <v/>
      </c>
      <c r="BN22" s="1" t="str">
        <f aca="false">IF($B22=3,"PFI","")</f>
        <v/>
      </c>
      <c r="BO22" s="1" t="str">
        <f aca="false">IF($B22=3,"PFI","")</f>
        <v/>
      </c>
    </row>
    <row r="23" customFormat="false" ht="12.75" hidden="false" customHeight="false" outlineLevel="0" collapsed="false">
      <c r="A23" s="1" t="n">
        <f aca="false">A22-1</f>
        <v>2004</v>
      </c>
      <c r="B23" s="1" t="n">
        <v>2</v>
      </c>
      <c r="C23" s="1" t="s">
        <v>321</v>
      </c>
      <c r="D23" s="1" t="n">
        <v>2</v>
      </c>
      <c r="E23" s="1" t="n">
        <v>2</v>
      </c>
      <c r="F23" s="1" t="str">
        <f aca="false">IF($B23=3,"PFI","")</f>
        <v/>
      </c>
      <c r="G23" s="1" t="str">
        <f aca="false">IF($B23=3,"PFI","")</f>
        <v/>
      </c>
      <c r="H23" s="1" t="str">
        <f aca="false">IF($B23=3,"PFI","")</f>
        <v/>
      </c>
      <c r="I23" s="1" t="str">
        <f aca="false">IF($B23=3,"PFI","")</f>
        <v/>
      </c>
      <c r="J23" s="1" t="str">
        <f aca="false">IF($B23=3,"PFI","")</f>
        <v/>
      </c>
      <c r="K23" s="1" t="str">
        <f aca="false">IF($B23=3,"PFI","")</f>
        <v/>
      </c>
      <c r="L23" s="1" t="str">
        <f aca="false">IF($B23=3,"DPF","")</f>
        <v/>
      </c>
      <c r="M23" s="1" t="str">
        <f aca="false">IF($B23=3,"DPF","")</f>
        <v/>
      </c>
      <c r="N23" s="1" t="str">
        <f aca="false">IF($B23=3,"DPF","")</f>
        <v/>
      </c>
      <c r="O23" s="1" t="str">
        <f aca="false">IF($B23=3,"PFI","")</f>
        <v/>
      </c>
      <c r="P23" s="1" t="str">
        <f aca="false">IF($B23=3,"PFI","")</f>
        <v/>
      </c>
      <c r="R23" s="1" t="str">
        <f aca="false">IF($B23=3,"PFI","")</f>
        <v/>
      </c>
      <c r="S23" s="1" t="str">
        <f aca="false">IF($B23=3,"PFI","")</f>
        <v/>
      </c>
      <c r="T23" s="1" t="str">
        <f aca="false">IF($B23=3,"PFI","")</f>
        <v/>
      </c>
      <c r="U23" s="1" t="str">
        <f aca="false">IF($B23=3,"DPF","")</f>
        <v/>
      </c>
      <c r="V23" s="1" t="str">
        <f aca="false">IF($B23=3,"DPF","")</f>
        <v/>
      </c>
      <c r="W23" s="1" t="str">
        <f aca="false">IF($B23=3,"DPF","")</f>
        <v/>
      </c>
      <c r="X23" s="1" t="str">
        <f aca="false">IF($B23=3,"DPF","")</f>
        <v/>
      </c>
      <c r="Y23" s="1" t="str">
        <f aca="false">IF($B23=3,"DPF","")</f>
        <v/>
      </c>
      <c r="Z23" s="1" t="str">
        <f aca="false">IF($B23=3,"DPF","")</f>
        <v/>
      </c>
      <c r="AA23" s="1" t="str">
        <f aca="false">IF($B23=3,"DPF","")</f>
        <v/>
      </c>
      <c r="AB23" s="1" t="str">
        <f aca="false">IF($B23=3,"DPF","")</f>
        <v/>
      </c>
      <c r="AC23" s="1" t="str">
        <f aca="false">IF($B23=3,"DPF","")</f>
        <v/>
      </c>
      <c r="AD23" s="1" t="str">
        <f aca="false">IF($B23=3,"DPF","")</f>
        <v/>
      </c>
      <c r="AE23" s="1" t="str">
        <f aca="false">IF($B23=3,"DPF","")</f>
        <v/>
      </c>
      <c r="AF23" s="1" t="str">
        <f aca="false">IF($B23=3,"DPF","")</f>
        <v/>
      </c>
      <c r="AG23" s="1" t="str">
        <f aca="false">IF($B23=3,"DPF","")</f>
        <v/>
      </c>
      <c r="AH23" s="1" t="str">
        <f aca="false">IF($B23=3,"DPF","")</f>
        <v/>
      </c>
      <c r="AI23" s="1" t="str">
        <f aca="false">IF($B23=3,"PFI","")</f>
        <v/>
      </c>
      <c r="AJ23" s="1" t="str">
        <f aca="false">IF($B23=3,"PFI","")</f>
        <v/>
      </c>
      <c r="AK23" s="1" t="str">
        <f aca="false">IF($B23=3,"PFI","")</f>
        <v/>
      </c>
      <c r="AL23" s="1" t="str">
        <f aca="false">IF($B23=3,"PFI","")</f>
        <v/>
      </c>
      <c r="AM23" s="1" t="str">
        <f aca="false">IF($B23=3,"PFI","")</f>
        <v/>
      </c>
      <c r="AN23" s="1" t="str">
        <f aca="false">IF($B23=3,"PFI","")</f>
        <v/>
      </c>
      <c r="AO23" s="1" t="str">
        <f aca="false">IF($B23=3,"PFI","")</f>
        <v/>
      </c>
      <c r="AP23" s="1" t="str">
        <f aca="false">IF($B23=3,"PFI","")</f>
        <v/>
      </c>
      <c r="AQ23" s="1" t="str">
        <f aca="false">IF($B23=3,"PFI","")</f>
        <v/>
      </c>
      <c r="AR23" s="1" t="str">
        <f aca="false">IF($B23=3,"DPF","")</f>
        <v/>
      </c>
      <c r="AS23" s="1" t="str">
        <f aca="false">IF($B23=3,"DPF","")</f>
        <v/>
      </c>
      <c r="AT23" s="1" t="str">
        <f aca="false">IF($B23=3,"DPF","")</f>
        <v/>
      </c>
      <c r="AU23" s="1" t="str">
        <f aca="false">IF($B23=3,"DPF","")</f>
        <v/>
      </c>
      <c r="AV23" s="1" t="str">
        <f aca="false">IF($B23=3,"DPF","")</f>
        <v/>
      </c>
      <c r="AW23" s="1" t="str">
        <f aca="false">IF($B23=3,"DPF","")</f>
        <v/>
      </c>
      <c r="AY23" s="1" t="str">
        <f aca="false">IF($B23=3,"DPF","")</f>
        <v/>
      </c>
      <c r="AZ23" s="1" t="str">
        <f aca="false">IF($B23=3,"DPF","")</f>
        <v/>
      </c>
      <c r="BA23" s="1" t="str">
        <f aca="false">IF($B23=3,"DPF","")</f>
        <v/>
      </c>
      <c r="BB23" s="1" t="str">
        <f aca="false">IF($B23=3,"PFI","")</f>
        <v/>
      </c>
      <c r="BC23" s="1" t="str">
        <f aca="false">IF($B23=3,"PFI","")</f>
        <v/>
      </c>
      <c r="BD23" s="1" t="str">
        <f aca="false">IF($B23=3,"PFI","")</f>
        <v/>
      </c>
      <c r="BE23" s="1" t="str">
        <f aca="false">IF($B23=3,"DPF","")</f>
        <v/>
      </c>
      <c r="BF23" s="1" t="str">
        <f aca="false">IF($B23=3,"DPF","")</f>
        <v/>
      </c>
      <c r="BG23" s="1" t="str">
        <f aca="false">IF($B23=3,"PFI","")</f>
        <v/>
      </c>
      <c r="BH23" s="1" t="str">
        <f aca="false">IF($B23=3,"PFI","")</f>
        <v/>
      </c>
      <c r="BI23" s="1" t="str">
        <f aca="false">IF($B23=3,"DPF","")</f>
        <v/>
      </c>
      <c r="BK23" s="1" t="str">
        <f aca="false">IF($B23=3,"PFI","")</f>
        <v/>
      </c>
      <c r="BL23" s="1" t="str">
        <f aca="false">IF($B23=3,"PFI","")</f>
        <v/>
      </c>
      <c r="BM23" s="1" t="str">
        <f aca="false">IF($B23=3,"PFI","")</f>
        <v/>
      </c>
      <c r="BN23" s="1" t="str">
        <f aca="false">IF($B23=3,"PFI","")</f>
        <v/>
      </c>
      <c r="BO23" s="1" t="str">
        <f aca="false">IF($B23=3,"PFI","")</f>
        <v/>
      </c>
    </row>
    <row r="24" customFormat="false" ht="12.75" hidden="false" customHeight="false" outlineLevel="0" collapsed="false">
      <c r="A24" s="1" t="n">
        <f aca="false">A23-1</f>
        <v>2003</v>
      </c>
      <c r="B24" s="1" t="n">
        <v>2</v>
      </c>
      <c r="C24" s="1" t="s">
        <v>321</v>
      </c>
      <c r="D24" s="1" t="n">
        <v>2</v>
      </c>
      <c r="E24" s="1" t="n">
        <v>2</v>
      </c>
      <c r="F24" s="1" t="str">
        <f aca="false">IF($B24=3,"PFI","")</f>
        <v/>
      </c>
      <c r="G24" s="1" t="str">
        <f aca="false">IF($B24=3,"PFI","")</f>
        <v/>
      </c>
      <c r="H24" s="1" t="str">
        <f aca="false">IF($B24=3,"PFI","")</f>
        <v/>
      </c>
      <c r="I24" s="1" t="str">
        <f aca="false">IF($B24=3,"PFI","")</f>
        <v/>
      </c>
      <c r="J24" s="1" t="str">
        <f aca="false">IF($B24=3,"PFI","")</f>
        <v/>
      </c>
      <c r="K24" s="1" t="str">
        <f aca="false">IF($B24=3,"PFI","")</f>
        <v/>
      </c>
      <c r="L24" s="1" t="str">
        <f aca="false">IF($B24=3,"DPF","")</f>
        <v/>
      </c>
      <c r="M24" s="1" t="str">
        <f aca="false">IF($B24=3,"DPF","")</f>
        <v/>
      </c>
      <c r="N24" s="1" t="str">
        <f aca="false">IF($B24=3,"DPF","")</f>
        <v/>
      </c>
      <c r="O24" s="1" t="str">
        <f aca="false">IF($B24=3,"PFI","")</f>
        <v/>
      </c>
      <c r="P24" s="1" t="str">
        <f aca="false">IF($B24=3,"PFI","")</f>
        <v/>
      </c>
      <c r="R24" s="1" t="str">
        <f aca="false">IF($B24=3,"PFI","")</f>
        <v/>
      </c>
      <c r="S24" s="1" t="str">
        <f aca="false">IF($B24=3,"PFI","")</f>
        <v/>
      </c>
      <c r="T24" s="1" t="str">
        <f aca="false">IF($B24=3,"PFI","")</f>
        <v/>
      </c>
      <c r="U24" s="1" t="str">
        <f aca="false">IF($B24=3,"DPF","")</f>
        <v/>
      </c>
      <c r="V24" s="1" t="str">
        <f aca="false">IF($B24=3,"DPF","")</f>
        <v/>
      </c>
      <c r="W24" s="1" t="str">
        <f aca="false">IF($B24=3,"DPF","")</f>
        <v/>
      </c>
      <c r="X24" s="1" t="str">
        <f aca="false">IF($B24=3,"DPF","")</f>
        <v/>
      </c>
      <c r="Y24" s="1" t="str">
        <f aca="false">IF($B24=3,"DPF","")</f>
        <v/>
      </c>
      <c r="Z24" s="1" t="str">
        <f aca="false">IF($B24=3,"DPF","")</f>
        <v/>
      </c>
      <c r="AA24" s="1" t="str">
        <f aca="false">IF($B24=3,"DPF","")</f>
        <v/>
      </c>
      <c r="AB24" s="1" t="str">
        <f aca="false">IF($B24=3,"DPF","")</f>
        <v/>
      </c>
      <c r="AC24" s="1" t="str">
        <f aca="false">IF($B24=3,"DPF","")</f>
        <v/>
      </c>
      <c r="AD24" s="1" t="str">
        <f aca="false">IF($B24=3,"DPF","")</f>
        <v/>
      </c>
      <c r="AE24" s="1" t="str">
        <f aca="false">IF($B24=3,"DPF","")</f>
        <v/>
      </c>
      <c r="AF24" s="1" t="str">
        <f aca="false">IF($B24=3,"DPF","")</f>
        <v/>
      </c>
      <c r="AG24" s="1" t="str">
        <f aca="false">IF($B24=3,"DPF","")</f>
        <v/>
      </c>
      <c r="AH24" s="1" t="str">
        <f aca="false">IF($B24=3,"DPF","")</f>
        <v/>
      </c>
      <c r="AI24" s="1" t="str">
        <f aca="false">IF($B24=3,"PFI","")</f>
        <v/>
      </c>
      <c r="AJ24" s="1" t="str">
        <f aca="false">IF($B24=3,"PFI","")</f>
        <v/>
      </c>
      <c r="AK24" s="1" t="str">
        <f aca="false">IF($B24=3,"PFI","")</f>
        <v/>
      </c>
      <c r="AL24" s="1" t="str">
        <f aca="false">IF($B24=3,"PFI","")</f>
        <v/>
      </c>
      <c r="AM24" s="1" t="str">
        <f aca="false">IF($B24=3,"PFI","")</f>
        <v/>
      </c>
      <c r="AN24" s="1" t="str">
        <f aca="false">IF($B24=3,"PFI","")</f>
        <v/>
      </c>
      <c r="AO24" s="1" t="str">
        <f aca="false">IF($B24=3,"PFI","")</f>
        <v/>
      </c>
      <c r="AP24" s="1" t="str">
        <f aca="false">IF($B24=3,"PFI","")</f>
        <v/>
      </c>
      <c r="AQ24" s="1" t="str">
        <f aca="false">IF($B24=3,"PFI","")</f>
        <v/>
      </c>
      <c r="AR24" s="1" t="str">
        <f aca="false">IF($B24=3,"DPF","")</f>
        <v/>
      </c>
      <c r="AS24" s="1" t="str">
        <f aca="false">IF($B24=3,"DPF","")</f>
        <v/>
      </c>
      <c r="AT24" s="1" t="str">
        <f aca="false">IF($B24=3,"DPF","")</f>
        <v/>
      </c>
      <c r="AU24" s="1" t="str">
        <f aca="false">IF($B24=3,"DPF","")</f>
        <v/>
      </c>
      <c r="AV24" s="1" t="str">
        <f aca="false">IF($B24=3,"DPF","")</f>
        <v/>
      </c>
      <c r="AW24" s="1" t="str">
        <f aca="false">IF($B24=3,"DPF","")</f>
        <v/>
      </c>
      <c r="AY24" s="1" t="str">
        <f aca="false">IF($B24=3,"DPF","")</f>
        <v/>
      </c>
      <c r="AZ24" s="1" t="str">
        <f aca="false">IF($B24=3,"DPF","")</f>
        <v/>
      </c>
      <c r="BA24" s="1" t="str">
        <f aca="false">IF($B24=3,"DPF","")</f>
        <v/>
      </c>
      <c r="BB24" s="1" t="str">
        <f aca="false">IF($B24=3,"PFI","")</f>
        <v/>
      </c>
      <c r="BC24" s="1" t="str">
        <f aca="false">IF($B24=3,"PFI","")</f>
        <v/>
      </c>
      <c r="BD24" s="1" t="str">
        <f aca="false">IF($B24=3,"PFI","")</f>
        <v/>
      </c>
      <c r="BE24" s="1" t="str">
        <f aca="false">IF($B24=3,"DPF","")</f>
        <v/>
      </c>
      <c r="BF24" s="1" t="str">
        <f aca="false">IF($B24=3,"DPF","")</f>
        <v/>
      </c>
      <c r="BG24" s="1" t="str">
        <f aca="false">IF($B24=3,"PFI","")</f>
        <v/>
      </c>
      <c r="BH24" s="1" t="str">
        <f aca="false">IF($B24=3,"PFI","")</f>
        <v/>
      </c>
      <c r="BI24" s="1" t="str">
        <f aca="false">IF($B24=3,"DPF","")</f>
        <v/>
      </c>
      <c r="BK24" s="1" t="str">
        <f aca="false">IF($B24=3,"PFI","")</f>
        <v/>
      </c>
      <c r="BL24" s="1" t="str">
        <f aca="false">IF($B24=3,"PFI","")</f>
        <v/>
      </c>
      <c r="BM24" s="1" t="str">
        <f aca="false">IF($B24=3,"PFI","")</f>
        <v/>
      </c>
      <c r="BN24" s="1" t="str">
        <f aca="false">IF($B24=3,"PFI","")</f>
        <v/>
      </c>
      <c r="BO24" s="1" t="str">
        <f aca="false">IF($B24=3,"PFI","")</f>
        <v/>
      </c>
    </row>
    <row r="25" customFormat="false" ht="12.75" hidden="false" customHeight="false" outlineLevel="0" collapsed="false">
      <c r="A25" s="1" t="n">
        <f aca="false">A24-1</f>
        <v>2002</v>
      </c>
      <c r="B25" s="1" t="n">
        <v>2</v>
      </c>
      <c r="C25" s="1" t="s">
        <v>321</v>
      </c>
      <c r="D25" s="1" t="n">
        <v>2</v>
      </c>
      <c r="E25" s="1" t="n">
        <v>2</v>
      </c>
      <c r="F25" s="1" t="str">
        <f aca="false">IF($B25=3,"PFI","")</f>
        <v/>
      </c>
      <c r="G25" s="1" t="str">
        <f aca="false">IF($B25=3,"PFI","")</f>
        <v/>
      </c>
      <c r="H25" s="1" t="str">
        <f aca="false">IF($B25=3,"PFI","")</f>
        <v/>
      </c>
      <c r="I25" s="1" t="str">
        <f aca="false">IF($B25=3,"PFI","")</f>
        <v/>
      </c>
      <c r="J25" s="1" t="str">
        <f aca="false">IF($B25=3,"PFI","")</f>
        <v/>
      </c>
      <c r="K25" s="1" t="str">
        <f aca="false">IF($B25=3,"PFI","")</f>
        <v/>
      </c>
      <c r="L25" s="1" t="str">
        <f aca="false">IF($B25=3,"DPF","")</f>
        <v/>
      </c>
      <c r="M25" s="1" t="str">
        <f aca="false">IF($B25=3,"DPF","")</f>
        <v/>
      </c>
      <c r="N25" s="1" t="str">
        <f aca="false">IF($B25=3,"DPF","")</f>
        <v/>
      </c>
      <c r="O25" s="1" t="str">
        <f aca="false">IF($B25=3,"PFI","")</f>
        <v/>
      </c>
      <c r="P25" s="1" t="str">
        <f aca="false">IF($B25=3,"PFI","")</f>
        <v/>
      </c>
      <c r="R25" s="1" t="str">
        <f aca="false">IF($B25=3,"PFI","")</f>
        <v/>
      </c>
      <c r="S25" s="1" t="str">
        <f aca="false">IF($B25=3,"PFI","")</f>
        <v/>
      </c>
      <c r="T25" s="1" t="str">
        <f aca="false">IF($B25=3,"PFI","")</f>
        <v/>
      </c>
      <c r="U25" s="1" t="str">
        <f aca="false">IF($B25=3,"DPF","")</f>
        <v/>
      </c>
      <c r="V25" s="1" t="str">
        <f aca="false">IF($B25=3,"DPF","")</f>
        <v/>
      </c>
      <c r="W25" s="1" t="str">
        <f aca="false">IF($B25=3,"DPF","")</f>
        <v/>
      </c>
      <c r="X25" s="1" t="str">
        <f aca="false">IF($B25=3,"DPF","")</f>
        <v/>
      </c>
      <c r="Y25" s="1" t="str">
        <f aca="false">IF($B25=3,"DPF","")</f>
        <v/>
      </c>
      <c r="Z25" s="1" t="str">
        <f aca="false">IF($B25=3,"DPF","")</f>
        <v/>
      </c>
      <c r="AA25" s="1" t="str">
        <f aca="false">IF($B25=3,"DPF","")</f>
        <v/>
      </c>
      <c r="AB25" s="1" t="str">
        <f aca="false">IF($B25=3,"DPF","")</f>
        <v/>
      </c>
      <c r="AC25" s="1" t="str">
        <f aca="false">IF($B25=3,"DPF","")</f>
        <v/>
      </c>
      <c r="AD25" s="1" t="str">
        <f aca="false">IF($B25=3,"DPF","")</f>
        <v/>
      </c>
      <c r="AE25" s="1" t="str">
        <f aca="false">IF($B25=3,"DPF","")</f>
        <v/>
      </c>
      <c r="AF25" s="1" t="str">
        <f aca="false">IF($B25=3,"DPF","")</f>
        <v/>
      </c>
      <c r="AG25" s="1" t="str">
        <f aca="false">IF($B25=3,"DPF","")</f>
        <v/>
      </c>
      <c r="AH25" s="1" t="str">
        <f aca="false">IF($B25=3,"DPF","")</f>
        <v/>
      </c>
      <c r="AI25" s="1" t="str">
        <f aca="false">IF($B25=3,"PFI","")</f>
        <v/>
      </c>
      <c r="AJ25" s="1" t="str">
        <f aca="false">IF($B25=3,"PFI","")</f>
        <v/>
      </c>
      <c r="AK25" s="1" t="str">
        <f aca="false">IF($B25=3,"PFI","")</f>
        <v/>
      </c>
      <c r="AL25" s="1" t="str">
        <f aca="false">IF($B25=3,"PFI","")</f>
        <v/>
      </c>
      <c r="AM25" s="1" t="str">
        <f aca="false">IF($B25=3,"PFI","")</f>
        <v/>
      </c>
      <c r="AN25" s="1" t="str">
        <f aca="false">IF($B25=3,"PFI","")</f>
        <v/>
      </c>
      <c r="AO25" s="1" t="str">
        <f aca="false">IF($B25=3,"PFI","")</f>
        <v/>
      </c>
      <c r="AP25" s="1" t="str">
        <f aca="false">IF($B25=3,"PFI","")</f>
        <v/>
      </c>
      <c r="AQ25" s="1" t="str">
        <f aca="false">IF($B25=3,"PFI","")</f>
        <v/>
      </c>
      <c r="AR25" s="1" t="str">
        <f aca="false">IF($B25=3,"DPF","")</f>
        <v/>
      </c>
      <c r="AS25" s="1" t="str">
        <f aca="false">IF($B25=3,"DPF","")</f>
        <v/>
      </c>
      <c r="AT25" s="1" t="str">
        <f aca="false">IF($B25=3,"DPF","")</f>
        <v/>
      </c>
      <c r="AU25" s="1" t="str">
        <f aca="false">IF($B25=3,"DPF","")</f>
        <v/>
      </c>
      <c r="AV25" s="1" t="str">
        <f aca="false">IF($B25=3,"DPF","")</f>
        <v/>
      </c>
      <c r="AW25" s="1" t="str">
        <f aca="false">IF($B25=3,"DPF","")</f>
        <v/>
      </c>
      <c r="AY25" s="1" t="str">
        <f aca="false">IF($B25=3,"DPF","")</f>
        <v/>
      </c>
      <c r="AZ25" s="1" t="str">
        <f aca="false">IF($B25=3,"DPF","")</f>
        <v/>
      </c>
      <c r="BA25" s="1" t="str">
        <f aca="false">IF($B25=3,"DPF","")</f>
        <v/>
      </c>
      <c r="BB25" s="1" t="str">
        <f aca="false">IF($B25=3,"PFI","")</f>
        <v/>
      </c>
      <c r="BC25" s="1" t="str">
        <f aca="false">IF($B25=3,"PFI","")</f>
        <v/>
      </c>
      <c r="BD25" s="1" t="str">
        <f aca="false">IF($B25=3,"PFI","")</f>
        <v/>
      </c>
      <c r="BE25" s="1" t="str">
        <f aca="false">IF($B25=3,"DPF","")</f>
        <v/>
      </c>
      <c r="BF25" s="1" t="str">
        <f aca="false">IF($B25=3,"DPF","")</f>
        <v/>
      </c>
      <c r="BG25" s="1" t="str">
        <f aca="false">IF($B25=3,"PFI","")</f>
        <v/>
      </c>
      <c r="BH25" s="1" t="str">
        <f aca="false">IF($B25=3,"PFI","")</f>
        <v/>
      </c>
      <c r="BI25" s="1" t="str">
        <f aca="false">IF($B25=3,"DPF","")</f>
        <v/>
      </c>
      <c r="BK25" s="1" t="str">
        <f aca="false">IF($B25=3,"PFI","")</f>
        <v/>
      </c>
      <c r="BL25" s="1" t="str">
        <f aca="false">IF($B25=3,"PFI","")</f>
        <v/>
      </c>
      <c r="BM25" s="1" t="str">
        <f aca="false">IF($B25=3,"PFI","")</f>
        <v/>
      </c>
      <c r="BN25" s="1" t="str">
        <f aca="false">IF($B25=3,"PFI","")</f>
        <v/>
      </c>
      <c r="BO25" s="1" t="str">
        <f aca="false">IF($B25=3,"PFI","")</f>
        <v/>
      </c>
    </row>
    <row r="26" customFormat="false" ht="12.75" hidden="false" customHeight="false" outlineLevel="0" collapsed="false">
      <c r="A26" s="1" t="n">
        <f aca="false">A25-1</f>
        <v>2001</v>
      </c>
      <c r="B26" s="1" t="n">
        <v>1</v>
      </c>
      <c r="C26" s="1" t="s">
        <v>322</v>
      </c>
      <c r="D26" s="1" t="n">
        <v>1</v>
      </c>
      <c r="E26" s="1" t="n">
        <v>1</v>
      </c>
      <c r="F26" s="1" t="str">
        <f aca="false">IF($B26=3,"PFI","")</f>
        <v/>
      </c>
      <c r="G26" s="1" t="str">
        <f aca="false">IF($B26=3,"PFI","")</f>
        <v/>
      </c>
      <c r="H26" s="1" t="str">
        <f aca="false">IF($B26=3,"PFI","")</f>
        <v/>
      </c>
      <c r="I26" s="1" t="str">
        <f aca="false">IF($B26=3,"PFI","")</f>
        <v/>
      </c>
      <c r="J26" s="1" t="str">
        <f aca="false">IF($B26=3,"PFI","")</f>
        <v/>
      </c>
      <c r="K26" s="1" t="str">
        <f aca="false">IF($B26=3,"PFI","")</f>
        <v/>
      </c>
      <c r="L26" s="1" t="str">
        <f aca="false">IF($B26=3,"DPF","")</f>
        <v/>
      </c>
      <c r="M26" s="1" t="str">
        <f aca="false">IF($B26=3,"DPF","")</f>
        <v/>
      </c>
      <c r="N26" s="1" t="str">
        <f aca="false">IF($B26=3,"DPF","")</f>
        <v/>
      </c>
      <c r="O26" s="1" t="str">
        <f aca="false">IF($B26=3,"PFI","")</f>
        <v/>
      </c>
      <c r="P26" s="1" t="str">
        <f aca="false">IF($B26=3,"PFI","")</f>
        <v/>
      </c>
      <c r="R26" s="1" t="str">
        <f aca="false">IF($B26=3,"PFI","")</f>
        <v/>
      </c>
      <c r="S26" s="1" t="str">
        <f aca="false">IF($B26=3,"PFI","")</f>
        <v/>
      </c>
      <c r="T26" s="1" t="str">
        <f aca="false">IF($B26=3,"PFI","")</f>
        <v/>
      </c>
      <c r="U26" s="1" t="str">
        <f aca="false">IF($B26=3,"DPF","")</f>
        <v/>
      </c>
      <c r="V26" s="1" t="str">
        <f aca="false">IF($B26=3,"DPF","")</f>
        <v/>
      </c>
      <c r="W26" s="1" t="str">
        <f aca="false">IF($B26=3,"DPF","")</f>
        <v/>
      </c>
      <c r="X26" s="1" t="str">
        <f aca="false">IF($B26=3,"DPF","")</f>
        <v/>
      </c>
      <c r="Y26" s="1" t="str">
        <f aca="false">IF($B26=3,"DPF","")</f>
        <v/>
      </c>
      <c r="Z26" s="1" t="str">
        <f aca="false">IF($B26=3,"DPF","")</f>
        <v/>
      </c>
      <c r="AA26" s="1" t="str">
        <f aca="false">IF($B26=3,"DPF","")</f>
        <v/>
      </c>
      <c r="AB26" s="1" t="str">
        <f aca="false">IF($B26=3,"DPF","")</f>
        <v/>
      </c>
      <c r="AC26" s="1" t="str">
        <f aca="false">IF($B26=3,"DPF","")</f>
        <v/>
      </c>
      <c r="AD26" s="1" t="str">
        <f aca="false">IF($B26=3,"DPF","")</f>
        <v/>
      </c>
      <c r="AE26" s="1" t="str">
        <f aca="false">IF($B26=3,"DPF","")</f>
        <v/>
      </c>
      <c r="AF26" s="1" t="str">
        <f aca="false">IF($B26=3,"DPF","")</f>
        <v/>
      </c>
      <c r="AG26" s="1" t="str">
        <f aca="false">IF($B26=3,"DPF","")</f>
        <v/>
      </c>
      <c r="AH26" s="1" t="str">
        <f aca="false">IF($B26=3,"DPF","")</f>
        <v/>
      </c>
      <c r="AI26" s="1" t="str">
        <f aca="false">IF($B26=3,"PFI","")</f>
        <v/>
      </c>
      <c r="AJ26" s="1" t="str">
        <f aca="false">IF($B26=3,"PFI","")</f>
        <v/>
      </c>
      <c r="AK26" s="1" t="str">
        <f aca="false">IF($B26=3,"PFI","")</f>
        <v/>
      </c>
      <c r="AL26" s="1" t="str">
        <f aca="false">IF($B26=3,"PFI","")</f>
        <v/>
      </c>
      <c r="AM26" s="1" t="str">
        <f aca="false">IF($B26=3,"PFI","")</f>
        <v/>
      </c>
      <c r="AN26" s="1" t="str">
        <f aca="false">IF($B26=3,"PFI","")</f>
        <v/>
      </c>
      <c r="AO26" s="1" t="str">
        <f aca="false">IF($B26=3,"PFI","")</f>
        <v/>
      </c>
      <c r="AP26" s="1" t="str">
        <f aca="false">IF($B26=3,"PFI","")</f>
        <v/>
      </c>
      <c r="AQ26" s="1" t="str">
        <f aca="false">IF($B26=3,"PFI","")</f>
        <v/>
      </c>
      <c r="AR26" s="1" t="str">
        <f aca="false">IF($B26=3,"DPF","")</f>
        <v/>
      </c>
      <c r="AS26" s="1" t="str">
        <f aca="false">IF($B26=3,"DPF","")</f>
        <v/>
      </c>
      <c r="AT26" s="1" t="str">
        <f aca="false">IF($B26=3,"DPF","")</f>
        <v/>
      </c>
      <c r="AU26" s="1" t="str">
        <f aca="false">IF($B26=3,"DPF","")</f>
        <v/>
      </c>
      <c r="AV26" s="1" t="str">
        <f aca="false">IF($B26=3,"DPF","")</f>
        <v/>
      </c>
      <c r="AW26" s="1" t="str">
        <f aca="false">IF($B26=3,"DPF","")</f>
        <v/>
      </c>
      <c r="AY26" s="1" t="str">
        <f aca="false">IF($B26=3,"DPF","")</f>
        <v/>
      </c>
      <c r="AZ26" s="1" t="str">
        <f aca="false">IF($B26=3,"DPF","")</f>
        <v/>
      </c>
      <c r="BA26" s="1" t="str">
        <f aca="false">IF($B26=3,"DPF","")</f>
        <v/>
      </c>
      <c r="BB26" s="1" t="str">
        <f aca="false">IF($B26=3,"PFI","")</f>
        <v/>
      </c>
      <c r="BC26" s="1" t="str">
        <f aca="false">IF($B26=3,"PFI","")</f>
        <v/>
      </c>
      <c r="BD26" s="1" t="str">
        <f aca="false">IF($B26=3,"PFI","")</f>
        <v/>
      </c>
      <c r="BE26" s="1" t="str">
        <f aca="false">IF($B26=3,"DPF","")</f>
        <v/>
      </c>
      <c r="BF26" s="1" t="str">
        <f aca="false">IF($B26=3,"DPF","")</f>
        <v/>
      </c>
      <c r="BG26" s="1" t="str">
        <f aca="false">IF($B26=3,"PFI","")</f>
        <v/>
      </c>
      <c r="BH26" s="1" t="str">
        <f aca="false">IF($B26=3,"PFI","")</f>
        <v/>
      </c>
      <c r="BI26" s="1" t="str">
        <f aca="false">IF($B26=3,"DPF","")</f>
        <v/>
      </c>
      <c r="BK26" s="1" t="str">
        <f aca="false">IF($B26=3,"PFI","")</f>
        <v/>
      </c>
      <c r="BL26" s="1" t="str">
        <f aca="false">IF($B26=3,"PFI","")</f>
        <v/>
      </c>
      <c r="BM26" s="1" t="str">
        <f aca="false">IF($B26=3,"PFI","")</f>
        <v/>
      </c>
      <c r="BN26" s="1" t="str">
        <f aca="false">IF($B26=3,"PFI","")</f>
        <v/>
      </c>
      <c r="BO26" s="1" t="str">
        <f aca="false">IF($B26=3,"PFI","")</f>
        <v/>
      </c>
    </row>
    <row r="27" customFormat="false" ht="12.75" hidden="false" customHeight="false" outlineLevel="0" collapsed="false">
      <c r="A27" s="1" t="n">
        <f aca="false">A26-1</f>
        <v>2000</v>
      </c>
      <c r="B27" s="1" t="n">
        <v>1</v>
      </c>
      <c r="C27" s="1" t="s">
        <v>322</v>
      </c>
      <c r="D27" s="1" t="n">
        <v>1</v>
      </c>
      <c r="E27" s="1" t="n">
        <v>1</v>
      </c>
      <c r="F27" s="1" t="str">
        <f aca="false">IF($B27=3,"PFI","")</f>
        <v/>
      </c>
      <c r="G27" s="1" t="str">
        <f aca="false">IF($B27=3,"PFI","")</f>
        <v/>
      </c>
      <c r="H27" s="1" t="str">
        <f aca="false">IF($B27=3,"PFI","")</f>
        <v/>
      </c>
      <c r="I27" s="1" t="str">
        <f aca="false">IF($B27=3,"PFI","")</f>
        <v/>
      </c>
      <c r="J27" s="1" t="str">
        <f aca="false">IF($B27=3,"PFI","")</f>
        <v/>
      </c>
      <c r="K27" s="1" t="str">
        <f aca="false">IF($B27=3,"PFI","")</f>
        <v/>
      </c>
      <c r="L27" s="1" t="str">
        <f aca="false">IF($B27=3,"DPF","")</f>
        <v/>
      </c>
      <c r="M27" s="1" t="str">
        <f aca="false">IF($B27=3,"DPF","")</f>
        <v/>
      </c>
      <c r="N27" s="1" t="str">
        <f aca="false">IF($B27=3,"DPF","")</f>
        <v/>
      </c>
      <c r="O27" s="1" t="str">
        <f aca="false">IF($B27=3,"PFI","")</f>
        <v/>
      </c>
      <c r="P27" s="1" t="str">
        <f aca="false">IF($B27=3,"PFI","")</f>
        <v/>
      </c>
      <c r="R27" s="1" t="str">
        <f aca="false">IF($B27=3,"PFI","")</f>
        <v/>
      </c>
      <c r="S27" s="1" t="str">
        <f aca="false">IF($B27=3,"PFI","")</f>
        <v/>
      </c>
      <c r="T27" s="1" t="str">
        <f aca="false">IF($B27=3,"PFI","")</f>
        <v/>
      </c>
      <c r="U27" s="1" t="str">
        <f aca="false">IF($B27=3,"DPF","")</f>
        <v/>
      </c>
      <c r="V27" s="1" t="str">
        <f aca="false">IF($B27=3,"DPF","")</f>
        <v/>
      </c>
      <c r="W27" s="1" t="str">
        <f aca="false">IF($B27=3,"DPF","")</f>
        <v/>
      </c>
      <c r="X27" s="1" t="str">
        <f aca="false">IF($B27=3,"DPF","")</f>
        <v/>
      </c>
      <c r="Y27" s="1" t="str">
        <f aca="false">IF($B27=3,"DPF","")</f>
        <v/>
      </c>
      <c r="Z27" s="1" t="str">
        <f aca="false">IF($B27=3,"DPF","")</f>
        <v/>
      </c>
      <c r="AA27" s="1" t="str">
        <f aca="false">IF($B27=3,"DPF","")</f>
        <v/>
      </c>
      <c r="AB27" s="1" t="str">
        <f aca="false">IF($B27=3,"DPF","")</f>
        <v/>
      </c>
      <c r="AC27" s="1" t="str">
        <f aca="false">IF($B27=3,"DPF","")</f>
        <v/>
      </c>
      <c r="AD27" s="1" t="str">
        <f aca="false">IF($B27=3,"DPF","")</f>
        <v/>
      </c>
      <c r="AE27" s="1" t="str">
        <f aca="false">IF($B27=3,"DPF","")</f>
        <v/>
      </c>
      <c r="AF27" s="1" t="str">
        <f aca="false">IF($B27=3,"DPF","")</f>
        <v/>
      </c>
      <c r="AG27" s="1" t="str">
        <f aca="false">IF($B27=3,"DPF","")</f>
        <v/>
      </c>
      <c r="AH27" s="1" t="str">
        <f aca="false">IF($B27=3,"DPF","")</f>
        <v/>
      </c>
      <c r="AI27" s="1" t="str">
        <f aca="false">IF($B27=3,"PFI","")</f>
        <v/>
      </c>
      <c r="AJ27" s="1" t="str">
        <f aca="false">IF($B27=3,"PFI","")</f>
        <v/>
      </c>
      <c r="AK27" s="1" t="str">
        <f aca="false">IF($B27=3,"PFI","")</f>
        <v/>
      </c>
      <c r="AL27" s="1" t="str">
        <f aca="false">IF($B27=3,"PFI","")</f>
        <v/>
      </c>
      <c r="AM27" s="1" t="str">
        <f aca="false">IF($B27=3,"PFI","")</f>
        <v/>
      </c>
      <c r="AN27" s="1" t="str">
        <f aca="false">IF($B27=3,"PFI","")</f>
        <v/>
      </c>
      <c r="AO27" s="1" t="str">
        <f aca="false">IF($B27=3,"PFI","")</f>
        <v/>
      </c>
      <c r="AP27" s="1" t="str">
        <f aca="false">IF($B27=3,"PFI","")</f>
        <v/>
      </c>
      <c r="AQ27" s="1" t="str">
        <f aca="false">IF($B27=3,"PFI","")</f>
        <v/>
      </c>
      <c r="AR27" s="1" t="str">
        <f aca="false">IF($B27=3,"DPF","")</f>
        <v/>
      </c>
      <c r="AS27" s="1" t="str">
        <f aca="false">IF($B27=3,"DPF","")</f>
        <v/>
      </c>
      <c r="AT27" s="1" t="str">
        <f aca="false">IF($B27=3,"DPF","")</f>
        <v/>
      </c>
      <c r="AU27" s="1" t="str">
        <f aca="false">IF($B27=3,"DPF","")</f>
        <v/>
      </c>
      <c r="AV27" s="1" t="str">
        <f aca="false">IF($B27=3,"DPF","")</f>
        <v/>
      </c>
      <c r="AW27" s="1" t="str">
        <f aca="false">IF($B27=3,"DPF","")</f>
        <v/>
      </c>
      <c r="AY27" s="1" t="str">
        <f aca="false">IF($B27=3,"DPF","")</f>
        <v/>
      </c>
      <c r="AZ27" s="1" t="str">
        <f aca="false">IF($B27=3,"DPF","")</f>
        <v/>
      </c>
      <c r="BA27" s="1" t="str">
        <f aca="false">IF($B27=3,"DPF","")</f>
        <v/>
      </c>
      <c r="BB27" s="1" t="str">
        <f aca="false">IF($B27=3,"PFI","")</f>
        <v/>
      </c>
      <c r="BC27" s="1" t="str">
        <f aca="false">IF($B27=3,"PFI","")</f>
        <v/>
      </c>
      <c r="BD27" s="1" t="str">
        <f aca="false">IF($B27=3,"PFI","")</f>
        <v/>
      </c>
      <c r="BE27" s="1" t="str">
        <f aca="false">IF($B27=3,"DPF","")</f>
        <v/>
      </c>
      <c r="BF27" s="1" t="str">
        <f aca="false">IF($B27=3,"DPF","")</f>
        <v/>
      </c>
      <c r="BG27" s="1" t="str">
        <f aca="false">IF($B27=3,"PFI","")</f>
        <v/>
      </c>
      <c r="BH27" s="1" t="str">
        <f aca="false">IF($B27=3,"PFI","")</f>
        <v/>
      </c>
      <c r="BI27" s="1" t="str">
        <f aca="false">IF($B27=3,"DPF","")</f>
        <v/>
      </c>
      <c r="BK27" s="1" t="str">
        <f aca="false">IF($B27=3,"PFI","")</f>
        <v/>
      </c>
      <c r="BL27" s="1" t="str">
        <f aca="false">IF($B27=3,"PFI","")</f>
        <v/>
      </c>
      <c r="BM27" s="1" t="str">
        <f aca="false">IF($B27=3,"PFI","")</f>
        <v/>
      </c>
      <c r="BN27" s="1" t="str">
        <f aca="false">IF($B27=3,"PFI","")</f>
        <v/>
      </c>
      <c r="BO27" s="1" t="str">
        <f aca="false">IF($B27=3,"PFI","")</f>
        <v/>
      </c>
    </row>
    <row r="28" customFormat="false" ht="12.75" hidden="false" customHeight="false" outlineLevel="0" collapsed="false">
      <c r="A28" s="1" t="n">
        <f aca="false">A27-1</f>
        <v>1999</v>
      </c>
      <c r="B28" s="1" t="s">
        <v>323</v>
      </c>
      <c r="C28" s="1" t="s">
        <v>323</v>
      </c>
      <c r="D28" s="1" t="s">
        <v>323</v>
      </c>
      <c r="E28" s="1" t="s">
        <v>323</v>
      </c>
      <c r="F28" s="1" t="str">
        <f aca="false">IF($B28=3,"PFI","")</f>
        <v/>
      </c>
      <c r="G28" s="1" t="str">
        <f aca="false">IF($B28=3,"PFI","")</f>
        <v/>
      </c>
      <c r="H28" s="1" t="str">
        <f aca="false">IF($B28=3,"PFI","")</f>
        <v/>
      </c>
      <c r="I28" s="1" t="str">
        <f aca="false">IF($B28=3,"PFI","")</f>
        <v/>
      </c>
      <c r="J28" s="1" t="str">
        <f aca="false">IF($B28=3,"PFI","")</f>
        <v/>
      </c>
      <c r="K28" s="1" t="str">
        <f aca="false">IF($B28=3,"PFI","")</f>
        <v/>
      </c>
      <c r="L28" s="1" t="str">
        <f aca="false">IF($B28=3,"DPF","")</f>
        <v/>
      </c>
      <c r="M28" s="1" t="str">
        <f aca="false">IF($B28=3,"DPF","")</f>
        <v/>
      </c>
      <c r="N28" s="1" t="str">
        <f aca="false">IF($B28=3,"DPF","")</f>
        <v/>
      </c>
      <c r="O28" s="1" t="str">
        <f aca="false">IF($B28=3,"PFI","")</f>
        <v/>
      </c>
      <c r="P28" s="1" t="str">
        <f aca="false">IF($B28=3,"PFI","")</f>
        <v/>
      </c>
      <c r="Q28" s="75"/>
      <c r="R28" s="1" t="str">
        <f aca="false">IF($B28=3,"PFI","")</f>
        <v/>
      </c>
      <c r="S28" s="1" t="str">
        <f aca="false">IF($B28=3,"PFI","")</f>
        <v/>
      </c>
      <c r="T28" s="1" t="str">
        <f aca="false">IF($B28=3,"PFI","")</f>
        <v/>
      </c>
      <c r="U28" s="1" t="str">
        <f aca="false">IF($B28=3,"DPF","")</f>
        <v/>
      </c>
      <c r="V28" s="1" t="str">
        <f aca="false">IF($B28=3,"DPF","")</f>
        <v/>
      </c>
      <c r="W28" s="1" t="str">
        <f aca="false">IF($B28=3,"DPF","")</f>
        <v/>
      </c>
      <c r="X28" s="1" t="str">
        <f aca="false">IF($B28=3,"DPF","")</f>
        <v/>
      </c>
      <c r="Y28" s="1" t="str">
        <f aca="false">IF($B28=3,"DPF","")</f>
        <v/>
      </c>
      <c r="Z28" s="1" t="str">
        <f aca="false">IF($B28=3,"DPF","")</f>
        <v/>
      </c>
      <c r="AA28" s="1" t="str">
        <f aca="false">IF($B28=3,"DPF","")</f>
        <v/>
      </c>
      <c r="AB28" s="1" t="str">
        <f aca="false">IF($B28=3,"DPF","")</f>
        <v/>
      </c>
      <c r="AC28" s="1" t="str">
        <f aca="false">IF($B28=3,"DPF","")</f>
        <v/>
      </c>
      <c r="AD28" s="1" t="str">
        <f aca="false">IF($B28=3,"DPF","")</f>
        <v/>
      </c>
      <c r="AE28" s="1" t="str">
        <f aca="false">IF($B28=3,"DPF","")</f>
        <v/>
      </c>
      <c r="AF28" s="1" t="str">
        <f aca="false">IF($B28=3,"DPF","")</f>
        <v/>
      </c>
      <c r="AG28" s="1" t="str">
        <f aca="false">IF($B28=3,"DPF","")</f>
        <v/>
      </c>
      <c r="AH28" s="1" t="str">
        <f aca="false">IF($B28=3,"DPF","")</f>
        <v/>
      </c>
      <c r="AI28" s="1" t="str">
        <f aca="false">IF($B28=3,"PFI","")</f>
        <v/>
      </c>
      <c r="AJ28" s="1" t="str">
        <f aca="false">IF($B28=3,"PFI","")</f>
        <v/>
      </c>
      <c r="AK28" s="1" t="str">
        <f aca="false">IF($B28=3,"PFI","")</f>
        <v/>
      </c>
      <c r="AL28" s="1" t="str">
        <f aca="false">IF($B28=3,"PFI","")</f>
        <v/>
      </c>
      <c r="AM28" s="1" t="str">
        <f aca="false">IF($B28=3,"PFI","")</f>
        <v/>
      </c>
      <c r="AN28" s="1" t="str">
        <f aca="false">IF($B28=3,"PFI","")</f>
        <v/>
      </c>
      <c r="AO28" s="1" t="str">
        <f aca="false">IF($B28=3,"PFI","")</f>
        <v/>
      </c>
      <c r="AP28" s="1" t="str">
        <f aca="false">IF($B28=3,"PFI","")</f>
        <v/>
      </c>
      <c r="AQ28" s="1" t="str">
        <f aca="false">IF($B28=3,"PFI","")</f>
        <v/>
      </c>
      <c r="AR28" s="1" t="str">
        <f aca="false">IF($B28=3,"DPF","")</f>
        <v/>
      </c>
      <c r="AS28" s="1" t="str">
        <f aca="false">IF($B28=3,"DPF","")</f>
        <v/>
      </c>
      <c r="AT28" s="1" t="str">
        <f aca="false">IF($B28=3,"DPF","")</f>
        <v/>
      </c>
      <c r="AU28" s="1" t="str">
        <f aca="false">IF($B28=3,"DPF","")</f>
        <v/>
      </c>
      <c r="AV28" s="1" t="str">
        <f aca="false">IF($B28=3,"DPF","")</f>
        <v/>
      </c>
      <c r="AW28" s="1" t="str">
        <f aca="false">IF($B28=3,"DPF","")</f>
        <v/>
      </c>
      <c r="AX28" s="75"/>
      <c r="AY28" s="1" t="str">
        <f aca="false">IF($B28=3,"DPF","")</f>
        <v/>
      </c>
      <c r="AZ28" s="1" t="str">
        <f aca="false">IF($B28=3,"DPF","")</f>
        <v/>
      </c>
      <c r="BA28" s="1" t="str">
        <f aca="false">IF($B28=3,"DPF","")</f>
        <v/>
      </c>
      <c r="BB28" s="1" t="str">
        <f aca="false">IF($B28=3,"PFI","")</f>
        <v/>
      </c>
      <c r="BC28" s="1" t="str">
        <f aca="false">IF($B28=3,"PFI","")</f>
        <v/>
      </c>
      <c r="BD28" s="1" t="str">
        <f aca="false">IF($B28=3,"PFI","")</f>
        <v/>
      </c>
      <c r="BE28" s="1" t="str">
        <f aca="false">IF($B28=3,"DPF","")</f>
        <v/>
      </c>
      <c r="BF28" s="1" t="str">
        <f aca="false">IF($B28=3,"DPF","")</f>
        <v/>
      </c>
      <c r="BG28" s="1" t="str">
        <f aca="false">IF($B28=3,"PFI","")</f>
        <v/>
      </c>
      <c r="BH28" s="1" t="str">
        <f aca="false">IF($B28=3,"PFI","")</f>
        <v/>
      </c>
      <c r="BI28" s="1" t="str">
        <f aca="false">IF($B28=3,"DPF","")</f>
        <v/>
      </c>
      <c r="BJ28" s="75"/>
      <c r="BK28" s="1" t="str">
        <f aca="false">IF($B28=3,"PFI","")</f>
        <v/>
      </c>
      <c r="BL28" s="1" t="str">
        <f aca="false">IF($B28=3,"PFI","")</f>
        <v/>
      </c>
      <c r="BM28" s="1" t="str">
        <f aca="false">IF($B28=3,"PFI","")</f>
        <v/>
      </c>
      <c r="BN28" s="1" t="str">
        <f aca="false">IF($B28=3,"PFI","")</f>
        <v/>
      </c>
      <c r="BO28" s="1" t="str">
        <f aca="false">IF($B28=3,"PFI","")</f>
        <v/>
      </c>
    </row>
    <row r="29" customFormat="false" ht="12.75" hidden="false" customHeight="false" outlineLevel="0" collapsed="false">
      <c r="A29" s="1" t="n">
        <f aca="false">A28-1</f>
        <v>1998</v>
      </c>
      <c r="B29" s="1" t="s">
        <v>323</v>
      </c>
      <c r="C29" s="1" t="s">
        <v>323</v>
      </c>
      <c r="D29" s="1" t="s">
        <v>323</v>
      </c>
      <c r="E29" s="1" t="s">
        <v>323</v>
      </c>
      <c r="F29" s="1" t="str">
        <f aca="false">IF($B29=3,"PFI","")</f>
        <v/>
      </c>
      <c r="G29" s="1" t="str">
        <f aca="false">IF($B29=3,"PFI","")</f>
        <v/>
      </c>
      <c r="H29" s="1" t="str">
        <f aca="false">IF($B29=3,"PFI","")</f>
        <v/>
      </c>
      <c r="I29" s="1" t="str">
        <f aca="false">IF($B29=3,"PFI","")</f>
        <v/>
      </c>
      <c r="J29" s="1" t="str">
        <f aca="false">IF($B29=3,"PFI","")</f>
        <v/>
      </c>
      <c r="K29" s="1" t="str">
        <f aca="false">IF($B29=3,"PFI","")</f>
        <v/>
      </c>
      <c r="L29" s="1" t="str">
        <f aca="false">IF($B29=3,"DPF","")</f>
        <v/>
      </c>
      <c r="M29" s="1" t="str">
        <f aca="false">IF($B29=3,"DPF","")</f>
        <v/>
      </c>
      <c r="N29" s="1" t="str">
        <f aca="false">IF($B29=3,"DPF","")</f>
        <v/>
      </c>
      <c r="O29" s="1" t="str">
        <f aca="false">IF($B29=3,"PFI","")</f>
        <v/>
      </c>
      <c r="P29" s="1" t="str">
        <f aca="false">IF($B29=3,"PFI","")</f>
        <v/>
      </c>
      <c r="Q29" s="75"/>
      <c r="R29" s="1" t="str">
        <f aca="false">IF($B29=3,"PFI","")</f>
        <v/>
      </c>
      <c r="S29" s="1" t="str">
        <f aca="false">IF($B29=3,"PFI","")</f>
        <v/>
      </c>
      <c r="T29" s="1" t="str">
        <f aca="false">IF($B29=3,"PFI","")</f>
        <v/>
      </c>
      <c r="U29" s="1" t="str">
        <f aca="false">IF($B29=3,"DPF","")</f>
        <v/>
      </c>
      <c r="V29" s="1" t="str">
        <f aca="false">IF($B29=3,"DPF","")</f>
        <v/>
      </c>
      <c r="W29" s="1" t="str">
        <f aca="false">IF($B29=3,"DPF","")</f>
        <v/>
      </c>
      <c r="X29" s="1" t="str">
        <f aca="false">IF($B29=3,"DPF","")</f>
        <v/>
      </c>
      <c r="Y29" s="1" t="str">
        <f aca="false">IF($B29=3,"DPF","")</f>
        <v/>
      </c>
      <c r="Z29" s="1" t="str">
        <f aca="false">IF($B29=3,"DPF","")</f>
        <v/>
      </c>
      <c r="AA29" s="1" t="str">
        <f aca="false">IF($B29=3,"DPF","")</f>
        <v/>
      </c>
      <c r="AB29" s="1" t="str">
        <f aca="false">IF($B29=3,"DPF","")</f>
        <v/>
      </c>
      <c r="AC29" s="1" t="str">
        <f aca="false">IF($B29=3,"DPF","")</f>
        <v/>
      </c>
      <c r="AD29" s="1" t="str">
        <f aca="false">IF($B29=3,"DPF","")</f>
        <v/>
      </c>
      <c r="AE29" s="1" t="str">
        <f aca="false">IF($B29=3,"DPF","")</f>
        <v/>
      </c>
      <c r="AF29" s="1" t="str">
        <f aca="false">IF($B29=3,"DPF","")</f>
        <v/>
      </c>
      <c r="AG29" s="1" t="str">
        <f aca="false">IF($B29=3,"DPF","")</f>
        <v/>
      </c>
      <c r="AH29" s="1" t="str">
        <f aca="false">IF($B29=3,"DPF","")</f>
        <v/>
      </c>
      <c r="AI29" s="1" t="str">
        <f aca="false">IF($B29=3,"PFI","")</f>
        <v/>
      </c>
      <c r="AJ29" s="1" t="str">
        <f aca="false">IF($B29=3,"PFI","")</f>
        <v/>
      </c>
      <c r="AK29" s="1" t="str">
        <f aca="false">IF($B29=3,"PFI","")</f>
        <v/>
      </c>
      <c r="AL29" s="1" t="str">
        <f aca="false">IF($B29=3,"PFI","")</f>
        <v/>
      </c>
      <c r="AM29" s="1" t="str">
        <f aca="false">IF($B29=3,"PFI","")</f>
        <v/>
      </c>
      <c r="AN29" s="1" t="str">
        <f aca="false">IF($B29=3,"PFI","")</f>
        <v/>
      </c>
      <c r="AO29" s="1" t="str">
        <f aca="false">IF($B29=3,"PFI","")</f>
        <v/>
      </c>
      <c r="AP29" s="1" t="str">
        <f aca="false">IF($B29=3,"PFI","")</f>
        <v/>
      </c>
      <c r="AQ29" s="1" t="str">
        <f aca="false">IF($B29=3,"PFI","")</f>
        <v/>
      </c>
      <c r="AR29" s="1" t="str">
        <f aca="false">IF($B29=3,"DPF","")</f>
        <v/>
      </c>
      <c r="AS29" s="1" t="str">
        <f aca="false">IF($B29=3,"DPF","")</f>
        <v/>
      </c>
      <c r="AT29" s="1" t="str">
        <f aca="false">IF($B29=3,"DPF","")</f>
        <v/>
      </c>
      <c r="AU29" s="1" t="str">
        <f aca="false">IF($B29=3,"DPF","")</f>
        <v/>
      </c>
      <c r="AV29" s="1" t="str">
        <f aca="false">IF($B29=3,"DPF","")</f>
        <v/>
      </c>
      <c r="AW29" s="1" t="str">
        <f aca="false">IF($B29=3,"DPF","")</f>
        <v/>
      </c>
      <c r="AX29" s="75"/>
      <c r="AY29" s="1" t="str">
        <f aca="false">IF($B29=3,"DPF","")</f>
        <v/>
      </c>
      <c r="AZ29" s="1" t="str">
        <f aca="false">IF($B29=3,"DPF","")</f>
        <v/>
      </c>
      <c r="BA29" s="1" t="str">
        <f aca="false">IF($B29=3,"DPF","")</f>
        <v/>
      </c>
      <c r="BB29" s="1" t="str">
        <f aca="false">IF($B29=3,"PFI","")</f>
        <v/>
      </c>
      <c r="BC29" s="1" t="str">
        <f aca="false">IF($B29=3,"PFI","")</f>
        <v/>
      </c>
      <c r="BD29" s="1" t="str">
        <f aca="false">IF($B29=3,"PFI","")</f>
        <v/>
      </c>
      <c r="BE29" s="1" t="str">
        <f aca="false">IF($B29=3,"DPF","")</f>
        <v/>
      </c>
      <c r="BF29" s="1" t="str">
        <f aca="false">IF($B29=3,"DPF","")</f>
        <v/>
      </c>
      <c r="BG29" s="1" t="str">
        <f aca="false">IF($B29=3,"PFI","")</f>
        <v/>
      </c>
      <c r="BH29" s="1" t="str">
        <f aca="false">IF($B29=3,"PFI","")</f>
        <v/>
      </c>
      <c r="BI29" s="1" t="str">
        <f aca="false">IF($B29=3,"DPF","")</f>
        <v/>
      </c>
      <c r="BJ29" s="75"/>
      <c r="BK29" s="1" t="str">
        <f aca="false">IF($B29=3,"PFI","")</f>
        <v/>
      </c>
      <c r="BL29" s="1" t="str">
        <f aca="false">IF($B29=3,"PFI","")</f>
        <v/>
      </c>
      <c r="BM29" s="1" t="str">
        <f aca="false">IF($B29=3,"PFI","")</f>
        <v/>
      </c>
      <c r="BN29" s="1" t="str">
        <f aca="false">IF($B29=3,"PFI","")</f>
        <v/>
      </c>
      <c r="BO29" s="1" t="str">
        <f aca="false">IF($B29=3,"PFI","")</f>
        <v/>
      </c>
    </row>
    <row r="30" customFormat="false" ht="12.75" hidden="false" customHeight="false" outlineLevel="0" collapsed="false">
      <c r="A30" s="1" t="n">
        <f aca="false">A29-1</f>
        <v>1997</v>
      </c>
      <c r="B30" s="1" t="s">
        <v>323</v>
      </c>
      <c r="C30" s="1" t="s">
        <v>323</v>
      </c>
      <c r="D30" s="1" t="s">
        <v>323</v>
      </c>
      <c r="E30" s="1" t="s">
        <v>323</v>
      </c>
      <c r="F30" s="1" t="str">
        <f aca="false">IF($B30=3,"PFI","")</f>
        <v/>
      </c>
      <c r="G30" s="1" t="str">
        <f aca="false">IF($B30=3,"PFI","")</f>
        <v/>
      </c>
      <c r="H30" s="1" t="str">
        <f aca="false">IF($B30=3,"PFI","")</f>
        <v/>
      </c>
      <c r="I30" s="1" t="str">
        <f aca="false">IF($B30=3,"PFI","")</f>
        <v/>
      </c>
      <c r="J30" s="1" t="str">
        <f aca="false">IF($B30=3,"PFI","")</f>
        <v/>
      </c>
      <c r="K30" s="1" t="str">
        <f aca="false">IF($B30=3,"PFI","")</f>
        <v/>
      </c>
      <c r="L30" s="1" t="str">
        <f aca="false">IF($B30=3,"DPF","")</f>
        <v/>
      </c>
      <c r="M30" s="1" t="str">
        <f aca="false">IF($B30=3,"DPF","")</f>
        <v/>
      </c>
      <c r="N30" s="1" t="str">
        <f aca="false">IF($B30=3,"DPF","")</f>
        <v/>
      </c>
      <c r="O30" s="1" t="str">
        <f aca="false">IF($B30=3,"PFI","")</f>
        <v/>
      </c>
      <c r="P30" s="1" t="str">
        <f aca="false">IF($B30=3,"PFI","")</f>
        <v/>
      </c>
      <c r="Q30" s="75"/>
      <c r="R30" s="1" t="str">
        <f aca="false">IF($B30=3,"PFI","")</f>
        <v/>
      </c>
      <c r="S30" s="1" t="str">
        <f aca="false">IF($B30=3,"PFI","")</f>
        <v/>
      </c>
      <c r="T30" s="1" t="str">
        <f aca="false">IF($B30=3,"PFI","")</f>
        <v/>
      </c>
      <c r="U30" s="1" t="str">
        <f aca="false">IF($B30=3,"DPF","")</f>
        <v/>
      </c>
      <c r="V30" s="1" t="str">
        <f aca="false">IF($B30=3,"DPF","")</f>
        <v/>
      </c>
      <c r="W30" s="1" t="str">
        <f aca="false">IF($B30=3,"DPF","")</f>
        <v/>
      </c>
      <c r="X30" s="1" t="str">
        <f aca="false">IF($B30=3,"DPF","")</f>
        <v/>
      </c>
      <c r="Y30" s="1" t="str">
        <f aca="false">IF($B30=3,"DPF","")</f>
        <v/>
      </c>
      <c r="Z30" s="1" t="str">
        <f aca="false">IF($B30=3,"DPF","")</f>
        <v/>
      </c>
      <c r="AA30" s="1" t="str">
        <f aca="false">IF($B30=3,"DPF","")</f>
        <v/>
      </c>
      <c r="AB30" s="1" t="str">
        <f aca="false">IF($B30=3,"DPF","")</f>
        <v/>
      </c>
      <c r="AC30" s="1" t="str">
        <f aca="false">IF($B30=3,"DPF","")</f>
        <v/>
      </c>
      <c r="AD30" s="1" t="str">
        <f aca="false">IF($B30=3,"DPF","")</f>
        <v/>
      </c>
      <c r="AE30" s="1" t="str">
        <f aca="false">IF($B30=3,"DPF","")</f>
        <v/>
      </c>
      <c r="AF30" s="1" t="str">
        <f aca="false">IF($B30=3,"DPF","")</f>
        <v/>
      </c>
      <c r="AG30" s="1" t="str">
        <f aca="false">IF($B30=3,"DPF","")</f>
        <v/>
      </c>
      <c r="AH30" s="1" t="str">
        <f aca="false">IF($B30=3,"DPF","")</f>
        <v/>
      </c>
      <c r="AI30" s="1" t="str">
        <f aca="false">IF($B30=3,"PFI","")</f>
        <v/>
      </c>
      <c r="AJ30" s="1" t="str">
        <f aca="false">IF($B30=3,"PFI","")</f>
        <v/>
      </c>
      <c r="AK30" s="1" t="str">
        <f aca="false">IF($B30=3,"PFI","")</f>
        <v/>
      </c>
      <c r="AL30" s="1" t="str">
        <f aca="false">IF($B30=3,"PFI","")</f>
        <v/>
      </c>
      <c r="AM30" s="1" t="str">
        <f aca="false">IF($B30=3,"PFI","")</f>
        <v/>
      </c>
      <c r="AN30" s="1" t="str">
        <f aca="false">IF($B30=3,"PFI","")</f>
        <v/>
      </c>
      <c r="AO30" s="1" t="str">
        <f aca="false">IF($B30=3,"PFI","")</f>
        <v/>
      </c>
      <c r="AP30" s="1" t="str">
        <f aca="false">IF($B30=3,"PFI","")</f>
        <v/>
      </c>
      <c r="AQ30" s="1" t="str">
        <f aca="false">IF($B30=3,"PFI","")</f>
        <v/>
      </c>
      <c r="AR30" s="1" t="str">
        <f aca="false">IF($B30=3,"DPF","")</f>
        <v/>
      </c>
      <c r="AS30" s="1" t="str">
        <f aca="false">IF($B30=3,"DPF","")</f>
        <v/>
      </c>
      <c r="AT30" s="1" t="str">
        <f aca="false">IF($B30=3,"DPF","")</f>
        <v/>
      </c>
      <c r="AU30" s="1" t="str">
        <f aca="false">IF($B30=3,"DPF","")</f>
        <v/>
      </c>
      <c r="AV30" s="1" t="str">
        <f aca="false">IF($B30=3,"DPF","")</f>
        <v/>
      </c>
      <c r="AW30" s="1" t="str">
        <f aca="false">IF($B30=3,"DPF","")</f>
        <v/>
      </c>
      <c r="AX30" s="75"/>
      <c r="AY30" s="1" t="str">
        <f aca="false">IF($B30=3,"DPF","")</f>
        <v/>
      </c>
      <c r="AZ30" s="1" t="str">
        <f aca="false">IF($B30=3,"DPF","")</f>
        <v/>
      </c>
      <c r="BA30" s="1" t="str">
        <f aca="false">IF($B30=3,"DPF","")</f>
        <v/>
      </c>
      <c r="BB30" s="1" t="str">
        <f aca="false">IF($B30=3,"PFI","")</f>
        <v/>
      </c>
      <c r="BC30" s="1" t="str">
        <f aca="false">IF($B30=3,"PFI","")</f>
        <v/>
      </c>
      <c r="BD30" s="1" t="str">
        <f aca="false">IF($B30=3,"PFI","")</f>
        <v/>
      </c>
      <c r="BE30" s="1" t="str">
        <f aca="false">IF($B30=3,"DPF","")</f>
        <v/>
      </c>
      <c r="BF30" s="1" t="str">
        <f aca="false">IF($B30=3,"DPF","")</f>
        <v/>
      </c>
      <c r="BG30" s="1" t="str">
        <f aca="false">IF($B30=3,"PFI","")</f>
        <v/>
      </c>
      <c r="BH30" s="1" t="str">
        <f aca="false">IF($B30=3,"PFI","")</f>
        <v/>
      </c>
      <c r="BI30" s="1" t="str">
        <f aca="false">IF($B30=3,"DPF","")</f>
        <v/>
      </c>
      <c r="BJ30" s="75"/>
      <c r="BK30" s="1" t="str">
        <f aca="false">IF($B30=3,"PFI","")</f>
        <v/>
      </c>
      <c r="BL30" s="1" t="str">
        <f aca="false">IF($B30=3,"PFI","")</f>
        <v/>
      </c>
      <c r="BM30" s="1" t="str">
        <f aca="false">IF($B30=3,"PFI","")</f>
        <v/>
      </c>
      <c r="BN30" s="1" t="str">
        <f aca="false">IF($B30=3,"PFI","")</f>
        <v/>
      </c>
      <c r="BO30" s="1" t="str">
        <f aca="false">IF($B30=3,"PFI","")</f>
        <v/>
      </c>
    </row>
    <row r="31" customFormat="false" ht="12.75" hidden="false" customHeight="false" outlineLevel="0" collapsed="false">
      <c r="A31" s="1" t="n">
        <f aca="false">A30-1</f>
        <v>1996</v>
      </c>
      <c r="B31" s="1" t="s">
        <v>323</v>
      </c>
      <c r="C31" s="1" t="s">
        <v>323</v>
      </c>
      <c r="D31" s="1" t="s">
        <v>323</v>
      </c>
      <c r="E31" s="1" t="s">
        <v>323</v>
      </c>
      <c r="F31" s="1" t="str">
        <f aca="false">IF($B31=3,"PFI","")</f>
        <v/>
      </c>
      <c r="G31" s="1" t="str">
        <f aca="false">IF($B31=3,"PFI","")</f>
        <v/>
      </c>
      <c r="H31" s="1" t="str">
        <f aca="false">IF($B31=3,"PFI","")</f>
        <v/>
      </c>
      <c r="I31" s="1" t="str">
        <f aca="false">IF($B31=3,"PFI","")</f>
        <v/>
      </c>
      <c r="J31" s="1" t="str">
        <f aca="false">IF($B31=3,"PFI","")</f>
        <v/>
      </c>
      <c r="K31" s="1" t="str">
        <f aca="false">IF($B31=3,"PFI","")</f>
        <v/>
      </c>
      <c r="L31" s="1" t="str">
        <f aca="false">IF($B31=3,"DPF","")</f>
        <v/>
      </c>
      <c r="M31" s="1" t="str">
        <f aca="false">IF($B31=3,"DPF","")</f>
        <v/>
      </c>
      <c r="N31" s="1" t="str">
        <f aca="false">IF($B31=3,"DPF","")</f>
        <v/>
      </c>
      <c r="O31" s="1" t="str">
        <f aca="false">IF($B31=3,"PFI","")</f>
        <v/>
      </c>
      <c r="P31" s="1" t="str">
        <f aca="false">IF($B31=3,"PFI","")</f>
        <v/>
      </c>
      <c r="Q31" s="75"/>
      <c r="R31" s="1" t="str">
        <f aca="false">IF($B31=3,"PFI","")</f>
        <v/>
      </c>
      <c r="S31" s="1" t="str">
        <f aca="false">IF($B31=3,"PFI","")</f>
        <v/>
      </c>
      <c r="T31" s="1" t="str">
        <f aca="false">IF($B31=3,"PFI","")</f>
        <v/>
      </c>
      <c r="U31" s="1" t="str">
        <f aca="false">IF($B31=3,"DPF","")</f>
        <v/>
      </c>
      <c r="V31" s="1" t="str">
        <f aca="false">IF($B31=3,"DPF","")</f>
        <v/>
      </c>
      <c r="W31" s="1" t="str">
        <f aca="false">IF($B31=3,"DPF","")</f>
        <v/>
      </c>
      <c r="X31" s="1" t="str">
        <f aca="false">IF($B31=3,"DPF","")</f>
        <v/>
      </c>
      <c r="Y31" s="1" t="str">
        <f aca="false">IF($B31=3,"DPF","")</f>
        <v/>
      </c>
      <c r="Z31" s="1" t="str">
        <f aca="false">IF($B31=3,"DPF","")</f>
        <v/>
      </c>
      <c r="AA31" s="1" t="str">
        <f aca="false">IF($B31=3,"DPF","")</f>
        <v/>
      </c>
      <c r="AB31" s="1" t="str">
        <f aca="false">IF($B31=3,"DPF","")</f>
        <v/>
      </c>
      <c r="AC31" s="1" t="str">
        <f aca="false">IF($B31=3,"DPF","")</f>
        <v/>
      </c>
      <c r="AD31" s="1" t="str">
        <f aca="false">IF($B31=3,"DPF","")</f>
        <v/>
      </c>
      <c r="AE31" s="1" t="str">
        <f aca="false">IF($B31=3,"DPF","")</f>
        <v/>
      </c>
      <c r="AF31" s="1" t="str">
        <f aca="false">IF($B31=3,"DPF","")</f>
        <v/>
      </c>
      <c r="AG31" s="1" t="str">
        <f aca="false">IF($B31=3,"DPF","")</f>
        <v/>
      </c>
      <c r="AH31" s="1" t="str">
        <f aca="false">IF($B31=3,"DPF","")</f>
        <v/>
      </c>
      <c r="AI31" s="1" t="str">
        <f aca="false">IF($B31=3,"PFI","")</f>
        <v/>
      </c>
      <c r="AJ31" s="1" t="str">
        <f aca="false">IF($B31=3,"PFI","")</f>
        <v/>
      </c>
      <c r="AK31" s="1" t="str">
        <f aca="false">IF($B31=3,"PFI","")</f>
        <v/>
      </c>
      <c r="AL31" s="1" t="str">
        <f aca="false">IF($B31=3,"PFI","")</f>
        <v/>
      </c>
      <c r="AM31" s="1" t="str">
        <f aca="false">IF($B31=3,"PFI","")</f>
        <v/>
      </c>
      <c r="AN31" s="1" t="str">
        <f aca="false">IF($B31=3,"PFI","")</f>
        <v/>
      </c>
      <c r="AO31" s="1" t="str">
        <f aca="false">IF($B31=3,"PFI","")</f>
        <v/>
      </c>
      <c r="AP31" s="1" t="str">
        <f aca="false">IF($B31=3,"PFI","")</f>
        <v/>
      </c>
      <c r="AQ31" s="1" t="str">
        <f aca="false">IF($B31=3,"PFI","")</f>
        <v/>
      </c>
      <c r="AR31" s="1" t="str">
        <f aca="false">IF($B31=3,"DPF","")</f>
        <v/>
      </c>
      <c r="AS31" s="1" t="str">
        <f aca="false">IF($B31=3,"DPF","")</f>
        <v/>
      </c>
      <c r="AT31" s="1" t="str">
        <f aca="false">IF($B31=3,"DPF","")</f>
        <v/>
      </c>
      <c r="AU31" s="1" t="str">
        <f aca="false">IF($B31=3,"DPF","")</f>
        <v/>
      </c>
      <c r="AV31" s="1" t="str">
        <f aca="false">IF($B31=3,"DPF","")</f>
        <v/>
      </c>
      <c r="AW31" s="1" t="str">
        <f aca="false">IF($B31=3,"DPF","")</f>
        <v/>
      </c>
      <c r="AX31" s="75"/>
      <c r="AY31" s="1" t="str">
        <f aca="false">IF($B31=3,"DPF","")</f>
        <v/>
      </c>
      <c r="AZ31" s="1" t="str">
        <f aca="false">IF($B31=3,"DPF","")</f>
        <v/>
      </c>
      <c r="BA31" s="1" t="str">
        <f aca="false">IF($B31=3,"DPF","")</f>
        <v/>
      </c>
      <c r="BB31" s="1" t="str">
        <f aca="false">IF($B31=3,"PFI","")</f>
        <v/>
      </c>
      <c r="BC31" s="1" t="str">
        <f aca="false">IF($B31=3,"PFI","")</f>
        <v/>
      </c>
      <c r="BD31" s="1" t="str">
        <f aca="false">IF($B31=3,"PFI","")</f>
        <v/>
      </c>
      <c r="BE31" s="1" t="str">
        <f aca="false">IF($B31=3,"DPF","")</f>
        <v/>
      </c>
      <c r="BF31" s="1" t="str">
        <f aca="false">IF($B31=3,"DPF","")</f>
        <v/>
      </c>
      <c r="BG31" s="1" t="str">
        <f aca="false">IF($B31=3,"PFI","")</f>
        <v/>
      </c>
      <c r="BH31" s="1" t="str">
        <f aca="false">IF($B31=3,"PFI","")</f>
        <v/>
      </c>
      <c r="BI31" s="1" t="str">
        <f aca="false">IF($B31=3,"DPF","")</f>
        <v/>
      </c>
      <c r="BJ31" s="75"/>
      <c r="BK31" s="1" t="str">
        <f aca="false">IF($B31=3,"PFI","")</f>
        <v/>
      </c>
      <c r="BL31" s="1" t="str">
        <f aca="false">IF($B31=3,"PFI","")</f>
        <v/>
      </c>
      <c r="BM31" s="1" t="str">
        <f aca="false">IF($B31=3,"PFI","")</f>
        <v/>
      </c>
      <c r="BN31" s="1" t="str">
        <f aca="false">IF($B31=3,"PFI","")</f>
        <v/>
      </c>
      <c r="BO31" s="1" t="str">
        <f aca="false">IF($B31=3,"PFI","")</f>
        <v/>
      </c>
    </row>
    <row r="32" customFormat="false" ht="12.75" hidden="false" customHeight="false" outlineLevel="0" collapsed="false">
      <c r="A32" s="1" t="n">
        <f aca="false">A31-1</f>
        <v>1995</v>
      </c>
      <c r="B32" s="1" t="s">
        <v>323</v>
      </c>
      <c r="C32" s="1" t="s">
        <v>323</v>
      </c>
      <c r="D32" s="1" t="s">
        <v>323</v>
      </c>
      <c r="E32" s="1" t="s">
        <v>323</v>
      </c>
      <c r="F32" s="1" t="str">
        <f aca="false">IF($B32=3,"PFI","")</f>
        <v/>
      </c>
      <c r="G32" s="1" t="str">
        <f aca="false">IF($B32=3,"PFI","")</f>
        <v/>
      </c>
      <c r="H32" s="1" t="str">
        <f aca="false">IF($B32=3,"PFI","")</f>
        <v/>
      </c>
      <c r="I32" s="1" t="str">
        <f aca="false">IF($B32=3,"PFI","")</f>
        <v/>
      </c>
      <c r="J32" s="1" t="str">
        <f aca="false">IF($B32=3,"PFI","")</f>
        <v/>
      </c>
      <c r="K32" s="1" t="str">
        <f aca="false">IF($B32=3,"PFI","")</f>
        <v/>
      </c>
      <c r="L32" s="1" t="str">
        <f aca="false">IF($B32=3,"DPF","")</f>
        <v/>
      </c>
      <c r="M32" s="1" t="str">
        <f aca="false">IF($B32=3,"DPF","")</f>
        <v/>
      </c>
      <c r="N32" s="1" t="str">
        <f aca="false">IF($B32=3,"DPF","")</f>
        <v/>
      </c>
      <c r="O32" s="1" t="str">
        <f aca="false">IF($B32=3,"PFI","")</f>
        <v/>
      </c>
      <c r="P32" s="1" t="str">
        <f aca="false">IF($B32=3,"PFI","")</f>
        <v/>
      </c>
      <c r="Q32" s="75"/>
      <c r="R32" s="1" t="str">
        <f aca="false">IF($B32=3,"PFI","")</f>
        <v/>
      </c>
      <c r="S32" s="1" t="str">
        <f aca="false">IF($B32=3,"PFI","")</f>
        <v/>
      </c>
      <c r="T32" s="1" t="str">
        <f aca="false">IF($B32=3,"PFI","")</f>
        <v/>
      </c>
      <c r="U32" s="1" t="str">
        <f aca="false">IF($B32=3,"DPF","")</f>
        <v/>
      </c>
      <c r="V32" s="1" t="str">
        <f aca="false">IF($B32=3,"DPF","")</f>
        <v/>
      </c>
      <c r="W32" s="1" t="str">
        <f aca="false">IF($B32=3,"DPF","")</f>
        <v/>
      </c>
      <c r="X32" s="1" t="str">
        <f aca="false">IF($B32=3,"DPF","")</f>
        <v/>
      </c>
      <c r="Y32" s="1" t="str">
        <f aca="false">IF($B32=3,"DPF","")</f>
        <v/>
      </c>
      <c r="Z32" s="1" t="str">
        <f aca="false">IF($B32=3,"DPF","")</f>
        <v/>
      </c>
      <c r="AA32" s="1" t="str">
        <f aca="false">IF($B32=3,"DPF","")</f>
        <v/>
      </c>
      <c r="AB32" s="1" t="str">
        <f aca="false">IF($B32=3,"DPF","")</f>
        <v/>
      </c>
      <c r="AC32" s="1" t="str">
        <f aca="false">IF($B32=3,"DPF","")</f>
        <v/>
      </c>
      <c r="AD32" s="1" t="str">
        <f aca="false">IF($B32=3,"DPF","")</f>
        <v/>
      </c>
      <c r="AE32" s="1" t="str">
        <f aca="false">IF($B32=3,"DPF","")</f>
        <v/>
      </c>
      <c r="AF32" s="1" t="str">
        <f aca="false">IF($B32=3,"DPF","")</f>
        <v/>
      </c>
      <c r="AG32" s="1" t="str">
        <f aca="false">IF($B32=3,"DPF","")</f>
        <v/>
      </c>
      <c r="AH32" s="1" t="str">
        <f aca="false">IF($B32=3,"DPF","")</f>
        <v/>
      </c>
      <c r="AI32" s="1" t="str">
        <f aca="false">IF($B32=3,"PFI","")</f>
        <v/>
      </c>
      <c r="AJ32" s="1" t="str">
        <f aca="false">IF($B32=3,"PFI","")</f>
        <v/>
      </c>
      <c r="AK32" s="1" t="str">
        <f aca="false">IF($B32=3,"PFI","")</f>
        <v/>
      </c>
      <c r="AL32" s="1" t="str">
        <f aca="false">IF($B32=3,"PFI","")</f>
        <v/>
      </c>
      <c r="AM32" s="1" t="str">
        <f aca="false">IF($B32=3,"PFI","")</f>
        <v/>
      </c>
      <c r="AN32" s="1" t="str">
        <f aca="false">IF($B32=3,"PFI","")</f>
        <v/>
      </c>
      <c r="AO32" s="1" t="str">
        <f aca="false">IF($B32=3,"PFI","")</f>
        <v/>
      </c>
      <c r="AP32" s="1" t="str">
        <f aca="false">IF($B32=3,"PFI","")</f>
        <v/>
      </c>
      <c r="AQ32" s="1" t="str">
        <f aca="false">IF($B32=3,"PFI","")</f>
        <v/>
      </c>
      <c r="AR32" s="1" t="str">
        <f aca="false">IF($B32=3,"DPF","")</f>
        <v/>
      </c>
      <c r="AS32" s="1" t="str">
        <f aca="false">IF($B32=3,"DPF","")</f>
        <v/>
      </c>
      <c r="AT32" s="1" t="str">
        <f aca="false">IF($B32=3,"DPF","")</f>
        <v/>
      </c>
      <c r="AU32" s="1" t="str">
        <f aca="false">IF($B32=3,"DPF","")</f>
        <v/>
      </c>
      <c r="AV32" s="1" t="str">
        <f aca="false">IF($B32=3,"DPF","")</f>
        <v/>
      </c>
      <c r="AW32" s="1" t="str">
        <f aca="false">IF($B32=3,"DPF","")</f>
        <v/>
      </c>
      <c r="AX32" s="75"/>
      <c r="AY32" s="1" t="str">
        <f aca="false">IF($B32=3,"DPF","")</f>
        <v/>
      </c>
      <c r="AZ32" s="1" t="str">
        <f aca="false">IF($B32=3,"DPF","")</f>
        <v/>
      </c>
      <c r="BA32" s="1" t="str">
        <f aca="false">IF($B32=3,"DPF","")</f>
        <v/>
      </c>
      <c r="BB32" s="1" t="str">
        <f aca="false">IF($B32=3,"PFI","")</f>
        <v/>
      </c>
      <c r="BC32" s="1" t="str">
        <f aca="false">IF($B32=3,"PFI","")</f>
        <v/>
      </c>
      <c r="BD32" s="1" t="str">
        <f aca="false">IF($B32=3,"PFI","")</f>
        <v/>
      </c>
      <c r="BE32" s="1" t="str">
        <f aca="false">IF($B32=3,"DPF","")</f>
        <v/>
      </c>
      <c r="BF32" s="1" t="str">
        <f aca="false">IF($B32=3,"DPF","")</f>
        <v/>
      </c>
      <c r="BG32" s="1" t="str">
        <f aca="false">IF($B32=3,"PFI","")</f>
        <v/>
      </c>
      <c r="BH32" s="1" t="str">
        <f aca="false">IF($B32=3,"PFI","")</f>
        <v/>
      </c>
      <c r="BI32" s="1" t="str">
        <f aca="false">IF($B32=3,"DPF","")</f>
        <v/>
      </c>
      <c r="BJ32" s="75"/>
      <c r="BK32" s="1" t="str">
        <f aca="false">IF($B32=3,"PFI","")</f>
        <v/>
      </c>
      <c r="BL32" s="1" t="str">
        <f aca="false">IF($B32=3,"PFI","")</f>
        <v/>
      </c>
      <c r="BM32" s="1" t="str">
        <f aca="false">IF($B32=3,"PFI","")</f>
        <v/>
      </c>
      <c r="BN32" s="1" t="str">
        <f aca="false">IF($B32=3,"PFI","")</f>
        <v/>
      </c>
      <c r="BO32" s="1" t="str">
        <f aca="false">IF($B32=3,"PFI","")</f>
        <v/>
      </c>
    </row>
    <row r="33" customFormat="false" ht="12.75" hidden="false" customHeight="false" outlineLevel="0" collapsed="false">
      <c r="A33" s="1" t="n">
        <f aca="false">A32-1</f>
        <v>1994</v>
      </c>
      <c r="B33" s="1" t="s">
        <v>323</v>
      </c>
      <c r="C33" s="1" t="s">
        <v>323</v>
      </c>
      <c r="D33" s="1" t="s">
        <v>323</v>
      </c>
      <c r="E33" s="1" t="s">
        <v>323</v>
      </c>
      <c r="F33" s="1" t="str">
        <f aca="false">IF($B33=3,"PFI","")</f>
        <v/>
      </c>
      <c r="G33" s="1" t="str">
        <f aca="false">IF($B33=3,"PFI","")</f>
        <v/>
      </c>
      <c r="H33" s="1" t="str">
        <f aca="false">IF($B33=3,"PFI","")</f>
        <v/>
      </c>
      <c r="I33" s="1" t="str">
        <f aca="false">IF($B33=3,"PFI","")</f>
        <v/>
      </c>
      <c r="J33" s="1" t="str">
        <f aca="false">IF($B33=3,"PFI","")</f>
        <v/>
      </c>
      <c r="K33" s="1" t="str">
        <f aca="false">IF($B33=3,"PFI","")</f>
        <v/>
      </c>
      <c r="L33" s="1" t="str">
        <f aca="false">IF($B33=3,"DPF","")</f>
        <v/>
      </c>
      <c r="M33" s="1" t="str">
        <f aca="false">IF($B33=3,"DPF","")</f>
        <v/>
      </c>
      <c r="N33" s="1" t="str">
        <f aca="false">IF($B33=3,"DPF","")</f>
        <v/>
      </c>
      <c r="O33" s="1" t="str">
        <f aca="false">IF($B33=3,"PFI","")</f>
        <v/>
      </c>
      <c r="P33" s="1" t="str">
        <f aca="false">IF($B33=3,"PFI","")</f>
        <v/>
      </c>
      <c r="Q33" s="75"/>
      <c r="R33" s="1" t="str">
        <f aca="false">IF($B33=3,"PFI","")</f>
        <v/>
      </c>
      <c r="S33" s="1" t="str">
        <f aca="false">IF($B33=3,"PFI","")</f>
        <v/>
      </c>
      <c r="T33" s="1" t="str">
        <f aca="false">IF($B33=3,"PFI","")</f>
        <v/>
      </c>
      <c r="U33" s="1" t="str">
        <f aca="false">IF($B33=3,"DPF","")</f>
        <v/>
      </c>
      <c r="V33" s="1" t="str">
        <f aca="false">IF($B33=3,"DPF","")</f>
        <v/>
      </c>
      <c r="W33" s="1" t="str">
        <f aca="false">IF($B33=3,"DPF","")</f>
        <v/>
      </c>
      <c r="X33" s="1" t="str">
        <f aca="false">IF($B33=3,"DPF","")</f>
        <v/>
      </c>
      <c r="Y33" s="1" t="str">
        <f aca="false">IF($B33=3,"DPF","")</f>
        <v/>
      </c>
      <c r="Z33" s="1" t="str">
        <f aca="false">IF($B33=3,"DPF","")</f>
        <v/>
      </c>
      <c r="AA33" s="1" t="str">
        <f aca="false">IF($B33=3,"DPF","")</f>
        <v/>
      </c>
      <c r="AB33" s="1" t="str">
        <f aca="false">IF($B33=3,"DPF","")</f>
        <v/>
      </c>
      <c r="AC33" s="1" t="str">
        <f aca="false">IF($B33=3,"DPF","")</f>
        <v/>
      </c>
      <c r="AD33" s="1" t="str">
        <f aca="false">IF($B33=3,"DPF","")</f>
        <v/>
      </c>
      <c r="AE33" s="1" t="str">
        <f aca="false">IF($B33=3,"DPF","")</f>
        <v/>
      </c>
      <c r="AF33" s="1" t="str">
        <f aca="false">IF($B33=3,"DPF","")</f>
        <v/>
      </c>
      <c r="AG33" s="1" t="str">
        <f aca="false">IF($B33=3,"DPF","")</f>
        <v/>
      </c>
      <c r="AH33" s="1" t="str">
        <f aca="false">IF($B33=3,"DPF","")</f>
        <v/>
      </c>
      <c r="AI33" s="1" t="str">
        <f aca="false">IF($B33=3,"PFI","")</f>
        <v/>
      </c>
      <c r="AJ33" s="1" t="str">
        <f aca="false">IF($B33=3,"PFI","")</f>
        <v/>
      </c>
      <c r="AK33" s="1" t="str">
        <f aca="false">IF($B33=3,"PFI","")</f>
        <v/>
      </c>
      <c r="AL33" s="1" t="str">
        <f aca="false">IF($B33=3,"PFI","")</f>
        <v/>
      </c>
      <c r="AM33" s="1" t="str">
        <f aca="false">IF($B33=3,"PFI","")</f>
        <v/>
      </c>
      <c r="AN33" s="1" t="str">
        <f aca="false">IF($B33=3,"PFI","")</f>
        <v/>
      </c>
      <c r="AO33" s="1" t="str">
        <f aca="false">IF($B33=3,"PFI","")</f>
        <v/>
      </c>
      <c r="AP33" s="1" t="str">
        <f aca="false">IF($B33=3,"PFI","")</f>
        <v/>
      </c>
      <c r="AQ33" s="1" t="str">
        <f aca="false">IF($B33=3,"PFI","")</f>
        <v/>
      </c>
      <c r="AR33" s="1" t="str">
        <f aca="false">IF($B33=3,"DPF","")</f>
        <v/>
      </c>
      <c r="AS33" s="1" t="str">
        <f aca="false">IF($B33=3,"DPF","")</f>
        <v/>
      </c>
      <c r="AT33" s="1" t="str">
        <f aca="false">IF($B33=3,"DPF","")</f>
        <v/>
      </c>
      <c r="AU33" s="1" t="str">
        <f aca="false">IF($B33=3,"DPF","")</f>
        <v/>
      </c>
      <c r="AV33" s="1" t="str">
        <f aca="false">IF($B33=3,"DPF","")</f>
        <v/>
      </c>
      <c r="AW33" s="1" t="str">
        <f aca="false">IF($B33=3,"DPF","")</f>
        <v/>
      </c>
      <c r="AX33" s="75"/>
      <c r="AY33" s="1" t="str">
        <f aca="false">IF($B33=3,"DPF","")</f>
        <v/>
      </c>
      <c r="AZ33" s="1" t="str">
        <f aca="false">IF($B33=3,"DPF","")</f>
        <v/>
      </c>
      <c r="BA33" s="1" t="str">
        <f aca="false">IF($B33=3,"DPF","")</f>
        <v/>
      </c>
      <c r="BB33" s="1" t="str">
        <f aca="false">IF($B33=3,"PFI","")</f>
        <v/>
      </c>
      <c r="BC33" s="1" t="str">
        <f aca="false">IF($B33=3,"PFI","")</f>
        <v/>
      </c>
      <c r="BD33" s="1" t="str">
        <f aca="false">IF($B33=3,"PFI","")</f>
        <v/>
      </c>
      <c r="BE33" s="1" t="str">
        <f aca="false">IF($B33=3,"DPF","")</f>
        <v/>
      </c>
      <c r="BF33" s="1" t="str">
        <f aca="false">IF($B33=3,"DPF","")</f>
        <v/>
      </c>
      <c r="BG33" s="1" t="str">
        <f aca="false">IF($B33=3,"PFI","")</f>
        <v/>
      </c>
      <c r="BH33" s="1" t="str">
        <f aca="false">IF($B33=3,"PFI","")</f>
        <v/>
      </c>
      <c r="BI33" s="1" t="str">
        <f aca="false">IF($B33=3,"DPF","")</f>
        <v/>
      </c>
      <c r="BJ33" s="75"/>
      <c r="BK33" s="1" t="str">
        <f aca="false">IF($B33=3,"PFI","")</f>
        <v/>
      </c>
      <c r="BL33" s="1" t="str">
        <f aca="false">IF($B33=3,"PFI","")</f>
        <v/>
      </c>
      <c r="BM33" s="1" t="str">
        <f aca="false">IF($B33=3,"PFI","")</f>
        <v/>
      </c>
      <c r="BN33" s="1" t="str">
        <f aca="false">IF($B33=3,"PFI","")</f>
        <v/>
      </c>
      <c r="BO33" s="1" t="str">
        <f aca="false">IF($B33=3,"PFI","")</f>
        <v/>
      </c>
    </row>
    <row r="34" customFormat="false" ht="12.75" hidden="false" customHeight="false" outlineLevel="0" collapsed="false">
      <c r="A34" s="1" t="n">
        <f aca="false">A33-1</f>
        <v>1993</v>
      </c>
      <c r="B34" s="1" t="s">
        <v>323</v>
      </c>
      <c r="C34" s="1" t="s">
        <v>323</v>
      </c>
      <c r="D34" s="1" t="s">
        <v>323</v>
      </c>
      <c r="E34" s="1" t="s">
        <v>323</v>
      </c>
      <c r="F34" s="1" t="str">
        <f aca="false">IF($B34=3,"PFI","")</f>
        <v/>
      </c>
      <c r="G34" s="1" t="str">
        <f aca="false">IF($B34=3,"PFI","")</f>
        <v/>
      </c>
      <c r="H34" s="1" t="str">
        <f aca="false">IF($B34=3,"PFI","")</f>
        <v/>
      </c>
      <c r="I34" s="1" t="str">
        <f aca="false">IF($B34=3,"PFI","")</f>
        <v/>
      </c>
      <c r="J34" s="1" t="str">
        <f aca="false">IF($B34=3,"PFI","")</f>
        <v/>
      </c>
      <c r="K34" s="1" t="str">
        <f aca="false">IF($B34=3,"PFI","")</f>
        <v/>
      </c>
      <c r="L34" s="1" t="str">
        <f aca="false">IF($B34=3,"DPF","")</f>
        <v/>
      </c>
      <c r="M34" s="1" t="str">
        <f aca="false">IF($B34=3,"DPF","")</f>
        <v/>
      </c>
      <c r="N34" s="1" t="str">
        <f aca="false">IF($B34=3,"DPF","")</f>
        <v/>
      </c>
      <c r="O34" s="1" t="str">
        <f aca="false">IF($B34=3,"PFI","")</f>
        <v/>
      </c>
      <c r="P34" s="1" t="str">
        <f aca="false">IF($B34=3,"PFI","")</f>
        <v/>
      </c>
      <c r="Q34" s="75"/>
      <c r="R34" s="1" t="str">
        <f aca="false">IF($B34=3,"PFI","")</f>
        <v/>
      </c>
      <c r="S34" s="1" t="str">
        <f aca="false">IF($B34=3,"PFI","")</f>
        <v/>
      </c>
      <c r="T34" s="1" t="str">
        <f aca="false">IF($B34=3,"PFI","")</f>
        <v/>
      </c>
      <c r="U34" s="1" t="str">
        <f aca="false">IF($B34=3,"DPF","")</f>
        <v/>
      </c>
      <c r="V34" s="1" t="str">
        <f aca="false">IF($B34=3,"DPF","")</f>
        <v/>
      </c>
      <c r="W34" s="1" t="str">
        <f aca="false">IF($B34=3,"DPF","")</f>
        <v/>
      </c>
      <c r="X34" s="1" t="str">
        <f aca="false">IF($B34=3,"DPF","")</f>
        <v/>
      </c>
      <c r="Y34" s="1" t="str">
        <f aca="false">IF($B34=3,"DPF","")</f>
        <v/>
      </c>
      <c r="Z34" s="1" t="str">
        <f aca="false">IF($B34=3,"DPF","")</f>
        <v/>
      </c>
      <c r="AA34" s="1" t="str">
        <f aca="false">IF($B34=3,"DPF","")</f>
        <v/>
      </c>
      <c r="AB34" s="1" t="str">
        <f aca="false">IF($B34=3,"DPF","")</f>
        <v/>
      </c>
      <c r="AC34" s="1" t="str">
        <f aca="false">IF($B34=3,"DPF","")</f>
        <v/>
      </c>
      <c r="AD34" s="1" t="str">
        <f aca="false">IF($B34=3,"DPF","")</f>
        <v/>
      </c>
      <c r="AE34" s="1" t="str">
        <f aca="false">IF($B34=3,"DPF","")</f>
        <v/>
      </c>
      <c r="AF34" s="1" t="str">
        <f aca="false">IF($B34=3,"DPF","")</f>
        <v/>
      </c>
      <c r="AG34" s="1" t="str">
        <f aca="false">IF($B34=3,"DPF","")</f>
        <v/>
      </c>
      <c r="AH34" s="1" t="str">
        <f aca="false">IF($B34=3,"DPF","")</f>
        <v/>
      </c>
      <c r="AI34" s="1" t="str">
        <f aca="false">IF($B34=3,"PFI","")</f>
        <v/>
      </c>
      <c r="AJ34" s="1" t="str">
        <f aca="false">IF($B34=3,"PFI","")</f>
        <v/>
      </c>
      <c r="AK34" s="1" t="str">
        <f aca="false">IF($B34=3,"PFI","")</f>
        <v/>
      </c>
      <c r="AL34" s="1" t="str">
        <f aca="false">IF($B34=3,"PFI","")</f>
        <v/>
      </c>
      <c r="AM34" s="1" t="str">
        <f aca="false">IF($B34=3,"PFI","")</f>
        <v/>
      </c>
      <c r="AN34" s="1" t="str">
        <f aca="false">IF($B34=3,"PFI","")</f>
        <v/>
      </c>
      <c r="AO34" s="1" t="str">
        <f aca="false">IF($B34=3,"PFI","")</f>
        <v/>
      </c>
      <c r="AP34" s="1" t="str">
        <f aca="false">IF($B34=3,"PFI","")</f>
        <v/>
      </c>
      <c r="AQ34" s="1" t="str">
        <f aca="false">IF($B34=3,"PFI","")</f>
        <v/>
      </c>
      <c r="AR34" s="1" t="str">
        <f aca="false">IF($B34=3,"DPF","")</f>
        <v/>
      </c>
      <c r="AS34" s="1" t="str">
        <f aca="false">IF($B34=3,"DPF","")</f>
        <v/>
      </c>
      <c r="AT34" s="1" t="str">
        <f aca="false">IF($B34=3,"DPF","")</f>
        <v/>
      </c>
      <c r="AU34" s="1" t="str">
        <f aca="false">IF($B34=3,"DPF","")</f>
        <v/>
      </c>
      <c r="AV34" s="1" t="str">
        <f aca="false">IF($B34=3,"DPF","")</f>
        <v/>
      </c>
      <c r="AW34" s="1" t="str">
        <f aca="false">IF($B34=3,"DPF","")</f>
        <v/>
      </c>
      <c r="AX34" s="75"/>
      <c r="AY34" s="1" t="str">
        <f aca="false">IF($B34=3,"DPF","")</f>
        <v/>
      </c>
      <c r="AZ34" s="1" t="str">
        <f aca="false">IF($B34=3,"DPF","")</f>
        <v/>
      </c>
      <c r="BA34" s="1" t="str">
        <f aca="false">IF($B34=3,"DPF","")</f>
        <v/>
      </c>
      <c r="BB34" s="1" t="str">
        <f aca="false">IF($B34=3,"PFI","")</f>
        <v/>
      </c>
      <c r="BC34" s="1" t="str">
        <f aca="false">IF($B34=3,"PFI","")</f>
        <v/>
      </c>
      <c r="BD34" s="1" t="str">
        <f aca="false">IF($B34=3,"PFI","")</f>
        <v/>
      </c>
      <c r="BE34" s="1" t="str">
        <f aca="false">IF($B34=3,"DPF","")</f>
        <v/>
      </c>
      <c r="BF34" s="1" t="str">
        <f aca="false">IF($B34=3,"DPF","")</f>
        <v/>
      </c>
      <c r="BG34" s="1" t="str">
        <f aca="false">IF($B34=3,"PFI","")</f>
        <v/>
      </c>
      <c r="BH34" s="1" t="str">
        <f aca="false">IF($B34=3,"PFI","")</f>
        <v/>
      </c>
      <c r="BI34" s="1" t="str">
        <f aca="false">IF($B34=3,"DPF","")</f>
        <v/>
      </c>
      <c r="BJ34" s="75"/>
      <c r="BK34" s="1" t="str">
        <f aca="false">IF($B34=3,"PFI","")</f>
        <v/>
      </c>
      <c r="BL34" s="1" t="str">
        <f aca="false">IF($B34=3,"PFI","")</f>
        <v/>
      </c>
      <c r="BM34" s="1" t="str">
        <f aca="false">IF($B34=3,"PFI","")</f>
        <v/>
      </c>
      <c r="BN34" s="1" t="str">
        <f aca="false">IF($B34=3,"PFI","")</f>
        <v/>
      </c>
      <c r="BO34" s="1" t="str">
        <f aca="false">IF($B34=3,"PFI","")</f>
        <v/>
      </c>
    </row>
    <row r="35" customFormat="false" ht="12.75" hidden="false" customHeight="false" outlineLevel="0" collapsed="false">
      <c r="A35" s="1" t="n">
        <f aca="false">A34-1</f>
        <v>1992</v>
      </c>
      <c r="B35" s="1" t="s">
        <v>323</v>
      </c>
      <c r="C35" s="1" t="s">
        <v>323</v>
      </c>
      <c r="D35" s="1" t="s">
        <v>323</v>
      </c>
      <c r="E35" s="1" t="s">
        <v>323</v>
      </c>
      <c r="F35" s="1" t="str">
        <f aca="false">IF($B35=3,"PFI","")</f>
        <v/>
      </c>
      <c r="G35" s="1" t="str">
        <f aca="false">IF($B35=3,"PFI","")</f>
        <v/>
      </c>
      <c r="H35" s="1" t="str">
        <f aca="false">IF($B35=3,"PFI","")</f>
        <v/>
      </c>
      <c r="I35" s="1" t="str">
        <f aca="false">IF($B35=3,"PFI","")</f>
        <v/>
      </c>
      <c r="J35" s="1" t="str">
        <f aca="false">IF($B35=3,"PFI","")</f>
        <v/>
      </c>
      <c r="K35" s="1" t="str">
        <f aca="false">IF($B35=3,"PFI","")</f>
        <v/>
      </c>
      <c r="L35" s="1" t="str">
        <f aca="false">IF($B35=3,"DPF","")</f>
        <v/>
      </c>
      <c r="M35" s="1" t="str">
        <f aca="false">IF($B35=3,"DPF","")</f>
        <v/>
      </c>
      <c r="N35" s="1" t="str">
        <f aca="false">IF($B35=3,"DPF","")</f>
        <v/>
      </c>
      <c r="O35" s="1" t="str">
        <f aca="false">IF($B35=3,"PFI","")</f>
        <v/>
      </c>
      <c r="P35" s="1" t="str">
        <f aca="false">IF($B35=3,"PFI","")</f>
        <v/>
      </c>
      <c r="Q35" s="75"/>
      <c r="R35" s="1" t="str">
        <f aca="false">IF($B35=3,"PFI","")</f>
        <v/>
      </c>
      <c r="S35" s="1" t="str">
        <f aca="false">IF($B35=3,"PFI","")</f>
        <v/>
      </c>
      <c r="T35" s="1" t="str">
        <f aca="false">IF($B35=3,"PFI","")</f>
        <v/>
      </c>
      <c r="U35" s="1" t="str">
        <f aca="false">IF($B35=3,"DPF","")</f>
        <v/>
      </c>
      <c r="V35" s="1" t="str">
        <f aca="false">IF($B35=3,"DPF","")</f>
        <v/>
      </c>
      <c r="W35" s="1" t="str">
        <f aca="false">IF($B35=3,"DPF","")</f>
        <v/>
      </c>
      <c r="X35" s="1" t="str">
        <f aca="false">IF($B35=3,"DPF","")</f>
        <v/>
      </c>
      <c r="Y35" s="1" t="str">
        <f aca="false">IF($B35=3,"DPF","")</f>
        <v/>
      </c>
      <c r="Z35" s="1" t="str">
        <f aca="false">IF($B35=3,"DPF","")</f>
        <v/>
      </c>
      <c r="AA35" s="1" t="str">
        <f aca="false">IF($B35=3,"DPF","")</f>
        <v/>
      </c>
      <c r="AB35" s="1" t="str">
        <f aca="false">IF($B35=3,"DPF","")</f>
        <v/>
      </c>
      <c r="AC35" s="1" t="str">
        <f aca="false">IF($B35=3,"DPF","")</f>
        <v/>
      </c>
      <c r="AD35" s="1" t="str">
        <f aca="false">IF($B35=3,"DPF","")</f>
        <v/>
      </c>
      <c r="AE35" s="1" t="str">
        <f aca="false">IF($B35=3,"DPF","")</f>
        <v/>
      </c>
      <c r="AF35" s="1" t="str">
        <f aca="false">IF($B35=3,"DPF","")</f>
        <v/>
      </c>
      <c r="AG35" s="1" t="str">
        <f aca="false">IF($B35=3,"DPF","")</f>
        <v/>
      </c>
      <c r="AH35" s="1" t="str">
        <f aca="false">IF($B35=3,"DPF","")</f>
        <v/>
      </c>
      <c r="AI35" s="1" t="str">
        <f aca="false">IF($B35=3,"PFI","")</f>
        <v/>
      </c>
      <c r="AJ35" s="1" t="str">
        <f aca="false">IF($B35=3,"PFI","")</f>
        <v/>
      </c>
      <c r="AK35" s="1" t="str">
        <f aca="false">IF($B35=3,"PFI","")</f>
        <v/>
      </c>
      <c r="AL35" s="1" t="str">
        <f aca="false">IF($B35=3,"PFI","")</f>
        <v/>
      </c>
      <c r="AM35" s="1" t="str">
        <f aca="false">IF($B35=3,"PFI","")</f>
        <v/>
      </c>
      <c r="AN35" s="1" t="str">
        <f aca="false">IF($B35=3,"PFI","")</f>
        <v/>
      </c>
      <c r="AO35" s="1" t="str">
        <f aca="false">IF($B35=3,"PFI","")</f>
        <v/>
      </c>
      <c r="AP35" s="1" t="str">
        <f aca="false">IF($B35=3,"PFI","")</f>
        <v/>
      </c>
      <c r="AQ35" s="1" t="str">
        <f aca="false">IF($B35=3,"PFI","")</f>
        <v/>
      </c>
      <c r="AR35" s="1" t="str">
        <f aca="false">IF($B35=3,"DPF","")</f>
        <v/>
      </c>
      <c r="AS35" s="1" t="str">
        <f aca="false">IF($B35=3,"DPF","")</f>
        <v/>
      </c>
      <c r="AT35" s="1" t="str">
        <f aca="false">IF($B35=3,"DPF","")</f>
        <v/>
      </c>
      <c r="AU35" s="1" t="str">
        <f aca="false">IF($B35=3,"DPF","")</f>
        <v/>
      </c>
      <c r="AV35" s="1" t="str">
        <f aca="false">IF($B35=3,"DPF","")</f>
        <v/>
      </c>
      <c r="AW35" s="1" t="str">
        <f aca="false">IF($B35=3,"DPF","")</f>
        <v/>
      </c>
      <c r="AX35" s="75"/>
      <c r="AY35" s="1" t="str">
        <f aca="false">IF($B35=3,"DPF","")</f>
        <v/>
      </c>
      <c r="AZ35" s="1" t="str">
        <f aca="false">IF($B35=3,"DPF","")</f>
        <v/>
      </c>
      <c r="BA35" s="1" t="str">
        <f aca="false">IF($B35=3,"DPF","")</f>
        <v/>
      </c>
      <c r="BB35" s="1" t="str">
        <f aca="false">IF($B35=3,"PFI","")</f>
        <v/>
      </c>
      <c r="BC35" s="1" t="str">
        <f aca="false">IF($B35=3,"PFI","")</f>
        <v/>
      </c>
      <c r="BD35" s="1" t="str">
        <f aca="false">IF($B35=3,"PFI","")</f>
        <v/>
      </c>
      <c r="BE35" s="1" t="str">
        <f aca="false">IF($B35=3,"DPF","")</f>
        <v/>
      </c>
      <c r="BF35" s="1" t="str">
        <f aca="false">IF($B35=3,"DPF","")</f>
        <v/>
      </c>
      <c r="BG35" s="1" t="str">
        <f aca="false">IF($B35=3,"PFI","")</f>
        <v/>
      </c>
      <c r="BH35" s="1" t="str">
        <f aca="false">IF($B35=3,"PFI","")</f>
        <v/>
      </c>
      <c r="BI35" s="1" t="str">
        <f aca="false">IF($B35=3,"DPF","")</f>
        <v/>
      </c>
      <c r="BJ35" s="75"/>
      <c r="BK35" s="1" t="str">
        <f aca="false">IF($B35=3,"PFI","")</f>
        <v/>
      </c>
      <c r="BL35" s="1" t="str">
        <f aca="false">IF($B35=3,"PFI","")</f>
        <v/>
      </c>
      <c r="BM35" s="1" t="str">
        <f aca="false">IF($B35=3,"PFI","")</f>
        <v/>
      </c>
      <c r="BN35" s="1" t="str">
        <f aca="false">IF($B35=3,"PFI","")</f>
        <v/>
      </c>
      <c r="BO35" s="1" t="str">
        <f aca="false">IF($B35=3,"PFI","")</f>
        <v/>
      </c>
    </row>
    <row r="36" customFormat="false" ht="12.75" hidden="false" customHeight="false" outlineLevel="0" collapsed="false">
      <c r="A36" s="1" t="n">
        <f aca="false">A35-1</f>
        <v>1991</v>
      </c>
      <c r="B36" s="1" t="s">
        <v>323</v>
      </c>
      <c r="C36" s="1" t="s">
        <v>323</v>
      </c>
      <c r="D36" s="1" t="s">
        <v>323</v>
      </c>
      <c r="E36" s="1" t="s">
        <v>323</v>
      </c>
      <c r="F36" s="1" t="str">
        <f aca="false">IF($B36=3,"PFI","")</f>
        <v/>
      </c>
      <c r="G36" s="1" t="str">
        <f aca="false">IF($B36=3,"PFI","")</f>
        <v/>
      </c>
      <c r="H36" s="1" t="str">
        <f aca="false">IF($B36=3,"PFI","")</f>
        <v/>
      </c>
      <c r="I36" s="1" t="str">
        <f aca="false">IF($B36=3,"PFI","")</f>
        <v/>
      </c>
      <c r="J36" s="1" t="str">
        <f aca="false">IF($B36=3,"PFI","")</f>
        <v/>
      </c>
      <c r="K36" s="1" t="str">
        <f aca="false">IF($B36=3,"PFI","")</f>
        <v/>
      </c>
      <c r="L36" s="1" t="str">
        <f aca="false">IF($B36=3,"DPF","")</f>
        <v/>
      </c>
      <c r="M36" s="1" t="str">
        <f aca="false">IF($B36=3,"DPF","")</f>
        <v/>
      </c>
      <c r="N36" s="1" t="str">
        <f aca="false">IF($B36=3,"DPF","")</f>
        <v/>
      </c>
      <c r="O36" s="1" t="str">
        <f aca="false">IF($B36=3,"PFI","")</f>
        <v/>
      </c>
      <c r="P36" s="1" t="str">
        <f aca="false">IF($B36=3,"PFI","")</f>
        <v/>
      </c>
      <c r="Q36" s="75"/>
      <c r="R36" s="1" t="str">
        <f aca="false">IF($B36=3,"PFI","")</f>
        <v/>
      </c>
      <c r="S36" s="1" t="str">
        <f aca="false">IF($B36=3,"PFI","")</f>
        <v/>
      </c>
      <c r="T36" s="1" t="str">
        <f aca="false">IF($B36=3,"PFI","")</f>
        <v/>
      </c>
      <c r="U36" s="1" t="str">
        <f aca="false">IF($B36=3,"DPF","")</f>
        <v/>
      </c>
      <c r="V36" s="1" t="str">
        <f aca="false">IF($B36=3,"DPF","")</f>
        <v/>
      </c>
      <c r="W36" s="1" t="str">
        <f aca="false">IF($B36=3,"DPF","")</f>
        <v/>
      </c>
      <c r="X36" s="1" t="str">
        <f aca="false">IF($B36=3,"DPF","")</f>
        <v/>
      </c>
      <c r="Y36" s="1" t="str">
        <f aca="false">IF($B36=3,"DPF","")</f>
        <v/>
      </c>
      <c r="Z36" s="1" t="str">
        <f aca="false">IF($B36=3,"DPF","")</f>
        <v/>
      </c>
      <c r="AA36" s="1" t="str">
        <f aca="false">IF($B36=3,"DPF","")</f>
        <v/>
      </c>
      <c r="AB36" s="1" t="str">
        <f aca="false">IF($B36=3,"DPF","")</f>
        <v/>
      </c>
      <c r="AC36" s="1" t="str">
        <f aca="false">IF($B36=3,"DPF","")</f>
        <v/>
      </c>
      <c r="AD36" s="1" t="str">
        <f aca="false">IF($B36=3,"DPF","")</f>
        <v/>
      </c>
      <c r="AE36" s="1" t="str">
        <f aca="false">IF($B36=3,"DPF","")</f>
        <v/>
      </c>
      <c r="AF36" s="1" t="str">
        <f aca="false">IF($B36=3,"DPF","")</f>
        <v/>
      </c>
      <c r="AG36" s="1" t="str">
        <f aca="false">IF($B36=3,"DPF","")</f>
        <v/>
      </c>
      <c r="AH36" s="1" t="str">
        <f aca="false">IF($B36=3,"DPF","")</f>
        <v/>
      </c>
      <c r="AI36" s="1" t="str">
        <f aca="false">IF($B36=3,"PFI","")</f>
        <v/>
      </c>
      <c r="AJ36" s="1" t="str">
        <f aca="false">IF($B36=3,"PFI","")</f>
        <v/>
      </c>
      <c r="AK36" s="1" t="str">
        <f aca="false">IF($B36=3,"PFI","")</f>
        <v/>
      </c>
      <c r="AL36" s="1" t="str">
        <f aca="false">IF($B36=3,"PFI","")</f>
        <v/>
      </c>
      <c r="AM36" s="1" t="str">
        <f aca="false">IF($B36=3,"PFI","")</f>
        <v/>
      </c>
      <c r="AN36" s="1" t="str">
        <f aca="false">IF($B36=3,"PFI","")</f>
        <v/>
      </c>
      <c r="AO36" s="1" t="str">
        <f aca="false">IF($B36=3,"PFI","")</f>
        <v/>
      </c>
      <c r="AP36" s="1" t="str">
        <f aca="false">IF($B36=3,"PFI","")</f>
        <v/>
      </c>
      <c r="AQ36" s="1" t="str">
        <f aca="false">IF($B36=3,"PFI","")</f>
        <v/>
      </c>
      <c r="AR36" s="1" t="str">
        <f aca="false">IF($B36=3,"DPF","")</f>
        <v/>
      </c>
      <c r="AS36" s="1" t="str">
        <f aca="false">IF($B36=3,"DPF","")</f>
        <v/>
      </c>
      <c r="AT36" s="1" t="str">
        <f aca="false">IF($B36=3,"DPF","")</f>
        <v/>
      </c>
      <c r="AU36" s="1" t="str">
        <f aca="false">IF($B36=3,"DPF","")</f>
        <v/>
      </c>
      <c r="AV36" s="1" t="str">
        <f aca="false">IF($B36=3,"DPF","")</f>
        <v/>
      </c>
      <c r="AW36" s="1" t="str">
        <f aca="false">IF($B36=3,"DPF","")</f>
        <v/>
      </c>
      <c r="AX36" s="75"/>
      <c r="AY36" s="1" t="str">
        <f aca="false">IF($B36=3,"DPF","")</f>
        <v/>
      </c>
      <c r="AZ36" s="1" t="str">
        <f aca="false">IF($B36=3,"DPF","")</f>
        <v/>
      </c>
      <c r="BA36" s="1" t="str">
        <f aca="false">IF($B36=3,"DPF","")</f>
        <v/>
      </c>
      <c r="BB36" s="1" t="str">
        <f aca="false">IF($B36=3,"PFI","")</f>
        <v/>
      </c>
      <c r="BC36" s="1" t="str">
        <f aca="false">IF($B36=3,"PFI","")</f>
        <v/>
      </c>
      <c r="BD36" s="1" t="str">
        <f aca="false">IF($B36=3,"PFI","")</f>
        <v/>
      </c>
      <c r="BE36" s="1" t="str">
        <f aca="false">IF($B36=3,"DPF","")</f>
        <v/>
      </c>
      <c r="BF36" s="1" t="str">
        <f aca="false">IF($B36=3,"DPF","")</f>
        <v/>
      </c>
      <c r="BG36" s="1" t="str">
        <f aca="false">IF($B36=3,"PFI","")</f>
        <v/>
      </c>
      <c r="BH36" s="1" t="str">
        <f aca="false">IF($B36=3,"PFI","")</f>
        <v/>
      </c>
      <c r="BI36" s="1" t="str">
        <f aca="false">IF($B36=3,"DPF","")</f>
        <v/>
      </c>
      <c r="BJ36" s="75"/>
      <c r="BK36" s="1" t="str">
        <f aca="false">IF($B36=3,"PFI","")</f>
        <v/>
      </c>
      <c r="BL36" s="1" t="str">
        <f aca="false">IF($B36=3,"PFI","")</f>
        <v/>
      </c>
      <c r="BM36" s="1" t="str">
        <f aca="false">IF($B36=3,"PFI","")</f>
        <v/>
      </c>
      <c r="BN36" s="1" t="str">
        <f aca="false">IF($B36=3,"PFI","")</f>
        <v/>
      </c>
      <c r="BO36" s="1" t="str">
        <f aca="false">IF($B36=3,"PFI","")</f>
        <v/>
      </c>
    </row>
    <row r="37" customFormat="false" ht="12.75" hidden="false" customHeight="false" outlineLevel="0" collapsed="false">
      <c r="A37" s="1" t="n">
        <f aca="false">A36-1</f>
        <v>1990</v>
      </c>
      <c r="B37" s="1" t="s">
        <v>323</v>
      </c>
      <c r="C37" s="1" t="s">
        <v>323</v>
      </c>
      <c r="D37" s="1" t="s">
        <v>323</v>
      </c>
      <c r="E37" s="1" t="s">
        <v>323</v>
      </c>
      <c r="F37" s="1" t="str">
        <f aca="false">IF($B37=3,"PFI","")</f>
        <v/>
      </c>
      <c r="G37" s="1" t="str">
        <f aca="false">IF($B37=3,"PFI","")</f>
        <v/>
      </c>
      <c r="H37" s="1" t="str">
        <f aca="false">IF($B37=3,"PFI","")</f>
        <v/>
      </c>
      <c r="I37" s="1" t="str">
        <f aca="false">IF($B37=3,"PFI","")</f>
        <v/>
      </c>
      <c r="J37" s="1" t="str">
        <f aca="false">IF($B37=3,"PFI","")</f>
        <v/>
      </c>
      <c r="K37" s="1" t="str">
        <f aca="false">IF($B37=3,"PFI","")</f>
        <v/>
      </c>
      <c r="L37" s="1" t="str">
        <f aca="false">IF($B37=3,"DPF","")</f>
        <v/>
      </c>
      <c r="M37" s="1" t="str">
        <f aca="false">IF($B37=3,"DPF","")</f>
        <v/>
      </c>
      <c r="N37" s="1" t="str">
        <f aca="false">IF($B37=3,"DPF","")</f>
        <v/>
      </c>
      <c r="O37" s="1" t="str">
        <f aca="false">IF($B37=3,"PFI","")</f>
        <v/>
      </c>
      <c r="P37" s="1" t="str">
        <f aca="false">IF($B37=3,"PFI","")</f>
        <v/>
      </c>
      <c r="Q37" s="75"/>
      <c r="R37" s="1" t="str">
        <f aca="false">IF($B37=3,"PFI","")</f>
        <v/>
      </c>
      <c r="S37" s="1" t="str">
        <f aca="false">IF($B37=3,"PFI","")</f>
        <v/>
      </c>
      <c r="T37" s="1" t="str">
        <f aca="false">IF($B37=3,"PFI","")</f>
        <v/>
      </c>
      <c r="U37" s="1" t="str">
        <f aca="false">IF($B37=3,"DPF","")</f>
        <v/>
      </c>
      <c r="V37" s="1" t="str">
        <f aca="false">IF($B37=3,"DPF","")</f>
        <v/>
      </c>
      <c r="W37" s="1" t="str">
        <f aca="false">IF($B37=3,"DPF","")</f>
        <v/>
      </c>
      <c r="X37" s="1" t="str">
        <f aca="false">IF($B37=3,"DPF","")</f>
        <v/>
      </c>
      <c r="Y37" s="1" t="str">
        <f aca="false">IF($B37=3,"DPF","")</f>
        <v/>
      </c>
      <c r="Z37" s="1" t="str">
        <f aca="false">IF($B37=3,"DPF","")</f>
        <v/>
      </c>
      <c r="AA37" s="1" t="str">
        <f aca="false">IF($B37=3,"DPF","")</f>
        <v/>
      </c>
      <c r="AB37" s="1" t="str">
        <f aca="false">IF($B37=3,"DPF","")</f>
        <v/>
      </c>
      <c r="AC37" s="1" t="str">
        <f aca="false">IF($B37=3,"DPF","")</f>
        <v/>
      </c>
      <c r="AD37" s="1" t="str">
        <f aca="false">IF($B37=3,"DPF","")</f>
        <v/>
      </c>
      <c r="AE37" s="1" t="str">
        <f aca="false">IF($B37=3,"DPF","")</f>
        <v/>
      </c>
      <c r="AF37" s="1" t="str">
        <f aca="false">IF($B37=3,"DPF","")</f>
        <v/>
      </c>
      <c r="AG37" s="1" t="str">
        <f aca="false">IF($B37=3,"DPF","")</f>
        <v/>
      </c>
      <c r="AH37" s="1" t="str">
        <f aca="false">IF($B37=3,"DPF","")</f>
        <v/>
      </c>
      <c r="AI37" s="1" t="str">
        <f aca="false">IF($B37=3,"PFI","")</f>
        <v/>
      </c>
      <c r="AJ37" s="1" t="str">
        <f aca="false">IF($B37=3,"PFI","")</f>
        <v/>
      </c>
      <c r="AK37" s="1" t="str">
        <f aca="false">IF($B37=3,"PFI","")</f>
        <v/>
      </c>
      <c r="AL37" s="1" t="str">
        <f aca="false">IF($B37=3,"PFI","")</f>
        <v/>
      </c>
      <c r="AM37" s="1" t="str">
        <f aca="false">IF($B37=3,"PFI","")</f>
        <v/>
      </c>
      <c r="AN37" s="1" t="str">
        <f aca="false">IF($B37=3,"PFI","")</f>
        <v/>
      </c>
      <c r="AO37" s="1" t="str">
        <f aca="false">IF($B37=3,"PFI","")</f>
        <v/>
      </c>
      <c r="AP37" s="1" t="str">
        <f aca="false">IF($B37=3,"PFI","")</f>
        <v/>
      </c>
      <c r="AQ37" s="1" t="str">
        <f aca="false">IF($B37=3,"PFI","")</f>
        <v/>
      </c>
      <c r="AR37" s="1" t="str">
        <f aca="false">IF($B37=3,"DPF","")</f>
        <v/>
      </c>
      <c r="AS37" s="1" t="str">
        <f aca="false">IF($B37=3,"DPF","")</f>
        <v/>
      </c>
      <c r="AT37" s="1" t="str">
        <f aca="false">IF($B37=3,"DPF","")</f>
        <v/>
      </c>
      <c r="AU37" s="1" t="str">
        <f aca="false">IF($B37=3,"DPF","")</f>
        <v/>
      </c>
      <c r="AV37" s="1" t="str">
        <f aca="false">IF($B37=3,"DPF","")</f>
        <v/>
      </c>
      <c r="AW37" s="1" t="str">
        <f aca="false">IF($B37=3,"DPF","")</f>
        <v/>
      </c>
      <c r="AX37" s="75"/>
      <c r="AY37" s="1" t="str">
        <f aca="false">IF($B37=3,"DPF","")</f>
        <v/>
      </c>
      <c r="AZ37" s="1" t="str">
        <f aca="false">IF($B37=3,"DPF","")</f>
        <v/>
      </c>
      <c r="BA37" s="1" t="str">
        <f aca="false">IF($B37=3,"DPF","")</f>
        <v/>
      </c>
      <c r="BB37" s="1" t="str">
        <f aca="false">IF($B37=3,"PFI","")</f>
        <v/>
      </c>
      <c r="BC37" s="1" t="str">
        <f aca="false">IF($B37=3,"PFI","")</f>
        <v/>
      </c>
      <c r="BD37" s="1" t="str">
        <f aca="false">IF($B37=3,"PFI","")</f>
        <v/>
      </c>
      <c r="BE37" s="1" t="str">
        <f aca="false">IF($B37=3,"DPF","")</f>
        <v/>
      </c>
      <c r="BF37" s="1" t="str">
        <f aca="false">IF($B37=3,"DPF","")</f>
        <v/>
      </c>
      <c r="BG37" s="1" t="str">
        <f aca="false">IF($B37=3,"PFI","")</f>
        <v/>
      </c>
      <c r="BH37" s="1" t="str">
        <f aca="false">IF($B37=3,"PFI","")</f>
        <v/>
      </c>
      <c r="BI37" s="1" t="str">
        <f aca="false">IF($B37=3,"DPF","")</f>
        <v/>
      </c>
      <c r="BJ37" s="75"/>
      <c r="BK37" s="1" t="str">
        <f aca="false">IF($B37=3,"PFI","")</f>
        <v/>
      </c>
      <c r="BL37" s="1" t="str">
        <f aca="false">IF($B37=3,"PFI","")</f>
        <v/>
      </c>
      <c r="BM37" s="1" t="str">
        <f aca="false">IF($B37=3,"PFI","")</f>
        <v/>
      </c>
      <c r="BN37" s="1" t="str">
        <f aca="false">IF($B37=3,"PFI","")</f>
        <v/>
      </c>
      <c r="BO37" s="1" t="str">
        <f aca="false">IF($B37=3,"PFI","")</f>
        <v/>
      </c>
    </row>
    <row r="38" customFormat="false" ht="12.75" hidden="false" customHeight="false" outlineLevel="0" collapsed="false">
      <c r="A38" s="1" t="n">
        <f aca="false">A37-1</f>
        <v>1989</v>
      </c>
      <c r="B38" s="1" t="s">
        <v>323</v>
      </c>
      <c r="C38" s="1" t="s">
        <v>323</v>
      </c>
      <c r="D38" s="1" t="s">
        <v>323</v>
      </c>
      <c r="E38" s="1" t="s">
        <v>323</v>
      </c>
      <c r="F38" s="1" t="str">
        <f aca="false">IF($B38=3,"PFI","")</f>
        <v/>
      </c>
      <c r="G38" s="1" t="str">
        <f aca="false">IF($B38=3,"PFI","")</f>
        <v/>
      </c>
      <c r="H38" s="1" t="str">
        <f aca="false">IF($B38=3,"PFI","")</f>
        <v/>
      </c>
      <c r="I38" s="1" t="str">
        <f aca="false">IF($B38=3,"PFI","")</f>
        <v/>
      </c>
      <c r="J38" s="1" t="str">
        <f aca="false">IF($B38=3,"PFI","")</f>
        <v/>
      </c>
      <c r="K38" s="1" t="str">
        <f aca="false">IF($B38=3,"PFI","")</f>
        <v/>
      </c>
      <c r="L38" s="1" t="str">
        <f aca="false">IF($B38=3,"DPF","")</f>
        <v/>
      </c>
      <c r="M38" s="1" t="str">
        <f aca="false">IF($B38=3,"DPF","")</f>
        <v/>
      </c>
      <c r="N38" s="1" t="str">
        <f aca="false">IF($B38=3,"DPF","")</f>
        <v/>
      </c>
      <c r="O38" s="1" t="str">
        <f aca="false">IF($B38=3,"PFI","")</f>
        <v/>
      </c>
      <c r="P38" s="1" t="str">
        <f aca="false">IF($B38=3,"PFI","")</f>
        <v/>
      </c>
      <c r="Q38" s="75"/>
      <c r="R38" s="1" t="str">
        <f aca="false">IF($B38=3,"PFI","")</f>
        <v/>
      </c>
      <c r="S38" s="1" t="str">
        <f aca="false">IF($B38=3,"PFI","")</f>
        <v/>
      </c>
      <c r="T38" s="1" t="str">
        <f aca="false">IF($B38=3,"PFI","")</f>
        <v/>
      </c>
      <c r="U38" s="1" t="str">
        <f aca="false">IF($B38=3,"DPF","")</f>
        <v/>
      </c>
      <c r="V38" s="1" t="str">
        <f aca="false">IF($B38=3,"DPF","")</f>
        <v/>
      </c>
      <c r="W38" s="1" t="str">
        <f aca="false">IF($B38=3,"DPF","")</f>
        <v/>
      </c>
      <c r="X38" s="1" t="str">
        <f aca="false">IF($B38=3,"DPF","")</f>
        <v/>
      </c>
      <c r="Y38" s="1" t="str">
        <f aca="false">IF($B38=3,"DPF","")</f>
        <v/>
      </c>
      <c r="Z38" s="1" t="str">
        <f aca="false">IF($B38=3,"DPF","")</f>
        <v/>
      </c>
      <c r="AA38" s="1" t="str">
        <f aca="false">IF($B38=3,"DPF","")</f>
        <v/>
      </c>
      <c r="AB38" s="1" t="str">
        <f aca="false">IF($B38=3,"DPF","")</f>
        <v/>
      </c>
      <c r="AC38" s="1" t="str">
        <f aca="false">IF($B38=3,"DPF","")</f>
        <v/>
      </c>
      <c r="AD38" s="1" t="str">
        <f aca="false">IF($B38=3,"DPF","")</f>
        <v/>
      </c>
      <c r="AE38" s="1" t="str">
        <f aca="false">IF($B38=3,"DPF","")</f>
        <v/>
      </c>
      <c r="AF38" s="1" t="str">
        <f aca="false">IF($B38=3,"DPF","")</f>
        <v/>
      </c>
      <c r="AG38" s="1" t="str">
        <f aca="false">IF($B38=3,"DPF","")</f>
        <v/>
      </c>
      <c r="AH38" s="1" t="str">
        <f aca="false">IF($B38=3,"DPF","")</f>
        <v/>
      </c>
      <c r="AI38" s="1" t="str">
        <f aca="false">IF($B38=3,"PFI","")</f>
        <v/>
      </c>
      <c r="AJ38" s="1" t="str">
        <f aca="false">IF($B38=3,"PFI","")</f>
        <v/>
      </c>
      <c r="AK38" s="1" t="str">
        <f aca="false">IF($B38=3,"PFI","")</f>
        <v/>
      </c>
      <c r="AL38" s="1" t="str">
        <f aca="false">IF($B38=3,"PFI","")</f>
        <v/>
      </c>
      <c r="AM38" s="1" t="str">
        <f aca="false">IF($B38=3,"PFI","")</f>
        <v/>
      </c>
      <c r="AN38" s="1" t="str">
        <f aca="false">IF($B38=3,"PFI","")</f>
        <v/>
      </c>
      <c r="AO38" s="1" t="str">
        <f aca="false">IF($B38=3,"PFI","")</f>
        <v/>
      </c>
      <c r="AP38" s="1" t="str">
        <f aca="false">IF($B38=3,"PFI","")</f>
        <v/>
      </c>
      <c r="AQ38" s="1" t="str">
        <f aca="false">IF($B38=3,"PFI","")</f>
        <v/>
      </c>
      <c r="AR38" s="1" t="str">
        <f aca="false">IF($B38=3,"DPF","")</f>
        <v/>
      </c>
      <c r="AS38" s="1" t="str">
        <f aca="false">IF($B38=3,"DPF","")</f>
        <v/>
      </c>
      <c r="AT38" s="1" t="str">
        <f aca="false">IF($B38=3,"DPF","")</f>
        <v/>
      </c>
      <c r="AU38" s="1" t="str">
        <f aca="false">IF($B38=3,"DPF","")</f>
        <v/>
      </c>
      <c r="AV38" s="1" t="str">
        <f aca="false">IF($B38=3,"DPF","")</f>
        <v/>
      </c>
      <c r="AW38" s="1" t="str">
        <f aca="false">IF($B38=3,"DPF","")</f>
        <v/>
      </c>
      <c r="AX38" s="75"/>
      <c r="AY38" s="1" t="str">
        <f aca="false">IF($B38=3,"DPF","")</f>
        <v/>
      </c>
      <c r="AZ38" s="1" t="str">
        <f aca="false">IF($B38=3,"DPF","")</f>
        <v/>
      </c>
      <c r="BA38" s="1" t="str">
        <f aca="false">IF($B38=3,"DPF","")</f>
        <v/>
      </c>
      <c r="BB38" s="1" t="str">
        <f aca="false">IF($B38=3,"PFI","")</f>
        <v/>
      </c>
      <c r="BC38" s="1" t="str">
        <f aca="false">IF($B38=3,"PFI","")</f>
        <v/>
      </c>
      <c r="BD38" s="1" t="str">
        <f aca="false">IF($B38=3,"PFI","")</f>
        <v/>
      </c>
      <c r="BE38" s="1" t="str">
        <f aca="false">IF($B38=3,"DPF","")</f>
        <v/>
      </c>
      <c r="BF38" s="1" t="str">
        <f aca="false">IF($B38=3,"DPF","")</f>
        <v/>
      </c>
      <c r="BG38" s="1" t="str">
        <f aca="false">IF($B38=3,"PFI","")</f>
        <v/>
      </c>
      <c r="BH38" s="1" t="str">
        <f aca="false">IF($B38=3,"PFI","")</f>
        <v/>
      </c>
      <c r="BI38" s="1" t="str">
        <f aca="false">IF($B38=3,"DPF","")</f>
        <v/>
      </c>
      <c r="BJ38" s="75"/>
      <c r="BK38" s="1" t="str">
        <f aca="false">IF($B38=3,"PFI","")</f>
        <v/>
      </c>
      <c r="BL38" s="1" t="str">
        <f aca="false">IF($B38=3,"PFI","")</f>
        <v/>
      </c>
      <c r="BM38" s="1" t="str">
        <f aca="false">IF($B38=3,"PFI","")</f>
        <v/>
      </c>
      <c r="BN38" s="1" t="str">
        <f aca="false">IF($B38=3,"PFI","")</f>
        <v/>
      </c>
      <c r="BO38" s="1" t="str">
        <f aca="false">IF($B38=3,"PFI","")</f>
        <v/>
      </c>
    </row>
    <row r="39" customFormat="false" ht="12.75" hidden="false" customHeight="false" outlineLevel="0" collapsed="false">
      <c r="A39" s="1" t="n">
        <f aca="false">A38-1</f>
        <v>1988</v>
      </c>
      <c r="B39" s="1" t="s">
        <v>323</v>
      </c>
      <c r="C39" s="1" t="s">
        <v>323</v>
      </c>
      <c r="D39" s="1" t="s">
        <v>323</v>
      </c>
      <c r="E39" s="1" t="s">
        <v>323</v>
      </c>
      <c r="F39" s="1" t="str">
        <f aca="false">IF($B39=3,"PFI","")</f>
        <v/>
      </c>
      <c r="G39" s="1" t="str">
        <f aca="false">IF($B39=3,"PFI","")</f>
        <v/>
      </c>
      <c r="H39" s="1" t="str">
        <f aca="false">IF($B39=3,"PFI","")</f>
        <v/>
      </c>
      <c r="I39" s="1" t="str">
        <f aca="false">IF($B39=3,"PFI","")</f>
        <v/>
      </c>
      <c r="J39" s="1" t="str">
        <f aca="false">IF($B39=3,"PFI","")</f>
        <v/>
      </c>
      <c r="K39" s="1" t="str">
        <f aca="false">IF($B39=3,"PFI","")</f>
        <v/>
      </c>
      <c r="L39" s="1" t="str">
        <f aca="false">IF($B39=3,"DPF","")</f>
        <v/>
      </c>
      <c r="M39" s="1" t="str">
        <f aca="false">IF($B39=3,"DPF","")</f>
        <v/>
      </c>
      <c r="N39" s="1" t="str">
        <f aca="false">IF($B39=3,"DPF","")</f>
        <v/>
      </c>
      <c r="O39" s="1" t="str">
        <f aca="false">IF($B39=3,"PFI","")</f>
        <v/>
      </c>
      <c r="P39" s="1" t="str">
        <f aca="false">IF($B39=3,"PFI","")</f>
        <v/>
      </c>
      <c r="Q39" s="75"/>
      <c r="R39" s="1" t="str">
        <f aca="false">IF($B39=3,"PFI","")</f>
        <v/>
      </c>
      <c r="S39" s="1" t="str">
        <f aca="false">IF($B39=3,"PFI","")</f>
        <v/>
      </c>
      <c r="T39" s="1" t="str">
        <f aca="false">IF($B39=3,"PFI","")</f>
        <v/>
      </c>
      <c r="U39" s="1" t="str">
        <f aca="false">IF($B39=3,"DPF","")</f>
        <v/>
      </c>
      <c r="V39" s="1" t="str">
        <f aca="false">IF($B39=3,"DPF","")</f>
        <v/>
      </c>
      <c r="W39" s="1" t="str">
        <f aca="false">IF($B39=3,"DPF","")</f>
        <v/>
      </c>
      <c r="X39" s="1" t="str">
        <f aca="false">IF($B39=3,"DPF","")</f>
        <v/>
      </c>
      <c r="Y39" s="1" t="str">
        <f aca="false">IF($B39=3,"DPF","")</f>
        <v/>
      </c>
      <c r="Z39" s="1" t="str">
        <f aca="false">IF($B39=3,"DPF","")</f>
        <v/>
      </c>
      <c r="AA39" s="1" t="str">
        <f aca="false">IF($B39=3,"DPF","")</f>
        <v/>
      </c>
      <c r="AB39" s="1" t="str">
        <f aca="false">IF($B39=3,"DPF","")</f>
        <v/>
      </c>
      <c r="AC39" s="1" t="str">
        <f aca="false">IF($B39=3,"DPF","")</f>
        <v/>
      </c>
      <c r="AD39" s="1" t="str">
        <f aca="false">IF($B39=3,"DPF","")</f>
        <v/>
      </c>
      <c r="AE39" s="1" t="str">
        <f aca="false">IF($B39=3,"DPF","")</f>
        <v/>
      </c>
      <c r="AF39" s="1" t="str">
        <f aca="false">IF($B39=3,"DPF","")</f>
        <v/>
      </c>
      <c r="AG39" s="1" t="str">
        <f aca="false">IF($B39=3,"DPF","")</f>
        <v/>
      </c>
      <c r="AH39" s="1" t="str">
        <f aca="false">IF($B39=3,"DPF","")</f>
        <v/>
      </c>
      <c r="AI39" s="1" t="str">
        <f aca="false">IF($B39=3,"PFI","")</f>
        <v/>
      </c>
      <c r="AJ39" s="1" t="str">
        <f aca="false">IF($B39=3,"PFI","")</f>
        <v/>
      </c>
      <c r="AK39" s="1" t="str">
        <f aca="false">IF($B39=3,"PFI","")</f>
        <v/>
      </c>
      <c r="AL39" s="1" t="str">
        <f aca="false">IF($B39=3,"PFI","")</f>
        <v/>
      </c>
      <c r="AM39" s="1" t="str">
        <f aca="false">IF($B39=3,"PFI","")</f>
        <v/>
      </c>
      <c r="AN39" s="1" t="str">
        <f aca="false">IF($B39=3,"PFI","")</f>
        <v/>
      </c>
      <c r="AO39" s="1" t="str">
        <f aca="false">IF($B39=3,"PFI","")</f>
        <v/>
      </c>
      <c r="AP39" s="1" t="str">
        <f aca="false">IF($B39=3,"PFI","")</f>
        <v/>
      </c>
      <c r="AQ39" s="1" t="str">
        <f aca="false">IF($B39=3,"PFI","")</f>
        <v/>
      </c>
      <c r="AR39" s="1" t="str">
        <f aca="false">IF($B39=3,"DPF","")</f>
        <v/>
      </c>
      <c r="AS39" s="1" t="str">
        <f aca="false">IF($B39=3,"DPF","")</f>
        <v/>
      </c>
      <c r="AT39" s="1" t="str">
        <f aca="false">IF($B39=3,"DPF","")</f>
        <v/>
      </c>
      <c r="AU39" s="1" t="str">
        <f aca="false">IF($B39=3,"DPF","")</f>
        <v/>
      </c>
      <c r="AV39" s="1" t="str">
        <f aca="false">IF($B39=3,"DPF","")</f>
        <v/>
      </c>
      <c r="AW39" s="1" t="str">
        <f aca="false">IF($B39=3,"DPF","")</f>
        <v/>
      </c>
      <c r="AX39" s="75"/>
      <c r="AY39" s="1" t="str">
        <f aca="false">IF($B39=3,"DPF","")</f>
        <v/>
      </c>
      <c r="AZ39" s="1" t="str">
        <f aca="false">IF($B39=3,"DPF","")</f>
        <v/>
      </c>
      <c r="BA39" s="1" t="str">
        <f aca="false">IF($B39=3,"DPF","")</f>
        <v/>
      </c>
      <c r="BB39" s="1" t="str">
        <f aca="false">IF($B39=3,"PFI","")</f>
        <v/>
      </c>
      <c r="BC39" s="1" t="str">
        <f aca="false">IF($B39=3,"PFI","")</f>
        <v/>
      </c>
      <c r="BD39" s="1" t="str">
        <f aca="false">IF($B39=3,"PFI","")</f>
        <v/>
      </c>
      <c r="BE39" s="1" t="str">
        <f aca="false">IF($B39=3,"DPF","")</f>
        <v/>
      </c>
      <c r="BF39" s="1" t="str">
        <f aca="false">IF($B39=3,"DPF","")</f>
        <v/>
      </c>
      <c r="BG39" s="1" t="str">
        <f aca="false">IF($B39=3,"PFI","")</f>
        <v/>
      </c>
      <c r="BH39" s="1" t="str">
        <f aca="false">IF($B39=3,"PFI","")</f>
        <v/>
      </c>
      <c r="BI39" s="1" t="str">
        <f aca="false">IF($B39=3,"DPF","")</f>
        <v/>
      </c>
      <c r="BJ39" s="75"/>
      <c r="BK39" s="1" t="str">
        <f aca="false">IF($B39=3,"PFI","")</f>
        <v/>
      </c>
      <c r="BL39" s="1" t="str">
        <f aca="false">IF($B39=3,"PFI","")</f>
        <v/>
      </c>
      <c r="BM39" s="1" t="str">
        <f aca="false">IF($B39=3,"PFI","")</f>
        <v/>
      </c>
      <c r="BN39" s="1" t="str">
        <f aca="false">IF($B39=3,"PFI","")</f>
        <v/>
      </c>
      <c r="BO39" s="1" t="str">
        <f aca="false">IF($B39=3,"PFI","")</f>
        <v/>
      </c>
    </row>
    <row r="40" customFormat="false" ht="12.75" hidden="false" customHeight="false" outlineLevel="0" collapsed="false">
      <c r="A40" s="1" t="n">
        <f aca="false">A39-1</f>
        <v>1987</v>
      </c>
      <c r="B40" s="1" t="s">
        <v>323</v>
      </c>
      <c r="C40" s="1" t="s">
        <v>323</v>
      </c>
      <c r="D40" s="1" t="s">
        <v>323</v>
      </c>
      <c r="E40" s="1" t="s">
        <v>323</v>
      </c>
      <c r="F40" s="1" t="str">
        <f aca="false">IF($B40=3,"PFI","")</f>
        <v/>
      </c>
      <c r="G40" s="1" t="str">
        <f aca="false">IF($B40=3,"PFI","")</f>
        <v/>
      </c>
      <c r="H40" s="1" t="str">
        <f aca="false">IF($B40=3,"PFI","")</f>
        <v/>
      </c>
      <c r="I40" s="1" t="str">
        <f aca="false">IF($B40=3,"PFI","")</f>
        <v/>
      </c>
      <c r="J40" s="1" t="str">
        <f aca="false">IF($B40=3,"PFI","")</f>
        <v/>
      </c>
      <c r="K40" s="1" t="str">
        <f aca="false">IF($B40=3,"PFI","")</f>
        <v/>
      </c>
      <c r="L40" s="1" t="str">
        <f aca="false">IF($B40=3,"DPF","")</f>
        <v/>
      </c>
      <c r="M40" s="1" t="str">
        <f aca="false">IF($B40=3,"DPF","")</f>
        <v/>
      </c>
      <c r="N40" s="1" t="str">
        <f aca="false">IF($B40=3,"DPF","")</f>
        <v/>
      </c>
      <c r="O40" s="1" t="str">
        <f aca="false">IF($B40=3,"PFI","")</f>
        <v/>
      </c>
      <c r="P40" s="1" t="str">
        <f aca="false">IF($B40=3,"PFI","")</f>
        <v/>
      </c>
      <c r="Q40" s="75"/>
      <c r="R40" s="1" t="str">
        <f aca="false">IF($B40=3,"PFI","")</f>
        <v/>
      </c>
      <c r="S40" s="1" t="str">
        <f aca="false">IF($B40=3,"PFI","")</f>
        <v/>
      </c>
      <c r="T40" s="1" t="str">
        <f aca="false">IF($B40=3,"PFI","")</f>
        <v/>
      </c>
      <c r="U40" s="1" t="str">
        <f aca="false">IF($B40=3,"DPF","")</f>
        <v/>
      </c>
      <c r="V40" s="1" t="str">
        <f aca="false">IF($B40=3,"DPF","")</f>
        <v/>
      </c>
      <c r="W40" s="1" t="str">
        <f aca="false">IF($B40=3,"DPF","")</f>
        <v/>
      </c>
      <c r="X40" s="1" t="str">
        <f aca="false">IF($B40=3,"DPF","")</f>
        <v/>
      </c>
      <c r="Y40" s="1" t="str">
        <f aca="false">IF($B40=3,"DPF","")</f>
        <v/>
      </c>
      <c r="Z40" s="1" t="str">
        <f aca="false">IF($B40=3,"DPF","")</f>
        <v/>
      </c>
      <c r="AA40" s="1" t="str">
        <f aca="false">IF($B40=3,"DPF","")</f>
        <v/>
      </c>
      <c r="AB40" s="1" t="str">
        <f aca="false">IF($B40=3,"DPF","")</f>
        <v/>
      </c>
      <c r="AC40" s="1" t="str">
        <f aca="false">IF($B40=3,"DPF","")</f>
        <v/>
      </c>
      <c r="AD40" s="1" t="str">
        <f aca="false">IF($B40=3,"DPF","")</f>
        <v/>
      </c>
      <c r="AE40" s="1" t="str">
        <f aca="false">IF($B40=3,"DPF","")</f>
        <v/>
      </c>
      <c r="AF40" s="1" t="str">
        <f aca="false">IF($B40=3,"DPF","")</f>
        <v/>
      </c>
      <c r="AG40" s="1" t="str">
        <f aca="false">IF($B40=3,"DPF","")</f>
        <v/>
      </c>
      <c r="AH40" s="1" t="str">
        <f aca="false">IF($B40=3,"DPF","")</f>
        <v/>
      </c>
      <c r="AI40" s="1" t="str">
        <f aca="false">IF($B40=3,"PFI","")</f>
        <v/>
      </c>
      <c r="AJ40" s="1" t="str">
        <f aca="false">IF($B40=3,"PFI","")</f>
        <v/>
      </c>
      <c r="AK40" s="1" t="str">
        <f aca="false">IF($B40=3,"PFI","")</f>
        <v/>
      </c>
      <c r="AL40" s="1" t="str">
        <f aca="false">IF($B40=3,"PFI","")</f>
        <v/>
      </c>
      <c r="AM40" s="1" t="str">
        <f aca="false">IF($B40=3,"PFI","")</f>
        <v/>
      </c>
      <c r="AN40" s="1" t="str">
        <f aca="false">IF($B40=3,"PFI","")</f>
        <v/>
      </c>
      <c r="AO40" s="1" t="str">
        <f aca="false">IF($B40=3,"PFI","")</f>
        <v/>
      </c>
      <c r="AP40" s="1" t="str">
        <f aca="false">IF($B40=3,"PFI","")</f>
        <v/>
      </c>
      <c r="AQ40" s="1" t="str">
        <f aca="false">IF($B40=3,"PFI","")</f>
        <v/>
      </c>
      <c r="AR40" s="1" t="str">
        <f aca="false">IF($B40=3,"DPF","")</f>
        <v/>
      </c>
      <c r="AS40" s="1" t="str">
        <f aca="false">IF($B40=3,"DPF","")</f>
        <v/>
      </c>
      <c r="AT40" s="1" t="str">
        <f aca="false">IF($B40=3,"DPF","")</f>
        <v/>
      </c>
      <c r="AU40" s="1" t="str">
        <f aca="false">IF($B40=3,"DPF","")</f>
        <v/>
      </c>
      <c r="AV40" s="1" t="str">
        <f aca="false">IF($B40=3,"DPF","")</f>
        <v/>
      </c>
      <c r="AW40" s="1" t="str">
        <f aca="false">IF($B40=3,"DPF","")</f>
        <v/>
      </c>
      <c r="AX40" s="75"/>
      <c r="AY40" s="1" t="str">
        <f aca="false">IF($B40=3,"DPF","")</f>
        <v/>
      </c>
      <c r="AZ40" s="1" t="str">
        <f aca="false">IF($B40=3,"DPF","")</f>
        <v/>
      </c>
      <c r="BA40" s="1" t="str">
        <f aca="false">IF($B40=3,"DPF","")</f>
        <v/>
      </c>
      <c r="BB40" s="1" t="str">
        <f aca="false">IF($B40=3,"PFI","")</f>
        <v/>
      </c>
      <c r="BC40" s="1" t="str">
        <f aca="false">IF($B40=3,"PFI","")</f>
        <v/>
      </c>
      <c r="BD40" s="1" t="str">
        <f aca="false">IF($B40=3,"PFI","")</f>
        <v/>
      </c>
      <c r="BE40" s="1" t="str">
        <f aca="false">IF($B40=3,"DPF","")</f>
        <v/>
      </c>
      <c r="BF40" s="1" t="str">
        <f aca="false">IF($B40=3,"DPF","")</f>
        <v/>
      </c>
      <c r="BG40" s="1" t="str">
        <f aca="false">IF($B40=3,"PFI","")</f>
        <v/>
      </c>
      <c r="BH40" s="1" t="str">
        <f aca="false">IF($B40=3,"PFI","")</f>
        <v/>
      </c>
      <c r="BI40" s="1" t="str">
        <f aca="false">IF($B40=3,"DPF","")</f>
        <v/>
      </c>
      <c r="BJ40" s="75"/>
      <c r="BK40" s="1" t="str">
        <f aca="false">IF($B40=3,"PFI","")</f>
        <v/>
      </c>
      <c r="BL40" s="1" t="str">
        <f aca="false">IF($B40=3,"PFI","")</f>
        <v/>
      </c>
      <c r="BM40" s="1" t="str">
        <f aca="false">IF($B40=3,"PFI","")</f>
        <v/>
      </c>
      <c r="BN40" s="1" t="str">
        <f aca="false">IF($B40=3,"PFI","")</f>
        <v/>
      </c>
      <c r="BO40" s="1" t="str">
        <f aca="false">IF($B40=3,"PFI","")</f>
        <v/>
      </c>
    </row>
    <row r="41" customFormat="false" ht="12.75" hidden="false" customHeight="false" outlineLevel="0" collapsed="false">
      <c r="A41" s="1" t="n">
        <f aca="false">A40-1</f>
        <v>1986</v>
      </c>
      <c r="B41" s="1" t="s">
        <v>323</v>
      </c>
      <c r="C41" s="1" t="s">
        <v>323</v>
      </c>
      <c r="D41" s="1" t="s">
        <v>323</v>
      </c>
      <c r="E41" s="1" t="s">
        <v>323</v>
      </c>
      <c r="F41" s="1" t="str">
        <f aca="false">IF($B41=3,"PFI","")</f>
        <v/>
      </c>
      <c r="G41" s="1" t="str">
        <f aca="false">IF($B41=3,"PFI","")</f>
        <v/>
      </c>
      <c r="H41" s="1" t="str">
        <f aca="false">IF($B41=3,"PFI","")</f>
        <v/>
      </c>
      <c r="I41" s="1" t="str">
        <f aca="false">IF($B41=3,"PFI","")</f>
        <v/>
      </c>
      <c r="J41" s="1" t="str">
        <f aca="false">IF($B41=3,"PFI","")</f>
        <v/>
      </c>
      <c r="K41" s="1" t="str">
        <f aca="false">IF($B41=3,"PFI","")</f>
        <v/>
      </c>
      <c r="L41" s="1" t="str">
        <f aca="false">IF($B41=3,"DPF","")</f>
        <v/>
      </c>
      <c r="M41" s="1" t="str">
        <f aca="false">IF($B41=3,"DPF","")</f>
        <v/>
      </c>
      <c r="N41" s="1" t="str">
        <f aca="false">IF($B41=3,"DPF","")</f>
        <v/>
      </c>
      <c r="O41" s="1" t="str">
        <f aca="false">IF($B41=3,"PFI","")</f>
        <v/>
      </c>
      <c r="P41" s="1" t="str">
        <f aca="false">IF($B41=3,"PFI","")</f>
        <v/>
      </c>
      <c r="Q41" s="75"/>
      <c r="R41" s="1" t="str">
        <f aca="false">IF($B41=3,"PFI","")</f>
        <v/>
      </c>
      <c r="S41" s="1" t="str">
        <f aca="false">IF($B41=3,"PFI","")</f>
        <v/>
      </c>
      <c r="T41" s="1" t="str">
        <f aca="false">IF($B41=3,"PFI","")</f>
        <v/>
      </c>
      <c r="U41" s="1" t="str">
        <f aca="false">IF($B41=3,"DPF","")</f>
        <v/>
      </c>
      <c r="V41" s="1" t="str">
        <f aca="false">IF($B41=3,"DPF","")</f>
        <v/>
      </c>
      <c r="W41" s="1" t="str">
        <f aca="false">IF($B41=3,"DPF","")</f>
        <v/>
      </c>
      <c r="X41" s="1" t="str">
        <f aca="false">IF($B41=3,"DPF","")</f>
        <v/>
      </c>
      <c r="Y41" s="1" t="str">
        <f aca="false">IF($B41=3,"DPF","")</f>
        <v/>
      </c>
      <c r="Z41" s="1" t="str">
        <f aca="false">IF($B41=3,"DPF","")</f>
        <v/>
      </c>
      <c r="AA41" s="1" t="str">
        <f aca="false">IF($B41=3,"DPF","")</f>
        <v/>
      </c>
      <c r="AB41" s="1" t="str">
        <f aca="false">IF($B41=3,"DPF","")</f>
        <v/>
      </c>
      <c r="AC41" s="1" t="str">
        <f aca="false">IF($B41=3,"DPF","")</f>
        <v/>
      </c>
      <c r="AD41" s="1" t="str">
        <f aca="false">IF($B41=3,"DPF","")</f>
        <v/>
      </c>
      <c r="AE41" s="1" t="str">
        <f aca="false">IF($B41=3,"DPF","")</f>
        <v/>
      </c>
      <c r="AF41" s="1" t="str">
        <f aca="false">IF($B41=3,"DPF","")</f>
        <v/>
      </c>
      <c r="AG41" s="1" t="str">
        <f aca="false">IF($B41=3,"DPF","")</f>
        <v/>
      </c>
      <c r="AH41" s="1" t="str">
        <f aca="false">IF($B41=3,"DPF","")</f>
        <v/>
      </c>
      <c r="AI41" s="1" t="str">
        <f aca="false">IF($B41=3,"PFI","")</f>
        <v/>
      </c>
      <c r="AJ41" s="1" t="str">
        <f aca="false">IF($B41=3,"PFI","")</f>
        <v/>
      </c>
      <c r="AK41" s="1" t="str">
        <f aca="false">IF($B41=3,"PFI","")</f>
        <v/>
      </c>
      <c r="AL41" s="1" t="str">
        <f aca="false">IF($B41=3,"PFI","")</f>
        <v/>
      </c>
      <c r="AM41" s="1" t="str">
        <f aca="false">IF($B41=3,"PFI","")</f>
        <v/>
      </c>
      <c r="AN41" s="1" t="str">
        <f aca="false">IF($B41=3,"PFI","")</f>
        <v/>
      </c>
      <c r="AO41" s="1" t="str">
        <f aca="false">IF($B41=3,"PFI","")</f>
        <v/>
      </c>
      <c r="AP41" s="1" t="str">
        <f aca="false">IF($B41=3,"PFI","")</f>
        <v/>
      </c>
      <c r="AQ41" s="1" t="str">
        <f aca="false">IF($B41=3,"PFI","")</f>
        <v/>
      </c>
      <c r="AR41" s="1" t="str">
        <f aca="false">IF($B41=3,"DPF","")</f>
        <v/>
      </c>
      <c r="AS41" s="1" t="str">
        <f aca="false">IF($B41=3,"DPF","")</f>
        <v/>
      </c>
      <c r="AT41" s="1" t="str">
        <f aca="false">IF($B41=3,"DPF","")</f>
        <v/>
      </c>
      <c r="AU41" s="1" t="str">
        <f aca="false">IF($B41=3,"DPF","")</f>
        <v/>
      </c>
      <c r="AV41" s="1" t="str">
        <f aca="false">IF($B41=3,"DPF","")</f>
        <v/>
      </c>
      <c r="AW41" s="1" t="str">
        <f aca="false">IF($B41=3,"DPF","")</f>
        <v/>
      </c>
      <c r="AX41" s="75"/>
      <c r="AY41" s="1" t="str">
        <f aca="false">IF($B41=3,"DPF","")</f>
        <v/>
      </c>
      <c r="AZ41" s="1" t="str">
        <f aca="false">IF($B41=3,"DPF","")</f>
        <v/>
      </c>
      <c r="BA41" s="1" t="str">
        <f aca="false">IF($B41=3,"DPF","")</f>
        <v/>
      </c>
      <c r="BB41" s="1" t="str">
        <f aca="false">IF($B41=3,"PFI","")</f>
        <v/>
      </c>
      <c r="BC41" s="1" t="str">
        <f aca="false">IF($B41=3,"PFI","")</f>
        <v/>
      </c>
      <c r="BD41" s="1" t="str">
        <f aca="false">IF($B41=3,"PFI","")</f>
        <v/>
      </c>
      <c r="BE41" s="1" t="str">
        <f aca="false">IF($B41=3,"DPF","")</f>
        <v/>
      </c>
      <c r="BF41" s="1" t="str">
        <f aca="false">IF($B41=3,"DPF","")</f>
        <v/>
      </c>
      <c r="BG41" s="1" t="str">
        <f aca="false">IF($B41=3,"PFI","")</f>
        <v/>
      </c>
      <c r="BH41" s="1" t="str">
        <f aca="false">IF($B41=3,"PFI","")</f>
        <v/>
      </c>
      <c r="BI41" s="1" t="str">
        <f aca="false">IF($B41=3,"DPF","")</f>
        <v/>
      </c>
      <c r="BJ41" s="75"/>
      <c r="BK41" s="1" t="str">
        <f aca="false">IF($B41=3,"PFI","")</f>
        <v/>
      </c>
      <c r="BL41" s="1" t="str">
        <f aca="false">IF($B41=3,"PFI","")</f>
        <v/>
      </c>
      <c r="BM41" s="1" t="str">
        <f aca="false">IF($B41=3,"PFI","")</f>
        <v/>
      </c>
      <c r="BN41" s="1" t="str">
        <f aca="false">IF($B41=3,"PFI","")</f>
        <v/>
      </c>
      <c r="BO41" s="1" t="str">
        <f aca="false">IF($B41=3,"PFI","")</f>
        <v/>
      </c>
    </row>
    <row r="42" customFormat="false" ht="12.75" hidden="false" customHeight="false" outlineLevel="0" collapsed="false">
      <c r="A42" s="1" t="n">
        <f aca="false">A41-1</f>
        <v>1985</v>
      </c>
      <c r="B42" s="1" t="s">
        <v>323</v>
      </c>
      <c r="C42" s="1" t="s">
        <v>323</v>
      </c>
      <c r="D42" s="1" t="s">
        <v>323</v>
      </c>
      <c r="E42" s="1" t="s">
        <v>323</v>
      </c>
      <c r="F42" s="1" t="str">
        <f aca="false">IF($B42=3,"PFI","")</f>
        <v/>
      </c>
      <c r="G42" s="1" t="str">
        <f aca="false">IF($B42=3,"PFI","")</f>
        <v/>
      </c>
      <c r="H42" s="1" t="str">
        <f aca="false">IF($B42=3,"PFI","")</f>
        <v/>
      </c>
      <c r="I42" s="1" t="str">
        <f aca="false">IF($B42=3,"PFI","")</f>
        <v/>
      </c>
      <c r="J42" s="1" t="str">
        <f aca="false">IF($B42=3,"PFI","")</f>
        <v/>
      </c>
      <c r="K42" s="1" t="str">
        <f aca="false">IF($B42=3,"PFI","")</f>
        <v/>
      </c>
      <c r="L42" s="1" t="str">
        <f aca="false">IF($B42=3,"DPF","")</f>
        <v/>
      </c>
      <c r="M42" s="1" t="str">
        <f aca="false">IF($B42=3,"DPF","")</f>
        <v/>
      </c>
      <c r="N42" s="1" t="str">
        <f aca="false">IF($B42=3,"DPF","")</f>
        <v/>
      </c>
      <c r="O42" s="1" t="str">
        <f aca="false">IF($B42=3,"PFI","")</f>
        <v/>
      </c>
      <c r="P42" s="1" t="str">
        <f aca="false">IF($B42=3,"PFI","")</f>
        <v/>
      </c>
      <c r="Q42" s="75"/>
      <c r="R42" s="1" t="str">
        <f aca="false">IF($B42=3,"PFI","")</f>
        <v/>
      </c>
      <c r="S42" s="1" t="str">
        <f aca="false">IF($B42=3,"PFI","")</f>
        <v/>
      </c>
      <c r="T42" s="1" t="str">
        <f aca="false">IF($B42=3,"PFI","")</f>
        <v/>
      </c>
      <c r="U42" s="1" t="str">
        <f aca="false">IF($B42=3,"DPF","")</f>
        <v/>
      </c>
      <c r="V42" s="1" t="str">
        <f aca="false">IF($B42=3,"DPF","")</f>
        <v/>
      </c>
      <c r="W42" s="1" t="str">
        <f aca="false">IF($B42=3,"DPF","")</f>
        <v/>
      </c>
      <c r="X42" s="1" t="str">
        <f aca="false">IF($B42=3,"DPF","")</f>
        <v/>
      </c>
      <c r="Y42" s="1" t="str">
        <f aca="false">IF($B42=3,"DPF","")</f>
        <v/>
      </c>
      <c r="Z42" s="1" t="str">
        <f aca="false">IF($B42=3,"DPF","")</f>
        <v/>
      </c>
      <c r="AA42" s="1" t="str">
        <f aca="false">IF($B42=3,"DPF","")</f>
        <v/>
      </c>
      <c r="AB42" s="1" t="str">
        <f aca="false">IF($B42=3,"DPF","")</f>
        <v/>
      </c>
      <c r="AC42" s="1" t="str">
        <f aca="false">IF($B42=3,"DPF","")</f>
        <v/>
      </c>
      <c r="AD42" s="1" t="str">
        <f aca="false">IF($B42=3,"DPF","")</f>
        <v/>
      </c>
      <c r="AE42" s="1" t="str">
        <f aca="false">IF($B42=3,"DPF","")</f>
        <v/>
      </c>
      <c r="AF42" s="1" t="str">
        <f aca="false">IF($B42=3,"DPF","")</f>
        <v/>
      </c>
      <c r="AG42" s="1" t="str">
        <f aca="false">IF($B42=3,"DPF","")</f>
        <v/>
      </c>
      <c r="AH42" s="1" t="str">
        <f aca="false">IF($B42=3,"DPF","")</f>
        <v/>
      </c>
      <c r="AI42" s="1" t="str">
        <f aca="false">IF($B42=3,"PFI","")</f>
        <v/>
      </c>
      <c r="AJ42" s="1" t="str">
        <f aca="false">IF($B42=3,"PFI","")</f>
        <v/>
      </c>
      <c r="AK42" s="1" t="str">
        <f aca="false">IF($B42=3,"PFI","")</f>
        <v/>
      </c>
      <c r="AL42" s="1" t="str">
        <f aca="false">IF($B42=3,"PFI","")</f>
        <v/>
      </c>
      <c r="AM42" s="1" t="str">
        <f aca="false">IF($B42=3,"PFI","")</f>
        <v/>
      </c>
      <c r="AN42" s="1" t="str">
        <f aca="false">IF($B42=3,"PFI","")</f>
        <v/>
      </c>
      <c r="AO42" s="1" t="str">
        <f aca="false">IF($B42=3,"PFI","")</f>
        <v/>
      </c>
      <c r="AP42" s="1" t="str">
        <f aca="false">IF($B42=3,"PFI","")</f>
        <v/>
      </c>
      <c r="AQ42" s="1" t="str">
        <f aca="false">IF($B42=3,"PFI","")</f>
        <v/>
      </c>
      <c r="AR42" s="1" t="str">
        <f aca="false">IF($B42=3,"DPF","")</f>
        <v/>
      </c>
      <c r="AS42" s="1" t="str">
        <f aca="false">IF($B42=3,"DPF","")</f>
        <v/>
      </c>
      <c r="AT42" s="1" t="str">
        <f aca="false">IF($B42=3,"DPF","")</f>
        <v/>
      </c>
      <c r="AU42" s="1" t="str">
        <f aca="false">IF($B42=3,"DPF","")</f>
        <v/>
      </c>
      <c r="AV42" s="1" t="str">
        <f aca="false">IF($B42=3,"DPF","")</f>
        <v/>
      </c>
      <c r="AW42" s="1" t="str">
        <f aca="false">IF($B42=3,"DPF","")</f>
        <v/>
      </c>
      <c r="AX42" s="75"/>
      <c r="AY42" s="1" t="str">
        <f aca="false">IF($B42=3,"DPF","")</f>
        <v/>
      </c>
      <c r="AZ42" s="1" t="str">
        <f aca="false">IF($B42=3,"DPF","")</f>
        <v/>
      </c>
      <c r="BA42" s="1" t="str">
        <f aca="false">IF($B42=3,"DPF","")</f>
        <v/>
      </c>
      <c r="BB42" s="1" t="str">
        <f aca="false">IF($B42=3,"PFI","")</f>
        <v/>
      </c>
      <c r="BC42" s="1" t="str">
        <f aca="false">IF($B42=3,"PFI","")</f>
        <v/>
      </c>
      <c r="BD42" s="1" t="str">
        <f aca="false">IF($B42=3,"PFI","")</f>
        <v/>
      </c>
      <c r="BE42" s="1" t="str">
        <f aca="false">IF($B42=3,"DPF","")</f>
        <v/>
      </c>
      <c r="BF42" s="1" t="str">
        <f aca="false">IF($B42=3,"DPF","")</f>
        <v/>
      </c>
      <c r="BG42" s="1" t="str">
        <f aca="false">IF($B42=3,"PFI","")</f>
        <v/>
      </c>
      <c r="BH42" s="1" t="str">
        <f aca="false">IF($B42=3,"PFI","")</f>
        <v/>
      </c>
      <c r="BI42" s="1" t="str">
        <f aca="false">IF($B42=3,"DPF","")</f>
        <v/>
      </c>
      <c r="BJ42" s="75"/>
      <c r="BK42" s="1" t="str">
        <f aca="false">IF($B42=3,"PFI","")</f>
        <v/>
      </c>
      <c r="BL42" s="1" t="str">
        <f aca="false">IF($B42=3,"PFI","")</f>
        <v/>
      </c>
      <c r="BM42" s="1" t="str">
        <f aca="false">IF($B42=3,"PFI","")</f>
        <v/>
      </c>
      <c r="BN42" s="1" t="str">
        <f aca="false">IF($B42=3,"PFI","")</f>
        <v/>
      </c>
      <c r="BO42" s="1" t="str">
        <f aca="false">IF($B42=3,"PFI","")</f>
        <v/>
      </c>
    </row>
    <row r="43" customFormat="false" ht="12.75" hidden="false" customHeight="false" outlineLevel="0" collapsed="false">
      <c r="A43" s="1" t="n">
        <f aca="false">A42-1</f>
        <v>1984</v>
      </c>
      <c r="B43" s="1" t="s">
        <v>323</v>
      </c>
      <c r="C43" s="1" t="s">
        <v>323</v>
      </c>
      <c r="D43" s="1" t="s">
        <v>323</v>
      </c>
      <c r="E43" s="1" t="s">
        <v>323</v>
      </c>
      <c r="F43" s="1" t="str">
        <f aca="false">IF($B43=3,"PFI","")</f>
        <v/>
      </c>
      <c r="G43" s="1" t="str">
        <f aca="false">IF($B43=3,"PFI","")</f>
        <v/>
      </c>
      <c r="H43" s="1" t="str">
        <f aca="false">IF($B43=3,"PFI","")</f>
        <v/>
      </c>
      <c r="I43" s="1" t="str">
        <f aca="false">IF($B43=3,"PFI","")</f>
        <v/>
      </c>
      <c r="J43" s="1" t="str">
        <f aca="false">IF($B43=3,"PFI","")</f>
        <v/>
      </c>
      <c r="K43" s="1" t="str">
        <f aca="false">IF($B43=3,"PFI","")</f>
        <v/>
      </c>
      <c r="L43" s="1" t="str">
        <f aca="false">IF($B43=3,"DPF","")</f>
        <v/>
      </c>
      <c r="M43" s="1" t="str">
        <f aca="false">IF($B43=3,"DPF","")</f>
        <v/>
      </c>
      <c r="N43" s="1" t="str">
        <f aca="false">IF($B43=3,"DPF","")</f>
        <v/>
      </c>
      <c r="O43" s="1" t="str">
        <f aca="false">IF($B43=3,"PFI","")</f>
        <v/>
      </c>
      <c r="P43" s="1" t="str">
        <f aca="false">IF($B43=3,"PFI","")</f>
        <v/>
      </c>
      <c r="Q43" s="75"/>
      <c r="R43" s="1" t="str">
        <f aca="false">IF($B43=3,"PFI","")</f>
        <v/>
      </c>
      <c r="S43" s="1" t="str">
        <f aca="false">IF($B43=3,"PFI","")</f>
        <v/>
      </c>
      <c r="T43" s="1" t="str">
        <f aca="false">IF($B43=3,"PFI","")</f>
        <v/>
      </c>
      <c r="U43" s="1" t="str">
        <f aca="false">IF($B43=3,"DPF","")</f>
        <v/>
      </c>
      <c r="V43" s="1" t="str">
        <f aca="false">IF($B43=3,"DPF","")</f>
        <v/>
      </c>
      <c r="W43" s="1" t="str">
        <f aca="false">IF($B43=3,"DPF","")</f>
        <v/>
      </c>
      <c r="X43" s="1" t="str">
        <f aca="false">IF($B43=3,"DPF","")</f>
        <v/>
      </c>
      <c r="Y43" s="1" t="str">
        <f aca="false">IF($B43=3,"DPF","")</f>
        <v/>
      </c>
      <c r="Z43" s="1" t="str">
        <f aca="false">IF($B43=3,"DPF","")</f>
        <v/>
      </c>
      <c r="AA43" s="1" t="str">
        <f aca="false">IF($B43=3,"DPF","")</f>
        <v/>
      </c>
      <c r="AB43" s="1" t="str">
        <f aca="false">IF($B43=3,"DPF","")</f>
        <v/>
      </c>
      <c r="AC43" s="1" t="str">
        <f aca="false">IF($B43=3,"DPF","")</f>
        <v/>
      </c>
      <c r="AD43" s="1" t="str">
        <f aca="false">IF($B43=3,"DPF","")</f>
        <v/>
      </c>
      <c r="AE43" s="1" t="str">
        <f aca="false">IF($B43=3,"DPF","")</f>
        <v/>
      </c>
      <c r="AF43" s="1" t="str">
        <f aca="false">IF($B43=3,"DPF","")</f>
        <v/>
      </c>
      <c r="AG43" s="1" t="str">
        <f aca="false">IF($B43=3,"DPF","")</f>
        <v/>
      </c>
      <c r="AH43" s="1" t="str">
        <f aca="false">IF($B43=3,"DPF","")</f>
        <v/>
      </c>
      <c r="AI43" s="1" t="str">
        <f aca="false">IF($B43=3,"PFI","")</f>
        <v/>
      </c>
      <c r="AJ43" s="1" t="str">
        <f aca="false">IF($B43=3,"PFI","")</f>
        <v/>
      </c>
      <c r="AK43" s="1" t="str">
        <f aca="false">IF($B43=3,"PFI","")</f>
        <v/>
      </c>
      <c r="AL43" s="1" t="str">
        <f aca="false">IF($B43=3,"PFI","")</f>
        <v/>
      </c>
      <c r="AM43" s="1" t="str">
        <f aca="false">IF($B43=3,"PFI","")</f>
        <v/>
      </c>
      <c r="AN43" s="1" t="str">
        <f aca="false">IF($B43=3,"PFI","")</f>
        <v/>
      </c>
      <c r="AO43" s="1" t="str">
        <f aca="false">IF($B43=3,"PFI","")</f>
        <v/>
      </c>
      <c r="AP43" s="1" t="str">
        <f aca="false">IF($B43=3,"PFI","")</f>
        <v/>
      </c>
      <c r="AQ43" s="1" t="str">
        <f aca="false">IF($B43=3,"PFI","")</f>
        <v/>
      </c>
      <c r="AR43" s="1" t="str">
        <f aca="false">IF($B43=3,"DPF","")</f>
        <v/>
      </c>
      <c r="AS43" s="1" t="str">
        <f aca="false">IF($B43=3,"DPF","")</f>
        <v/>
      </c>
      <c r="AT43" s="1" t="str">
        <f aca="false">IF($B43=3,"DPF","")</f>
        <v/>
      </c>
      <c r="AU43" s="1" t="str">
        <f aca="false">IF($B43=3,"DPF","")</f>
        <v/>
      </c>
      <c r="AV43" s="1" t="str">
        <f aca="false">IF($B43=3,"DPF","")</f>
        <v/>
      </c>
      <c r="AW43" s="1" t="str">
        <f aca="false">IF($B43=3,"DPF","")</f>
        <v/>
      </c>
      <c r="AX43" s="75"/>
      <c r="AY43" s="1" t="str">
        <f aca="false">IF($B43=3,"DPF","")</f>
        <v/>
      </c>
      <c r="AZ43" s="1" t="str">
        <f aca="false">IF($B43=3,"DPF","")</f>
        <v/>
      </c>
      <c r="BA43" s="1" t="str">
        <f aca="false">IF($B43=3,"DPF","")</f>
        <v/>
      </c>
      <c r="BB43" s="1" t="str">
        <f aca="false">IF($B43=3,"PFI","")</f>
        <v/>
      </c>
      <c r="BC43" s="1" t="str">
        <f aca="false">IF($B43=3,"PFI","")</f>
        <v/>
      </c>
      <c r="BD43" s="1" t="str">
        <f aca="false">IF($B43=3,"PFI","")</f>
        <v/>
      </c>
      <c r="BE43" s="1" t="str">
        <f aca="false">IF($B43=3,"DPF","")</f>
        <v/>
      </c>
      <c r="BF43" s="1" t="str">
        <f aca="false">IF($B43=3,"DPF","")</f>
        <v/>
      </c>
      <c r="BG43" s="1" t="str">
        <f aca="false">IF($B43=3,"PFI","")</f>
        <v/>
      </c>
      <c r="BH43" s="1" t="str">
        <f aca="false">IF($B43=3,"PFI","")</f>
        <v/>
      </c>
      <c r="BI43" s="1" t="str">
        <f aca="false">IF($B43=3,"DPF","")</f>
        <v/>
      </c>
      <c r="BJ43" s="75"/>
      <c r="BK43" s="1" t="str">
        <f aca="false">IF($B43=3,"PFI","")</f>
        <v/>
      </c>
      <c r="BL43" s="1" t="str">
        <f aca="false">IF($B43=3,"PFI","")</f>
        <v/>
      </c>
      <c r="BM43" s="1" t="str">
        <f aca="false">IF($B43=3,"PFI","")</f>
        <v/>
      </c>
      <c r="BN43" s="1" t="str">
        <f aca="false">IF($B43=3,"PFI","")</f>
        <v/>
      </c>
      <c r="BO43" s="1" t="str">
        <f aca="false">IF($B43=3,"PFI","")</f>
        <v/>
      </c>
    </row>
    <row r="44" customFormat="false" ht="12.75" hidden="false" customHeight="false" outlineLevel="0" collapsed="false">
      <c r="A44" s="1" t="n">
        <f aca="false">A43-1</f>
        <v>1983</v>
      </c>
      <c r="B44" s="1" t="s">
        <v>323</v>
      </c>
      <c r="C44" s="1" t="s">
        <v>323</v>
      </c>
      <c r="D44" s="1" t="s">
        <v>323</v>
      </c>
      <c r="E44" s="1" t="s">
        <v>323</v>
      </c>
      <c r="F44" s="1" t="str">
        <f aca="false">IF($B44=3,"PFI","")</f>
        <v/>
      </c>
      <c r="G44" s="1" t="str">
        <f aca="false">IF($B44=3,"PFI","")</f>
        <v/>
      </c>
      <c r="H44" s="1" t="str">
        <f aca="false">IF($B44=3,"PFI","")</f>
        <v/>
      </c>
      <c r="I44" s="1" t="str">
        <f aca="false">IF($B44=3,"PFI","")</f>
        <v/>
      </c>
      <c r="J44" s="1" t="str">
        <f aca="false">IF($B44=3,"PFI","")</f>
        <v/>
      </c>
      <c r="K44" s="1" t="str">
        <f aca="false">IF($B44=3,"PFI","")</f>
        <v/>
      </c>
      <c r="L44" s="1" t="str">
        <f aca="false">IF($B44=3,"DPF","")</f>
        <v/>
      </c>
      <c r="M44" s="1" t="str">
        <f aca="false">IF($B44=3,"DPF","")</f>
        <v/>
      </c>
      <c r="N44" s="1" t="str">
        <f aca="false">IF($B44=3,"DPF","")</f>
        <v/>
      </c>
      <c r="O44" s="1" t="str">
        <f aca="false">IF($B44=3,"PFI","")</f>
        <v/>
      </c>
      <c r="P44" s="1" t="str">
        <f aca="false">IF($B44=3,"PFI","")</f>
        <v/>
      </c>
      <c r="Q44" s="75"/>
      <c r="R44" s="1" t="str">
        <f aca="false">IF($B44=3,"PFI","")</f>
        <v/>
      </c>
      <c r="S44" s="1" t="str">
        <f aca="false">IF($B44=3,"PFI","")</f>
        <v/>
      </c>
      <c r="T44" s="1" t="str">
        <f aca="false">IF($B44=3,"PFI","")</f>
        <v/>
      </c>
      <c r="U44" s="1" t="str">
        <f aca="false">IF($B44=3,"DPF","")</f>
        <v/>
      </c>
      <c r="V44" s="1" t="str">
        <f aca="false">IF($B44=3,"DPF","")</f>
        <v/>
      </c>
      <c r="W44" s="1" t="str">
        <f aca="false">IF($B44=3,"DPF","")</f>
        <v/>
      </c>
      <c r="X44" s="1" t="str">
        <f aca="false">IF($B44=3,"DPF","")</f>
        <v/>
      </c>
      <c r="Y44" s="1" t="str">
        <f aca="false">IF($B44=3,"DPF","")</f>
        <v/>
      </c>
      <c r="Z44" s="1" t="str">
        <f aca="false">IF($B44=3,"DPF","")</f>
        <v/>
      </c>
      <c r="AA44" s="1" t="str">
        <f aca="false">IF($B44=3,"DPF","")</f>
        <v/>
      </c>
      <c r="AB44" s="1" t="str">
        <f aca="false">IF($B44=3,"DPF","")</f>
        <v/>
      </c>
      <c r="AC44" s="1" t="str">
        <f aca="false">IF($B44=3,"DPF","")</f>
        <v/>
      </c>
      <c r="AD44" s="1" t="str">
        <f aca="false">IF($B44=3,"DPF","")</f>
        <v/>
      </c>
      <c r="AE44" s="1" t="str">
        <f aca="false">IF($B44=3,"DPF","")</f>
        <v/>
      </c>
      <c r="AF44" s="1" t="str">
        <f aca="false">IF($B44=3,"DPF","")</f>
        <v/>
      </c>
      <c r="AG44" s="1" t="str">
        <f aca="false">IF($B44=3,"DPF","")</f>
        <v/>
      </c>
      <c r="AH44" s="1" t="str">
        <f aca="false">IF($B44=3,"DPF","")</f>
        <v/>
      </c>
      <c r="AI44" s="1" t="str">
        <f aca="false">IF($B44=3,"PFI","")</f>
        <v/>
      </c>
      <c r="AJ44" s="1" t="str">
        <f aca="false">IF($B44=3,"PFI","")</f>
        <v/>
      </c>
      <c r="AK44" s="1" t="str">
        <f aca="false">IF($B44=3,"PFI","")</f>
        <v/>
      </c>
      <c r="AL44" s="1" t="str">
        <f aca="false">IF($B44=3,"PFI","")</f>
        <v/>
      </c>
      <c r="AM44" s="1" t="str">
        <f aca="false">IF($B44=3,"PFI","")</f>
        <v/>
      </c>
      <c r="AN44" s="1" t="str">
        <f aca="false">IF($B44=3,"PFI","")</f>
        <v/>
      </c>
      <c r="AO44" s="1" t="str">
        <f aca="false">IF($B44=3,"PFI","")</f>
        <v/>
      </c>
      <c r="AP44" s="1" t="str">
        <f aca="false">IF($B44=3,"PFI","")</f>
        <v/>
      </c>
      <c r="AQ44" s="1" t="str">
        <f aca="false">IF($B44=3,"PFI","")</f>
        <v/>
      </c>
      <c r="AR44" s="1" t="str">
        <f aca="false">IF($B44=3,"DPF","")</f>
        <v/>
      </c>
      <c r="AS44" s="1" t="str">
        <f aca="false">IF($B44=3,"DPF","")</f>
        <v/>
      </c>
      <c r="AT44" s="1" t="str">
        <f aca="false">IF($B44=3,"DPF","")</f>
        <v/>
      </c>
      <c r="AU44" s="1" t="str">
        <f aca="false">IF($B44=3,"DPF","")</f>
        <v/>
      </c>
      <c r="AV44" s="1" t="str">
        <f aca="false">IF($B44=3,"DPF","")</f>
        <v/>
      </c>
      <c r="AW44" s="1" t="str">
        <f aca="false">IF($B44=3,"DPF","")</f>
        <v/>
      </c>
      <c r="AX44" s="75"/>
      <c r="AY44" s="1" t="str">
        <f aca="false">IF($B44=3,"DPF","")</f>
        <v/>
      </c>
      <c r="AZ44" s="1" t="str">
        <f aca="false">IF($B44=3,"DPF","")</f>
        <v/>
      </c>
      <c r="BA44" s="1" t="str">
        <f aca="false">IF($B44=3,"DPF","")</f>
        <v/>
      </c>
      <c r="BB44" s="1" t="str">
        <f aca="false">IF($B44=3,"PFI","")</f>
        <v/>
      </c>
      <c r="BC44" s="1" t="str">
        <f aca="false">IF($B44=3,"PFI","")</f>
        <v/>
      </c>
      <c r="BD44" s="1" t="str">
        <f aca="false">IF($B44=3,"PFI","")</f>
        <v/>
      </c>
      <c r="BE44" s="1" t="str">
        <f aca="false">IF($B44=3,"DPF","")</f>
        <v/>
      </c>
      <c r="BF44" s="1" t="str">
        <f aca="false">IF($B44=3,"DPF","")</f>
        <v/>
      </c>
      <c r="BG44" s="1" t="str">
        <f aca="false">IF($B44=3,"PFI","")</f>
        <v/>
      </c>
      <c r="BH44" s="1" t="str">
        <f aca="false">IF($B44=3,"PFI","")</f>
        <v/>
      </c>
      <c r="BI44" s="1" t="str">
        <f aca="false">IF($B44=3,"DPF","")</f>
        <v/>
      </c>
      <c r="BJ44" s="75"/>
      <c r="BK44" s="1" t="str">
        <f aca="false">IF($B44=3,"PFI","")</f>
        <v/>
      </c>
      <c r="BL44" s="1" t="str">
        <f aca="false">IF($B44=3,"PFI","")</f>
        <v/>
      </c>
      <c r="BM44" s="1" t="str">
        <f aca="false">IF($B44=3,"PFI","")</f>
        <v/>
      </c>
      <c r="BN44" s="1" t="str">
        <f aca="false">IF($B44=3,"PFI","")</f>
        <v/>
      </c>
      <c r="BO44" s="1" t="str">
        <f aca="false">IF($B44=3,"PFI","")</f>
        <v/>
      </c>
    </row>
    <row r="45" customFormat="false" ht="12.75" hidden="false" customHeight="false" outlineLevel="0" collapsed="false">
      <c r="A45" s="1" t="n">
        <f aca="false">A44-1</f>
        <v>1982</v>
      </c>
      <c r="B45" s="1" t="s">
        <v>323</v>
      </c>
      <c r="C45" s="1" t="s">
        <v>323</v>
      </c>
      <c r="D45" s="1" t="s">
        <v>323</v>
      </c>
      <c r="E45" s="1" t="s">
        <v>323</v>
      </c>
      <c r="F45" s="1" t="str">
        <f aca="false">IF($B45=3,"PFI","")</f>
        <v/>
      </c>
      <c r="G45" s="1" t="str">
        <f aca="false">IF($B45=3,"PFI","")</f>
        <v/>
      </c>
      <c r="H45" s="1" t="str">
        <f aca="false">IF($B45=3,"PFI","")</f>
        <v/>
      </c>
      <c r="I45" s="1" t="str">
        <f aca="false">IF($B45=3,"PFI","")</f>
        <v/>
      </c>
      <c r="J45" s="1" t="str">
        <f aca="false">IF($B45=3,"PFI","")</f>
        <v/>
      </c>
      <c r="K45" s="1" t="str">
        <f aca="false">IF($B45=3,"PFI","")</f>
        <v/>
      </c>
      <c r="L45" s="1" t="str">
        <f aca="false">IF($B45=3,"DPF","")</f>
        <v/>
      </c>
      <c r="M45" s="1" t="str">
        <f aca="false">IF($B45=3,"DPF","")</f>
        <v/>
      </c>
      <c r="N45" s="1" t="str">
        <f aca="false">IF($B45=3,"DPF","")</f>
        <v/>
      </c>
      <c r="O45" s="1" t="str">
        <f aca="false">IF($B45=3,"PFI","")</f>
        <v/>
      </c>
      <c r="P45" s="1" t="str">
        <f aca="false">IF($B45=3,"PFI","")</f>
        <v/>
      </c>
      <c r="Q45" s="75"/>
      <c r="R45" s="1" t="str">
        <f aca="false">IF($B45=3,"PFI","")</f>
        <v/>
      </c>
      <c r="S45" s="1" t="str">
        <f aca="false">IF($B45=3,"PFI","")</f>
        <v/>
      </c>
      <c r="T45" s="1" t="str">
        <f aca="false">IF($B45=3,"PFI","")</f>
        <v/>
      </c>
      <c r="U45" s="1" t="str">
        <f aca="false">IF($B45=3,"DPF","")</f>
        <v/>
      </c>
      <c r="V45" s="1" t="str">
        <f aca="false">IF($B45=3,"DPF","")</f>
        <v/>
      </c>
      <c r="W45" s="1" t="str">
        <f aca="false">IF($B45=3,"DPF","")</f>
        <v/>
      </c>
      <c r="X45" s="1" t="str">
        <f aca="false">IF($B45=3,"DPF","")</f>
        <v/>
      </c>
      <c r="Y45" s="1" t="str">
        <f aca="false">IF($B45=3,"DPF","")</f>
        <v/>
      </c>
      <c r="Z45" s="1" t="str">
        <f aca="false">IF($B45=3,"DPF","")</f>
        <v/>
      </c>
      <c r="AA45" s="1" t="str">
        <f aca="false">IF($B45=3,"DPF","")</f>
        <v/>
      </c>
      <c r="AB45" s="1" t="str">
        <f aca="false">IF($B45=3,"DPF","")</f>
        <v/>
      </c>
      <c r="AC45" s="1" t="str">
        <f aca="false">IF($B45=3,"DPF","")</f>
        <v/>
      </c>
      <c r="AD45" s="1" t="str">
        <f aca="false">IF($B45=3,"DPF","")</f>
        <v/>
      </c>
      <c r="AE45" s="1" t="str">
        <f aca="false">IF($B45=3,"DPF","")</f>
        <v/>
      </c>
      <c r="AF45" s="1" t="str">
        <f aca="false">IF($B45=3,"DPF","")</f>
        <v/>
      </c>
      <c r="AG45" s="1" t="str">
        <f aca="false">IF($B45=3,"DPF","")</f>
        <v/>
      </c>
      <c r="AH45" s="1" t="str">
        <f aca="false">IF($B45=3,"DPF","")</f>
        <v/>
      </c>
      <c r="AI45" s="1" t="str">
        <f aca="false">IF($B45=3,"PFI","")</f>
        <v/>
      </c>
      <c r="AJ45" s="1" t="str">
        <f aca="false">IF($B45=3,"PFI","")</f>
        <v/>
      </c>
      <c r="AK45" s="1" t="str">
        <f aca="false">IF($B45=3,"PFI","")</f>
        <v/>
      </c>
      <c r="AL45" s="1" t="str">
        <f aca="false">IF($B45=3,"PFI","")</f>
        <v/>
      </c>
      <c r="AM45" s="1" t="str">
        <f aca="false">IF($B45=3,"PFI","")</f>
        <v/>
      </c>
      <c r="AN45" s="1" t="str">
        <f aca="false">IF($B45=3,"PFI","")</f>
        <v/>
      </c>
      <c r="AO45" s="1" t="str">
        <f aca="false">IF($B45=3,"PFI","")</f>
        <v/>
      </c>
      <c r="AP45" s="1" t="str">
        <f aca="false">IF($B45=3,"PFI","")</f>
        <v/>
      </c>
      <c r="AQ45" s="1" t="str">
        <f aca="false">IF($B45=3,"PFI","")</f>
        <v/>
      </c>
      <c r="AR45" s="1" t="str">
        <f aca="false">IF($B45=3,"DPF","")</f>
        <v/>
      </c>
      <c r="AS45" s="1" t="str">
        <f aca="false">IF($B45=3,"DPF","")</f>
        <v/>
      </c>
      <c r="AT45" s="1" t="str">
        <f aca="false">IF($B45=3,"DPF","")</f>
        <v/>
      </c>
      <c r="AU45" s="1" t="str">
        <f aca="false">IF($B45=3,"DPF","")</f>
        <v/>
      </c>
      <c r="AV45" s="1" t="str">
        <f aca="false">IF($B45=3,"DPF","")</f>
        <v/>
      </c>
      <c r="AW45" s="1" t="str">
        <f aca="false">IF($B45=3,"DPF","")</f>
        <v/>
      </c>
      <c r="AX45" s="75"/>
      <c r="AY45" s="1" t="str">
        <f aca="false">IF($B45=3,"DPF","")</f>
        <v/>
      </c>
      <c r="AZ45" s="1" t="str">
        <f aca="false">IF($B45=3,"DPF","")</f>
        <v/>
      </c>
      <c r="BA45" s="1" t="str">
        <f aca="false">IF($B45=3,"DPF","")</f>
        <v/>
      </c>
      <c r="BB45" s="1" t="str">
        <f aca="false">IF($B45=3,"PFI","")</f>
        <v/>
      </c>
      <c r="BC45" s="1" t="str">
        <f aca="false">IF($B45=3,"PFI","")</f>
        <v/>
      </c>
      <c r="BD45" s="1" t="str">
        <f aca="false">IF($B45=3,"PFI","")</f>
        <v/>
      </c>
      <c r="BE45" s="1" t="str">
        <f aca="false">IF($B45=3,"DPF","")</f>
        <v/>
      </c>
      <c r="BF45" s="1" t="str">
        <f aca="false">IF($B45=3,"DPF","")</f>
        <v/>
      </c>
      <c r="BG45" s="1" t="str">
        <f aca="false">IF($B45=3,"PFI","")</f>
        <v/>
      </c>
      <c r="BH45" s="1" t="str">
        <f aca="false">IF($B45=3,"PFI","")</f>
        <v/>
      </c>
      <c r="BI45" s="1" t="str">
        <f aca="false">IF($B45=3,"DPF","")</f>
        <v/>
      </c>
      <c r="BJ45" s="75"/>
      <c r="BK45" s="1" t="str">
        <f aca="false">IF($B45=3,"PFI","")</f>
        <v/>
      </c>
      <c r="BL45" s="1" t="str">
        <f aca="false">IF($B45=3,"PFI","")</f>
        <v/>
      </c>
      <c r="BM45" s="1" t="str">
        <f aca="false">IF($B45=3,"PFI","")</f>
        <v/>
      </c>
      <c r="BN45" s="1" t="str">
        <f aca="false">IF($B45=3,"PFI","")</f>
        <v/>
      </c>
      <c r="BO45" s="1" t="str">
        <f aca="false">IF($B45=3,"PFI","")</f>
        <v/>
      </c>
    </row>
    <row r="46" customFormat="false" ht="12.75" hidden="false" customHeight="false" outlineLevel="0" collapsed="false">
      <c r="A46" s="1" t="n">
        <f aca="false">A45-1</f>
        <v>1981</v>
      </c>
      <c r="B46" s="1" t="s">
        <v>323</v>
      </c>
      <c r="C46" s="1" t="s">
        <v>323</v>
      </c>
      <c r="D46" s="1" t="s">
        <v>323</v>
      </c>
      <c r="E46" s="1" t="s">
        <v>323</v>
      </c>
      <c r="F46" s="1" t="str">
        <f aca="false">IF($B46=3,"PFI","")</f>
        <v/>
      </c>
      <c r="G46" s="1" t="str">
        <f aca="false">IF($B46=3,"PFI","")</f>
        <v/>
      </c>
      <c r="H46" s="1" t="str">
        <f aca="false">IF($B46=3,"PFI","")</f>
        <v/>
      </c>
      <c r="I46" s="1" t="str">
        <f aca="false">IF($B46=3,"PFI","")</f>
        <v/>
      </c>
      <c r="J46" s="1" t="str">
        <f aca="false">IF($B46=3,"PFI","")</f>
        <v/>
      </c>
      <c r="K46" s="1" t="str">
        <f aca="false">IF($B46=3,"PFI","")</f>
        <v/>
      </c>
      <c r="L46" s="1" t="str">
        <f aca="false">IF($B46=3,"DPF","")</f>
        <v/>
      </c>
      <c r="M46" s="1" t="str">
        <f aca="false">IF($B46=3,"DPF","")</f>
        <v/>
      </c>
      <c r="N46" s="1" t="str">
        <f aca="false">IF($B46=3,"DPF","")</f>
        <v/>
      </c>
      <c r="O46" s="1" t="str">
        <f aca="false">IF($B46=3,"PFI","")</f>
        <v/>
      </c>
      <c r="P46" s="1" t="str">
        <f aca="false">IF($B46=3,"PFI","")</f>
        <v/>
      </c>
      <c r="Q46" s="75"/>
      <c r="R46" s="1" t="str">
        <f aca="false">IF($B46=3,"PFI","")</f>
        <v/>
      </c>
      <c r="S46" s="1" t="str">
        <f aca="false">IF($B46=3,"PFI","")</f>
        <v/>
      </c>
      <c r="T46" s="1" t="str">
        <f aca="false">IF($B46=3,"PFI","")</f>
        <v/>
      </c>
      <c r="U46" s="1" t="str">
        <f aca="false">IF($B46=3,"DPF","")</f>
        <v/>
      </c>
      <c r="V46" s="1" t="str">
        <f aca="false">IF($B46=3,"DPF","")</f>
        <v/>
      </c>
      <c r="W46" s="1" t="str">
        <f aca="false">IF($B46=3,"DPF","")</f>
        <v/>
      </c>
      <c r="X46" s="1" t="str">
        <f aca="false">IF($B46=3,"DPF","")</f>
        <v/>
      </c>
      <c r="Y46" s="1" t="str">
        <f aca="false">IF($B46=3,"DPF","")</f>
        <v/>
      </c>
      <c r="Z46" s="1" t="str">
        <f aca="false">IF($B46=3,"DPF","")</f>
        <v/>
      </c>
      <c r="AA46" s="1" t="str">
        <f aca="false">IF($B46=3,"DPF","")</f>
        <v/>
      </c>
      <c r="AB46" s="1" t="str">
        <f aca="false">IF($B46=3,"DPF","")</f>
        <v/>
      </c>
      <c r="AC46" s="1" t="str">
        <f aca="false">IF($B46=3,"DPF","")</f>
        <v/>
      </c>
      <c r="AD46" s="1" t="str">
        <f aca="false">IF($B46=3,"DPF","")</f>
        <v/>
      </c>
      <c r="AE46" s="1" t="str">
        <f aca="false">IF($B46=3,"DPF","")</f>
        <v/>
      </c>
      <c r="AF46" s="1" t="str">
        <f aca="false">IF($B46=3,"DPF","")</f>
        <v/>
      </c>
      <c r="AG46" s="1" t="str">
        <f aca="false">IF($B46=3,"DPF","")</f>
        <v/>
      </c>
      <c r="AH46" s="1" t="str">
        <f aca="false">IF($B46=3,"DPF","")</f>
        <v/>
      </c>
      <c r="AI46" s="1" t="str">
        <f aca="false">IF($B46=3,"PFI","")</f>
        <v/>
      </c>
      <c r="AJ46" s="1" t="str">
        <f aca="false">IF($B46=3,"PFI","")</f>
        <v/>
      </c>
      <c r="AK46" s="1" t="str">
        <f aca="false">IF($B46=3,"PFI","")</f>
        <v/>
      </c>
      <c r="AL46" s="1" t="str">
        <f aca="false">IF($B46=3,"PFI","")</f>
        <v/>
      </c>
      <c r="AM46" s="1" t="str">
        <f aca="false">IF($B46=3,"PFI","")</f>
        <v/>
      </c>
      <c r="AN46" s="1" t="str">
        <f aca="false">IF($B46=3,"PFI","")</f>
        <v/>
      </c>
      <c r="AO46" s="1" t="str">
        <f aca="false">IF($B46=3,"PFI","")</f>
        <v/>
      </c>
      <c r="AP46" s="1" t="str">
        <f aca="false">IF($B46=3,"PFI","")</f>
        <v/>
      </c>
      <c r="AQ46" s="1" t="str">
        <f aca="false">IF($B46=3,"PFI","")</f>
        <v/>
      </c>
      <c r="AR46" s="1" t="str">
        <f aca="false">IF($B46=3,"DPF","")</f>
        <v/>
      </c>
      <c r="AS46" s="1" t="str">
        <f aca="false">IF($B46=3,"DPF","")</f>
        <v/>
      </c>
      <c r="AT46" s="1" t="str">
        <f aca="false">IF($B46=3,"DPF","")</f>
        <v/>
      </c>
      <c r="AU46" s="1" t="str">
        <f aca="false">IF($B46=3,"DPF","")</f>
        <v/>
      </c>
      <c r="AV46" s="1" t="str">
        <f aca="false">IF($B46=3,"DPF","")</f>
        <v/>
      </c>
      <c r="AW46" s="1" t="str">
        <f aca="false">IF($B46=3,"DPF","")</f>
        <v/>
      </c>
      <c r="AX46" s="75"/>
      <c r="AY46" s="1" t="str">
        <f aca="false">IF($B46=3,"DPF","")</f>
        <v/>
      </c>
      <c r="AZ46" s="1" t="str">
        <f aca="false">IF($B46=3,"DPF","")</f>
        <v/>
      </c>
      <c r="BA46" s="1" t="str">
        <f aca="false">IF($B46=3,"DPF","")</f>
        <v/>
      </c>
      <c r="BB46" s="1" t="str">
        <f aca="false">IF($B46=3,"PFI","")</f>
        <v/>
      </c>
      <c r="BC46" s="1" t="str">
        <f aca="false">IF($B46=3,"PFI","")</f>
        <v/>
      </c>
      <c r="BD46" s="1" t="str">
        <f aca="false">IF($B46=3,"PFI","")</f>
        <v/>
      </c>
      <c r="BE46" s="1" t="str">
        <f aca="false">IF($B46=3,"DPF","")</f>
        <v/>
      </c>
      <c r="BF46" s="1" t="str">
        <f aca="false">IF($B46=3,"DPF","")</f>
        <v/>
      </c>
      <c r="BG46" s="1" t="str">
        <f aca="false">IF($B46=3,"PFI","")</f>
        <v/>
      </c>
      <c r="BH46" s="1" t="str">
        <f aca="false">IF($B46=3,"PFI","")</f>
        <v/>
      </c>
      <c r="BI46" s="1" t="str">
        <f aca="false">IF($B46=3,"DPF","")</f>
        <v/>
      </c>
      <c r="BJ46" s="75"/>
      <c r="BK46" s="1" t="str">
        <f aca="false">IF($B46=3,"PFI","")</f>
        <v/>
      </c>
      <c r="BL46" s="1" t="str">
        <f aca="false">IF($B46=3,"PFI","")</f>
        <v/>
      </c>
      <c r="BM46" s="1" t="str">
        <f aca="false">IF($B46=3,"PFI","")</f>
        <v/>
      </c>
      <c r="BN46" s="1" t="str">
        <f aca="false">IF($B46=3,"PFI","")</f>
        <v/>
      </c>
      <c r="BO46" s="1" t="str">
        <f aca="false">IF($B46=3,"PFI","")</f>
        <v/>
      </c>
    </row>
    <row r="47" customFormat="false" ht="12.75" hidden="false" customHeight="false" outlineLevel="0" collapsed="false">
      <c r="A47" s="1" t="n">
        <f aca="false">A46-1</f>
        <v>1980</v>
      </c>
      <c r="B47" s="1" t="s">
        <v>323</v>
      </c>
      <c r="C47" s="1" t="s">
        <v>323</v>
      </c>
      <c r="D47" s="1" t="s">
        <v>323</v>
      </c>
      <c r="E47" s="1" t="s">
        <v>323</v>
      </c>
      <c r="F47" s="1" t="str">
        <f aca="false">IF($B47=3,"PFI","")</f>
        <v/>
      </c>
      <c r="G47" s="1" t="str">
        <f aca="false">IF($B47=3,"PFI","")</f>
        <v/>
      </c>
      <c r="H47" s="1" t="str">
        <f aca="false">IF($B47=3,"PFI","")</f>
        <v/>
      </c>
      <c r="I47" s="1" t="str">
        <f aca="false">IF($B47=3,"PFI","")</f>
        <v/>
      </c>
      <c r="J47" s="1" t="str">
        <f aca="false">IF($B47=3,"PFI","")</f>
        <v/>
      </c>
      <c r="K47" s="1" t="str">
        <f aca="false">IF($B47=3,"PFI","")</f>
        <v/>
      </c>
      <c r="L47" s="1" t="str">
        <f aca="false">IF($B47=3,"DPF","")</f>
        <v/>
      </c>
      <c r="M47" s="1" t="str">
        <f aca="false">IF($B47=3,"DPF","")</f>
        <v/>
      </c>
      <c r="N47" s="1" t="str">
        <f aca="false">IF($B47=3,"DPF","")</f>
        <v/>
      </c>
      <c r="O47" s="1" t="str">
        <f aca="false">IF($B47=3,"PFI","")</f>
        <v/>
      </c>
      <c r="P47" s="1" t="str">
        <f aca="false">IF($B47=3,"PFI","")</f>
        <v/>
      </c>
      <c r="Q47" s="75"/>
      <c r="R47" s="1" t="str">
        <f aca="false">IF($B47=3,"PFI","")</f>
        <v/>
      </c>
      <c r="S47" s="1" t="str">
        <f aca="false">IF($B47=3,"PFI","")</f>
        <v/>
      </c>
      <c r="T47" s="1" t="str">
        <f aca="false">IF($B47=3,"PFI","")</f>
        <v/>
      </c>
      <c r="U47" s="1" t="str">
        <f aca="false">IF($B47=3,"DPF","")</f>
        <v/>
      </c>
      <c r="V47" s="1" t="str">
        <f aca="false">IF($B47=3,"DPF","")</f>
        <v/>
      </c>
      <c r="W47" s="1" t="str">
        <f aca="false">IF($B47=3,"DPF","")</f>
        <v/>
      </c>
      <c r="X47" s="1" t="str">
        <f aca="false">IF($B47=3,"DPF","")</f>
        <v/>
      </c>
      <c r="Y47" s="1" t="str">
        <f aca="false">IF($B47=3,"DPF","")</f>
        <v/>
      </c>
      <c r="Z47" s="1" t="str">
        <f aca="false">IF($B47=3,"DPF","")</f>
        <v/>
      </c>
      <c r="AA47" s="1" t="str">
        <f aca="false">IF($B47=3,"DPF","")</f>
        <v/>
      </c>
      <c r="AB47" s="1" t="str">
        <f aca="false">IF($B47=3,"DPF","")</f>
        <v/>
      </c>
      <c r="AC47" s="1" t="str">
        <f aca="false">IF($B47=3,"DPF","")</f>
        <v/>
      </c>
      <c r="AD47" s="1" t="str">
        <f aca="false">IF($B47=3,"DPF","")</f>
        <v/>
      </c>
      <c r="AE47" s="1" t="str">
        <f aca="false">IF($B47=3,"DPF","")</f>
        <v/>
      </c>
      <c r="AF47" s="1" t="str">
        <f aca="false">IF($B47=3,"DPF","")</f>
        <v/>
      </c>
      <c r="AG47" s="1" t="str">
        <f aca="false">IF($B47=3,"DPF","")</f>
        <v/>
      </c>
      <c r="AH47" s="1" t="str">
        <f aca="false">IF($B47=3,"DPF","")</f>
        <v/>
      </c>
      <c r="AI47" s="1" t="str">
        <f aca="false">IF($B47=3,"PFI","")</f>
        <v/>
      </c>
      <c r="AJ47" s="1" t="str">
        <f aca="false">IF($B47=3,"PFI","")</f>
        <v/>
      </c>
      <c r="AK47" s="1" t="str">
        <f aca="false">IF($B47=3,"PFI","")</f>
        <v/>
      </c>
      <c r="AL47" s="1" t="str">
        <f aca="false">IF($B47=3,"PFI","")</f>
        <v/>
      </c>
      <c r="AM47" s="1" t="str">
        <f aca="false">IF($B47=3,"PFI","")</f>
        <v/>
      </c>
      <c r="AN47" s="1" t="str">
        <f aca="false">IF($B47=3,"PFI","")</f>
        <v/>
      </c>
      <c r="AO47" s="1" t="str">
        <f aca="false">IF($B47=3,"PFI","")</f>
        <v/>
      </c>
      <c r="AP47" s="1" t="str">
        <f aca="false">IF($B47=3,"PFI","")</f>
        <v/>
      </c>
      <c r="AQ47" s="1" t="str">
        <f aca="false">IF($B47=3,"PFI","")</f>
        <v/>
      </c>
      <c r="AR47" s="1" t="str">
        <f aca="false">IF($B47=3,"DPF","")</f>
        <v/>
      </c>
      <c r="AS47" s="1" t="str">
        <f aca="false">IF($B47=3,"DPF","")</f>
        <v/>
      </c>
      <c r="AT47" s="1" t="str">
        <f aca="false">IF($B47=3,"DPF","")</f>
        <v/>
      </c>
      <c r="AU47" s="1" t="str">
        <f aca="false">IF($B47=3,"DPF","")</f>
        <v/>
      </c>
      <c r="AV47" s="1" t="str">
        <f aca="false">IF($B47=3,"DPF","")</f>
        <v/>
      </c>
      <c r="AW47" s="1" t="str">
        <f aca="false">IF($B47=3,"DPF","")</f>
        <v/>
      </c>
      <c r="AX47" s="75"/>
      <c r="AY47" s="1" t="str">
        <f aca="false">IF($B47=3,"DPF","")</f>
        <v/>
      </c>
      <c r="AZ47" s="1" t="str">
        <f aca="false">IF($B47=3,"DPF","")</f>
        <v/>
      </c>
      <c r="BA47" s="1" t="str">
        <f aca="false">IF($B47=3,"DPF","")</f>
        <v/>
      </c>
      <c r="BB47" s="1" t="str">
        <f aca="false">IF($B47=3,"PFI","")</f>
        <v/>
      </c>
      <c r="BC47" s="1" t="str">
        <f aca="false">IF($B47=3,"PFI","")</f>
        <v/>
      </c>
      <c r="BD47" s="1" t="str">
        <f aca="false">IF($B47=3,"PFI","")</f>
        <v/>
      </c>
      <c r="BE47" s="1" t="str">
        <f aca="false">IF($B47=3,"DPF","")</f>
        <v/>
      </c>
      <c r="BF47" s="1" t="str">
        <f aca="false">IF($B47=3,"DPF","")</f>
        <v/>
      </c>
      <c r="BG47" s="1" t="str">
        <f aca="false">IF($B47=3,"PFI","")</f>
        <v/>
      </c>
      <c r="BH47" s="1" t="str">
        <f aca="false">IF($B47=3,"PFI","")</f>
        <v/>
      </c>
      <c r="BI47" s="1" t="str">
        <f aca="false">IF($B47=3,"DPF","")</f>
        <v/>
      </c>
      <c r="BJ47" s="75"/>
      <c r="BK47" s="1" t="str">
        <f aca="false">IF($B47=3,"PFI","")</f>
        <v/>
      </c>
      <c r="BL47" s="1" t="str">
        <f aca="false">IF($B47=3,"PFI","")</f>
        <v/>
      </c>
      <c r="BM47" s="1" t="str">
        <f aca="false">IF($B47=3,"PFI","")</f>
        <v/>
      </c>
      <c r="BN47" s="1" t="str">
        <f aca="false">IF($B47=3,"PFI","")</f>
        <v/>
      </c>
      <c r="BO47" s="1" t="str">
        <f aca="false">IF($B47=3,"PFI","")</f>
        <v/>
      </c>
    </row>
    <row r="48" customFormat="false" ht="12.75" hidden="false" customHeight="false" outlineLevel="0" collapsed="false">
      <c r="A48" s="1" t="n">
        <f aca="false">A47-1</f>
        <v>1979</v>
      </c>
      <c r="B48" s="1" t="s">
        <v>323</v>
      </c>
      <c r="C48" s="1" t="s">
        <v>323</v>
      </c>
      <c r="D48" s="1" t="s">
        <v>323</v>
      </c>
      <c r="E48" s="1" t="s">
        <v>323</v>
      </c>
      <c r="F48" s="1" t="str">
        <f aca="false">IF($B48=3,"PFI","")</f>
        <v/>
      </c>
      <c r="G48" s="1" t="str">
        <f aca="false">IF($B48=3,"PFI","")</f>
        <v/>
      </c>
      <c r="H48" s="1" t="str">
        <f aca="false">IF($B48=3,"PFI","")</f>
        <v/>
      </c>
      <c r="I48" s="1" t="str">
        <f aca="false">IF($B48=3,"PFI","")</f>
        <v/>
      </c>
      <c r="J48" s="1" t="str">
        <f aca="false">IF($B48=3,"PFI","")</f>
        <v/>
      </c>
      <c r="K48" s="1" t="str">
        <f aca="false">IF($B48=3,"PFI","")</f>
        <v/>
      </c>
      <c r="L48" s="1" t="str">
        <f aca="false">IF($B48=3,"DPF","")</f>
        <v/>
      </c>
      <c r="M48" s="1" t="str">
        <f aca="false">IF($B48=3,"DPF","")</f>
        <v/>
      </c>
      <c r="N48" s="1" t="str">
        <f aca="false">IF($B48=3,"DPF","")</f>
        <v/>
      </c>
      <c r="O48" s="1" t="str">
        <f aca="false">IF($B48=3,"PFI","")</f>
        <v/>
      </c>
      <c r="P48" s="1" t="str">
        <f aca="false">IF($B48=3,"PFI","")</f>
        <v/>
      </c>
      <c r="Q48" s="75"/>
      <c r="R48" s="1" t="str">
        <f aca="false">IF($B48=3,"PFI","")</f>
        <v/>
      </c>
      <c r="S48" s="1" t="str">
        <f aca="false">IF($B48=3,"PFI","")</f>
        <v/>
      </c>
      <c r="T48" s="1" t="str">
        <f aca="false">IF($B48=3,"PFI","")</f>
        <v/>
      </c>
      <c r="U48" s="1" t="str">
        <f aca="false">IF($B48=3,"DPF","")</f>
        <v/>
      </c>
      <c r="V48" s="1" t="str">
        <f aca="false">IF($B48=3,"DPF","")</f>
        <v/>
      </c>
      <c r="W48" s="1" t="str">
        <f aca="false">IF($B48=3,"DPF","")</f>
        <v/>
      </c>
      <c r="X48" s="1" t="str">
        <f aca="false">IF($B48=3,"DPF","")</f>
        <v/>
      </c>
      <c r="Y48" s="1" t="str">
        <f aca="false">IF($B48=3,"DPF","")</f>
        <v/>
      </c>
      <c r="Z48" s="1" t="str">
        <f aca="false">IF($B48=3,"DPF","")</f>
        <v/>
      </c>
      <c r="AA48" s="1" t="str">
        <f aca="false">IF($B48=3,"DPF","")</f>
        <v/>
      </c>
      <c r="AB48" s="1" t="str">
        <f aca="false">IF($B48=3,"DPF","")</f>
        <v/>
      </c>
      <c r="AC48" s="1" t="str">
        <f aca="false">IF($B48=3,"DPF","")</f>
        <v/>
      </c>
      <c r="AD48" s="1" t="str">
        <f aca="false">IF($B48=3,"DPF","")</f>
        <v/>
      </c>
      <c r="AE48" s="1" t="str">
        <f aca="false">IF($B48=3,"DPF","")</f>
        <v/>
      </c>
      <c r="AF48" s="1" t="str">
        <f aca="false">IF($B48=3,"DPF","")</f>
        <v/>
      </c>
      <c r="AG48" s="1" t="str">
        <f aca="false">IF($B48=3,"DPF","")</f>
        <v/>
      </c>
      <c r="AH48" s="1" t="str">
        <f aca="false">IF($B48=3,"DPF","")</f>
        <v/>
      </c>
      <c r="AI48" s="1" t="str">
        <f aca="false">IF($B48=3,"PFI","")</f>
        <v/>
      </c>
      <c r="AJ48" s="1" t="str">
        <f aca="false">IF($B48=3,"PFI","")</f>
        <v/>
      </c>
      <c r="AK48" s="1" t="str">
        <f aca="false">IF($B48=3,"PFI","")</f>
        <v/>
      </c>
      <c r="AL48" s="1" t="str">
        <f aca="false">IF($B48=3,"PFI","")</f>
        <v/>
      </c>
      <c r="AM48" s="1" t="str">
        <f aca="false">IF($B48=3,"PFI","")</f>
        <v/>
      </c>
      <c r="AN48" s="1" t="str">
        <f aca="false">IF($B48=3,"PFI","")</f>
        <v/>
      </c>
      <c r="AO48" s="1" t="str">
        <f aca="false">IF($B48=3,"PFI","")</f>
        <v/>
      </c>
      <c r="AP48" s="1" t="str">
        <f aca="false">IF($B48=3,"PFI","")</f>
        <v/>
      </c>
      <c r="AQ48" s="1" t="str">
        <f aca="false">IF($B48=3,"PFI","")</f>
        <v/>
      </c>
      <c r="AR48" s="1" t="str">
        <f aca="false">IF($B48=3,"DPF","")</f>
        <v/>
      </c>
      <c r="AS48" s="1" t="str">
        <f aca="false">IF($B48=3,"DPF","")</f>
        <v/>
      </c>
      <c r="AT48" s="1" t="str">
        <f aca="false">IF($B48=3,"DPF","")</f>
        <v/>
      </c>
      <c r="AU48" s="1" t="str">
        <f aca="false">IF($B48=3,"DPF","")</f>
        <v/>
      </c>
      <c r="AV48" s="1" t="str">
        <f aca="false">IF($B48=3,"DPF","")</f>
        <v/>
      </c>
      <c r="AW48" s="1" t="str">
        <f aca="false">IF($B48=3,"DPF","")</f>
        <v/>
      </c>
      <c r="AX48" s="75"/>
      <c r="AY48" s="1" t="str">
        <f aca="false">IF($B48=3,"DPF","")</f>
        <v/>
      </c>
      <c r="AZ48" s="1" t="str">
        <f aca="false">IF($B48=3,"DPF","")</f>
        <v/>
      </c>
      <c r="BA48" s="1" t="str">
        <f aca="false">IF($B48=3,"DPF","")</f>
        <v/>
      </c>
      <c r="BB48" s="1" t="str">
        <f aca="false">IF($B48=3,"PFI","")</f>
        <v/>
      </c>
      <c r="BC48" s="1" t="str">
        <f aca="false">IF($B48=3,"PFI","")</f>
        <v/>
      </c>
      <c r="BD48" s="1" t="str">
        <f aca="false">IF($B48=3,"PFI","")</f>
        <v/>
      </c>
      <c r="BE48" s="1" t="str">
        <f aca="false">IF($B48=3,"DPF","")</f>
        <v/>
      </c>
      <c r="BF48" s="1" t="str">
        <f aca="false">IF($B48=3,"DPF","")</f>
        <v/>
      </c>
      <c r="BG48" s="1" t="str">
        <f aca="false">IF($B48=3,"PFI","")</f>
        <v/>
      </c>
      <c r="BH48" s="1" t="str">
        <f aca="false">IF($B48=3,"PFI","")</f>
        <v/>
      </c>
      <c r="BI48" s="1" t="str">
        <f aca="false">IF($B48=3,"DPF","")</f>
        <v/>
      </c>
      <c r="BJ48" s="75"/>
      <c r="BK48" s="1" t="str">
        <f aca="false">IF($B48=3,"PFI","")</f>
        <v/>
      </c>
      <c r="BL48" s="1" t="str">
        <f aca="false">IF($B48=3,"PFI","")</f>
        <v/>
      </c>
      <c r="BM48" s="1" t="str">
        <f aca="false">IF($B48=3,"PFI","")</f>
        <v/>
      </c>
      <c r="BN48" s="1" t="str">
        <f aca="false">IF($B48=3,"PFI","")</f>
        <v/>
      </c>
      <c r="BO48" s="1" t="str">
        <f aca="false">IF($B48=3,"PFI","")</f>
        <v/>
      </c>
    </row>
    <row r="49" customFormat="false" ht="12.75" hidden="false" customHeight="false" outlineLevel="0" collapsed="false">
      <c r="A49" s="1" t="n">
        <f aca="false">A48-1</f>
        <v>1978</v>
      </c>
      <c r="B49" s="1" t="s">
        <v>323</v>
      </c>
      <c r="C49" s="1" t="s">
        <v>323</v>
      </c>
      <c r="D49" s="1" t="s">
        <v>323</v>
      </c>
      <c r="E49" s="1" t="s">
        <v>323</v>
      </c>
      <c r="F49" s="1" t="str">
        <f aca="false">IF($B49=3,"PFI","")</f>
        <v/>
      </c>
      <c r="G49" s="1" t="str">
        <f aca="false">IF($B49=3,"PFI","")</f>
        <v/>
      </c>
      <c r="H49" s="1" t="str">
        <f aca="false">IF($B49=3,"PFI","")</f>
        <v/>
      </c>
      <c r="I49" s="1" t="str">
        <f aca="false">IF($B49=3,"PFI","")</f>
        <v/>
      </c>
      <c r="J49" s="1" t="str">
        <f aca="false">IF($B49=3,"PFI","")</f>
        <v/>
      </c>
      <c r="K49" s="1" t="str">
        <f aca="false">IF($B49=3,"PFI","")</f>
        <v/>
      </c>
      <c r="L49" s="1" t="str">
        <f aca="false">IF($B49=3,"DPF","")</f>
        <v/>
      </c>
      <c r="M49" s="1" t="str">
        <f aca="false">IF($B49=3,"DPF","")</f>
        <v/>
      </c>
      <c r="N49" s="1" t="str">
        <f aca="false">IF($B49=3,"DPF","")</f>
        <v/>
      </c>
      <c r="O49" s="1" t="str">
        <f aca="false">IF($B49=3,"PFI","")</f>
        <v/>
      </c>
      <c r="P49" s="1" t="str">
        <f aca="false">IF($B49=3,"PFI","")</f>
        <v/>
      </c>
      <c r="Q49" s="75"/>
      <c r="R49" s="1" t="str">
        <f aca="false">IF($B49=3,"PFI","")</f>
        <v/>
      </c>
      <c r="S49" s="1" t="str">
        <f aca="false">IF($B49=3,"PFI","")</f>
        <v/>
      </c>
      <c r="T49" s="1" t="str">
        <f aca="false">IF($B49=3,"PFI","")</f>
        <v/>
      </c>
      <c r="U49" s="1" t="str">
        <f aca="false">IF($B49=3,"DPF","")</f>
        <v/>
      </c>
      <c r="V49" s="1" t="str">
        <f aca="false">IF($B49=3,"DPF","")</f>
        <v/>
      </c>
      <c r="W49" s="1" t="str">
        <f aca="false">IF($B49=3,"DPF","")</f>
        <v/>
      </c>
      <c r="X49" s="1" t="str">
        <f aca="false">IF($B49=3,"DPF","")</f>
        <v/>
      </c>
      <c r="Y49" s="1" t="str">
        <f aca="false">IF($B49=3,"DPF","")</f>
        <v/>
      </c>
      <c r="Z49" s="1" t="str">
        <f aca="false">IF($B49=3,"DPF","")</f>
        <v/>
      </c>
      <c r="AA49" s="1" t="str">
        <f aca="false">IF($B49=3,"DPF","")</f>
        <v/>
      </c>
      <c r="AB49" s="1" t="str">
        <f aca="false">IF($B49=3,"DPF","")</f>
        <v/>
      </c>
      <c r="AC49" s="1" t="str">
        <f aca="false">IF($B49=3,"DPF","")</f>
        <v/>
      </c>
      <c r="AD49" s="1" t="str">
        <f aca="false">IF($B49=3,"DPF","")</f>
        <v/>
      </c>
      <c r="AE49" s="1" t="str">
        <f aca="false">IF($B49=3,"DPF","")</f>
        <v/>
      </c>
      <c r="AF49" s="1" t="str">
        <f aca="false">IF($B49=3,"DPF","")</f>
        <v/>
      </c>
      <c r="AG49" s="1" t="str">
        <f aca="false">IF($B49=3,"DPF","")</f>
        <v/>
      </c>
      <c r="AH49" s="1" t="str">
        <f aca="false">IF($B49=3,"DPF","")</f>
        <v/>
      </c>
      <c r="AI49" s="1" t="str">
        <f aca="false">IF($B49=3,"PFI","")</f>
        <v/>
      </c>
      <c r="AJ49" s="1" t="str">
        <f aca="false">IF($B49=3,"PFI","")</f>
        <v/>
      </c>
      <c r="AK49" s="1" t="str">
        <f aca="false">IF($B49=3,"PFI","")</f>
        <v/>
      </c>
      <c r="AL49" s="1" t="str">
        <f aca="false">IF($B49=3,"PFI","")</f>
        <v/>
      </c>
      <c r="AM49" s="1" t="str">
        <f aca="false">IF($B49=3,"PFI","")</f>
        <v/>
      </c>
      <c r="AN49" s="1" t="str">
        <f aca="false">IF($B49=3,"PFI","")</f>
        <v/>
      </c>
      <c r="AO49" s="1" t="str">
        <f aca="false">IF($B49=3,"PFI","")</f>
        <v/>
      </c>
      <c r="AP49" s="1" t="str">
        <f aca="false">IF($B49=3,"PFI","")</f>
        <v/>
      </c>
      <c r="AQ49" s="1" t="str">
        <f aca="false">IF($B49=3,"PFI","")</f>
        <v/>
      </c>
      <c r="AR49" s="1" t="str">
        <f aca="false">IF($B49=3,"DPF","")</f>
        <v/>
      </c>
      <c r="AS49" s="1" t="str">
        <f aca="false">IF($B49=3,"DPF","")</f>
        <v/>
      </c>
      <c r="AT49" s="1" t="str">
        <f aca="false">IF($B49=3,"DPF","")</f>
        <v/>
      </c>
      <c r="AU49" s="1" t="str">
        <f aca="false">IF($B49=3,"DPF","")</f>
        <v/>
      </c>
      <c r="AV49" s="1" t="str">
        <f aca="false">IF($B49=3,"DPF","")</f>
        <v/>
      </c>
      <c r="AW49" s="1" t="str">
        <f aca="false">IF($B49=3,"DPF","")</f>
        <v/>
      </c>
      <c r="AX49" s="75"/>
      <c r="AY49" s="1" t="str">
        <f aca="false">IF($B49=3,"DPF","")</f>
        <v/>
      </c>
      <c r="AZ49" s="1" t="str">
        <f aca="false">IF($B49=3,"DPF","")</f>
        <v/>
      </c>
      <c r="BA49" s="1" t="str">
        <f aca="false">IF($B49=3,"DPF","")</f>
        <v/>
      </c>
      <c r="BB49" s="1" t="str">
        <f aca="false">IF($B49=3,"PFI","")</f>
        <v/>
      </c>
      <c r="BC49" s="1" t="str">
        <f aca="false">IF($B49=3,"PFI","")</f>
        <v/>
      </c>
      <c r="BD49" s="1" t="str">
        <f aca="false">IF($B49=3,"PFI","")</f>
        <v/>
      </c>
      <c r="BE49" s="1" t="str">
        <f aca="false">IF($B49=3,"DPF","")</f>
        <v/>
      </c>
      <c r="BF49" s="1" t="str">
        <f aca="false">IF($B49=3,"DPF","")</f>
        <v/>
      </c>
      <c r="BG49" s="1" t="str">
        <f aca="false">IF($B49=3,"PFI","")</f>
        <v/>
      </c>
      <c r="BH49" s="1" t="str">
        <f aca="false">IF($B49=3,"PFI","")</f>
        <v/>
      </c>
      <c r="BI49" s="1" t="str">
        <f aca="false">IF($B49=3,"DPF","")</f>
        <v/>
      </c>
      <c r="BJ49" s="75"/>
      <c r="BK49" s="1" t="str">
        <f aca="false">IF($B49=3,"PFI","")</f>
        <v/>
      </c>
      <c r="BL49" s="1" t="str">
        <f aca="false">IF($B49=3,"PFI","")</f>
        <v/>
      </c>
      <c r="BM49" s="1" t="str">
        <f aca="false">IF($B49=3,"PFI","")</f>
        <v/>
      </c>
      <c r="BN49" s="1" t="str">
        <f aca="false">IF($B49=3,"PFI","")</f>
        <v/>
      </c>
      <c r="BO49" s="1" t="str">
        <f aca="false">IF($B49=3,"PFI","")</f>
        <v/>
      </c>
    </row>
    <row r="50" customFormat="false" ht="12.75" hidden="false" customHeight="false" outlineLevel="0" collapsed="false">
      <c r="A50" s="1" t="n">
        <f aca="false">A49-1</f>
        <v>1977</v>
      </c>
      <c r="B50" s="1" t="s">
        <v>323</v>
      </c>
      <c r="C50" s="1" t="s">
        <v>323</v>
      </c>
      <c r="D50" s="1" t="s">
        <v>323</v>
      </c>
      <c r="E50" s="1" t="s">
        <v>323</v>
      </c>
      <c r="F50" s="1" t="str">
        <f aca="false">IF($B50=3,"PFI","")</f>
        <v/>
      </c>
      <c r="G50" s="1" t="str">
        <f aca="false">IF($B50=3,"PFI","")</f>
        <v/>
      </c>
      <c r="H50" s="1" t="str">
        <f aca="false">IF($B50=3,"PFI","")</f>
        <v/>
      </c>
      <c r="I50" s="1" t="str">
        <f aca="false">IF($B50=3,"PFI","")</f>
        <v/>
      </c>
      <c r="J50" s="1" t="str">
        <f aca="false">IF($B50=3,"PFI","")</f>
        <v/>
      </c>
      <c r="K50" s="1" t="str">
        <f aca="false">IF($B50=3,"PFI","")</f>
        <v/>
      </c>
      <c r="L50" s="1" t="str">
        <f aca="false">IF($B50=3,"DPF","")</f>
        <v/>
      </c>
      <c r="M50" s="1" t="str">
        <f aca="false">IF($B50=3,"DPF","")</f>
        <v/>
      </c>
      <c r="N50" s="1" t="str">
        <f aca="false">IF($B50=3,"DPF","")</f>
        <v/>
      </c>
      <c r="O50" s="1" t="str">
        <f aca="false">IF($B50=3,"PFI","")</f>
        <v/>
      </c>
      <c r="P50" s="1" t="str">
        <f aca="false">IF($B50=3,"PFI","")</f>
        <v/>
      </c>
      <c r="Q50" s="75"/>
      <c r="R50" s="1" t="str">
        <f aca="false">IF($B50=3,"PFI","")</f>
        <v/>
      </c>
      <c r="S50" s="1" t="str">
        <f aca="false">IF($B50=3,"PFI","")</f>
        <v/>
      </c>
      <c r="T50" s="1" t="str">
        <f aca="false">IF($B50=3,"PFI","")</f>
        <v/>
      </c>
      <c r="U50" s="1" t="str">
        <f aca="false">IF($B50=3,"DPF","")</f>
        <v/>
      </c>
      <c r="V50" s="1" t="str">
        <f aca="false">IF($B50=3,"DPF","")</f>
        <v/>
      </c>
      <c r="W50" s="1" t="str">
        <f aca="false">IF($B50=3,"DPF","")</f>
        <v/>
      </c>
      <c r="X50" s="1" t="str">
        <f aca="false">IF($B50=3,"DPF","")</f>
        <v/>
      </c>
      <c r="Y50" s="1" t="str">
        <f aca="false">IF($B50=3,"DPF","")</f>
        <v/>
      </c>
      <c r="Z50" s="1" t="str">
        <f aca="false">IF($B50=3,"DPF","")</f>
        <v/>
      </c>
      <c r="AA50" s="1" t="str">
        <f aca="false">IF($B50=3,"DPF","")</f>
        <v/>
      </c>
      <c r="AB50" s="1" t="str">
        <f aca="false">IF($B50=3,"DPF","")</f>
        <v/>
      </c>
      <c r="AC50" s="1" t="str">
        <f aca="false">IF($B50=3,"DPF","")</f>
        <v/>
      </c>
      <c r="AD50" s="1" t="str">
        <f aca="false">IF($B50=3,"DPF","")</f>
        <v/>
      </c>
      <c r="AE50" s="1" t="str">
        <f aca="false">IF($B50=3,"DPF","")</f>
        <v/>
      </c>
      <c r="AF50" s="1" t="str">
        <f aca="false">IF($B50=3,"DPF","")</f>
        <v/>
      </c>
      <c r="AG50" s="1" t="str">
        <f aca="false">IF($B50=3,"DPF","")</f>
        <v/>
      </c>
      <c r="AH50" s="1" t="str">
        <f aca="false">IF($B50=3,"DPF","")</f>
        <v/>
      </c>
      <c r="AI50" s="1" t="str">
        <f aca="false">IF($B50=3,"PFI","")</f>
        <v/>
      </c>
      <c r="AJ50" s="1" t="str">
        <f aca="false">IF($B50=3,"PFI","")</f>
        <v/>
      </c>
      <c r="AK50" s="1" t="str">
        <f aca="false">IF($B50=3,"PFI","")</f>
        <v/>
      </c>
      <c r="AL50" s="1" t="str">
        <f aca="false">IF($B50=3,"PFI","")</f>
        <v/>
      </c>
      <c r="AM50" s="1" t="str">
        <f aca="false">IF($B50=3,"PFI","")</f>
        <v/>
      </c>
      <c r="AN50" s="1" t="str">
        <f aca="false">IF($B50=3,"PFI","")</f>
        <v/>
      </c>
      <c r="AO50" s="1" t="str">
        <f aca="false">IF($B50=3,"PFI","")</f>
        <v/>
      </c>
      <c r="AP50" s="1" t="str">
        <f aca="false">IF($B50=3,"PFI","")</f>
        <v/>
      </c>
      <c r="AQ50" s="1" t="str">
        <f aca="false">IF($B50=3,"PFI","")</f>
        <v/>
      </c>
      <c r="AR50" s="1" t="str">
        <f aca="false">IF($B50=3,"DPF","")</f>
        <v/>
      </c>
      <c r="AS50" s="1" t="str">
        <f aca="false">IF($B50=3,"DPF","")</f>
        <v/>
      </c>
      <c r="AT50" s="1" t="str">
        <f aca="false">IF($B50=3,"DPF","")</f>
        <v/>
      </c>
      <c r="AU50" s="1" t="str">
        <f aca="false">IF($B50=3,"DPF","")</f>
        <v/>
      </c>
      <c r="AV50" s="1" t="str">
        <f aca="false">IF($B50=3,"DPF","")</f>
        <v/>
      </c>
      <c r="AW50" s="1" t="str">
        <f aca="false">IF($B50=3,"DPF","")</f>
        <v/>
      </c>
      <c r="AX50" s="75"/>
      <c r="AY50" s="1" t="str">
        <f aca="false">IF($B50=3,"DPF","")</f>
        <v/>
      </c>
      <c r="AZ50" s="1" t="str">
        <f aca="false">IF($B50=3,"DPF","")</f>
        <v/>
      </c>
      <c r="BA50" s="1" t="str">
        <f aca="false">IF($B50=3,"DPF","")</f>
        <v/>
      </c>
      <c r="BB50" s="1" t="str">
        <f aca="false">IF($B50=3,"PFI","")</f>
        <v/>
      </c>
      <c r="BC50" s="1" t="str">
        <f aca="false">IF($B50=3,"PFI","")</f>
        <v/>
      </c>
      <c r="BD50" s="1" t="str">
        <f aca="false">IF($B50=3,"PFI","")</f>
        <v/>
      </c>
      <c r="BE50" s="1" t="str">
        <f aca="false">IF($B50=3,"DPF","")</f>
        <v/>
      </c>
      <c r="BF50" s="1" t="str">
        <f aca="false">IF($B50=3,"DPF","")</f>
        <v/>
      </c>
      <c r="BG50" s="1" t="str">
        <f aca="false">IF($B50=3,"PFI","")</f>
        <v/>
      </c>
      <c r="BH50" s="1" t="str">
        <f aca="false">IF($B50=3,"PFI","")</f>
        <v/>
      </c>
      <c r="BI50" s="1" t="str">
        <f aca="false">IF($B50=3,"DPF","")</f>
        <v/>
      </c>
      <c r="BJ50" s="75"/>
      <c r="BK50" s="1" t="str">
        <f aca="false">IF($B50=3,"PFI","")</f>
        <v/>
      </c>
      <c r="BL50" s="1" t="str">
        <f aca="false">IF($B50=3,"PFI","")</f>
        <v/>
      </c>
      <c r="BM50" s="1" t="str">
        <f aca="false">IF($B50=3,"PFI","")</f>
        <v/>
      </c>
      <c r="BN50" s="1" t="str">
        <f aca="false">IF($B50=3,"PFI","")</f>
        <v/>
      </c>
      <c r="BO50" s="1" t="str">
        <f aca="false">IF($B50=3,"PFI","")</f>
        <v/>
      </c>
    </row>
    <row r="51" customFormat="false" ht="12.75" hidden="false" customHeight="false" outlineLevel="0" collapsed="false">
      <c r="A51" s="1" t="n">
        <f aca="false">A50-1</f>
        <v>1976</v>
      </c>
      <c r="B51" s="1" t="s">
        <v>323</v>
      </c>
      <c r="C51" s="1" t="s">
        <v>323</v>
      </c>
      <c r="D51" s="1" t="s">
        <v>323</v>
      </c>
      <c r="E51" s="1" t="s">
        <v>323</v>
      </c>
      <c r="F51" s="1" t="str">
        <f aca="false">IF($B51=3,"PFI","")</f>
        <v/>
      </c>
      <c r="G51" s="1" t="str">
        <f aca="false">IF($B51=3,"PFI","")</f>
        <v/>
      </c>
      <c r="H51" s="1" t="str">
        <f aca="false">IF($B51=3,"PFI","")</f>
        <v/>
      </c>
      <c r="I51" s="1" t="str">
        <f aca="false">IF($B51=3,"PFI","")</f>
        <v/>
      </c>
      <c r="J51" s="1" t="str">
        <f aca="false">IF($B51=3,"PFI","")</f>
        <v/>
      </c>
      <c r="K51" s="1" t="str">
        <f aca="false">IF($B51=3,"PFI","")</f>
        <v/>
      </c>
      <c r="L51" s="1" t="str">
        <f aca="false">IF($B51=3,"DPF","")</f>
        <v/>
      </c>
      <c r="M51" s="1" t="str">
        <f aca="false">IF($B51=3,"DPF","")</f>
        <v/>
      </c>
      <c r="N51" s="1" t="str">
        <f aca="false">IF($B51=3,"DPF","")</f>
        <v/>
      </c>
      <c r="O51" s="1" t="str">
        <f aca="false">IF($B51=3,"PFI","")</f>
        <v/>
      </c>
      <c r="P51" s="1" t="str">
        <f aca="false">IF($B51=3,"PFI","")</f>
        <v/>
      </c>
      <c r="Q51" s="75"/>
      <c r="R51" s="1" t="str">
        <f aca="false">IF($B51=3,"PFI","")</f>
        <v/>
      </c>
      <c r="S51" s="1" t="str">
        <f aca="false">IF($B51=3,"PFI","")</f>
        <v/>
      </c>
      <c r="T51" s="1" t="str">
        <f aca="false">IF($B51=3,"PFI","")</f>
        <v/>
      </c>
      <c r="U51" s="1" t="str">
        <f aca="false">IF($B51=3,"DPF","")</f>
        <v/>
      </c>
      <c r="V51" s="1" t="str">
        <f aca="false">IF($B51=3,"DPF","")</f>
        <v/>
      </c>
      <c r="W51" s="1" t="str">
        <f aca="false">IF($B51=3,"DPF","")</f>
        <v/>
      </c>
      <c r="X51" s="1" t="str">
        <f aca="false">IF($B51=3,"DPF","")</f>
        <v/>
      </c>
      <c r="Y51" s="1" t="str">
        <f aca="false">IF($B51=3,"DPF","")</f>
        <v/>
      </c>
      <c r="Z51" s="1" t="str">
        <f aca="false">IF($B51=3,"DPF","")</f>
        <v/>
      </c>
      <c r="AA51" s="1" t="str">
        <f aca="false">IF($B51=3,"DPF","")</f>
        <v/>
      </c>
      <c r="AB51" s="1" t="str">
        <f aca="false">IF($B51=3,"DPF","")</f>
        <v/>
      </c>
      <c r="AC51" s="1" t="str">
        <f aca="false">IF($B51=3,"DPF","")</f>
        <v/>
      </c>
      <c r="AD51" s="1" t="str">
        <f aca="false">IF($B51=3,"DPF","")</f>
        <v/>
      </c>
      <c r="AE51" s="1" t="str">
        <f aca="false">IF($B51=3,"DPF","")</f>
        <v/>
      </c>
      <c r="AF51" s="1" t="str">
        <f aca="false">IF($B51=3,"DPF","")</f>
        <v/>
      </c>
      <c r="AG51" s="1" t="str">
        <f aca="false">IF($B51=3,"DPF","")</f>
        <v/>
      </c>
      <c r="AH51" s="1" t="str">
        <f aca="false">IF($B51=3,"DPF","")</f>
        <v/>
      </c>
      <c r="AI51" s="1" t="str">
        <f aca="false">IF($B51=3,"PFI","")</f>
        <v/>
      </c>
      <c r="AJ51" s="1" t="str">
        <f aca="false">IF($B51=3,"PFI","")</f>
        <v/>
      </c>
      <c r="AK51" s="1" t="str">
        <f aca="false">IF($B51=3,"PFI","")</f>
        <v/>
      </c>
      <c r="AL51" s="1" t="str">
        <f aca="false">IF($B51=3,"PFI","")</f>
        <v/>
      </c>
      <c r="AM51" s="1" t="str">
        <f aca="false">IF($B51=3,"PFI","")</f>
        <v/>
      </c>
      <c r="AN51" s="1" t="str">
        <f aca="false">IF($B51=3,"PFI","")</f>
        <v/>
      </c>
      <c r="AO51" s="1" t="str">
        <f aca="false">IF($B51=3,"PFI","")</f>
        <v/>
      </c>
      <c r="AP51" s="1" t="str">
        <f aca="false">IF($B51=3,"PFI","")</f>
        <v/>
      </c>
      <c r="AQ51" s="1" t="str">
        <f aca="false">IF($B51=3,"PFI","")</f>
        <v/>
      </c>
      <c r="AR51" s="1" t="str">
        <f aca="false">IF($B51=3,"DPF","")</f>
        <v/>
      </c>
      <c r="AS51" s="1" t="str">
        <f aca="false">IF($B51=3,"DPF","")</f>
        <v/>
      </c>
      <c r="AT51" s="1" t="str">
        <f aca="false">IF($B51=3,"DPF","")</f>
        <v/>
      </c>
      <c r="AU51" s="1" t="str">
        <f aca="false">IF($B51=3,"DPF","")</f>
        <v/>
      </c>
      <c r="AV51" s="1" t="str">
        <f aca="false">IF($B51=3,"DPF","")</f>
        <v/>
      </c>
      <c r="AW51" s="1" t="str">
        <f aca="false">IF($B51=3,"DPF","")</f>
        <v/>
      </c>
      <c r="AX51" s="75"/>
      <c r="AY51" s="1" t="str">
        <f aca="false">IF($B51=3,"DPF","")</f>
        <v/>
      </c>
      <c r="AZ51" s="1" t="str">
        <f aca="false">IF($B51=3,"DPF","")</f>
        <v/>
      </c>
      <c r="BA51" s="1" t="str">
        <f aca="false">IF($B51=3,"DPF","")</f>
        <v/>
      </c>
      <c r="BB51" s="1" t="str">
        <f aca="false">IF($B51=3,"PFI","")</f>
        <v/>
      </c>
      <c r="BC51" s="1" t="str">
        <f aca="false">IF($B51=3,"PFI","")</f>
        <v/>
      </c>
      <c r="BD51" s="1" t="str">
        <f aca="false">IF($B51=3,"PFI","")</f>
        <v/>
      </c>
      <c r="BE51" s="1" t="str">
        <f aca="false">IF($B51=3,"DPF","")</f>
        <v/>
      </c>
      <c r="BF51" s="1" t="str">
        <f aca="false">IF($B51=3,"DPF","")</f>
        <v/>
      </c>
      <c r="BG51" s="1" t="str">
        <f aca="false">IF($B51=3,"PFI","")</f>
        <v/>
      </c>
      <c r="BH51" s="1" t="str">
        <f aca="false">IF($B51=3,"PFI","")</f>
        <v/>
      </c>
      <c r="BI51" s="1" t="str">
        <f aca="false">IF($B51=3,"DPF","")</f>
        <v/>
      </c>
      <c r="BJ51" s="75"/>
      <c r="BK51" s="1" t="str">
        <f aca="false">IF($B51=3,"PFI","")</f>
        <v/>
      </c>
      <c r="BL51" s="1" t="str">
        <f aca="false">IF($B51=3,"PFI","")</f>
        <v/>
      </c>
      <c r="BM51" s="1" t="str">
        <f aca="false">IF($B51=3,"PFI","")</f>
        <v/>
      </c>
      <c r="BN51" s="1" t="str">
        <f aca="false">IF($B51=3,"PFI","")</f>
        <v/>
      </c>
      <c r="BO51" s="1" t="str">
        <f aca="false">IF($B51=3,"PFI","")</f>
        <v/>
      </c>
    </row>
    <row r="52" customFormat="false" ht="12.75" hidden="false" customHeight="false" outlineLevel="0" collapsed="false">
      <c r="A52" s="1" t="n">
        <f aca="false">A51-1</f>
        <v>1975</v>
      </c>
      <c r="B52" s="1" t="s">
        <v>323</v>
      </c>
      <c r="C52" s="1" t="s">
        <v>323</v>
      </c>
      <c r="D52" s="1" t="s">
        <v>323</v>
      </c>
      <c r="E52" s="1" t="s">
        <v>323</v>
      </c>
      <c r="F52" s="1" t="str">
        <f aca="false">IF($B52=3,"PFI","")</f>
        <v/>
      </c>
      <c r="G52" s="1" t="str">
        <f aca="false">IF($B52=3,"PFI","")</f>
        <v/>
      </c>
      <c r="H52" s="1" t="str">
        <f aca="false">IF($B52=3,"PFI","")</f>
        <v/>
      </c>
      <c r="I52" s="1" t="str">
        <f aca="false">IF($B52=3,"PFI","")</f>
        <v/>
      </c>
      <c r="J52" s="1" t="str">
        <f aca="false">IF($B52=3,"PFI","")</f>
        <v/>
      </c>
      <c r="K52" s="1" t="str">
        <f aca="false">IF($B52=3,"PFI","")</f>
        <v/>
      </c>
      <c r="L52" s="1" t="str">
        <f aca="false">IF($B52=3,"DPF","")</f>
        <v/>
      </c>
      <c r="M52" s="1" t="str">
        <f aca="false">IF($B52=3,"DPF","")</f>
        <v/>
      </c>
      <c r="N52" s="1" t="str">
        <f aca="false">IF($B52=3,"DPF","")</f>
        <v/>
      </c>
      <c r="O52" s="1" t="str">
        <f aca="false">IF($B52=3,"PFI","")</f>
        <v/>
      </c>
      <c r="P52" s="1" t="str">
        <f aca="false">IF($B52=3,"PFI","")</f>
        <v/>
      </c>
      <c r="Q52" s="75"/>
      <c r="R52" s="1" t="str">
        <f aca="false">IF($B52=3,"PFI","")</f>
        <v/>
      </c>
      <c r="S52" s="1" t="str">
        <f aca="false">IF($B52=3,"PFI","")</f>
        <v/>
      </c>
      <c r="T52" s="1" t="str">
        <f aca="false">IF($B52=3,"PFI","")</f>
        <v/>
      </c>
      <c r="U52" s="1" t="str">
        <f aca="false">IF($B52=3,"DPF","")</f>
        <v/>
      </c>
      <c r="V52" s="1" t="str">
        <f aca="false">IF($B52=3,"DPF","")</f>
        <v/>
      </c>
      <c r="W52" s="1" t="str">
        <f aca="false">IF($B52=3,"DPF","")</f>
        <v/>
      </c>
      <c r="X52" s="1" t="str">
        <f aca="false">IF($B52=3,"DPF","")</f>
        <v/>
      </c>
      <c r="Y52" s="1" t="str">
        <f aca="false">IF($B52=3,"DPF","")</f>
        <v/>
      </c>
      <c r="Z52" s="1" t="str">
        <f aca="false">IF($B52=3,"DPF","")</f>
        <v/>
      </c>
      <c r="AA52" s="1" t="str">
        <f aca="false">IF($B52=3,"DPF","")</f>
        <v/>
      </c>
      <c r="AB52" s="1" t="str">
        <f aca="false">IF($B52=3,"DPF","")</f>
        <v/>
      </c>
      <c r="AC52" s="1" t="str">
        <f aca="false">IF($B52=3,"DPF","")</f>
        <v/>
      </c>
      <c r="AD52" s="1" t="str">
        <f aca="false">IF($B52=3,"DPF","")</f>
        <v/>
      </c>
      <c r="AE52" s="1" t="str">
        <f aca="false">IF($B52=3,"DPF","")</f>
        <v/>
      </c>
      <c r="AF52" s="1" t="str">
        <f aca="false">IF($B52=3,"DPF","")</f>
        <v/>
      </c>
      <c r="AG52" s="1" t="str">
        <f aca="false">IF($B52=3,"DPF","")</f>
        <v/>
      </c>
      <c r="AH52" s="1" t="str">
        <f aca="false">IF($B52=3,"DPF","")</f>
        <v/>
      </c>
      <c r="AI52" s="1" t="str">
        <f aca="false">IF($B52=3,"PFI","")</f>
        <v/>
      </c>
      <c r="AJ52" s="1" t="str">
        <f aca="false">IF($B52=3,"PFI","")</f>
        <v/>
      </c>
      <c r="AK52" s="1" t="str">
        <f aca="false">IF($B52=3,"PFI","")</f>
        <v/>
      </c>
      <c r="AL52" s="1" t="str">
        <f aca="false">IF($B52=3,"PFI","")</f>
        <v/>
      </c>
      <c r="AM52" s="1" t="str">
        <f aca="false">IF($B52=3,"PFI","")</f>
        <v/>
      </c>
      <c r="AN52" s="1" t="str">
        <f aca="false">IF($B52=3,"PFI","")</f>
        <v/>
      </c>
      <c r="AO52" s="1" t="str">
        <f aca="false">IF($B52=3,"PFI","")</f>
        <v/>
      </c>
      <c r="AP52" s="1" t="str">
        <f aca="false">IF($B52=3,"PFI","")</f>
        <v/>
      </c>
      <c r="AQ52" s="1" t="str">
        <f aca="false">IF($B52=3,"PFI","")</f>
        <v/>
      </c>
      <c r="AR52" s="1" t="str">
        <f aca="false">IF($B52=3,"DPF","")</f>
        <v/>
      </c>
      <c r="AS52" s="1" t="str">
        <f aca="false">IF($B52=3,"DPF","")</f>
        <v/>
      </c>
      <c r="AT52" s="1" t="str">
        <f aca="false">IF($B52=3,"DPF","")</f>
        <v/>
      </c>
      <c r="AU52" s="1" t="str">
        <f aca="false">IF($B52=3,"DPF","")</f>
        <v/>
      </c>
      <c r="AV52" s="1" t="str">
        <f aca="false">IF($B52=3,"DPF","")</f>
        <v/>
      </c>
      <c r="AW52" s="1" t="str">
        <f aca="false">IF($B52=3,"DPF","")</f>
        <v/>
      </c>
      <c r="AX52" s="75"/>
      <c r="AY52" s="1" t="str">
        <f aca="false">IF($B52=3,"DPF","")</f>
        <v/>
      </c>
      <c r="AZ52" s="1" t="str">
        <f aca="false">IF($B52=3,"DPF","")</f>
        <v/>
      </c>
      <c r="BA52" s="1" t="str">
        <f aca="false">IF($B52=3,"DPF","")</f>
        <v/>
      </c>
      <c r="BB52" s="1" t="str">
        <f aca="false">IF($B52=3,"PFI","")</f>
        <v/>
      </c>
      <c r="BC52" s="1" t="str">
        <f aca="false">IF($B52=3,"PFI","")</f>
        <v/>
      </c>
      <c r="BD52" s="1" t="str">
        <f aca="false">IF($B52=3,"PFI","")</f>
        <v/>
      </c>
      <c r="BE52" s="1" t="str">
        <f aca="false">IF($B52=3,"DPF","")</f>
        <v/>
      </c>
      <c r="BF52" s="1" t="str">
        <f aca="false">IF($B52=3,"DPF","")</f>
        <v/>
      </c>
      <c r="BG52" s="1" t="str">
        <f aca="false">IF($B52=3,"PFI","")</f>
        <v/>
      </c>
      <c r="BH52" s="1" t="str">
        <f aca="false">IF($B52=3,"PFI","")</f>
        <v/>
      </c>
      <c r="BI52" s="1" t="str">
        <f aca="false">IF($B52=3,"DPF","")</f>
        <v/>
      </c>
      <c r="BJ52" s="75"/>
      <c r="BK52" s="1" t="str">
        <f aca="false">IF($B52=3,"PFI","")</f>
        <v/>
      </c>
      <c r="BL52" s="1" t="str">
        <f aca="false">IF($B52=3,"PFI","")</f>
        <v/>
      </c>
      <c r="BM52" s="1" t="str">
        <f aca="false">IF($B52=3,"PFI","")</f>
        <v/>
      </c>
      <c r="BN52" s="1" t="str">
        <f aca="false">IF($B52=3,"PFI","")</f>
        <v/>
      </c>
      <c r="BO52" s="1" t="str">
        <f aca="false">IF($B52=3,"PFI","")</f>
        <v/>
      </c>
    </row>
    <row r="53" customFormat="false" ht="12.75" hidden="false" customHeight="false" outlineLevel="0" collapsed="false">
      <c r="A53" s="1" t="n">
        <f aca="false">A52-1</f>
        <v>1974</v>
      </c>
      <c r="B53" s="1" t="s">
        <v>323</v>
      </c>
      <c r="C53" s="1" t="s">
        <v>323</v>
      </c>
      <c r="D53" s="1" t="s">
        <v>323</v>
      </c>
      <c r="E53" s="1" t="s">
        <v>323</v>
      </c>
      <c r="F53" s="1" t="str">
        <f aca="false">IF($B53=3,"PFI","")</f>
        <v/>
      </c>
      <c r="G53" s="1" t="str">
        <f aca="false">IF($B53=3,"PFI","")</f>
        <v/>
      </c>
      <c r="H53" s="1" t="str">
        <f aca="false">IF($B53=3,"PFI","")</f>
        <v/>
      </c>
      <c r="I53" s="1" t="str">
        <f aca="false">IF($B53=3,"PFI","")</f>
        <v/>
      </c>
      <c r="J53" s="1" t="str">
        <f aca="false">IF($B53=3,"PFI","")</f>
        <v/>
      </c>
      <c r="K53" s="1" t="str">
        <f aca="false">IF($B53=3,"PFI","")</f>
        <v/>
      </c>
      <c r="L53" s="1" t="str">
        <f aca="false">IF($B53=3,"DPF","")</f>
        <v/>
      </c>
      <c r="M53" s="1" t="str">
        <f aca="false">IF($B53=3,"DPF","")</f>
        <v/>
      </c>
      <c r="N53" s="1" t="str">
        <f aca="false">IF($B53=3,"DPF","")</f>
        <v/>
      </c>
      <c r="O53" s="1" t="str">
        <f aca="false">IF($B53=3,"PFI","")</f>
        <v/>
      </c>
      <c r="P53" s="1" t="str">
        <f aca="false">IF($B53=3,"PFI","")</f>
        <v/>
      </c>
      <c r="Q53" s="75"/>
      <c r="R53" s="1" t="str">
        <f aca="false">IF($B53=3,"PFI","")</f>
        <v/>
      </c>
      <c r="S53" s="1" t="str">
        <f aca="false">IF($B53=3,"PFI","")</f>
        <v/>
      </c>
      <c r="T53" s="1" t="str">
        <f aca="false">IF($B53=3,"PFI","")</f>
        <v/>
      </c>
      <c r="U53" s="1" t="str">
        <f aca="false">IF($B53=3,"DPF","")</f>
        <v/>
      </c>
      <c r="V53" s="1" t="str">
        <f aca="false">IF($B53=3,"DPF","")</f>
        <v/>
      </c>
      <c r="W53" s="1" t="str">
        <f aca="false">IF($B53=3,"DPF","")</f>
        <v/>
      </c>
      <c r="X53" s="1" t="str">
        <f aca="false">IF($B53=3,"DPF","")</f>
        <v/>
      </c>
      <c r="Y53" s="1" t="str">
        <f aca="false">IF($B53=3,"DPF","")</f>
        <v/>
      </c>
      <c r="Z53" s="1" t="str">
        <f aca="false">IF($B53=3,"DPF","")</f>
        <v/>
      </c>
      <c r="AA53" s="1" t="str">
        <f aca="false">IF($B53=3,"DPF","")</f>
        <v/>
      </c>
      <c r="AB53" s="1" t="str">
        <f aca="false">IF($B53=3,"DPF","")</f>
        <v/>
      </c>
      <c r="AC53" s="1" t="str">
        <f aca="false">IF($B53=3,"DPF","")</f>
        <v/>
      </c>
      <c r="AD53" s="1" t="str">
        <f aca="false">IF($B53=3,"DPF","")</f>
        <v/>
      </c>
      <c r="AE53" s="1" t="str">
        <f aca="false">IF($B53=3,"DPF","")</f>
        <v/>
      </c>
      <c r="AF53" s="1" t="str">
        <f aca="false">IF($B53=3,"DPF","")</f>
        <v/>
      </c>
      <c r="AG53" s="1" t="str">
        <f aca="false">IF($B53=3,"DPF","")</f>
        <v/>
      </c>
      <c r="AH53" s="1" t="str">
        <f aca="false">IF($B53=3,"DPF","")</f>
        <v/>
      </c>
      <c r="AI53" s="1" t="str">
        <f aca="false">IF($B53=3,"PFI","")</f>
        <v/>
      </c>
      <c r="AJ53" s="1" t="str">
        <f aca="false">IF($B53=3,"PFI","")</f>
        <v/>
      </c>
      <c r="AK53" s="1" t="str">
        <f aca="false">IF($B53=3,"PFI","")</f>
        <v/>
      </c>
      <c r="AL53" s="1" t="str">
        <f aca="false">IF($B53=3,"PFI","")</f>
        <v/>
      </c>
      <c r="AM53" s="1" t="str">
        <f aca="false">IF($B53=3,"PFI","")</f>
        <v/>
      </c>
      <c r="AN53" s="1" t="str">
        <f aca="false">IF($B53=3,"PFI","")</f>
        <v/>
      </c>
      <c r="AO53" s="1" t="str">
        <f aca="false">IF($B53=3,"PFI","")</f>
        <v/>
      </c>
      <c r="AP53" s="1" t="str">
        <f aca="false">IF($B53=3,"PFI","")</f>
        <v/>
      </c>
      <c r="AQ53" s="1" t="str">
        <f aca="false">IF($B53=3,"PFI","")</f>
        <v/>
      </c>
      <c r="AR53" s="1" t="str">
        <f aca="false">IF($B53=3,"DPF","")</f>
        <v/>
      </c>
      <c r="AS53" s="1" t="str">
        <f aca="false">IF($B53=3,"DPF","")</f>
        <v/>
      </c>
      <c r="AT53" s="1" t="str">
        <f aca="false">IF($B53=3,"DPF","")</f>
        <v/>
      </c>
      <c r="AU53" s="1" t="str">
        <f aca="false">IF($B53=3,"DPF","")</f>
        <v/>
      </c>
      <c r="AV53" s="1" t="str">
        <f aca="false">IF($B53=3,"DPF","")</f>
        <v/>
      </c>
      <c r="AW53" s="1" t="str">
        <f aca="false">IF($B53=3,"DPF","")</f>
        <v/>
      </c>
      <c r="AX53" s="75"/>
      <c r="AY53" s="1" t="str">
        <f aca="false">IF($B53=3,"DPF","")</f>
        <v/>
      </c>
      <c r="AZ53" s="1" t="str">
        <f aca="false">IF($B53=3,"DPF","")</f>
        <v/>
      </c>
      <c r="BA53" s="1" t="str">
        <f aca="false">IF($B53=3,"DPF","")</f>
        <v/>
      </c>
      <c r="BB53" s="1" t="str">
        <f aca="false">IF($B53=3,"PFI","")</f>
        <v/>
      </c>
      <c r="BC53" s="1" t="str">
        <f aca="false">IF($B53=3,"PFI","")</f>
        <v/>
      </c>
      <c r="BD53" s="1" t="str">
        <f aca="false">IF($B53=3,"PFI","")</f>
        <v/>
      </c>
      <c r="BE53" s="1" t="str">
        <f aca="false">IF($B53=3,"DPF","")</f>
        <v/>
      </c>
      <c r="BF53" s="1" t="str">
        <f aca="false">IF($B53=3,"DPF","")</f>
        <v/>
      </c>
      <c r="BG53" s="1" t="str">
        <f aca="false">IF($B53=3,"PFI","")</f>
        <v/>
      </c>
      <c r="BH53" s="1" t="str">
        <f aca="false">IF($B53=3,"PFI","")</f>
        <v/>
      </c>
      <c r="BI53" s="1" t="str">
        <f aca="false">IF($B53=3,"DPF","")</f>
        <v/>
      </c>
      <c r="BJ53" s="75"/>
      <c r="BK53" s="1" t="str">
        <f aca="false">IF($B53=3,"PFI","")</f>
        <v/>
      </c>
      <c r="BL53" s="1" t="str">
        <f aca="false">IF($B53=3,"PFI","")</f>
        <v/>
      </c>
      <c r="BM53" s="1" t="str">
        <f aca="false">IF($B53=3,"PFI","")</f>
        <v/>
      </c>
      <c r="BN53" s="1" t="str">
        <f aca="false">IF($B53=3,"PFI","")</f>
        <v/>
      </c>
      <c r="BO53" s="1" t="str">
        <f aca="false">IF($B53=3,"PFI","")</f>
        <v/>
      </c>
    </row>
    <row r="54" customFormat="false" ht="12.75" hidden="false" customHeight="false" outlineLevel="0" collapsed="false">
      <c r="A54" s="1" t="n">
        <f aca="false">A53-1</f>
        <v>1973</v>
      </c>
      <c r="B54" s="1" t="s">
        <v>323</v>
      </c>
      <c r="C54" s="1" t="s">
        <v>323</v>
      </c>
      <c r="D54" s="1" t="s">
        <v>323</v>
      </c>
      <c r="E54" s="1" t="s">
        <v>323</v>
      </c>
      <c r="F54" s="1" t="str">
        <f aca="false">IF($B54=3,"PFI","")</f>
        <v/>
      </c>
      <c r="G54" s="1" t="str">
        <f aca="false">IF($B54=3,"PFI","")</f>
        <v/>
      </c>
      <c r="H54" s="1" t="str">
        <f aca="false">IF($B54=3,"PFI","")</f>
        <v/>
      </c>
      <c r="I54" s="1" t="str">
        <f aca="false">IF($B54=3,"PFI","")</f>
        <v/>
      </c>
      <c r="J54" s="1" t="str">
        <f aca="false">IF($B54=3,"PFI","")</f>
        <v/>
      </c>
      <c r="K54" s="1" t="str">
        <f aca="false">IF($B54=3,"PFI","")</f>
        <v/>
      </c>
      <c r="L54" s="1" t="str">
        <f aca="false">IF($B54=3,"DPF","")</f>
        <v/>
      </c>
      <c r="M54" s="1" t="str">
        <f aca="false">IF($B54=3,"DPF","")</f>
        <v/>
      </c>
      <c r="N54" s="1" t="str">
        <f aca="false">IF($B54=3,"DPF","")</f>
        <v/>
      </c>
      <c r="O54" s="1" t="str">
        <f aca="false">IF($B54=3,"PFI","")</f>
        <v/>
      </c>
      <c r="P54" s="1" t="str">
        <f aca="false">IF($B54=3,"PFI","")</f>
        <v/>
      </c>
      <c r="Q54" s="75"/>
      <c r="R54" s="1" t="str">
        <f aca="false">IF($B54=3,"PFI","")</f>
        <v/>
      </c>
      <c r="S54" s="1" t="str">
        <f aca="false">IF($B54=3,"PFI","")</f>
        <v/>
      </c>
      <c r="T54" s="1" t="str">
        <f aca="false">IF($B54=3,"PFI","")</f>
        <v/>
      </c>
      <c r="U54" s="1" t="str">
        <f aca="false">IF($B54=3,"DPF","")</f>
        <v/>
      </c>
      <c r="V54" s="1" t="str">
        <f aca="false">IF($B54=3,"DPF","")</f>
        <v/>
      </c>
      <c r="W54" s="1" t="str">
        <f aca="false">IF($B54=3,"DPF","")</f>
        <v/>
      </c>
      <c r="X54" s="1" t="str">
        <f aca="false">IF($B54=3,"DPF","")</f>
        <v/>
      </c>
      <c r="Y54" s="1" t="str">
        <f aca="false">IF($B54=3,"DPF","")</f>
        <v/>
      </c>
      <c r="Z54" s="1" t="str">
        <f aca="false">IF($B54=3,"DPF","")</f>
        <v/>
      </c>
      <c r="AA54" s="1" t="str">
        <f aca="false">IF($B54=3,"DPF","")</f>
        <v/>
      </c>
      <c r="AB54" s="1" t="str">
        <f aca="false">IF($B54=3,"DPF","")</f>
        <v/>
      </c>
      <c r="AC54" s="1" t="str">
        <f aca="false">IF($B54=3,"DPF","")</f>
        <v/>
      </c>
      <c r="AD54" s="1" t="str">
        <f aca="false">IF($B54=3,"DPF","")</f>
        <v/>
      </c>
      <c r="AE54" s="1" t="str">
        <f aca="false">IF($B54=3,"DPF","")</f>
        <v/>
      </c>
      <c r="AF54" s="1" t="str">
        <f aca="false">IF($B54=3,"DPF","")</f>
        <v/>
      </c>
      <c r="AG54" s="1" t="str">
        <f aca="false">IF($B54=3,"DPF","")</f>
        <v/>
      </c>
      <c r="AH54" s="1" t="str">
        <f aca="false">IF($B54=3,"DPF","")</f>
        <v/>
      </c>
      <c r="AI54" s="1" t="str">
        <f aca="false">IF($B54=3,"PFI","")</f>
        <v/>
      </c>
      <c r="AJ54" s="1" t="str">
        <f aca="false">IF($B54=3,"PFI","")</f>
        <v/>
      </c>
      <c r="AK54" s="1" t="str">
        <f aca="false">IF($B54=3,"PFI","")</f>
        <v/>
      </c>
      <c r="AL54" s="1" t="str">
        <f aca="false">IF($B54=3,"PFI","")</f>
        <v/>
      </c>
      <c r="AM54" s="1" t="str">
        <f aca="false">IF($B54=3,"PFI","")</f>
        <v/>
      </c>
      <c r="AN54" s="1" t="str">
        <f aca="false">IF($B54=3,"PFI","")</f>
        <v/>
      </c>
      <c r="AO54" s="1" t="str">
        <f aca="false">IF($B54=3,"PFI","")</f>
        <v/>
      </c>
      <c r="AP54" s="1" t="str">
        <f aca="false">IF($B54=3,"PFI","")</f>
        <v/>
      </c>
      <c r="AQ54" s="1" t="str">
        <f aca="false">IF($B54=3,"PFI","")</f>
        <v/>
      </c>
      <c r="AR54" s="1" t="str">
        <f aca="false">IF($B54=3,"DPF","")</f>
        <v/>
      </c>
      <c r="AS54" s="1" t="str">
        <f aca="false">IF($B54=3,"DPF","")</f>
        <v/>
      </c>
      <c r="AT54" s="1" t="str">
        <f aca="false">IF($B54=3,"DPF","")</f>
        <v/>
      </c>
      <c r="AU54" s="1" t="str">
        <f aca="false">IF($B54=3,"DPF","")</f>
        <v/>
      </c>
      <c r="AV54" s="1" t="str">
        <f aca="false">IF($B54=3,"DPF","")</f>
        <v/>
      </c>
      <c r="AW54" s="1" t="str">
        <f aca="false">IF($B54=3,"DPF","")</f>
        <v/>
      </c>
      <c r="AX54" s="75"/>
      <c r="AY54" s="1" t="str">
        <f aca="false">IF($B54=3,"DPF","")</f>
        <v/>
      </c>
      <c r="AZ54" s="1" t="str">
        <f aca="false">IF($B54=3,"DPF","")</f>
        <v/>
      </c>
      <c r="BA54" s="1" t="str">
        <f aca="false">IF($B54=3,"DPF","")</f>
        <v/>
      </c>
      <c r="BB54" s="1" t="str">
        <f aca="false">IF($B54=3,"PFI","")</f>
        <v/>
      </c>
      <c r="BC54" s="1" t="str">
        <f aca="false">IF($B54=3,"PFI","")</f>
        <v/>
      </c>
      <c r="BD54" s="1" t="str">
        <f aca="false">IF($B54=3,"PFI","")</f>
        <v/>
      </c>
      <c r="BE54" s="1" t="str">
        <f aca="false">IF($B54=3,"DPF","")</f>
        <v/>
      </c>
      <c r="BF54" s="1" t="str">
        <f aca="false">IF($B54=3,"DPF","")</f>
        <v/>
      </c>
      <c r="BG54" s="1" t="str">
        <f aca="false">IF($B54=3,"PFI","")</f>
        <v/>
      </c>
      <c r="BH54" s="1" t="str">
        <f aca="false">IF($B54=3,"PFI","")</f>
        <v/>
      </c>
      <c r="BI54" s="1" t="str">
        <f aca="false">IF($B54=3,"DPF","")</f>
        <v/>
      </c>
      <c r="BJ54" s="75"/>
      <c r="BK54" s="1" t="str">
        <f aca="false">IF($B54=3,"PFI","")</f>
        <v/>
      </c>
      <c r="BL54" s="1" t="str">
        <f aca="false">IF($B54=3,"PFI","")</f>
        <v/>
      </c>
      <c r="BM54" s="1" t="str">
        <f aca="false">IF($B54=3,"PFI","")</f>
        <v/>
      </c>
      <c r="BN54" s="1" t="str">
        <f aca="false">IF($B54=3,"PFI","")</f>
        <v/>
      </c>
      <c r="BO54" s="1" t="str">
        <f aca="false">IF($B54=3,"PFI","")</f>
        <v/>
      </c>
    </row>
    <row r="55" customFormat="false" ht="12.75" hidden="false" customHeight="false" outlineLevel="0" collapsed="false">
      <c r="A55" s="1" t="n">
        <f aca="false">A54-1</f>
        <v>1972</v>
      </c>
      <c r="B55" s="1" t="s">
        <v>323</v>
      </c>
      <c r="C55" s="1" t="s">
        <v>323</v>
      </c>
      <c r="D55" s="1" t="s">
        <v>323</v>
      </c>
      <c r="E55" s="1" t="s">
        <v>323</v>
      </c>
      <c r="F55" s="1" t="str">
        <f aca="false">IF($B55=3,"PFI","")</f>
        <v/>
      </c>
      <c r="G55" s="1" t="str">
        <f aca="false">IF($B55=3,"PFI","")</f>
        <v/>
      </c>
      <c r="H55" s="1" t="str">
        <f aca="false">IF($B55=3,"PFI","")</f>
        <v/>
      </c>
      <c r="I55" s="1" t="str">
        <f aca="false">IF($B55=3,"PFI","")</f>
        <v/>
      </c>
      <c r="J55" s="1" t="str">
        <f aca="false">IF($B55=3,"PFI","")</f>
        <v/>
      </c>
      <c r="K55" s="1" t="str">
        <f aca="false">IF($B55=3,"PFI","")</f>
        <v/>
      </c>
      <c r="L55" s="1" t="str">
        <f aca="false">IF($B55=3,"DPF","")</f>
        <v/>
      </c>
      <c r="M55" s="1" t="str">
        <f aca="false">IF($B55=3,"DPF","")</f>
        <v/>
      </c>
      <c r="N55" s="1" t="str">
        <f aca="false">IF($B55=3,"DPF","")</f>
        <v/>
      </c>
      <c r="O55" s="1" t="str">
        <f aca="false">IF($B55=3,"PFI","")</f>
        <v/>
      </c>
      <c r="P55" s="1" t="str">
        <f aca="false">IF($B55=3,"PFI","")</f>
        <v/>
      </c>
      <c r="Q55" s="75"/>
      <c r="R55" s="1" t="str">
        <f aca="false">IF($B55=3,"PFI","")</f>
        <v/>
      </c>
      <c r="S55" s="1" t="str">
        <f aca="false">IF($B55=3,"PFI","")</f>
        <v/>
      </c>
      <c r="T55" s="1" t="str">
        <f aca="false">IF($B55=3,"PFI","")</f>
        <v/>
      </c>
      <c r="U55" s="1" t="str">
        <f aca="false">IF($B55=3,"DPF","")</f>
        <v/>
      </c>
      <c r="V55" s="1" t="str">
        <f aca="false">IF($B55=3,"DPF","")</f>
        <v/>
      </c>
      <c r="W55" s="1" t="str">
        <f aca="false">IF($B55=3,"DPF","")</f>
        <v/>
      </c>
      <c r="X55" s="1" t="str">
        <f aca="false">IF($B55=3,"DPF","")</f>
        <v/>
      </c>
      <c r="Y55" s="1" t="str">
        <f aca="false">IF($B55=3,"DPF","")</f>
        <v/>
      </c>
      <c r="Z55" s="1" t="str">
        <f aca="false">IF($B55=3,"DPF","")</f>
        <v/>
      </c>
      <c r="AA55" s="1" t="str">
        <f aca="false">IF($B55=3,"DPF","")</f>
        <v/>
      </c>
      <c r="AB55" s="1" t="str">
        <f aca="false">IF($B55=3,"DPF","")</f>
        <v/>
      </c>
      <c r="AC55" s="1" t="str">
        <f aca="false">IF($B55=3,"DPF","")</f>
        <v/>
      </c>
      <c r="AD55" s="1" t="str">
        <f aca="false">IF($B55=3,"DPF","")</f>
        <v/>
      </c>
      <c r="AE55" s="1" t="str">
        <f aca="false">IF($B55=3,"DPF","")</f>
        <v/>
      </c>
      <c r="AF55" s="1" t="str">
        <f aca="false">IF($B55=3,"DPF","")</f>
        <v/>
      </c>
      <c r="AG55" s="1" t="str">
        <f aca="false">IF($B55=3,"DPF","")</f>
        <v/>
      </c>
      <c r="AH55" s="1" t="str">
        <f aca="false">IF($B55=3,"DPF","")</f>
        <v/>
      </c>
      <c r="AI55" s="1" t="str">
        <f aca="false">IF($B55=3,"PFI","")</f>
        <v/>
      </c>
      <c r="AJ55" s="1" t="str">
        <f aca="false">IF($B55=3,"PFI","")</f>
        <v/>
      </c>
      <c r="AK55" s="1" t="str">
        <f aca="false">IF($B55=3,"PFI","")</f>
        <v/>
      </c>
      <c r="AL55" s="1" t="str">
        <f aca="false">IF($B55=3,"PFI","")</f>
        <v/>
      </c>
      <c r="AM55" s="1" t="str">
        <f aca="false">IF($B55=3,"PFI","")</f>
        <v/>
      </c>
      <c r="AN55" s="1" t="str">
        <f aca="false">IF($B55=3,"PFI","")</f>
        <v/>
      </c>
      <c r="AO55" s="1" t="str">
        <f aca="false">IF($B55=3,"PFI","")</f>
        <v/>
      </c>
      <c r="AP55" s="1" t="str">
        <f aca="false">IF($B55=3,"PFI","")</f>
        <v/>
      </c>
      <c r="AQ55" s="1" t="str">
        <f aca="false">IF($B55=3,"PFI","")</f>
        <v/>
      </c>
      <c r="AR55" s="1" t="str">
        <f aca="false">IF($B55=3,"DPF","")</f>
        <v/>
      </c>
      <c r="AS55" s="1" t="str">
        <f aca="false">IF($B55=3,"DPF","")</f>
        <v/>
      </c>
      <c r="AT55" s="1" t="str">
        <f aca="false">IF($B55=3,"DPF","")</f>
        <v/>
      </c>
      <c r="AU55" s="1" t="str">
        <f aca="false">IF($B55=3,"DPF","")</f>
        <v/>
      </c>
      <c r="AV55" s="1" t="str">
        <f aca="false">IF($B55=3,"DPF","")</f>
        <v/>
      </c>
      <c r="AW55" s="1" t="str">
        <f aca="false">IF($B55=3,"DPF","")</f>
        <v/>
      </c>
      <c r="AX55" s="75"/>
      <c r="AY55" s="1" t="str">
        <f aca="false">IF($B55=3,"DPF","")</f>
        <v/>
      </c>
      <c r="AZ55" s="1" t="str">
        <f aca="false">IF($B55=3,"DPF","")</f>
        <v/>
      </c>
      <c r="BA55" s="1" t="str">
        <f aca="false">IF($B55=3,"DPF","")</f>
        <v/>
      </c>
      <c r="BB55" s="1" t="str">
        <f aca="false">IF($B55=3,"PFI","")</f>
        <v/>
      </c>
      <c r="BC55" s="1" t="str">
        <f aca="false">IF($B55=3,"PFI","")</f>
        <v/>
      </c>
      <c r="BD55" s="1" t="str">
        <f aca="false">IF($B55=3,"PFI","")</f>
        <v/>
      </c>
      <c r="BE55" s="1" t="str">
        <f aca="false">IF($B55=3,"DPF","")</f>
        <v/>
      </c>
      <c r="BF55" s="1" t="str">
        <f aca="false">IF($B55=3,"DPF","")</f>
        <v/>
      </c>
      <c r="BG55" s="1" t="str">
        <f aca="false">IF($B55=3,"PFI","")</f>
        <v/>
      </c>
      <c r="BH55" s="1" t="str">
        <f aca="false">IF($B55=3,"PFI","")</f>
        <v/>
      </c>
      <c r="BI55" s="1" t="str">
        <f aca="false">IF($B55=3,"DPF","")</f>
        <v/>
      </c>
      <c r="BJ55" s="75"/>
      <c r="BK55" s="1" t="str">
        <f aca="false">IF($B55=3,"PFI","")</f>
        <v/>
      </c>
      <c r="BL55" s="1" t="str">
        <f aca="false">IF($B55=3,"PFI","")</f>
        <v/>
      </c>
      <c r="BM55" s="1" t="str">
        <f aca="false">IF($B55=3,"PFI","")</f>
        <v/>
      </c>
      <c r="BN55" s="1" t="str">
        <f aca="false">IF($B55=3,"PFI","")</f>
        <v/>
      </c>
      <c r="BO55" s="1" t="str">
        <f aca="false">IF($B55=3,"PFI","")</f>
        <v/>
      </c>
    </row>
    <row r="56" customFormat="false" ht="12.75" hidden="false" customHeight="false" outlineLevel="0" collapsed="false">
      <c r="A56" s="1" t="n">
        <f aca="false">A55-1</f>
        <v>1971</v>
      </c>
      <c r="B56" s="1" t="s">
        <v>323</v>
      </c>
      <c r="C56" s="1" t="s">
        <v>323</v>
      </c>
      <c r="D56" s="1" t="s">
        <v>323</v>
      </c>
      <c r="E56" s="1" t="s">
        <v>323</v>
      </c>
      <c r="F56" s="1" t="str">
        <f aca="false">IF($B56=3,"PFI","")</f>
        <v/>
      </c>
      <c r="G56" s="1" t="str">
        <f aca="false">IF($B56=3,"PFI","")</f>
        <v/>
      </c>
      <c r="H56" s="1" t="str">
        <f aca="false">IF($B56=3,"PFI","")</f>
        <v/>
      </c>
      <c r="I56" s="1" t="str">
        <f aca="false">IF($B56=3,"PFI","")</f>
        <v/>
      </c>
      <c r="J56" s="1" t="str">
        <f aca="false">IF($B56=3,"PFI","")</f>
        <v/>
      </c>
      <c r="K56" s="1" t="str">
        <f aca="false">IF($B56=3,"PFI","")</f>
        <v/>
      </c>
      <c r="L56" s="1" t="str">
        <f aca="false">IF($B56=3,"DPF","")</f>
        <v/>
      </c>
      <c r="M56" s="1" t="str">
        <f aca="false">IF($B56=3,"DPF","")</f>
        <v/>
      </c>
      <c r="N56" s="1" t="str">
        <f aca="false">IF($B56=3,"DPF","")</f>
        <v/>
      </c>
      <c r="O56" s="1" t="str">
        <f aca="false">IF($B56=3,"PFI","")</f>
        <v/>
      </c>
      <c r="P56" s="1" t="str">
        <f aca="false">IF($B56=3,"PFI","")</f>
        <v/>
      </c>
      <c r="Q56" s="75"/>
      <c r="R56" s="1" t="str">
        <f aca="false">IF($B56=3,"PFI","")</f>
        <v/>
      </c>
      <c r="S56" s="1" t="str">
        <f aca="false">IF($B56=3,"PFI","")</f>
        <v/>
      </c>
      <c r="T56" s="1" t="str">
        <f aca="false">IF($B56=3,"PFI","")</f>
        <v/>
      </c>
      <c r="U56" s="1" t="str">
        <f aca="false">IF($B56=3,"DPF","")</f>
        <v/>
      </c>
      <c r="V56" s="1" t="str">
        <f aca="false">IF($B56=3,"DPF","")</f>
        <v/>
      </c>
      <c r="W56" s="1" t="str">
        <f aca="false">IF($B56=3,"DPF","")</f>
        <v/>
      </c>
      <c r="X56" s="1" t="str">
        <f aca="false">IF($B56=3,"DPF","")</f>
        <v/>
      </c>
      <c r="Y56" s="1" t="str">
        <f aca="false">IF($B56=3,"DPF","")</f>
        <v/>
      </c>
      <c r="Z56" s="1" t="str">
        <f aca="false">IF($B56=3,"DPF","")</f>
        <v/>
      </c>
      <c r="AA56" s="1" t="str">
        <f aca="false">IF($B56=3,"DPF","")</f>
        <v/>
      </c>
      <c r="AB56" s="1" t="str">
        <f aca="false">IF($B56=3,"DPF","")</f>
        <v/>
      </c>
      <c r="AC56" s="1" t="str">
        <f aca="false">IF($B56=3,"DPF","")</f>
        <v/>
      </c>
      <c r="AD56" s="1" t="str">
        <f aca="false">IF($B56=3,"DPF","")</f>
        <v/>
      </c>
      <c r="AE56" s="1" t="str">
        <f aca="false">IF($B56=3,"DPF","")</f>
        <v/>
      </c>
      <c r="AF56" s="1" t="str">
        <f aca="false">IF($B56=3,"DPF","")</f>
        <v/>
      </c>
      <c r="AG56" s="1" t="str">
        <f aca="false">IF($B56=3,"DPF","")</f>
        <v/>
      </c>
      <c r="AH56" s="1" t="str">
        <f aca="false">IF($B56=3,"DPF","")</f>
        <v/>
      </c>
      <c r="AI56" s="1" t="str">
        <f aca="false">IF($B56=3,"PFI","")</f>
        <v/>
      </c>
      <c r="AJ56" s="1" t="str">
        <f aca="false">IF($B56=3,"PFI","")</f>
        <v/>
      </c>
      <c r="AK56" s="1" t="str">
        <f aca="false">IF($B56=3,"PFI","")</f>
        <v/>
      </c>
      <c r="AL56" s="1" t="str">
        <f aca="false">IF($B56=3,"PFI","")</f>
        <v/>
      </c>
      <c r="AM56" s="1" t="str">
        <f aca="false">IF($B56=3,"PFI","")</f>
        <v/>
      </c>
      <c r="AN56" s="1" t="str">
        <f aca="false">IF($B56=3,"PFI","")</f>
        <v/>
      </c>
      <c r="AO56" s="1" t="str">
        <f aca="false">IF($B56=3,"PFI","")</f>
        <v/>
      </c>
      <c r="AP56" s="1" t="str">
        <f aca="false">IF($B56=3,"PFI","")</f>
        <v/>
      </c>
      <c r="AQ56" s="1" t="str">
        <f aca="false">IF($B56=3,"PFI","")</f>
        <v/>
      </c>
      <c r="AR56" s="1" t="str">
        <f aca="false">IF($B56=3,"DPF","")</f>
        <v/>
      </c>
      <c r="AS56" s="1" t="str">
        <f aca="false">IF($B56=3,"DPF","")</f>
        <v/>
      </c>
      <c r="AT56" s="1" t="str">
        <f aca="false">IF($B56=3,"DPF","")</f>
        <v/>
      </c>
      <c r="AU56" s="1" t="str">
        <f aca="false">IF($B56=3,"DPF","")</f>
        <v/>
      </c>
      <c r="AV56" s="1" t="str">
        <f aca="false">IF($B56=3,"DPF","")</f>
        <v/>
      </c>
      <c r="AW56" s="1" t="str">
        <f aca="false">IF($B56=3,"DPF","")</f>
        <v/>
      </c>
      <c r="AX56" s="75"/>
      <c r="AY56" s="1" t="str">
        <f aca="false">IF($B56=3,"DPF","")</f>
        <v/>
      </c>
      <c r="AZ56" s="1" t="str">
        <f aca="false">IF($B56=3,"DPF","")</f>
        <v/>
      </c>
      <c r="BA56" s="1" t="str">
        <f aca="false">IF($B56=3,"DPF","")</f>
        <v/>
      </c>
      <c r="BB56" s="1" t="str">
        <f aca="false">IF($B56=3,"PFI","")</f>
        <v/>
      </c>
      <c r="BC56" s="1" t="str">
        <f aca="false">IF($B56=3,"PFI","")</f>
        <v/>
      </c>
      <c r="BD56" s="1" t="str">
        <f aca="false">IF($B56=3,"PFI","")</f>
        <v/>
      </c>
      <c r="BE56" s="1" t="str">
        <f aca="false">IF($B56=3,"DPF","")</f>
        <v/>
      </c>
      <c r="BF56" s="1" t="str">
        <f aca="false">IF($B56=3,"DPF","")</f>
        <v/>
      </c>
      <c r="BG56" s="1" t="str">
        <f aca="false">IF($B56=3,"PFI","")</f>
        <v/>
      </c>
      <c r="BH56" s="1" t="str">
        <f aca="false">IF($B56=3,"PFI","")</f>
        <v/>
      </c>
      <c r="BI56" s="1" t="str">
        <f aca="false">IF($B56=3,"DPF","")</f>
        <v/>
      </c>
      <c r="BJ56" s="75"/>
      <c r="BK56" s="1" t="str">
        <f aca="false">IF($B56=3,"PFI","")</f>
        <v/>
      </c>
      <c r="BL56" s="1" t="str">
        <f aca="false">IF($B56=3,"PFI","")</f>
        <v/>
      </c>
      <c r="BM56" s="1" t="str">
        <f aca="false">IF($B56=3,"PFI","")</f>
        <v/>
      </c>
      <c r="BN56" s="1" t="str">
        <f aca="false">IF($B56=3,"PFI","")</f>
        <v/>
      </c>
      <c r="BO56" s="1" t="str">
        <f aca="false">IF($B56=3,"PFI","")</f>
        <v/>
      </c>
    </row>
    <row r="57" customFormat="false" ht="12.75" hidden="false" customHeight="false" outlineLevel="0" collapsed="false">
      <c r="A57" s="1" t="n">
        <f aca="false">A56-1</f>
        <v>1970</v>
      </c>
      <c r="B57" s="1" t="s">
        <v>323</v>
      </c>
      <c r="C57" s="1" t="s">
        <v>323</v>
      </c>
      <c r="D57" s="1" t="s">
        <v>323</v>
      </c>
      <c r="E57" s="1" t="s">
        <v>323</v>
      </c>
      <c r="F57" s="1" t="str">
        <f aca="false">IF($B57=3,"PFI","")</f>
        <v/>
      </c>
      <c r="G57" s="1" t="str">
        <f aca="false">IF($B57=3,"PFI","")</f>
        <v/>
      </c>
      <c r="H57" s="1" t="str">
        <f aca="false">IF($B57=3,"PFI","")</f>
        <v/>
      </c>
      <c r="I57" s="1" t="str">
        <f aca="false">IF($B57=3,"PFI","")</f>
        <v/>
      </c>
      <c r="J57" s="1" t="str">
        <f aca="false">IF($B57=3,"PFI","")</f>
        <v/>
      </c>
      <c r="K57" s="1" t="str">
        <f aca="false">IF($B57=3,"PFI","")</f>
        <v/>
      </c>
      <c r="L57" s="1" t="str">
        <f aca="false">IF($B57=3,"DPF","")</f>
        <v/>
      </c>
      <c r="M57" s="1" t="str">
        <f aca="false">IF($B57=3,"DPF","")</f>
        <v/>
      </c>
      <c r="N57" s="1" t="str">
        <f aca="false">IF($B57=3,"DPF","")</f>
        <v/>
      </c>
      <c r="O57" s="1" t="str">
        <f aca="false">IF($B57=3,"PFI","")</f>
        <v/>
      </c>
      <c r="P57" s="1" t="str">
        <f aca="false">IF($B57=3,"PFI","")</f>
        <v/>
      </c>
      <c r="Q57" s="75"/>
      <c r="R57" s="1" t="str">
        <f aca="false">IF($B57=3,"PFI","")</f>
        <v/>
      </c>
      <c r="S57" s="1" t="str">
        <f aca="false">IF($B57=3,"PFI","")</f>
        <v/>
      </c>
      <c r="T57" s="1" t="str">
        <f aca="false">IF($B57=3,"PFI","")</f>
        <v/>
      </c>
      <c r="U57" s="1" t="str">
        <f aca="false">IF($B57=3,"DPF","")</f>
        <v/>
      </c>
      <c r="V57" s="1" t="str">
        <f aca="false">IF($B57=3,"DPF","")</f>
        <v/>
      </c>
      <c r="W57" s="1" t="str">
        <f aca="false">IF($B57=3,"DPF","")</f>
        <v/>
      </c>
      <c r="X57" s="1" t="str">
        <f aca="false">IF($B57=3,"DPF","")</f>
        <v/>
      </c>
      <c r="Y57" s="1" t="str">
        <f aca="false">IF($B57=3,"DPF","")</f>
        <v/>
      </c>
      <c r="Z57" s="1" t="str">
        <f aca="false">IF($B57=3,"DPF","")</f>
        <v/>
      </c>
      <c r="AA57" s="1" t="str">
        <f aca="false">IF($B57=3,"DPF","")</f>
        <v/>
      </c>
      <c r="AB57" s="1" t="str">
        <f aca="false">IF($B57=3,"DPF","")</f>
        <v/>
      </c>
      <c r="AC57" s="1" t="str">
        <f aca="false">IF($B57=3,"DPF","")</f>
        <v/>
      </c>
      <c r="AD57" s="1" t="str">
        <f aca="false">IF($B57=3,"DPF","")</f>
        <v/>
      </c>
      <c r="AE57" s="1" t="str">
        <f aca="false">IF($B57=3,"DPF","")</f>
        <v/>
      </c>
      <c r="AF57" s="1" t="str">
        <f aca="false">IF($B57=3,"DPF","")</f>
        <v/>
      </c>
      <c r="AG57" s="1" t="str">
        <f aca="false">IF($B57=3,"DPF","")</f>
        <v/>
      </c>
      <c r="AH57" s="1" t="str">
        <f aca="false">IF($B57=3,"DPF","")</f>
        <v/>
      </c>
      <c r="AI57" s="1" t="str">
        <f aca="false">IF($B57=3,"PFI","")</f>
        <v/>
      </c>
      <c r="AJ57" s="1" t="str">
        <f aca="false">IF($B57=3,"PFI","")</f>
        <v/>
      </c>
      <c r="AK57" s="1" t="str">
        <f aca="false">IF($B57=3,"PFI","")</f>
        <v/>
      </c>
      <c r="AL57" s="1" t="str">
        <f aca="false">IF($B57=3,"PFI","")</f>
        <v/>
      </c>
      <c r="AM57" s="1" t="str">
        <f aca="false">IF($B57=3,"PFI","")</f>
        <v/>
      </c>
      <c r="AN57" s="1" t="str">
        <f aca="false">IF($B57=3,"PFI","")</f>
        <v/>
      </c>
      <c r="AO57" s="1" t="str">
        <f aca="false">IF($B57=3,"PFI","")</f>
        <v/>
      </c>
      <c r="AP57" s="1" t="str">
        <f aca="false">IF($B57=3,"PFI","")</f>
        <v/>
      </c>
      <c r="AQ57" s="1" t="str">
        <f aca="false">IF($B57=3,"PFI","")</f>
        <v/>
      </c>
      <c r="AR57" s="1" t="str">
        <f aca="false">IF($B57=3,"DPF","")</f>
        <v/>
      </c>
      <c r="AS57" s="1" t="str">
        <f aca="false">IF($B57=3,"DPF","")</f>
        <v/>
      </c>
      <c r="AT57" s="1" t="str">
        <f aca="false">IF($B57=3,"DPF","")</f>
        <v/>
      </c>
      <c r="AU57" s="1" t="str">
        <f aca="false">IF($B57=3,"DPF","")</f>
        <v/>
      </c>
      <c r="AV57" s="1" t="str">
        <f aca="false">IF($B57=3,"DPF","")</f>
        <v/>
      </c>
      <c r="AW57" s="1" t="str">
        <f aca="false">IF($B57=3,"DPF","")</f>
        <v/>
      </c>
      <c r="AX57" s="75"/>
      <c r="AY57" s="1" t="str">
        <f aca="false">IF($B57=3,"DPF","")</f>
        <v/>
      </c>
      <c r="AZ57" s="1" t="str">
        <f aca="false">IF($B57=3,"DPF","")</f>
        <v/>
      </c>
      <c r="BA57" s="1" t="str">
        <f aca="false">IF($B57=3,"DPF","")</f>
        <v/>
      </c>
      <c r="BB57" s="1" t="str">
        <f aca="false">IF($B57=3,"PFI","")</f>
        <v/>
      </c>
      <c r="BC57" s="1" t="str">
        <f aca="false">IF($B57=3,"PFI","")</f>
        <v/>
      </c>
      <c r="BD57" s="1" t="str">
        <f aca="false">IF($B57=3,"PFI","")</f>
        <v/>
      </c>
      <c r="BE57" s="1" t="str">
        <f aca="false">IF($B57=3,"DPF","")</f>
        <v/>
      </c>
      <c r="BF57" s="1" t="str">
        <f aca="false">IF($B57=3,"DPF","")</f>
        <v/>
      </c>
      <c r="BG57" s="1" t="str">
        <f aca="false">IF($B57=3,"PFI","")</f>
        <v/>
      </c>
      <c r="BH57" s="1" t="str">
        <f aca="false">IF($B57=3,"PFI","")</f>
        <v/>
      </c>
      <c r="BI57" s="1" t="str">
        <f aca="false">IF($B57=3,"DPF","")</f>
        <v/>
      </c>
      <c r="BJ57" s="75"/>
      <c r="BK57" s="1" t="str">
        <f aca="false">IF($B57=3,"PFI","")</f>
        <v/>
      </c>
      <c r="BL57" s="1" t="str">
        <f aca="false">IF($B57=3,"PFI","")</f>
        <v/>
      </c>
      <c r="BM57" s="1" t="str">
        <f aca="false">IF($B57=3,"PFI","")</f>
        <v/>
      </c>
      <c r="BN57" s="1" t="str">
        <f aca="false">IF($B57=3,"PFI","")</f>
        <v/>
      </c>
      <c r="BO57" s="1" t="str">
        <f aca="false">IF($B57=3,"PFI","")</f>
        <v/>
      </c>
    </row>
    <row r="58" customFormat="false" ht="12.75" hidden="false" customHeight="false" outlineLevel="0" collapsed="false">
      <c r="A58" s="1" t="n">
        <f aca="false">A57-1</f>
        <v>1969</v>
      </c>
      <c r="B58" s="1" t="s">
        <v>323</v>
      </c>
      <c r="C58" s="1" t="s">
        <v>323</v>
      </c>
      <c r="D58" s="1" t="s">
        <v>323</v>
      </c>
      <c r="E58" s="1" t="s">
        <v>323</v>
      </c>
      <c r="F58" s="1" t="str">
        <f aca="false">IF($B58=3,"PFI","")</f>
        <v/>
      </c>
      <c r="G58" s="1" t="str">
        <f aca="false">IF($B58=3,"PFI","")</f>
        <v/>
      </c>
      <c r="H58" s="1" t="str">
        <f aca="false">IF($B58=3,"PFI","")</f>
        <v/>
      </c>
      <c r="I58" s="1" t="str">
        <f aca="false">IF($B58=3,"PFI","")</f>
        <v/>
      </c>
      <c r="J58" s="1" t="str">
        <f aca="false">IF($B58=3,"PFI","")</f>
        <v/>
      </c>
      <c r="K58" s="1" t="str">
        <f aca="false">IF($B58=3,"PFI","")</f>
        <v/>
      </c>
      <c r="L58" s="1" t="str">
        <f aca="false">IF($B58=3,"DPF","")</f>
        <v/>
      </c>
      <c r="M58" s="1" t="str">
        <f aca="false">IF($B58=3,"DPF","")</f>
        <v/>
      </c>
      <c r="N58" s="1" t="str">
        <f aca="false">IF($B58=3,"DPF","")</f>
        <v/>
      </c>
      <c r="O58" s="1" t="str">
        <f aca="false">IF($B58=3,"PFI","")</f>
        <v/>
      </c>
      <c r="P58" s="1" t="str">
        <f aca="false">IF($B58=3,"PFI","")</f>
        <v/>
      </c>
      <c r="Q58" s="75"/>
      <c r="R58" s="1" t="str">
        <f aca="false">IF($B58=3,"PFI","")</f>
        <v/>
      </c>
      <c r="S58" s="1" t="str">
        <f aca="false">IF($B58=3,"PFI","")</f>
        <v/>
      </c>
      <c r="T58" s="1" t="str">
        <f aca="false">IF($B58=3,"PFI","")</f>
        <v/>
      </c>
      <c r="U58" s="1" t="str">
        <f aca="false">IF($B58=3,"DPF","")</f>
        <v/>
      </c>
      <c r="V58" s="1" t="str">
        <f aca="false">IF($B58=3,"DPF","")</f>
        <v/>
      </c>
      <c r="W58" s="1" t="str">
        <f aca="false">IF($B58=3,"DPF","")</f>
        <v/>
      </c>
      <c r="X58" s="1" t="str">
        <f aca="false">IF($B58=3,"DPF","")</f>
        <v/>
      </c>
      <c r="Y58" s="1" t="str">
        <f aca="false">IF($B58=3,"DPF","")</f>
        <v/>
      </c>
      <c r="Z58" s="1" t="str">
        <f aca="false">IF($B58=3,"DPF","")</f>
        <v/>
      </c>
      <c r="AA58" s="1" t="str">
        <f aca="false">IF($B58=3,"DPF","")</f>
        <v/>
      </c>
      <c r="AB58" s="1" t="str">
        <f aca="false">IF($B58=3,"DPF","")</f>
        <v/>
      </c>
      <c r="AC58" s="1" t="str">
        <f aca="false">IF($B58=3,"DPF","")</f>
        <v/>
      </c>
      <c r="AD58" s="1" t="str">
        <f aca="false">IF($B58=3,"DPF","")</f>
        <v/>
      </c>
      <c r="AE58" s="1" t="str">
        <f aca="false">IF($B58=3,"DPF","")</f>
        <v/>
      </c>
      <c r="AF58" s="1" t="str">
        <f aca="false">IF($B58=3,"DPF","")</f>
        <v/>
      </c>
      <c r="AG58" s="1" t="str">
        <f aca="false">IF($B58=3,"DPF","")</f>
        <v/>
      </c>
      <c r="AH58" s="1" t="str">
        <f aca="false">IF($B58=3,"DPF","")</f>
        <v/>
      </c>
      <c r="AI58" s="1" t="str">
        <f aca="false">IF($B58=3,"PFI","")</f>
        <v/>
      </c>
      <c r="AJ58" s="1" t="str">
        <f aca="false">IF($B58=3,"PFI","")</f>
        <v/>
      </c>
      <c r="AK58" s="1" t="str">
        <f aca="false">IF($B58=3,"PFI","")</f>
        <v/>
      </c>
      <c r="AL58" s="1" t="str">
        <f aca="false">IF($B58=3,"PFI","")</f>
        <v/>
      </c>
      <c r="AM58" s="1" t="str">
        <f aca="false">IF($B58=3,"PFI","")</f>
        <v/>
      </c>
      <c r="AN58" s="1" t="str">
        <f aca="false">IF($B58=3,"PFI","")</f>
        <v/>
      </c>
      <c r="AO58" s="1" t="str">
        <f aca="false">IF($B58=3,"PFI","")</f>
        <v/>
      </c>
      <c r="AP58" s="1" t="str">
        <f aca="false">IF($B58=3,"PFI","")</f>
        <v/>
      </c>
      <c r="AQ58" s="1" t="str">
        <f aca="false">IF($B58=3,"PFI","")</f>
        <v/>
      </c>
      <c r="AR58" s="1" t="str">
        <f aca="false">IF($B58=3,"DPF","")</f>
        <v/>
      </c>
      <c r="AS58" s="1" t="str">
        <f aca="false">IF($B58=3,"DPF","")</f>
        <v/>
      </c>
      <c r="AT58" s="1" t="str">
        <f aca="false">IF($B58=3,"DPF","")</f>
        <v/>
      </c>
      <c r="AU58" s="1" t="str">
        <f aca="false">IF($B58=3,"DPF","")</f>
        <v/>
      </c>
      <c r="AV58" s="1" t="str">
        <f aca="false">IF($B58=3,"DPF","")</f>
        <v/>
      </c>
      <c r="AW58" s="1" t="str">
        <f aca="false">IF($B58=3,"DPF","")</f>
        <v/>
      </c>
      <c r="AX58" s="75"/>
      <c r="AY58" s="1" t="str">
        <f aca="false">IF($B58=3,"DPF","")</f>
        <v/>
      </c>
      <c r="AZ58" s="1" t="str">
        <f aca="false">IF($B58=3,"DPF","")</f>
        <v/>
      </c>
      <c r="BA58" s="1" t="str">
        <f aca="false">IF($B58=3,"DPF","")</f>
        <v/>
      </c>
      <c r="BB58" s="1" t="str">
        <f aca="false">IF($B58=3,"PFI","")</f>
        <v/>
      </c>
      <c r="BC58" s="1" t="str">
        <f aca="false">IF($B58=3,"PFI","")</f>
        <v/>
      </c>
      <c r="BD58" s="1" t="str">
        <f aca="false">IF($B58=3,"PFI","")</f>
        <v/>
      </c>
      <c r="BE58" s="1" t="str">
        <f aca="false">IF($B58=3,"DPF","")</f>
        <v/>
      </c>
      <c r="BF58" s="1" t="str">
        <f aca="false">IF($B58=3,"DPF","")</f>
        <v/>
      </c>
      <c r="BG58" s="1" t="str">
        <f aca="false">IF($B58=3,"PFI","")</f>
        <v/>
      </c>
      <c r="BH58" s="1" t="str">
        <f aca="false">IF($B58=3,"PFI","")</f>
        <v/>
      </c>
      <c r="BI58" s="1" t="str">
        <f aca="false">IF($B58=3,"DPF","")</f>
        <v/>
      </c>
      <c r="BJ58" s="75"/>
      <c r="BK58" s="1" t="str">
        <f aca="false">IF($B58=3,"PFI","")</f>
        <v/>
      </c>
      <c r="BL58" s="1" t="str">
        <f aca="false">IF($B58=3,"PFI","")</f>
        <v/>
      </c>
      <c r="BM58" s="1" t="str">
        <f aca="false">IF($B58=3,"PFI","")</f>
        <v/>
      </c>
      <c r="BN58" s="1" t="str">
        <f aca="false">IF($B58=3,"PFI","")</f>
        <v/>
      </c>
      <c r="BO58" s="1" t="str">
        <f aca="false">IF($B58=3,"PFI","")</f>
        <v/>
      </c>
    </row>
    <row r="59" customFormat="false" ht="12.75" hidden="false" customHeight="false" outlineLevel="0" collapsed="false">
      <c r="A59" s="1" t="n">
        <f aca="false">A58-1</f>
        <v>1968</v>
      </c>
      <c r="B59" s="1" t="s">
        <v>323</v>
      </c>
      <c r="C59" s="1" t="s">
        <v>323</v>
      </c>
      <c r="D59" s="1" t="s">
        <v>323</v>
      </c>
      <c r="E59" s="1" t="s">
        <v>323</v>
      </c>
      <c r="F59" s="1" t="str">
        <f aca="false">IF($B59=3,"PFI","")</f>
        <v/>
      </c>
      <c r="G59" s="1" t="str">
        <f aca="false">IF($B59=3,"PFI","")</f>
        <v/>
      </c>
      <c r="H59" s="1" t="str">
        <f aca="false">IF($B59=3,"PFI","")</f>
        <v/>
      </c>
      <c r="I59" s="1" t="str">
        <f aca="false">IF($B59=3,"PFI","")</f>
        <v/>
      </c>
      <c r="J59" s="1" t="str">
        <f aca="false">IF($B59=3,"PFI","")</f>
        <v/>
      </c>
      <c r="K59" s="1" t="str">
        <f aca="false">IF($B59=3,"PFI","")</f>
        <v/>
      </c>
      <c r="L59" s="1" t="str">
        <f aca="false">IF($B59=3,"DPF","")</f>
        <v/>
      </c>
      <c r="M59" s="1" t="str">
        <f aca="false">IF($B59=3,"DPF","")</f>
        <v/>
      </c>
      <c r="N59" s="1" t="str">
        <f aca="false">IF($B59=3,"DPF","")</f>
        <v/>
      </c>
      <c r="O59" s="1" t="str">
        <f aca="false">IF($B59=3,"PFI","")</f>
        <v/>
      </c>
      <c r="P59" s="1" t="str">
        <f aca="false">IF($B59=3,"PFI","")</f>
        <v/>
      </c>
      <c r="Q59" s="75"/>
      <c r="R59" s="1" t="str">
        <f aca="false">IF($B59=3,"PFI","")</f>
        <v/>
      </c>
      <c r="S59" s="1" t="str">
        <f aca="false">IF($B59=3,"PFI","")</f>
        <v/>
      </c>
      <c r="T59" s="1" t="str">
        <f aca="false">IF($B59=3,"PFI","")</f>
        <v/>
      </c>
      <c r="U59" s="1" t="str">
        <f aca="false">IF($B59=3,"DPF","")</f>
        <v/>
      </c>
      <c r="V59" s="1" t="str">
        <f aca="false">IF($B59=3,"DPF","")</f>
        <v/>
      </c>
      <c r="W59" s="1" t="str">
        <f aca="false">IF($B59=3,"DPF","")</f>
        <v/>
      </c>
      <c r="X59" s="1" t="str">
        <f aca="false">IF($B59=3,"DPF","")</f>
        <v/>
      </c>
      <c r="Y59" s="1" t="str">
        <f aca="false">IF($B59=3,"DPF","")</f>
        <v/>
      </c>
      <c r="Z59" s="1" t="str">
        <f aca="false">IF($B59=3,"DPF","")</f>
        <v/>
      </c>
      <c r="AA59" s="1" t="str">
        <f aca="false">IF($B59=3,"DPF","")</f>
        <v/>
      </c>
      <c r="AB59" s="1" t="str">
        <f aca="false">IF($B59=3,"DPF","")</f>
        <v/>
      </c>
      <c r="AC59" s="1" t="str">
        <f aca="false">IF($B59=3,"DPF","")</f>
        <v/>
      </c>
      <c r="AD59" s="1" t="str">
        <f aca="false">IF($B59=3,"DPF","")</f>
        <v/>
      </c>
      <c r="AE59" s="1" t="str">
        <f aca="false">IF($B59=3,"DPF","")</f>
        <v/>
      </c>
      <c r="AF59" s="1" t="str">
        <f aca="false">IF($B59=3,"DPF","")</f>
        <v/>
      </c>
      <c r="AG59" s="1" t="str">
        <f aca="false">IF($B59=3,"DPF","")</f>
        <v/>
      </c>
      <c r="AH59" s="1" t="str">
        <f aca="false">IF($B59=3,"DPF","")</f>
        <v/>
      </c>
      <c r="AI59" s="1" t="str">
        <f aca="false">IF($B59=3,"PFI","")</f>
        <v/>
      </c>
      <c r="AJ59" s="1" t="str">
        <f aca="false">IF($B59=3,"PFI","")</f>
        <v/>
      </c>
      <c r="AK59" s="1" t="str">
        <f aca="false">IF($B59=3,"PFI","")</f>
        <v/>
      </c>
      <c r="AL59" s="1" t="str">
        <f aca="false">IF($B59=3,"PFI","")</f>
        <v/>
      </c>
      <c r="AM59" s="1" t="str">
        <f aca="false">IF($B59=3,"PFI","")</f>
        <v/>
      </c>
      <c r="AN59" s="1" t="str">
        <f aca="false">IF($B59=3,"PFI","")</f>
        <v/>
      </c>
      <c r="AO59" s="1" t="str">
        <f aca="false">IF($B59=3,"PFI","")</f>
        <v/>
      </c>
      <c r="AP59" s="1" t="str">
        <f aca="false">IF($B59=3,"PFI","")</f>
        <v/>
      </c>
      <c r="AQ59" s="1" t="str">
        <f aca="false">IF($B59=3,"PFI","")</f>
        <v/>
      </c>
      <c r="AR59" s="1" t="str">
        <f aca="false">IF($B59=3,"DPF","")</f>
        <v/>
      </c>
      <c r="AS59" s="1" t="str">
        <f aca="false">IF($B59=3,"DPF","")</f>
        <v/>
      </c>
      <c r="AT59" s="1" t="str">
        <f aca="false">IF($B59=3,"DPF","")</f>
        <v/>
      </c>
      <c r="AU59" s="1" t="str">
        <f aca="false">IF($B59=3,"DPF","")</f>
        <v/>
      </c>
      <c r="AV59" s="1" t="str">
        <f aca="false">IF($B59=3,"DPF","")</f>
        <v/>
      </c>
      <c r="AW59" s="1" t="str">
        <f aca="false">IF($B59=3,"DPF","")</f>
        <v/>
      </c>
      <c r="AX59" s="75"/>
      <c r="AY59" s="1" t="str">
        <f aca="false">IF($B59=3,"DPF","")</f>
        <v/>
      </c>
      <c r="AZ59" s="1" t="str">
        <f aca="false">IF($B59=3,"DPF","")</f>
        <v/>
      </c>
      <c r="BA59" s="1" t="str">
        <f aca="false">IF($B59=3,"DPF","")</f>
        <v/>
      </c>
      <c r="BB59" s="1" t="str">
        <f aca="false">IF($B59=3,"PFI","")</f>
        <v/>
      </c>
      <c r="BC59" s="1" t="str">
        <f aca="false">IF($B59=3,"PFI","")</f>
        <v/>
      </c>
      <c r="BD59" s="1" t="str">
        <f aca="false">IF($B59=3,"PFI","")</f>
        <v/>
      </c>
      <c r="BE59" s="1" t="str">
        <f aca="false">IF($B59=3,"DPF","")</f>
        <v/>
      </c>
      <c r="BF59" s="1" t="str">
        <f aca="false">IF($B59=3,"DPF","")</f>
        <v/>
      </c>
      <c r="BG59" s="1" t="str">
        <f aca="false">IF($B59=3,"PFI","")</f>
        <v/>
      </c>
      <c r="BH59" s="1" t="str">
        <f aca="false">IF($B59=3,"PFI","")</f>
        <v/>
      </c>
      <c r="BI59" s="1" t="str">
        <f aca="false">IF($B59=3,"DPF","")</f>
        <v/>
      </c>
      <c r="BJ59" s="75"/>
      <c r="BK59" s="1" t="str">
        <f aca="false">IF($B59=3,"PFI","")</f>
        <v/>
      </c>
      <c r="BL59" s="1" t="str">
        <f aca="false">IF($B59=3,"PFI","")</f>
        <v/>
      </c>
      <c r="BM59" s="1" t="str">
        <f aca="false">IF($B59=3,"PFI","")</f>
        <v/>
      </c>
      <c r="BN59" s="1" t="str">
        <f aca="false">IF($B59=3,"PFI","")</f>
        <v/>
      </c>
      <c r="BO59" s="1" t="str">
        <f aca="false">IF($B59=3,"PFI","")</f>
        <v/>
      </c>
    </row>
    <row r="60" customFormat="false" ht="12.75" hidden="false" customHeight="false" outlineLevel="0" collapsed="false">
      <c r="A60" s="1" t="n">
        <f aca="false">A59-1</f>
        <v>1967</v>
      </c>
      <c r="B60" s="1" t="s">
        <v>323</v>
      </c>
      <c r="C60" s="1" t="s">
        <v>323</v>
      </c>
      <c r="D60" s="1" t="s">
        <v>323</v>
      </c>
      <c r="E60" s="1" t="s">
        <v>323</v>
      </c>
      <c r="F60" s="1" t="str">
        <f aca="false">IF($B60=3,"PFI","")</f>
        <v/>
      </c>
      <c r="G60" s="1" t="str">
        <f aca="false">IF($B60=3,"PFI","")</f>
        <v/>
      </c>
      <c r="H60" s="1" t="str">
        <f aca="false">IF($B60=3,"PFI","")</f>
        <v/>
      </c>
      <c r="I60" s="1" t="str">
        <f aca="false">IF($B60=3,"PFI","")</f>
        <v/>
      </c>
      <c r="J60" s="1" t="str">
        <f aca="false">IF($B60=3,"PFI","")</f>
        <v/>
      </c>
      <c r="K60" s="1" t="str">
        <f aca="false">IF($B60=3,"PFI","")</f>
        <v/>
      </c>
      <c r="L60" s="1" t="str">
        <f aca="false">IF($B60=3,"DPF","")</f>
        <v/>
      </c>
      <c r="M60" s="1" t="str">
        <f aca="false">IF($B60=3,"DPF","")</f>
        <v/>
      </c>
      <c r="N60" s="1" t="str">
        <f aca="false">IF($B60=3,"DPF","")</f>
        <v/>
      </c>
      <c r="O60" s="1" t="str">
        <f aca="false">IF($B60=3,"PFI","")</f>
        <v/>
      </c>
      <c r="P60" s="1" t="str">
        <f aca="false">IF($B60=3,"PFI","")</f>
        <v/>
      </c>
      <c r="Q60" s="75"/>
      <c r="R60" s="1" t="str">
        <f aca="false">IF($B60=3,"PFI","")</f>
        <v/>
      </c>
      <c r="S60" s="1" t="str">
        <f aca="false">IF($B60=3,"PFI","")</f>
        <v/>
      </c>
      <c r="T60" s="1" t="str">
        <f aca="false">IF($B60=3,"PFI","")</f>
        <v/>
      </c>
      <c r="U60" s="1" t="str">
        <f aca="false">IF($B60=3,"DPF","")</f>
        <v/>
      </c>
      <c r="V60" s="1" t="str">
        <f aca="false">IF($B60=3,"DPF","")</f>
        <v/>
      </c>
      <c r="W60" s="1" t="str">
        <f aca="false">IF($B60=3,"DPF","")</f>
        <v/>
      </c>
      <c r="X60" s="1" t="str">
        <f aca="false">IF($B60=3,"DPF","")</f>
        <v/>
      </c>
      <c r="Y60" s="1" t="str">
        <f aca="false">IF($B60=3,"DPF","")</f>
        <v/>
      </c>
      <c r="Z60" s="1" t="str">
        <f aca="false">IF($B60=3,"DPF","")</f>
        <v/>
      </c>
      <c r="AA60" s="1" t="str">
        <f aca="false">IF($B60=3,"DPF","")</f>
        <v/>
      </c>
      <c r="AB60" s="1" t="str">
        <f aca="false">IF($B60=3,"DPF","")</f>
        <v/>
      </c>
      <c r="AC60" s="1" t="str">
        <f aca="false">IF($B60=3,"DPF","")</f>
        <v/>
      </c>
      <c r="AD60" s="1" t="str">
        <f aca="false">IF($B60=3,"DPF","")</f>
        <v/>
      </c>
      <c r="AE60" s="1" t="str">
        <f aca="false">IF($B60=3,"DPF","")</f>
        <v/>
      </c>
      <c r="AF60" s="1" t="str">
        <f aca="false">IF($B60=3,"DPF","")</f>
        <v/>
      </c>
      <c r="AG60" s="1" t="str">
        <f aca="false">IF($B60=3,"DPF","")</f>
        <v/>
      </c>
      <c r="AH60" s="1" t="str">
        <f aca="false">IF($B60=3,"DPF","")</f>
        <v/>
      </c>
      <c r="AI60" s="1" t="str">
        <f aca="false">IF($B60=3,"PFI","")</f>
        <v/>
      </c>
      <c r="AJ60" s="1" t="str">
        <f aca="false">IF($B60=3,"PFI","")</f>
        <v/>
      </c>
      <c r="AK60" s="1" t="str">
        <f aca="false">IF($B60=3,"PFI","")</f>
        <v/>
      </c>
      <c r="AL60" s="1" t="str">
        <f aca="false">IF($B60=3,"PFI","")</f>
        <v/>
      </c>
      <c r="AM60" s="1" t="str">
        <f aca="false">IF($B60=3,"PFI","")</f>
        <v/>
      </c>
      <c r="AN60" s="1" t="str">
        <f aca="false">IF($B60=3,"PFI","")</f>
        <v/>
      </c>
      <c r="AO60" s="1" t="str">
        <f aca="false">IF($B60=3,"PFI","")</f>
        <v/>
      </c>
      <c r="AP60" s="1" t="str">
        <f aca="false">IF($B60=3,"PFI","")</f>
        <v/>
      </c>
      <c r="AQ60" s="1" t="str">
        <f aca="false">IF($B60=3,"PFI","")</f>
        <v/>
      </c>
      <c r="AR60" s="1" t="str">
        <f aca="false">IF($B60=3,"DPF","")</f>
        <v/>
      </c>
      <c r="AS60" s="1" t="str">
        <f aca="false">IF($B60=3,"DPF","")</f>
        <v/>
      </c>
      <c r="AT60" s="1" t="str">
        <f aca="false">IF($B60=3,"DPF","")</f>
        <v/>
      </c>
      <c r="AU60" s="1" t="str">
        <f aca="false">IF($B60=3,"DPF","")</f>
        <v/>
      </c>
      <c r="AV60" s="1" t="str">
        <f aca="false">IF($B60=3,"DPF","")</f>
        <v/>
      </c>
      <c r="AW60" s="1" t="str">
        <f aca="false">IF($B60=3,"DPF","")</f>
        <v/>
      </c>
      <c r="AX60" s="75"/>
      <c r="AY60" s="1" t="str">
        <f aca="false">IF($B60=3,"DPF","")</f>
        <v/>
      </c>
      <c r="AZ60" s="1" t="str">
        <f aca="false">IF($B60=3,"DPF","")</f>
        <v/>
      </c>
      <c r="BA60" s="1" t="str">
        <f aca="false">IF($B60=3,"DPF","")</f>
        <v/>
      </c>
      <c r="BB60" s="1" t="str">
        <f aca="false">IF($B60=3,"PFI","")</f>
        <v/>
      </c>
      <c r="BC60" s="1" t="str">
        <f aca="false">IF($B60=3,"PFI","")</f>
        <v/>
      </c>
      <c r="BD60" s="1" t="str">
        <f aca="false">IF($B60=3,"PFI","")</f>
        <v/>
      </c>
      <c r="BE60" s="1" t="str">
        <f aca="false">IF($B60=3,"DPF","")</f>
        <v/>
      </c>
      <c r="BF60" s="1" t="str">
        <f aca="false">IF($B60=3,"DPF","")</f>
        <v/>
      </c>
      <c r="BG60" s="1" t="str">
        <f aca="false">IF($B60=3,"PFI","")</f>
        <v/>
      </c>
      <c r="BH60" s="1" t="str">
        <f aca="false">IF($B60=3,"PFI","")</f>
        <v/>
      </c>
      <c r="BI60" s="1" t="str">
        <f aca="false">IF($B60=3,"DPF","")</f>
        <v/>
      </c>
      <c r="BJ60" s="75"/>
      <c r="BK60" s="1" t="str">
        <f aca="false">IF($B60=3,"PFI","")</f>
        <v/>
      </c>
      <c r="BL60" s="1" t="str">
        <f aca="false">IF($B60=3,"PFI","")</f>
        <v/>
      </c>
      <c r="BM60" s="1" t="str">
        <f aca="false">IF($B60=3,"PFI","")</f>
        <v/>
      </c>
      <c r="BN60" s="1" t="str">
        <f aca="false">IF($B60=3,"PFI","")</f>
        <v/>
      </c>
      <c r="BO60" s="1" t="str">
        <f aca="false">IF($B60=3,"PFI","")</f>
        <v/>
      </c>
    </row>
    <row r="61" customFormat="false" ht="12.75" hidden="false" customHeight="false" outlineLevel="0" collapsed="false">
      <c r="A61" s="1" t="n">
        <f aca="false">A60-1</f>
        <v>1966</v>
      </c>
      <c r="B61" s="1" t="s">
        <v>323</v>
      </c>
      <c r="C61" s="1" t="s">
        <v>323</v>
      </c>
      <c r="D61" s="1" t="s">
        <v>323</v>
      </c>
      <c r="E61" s="1" t="s">
        <v>323</v>
      </c>
      <c r="F61" s="1" t="str">
        <f aca="false">IF($B61=3,"PFI","")</f>
        <v/>
      </c>
      <c r="G61" s="1" t="str">
        <f aca="false">IF($B61=3,"PFI","")</f>
        <v/>
      </c>
      <c r="H61" s="1" t="str">
        <f aca="false">IF($B61=3,"PFI","")</f>
        <v/>
      </c>
      <c r="I61" s="1" t="str">
        <f aca="false">IF($B61=3,"PFI","")</f>
        <v/>
      </c>
      <c r="J61" s="1" t="str">
        <f aca="false">IF($B61=3,"PFI","")</f>
        <v/>
      </c>
      <c r="K61" s="1" t="str">
        <f aca="false">IF($B61=3,"PFI","")</f>
        <v/>
      </c>
      <c r="L61" s="1" t="str">
        <f aca="false">IF($B61=3,"DPF","")</f>
        <v/>
      </c>
      <c r="M61" s="1" t="str">
        <f aca="false">IF($B61=3,"DPF","")</f>
        <v/>
      </c>
      <c r="N61" s="1" t="str">
        <f aca="false">IF($B61=3,"DPF","")</f>
        <v/>
      </c>
      <c r="O61" s="1" t="str">
        <f aca="false">IF($B61=3,"PFI","")</f>
        <v/>
      </c>
      <c r="P61" s="1" t="str">
        <f aca="false">IF($B61=3,"PFI","")</f>
        <v/>
      </c>
      <c r="Q61" s="75"/>
      <c r="R61" s="1" t="str">
        <f aca="false">IF($B61=3,"PFI","")</f>
        <v/>
      </c>
      <c r="S61" s="1" t="str">
        <f aca="false">IF($B61=3,"PFI","")</f>
        <v/>
      </c>
      <c r="T61" s="1" t="str">
        <f aca="false">IF($B61=3,"PFI","")</f>
        <v/>
      </c>
      <c r="U61" s="1" t="str">
        <f aca="false">IF($B61=3,"DPF","")</f>
        <v/>
      </c>
      <c r="V61" s="1" t="str">
        <f aca="false">IF($B61=3,"DPF","")</f>
        <v/>
      </c>
      <c r="W61" s="1" t="str">
        <f aca="false">IF($B61=3,"DPF","")</f>
        <v/>
      </c>
      <c r="X61" s="1" t="str">
        <f aca="false">IF($B61=3,"DPF","")</f>
        <v/>
      </c>
      <c r="Y61" s="1" t="str">
        <f aca="false">IF($B61=3,"DPF","")</f>
        <v/>
      </c>
      <c r="Z61" s="1" t="str">
        <f aca="false">IF($B61=3,"DPF","")</f>
        <v/>
      </c>
      <c r="AA61" s="1" t="str">
        <f aca="false">IF($B61=3,"DPF","")</f>
        <v/>
      </c>
      <c r="AB61" s="1" t="str">
        <f aca="false">IF($B61=3,"DPF","")</f>
        <v/>
      </c>
      <c r="AC61" s="1" t="str">
        <f aca="false">IF($B61=3,"DPF","")</f>
        <v/>
      </c>
      <c r="AD61" s="1" t="str">
        <f aca="false">IF($B61=3,"DPF","")</f>
        <v/>
      </c>
      <c r="AE61" s="1" t="str">
        <f aca="false">IF($B61=3,"DPF","")</f>
        <v/>
      </c>
      <c r="AF61" s="1" t="str">
        <f aca="false">IF($B61=3,"DPF","")</f>
        <v/>
      </c>
      <c r="AG61" s="1" t="str">
        <f aca="false">IF($B61=3,"DPF","")</f>
        <v/>
      </c>
      <c r="AH61" s="1" t="str">
        <f aca="false">IF($B61=3,"DPF","")</f>
        <v/>
      </c>
      <c r="AI61" s="1" t="str">
        <f aca="false">IF($B61=3,"PFI","")</f>
        <v/>
      </c>
      <c r="AJ61" s="1" t="str">
        <f aca="false">IF($B61=3,"PFI","")</f>
        <v/>
      </c>
      <c r="AK61" s="1" t="str">
        <f aca="false">IF($B61=3,"PFI","")</f>
        <v/>
      </c>
      <c r="AL61" s="1" t="str">
        <f aca="false">IF($B61=3,"PFI","")</f>
        <v/>
      </c>
      <c r="AM61" s="1" t="str">
        <f aca="false">IF($B61=3,"PFI","")</f>
        <v/>
      </c>
      <c r="AN61" s="1" t="str">
        <f aca="false">IF($B61=3,"PFI","")</f>
        <v/>
      </c>
      <c r="AO61" s="1" t="str">
        <f aca="false">IF($B61=3,"PFI","")</f>
        <v/>
      </c>
      <c r="AP61" s="1" t="str">
        <f aca="false">IF($B61=3,"PFI","")</f>
        <v/>
      </c>
      <c r="AQ61" s="1" t="str">
        <f aca="false">IF($B61=3,"PFI","")</f>
        <v/>
      </c>
      <c r="AR61" s="1" t="str">
        <f aca="false">IF($B61=3,"DPF","")</f>
        <v/>
      </c>
      <c r="AS61" s="1" t="str">
        <f aca="false">IF($B61=3,"DPF","")</f>
        <v/>
      </c>
      <c r="AT61" s="1" t="str">
        <f aca="false">IF($B61=3,"DPF","")</f>
        <v/>
      </c>
      <c r="AU61" s="1" t="str">
        <f aca="false">IF($B61=3,"DPF","")</f>
        <v/>
      </c>
      <c r="AV61" s="1" t="str">
        <f aca="false">IF($B61=3,"DPF","")</f>
        <v/>
      </c>
      <c r="AW61" s="1" t="str">
        <f aca="false">IF($B61=3,"DPF","")</f>
        <v/>
      </c>
      <c r="AX61" s="75"/>
      <c r="AY61" s="1" t="str">
        <f aca="false">IF($B61=3,"DPF","")</f>
        <v/>
      </c>
      <c r="AZ61" s="1" t="str">
        <f aca="false">IF($B61=3,"DPF","")</f>
        <v/>
      </c>
      <c r="BA61" s="1" t="str">
        <f aca="false">IF($B61=3,"DPF","")</f>
        <v/>
      </c>
      <c r="BB61" s="1" t="str">
        <f aca="false">IF($B61=3,"PFI","")</f>
        <v/>
      </c>
      <c r="BC61" s="1" t="str">
        <f aca="false">IF($B61=3,"PFI","")</f>
        <v/>
      </c>
      <c r="BD61" s="1" t="str">
        <f aca="false">IF($B61=3,"PFI","")</f>
        <v/>
      </c>
      <c r="BE61" s="1" t="str">
        <f aca="false">IF($B61=3,"DPF","")</f>
        <v/>
      </c>
      <c r="BF61" s="1" t="str">
        <f aca="false">IF($B61=3,"DPF","")</f>
        <v/>
      </c>
      <c r="BG61" s="1" t="str">
        <f aca="false">IF($B61=3,"PFI","")</f>
        <v/>
      </c>
      <c r="BH61" s="1" t="str">
        <f aca="false">IF($B61=3,"PFI","")</f>
        <v/>
      </c>
      <c r="BI61" s="1" t="str">
        <f aca="false">IF($B61=3,"DPF","")</f>
        <v/>
      </c>
      <c r="BJ61" s="75"/>
      <c r="BK61" s="1" t="str">
        <f aca="false">IF($B61=3,"PFI","")</f>
        <v/>
      </c>
      <c r="BL61" s="1" t="str">
        <f aca="false">IF($B61=3,"PFI","")</f>
        <v/>
      </c>
      <c r="BM61" s="1" t="str">
        <f aca="false">IF($B61=3,"PFI","")</f>
        <v/>
      </c>
      <c r="BN61" s="1" t="str">
        <f aca="false">IF($B61=3,"PFI","")</f>
        <v/>
      </c>
      <c r="BO61" s="1" t="str">
        <f aca="false">IF($B61=3,"PFI","")</f>
        <v/>
      </c>
    </row>
    <row r="62" customFormat="false" ht="12.75" hidden="false" customHeight="false" outlineLevel="0" collapsed="false">
      <c r="A62" s="1" t="n">
        <f aca="false">A61-1</f>
        <v>1965</v>
      </c>
      <c r="B62" s="1" t="s">
        <v>323</v>
      </c>
      <c r="C62" s="1" t="s">
        <v>323</v>
      </c>
      <c r="D62" s="1" t="s">
        <v>323</v>
      </c>
      <c r="E62" s="1" t="s">
        <v>323</v>
      </c>
      <c r="F62" s="1" t="str">
        <f aca="false">IF($B62=3,"PFI","")</f>
        <v/>
      </c>
      <c r="G62" s="1" t="str">
        <f aca="false">IF($B62=3,"PFI","")</f>
        <v/>
      </c>
      <c r="H62" s="1" t="str">
        <f aca="false">IF($B62=3,"PFI","")</f>
        <v/>
      </c>
      <c r="I62" s="1" t="str">
        <f aca="false">IF($B62=3,"PFI","")</f>
        <v/>
      </c>
      <c r="J62" s="1" t="str">
        <f aca="false">IF($B62=3,"PFI","")</f>
        <v/>
      </c>
      <c r="K62" s="1" t="str">
        <f aca="false">IF($B62=3,"PFI","")</f>
        <v/>
      </c>
      <c r="L62" s="1" t="str">
        <f aca="false">IF($B62=3,"DPF","")</f>
        <v/>
      </c>
      <c r="M62" s="1" t="str">
        <f aca="false">IF($B62=3,"DPF","")</f>
        <v/>
      </c>
      <c r="N62" s="1" t="str">
        <f aca="false">IF($B62=3,"DPF","")</f>
        <v/>
      </c>
      <c r="O62" s="1" t="str">
        <f aca="false">IF($B62=3,"PFI","")</f>
        <v/>
      </c>
      <c r="P62" s="1" t="str">
        <f aca="false">IF($B62=3,"PFI","")</f>
        <v/>
      </c>
      <c r="Q62" s="75"/>
      <c r="R62" s="1" t="str">
        <f aca="false">IF($B62=3,"PFI","")</f>
        <v/>
      </c>
      <c r="S62" s="1" t="str">
        <f aca="false">IF($B62=3,"PFI","")</f>
        <v/>
      </c>
      <c r="T62" s="1" t="str">
        <f aca="false">IF($B62=3,"PFI","")</f>
        <v/>
      </c>
      <c r="U62" s="1" t="str">
        <f aca="false">IF($B62=3,"DPF","")</f>
        <v/>
      </c>
      <c r="V62" s="1" t="str">
        <f aca="false">IF($B62=3,"DPF","")</f>
        <v/>
      </c>
      <c r="W62" s="1" t="str">
        <f aca="false">IF($B62=3,"DPF","")</f>
        <v/>
      </c>
      <c r="X62" s="1" t="str">
        <f aca="false">IF($B62=3,"DPF","")</f>
        <v/>
      </c>
      <c r="Y62" s="1" t="str">
        <f aca="false">IF($B62=3,"DPF","")</f>
        <v/>
      </c>
      <c r="Z62" s="1" t="str">
        <f aca="false">IF($B62=3,"DPF","")</f>
        <v/>
      </c>
      <c r="AA62" s="1" t="str">
        <f aca="false">IF($B62=3,"DPF","")</f>
        <v/>
      </c>
      <c r="AB62" s="1" t="str">
        <f aca="false">IF($B62=3,"DPF","")</f>
        <v/>
      </c>
      <c r="AC62" s="1" t="str">
        <f aca="false">IF($B62=3,"DPF","")</f>
        <v/>
      </c>
      <c r="AD62" s="1" t="str">
        <f aca="false">IF($B62=3,"DPF","")</f>
        <v/>
      </c>
      <c r="AE62" s="1" t="str">
        <f aca="false">IF($B62=3,"DPF","")</f>
        <v/>
      </c>
      <c r="AF62" s="1" t="str">
        <f aca="false">IF($B62=3,"DPF","")</f>
        <v/>
      </c>
      <c r="AG62" s="1" t="str">
        <f aca="false">IF($B62=3,"DPF","")</f>
        <v/>
      </c>
      <c r="AH62" s="1" t="str">
        <f aca="false">IF($B62=3,"DPF","")</f>
        <v/>
      </c>
      <c r="AI62" s="1" t="str">
        <f aca="false">IF($B62=3,"PFI","")</f>
        <v/>
      </c>
      <c r="AJ62" s="1" t="str">
        <f aca="false">IF($B62=3,"PFI","")</f>
        <v/>
      </c>
      <c r="AK62" s="1" t="str">
        <f aca="false">IF($B62=3,"PFI","")</f>
        <v/>
      </c>
      <c r="AL62" s="1" t="str">
        <f aca="false">IF($B62=3,"PFI","")</f>
        <v/>
      </c>
      <c r="AM62" s="1" t="str">
        <f aca="false">IF($B62=3,"PFI","")</f>
        <v/>
      </c>
      <c r="AN62" s="1" t="str">
        <f aca="false">IF($B62=3,"PFI","")</f>
        <v/>
      </c>
      <c r="AO62" s="1" t="str">
        <f aca="false">IF($B62=3,"PFI","")</f>
        <v/>
      </c>
      <c r="AP62" s="1" t="str">
        <f aca="false">IF($B62=3,"PFI","")</f>
        <v/>
      </c>
      <c r="AQ62" s="1" t="str">
        <f aca="false">IF($B62=3,"PFI","")</f>
        <v/>
      </c>
      <c r="AR62" s="1" t="str">
        <f aca="false">IF($B62=3,"DPF","")</f>
        <v/>
      </c>
      <c r="AS62" s="1" t="str">
        <f aca="false">IF($B62=3,"DPF","")</f>
        <v/>
      </c>
      <c r="AT62" s="1" t="str">
        <f aca="false">IF($B62=3,"DPF","")</f>
        <v/>
      </c>
      <c r="AU62" s="1" t="str">
        <f aca="false">IF($B62=3,"DPF","")</f>
        <v/>
      </c>
      <c r="AV62" s="1" t="str">
        <f aca="false">IF($B62=3,"DPF","")</f>
        <v/>
      </c>
      <c r="AW62" s="1" t="str">
        <f aca="false">IF($B62=3,"DPF","")</f>
        <v/>
      </c>
      <c r="AX62" s="75"/>
      <c r="AY62" s="1" t="str">
        <f aca="false">IF($B62=3,"DPF","")</f>
        <v/>
      </c>
      <c r="AZ62" s="1" t="str">
        <f aca="false">IF($B62=3,"DPF","")</f>
        <v/>
      </c>
      <c r="BA62" s="1" t="str">
        <f aca="false">IF($B62=3,"DPF","")</f>
        <v/>
      </c>
      <c r="BB62" s="1" t="str">
        <f aca="false">IF($B62=3,"PFI","")</f>
        <v/>
      </c>
      <c r="BC62" s="1" t="str">
        <f aca="false">IF($B62=3,"PFI","")</f>
        <v/>
      </c>
      <c r="BD62" s="1" t="str">
        <f aca="false">IF($B62=3,"PFI","")</f>
        <v/>
      </c>
      <c r="BE62" s="1" t="str">
        <f aca="false">IF($B62=3,"DPF","")</f>
        <v/>
      </c>
      <c r="BF62" s="1" t="str">
        <f aca="false">IF($B62=3,"DPF","")</f>
        <v/>
      </c>
      <c r="BG62" s="1" t="str">
        <f aca="false">IF($B62=3,"PFI","")</f>
        <v/>
      </c>
      <c r="BH62" s="1" t="str">
        <f aca="false">IF($B62=3,"PFI","")</f>
        <v/>
      </c>
      <c r="BI62" s="1" t="str">
        <f aca="false">IF($B62=3,"DPF","")</f>
        <v/>
      </c>
      <c r="BJ62" s="75"/>
      <c r="BK62" s="1" t="str">
        <f aca="false">IF($B62=3,"PFI","")</f>
        <v/>
      </c>
      <c r="BL62" s="1" t="str">
        <f aca="false">IF($B62=3,"PFI","")</f>
        <v/>
      </c>
      <c r="BM62" s="1" t="str">
        <f aca="false">IF($B62=3,"PFI","")</f>
        <v/>
      </c>
      <c r="BN62" s="1" t="str">
        <f aca="false">IF($B62=3,"PFI","")</f>
        <v/>
      </c>
      <c r="BO62" s="1" t="str">
        <f aca="false">IF($B62=3,"PFI","")</f>
        <v/>
      </c>
    </row>
    <row r="63" customFormat="false" ht="12.75" hidden="false" customHeight="false" outlineLevel="0" collapsed="false">
      <c r="A63" s="1" t="n">
        <f aca="false">A62-1</f>
        <v>1964</v>
      </c>
      <c r="B63" s="1" t="s">
        <v>323</v>
      </c>
      <c r="C63" s="1" t="s">
        <v>323</v>
      </c>
      <c r="D63" s="1" t="s">
        <v>323</v>
      </c>
      <c r="E63" s="1" t="s">
        <v>323</v>
      </c>
      <c r="F63" s="1" t="str">
        <f aca="false">IF($B63=3,"PFI","")</f>
        <v/>
      </c>
      <c r="G63" s="1" t="str">
        <f aca="false">IF($B63=3,"PFI","")</f>
        <v/>
      </c>
      <c r="H63" s="1" t="str">
        <f aca="false">IF($B63=3,"PFI","")</f>
        <v/>
      </c>
      <c r="I63" s="1" t="str">
        <f aca="false">IF($B63=3,"PFI","")</f>
        <v/>
      </c>
      <c r="J63" s="1" t="str">
        <f aca="false">IF($B63=3,"PFI","")</f>
        <v/>
      </c>
      <c r="K63" s="1" t="str">
        <f aca="false">IF($B63=3,"PFI","")</f>
        <v/>
      </c>
      <c r="L63" s="1" t="str">
        <f aca="false">IF($B63=3,"DPF","")</f>
        <v/>
      </c>
      <c r="M63" s="1" t="str">
        <f aca="false">IF($B63=3,"DPF","")</f>
        <v/>
      </c>
      <c r="N63" s="1" t="str">
        <f aca="false">IF($B63=3,"DPF","")</f>
        <v/>
      </c>
      <c r="O63" s="1" t="str">
        <f aca="false">IF($B63=3,"PFI","")</f>
        <v/>
      </c>
      <c r="P63" s="1" t="str">
        <f aca="false">IF($B63=3,"PFI","")</f>
        <v/>
      </c>
      <c r="Q63" s="75"/>
      <c r="R63" s="1" t="str">
        <f aca="false">IF($B63=3,"PFI","")</f>
        <v/>
      </c>
      <c r="S63" s="1" t="str">
        <f aca="false">IF($B63=3,"PFI","")</f>
        <v/>
      </c>
      <c r="T63" s="1" t="str">
        <f aca="false">IF($B63=3,"PFI","")</f>
        <v/>
      </c>
      <c r="U63" s="1" t="str">
        <f aca="false">IF($B63=3,"DPF","")</f>
        <v/>
      </c>
      <c r="V63" s="1" t="str">
        <f aca="false">IF($B63=3,"DPF","")</f>
        <v/>
      </c>
      <c r="W63" s="1" t="str">
        <f aca="false">IF($B63=3,"DPF","")</f>
        <v/>
      </c>
      <c r="X63" s="1" t="str">
        <f aca="false">IF($B63=3,"DPF","")</f>
        <v/>
      </c>
      <c r="Y63" s="1" t="str">
        <f aca="false">IF($B63=3,"DPF","")</f>
        <v/>
      </c>
      <c r="Z63" s="1" t="str">
        <f aca="false">IF($B63=3,"DPF","")</f>
        <v/>
      </c>
      <c r="AA63" s="1" t="str">
        <f aca="false">IF($B63=3,"DPF","")</f>
        <v/>
      </c>
      <c r="AB63" s="1" t="str">
        <f aca="false">IF($B63=3,"DPF","")</f>
        <v/>
      </c>
      <c r="AC63" s="1" t="str">
        <f aca="false">IF($B63=3,"DPF","")</f>
        <v/>
      </c>
      <c r="AD63" s="1" t="str">
        <f aca="false">IF($B63=3,"DPF","")</f>
        <v/>
      </c>
      <c r="AE63" s="1" t="str">
        <f aca="false">IF($B63=3,"DPF","")</f>
        <v/>
      </c>
      <c r="AF63" s="1" t="str">
        <f aca="false">IF($B63=3,"DPF","")</f>
        <v/>
      </c>
      <c r="AG63" s="1" t="str">
        <f aca="false">IF($B63=3,"DPF","")</f>
        <v/>
      </c>
      <c r="AH63" s="1" t="str">
        <f aca="false">IF($B63=3,"DPF","")</f>
        <v/>
      </c>
      <c r="AI63" s="1" t="str">
        <f aca="false">IF($B63=3,"PFI","")</f>
        <v/>
      </c>
      <c r="AJ63" s="1" t="str">
        <f aca="false">IF($B63=3,"PFI","")</f>
        <v/>
      </c>
      <c r="AK63" s="1" t="str">
        <f aca="false">IF($B63=3,"PFI","")</f>
        <v/>
      </c>
      <c r="AL63" s="1" t="str">
        <f aca="false">IF($B63=3,"PFI","")</f>
        <v/>
      </c>
      <c r="AM63" s="1" t="str">
        <f aca="false">IF($B63=3,"PFI","")</f>
        <v/>
      </c>
      <c r="AN63" s="1" t="str">
        <f aca="false">IF($B63=3,"PFI","")</f>
        <v/>
      </c>
      <c r="AO63" s="1" t="str">
        <f aca="false">IF($B63=3,"PFI","")</f>
        <v/>
      </c>
      <c r="AP63" s="1" t="str">
        <f aca="false">IF($B63=3,"PFI","")</f>
        <v/>
      </c>
      <c r="AQ63" s="1" t="str">
        <f aca="false">IF($B63=3,"PFI","")</f>
        <v/>
      </c>
      <c r="AR63" s="1" t="str">
        <f aca="false">IF($B63=3,"DPF","")</f>
        <v/>
      </c>
      <c r="AS63" s="1" t="str">
        <f aca="false">IF($B63=3,"DPF","")</f>
        <v/>
      </c>
      <c r="AT63" s="1" t="str">
        <f aca="false">IF($B63=3,"DPF","")</f>
        <v/>
      </c>
      <c r="AU63" s="1" t="str">
        <f aca="false">IF($B63=3,"DPF","")</f>
        <v/>
      </c>
      <c r="AV63" s="1" t="str">
        <f aca="false">IF($B63=3,"DPF","")</f>
        <v/>
      </c>
      <c r="AW63" s="1" t="str">
        <f aca="false">IF($B63=3,"DPF","")</f>
        <v/>
      </c>
      <c r="AX63" s="75"/>
      <c r="AY63" s="1" t="str">
        <f aca="false">IF($B63=3,"DPF","")</f>
        <v/>
      </c>
      <c r="AZ63" s="1" t="str">
        <f aca="false">IF($B63=3,"DPF","")</f>
        <v/>
      </c>
      <c r="BA63" s="1" t="str">
        <f aca="false">IF($B63=3,"DPF","")</f>
        <v/>
      </c>
      <c r="BB63" s="1" t="str">
        <f aca="false">IF($B63=3,"PFI","")</f>
        <v/>
      </c>
      <c r="BC63" s="1" t="str">
        <f aca="false">IF($B63=3,"PFI","")</f>
        <v/>
      </c>
      <c r="BD63" s="1" t="str">
        <f aca="false">IF($B63=3,"PFI","")</f>
        <v/>
      </c>
      <c r="BE63" s="1" t="str">
        <f aca="false">IF($B63=3,"DPF","")</f>
        <v/>
      </c>
      <c r="BF63" s="1" t="str">
        <f aca="false">IF($B63=3,"DPF","")</f>
        <v/>
      </c>
      <c r="BG63" s="1" t="str">
        <f aca="false">IF($B63=3,"PFI","")</f>
        <v/>
      </c>
      <c r="BH63" s="1" t="str">
        <f aca="false">IF($B63=3,"PFI","")</f>
        <v/>
      </c>
      <c r="BI63" s="1" t="str">
        <f aca="false">IF($B63=3,"DPF","")</f>
        <v/>
      </c>
      <c r="BJ63" s="75"/>
      <c r="BK63" s="1" t="str">
        <f aca="false">IF($B63=3,"PFI","")</f>
        <v/>
      </c>
      <c r="BL63" s="1" t="str">
        <f aca="false">IF($B63=3,"PFI","")</f>
        <v/>
      </c>
      <c r="BM63" s="1" t="str">
        <f aca="false">IF($B63=3,"PFI","")</f>
        <v/>
      </c>
      <c r="BN63" s="1" t="str">
        <f aca="false">IF($B63=3,"PFI","")</f>
        <v/>
      </c>
      <c r="BO63" s="1" t="str">
        <f aca="false">IF($B63=3,"PFI","")</f>
        <v/>
      </c>
    </row>
    <row r="64" customFormat="false" ht="12.75" hidden="false" customHeight="false" outlineLevel="0" collapsed="false">
      <c r="A64" s="1" t="n">
        <f aca="false">A63-1</f>
        <v>1963</v>
      </c>
      <c r="B64" s="1" t="s">
        <v>323</v>
      </c>
      <c r="C64" s="1" t="s">
        <v>323</v>
      </c>
      <c r="D64" s="1" t="s">
        <v>323</v>
      </c>
      <c r="E64" s="1" t="s">
        <v>323</v>
      </c>
      <c r="F64" s="1" t="str">
        <f aca="false">IF($B64=3,"PFI","")</f>
        <v/>
      </c>
      <c r="G64" s="1" t="str">
        <f aca="false">IF($B64=3,"PFI","")</f>
        <v/>
      </c>
      <c r="H64" s="1" t="str">
        <f aca="false">IF($B64=3,"PFI","")</f>
        <v/>
      </c>
      <c r="I64" s="1" t="str">
        <f aca="false">IF($B64=3,"PFI","")</f>
        <v/>
      </c>
      <c r="J64" s="1" t="str">
        <f aca="false">IF($B64=3,"PFI","")</f>
        <v/>
      </c>
      <c r="K64" s="1" t="str">
        <f aca="false">IF($B64=3,"PFI","")</f>
        <v/>
      </c>
      <c r="L64" s="1" t="str">
        <f aca="false">IF($B64=3,"DPF","")</f>
        <v/>
      </c>
      <c r="M64" s="1" t="str">
        <f aca="false">IF($B64=3,"DPF","")</f>
        <v/>
      </c>
      <c r="N64" s="1" t="str">
        <f aca="false">IF($B64=3,"DPF","")</f>
        <v/>
      </c>
      <c r="O64" s="1" t="str">
        <f aca="false">IF($B64=3,"PFI","")</f>
        <v/>
      </c>
      <c r="P64" s="1" t="str">
        <f aca="false">IF($B64=3,"PFI","")</f>
        <v/>
      </c>
      <c r="Q64" s="75"/>
      <c r="R64" s="1" t="str">
        <f aca="false">IF($B64=3,"PFI","")</f>
        <v/>
      </c>
      <c r="S64" s="1" t="str">
        <f aca="false">IF($B64=3,"PFI","")</f>
        <v/>
      </c>
      <c r="T64" s="1" t="str">
        <f aca="false">IF($B64=3,"PFI","")</f>
        <v/>
      </c>
      <c r="U64" s="1" t="str">
        <f aca="false">IF($B64=3,"DPF","")</f>
        <v/>
      </c>
      <c r="V64" s="1" t="str">
        <f aca="false">IF($B64=3,"DPF","")</f>
        <v/>
      </c>
      <c r="W64" s="1" t="str">
        <f aca="false">IF($B64=3,"DPF","")</f>
        <v/>
      </c>
      <c r="X64" s="1" t="str">
        <f aca="false">IF($B64=3,"DPF","")</f>
        <v/>
      </c>
      <c r="Y64" s="1" t="str">
        <f aca="false">IF($B64=3,"DPF","")</f>
        <v/>
      </c>
      <c r="Z64" s="1" t="str">
        <f aca="false">IF($B64=3,"DPF","")</f>
        <v/>
      </c>
      <c r="AA64" s="1" t="str">
        <f aca="false">IF($B64=3,"DPF","")</f>
        <v/>
      </c>
      <c r="AB64" s="1" t="str">
        <f aca="false">IF($B64=3,"DPF","")</f>
        <v/>
      </c>
      <c r="AC64" s="1" t="str">
        <f aca="false">IF($B64=3,"DPF","")</f>
        <v/>
      </c>
      <c r="AD64" s="1" t="str">
        <f aca="false">IF($B64=3,"DPF","")</f>
        <v/>
      </c>
      <c r="AE64" s="1" t="str">
        <f aca="false">IF($B64=3,"DPF","")</f>
        <v/>
      </c>
      <c r="AF64" s="1" t="str">
        <f aca="false">IF($B64=3,"DPF","")</f>
        <v/>
      </c>
      <c r="AG64" s="1" t="str">
        <f aca="false">IF($B64=3,"DPF","")</f>
        <v/>
      </c>
      <c r="AH64" s="1" t="str">
        <f aca="false">IF($B64=3,"DPF","")</f>
        <v/>
      </c>
      <c r="AI64" s="1" t="str">
        <f aca="false">IF($B64=3,"PFI","")</f>
        <v/>
      </c>
      <c r="AJ64" s="1" t="str">
        <f aca="false">IF($B64=3,"PFI","")</f>
        <v/>
      </c>
      <c r="AK64" s="1" t="str">
        <f aca="false">IF($B64=3,"PFI","")</f>
        <v/>
      </c>
      <c r="AL64" s="1" t="str">
        <f aca="false">IF($B64=3,"PFI","")</f>
        <v/>
      </c>
      <c r="AM64" s="1" t="str">
        <f aca="false">IF($B64=3,"PFI","")</f>
        <v/>
      </c>
      <c r="AN64" s="1" t="str">
        <f aca="false">IF($B64=3,"PFI","")</f>
        <v/>
      </c>
      <c r="AO64" s="1" t="str">
        <f aca="false">IF($B64=3,"PFI","")</f>
        <v/>
      </c>
      <c r="AP64" s="1" t="str">
        <f aca="false">IF($B64=3,"PFI","")</f>
        <v/>
      </c>
      <c r="AQ64" s="1" t="str">
        <f aca="false">IF($B64=3,"PFI","")</f>
        <v/>
      </c>
      <c r="AR64" s="1" t="str">
        <f aca="false">IF($B64=3,"DPF","")</f>
        <v/>
      </c>
      <c r="AS64" s="1" t="str">
        <f aca="false">IF($B64=3,"DPF","")</f>
        <v/>
      </c>
      <c r="AT64" s="1" t="str">
        <f aca="false">IF($B64=3,"DPF","")</f>
        <v/>
      </c>
      <c r="AU64" s="1" t="str">
        <f aca="false">IF($B64=3,"DPF","")</f>
        <v/>
      </c>
      <c r="AV64" s="1" t="str">
        <f aca="false">IF($B64=3,"DPF","")</f>
        <v/>
      </c>
      <c r="AW64" s="1" t="str">
        <f aca="false">IF($B64=3,"DPF","")</f>
        <v/>
      </c>
      <c r="AX64" s="75"/>
      <c r="AY64" s="1" t="str">
        <f aca="false">IF($B64=3,"DPF","")</f>
        <v/>
      </c>
      <c r="AZ64" s="1" t="str">
        <f aca="false">IF($B64=3,"DPF","")</f>
        <v/>
      </c>
      <c r="BA64" s="1" t="str">
        <f aca="false">IF($B64=3,"DPF","")</f>
        <v/>
      </c>
      <c r="BB64" s="1" t="str">
        <f aca="false">IF($B64=3,"PFI","")</f>
        <v/>
      </c>
      <c r="BC64" s="1" t="str">
        <f aca="false">IF($B64=3,"PFI","")</f>
        <v/>
      </c>
      <c r="BD64" s="1" t="str">
        <f aca="false">IF($B64=3,"PFI","")</f>
        <v/>
      </c>
      <c r="BE64" s="1" t="str">
        <f aca="false">IF($B64=3,"DPF","")</f>
        <v/>
      </c>
      <c r="BF64" s="1" t="str">
        <f aca="false">IF($B64=3,"DPF","")</f>
        <v/>
      </c>
      <c r="BG64" s="1" t="str">
        <f aca="false">IF($B64=3,"PFI","")</f>
        <v/>
      </c>
      <c r="BH64" s="1" t="str">
        <f aca="false">IF($B64=3,"PFI","")</f>
        <v/>
      </c>
      <c r="BI64" s="1" t="str">
        <f aca="false">IF($B64=3,"DPF","")</f>
        <v/>
      </c>
      <c r="BJ64" s="75"/>
      <c r="BK64" s="1" t="str">
        <f aca="false">IF($B64=3,"PFI","")</f>
        <v/>
      </c>
      <c r="BL64" s="1" t="str">
        <f aca="false">IF($B64=3,"PFI","")</f>
        <v/>
      </c>
      <c r="BM64" s="1" t="str">
        <f aca="false">IF($B64=3,"PFI","")</f>
        <v/>
      </c>
      <c r="BN64" s="1" t="str">
        <f aca="false">IF($B64=3,"PFI","")</f>
        <v/>
      </c>
      <c r="BO64" s="1" t="str">
        <f aca="false">IF($B64=3,"PFI","")</f>
        <v/>
      </c>
    </row>
    <row r="65" customFormat="false" ht="12.75" hidden="false" customHeight="false" outlineLevel="0" collapsed="false">
      <c r="A65" s="1" t="n">
        <f aca="false">A64-1</f>
        <v>1962</v>
      </c>
      <c r="B65" s="1" t="s">
        <v>323</v>
      </c>
      <c r="C65" s="1" t="s">
        <v>323</v>
      </c>
      <c r="D65" s="1" t="s">
        <v>323</v>
      </c>
      <c r="E65" s="1" t="s">
        <v>323</v>
      </c>
      <c r="F65" s="1" t="str">
        <f aca="false">IF($B65=3,"PFI","")</f>
        <v/>
      </c>
      <c r="G65" s="1" t="str">
        <f aca="false">IF($B65=3,"PFI","")</f>
        <v/>
      </c>
      <c r="H65" s="1" t="str">
        <f aca="false">IF($B65=3,"PFI","")</f>
        <v/>
      </c>
      <c r="I65" s="1" t="str">
        <f aca="false">IF($B65=3,"PFI","")</f>
        <v/>
      </c>
      <c r="J65" s="1" t="str">
        <f aca="false">IF($B65=3,"PFI","")</f>
        <v/>
      </c>
      <c r="K65" s="1" t="str">
        <f aca="false">IF($B65=3,"PFI","")</f>
        <v/>
      </c>
      <c r="L65" s="1" t="str">
        <f aca="false">IF($B65=3,"DPF","")</f>
        <v/>
      </c>
      <c r="M65" s="1" t="str">
        <f aca="false">IF($B65=3,"DPF","")</f>
        <v/>
      </c>
      <c r="N65" s="1" t="str">
        <f aca="false">IF($B65=3,"DPF","")</f>
        <v/>
      </c>
      <c r="O65" s="1" t="str">
        <f aca="false">IF($B65=3,"PFI","")</f>
        <v/>
      </c>
      <c r="P65" s="1" t="str">
        <f aca="false">IF($B65=3,"PFI","")</f>
        <v/>
      </c>
      <c r="Q65" s="75"/>
      <c r="R65" s="1" t="str">
        <f aca="false">IF($B65=3,"PFI","")</f>
        <v/>
      </c>
      <c r="S65" s="1" t="str">
        <f aca="false">IF($B65=3,"PFI","")</f>
        <v/>
      </c>
      <c r="T65" s="1" t="str">
        <f aca="false">IF($B65=3,"PFI","")</f>
        <v/>
      </c>
      <c r="U65" s="1" t="str">
        <f aca="false">IF($B65=3,"DPF","")</f>
        <v/>
      </c>
      <c r="V65" s="1" t="str">
        <f aca="false">IF($B65=3,"DPF","")</f>
        <v/>
      </c>
      <c r="W65" s="1" t="str">
        <f aca="false">IF($B65=3,"DPF","")</f>
        <v/>
      </c>
      <c r="X65" s="1" t="str">
        <f aca="false">IF($B65=3,"DPF","")</f>
        <v/>
      </c>
      <c r="Y65" s="1" t="str">
        <f aca="false">IF($B65=3,"DPF","")</f>
        <v/>
      </c>
      <c r="Z65" s="1" t="str">
        <f aca="false">IF($B65=3,"DPF","")</f>
        <v/>
      </c>
      <c r="AA65" s="1" t="str">
        <f aca="false">IF($B65=3,"DPF","")</f>
        <v/>
      </c>
      <c r="AB65" s="1" t="str">
        <f aca="false">IF($B65=3,"DPF","")</f>
        <v/>
      </c>
      <c r="AC65" s="1" t="str">
        <f aca="false">IF($B65=3,"DPF","")</f>
        <v/>
      </c>
      <c r="AD65" s="1" t="str">
        <f aca="false">IF($B65=3,"DPF","")</f>
        <v/>
      </c>
      <c r="AE65" s="1" t="str">
        <f aca="false">IF($B65=3,"DPF","")</f>
        <v/>
      </c>
      <c r="AF65" s="1" t="str">
        <f aca="false">IF($B65=3,"DPF","")</f>
        <v/>
      </c>
      <c r="AG65" s="1" t="str">
        <f aca="false">IF($B65=3,"DPF","")</f>
        <v/>
      </c>
      <c r="AH65" s="1" t="str">
        <f aca="false">IF($B65=3,"DPF","")</f>
        <v/>
      </c>
      <c r="AI65" s="1" t="str">
        <f aca="false">IF($B65=3,"PFI","")</f>
        <v/>
      </c>
      <c r="AJ65" s="1" t="str">
        <f aca="false">IF($B65=3,"PFI","")</f>
        <v/>
      </c>
      <c r="AK65" s="1" t="str">
        <f aca="false">IF($B65=3,"PFI","")</f>
        <v/>
      </c>
      <c r="AL65" s="1" t="str">
        <f aca="false">IF($B65=3,"PFI","")</f>
        <v/>
      </c>
      <c r="AM65" s="1" t="str">
        <f aca="false">IF($B65=3,"PFI","")</f>
        <v/>
      </c>
      <c r="AN65" s="1" t="str">
        <f aca="false">IF($B65=3,"PFI","")</f>
        <v/>
      </c>
      <c r="AO65" s="1" t="str">
        <f aca="false">IF($B65=3,"PFI","")</f>
        <v/>
      </c>
      <c r="AP65" s="1" t="str">
        <f aca="false">IF($B65=3,"PFI","")</f>
        <v/>
      </c>
      <c r="AQ65" s="1" t="str">
        <f aca="false">IF($B65=3,"PFI","")</f>
        <v/>
      </c>
      <c r="AR65" s="1" t="str">
        <f aca="false">IF($B65=3,"DPF","")</f>
        <v/>
      </c>
      <c r="AS65" s="1" t="str">
        <f aca="false">IF($B65=3,"DPF","")</f>
        <v/>
      </c>
      <c r="AT65" s="1" t="str">
        <f aca="false">IF($B65=3,"DPF","")</f>
        <v/>
      </c>
      <c r="AU65" s="1" t="str">
        <f aca="false">IF($B65=3,"DPF","")</f>
        <v/>
      </c>
      <c r="AV65" s="1" t="str">
        <f aca="false">IF($B65=3,"DPF","")</f>
        <v/>
      </c>
      <c r="AW65" s="1" t="str">
        <f aca="false">IF($B65=3,"DPF","")</f>
        <v/>
      </c>
      <c r="AX65" s="75"/>
      <c r="AY65" s="1" t="str">
        <f aca="false">IF($B65=3,"DPF","")</f>
        <v/>
      </c>
      <c r="AZ65" s="1" t="str">
        <f aca="false">IF($B65=3,"DPF","")</f>
        <v/>
      </c>
      <c r="BA65" s="1" t="str">
        <f aca="false">IF($B65=3,"DPF","")</f>
        <v/>
      </c>
      <c r="BB65" s="1" t="str">
        <f aca="false">IF($B65=3,"PFI","")</f>
        <v/>
      </c>
      <c r="BC65" s="1" t="str">
        <f aca="false">IF($B65=3,"PFI","")</f>
        <v/>
      </c>
      <c r="BD65" s="1" t="str">
        <f aca="false">IF($B65=3,"PFI","")</f>
        <v/>
      </c>
      <c r="BE65" s="1" t="str">
        <f aca="false">IF($B65=3,"DPF","")</f>
        <v/>
      </c>
      <c r="BF65" s="1" t="str">
        <f aca="false">IF($B65=3,"DPF","")</f>
        <v/>
      </c>
      <c r="BG65" s="1" t="str">
        <f aca="false">IF($B65=3,"PFI","")</f>
        <v/>
      </c>
      <c r="BH65" s="1" t="str">
        <f aca="false">IF($B65=3,"PFI","")</f>
        <v/>
      </c>
      <c r="BI65" s="1" t="str">
        <f aca="false">IF($B65=3,"DPF","")</f>
        <v/>
      </c>
      <c r="BJ65" s="75"/>
      <c r="BK65" s="1" t="str">
        <f aca="false">IF($B65=3,"PFI","")</f>
        <v/>
      </c>
      <c r="BL65" s="1" t="str">
        <f aca="false">IF($B65=3,"PFI","")</f>
        <v/>
      </c>
      <c r="BM65" s="1" t="str">
        <f aca="false">IF($B65=3,"PFI","")</f>
        <v/>
      </c>
      <c r="BN65" s="1" t="str">
        <f aca="false">IF($B65=3,"PFI","")</f>
        <v/>
      </c>
      <c r="BO65" s="1" t="str">
        <f aca="false">IF($B65=3,"PFI","")</f>
        <v/>
      </c>
    </row>
    <row r="66" customFormat="false" ht="12.75" hidden="false" customHeight="false" outlineLevel="0" collapsed="false">
      <c r="A66" s="1" t="n">
        <f aca="false">A65-1</f>
        <v>1961</v>
      </c>
      <c r="B66" s="1" t="s">
        <v>323</v>
      </c>
      <c r="C66" s="1" t="s">
        <v>323</v>
      </c>
      <c r="D66" s="1" t="s">
        <v>323</v>
      </c>
      <c r="E66" s="1" t="s">
        <v>323</v>
      </c>
      <c r="F66" s="1" t="str">
        <f aca="false">IF($B66=3,"PFI","")</f>
        <v/>
      </c>
      <c r="G66" s="1" t="str">
        <f aca="false">IF($B66=3,"PFI","")</f>
        <v/>
      </c>
      <c r="H66" s="1" t="str">
        <f aca="false">IF($B66=3,"PFI","")</f>
        <v/>
      </c>
      <c r="I66" s="1" t="str">
        <f aca="false">IF($B66=3,"PFI","")</f>
        <v/>
      </c>
      <c r="J66" s="1" t="str">
        <f aca="false">IF($B66=3,"PFI","")</f>
        <v/>
      </c>
      <c r="K66" s="1" t="str">
        <f aca="false">IF($B66=3,"PFI","")</f>
        <v/>
      </c>
      <c r="L66" s="1" t="str">
        <f aca="false">IF($B66=3,"DPF","")</f>
        <v/>
      </c>
      <c r="M66" s="1" t="str">
        <f aca="false">IF($B66=3,"DPF","")</f>
        <v/>
      </c>
      <c r="N66" s="1" t="str">
        <f aca="false">IF($B66=3,"DPF","")</f>
        <v/>
      </c>
      <c r="O66" s="1" t="str">
        <f aca="false">IF($B66=3,"PFI","")</f>
        <v/>
      </c>
      <c r="P66" s="1" t="str">
        <f aca="false">IF($B66=3,"PFI","")</f>
        <v/>
      </c>
      <c r="Q66" s="75"/>
      <c r="R66" s="1" t="str">
        <f aca="false">IF($B66=3,"PFI","")</f>
        <v/>
      </c>
      <c r="S66" s="1" t="str">
        <f aca="false">IF($B66=3,"PFI","")</f>
        <v/>
      </c>
      <c r="T66" s="1" t="str">
        <f aca="false">IF($B66=3,"PFI","")</f>
        <v/>
      </c>
      <c r="U66" s="1" t="str">
        <f aca="false">IF($B66=3,"DPF","")</f>
        <v/>
      </c>
      <c r="V66" s="1" t="str">
        <f aca="false">IF($B66=3,"DPF","")</f>
        <v/>
      </c>
      <c r="W66" s="1" t="str">
        <f aca="false">IF($B66=3,"DPF","")</f>
        <v/>
      </c>
      <c r="X66" s="1" t="str">
        <f aca="false">IF($B66=3,"DPF","")</f>
        <v/>
      </c>
      <c r="Y66" s="1" t="str">
        <f aca="false">IF($B66=3,"DPF","")</f>
        <v/>
      </c>
      <c r="Z66" s="1" t="str">
        <f aca="false">IF($B66=3,"DPF","")</f>
        <v/>
      </c>
      <c r="AA66" s="1" t="str">
        <f aca="false">IF($B66=3,"DPF","")</f>
        <v/>
      </c>
      <c r="AB66" s="1" t="str">
        <f aca="false">IF($B66=3,"DPF","")</f>
        <v/>
      </c>
      <c r="AC66" s="1" t="str">
        <f aca="false">IF($B66=3,"DPF","")</f>
        <v/>
      </c>
      <c r="AD66" s="1" t="str">
        <f aca="false">IF($B66=3,"DPF","")</f>
        <v/>
      </c>
      <c r="AE66" s="1" t="str">
        <f aca="false">IF($B66=3,"DPF","")</f>
        <v/>
      </c>
      <c r="AF66" s="1" t="str">
        <f aca="false">IF($B66=3,"DPF","")</f>
        <v/>
      </c>
      <c r="AG66" s="1" t="str">
        <f aca="false">IF($B66=3,"DPF","")</f>
        <v/>
      </c>
      <c r="AH66" s="1" t="str">
        <f aca="false">IF($B66=3,"DPF","")</f>
        <v/>
      </c>
      <c r="AI66" s="1" t="str">
        <f aca="false">IF($B66=3,"PFI","")</f>
        <v/>
      </c>
      <c r="AJ66" s="1" t="str">
        <f aca="false">IF($B66=3,"PFI","")</f>
        <v/>
      </c>
      <c r="AK66" s="1" t="str">
        <f aca="false">IF($B66=3,"PFI","")</f>
        <v/>
      </c>
      <c r="AL66" s="1" t="str">
        <f aca="false">IF($B66=3,"PFI","")</f>
        <v/>
      </c>
      <c r="AM66" s="1" t="str">
        <f aca="false">IF($B66=3,"PFI","")</f>
        <v/>
      </c>
      <c r="AN66" s="1" t="str">
        <f aca="false">IF($B66=3,"PFI","")</f>
        <v/>
      </c>
      <c r="AO66" s="1" t="str">
        <f aca="false">IF($B66=3,"PFI","")</f>
        <v/>
      </c>
      <c r="AP66" s="1" t="str">
        <f aca="false">IF($B66=3,"PFI","")</f>
        <v/>
      </c>
      <c r="AQ66" s="1" t="str">
        <f aca="false">IF($B66=3,"PFI","")</f>
        <v/>
      </c>
      <c r="AR66" s="1" t="str">
        <f aca="false">IF($B66=3,"DPF","")</f>
        <v/>
      </c>
      <c r="AS66" s="1" t="str">
        <f aca="false">IF($B66=3,"DPF","")</f>
        <v/>
      </c>
      <c r="AT66" s="1" t="str">
        <f aca="false">IF($B66=3,"DPF","")</f>
        <v/>
      </c>
      <c r="AU66" s="1" t="str">
        <f aca="false">IF($B66=3,"DPF","")</f>
        <v/>
      </c>
      <c r="AV66" s="1" t="str">
        <f aca="false">IF($B66=3,"DPF","")</f>
        <v/>
      </c>
      <c r="AW66" s="1" t="str">
        <f aca="false">IF($B66=3,"DPF","")</f>
        <v/>
      </c>
      <c r="AX66" s="75"/>
      <c r="AY66" s="1" t="str">
        <f aca="false">IF($B66=3,"DPF","")</f>
        <v/>
      </c>
      <c r="AZ66" s="1" t="str">
        <f aca="false">IF($B66=3,"DPF","")</f>
        <v/>
      </c>
      <c r="BA66" s="1" t="str">
        <f aca="false">IF($B66=3,"DPF","")</f>
        <v/>
      </c>
      <c r="BB66" s="1" t="str">
        <f aca="false">IF($B66=3,"PFI","")</f>
        <v/>
      </c>
      <c r="BC66" s="1" t="str">
        <f aca="false">IF($B66=3,"PFI","")</f>
        <v/>
      </c>
      <c r="BD66" s="1" t="str">
        <f aca="false">IF($B66=3,"PFI","")</f>
        <v/>
      </c>
      <c r="BE66" s="1" t="str">
        <f aca="false">IF($B66=3,"DPF","")</f>
        <v/>
      </c>
      <c r="BF66" s="1" t="str">
        <f aca="false">IF($B66=3,"DPF","")</f>
        <v/>
      </c>
      <c r="BG66" s="1" t="str">
        <f aca="false">IF($B66=3,"PFI","")</f>
        <v/>
      </c>
      <c r="BH66" s="1" t="str">
        <f aca="false">IF($B66=3,"PFI","")</f>
        <v/>
      </c>
      <c r="BI66" s="1" t="str">
        <f aca="false">IF($B66=3,"DPF","")</f>
        <v/>
      </c>
      <c r="BJ66" s="75"/>
      <c r="BK66" s="1" t="str">
        <f aca="false">IF($B66=3,"PFI","")</f>
        <v/>
      </c>
      <c r="BL66" s="1" t="str">
        <f aca="false">IF($B66=3,"PFI","")</f>
        <v/>
      </c>
      <c r="BM66" s="1" t="str">
        <f aca="false">IF($B66=3,"PFI","")</f>
        <v/>
      </c>
      <c r="BN66" s="1" t="str">
        <f aca="false">IF($B66=3,"PFI","")</f>
        <v/>
      </c>
      <c r="BO66" s="1" t="str">
        <f aca="false">IF($B66=3,"PFI","")</f>
        <v/>
      </c>
    </row>
    <row r="67" customFormat="false" ht="12.75" hidden="false" customHeight="false" outlineLevel="0" collapsed="false">
      <c r="A67" s="1" t="n">
        <f aca="false">A66-1</f>
        <v>1960</v>
      </c>
      <c r="B67" s="1" t="s">
        <v>323</v>
      </c>
      <c r="C67" s="1" t="s">
        <v>323</v>
      </c>
      <c r="D67" s="1" t="s">
        <v>323</v>
      </c>
      <c r="E67" s="1" t="s">
        <v>323</v>
      </c>
      <c r="F67" s="1" t="str">
        <f aca="false">IF($B67=3,"PFI","")</f>
        <v/>
      </c>
      <c r="G67" s="1" t="str">
        <f aca="false">IF($B67=3,"PFI","")</f>
        <v/>
      </c>
      <c r="H67" s="1" t="str">
        <f aca="false">IF($B67=3,"PFI","")</f>
        <v/>
      </c>
      <c r="I67" s="1" t="str">
        <f aca="false">IF($B67=3,"PFI","")</f>
        <v/>
      </c>
      <c r="J67" s="1" t="str">
        <f aca="false">IF($B67=3,"PFI","")</f>
        <v/>
      </c>
      <c r="K67" s="1" t="str">
        <f aca="false">IF($B67=3,"PFI","")</f>
        <v/>
      </c>
      <c r="L67" s="1" t="str">
        <f aca="false">IF($B67=3,"DPF","")</f>
        <v/>
      </c>
      <c r="M67" s="1" t="str">
        <f aca="false">IF($B67=3,"DPF","")</f>
        <v/>
      </c>
      <c r="N67" s="1" t="str">
        <f aca="false">IF($B67=3,"DPF","")</f>
        <v/>
      </c>
      <c r="O67" s="1" t="str">
        <f aca="false">IF($B67=3,"PFI","")</f>
        <v/>
      </c>
      <c r="P67" s="1" t="str">
        <f aca="false">IF($B67=3,"PFI","")</f>
        <v/>
      </c>
      <c r="Q67" s="75"/>
      <c r="R67" s="1" t="str">
        <f aca="false">IF($B67=3,"PFI","")</f>
        <v/>
      </c>
      <c r="S67" s="1" t="str">
        <f aca="false">IF($B67=3,"PFI","")</f>
        <v/>
      </c>
      <c r="T67" s="1" t="str">
        <f aca="false">IF($B67=3,"PFI","")</f>
        <v/>
      </c>
      <c r="U67" s="1" t="str">
        <f aca="false">IF($B67=3,"DPF","")</f>
        <v/>
      </c>
      <c r="V67" s="1" t="str">
        <f aca="false">IF($B67=3,"DPF","")</f>
        <v/>
      </c>
      <c r="W67" s="1" t="str">
        <f aca="false">IF($B67=3,"DPF","")</f>
        <v/>
      </c>
      <c r="X67" s="1" t="str">
        <f aca="false">IF($B67=3,"DPF","")</f>
        <v/>
      </c>
      <c r="Y67" s="1" t="str">
        <f aca="false">IF($B67=3,"DPF","")</f>
        <v/>
      </c>
      <c r="Z67" s="1" t="str">
        <f aca="false">IF($B67=3,"DPF","")</f>
        <v/>
      </c>
      <c r="AA67" s="1" t="str">
        <f aca="false">IF($B67=3,"DPF","")</f>
        <v/>
      </c>
      <c r="AB67" s="1" t="str">
        <f aca="false">IF($B67=3,"DPF","")</f>
        <v/>
      </c>
      <c r="AC67" s="1" t="str">
        <f aca="false">IF($B67=3,"DPF","")</f>
        <v/>
      </c>
      <c r="AD67" s="1" t="str">
        <f aca="false">IF($B67=3,"DPF","")</f>
        <v/>
      </c>
      <c r="AE67" s="1" t="str">
        <f aca="false">IF($B67=3,"DPF","")</f>
        <v/>
      </c>
      <c r="AF67" s="1" t="str">
        <f aca="false">IF($B67=3,"DPF","")</f>
        <v/>
      </c>
      <c r="AG67" s="1" t="str">
        <f aca="false">IF($B67=3,"DPF","")</f>
        <v/>
      </c>
      <c r="AH67" s="1" t="str">
        <f aca="false">IF($B67=3,"DPF","")</f>
        <v/>
      </c>
      <c r="AI67" s="1" t="str">
        <f aca="false">IF($B67=3,"PFI","")</f>
        <v/>
      </c>
      <c r="AJ67" s="1" t="str">
        <f aca="false">IF($B67=3,"PFI","")</f>
        <v/>
      </c>
      <c r="AK67" s="1" t="str">
        <f aca="false">IF($B67=3,"PFI","")</f>
        <v/>
      </c>
      <c r="AL67" s="1" t="str">
        <f aca="false">IF($B67=3,"PFI","")</f>
        <v/>
      </c>
      <c r="AM67" s="1" t="str">
        <f aca="false">IF($B67=3,"PFI","")</f>
        <v/>
      </c>
      <c r="AN67" s="1" t="str">
        <f aca="false">IF($B67=3,"PFI","")</f>
        <v/>
      </c>
      <c r="AO67" s="1" t="str">
        <f aca="false">IF($B67=3,"PFI","")</f>
        <v/>
      </c>
      <c r="AP67" s="1" t="str">
        <f aca="false">IF($B67=3,"PFI","")</f>
        <v/>
      </c>
      <c r="AQ67" s="1" t="str">
        <f aca="false">IF($B67=3,"PFI","")</f>
        <v/>
      </c>
      <c r="AR67" s="1" t="str">
        <f aca="false">IF($B67=3,"DPF","")</f>
        <v/>
      </c>
      <c r="AS67" s="1" t="str">
        <f aca="false">IF($B67=3,"DPF","")</f>
        <v/>
      </c>
      <c r="AT67" s="1" t="str">
        <f aca="false">IF($B67=3,"DPF","")</f>
        <v/>
      </c>
      <c r="AU67" s="1" t="str">
        <f aca="false">IF($B67=3,"DPF","")</f>
        <v/>
      </c>
      <c r="AV67" s="1" t="str">
        <f aca="false">IF($B67=3,"DPF","")</f>
        <v/>
      </c>
      <c r="AW67" s="1" t="str">
        <f aca="false">IF($B67=3,"DPF","")</f>
        <v/>
      </c>
      <c r="AX67" s="75"/>
      <c r="AY67" s="1" t="str">
        <f aca="false">IF($B67=3,"DPF","")</f>
        <v/>
      </c>
      <c r="AZ67" s="1" t="str">
        <f aca="false">IF($B67=3,"DPF","")</f>
        <v/>
      </c>
      <c r="BA67" s="1" t="str">
        <f aca="false">IF($B67=3,"DPF","")</f>
        <v/>
      </c>
      <c r="BB67" s="1" t="str">
        <f aca="false">IF($B67=3,"PFI","")</f>
        <v/>
      </c>
      <c r="BC67" s="1" t="str">
        <f aca="false">IF($B67=3,"PFI","")</f>
        <v/>
      </c>
      <c r="BD67" s="1" t="str">
        <f aca="false">IF($B67=3,"PFI","")</f>
        <v/>
      </c>
      <c r="BE67" s="1" t="str">
        <f aca="false">IF($B67=3,"DPF","")</f>
        <v/>
      </c>
      <c r="BF67" s="1" t="str">
        <f aca="false">IF($B67=3,"DPF","")</f>
        <v/>
      </c>
      <c r="BG67" s="1" t="str">
        <f aca="false">IF($B67=3,"PFI","")</f>
        <v/>
      </c>
      <c r="BH67" s="1" t="str">
        <f aca="false">IF($B67=3,"PFI","")</f>
        <v/>
      </c>
      <c r="BI67" s="1" t="str">
        <f aca="false">IF($B67=3,"DPF","")</f>
        <v/>
      </c>
      <c r="BJ67" s="75"/>
      <c r="BK67" s="1" t="str">
        <f aca="false">IF($B67=3,"PFI","")</f>
        <v/>
      </c>
      <c r="BL67" s="1" t="str">
        <f aca="false">IF($B67=3,"PFI","")</f>
        <v/>
      </c>
      <c r="BM67" s="1" t="str">
        <f aca="false">IF($B67=3,"PFI","")</f>
        <v/>
      </c>
      <c r="BN67" s="1" t="str">
        <f aca="false">IF($B67=3,"PFI","")</f>
        <v/>
      </c>
      <c r="BO67" s="1" t="str">
        <f aca="false">IF($B67=3,"PFI","")</f>
        <v/>
      </c>
    </row>
    <row r="68" customFormat="false" ht="12.75" hidden="false" customHeight="false" outlineLevel="0" collapsed="false">
      <c r="A68" s="1" t="n">
        <f aca="false">A67-1</f>
        <v>1959</v>
      </c>
      <c r="B68" s="1" t="s">
        <v>323</v>
      </c>
      <c r="C68" s="1" t="s">
        <v>323</v>
      </c>
      <c r="D68" s="1" t="s">
        <v>323</v>
      </c>
      <c r="E68" s="1" t="s">
        <v>323</v>
      </c>
      <c r="F68" s="1" t="str">
        <f aca="false">IF($B68=3,"PFI","")</f>
        <v/>
      </c>
      <c r="G68" s="1" t="str">
        <f aca="false">IF($B68=3,"PFI","")</f>
        <v/>
      </c>
      <c r="H68" s="1" t="str">
        <f aca="false">IF($B68=3,"PFI","")</f>
        <v/>
      </c>
      <c r="I68" s="1" t="str">
        <f aca="false">IF($B68=3,"PFI","")</f>
        <v/>
      </c>
      <c r="J68" s="1" t="str">
        <f aca="false">IF($B68=3,"PFI","")</f>
        <v/>
      </c>
      <c r="K68" s="1" t="str">
        <f aca="false">IF($B68=3,"PFI","")</f>
        <v/>
      </c>
      <c r="L68" s="1" t="str">
        <f aca="false">IF($B68=3,"DPF","")</f>
        <v/>
      </c>
      <c r="M68" s="1" t="str">
        <f aca="false">IF($B68=3,"DPF","")</f>
        <v/>
      </c>
      <c r="N68" s="1" t="str">
        <f aca="false">IF($B68=3,"DPF","")</f>
        <v/>
      </c>
      <c r="O68" s="1" t="str">
        <f aca="false">IF($B68=3,"PFI","")</f>
        <v/>
      </c>
      <c r="P68" s="1" t="str">
        <f aca="false">IF($B68=3,"PFI","")</f>
        <v/>
      </c>
      <c r="Q68" s="75"/>
      <c r="R68" s="1" t="str">
        <f aca="false">IF($B68=3,"PFI","")</f>
        <v/>
      </c>
      <c r="S68" s="1" t="str">
        <f aca="false">IF($B68=3,"PFI","")</f>
        <v/>
      </c>
      <c r="T68" s="1" t="str">
        <f aca="false">IF($B68=3,"PFI","")</f>
        <v/>
      </c>
      <c r="U68" s="1" t="str">
        <f aca="false">IF($B68=3,"DPF","")</f>
        <v/>
      </c>
      <c r="V68" s="1" t="str">
        <f aca="false">IF($B68=3,"DPF","")</f>
        <v/>
      </c>
      <c r="W68" s="1" t="str">
        <f aca="false">IF($B68=3,"DPF","")</f>
        <v/>
      </c>
      <c r="X68" s="1" t="str">
        <f aca="false">IF($B68=3,"DPF","")</f>
        <v/>
      </c>
      <c r="Y68" s="1" t="str">
        <f aca="false">IF($B68=3,"DPF","")</f>
        <v/>
      </c>
      <c r="Z68" s="1" t="str">
        <f aca="false">IF($B68=3,"DPF","")</f>
        <v/>
      </c>
      <c r="AA68" s="1" t="str">
        <f aca="false">IF($B68=3,"DPF","")</f>
        <v/>
      </c>
      <c r="AB68" s="1" t="str">
        <f aca="false">IF($B68=3,"DPF","")</f>
        <v/>
      </c>
      <c r="AC68" s="1" t="str">
        <f aca="false">IF($B68=3,"DPF","")</f>
        <v/>
      </c>
      <c r="AD68" s="1" t="str">
        <f aca="false">IF($B68=3,"DPF","")</f>
        <v/>
      </c>
      <c r="AE68" s="1" t="str">
        <f aca="false">IF($B68=3,"DPF","")</f>
        <v/>
      </c>
      <c r="AF68" s="1" t="str">
        <f aca="false">IF($B68=3,"DPF","")</f>
        <v/>
      </c>
      <c r="AG68" s="1" t="str">
        <f aca="false">IF($B68=3,"DPF","")</f>
        <v/>
      </c>
      <c r="AH68" s="1" t="str">
        <f aca="false">IF($B68=3,"DPF","")</f>
        <v/>
      </c>
      <c r="AI68" s="1" t="str">
        <f aca="false">IF($B68=3,"PFI","")</f>
        <v/>
      </c>
      <c r="AJ68" s="1" t="str">
        <f aca="false">IF($B68=3,"PFI","")</f>
        <v/>
      </c>
      <c r="AK68" s="1" t="str">
        <f aca="false">IF($B68=3,"PFI","")</f>
        <v/>
      </c>
      <c r="AL68" s="1" t="str">
        <f aca="false">IF($B68=3,"PFI","")</f>
        <v/>
      </c>
      <c r="AM68" s="1" t="str">
        <f aca="false">IF($B68=3,"PFI","")</f>
        <v/>
      </c>
      <c r="AN68" s="1" t="str">
        <f aca="false">IF($B68=3,"PFI","")</f>
        <v/>
      </c>
      <c r="AO68" s="1" t="str">
        <f aca="false">IF($B68=3,"PFI","")</f>
        <v/>
      </c>
      <c r="AP68" s="1" t="str">
        <f aca="false">IF($B68=3,"PFI","")</f>
        <v/>
      </c>
      <c r="AQ68" s="1" t="str">
        <f aca="false">IF($B68=3,"PFI","")</f>
        <v/>
      </c>
      <c r="AR68" s="1" t="str">
        <f aca="false">IF($B68=3,"DPF","")</f>
        <v/>
      </c>
      <c r="AS68" s="1" t="str">
        <f aca="false">IF($B68=3,"DPF","")</f>
        <v/>
      </c>
      <c r="AT68" s="1" t="str">
        <f aca="false">IF($B68=3,"DPF","")</f>
        <v/>
      </c>
      <c r="AU68" s="1" t="str">
        <f aca="false">IF($B68=3,"DPF","")</f>
        <v/>
      </c>
      <c r="AV68" s="1" t="str">
        <f aca="false">IF($B68=3,"DPF","")</f>
        <v/>
      </c>
      <c r="AW68" s="1" t="str">
        <f aca="false">IF($B68=3,"DPF","")</f>
        <v/>
      </c>
      <c r="AX68" s="75"/>
      <c r="AY68" s="1" t="str">
        <f aca="false">IF($B68=3,"DPF","")</f>
        <v/>
      </c>
      <c r="AZ68" s="1" t="str">
        <f aca="false">IF($B68=3,"DPF","")</f>
        <v/>
      </c>
      <c r="BA68" s="1" t="str">
        <f aca="false">IF($B68=3,"DPF","")</f>
        <v/>
      </c>
      <c r="BB68" s="1" t="str">
        <f aca="false">IF($B68=3,"PFI","")</f>
        <v/>
      </c>
      <c r="BC68" s="1" t="str">
        <f aca="false">IF($B68=3,"PFI","")</f>
        <v/>
      </c>
      <c r="BD68" s="1" t="str">
        <f aca="false">IF($B68=3,"PFI","")</f>
        <v/>
      </c>
      <c r="BE68" s="1" t="str">
        <f aca="false">IF($B68=3,"DPF","")</f>
        <v/>
      </c>
      <c r="BF68" s="1" t="str">
        <f aca="false">IF($B68=3,"DPF","")</f>
        <v/>
      </c>
      <c r="BG68" s="1" t="str">
        <f aca="false">IF($B68=3,"PFI","")</f>
        <v/>
      </c>
      <c r="BH68" s="1" t="str">
        <f aca="false">IF($B68=3,"PFI","")</f>
        <v/>
      </c>
      <c r="BI68" s="1" t="str">
        <f aca="false">IF($B68=3,"DPF","")</f>
        <v/>
      </c>
      <c r="BJ68" s="75"/>
      <c r="BK68" s="1" t="str">
        <f aca="false">IF($B68=3,"PFI","")</f>
        <v/>
      </c>
      <c r="BL68" s="1" t="str">
        <f aca="false">IF($B68=3,"PFI","")</f>
        <v/>
      </c>
      <c r="BM68" s="1" t="str">
        <f aca="false">IF($B68=3,"PFI","")</f>
        <v/>
      </c>
      <c r="BN68" s="1" t="str">
        <f aca="false">IF($B68=3,"PFI","")</f>
        <v/>
      </c>
      <c r="BO68" s="1" t="str">
        <f aca="false">IF($B68=3,"PFI","")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7" activeCellId="0" sqref="B27"/>
    </sheetView>
  </sheetViews>
  <sheetFormatPr defaultColWidth="11.859375" defaultRowHeight="12.8" zeroHeight="false" outlineLevelRow="0" outlineLevelCol="0"/>
  <cols>
    <col collapsed="false" customWidth="true" hidden="false" outlineLevel="0" max="1024" min="1021" style="1" width="11.57"/>
  </cols>
  <sheetData>
    <row r="1" customFormat="false" ht="13.8" hidden="false" customHeight="false" outlineLevel="0" collapsed="false">
      <c r="A1" s="37" t="s">
        <v>238</v>
      </c>
      <c r="B1" s="37" t="s">
        <v>327</v>
      </c>
      <c r="C1" s="37" t="s">
        <v>328</v>
      </c>
      <c r="D1" s="37" t="s">
        <v>329</v>
      </c>
      <c r="E1" s="37" t="s">
        <v>239</v>
      </c>
      <c r="F1" s="37" t="s">
        <v>330</v>
      </c>
      <c r="G1" s="37" t="s">
        <v>331</v>
      </c>
      <c r="H1" s="37" t="s">
        <v>332</v>
      </c>
      <c r="I1" s="37" t="s">
        <v>232</v>
      </c>
      <c r="J1" s="37" t="s">
        <v>300</v>
      </c>
    </row>
    <row r="2" customFormat="false" ht="12.75" hidden="false" customHeight="false" outlineLevel="0" collapsed="false">
      <c r="A2" s="1" t="s">
        <v>244</v>
      </c>
      <c r="B2" s="1" t="s">
        <v>245</v>
      </c>
      <c r="C2" s="1" t="s">
        <v>333</v>
      </c>
      <c r="D2" s="1" t="n">
        <v>9.50868420493424</v>
      </c>
      <c r="E2" s="1" t="s">
        <v>245</v>
      </c>
      <c r="F2" s="1" t="s">
        <v>245</v>
      </c>
      <c r="G2" s="1" t="n">
        <v>9.50868420493424</v>
      </c>
      <c r="H2" s="1" t="n">
        <v>42005</v>
      </c>
      <c r="I2" s="1" t="n">
        <v>2019</v>
      </c>
      <c r="J2" s="1" t="n">
        <v>6</v>
      </c>
    </row>
    <row r="3" customFormat="false" ht="12.75" hidden="false" customHeight="false" outlineLevel="0" collapsed="false">
      <c r="A3" s="1" t="s">
        <v>247</v>
      </c>
      <c r="B3" s="1" t="s">
        <v>248</v>
      </c>
      <c r="C3" s="1" t="s">
        <v>333</v>
      </c>
      <c r="D3" s="1" t="n">
        <v>14.4348595826126</v>
      </c>
      <c r="E3" s="1" t="s">
        <v>248</v>
      </c>
      <c r="F3" s="1" t="s">
        <v>248</v>
      </c>
      <c r="G3" s="1" t="n">
        <v>14.4348595826126</v>
      </c>
      <c r="H3" s="1" t="n">
        <v>42005</v>
      </c>
      <c r="I3" s="1" t="n">
        <v>2019</v>
      </c>
      <c r="J3" s="1" t="n">
        <v>6</v>
      </c>
    </row>
    <row r="4" customFormat="false" ht="12.75" hidden="false" customHeight="false" outlineLevel="0" collapsed="false">
      <c r="A4" s="1" t="s">
        <v>249</v>
      </c>
      <c r="B4" s="1" t="s">
        <v>334</v>
      </c>
      <c r="C4" s="1" t="s">
        <v>333</v>
      </c>
      <c r="D4" s="1" t="n">
        <v>9.4657620529984</v>
      </c>
      <c r="E4" s="1" t="s">
        <v>250</v>
      </c>
      <c r="F4" s="1" t="s">
        <v>250</v>
      </c>
      <c r="G4" s="1" t="n">
        <v>9.4657620529984</v>
      </c>
      <c r="H4" s="1" t="n">
        <v>42005</v>
      </c>
      <c r="I4" s="1" t="n">
        <v>2019</v>
      </c>
      <c r="J4" s="1" t="n">
        <v>6</v>
      </c>
    </row>
    <row r="5" customFormat="false" ht="12.75" hidden="false" customHeight="false" outlineLevel="0" collapsed="false">
      <c r="A5" s="1" t="s">
        <v>251</v>
      </c>
      <c r="B5" s="1" t="s">
        <v>252</v>
      </c>
      <c r="C5" s="1" t="s">
        <v>333</v>
      </c>
      <c r="D5" s="1" t="n">
        <v>13.5777042084535</v>
      </c>
      <c r="E5" s="1" t="s">
        <v>252</v>
      </c>
      <c r="F5" s="1" t="s">
        <v>252</v>
      </c>
      <c r="G5" s="1" t="n">
        <v>13.5777042084535</v>
      </c>
      <c r="H5" s="1" t="n">
        <v>42005</v>
      </c>
      <c r="I5" s="1" t="n">
        <v>2019</v>
      </c>
      <c r="J5" s="1" t="n">
        <v>6</v>
      </c>
    </row>
    <row r="6" customFormat="false" ht="12.75" hidden="false" customHeight="false" outlineLevel="0" collapsed="false">
      <c r="A6" s="1" t="s">
        <v>253</v>
      </c>
      <c r="B6" s="1" t="s">
        <v>254</v>
      </c>
      <c r="C6" s="1" t="s">
        <v>333</v>
      </c>
      <c r="D6" s="1" t="n">
        <v>9.53143294546027</v>
      </c>
      <c r="E6" s="1" t="s">
        <v>254</v>
      </c>
      <c r="F6" s="1" t="s">
        <v>254</v>
      </c>
      <c r="G6" s="1" t="n">
        <v>9.53143294546027</v>
      </c>
      <c r="H6" s="1" t="n">
        <v>42005</v>
      </c>
      <c r="I6" s="1" t="n">
        <v>2019</v>
      </c>
      <c r="J6" s="1" t="n">
        <v>6</v>
      </c>
    </row>
    <row r="7" customFormat="false" ht="12.75" hidden="false" customHeight="false" outlineLevel="0" collapsed="false">
      <c r="A7" s="1" t="s">
        <v>255</v>
      </c>
      <c r="B7" s="1" t="s">
        <v>256</v>
      </c>
      <c r="C7" s="1" t="s">
        <v>333</v>
      </c>
      <c r="D7" s="1" t="n">
        <v>9.17088686919908</v>
      </c>
      <c r="E7" s="1" t="s">
        <v>256</v>
      </c>
      <c r="F7" s="1" t="s">
        <v>256</v>
      </c>
      <c r="G7" s="1" t="n">
        <v>9.17088686919908</v>
      </c>
      <c r="H7" s="1" t="n">
        <v>42005</v>
      </c>
      <c r="I7" s="1" t="n">
        <v>2019</v>
      </c>
      <c r="J7" s="1" t="n">
        <v>6</v>
      </c>
    </row>
    <row r="8" customFormat="false" ht="12.75" hidden="false" customHeight="false" outlineLevel="0" collapsed="false">
      <c r="A8" s="1" t="s">
        <v>257</v>
      </c>
      <c r="B8" s="1" t="s">
        <v>258</v>
      </c>
      <c r="C8" s="1" t="s">
        <v>333</v>
      </c>
      <c r="D8" s="1" t="n">
        <v>22.1501163930828</v>
      </c>
      <c r="E8" s="1" t="s">
        <v>258</v>
      </c>
      <c r="F8" s="1" t="s">
        <v>258</v>
      </c>
      <c r="G8" s="1" t="n">
        <v>22.1501163930828</v>
      </c>
      <c r="H8" s="1" t="n">
        <v>42005</v>
      </c>
      <c r="I8" s="1" t="n">
        <v>2019</v>
      </c>
      <c r="J8" s="1" t="n">
        <v>6</v>
      </c>
    </row>
    <row r="9" customFormat="false" ht="12.75" hidden="false" customHeight="false" outlineLevel="0" collapsed="false">
      <c r="A9" s="1" t="s">
        <v>259</v>
      </c>
      <c r="B9" s="1" t="s">
        <v>260</v>
      </c>
      <c r="C9" s="1" t="s">
        <v>333</v>
      </c>
      <c r="D9" s="1" t="n">
        <v>23.9434039009629</v>
      </c>
      <c r="E9" s="1" t="s">
        <v>260</v>
      </c>
      <c r="F9" s="1" t="s">
        <v>260</v>
      </c>
      <c r="G9" s="1" t="n">
        <v>23.9434039009629</v>
      </c>
      <c r="H9" s="1" t="n">
        <v>42005</v>
      </c>
      <c r="I9" s="1" t="n">
        <v>2019</v>
      </c>
      <c r="J9" s="1" t="n">
        <v>6</v>
      </c>
    </row>
    <row r="10" customFormat="false" ht="12.75" hidden="false" customHeight="false" outlineLevel="0" collapsed="false">
      <c r="A10" s="1" t="s">
        <v>261</v>
      </c>
      <c r="B10" s="1" t="s">
        <v>262</v>
      </c>
      <c r="C10" s="1" t="s">
        <v>333</v>
      </c>
      <c r="D10" s="1" t="n">
        <v>24.9374809397973</v>
      </c>
      <c r="E10" s="1" t="s">
        <v>262</v>
      </c>
      <c r="F10" s="1" t="s">
        <v>262</v>
      </c>
      <c r="G10" s="1" t="n">
        <v>24.9374809397973</v>
      </c>
      <c r="H10" s="1" t="n">
        <v>42005</v>
      </c>
      <c r="I10" s="1" t="n">
        <v>2019</v>
      </c>
      <c r="J10" s="1" t="n">
        <v>6</v>
      </c>
    </row>
    <row r="11" customFormat="false" ht="12.75" hidden="false" customHeight="false" outlineLevel="0" collapsed="false">
      <c r="A11" s="1" t="s">
        <v>263</v>
      </c>
      <c r="B11" s="1" t="s">
        <v>264</v>
      </c>
      <c r="C11" s="1" t="s">
        <v>333</v>
      </c>
      <c r="D11" s="1" t="n">
        <v>25.1001558956342</v>
      </c>
      <c r="E11" s="1" t="s">
        <v>264</v>
      </c>
      <c r="F11" s="1" t="s">
        <v>264</v>
      </c>
      <c r="G11" s="1" t="n">
        <v>25.1001558956342</v>
      </c>
      <c r="H11" s="1" t="n">
        <v>42005</v>
      </c>
      <c r="I11" s="1" t="n">
        <v>2019</v>
      </c>
      <c r="J11" s="1" t="n">
        <v>6</v>
      </c>
    </row>
    <row r="12" customFormat="false" ht="12.75" hidden="false" customHeight="false" outlineLevel="0" collapsed="false">
      <c r="A12" s="1" t="s">
        <v>265</v>
      </c>
      <c r="B12" s="1" t="s">
        <v>266</v>
      </c>
      <c r="C12" s="1" t="s">
        <v>333</v>
      </c>
      <c r="D12" s="1" t="n">
        <v>10.1156034333073</v>
      </c>
      <c r="E12" s="1" t="s">
        <v>266</v>
      </c>
      <c r="F12" s="1" t="s">
        <v>266</v>
      </c>
      <c r="G12" s="1" t="n">
        <v>10.1156034333073</v>
      </c>
      <c r="H12" s="1" t="n">
        <v>42005</v>
      </c>
      <c r="I12" s="1" t="n">
        <v>2019</v>
      </c>
      <c r="J12" s="1" t="n">
        <v>6</v>
      </c>
    </row>
    <row r="13" customFormat="false" ht="12.75" hidden="false" customHeight="false" outlineLevel="0" collapsed="false">
      <c r="A13" s="1" t="s">
        <v>267</v>
      </c>
      <c r="B13" s="1" t="s">
        <v>268</v>
      </c>
      <c r="C13" s="1" t="s">
        <v>333</v>
      </c>
      <c r="D13" s="1" t="n">
        <v>19.7790967201461</v>
      </c>
      <c r="E13" s="1" t="s">
        <v>268</v>
      </c>
      <c r="F13" s="1" t="s">
        <v>268</v>
      </c>
      <c r="G13" s="1" t="n">
        <v>19.7790967201461</v>
      </c>
      <c r="H13" s="1" t="n">
        <v>42005</v>
      </c>
      <c r="I13" s="1" t="n">
        <v>2019</v>
      </c>
      <c r="J13" s="1" t="n">
        <v>6</v>
      </c>
    </row>
    <row r="14" customFormat="false" ht="12.75" hidden="false" customHeight="false" outlineLevel="0" collapsed="false">
      <c r="A14" s="1" t="s">
        <v>269</v>
      </c>
      <c r="B14" s="1" t="s">
        <v>270</v>
      </c>
      <c r="C14" s="1" t="s">
        <v>333</v>
      </c>
      <c r="D14" s="1" t="n">
        <v>23.009847096358</v>
      </c>
      <c r="E14" s="1" t="s">
        <v>270</v>
      </c>
      <c r="F14" s="1" t="s">
        <v>270</v>
      </c>
      <c r="G14" s="1" t="n">
        <v>23.009847096358</v>
      </c>
      <c r="H14" s="1" t="n">
        <v>42005</v>
      </c>
      <c r="I14" s="1" t="n">
        <v>2019</v>
      </c>
      <c r="J14" s="1" t="n">
        <v>6</v>
      </c>
    </row>
    <row r="15" customFormat="false" ht="12.75" hidden="false" customHeight="false" outlineLevel="0" collapsed="false">
      <c r="A15" s="1" t="s">
        <v>271</v>
      </c>
      <c r="B15" s="1" t="s">
        <v>335</v>
      </c>
      <c r="C15" s="1" t="s">
        <v>333</v>
      </c>
      <c r="D15" s="1" t="n">
        <v>25.50448256687</v>
      </c>
      <c r="E15" s="1" t="s">
        <v>272</v>
      </c>
      <c r="F15" s="1" t="s">
        <v>272</v>
      </c>
      <c r="G15" s="1" t="n">
        <v>25.50448256687</v>
      </c>
      <c r="H15" s="1" t="n">
        <v>42005</v>
      </c>
      <c r="I15" s="1" t="n">
        <v>2019</v>
      </c>
      <c r="J15" s="1" t="n">
        <v>6</v>
      </c>
    </row>
    <row r="16" customFormat="false" ht="12.75" hidden="false" customHeight="false" outlineLevel="0" collapsed="false">
      <c r="A16" s="1" t="s">
        <v>273</v>
      </c>
      <c r="B16" s="1" t="s">
        <v>274</v>
      </c>
      <c r="C16" s="1" t="s">
        <v>333</v>
      </c>
      <c r="D16" s="1" t="n">
        <v>18.7648462699017</v>
      </c>
      <c r="E16" s="1" t="s">
        <v>274</v>
      </c>
      <c r="F16" s="1" t="s">
        <v>274</v>
      </c>
      <c r="G16" s="1" t="n">
        <v>18.7648462699017</v>
      </c>
      <c r="H16" s="1" t="n">
        <v>42005</v>
      </c>
      <c r="I16" s="1" t="n">
        <v>2019</v>
      </c>
      <c r="J16" s="1" t="n">
        <v>6</v>
      </c>
    </row>
    <row r="17" customFormat="false" ht="12.75" hidden="false" customHeight="false" outlineLevel="0" collapsed="false">
      <c r="A17" s="1" t="s">
        <v>275</v>
      </c>
      <c r="B17" s="1" t="s">
        <v>276</v>
      </c>
      <c r="C17" s="1" t="s">
        <v>333</v>
      </c>
      <c r="D17" s="1" t="n">
        <v>16.8792761353596</v>
      </c>
      <c r="E17" s="1" t="s">
        <v>276</v>
      </c>
      <c r="F17" s="1" t="s">
        <v>276</v>
      </c>
      <c r="G17" s="1" t="n">
        <v>16.8792761353596</v>
      </c>
      <c r="H17" s="1" t="n">
        <v>42005</v>
      </c>
      <c r="I17" s="1" t="n">
        <v>2019</v>
      </c>
      <c r="J17" s="1" t="n">
        <v>6</v>
      </c>
    </row>
    <row r="18" customFormat="false" ht="12.75" hidden="false" customHeight="false" outlineLevel="0" collapsed="false">
      <c r="A18" s="1" t="s">
        <v>277</v>
      </c>
      <c r="B18" s="1" t="s">
        <v>278</v>
      </c>
      <c r="C18" s="1" t="s">
        <v>333</v>
      </c>
      <c r="D18" s="1" t="n">
        <v>24.1623068758357</v>
      </c>
      <c r="E18" s="1" t="s">
        <v>278</v>
      </c>
      <c r="F18" s="1" t="s">
        <v>278</v>
      </c>
      <c r="G18" s="1" t="n">
        <v>24.1623068758357</v>
      </c>
      <c r="H18" s="1" t="n">
        <v>42005</v>
      </c>
      <c r="I18" s="1" t="n">
        <v>2019</v>
      </c>
      <c r="J18" s="1" t="n">
        <v>6</v>
      </c>
    </row>
    <row r="19" customFormat="false" ht="12.75" hidden="false" customHeight="false" outlineLevel="0" collapsed="false">
      <c r="A19" s="1" t="s">
        <v>279</v>
      </c>
      <c r="B19" s="1" t="s">
        <v>280</v>
      </c>
      <c r="C19" s="1" t="s">
        <v>333</v>
      </c>
      <c r="D19" s="1" t="n">
        <v>23.9288103693047</v>
      </c>
      <c r="E19" s="1" t="s">
        <v>280</v>
      </c>
      <c r="F19" s="1" t="s">
        <v>280</v>
      </c>
      <c r="G19" s="1" t="n">
        <v>23.9288103693047</v>
      </c>
      <c r="H19" s="1" t="n">
        <v>42005</v>
      </c>
      <c r="I19" s="1" t="n">
        <v>2019</v>
      </c>
      <c r="J19" s="1" t="n">
        <v>6</v>
      </c>
    </row>
    <row r="20" customFormat="false" ht="12.75" hidden="false" customHeight="false" outlineLevel="0" collapsed="false">
      <c r="A20" s="1" t="s">
        <v>281</v>
      </c>
      <c r="B20" s="1" t="s">
        <v>282</v>
      </c>
      <c r="C20" s="1" t="s">
        <v>333</v>
      </c>
      <c r="D20" s="1" t="n">
        <v>10.8276819339232</v>
      </c>
      <c r="E20" s="1" t="s">
        <v>282</v>
      </c>
      <c r="F20" s="1" t="s">
        <v>282</v>
      </c>
      <c r="G20" s="1" t="n">
        <v>10.8276819339232</v>
      </c>
      <c r="H20" s="1" t="n">
        <v>42005</v>
      </c>
      <c r="I20" s="1" t="n">
        <v>2019</v>
      </c>
      <c r="J20" s="1" t="n">
        <v>6</v>
      </c>
    </row>
    <row r="21" customFormat="false" ht="12.75" hidden="false" customHeight="false" outlineLevel="0" collapsed="false">
      <c r="A21" s="1" t="s">
        <v>283</v>
      </c>
      <c r="B21" s="1" t="s">
        <v>284</v>
      </c>
      <c r="C21" s="1" t="s">
        <v>333</v>
      </c>
      <c r="D21" s="1" t="n">
        <v>25.2353606742321</v>
      </c>
      <c r="E21" s="1" t="s">
        <v>284</v>
      </c>
      <c r="F21" s="1" t="s">
        <v>284</v>
      </c>
      <c r="G21" s="1" t="n">
        <v>25.2353606742321</v>
      </c>
      <c r="H21" s="1" t="n">
        <v>42005</v>
      </c>
      <c r="I21" s="1" t="n">
        <v>2019</v>
      </c>
      <c r="J21" s="1" t="n">
        <v>6</v>
      </c>
    </row>
    <row r="22" customFormat="false" ht="12.75" hidden="false" customHeight="false" outlineLevel="0" collapsed="false">
      <c r="A22" s="1" t="s">
        <v>285</v>
      </c>
      <c r="B22" s="1" t="s">
        <v>286</v>
      </c>
      <c r="C22" s="1" t="s">
        <v>333</v>
      </c>
      <c r="D22" s="1" t="n">
        <v>22.1368105259826</v>
      </c>
      <c r="E22" s="1" t="s">
        <v>286</v>
      </c>
      <c r="F22" s="1" t="s">
        <v>286</v>
      </c>
      <c r="G22" s="1" t="n">
        <v>22.1368105259826</v>
      </c>
      <c r="H22" s="1" t="n">
        <v>42005</v>
      </c>
      <c r="I22" s="1" t="n">
        <v>2019</v>
      </c>
      <c r="J22" s="1" t="n">
        <v>6</v>
      </c>
    </row>
    <row r="23" customFormat="false" ht="12.75" hidden="false" customHeight="false" outlineLevel="0" collapsed="false">
      <c r="A23" s="1" t="s">
        <v>287</v>
      </c>
      <c r="B23" s="1" t="s">
        <v>288</v>
      </c>
      <c r="C23" s="1" t="s">
        <v>333</v>
      </c>
      <c r="D23" s="1" t="n">
        <v>24.0095040149441</v>
      </c>
      <c r="E23" s="1" t="s">
        <v>288</v>
      </c>
      <c r="F23" s="1" t="s">
        <v>288</v>
      </c>
      <c r="G23" s="1" t="n">
        <v>24.0095040149441</v>
      </c>
      <c r="H23" s="1" t="n">
        <v>42005</v>
      </c>
      <c r="I23" s="1" t="n">
        <v>2019</v>
      </c>
      <c r="J23" s="1" t="n">
        <v>6</v>
      </c>
    </row>
    <row r="24" customFormat="false" ht="12.75" hidden="false" customHeight="false" outlineLevel="0" collapsed="false">
      <c r="A24" s="1" t="s">
        <v>289</v>
      </c>
      <c r="B24" s="1" t="s">
        <v>290</v>
      </c>
      <c r="C24" s="1" t="s">
        <v>333</v>
      </c>
      <c r="D24" s="1" t="n">
        <v>11.131570769629</v>
      </c>
      <c r="E24" s="1" t="s">
        <v>290</v>
      </c>
      <c r="F24" s="1" t="s">
        <v>290</v>
      </c>
      <c r="G24" s="1" t="n">
        <v>11.131570769629</v>
      </c>
      <c r="H24" s="1" t="n">
        <v>42005</v>
      </c>
      <c r="I24" s="1" t="n">
        <v>2019</v>
      </c>
      <c r="J24" s="1" t="n">
        <v>6</v>
      </c>
    </row>
    <row r="25" customFormat="false" ht="12.75" hidden="false" customHeight="false" outlineLevel="0" collapsed="false">
      <c r="A25" s="1" t="s">
        <v>291</v>
      </c>
      <c r="B25" s="1" t="s">
        <v>292</v>
      </c>
      <c r="C25" s="1" t="s">
        <v>333</v>
      </c>
      <c r="D25" s="1" t="n">
        <v>15.9697557358388</v>
      </c>
      <c r="E25" s="1" t="s">
        <v>292</v>
      </c>
      <c r="F25" s="1" t="s">
        <v>292</v>
      </c>
      <c r="G25" s="1" t="n">
        <v>15.9697557358388</v>
      </c>
      <c r="H25" s="1" t="n">
        <v>42005</v>
      </c>
      <c r="I25" s="1" t="n">
        <v>2019</v>
      </c>
      <c r="J25" s="1" t="n">
        <v>6</v>
      </c>
    </row>
    <row r="26" customFormat="false" ht="12.75" hidden="false" customHeight="false" outlineLevel="0" collapsed="false">
      <c r="A26" s="1" t="s">
        <v>293</v>
      </c>
      <c r="B26" s="1" t="s">
        <v>294</v>
      </c>
      <c r="C26" s="1" t="s">
        <v>333</v>
      </c>
      <c r="D26" s="1" t="n">
        <v>22.4724617541211</v>
      </c>
      <c r="E26" s="1" t="s">
        <v>294</v>
      </c>
      <c r="F26" s="1" t="s">
        <v>294</v>
      </c>
      <c r="G26" s="1" t="n">
        <v>22.4724617541211</v>
      </c>
      <c r="H26" s="1" t="n">
        <v>42005</v>
      </c>
      <c r="I26" s="1" t="n">
        <v>2019</v>
      </c>
      <c r="J26" s="1" t="n">
        <v>6</v>
      </c>
    </row>
    <row r="27" customFormat="false" ht="12.8" hidden="false" customHeight="false" outlineLevel="0" collapsed="false">
      <c r="A27" s="1" t="s">
        <v>296</v>
      </c>
      <c r="B27" s="1" t="s">
        <v>297</v>
      </c>
      <c r="C27" s="1" t="s">
        <v>333</v>
      </c>
      <c r="D27" s="1" t="n">
        <v>10.8276819339232</v>
      </c>
      <c r="E27" s="1" t="s">
        <v>297</v>
      </c>
      <c r="F27" s="1" t="s">
        <v>297</v>
      </c>
      <c r="G27" s="1" t="n">
        <v>10.8276819339232</v>
      </c>
      <c r="H27" s="1" t="n">
        <v>42005</v>
      </c>
      <c r="I27" s="1" t="n">
        <v>2019</v>
      </c>
      <c r="J27" s="1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23" activeCellId="0" sqref="I23"/>
    </sheetView>
  </sheetViews>
  <sheetFormatPr defaultColWidth="11.71484375" defaultRowHeight="12.8" zeroHeight="false" outlineLevelRow="0" outlineLevelCol="0"/>
  <cols>
    <col collapsed="false" customWidth="true" hidden="false" outlineLevel="0" max="1" min="1" style="1" width="6.85"/>
    <col collapsed="false" customWidth="true" hidden="false" outlineLevel="0" max="2" min="2" style="1" width="11.29"/>
    <col collapsed="false" customWidth="true" hidden="false" outlineLevel="0" max="3" min="3" style="1" width="13.71"/>
    <col collapsed="false" customWidth="true" hidden="false" outlineLevel="0" max="4" min="4" style="1" width="14.86"/>
    <col collapsed="false" customWidth="true" hidden="false" outlineLevel="0" max="5" min="5" style="1" width="11.14"/>
    <col collapsed="false" customWidth="true" hidden="false" outlineLevel="0" max="9" min="6" style="1" width="17.15"/>
    <col collapsed="false" customWidth="true" hidden="false" outlineLevel="0" max="10" min="10" style="1" width="9.71"/>
    <col collapsed="false" customWidth="true" hidden="false" outlineLevel="0" max="11" min="11" style="1" width="14.71"/>
    <col collapsed="false" customWidth="true" hidden="false" outlineLevel="0" max="12" min="12" style="1" width="15.29"/>
    <col collapsed="false" customWidth="true" hidden="false" outlineLevel="0" max="13" min="13" style="1" width="17.57"/>
    <col collapsed="false" customWidth="true" hidden="false" outlineLevel="0" max="14" min="14" style="1" width="10.29"/>
    <col collapsed="false" customWidth="true" hidden="false" outlineLevel="0" max="15" min="15" style="1" width="10.85"/>
    <col collapsed="false" customWidth="true" hidden="false" outlineLevel="0" max="22" min="17" style="1" width="17.15"/>
    <col collapsed="false" customWidth="true" hidden="false" outlineLevel="0" max="23" min="23" style="1" width="19.71"/>
    <col collapsed="false" customWidth="true" hidden="false" outlineLevel="0" max="29" min="24" style="1" width="20.71"/>
    <col collapsed="false" customWidth="true" hidden="false" outlineLevel="0" max="30" min="30" style="1" width="17.71"/>
    <col collapsed="false" customWidth="true" hidden="false" outlineLevel="0" max="31" min="31" style="1" width="17.15"/>
    <col collapsed="false" customWidth="true" hidden="false" outlineLevel="0" max="32" min="32" style="1" width="18.57"/>
    <col collapsed="false" customWidth="true" hidden="false" outlineLevel="0" max="38" min="33" style="1" width="19.57"/>
    <col collapsed="false" customWidth="true" hidden="false" outlineLevel="0" max="39" min="39" style="1" width="17.15"/>
    <col collapsed="false" customWidth="true" hidden="false" outlineLevel="0" max="45" min="40" style="1" width="19.57"/>
    <col collapsed="false" customWidth="true" hidden="false" outlineLevel="0" max="60" min="46" style="1" width="17.15"/>
    <col collapsed="false" customWidth="true" hidden="false" outlineLevel="0" max="61" min="61" style="1" width="17.71"/>
    <col collapsed="false" customWidth="true" hidden="false" outlineLevel="0" max="63" min="62" style="1" width="17.15"/>
  </cols>
  <sheetData>
    <row r="1" customFormat="false" ht="13.8" hidden="false" customHeight="false" outlineLevel="0" collapsed="false">
      <c r="A1" s="20" t="s">
        <v>300</v>
      </c>
      <c r="B1" s="23" t="s">
        <v>25</v>
      </c>
      <c r="C1" s="23" t="s">
        <v>35</v>
      </c>
      <c r="D1" s="23" t="s">
        <v>38</v>
      </c>
      <c r="E1" s="23" t="s">
        <v>43</v>
      </c>
      <c r="F1" s="2" t="s">
        <v>48</v>
      </c>
      <c r="G1" s="2" t="s">
        <v>50</v>
      </c>
      <c r="H1" s="2" t="s">
        <v>51</v>
      </c>
      <c r="I1" s="2" t="s">
        <v>52</v>
      </c>
      <c r="J1" s="23" t="s">
        <v>53</v>
      </c>
      <c r="K1" s="23" t="s">
        <v>57</v>
      </c>
      <c r="L1" s="23" t="s">
        <v>60</v>
      </c>
      <c r="M1" s="23" t="s">
        <v>62</v>
      </c>
      <c r="N1" s="23" t="s">
        <v>67</v>
      </c>
      <c r="O1" s="23" t="s">
        <v>73</v>
      </c>
      <c r="P1" s="23" t="s">
        <v>77</v>
      </c>
      <c r="Q1" s="2" t="s">
        <v>81</v>
      </c>
      <c r="R1" s="2" t="s">
        <v>84</v>
      </c>
      <c r="S1" s="2" t="s">
        <v>86</v>
      </c>
      <c r="T1" s="2" t="s">
        <v>88</v>
      </c>
      <c r="U1" s="2" t="s">
        <v>90</v>
      </c>
      <c r="V1" s="2" t="s">
        <v>92</v>
      </c>
      <c r="W1" s="2" t="s">
        <v>100</v>
      </c>
      <c r="X1" s="2" t="s">
        <v>104</v>
      </c>
      <c r="Y1" s="2" t="s">
        <v>108</v>
      </c>
      <c r="Z1" s="2" t="s">
        <v>112</v>
      </c>
      <c r="AA1" s="2" t="s">
        <v>114</v>
      </c>
      <c r="AB1" s="20" t="s">
        <v>118</v>
      </c>
      <c r="AC1" s="20" t="s">
        <v>122</v>
      </c>
      <c r="AD1" s="2" t="s">
        <v>126</v>
      </c>
      <c r="AE1" s="76" t="s">
        <v>130</v>
      </c>
      <c r="AF1" s="76" t="s">
        <v>132</v>
      </c>
      <c r="AG1" s="76" t="s">
        <v>133</v>
      </c>
      <c r="AH1" s="76" t="s">
        <v>134</v>
      </c>
      <c r="AI1" s="76" t="s">
        <v>135</v>
      </c>
      <c r="AJ1" s="76" t="s">
        <v>136</v>
      </c>
      <c r="AK1" s="76" t="s">
        <v>137</v>
      </c>
      <c r="AL1" s="76" t="s">
        <v>138</v>
      </c>
      <c r="AM1" s="76" t="s">
        <v>139</v>
      </c>
      <c r="AN1" s="37" t="s">
        <v>140</v>
      </c>
      <c r="AO1" s="37" t="s">
        <v>144</v>
      </c>
      <c r="AP1" s="37" t="s">
        <v>147</v>
      </c>
      <c r="AQ1" s="37" t="s">
        <v>151</v>
      </c>
      <c r="AR1" s="37" t="s">
        <v>155</v>
      </c>
      <c r="AS1" s="37" t="s">
        <v>159</v>
      </c>
      <c r="AT1" s="37" t="s">
        <v>163</v>
      </c>
      <c r="AU1" s="37" t="s">
        <v>167</v>
      </c>
      <c r="AV1" s="37" t="s">
        <v>174</v>
      </c>
      <c r="AW1" s="37" t="s">
        <v>179</v>
      </c>
      <c r="AX1" s="37" t="s">
        <v>184</v>
      </c>
      <c r="AY1" s="37" t="s">
        <v>186</v>
      </c>
      <c r="AZ1" s="37" t="s">
        <v>187</v>
      </c>
      <c r="BA1" s="37" t="s">
        <v>188</v>
      </c>
      <c r="BB1" s="37" t="s">
        <v>192</v>
      </c>
      <c r="BC1" s="37" t="s">
        <v>196</v>
      </c>
      <c r="BD1" s="37" t="s">
        <v>197</v>
      </c>
      <c r="BE1" s="37" t="s">
        <v>198</v>
      </c>
      <c r="BF1" s="37" t="s">
        <v>201</v>
      </c>
      <c r="BG1" s="37" t="s">
        <v>205</v>
      </c>
      <c r="BH1" s="37" t="s">
        <v>215</v>
      </c>
      <c r="BI1" s="37" t="s">
        <v>220</v>
      </c>
      <c r="BJ1" s="37" t="s">
        <v>225</v>
      </c>
      <c r="BK1" s="37" t="s">
        <v>230</v>
      </c>
    </row>
    <row r="2" customFormat="false" ht="12.75" hidden="false" customHeight="false" outlineLevel="0" collapsed="false">
      <c r="A2" s="20" t="n">
        <v>1</v>
      </c>
      <c r="B2" s="25" t="n">
        <v>102632965</v>
      </c>
      <c r="C2" s="25" t="n">
        <v>102632965</v>
      </c>
      <c r="D2" s="25" t="n">
        <v>102632965</v>
      </c>
      <c r="E2" s="25" t="n">
        <v>102632965</v>
      </c>
      <c r="F2" s="1" t="n">
        <v>78333691</v>
      </c>
      <c r="G2" s="1" t="n">
        <v>78333691</v>
      </c>
      <c r="H2" s="1" t="n">
        <v>78333691</v>
      </c>
      <c r="I2" s="1" t="n">
        <v>78333691</v>
      </c>
      <c r="J2" s="25" t="n">
        <v>102632965</v>
      </c>
      <c r="K2" s="25" t="n">
        <v>102632965</v>
      </c>
      <c r="L2" s="25" t="n">
        <v>102632965</v>
      </c>
      <c r="M2" s="25" t="n">
        <v>102632965</v>
      </c>
      <c r="N2" s="25" t="n">
        <v>102632965</v>
      </c>
      <c r="O2" s="25" t="n">
        <v>102632965</v>
      </c>
      <c r="P2" s="25" t="n">
        <v>102632965</v>
      </c>
      <c r="Q2" s="1" t="n">
        <v>78333691</v>
      </c>
      <c r="R2" s="1" t="n">
        <v>78333691</v>
      </c>
      <c r="S2" s="1" t="n">
        <v>78333691</v>
      </c>
      <c r="T2" s="1" t="n">
        <v>78333691</v>
      </c>
      <c r="U2" s="1" t="n">
        <v>78333691</v>
      </c>
      <c r="V2" s="1" t="n">
        <v>78333691</v>
      </c>
      <c r="W2" s="1" t="n">
        <v>78333691</v>
      </c>
      <c r="X2" s="1" t="n">
        <v>78333691</v>
      </c>
      <c r="Y2" s="1" t="n">
        <v>78333691</v>
      </c>
      <c r="Z2" s="1" t="n">
        <v>78333691</v>
      </c>
      <c r="AA2" s="1" t="n">
        <v>78333691</v>
      </c>
      <c r="AB2" s="1" t="n">
        <v>78333691</v>
      </c>
      <c r="AC2" s="1" t="n">
        <v>78333691</v>
      </c>
      <c r="AD2" s="1" t="n">
        <v>78333691</v>
      </c>
      <c r="AE2" s="25" t="n">
        <v>102632965</v>
      </c>
      <c r="AF2" s="25" t="n">
        <v>102632965</v>
      </c>
      <c r="AG2" s="25" t="n">
        <v>102632965</v>
      </c>
      <c r="AH2" s="25" t="n">
        <v>102632965</v>
      </c>
      <c r="AI2" s="25" t="n">
        <v>102632965</v>
      </c>
      <c r="AJ2" s="25" t="n">
        <v>102632965</v>
      </c>
      <c r="AK2" s="25" t="n">
        <v>102632965</v>
      </c>
      <c r="AL2" s="25" t="n">
        <v>102632965</v>
      </c>
      <c r="AM2" s="25" t="n">
        <v>102632965</v>
      </c>
      <c r="AN2" s="1" t="n">
        <v>78333691</v>
      </c>
      <c r="AO2" s="1" t="n">
        <v>78333691</v>
      </c>
      <c r="AP2" s="1" t="n">
        <v>78333691</v>
      </c>
      <c r="AQ2" s="1" t="n">
        <v>78333691</v>
      </c>
      <c r="AR2" s="1" t="n">
        <v>78333691</v>
      </c>
      <c r="AS2" s="1" t="n">
        <v>78333691</v>
      </c>
      <c r="AT2" s="1" t="n">
        <v>78333691</v>
      </c>
      <c r="AU2" s="1" t="n">
        <v>78333691</v>
      </c>
      <c r="AV2" s="1" t="n">
        <v>78333691</v>
      </c>
      <c r="AW2" s="1" t="n">
        <v>78333691</v>
      </c>
      <c r="AX2" s="25" t="n">
        <v>102632965</v>
      </c>
      <c r="AY2" s="25" t="n">
        <v>102632965</v>
      </c>
      <c r="AZ2" s="25" t="n">
        <v>102632965</v>
      </c>
      <c r="BA2" s="1" t="n">
        <v>78333691</v>
      </c>
      <c r="BB2" s="1" t="n">
        <v>78333691</v>
      </c>
      <c r="BC2" s="25" t="n">
        <v>102632965</v>
      </c>
      <c r="BD2" s="25" t="n">
        <v>102632965</v>
      </c>
      <c r="BE2" s="25" t="n">
        <v>102632965</v>
      </c>
      <c r="BF2" s="25" t="n">
        <v>102632965</v>
      </c>
      <c r="BG2" s="25" t="n">
        <v>102632965</v>
      </c>
      <c r="BH2" s="25" t="n">
        <v>102632965</v>
      </c>
      <c r="BI2" s="25" t="n">
        <v>102632965</v>
      </c>
      <c r="BJ2" s="25" t="n">
        <v>102632965</v>
      </c>
      <c r="BK2" s="25" t="n">
        <v>102632965</v>
      </c>
    </row>
    <row r="3" customFormat="false" ht="12.75" hidden="false" customHeight="false" outlineLevel="0" collapsed="false">
      <c r="A3" s="20" t="n">
        <f aca="false">A2+1</f>
        <v>2</v>
      </c>
      <c r="B3" s="25" t="n">
        <v>95920675</v>
      </c>
      <c r="C3" s="25" t="n">
        <v>95920675</v>
      </c>
      <c r="D3" s="25" t="n">
        <v>95920675</v>
      </c>
      <c r="E3" s="25" t="n">
        <v>95920675</v>
      </c>
      <c r="F3" s="1" t="n">
        <v>71921635</v>
      </c>
      <c r="G3" s="1" t="n">
        <v>71921635</v>
      </c>
      <c r="H3" s="1" t="n">
        <v>71921635</v>
      </c>
      <c r="I3" s="1" t="n">
        <v>71921635</v>
      </c>
      <c r="J3" s="25" t="n">
        <v>95920675</v>
      </c>
      <c r="K3" s="25" t="n">
        <v>95920675</v>
      </c>
      <c r="L3" s="25" t="n">
        <v>95920675</v>
      </c>
      <c r="M3" s="25" t="n">
        <v>95920675</v>
      </c>
      <c r="N3" s="25" t="n">
        <v>95920675</v>
      </c>
      <c r="O3" s="25" t="n">
        <v>95920675</v>
      </c>
      <c r="P3" s="25" t="n">
        <v>95920675</v>
      </c>
      <c r="Q3" s="1" t="n">
        <v>71921635</v>
      </c>
      <c r="R3" s="1" t="n">
        <v>71921635</v>
      </c>
      <c r="S3" s="1" t="n">
        <v>71921635</v>
      </c>
      <c r="T3" s="1" t="n">
        <v>71921635</v>
      </c>
      <c r="U3" s="1" t="n">
        <v>71921635</v>
      </c>
      <c r="V3" s="1" t="n">
        <v>71921635</v>
      </c>
      <c r="W3" s="1" t="n">
        <v>71921635</v>
      </c>
      <c r="X3" s="1" t="n">
        <v>71921635</v>
      </c>
      <c r="Y3" s="1" t="n">
        <v>71921635</v>
      </c>
      <c r="Z3" s="1" t="n">
        <v>71921635</v>
      </c>
      <c r="AA3" s="1" t="n">
        <v>71921635</v>
      </c>
      <c r="AB3" s="1" t="n">
        <v>71921635</v>
      </c>
      <c r="AC3" s="1" t="n">
        <v>71921635</v>
      </c>
      <c r="AD3" s="1" t="n">
        <v>71921635</v>
      </c>
      <c r="AE3" s="25" t="n">
        <v>95920675</v>
      </c>
      <c r="AF3" s="25" t="n">
        <v>95920675</v>
      </c>
      <c r="AG3" s="25" t="n">
        <v>95920675</v>
      </c>
      <c r="AH3" s="25" t="n">
        <v>95920675</v>
      </c>
      <c r="AI3" s="25" t="n">
        <v>95920675</v>
      </c>
      <c r="AJ3" s="25" t="n">
        <v>95920675</v>
      </c>
      <c r="AK3" s="25" t="n">
        <v>95920675</v>
      </c>
      <c r="AL3" s="25" t="n">
        <v>95920675</v>
      </c>
      <c r="AM3" s="25" t="n">
        <v>95920675</v>
      </c>
      <c r="AN3" s="1" t="n">
        <v>71921635</v>
      </c>
      <c r="AO3" s="1" t="n">
        <v>71921635</v>
      </c>
      <c r="AP3" s="1" t="n">
        <v>71921635</v>
      </c>
      <c r="AQ3" s="1" t="n">
        <v>71921635</v>
      </c>
      <c r="AR3" s="1" t="n">
        <v>71921635</v>
      </c>
      <c r="AS3" s="1" t="n">
        <v>71921635</v>
      </c>
      <c r="AT3" s="1" t="n">
        <v>71921635</v>
      </c>
      <c r="AU3" s="1" t="n">
        <v>71921635</v>
      </c>
      <c r="AV3" s="1" t="n">
        <v>71921635</v>
      </c>
      <c r="AW3" s="1" t="n">
        <v>71921635</v>
      </c>
      <c r="AX3" s="25" t="n">
        <v>95920675</v>
      </c>
      <c r="AY3" s="25" t="n">
        <v>95920675</v>
      </c>
      <c r="AZ3" s="25" t="n">
        <v>95920675</v>
      </c>
      <c r="BA3" s="1" t="n">
        <v>71921635</v>
      </c>
      <c r="BB3" s="1" t="n">
        <v>71921635</v>
      </c>
      <c r="BC3" s="25" t="n">
        <v>95920675</v>
      </c>
      <c r="BD3" s="25" t="n">
        <v>95920675</v>
      </c>
      <c r="BE3" s="25" t="n">
        <v>95920675</v>
      </c>
      <c r="BF3" s="25" t="n">
        <v>95920675</v>
      </c>
      <c r="BG3" s="25" t="n">
        <v>95920675</v>
      </c>
      <c r="BH3" s="25" t="n">
        <v>95920675</v>
      </c>
      <c r="BI3" s="25" t="n">
        <v>95920675</v>
      </c>
      <c r="BJ3" s="25" t="n">
        <v>95920675</v>
      </c>
      <c r="BK3" s="25" t="n">
        <v>95920675</v>
      </c>
    </row>
    <row r="4" customFormat="false" ht="12.75" hidden="false" customHeight="false" outlineLevel="0" collapsed="false">
      <c r="A4" s="20" t="n">
        <f aca="false">A3+1</f>
        <v>3</v>
      </c>
      <c r="B4" s="25" t="n">
        <v>106368903</v>
      </c>
      <c r="C4" s="25" t="n">
        <v>106368903</v>
      </c>
      <c r="D4" s="25" t="n">
        <v>106368903</v>
      </c>
      <c r="E4" s="25" t="n">
        <v>106368903</v>
      </c>
      <c r="F4" s="1" t="n">
        <v>76205707</v>
      </c>
      <c r="G4" s="1" t="n">
        <v>76205707</v>
      </c>
      <c r="H4" s="1" t="n">
        <v>76205707</v>
      </c>
      <c r="I4" s="1" t="n">
        <v>76205707</v>
      </c>
      <c r="J4" s="25" t="n">
        <v>106368903</v>
      </c>
      <c r="K4" s="25" t="n">
        <v>106368903</v>
      </c>
      <c r="L4" s="25" t="n">
        <v>106368903</v>
      </c>
      <c r="M4" s="25" t="n">
        <v>106368903</v>
      </c>
      <c r="N4" s="25" t="n">
        <v>106368903</v>
      </c>
      <c r="O4" s="25" t="n">
        <v>106368903</v>
      </c>
      <c r="P4" s="25" t="n">
        <v>106368903</v>
      </c>
      <c r="Q4" s="1" t="n">
        <v>76205707</v>
      </c>
      <c r="R4" s="1" t="n">
        <v>76205707</v>
      </c>
      <c r="S4" s="1" t="n">
        <v>76205707</v>
      </c>
      <c r="T4" s="1" t="n">
        <v>76205707</v>
      </c>
      <c r="U4" s="1" t="n">
        <v>76205707</v>
      </c>
      <c r="V4" s="1" t="n">
        <v>76205707</v>
      </c>
      <c r="W4" s="1" t="n">
        <v>76205707</v>
      </c>
      <c r="X4" s="1" t="n">
        <v>76205707</v>
      </c>
      <c r="Y4" s="1" t="n">
        <v>76205707</v>
      </c>
      <c r="Z4" s="1" t="n">
        <v>76205707</v>
      </c>
      <c r="AA4" s="1" t="n">
        <v>76205707</v>
      </c>
      <c r="AB4" s="1" t="n">
        <v>76205707</v>
      </c>
      <c r="AC4" s="1" t="n">
        <v>76205707</v>
      </c>
      <c r="AD4" s="1" t="n">
        <v>76205707</v>
      </c>
      <c r="AE4" s="25" t="n">
        <v>106368903</v>
      </c>
      <c r="AF4" s="25" t="n">
        <v>106368903</v>
      </c>
      <c r="AG4" s="25" t="n">
        <v>106368903</v>
      </c>
      <c r="AH4" s="25" t="n">
        <v>106368903</v>
      </c>
      <c r="AI4" s="25" t="n">
        <v>106368903</v>
      </c>
      <c r="AJ4" s="25" t="n">
        <v>106368903</v>
      </c>
      <c r="AK4" s="25" t="n">
        <v>106368903</v>
      </c>
      <c r="AL4" s="25" t="n">
        <v>106368903</v>
      </c>
      <c r="AM4" s="25" t="n">
        <v>106368903</v>
      </c>
      <c r="AN4" s="1" t="n">
        <v>76205707</v>
      </c>
      <c r="AO4" s="1" t="n">
        <v>76205707</v>
      </c>
      <c r="AP4" s="1" t="n">
        <v>76205707</v>
      </c>
      <c r="AQ4" s="1" t="n">
        <v>76205707</v>
      </c>
      <c r="AR4" s="1" t="n">
        <v>76205707</v>
      </c>
      <c r="AS4" s="1" t="n">
        <v>76205707</v>
      </c>
      <c r="AT4" s="1" t="n">
        <v>76205707</v>
      </c>
      <c r="AU4" s="1" t="n">
        <v>76205707</v>
      </c>
      <c r="AV4" s="1" t="n">
        <v>76205707</v>
      </c>
      <c r="AW4" s="1" t="n">
        <v>76205707</v>
      </c>
      <c r="AX4" s="25" t="n">
        <v>106368903</v>
      </c>
      <c r="AY4" s="25" t="n">
        <v>106368903</v>
      </c>
      <c r="AZ4" s="25" t="n">
        <v>106368903</v>
      </c>
      <c r="BA4" s="1" t="n">
        <v>76205707</v>
      </c>
      <c r="BB4" s="1" t="n">
        <v>76205707</v>
      </c>
      <c r="BC4" s="25" t="n">
        <v>106368903</v>
      </c>
      <c r="BD4" s="25" t="n">
        <v>106368903</v>
      </c>
      <c r="BE4" s="25" t="n">
        <v>106368903</v>
      </c>
      <c r="BF4" s="25" t="n">
        <v>106368903</v>
      </c>
      <c r="BG4" s="25" t="n">
        <v>106368903</v>
      </c>
      <c r="BH4" s="25" t="n">
        <v>106368903</v>
      </c>
      <c r="BI4" s="25" t="n">
        <v>106368903</v>
      </c>
      <c r="BJ4" s="25" t="n">
        <v>106368903</v>
      </c>
      <c r="BK4" s="25" t="n">
        <v>106368903</v>
      </c>
    </row>
    <row r="5" customFormat="false" ht="12.75" hidden="false" customHeight="false" outlineLevel="0" collapsed="false">
      <c r="A5" s="20" t="n">
        <f aca="false">A4+1</f>
        <v>4</v>
      </c>
      <c r="B5" s="25" t="n">
        <v>104245066</v>
      </c>
      <c r="C5" s="25" t="n">
        <v>104245066</v>
      </c>
      <c r="D5" s="25" t="n">
        <v>104245066</v>
      </c>
      <c r="E5" s="25" t="n">
        <v>104245066</v>
      </c>
      <c r="F5" s="1" t="n">
        <v>77557898</v>
      </c>
      <c r="G5" s="1" t="n">
        <v>77557898</v>
      </c>
      <c r="H5" s="1" t="n">
        <v>77557898</v>
      </c>
      <c r="I5" s="1" t="n">
        <v>77557898</v>
      </c>
      <c r="J5" s="25" t="n">
        <v>104245066</v>
      </c>
      <c r="K5" s="25" t="n">
        <v>104245066</v>
      </c>
      <c r="L5" s="25" t="n">
        <v>104245066</v>
      </c>
      <c r="M5" s="25" t="n">
        <v>104245066</v>
      </c>
      <c r="N5" s="25" t="n">
        <v>104245066</v>
      </c>
      <c r="O5" s="25" t="n">
        <v>104245066</v>
      </c>
      <c r="P5" s="25" t="n">
        <v>104245066</v>
      </c>
      <c r="Q5" s="1" t="n">
        <v>77557898</v>
      </c>
      <c r="R5" s="1" t="n">
        <v>77557898</v>
      </c>
      <c r="S5" s="1" t="n">
        <v>77557898</v>
      </c>
      <c r="T5" s="1" t="n">
        <v>77557898</v>
      </c>
      <c r="U5" s="1" t="n">
        <v>77557898</v>
      </c>
      <c r="V5" s="1" t="n">
        <v>77557898</v>
      </c>
      <c r="W5" s="1" t="n">
        <v>77557898</v>
      </c>
      <c r="X5" s="1" t="n">
        <v>77557898</v>
      </c>
      <c r="Y5" s="1" t="n">
        <v>77557898</v>
      </c>
      <c r="Z5" s="1" t="n">
        <v>77557898</v>
      </c>
      <c r="AA5" s="1" t="n">
        <v>77557898</v>
      </c>
      <c r="AB5" s="1" t="n">
        <v>77557898</v>
      </c>
      <c r="AC5" s="1" t="n">
        <v>77557898</v>
      </c>
      <c r="AD5" s="1" t="n">
        <v>77557898</v>
      </c>
      <c r="AE5" s="25" t="n">
        <v>104245066</v>
      </c>
      <c r="AF5" s="25" t="n">
        <v>104245066</v>
      </c>
      <c r="AG5" s="25" t="n">
        <v>104245066</v>
      </c>
      <c r="AH5" s="25" t="n">
        <v>104245066</v>
      </c>
      <c r="AI5" s="25" t="n">
        <v>104245066</v>
      </c>
      <c r="AJ5" s="25" t="n">
        <v>104245066</v>
      </c>
      <c r="AK5" s="25" t="n">
        <v>104245066</v>
      </c>
      <c r="AL5" s="25" t="n">
        <v>104245066</v>
      </c>
      <c r="AM5" s="25" t="n">
        <v>104245066</v>
      </c>
      <c r="AN5" s="1" t="n">
        <v>77557898</v>
      </c>
      <c r="AO5" s="1" t="n">
        <v>77557898</v>
      </c>
      <c r="AP5" s="1" t="n">
        <v>77557898</v>
      </c>
      <c r="AQ5" s="1" t="n">
        <v>77557898</v>
      </c>
      <c r="AR5" s="1" t="n">
        <v>77557898</v>
      </c>
      <c r="AS5" s="1" t="n">
        <v>77557898</v>
      </c>
      <c r="AT5" s="1" t="n">
        <v>77557898</v>
      </c>
      <c r="AU5" s="1" t="n">
        <v>77557898</v>
      </c>
      <c r="AV5" s="1" t="n">
        <v>77557898</v>
      </c>
      <c r="AW5" s="1" t="n">
        <v>77557898</v>
      </c>
      <c r="AX5" s="25" t="n">
        <v>104245066</v>
      </c>
      <c r="AY5" s="25" t="n">
        <v>104245066</v>
      </c>
      <c r="AZ5" s="25" t="n">
        <v>104245066</v>
      </c>
      <c r="BA5" s="1" t="n">
        <v>77557898</v>
      </c>
      <c r="BB5" s="1" t="n">
        <v>77557898</v>
      </c>
      <c r="BC5" s="25" t="n">
        <v>104245066</v>
      </c>
      <c r="BD5" s="25" t="n">
        <v>104245066</v>
      </c>
      <c r="BE5" s="25" t="n">
        <v>104245066</v>
      </c>
      <c r="BF5" s="25" t="n">
        <v>104245066</v>
      </c>
      <c r="BG5" s="25" t="n">
        <v>104245066</v>
      </c>
      <c r="BH5" s="25" t="n">
        <v>104245066</v>
      </c>
      <c r="BI5" s="25" t="n">
        <v>104245066</v>
      </c>
      <c r="BJ5" s="25" t="n">
        <v>104245066</v>
      </c>
      <c r="BK5" s="25" t="n">
        <v>104245066</v>
      </c>
    </row>
    <row r="6" customFormat="false" ht="12.75" hidden="false" customHeight="false" outlineLevel="0" collapsed="false">
      <c r="A6" s="20" t="n">
        <f aca="false">A5+1</f>
        <v>5</v>
      </c>
      <c r="B6" s="25" t="n">
        <v>108543913</v>
      </c>
      <c r="C6" s="25" t="n">
        <v>108543913</v>
      </c>
      <c r="D6" s="25" t="n">
        <v>108543913</v>
      </c>
      <c r="E6" s="25" t="n">
        <v>108543913</v>
      </c>
      <c r="F6" s="1" t="n">
        <v>81648787</v>
      </c>
      <c r="G6" s="1" t="n">
        <v>81648787</v>
      </c>
      <c r="H6" s="1" t="n">
        <v>81648787</v>
      </c>
      <c r="I6" s="1" t="n">
        <v>81648787</v>
      </c>
      <c r="J6" s="25" t="n">
        <v>108543913</v>
      </c>
      <c r="K6" s="25" t="n">
        <v>108543913</v>
      </c>
      <c r="L6" s="25" t="n">
        <v>108543913</v>
      </c>
      <c r="M6" s="25" t="n">
        <v>108543913</v>
      </c>
      <c r="N6" s="25" t="n">
        <v>108543913</v>
      </c>
      <c r="O6" s="25" t="n">
        <v>108543913</v>
      </c>
      <c r="P6" s="25" t="n">
        <v>108543913</v>
      </c>
      <c r="Q6" s="1" t="n">
        <v>81648787</v>
      </c>
      <c r="R6" s="1" t="n">
        <v>81648787</v>
      </c>
      <c r="S6" s="1" t="n">
        <v>81648787</v>
      </c>
      <c r="T6" s="1" t="n">
        <v>81648787</v>
      </c>
      <c r="U6" s="1" t="n">
        <v>81648787</v>
      </c>
      <c r="V6" s="1" t="n">
        <v>81648787</v>
      </c>
      <c r="W6" s="1" t="n">
        <v>81648787</v>
      </c>
      <c r="X6" s="1" t="n">
        <v>81648787</v>
      </c>
      <c r="Y6" s="1" t="n">
        <v>81648787</v>
      </c>
      <c r="Z6" s="1" t="n">
        <v>81648787</v>
      </c>
      <c r="AA6" s="1" t="n">
        <v>81648787</v>
      </c>
      <c r="AB6" s="1" t="n">
        <v>81648787</v>
      </c>
      <c r="AC6" s="1" t="n">
        <v>81648787</v>
      </c>
      <c r="AD6" s="1" t="n">
        <v>81648787</v>
      </c>
      <c r="AE6" s="25" t="n">
        <v>108543913</v>
      </c>
      <c r="AF6" s="25" t="n">
        <v>108543913</v>
      </c>
      <c r="AG6" s="25" t="n">
        <v>108543913</v>
      </c>
      <c r="AH6" s="25" t="n">
        <v>108543913</v>
      </c>
      <c r="AI6" s="25" t="n">
        <v>108543913</v>
      </c>
      <c r="AJ6" s="25" t="n">
        <v>108543913</v>
      </c>
      <c r="AK6" s="25" t="n">
        <v>108543913</v>
      </c>
      <c r="AL6" s="25" t="n">
        <v>108543913</v>
      </c>
      <c r="AM6" s="25" t="n">
        <v>108543913</v>
      </c>
      <c r="AN6" s="1" t="n">
        <v>81648787</v>
      </c>
      <c r="AO6" s="1" t="n">
        <v>81648787</v>
      </c>
      <c r="AP6" s="1" t="n">
        <v>81648787</v>
      </c>
      <c r="AQ6" s="1" t="n">
        <v>81648787</v>
      </c>
      <c r="AR6" s="1" t="n">
        <v>81648787</v>
      </c>
      <c r="AS6" s="1" t="n">
        <v>81648787</v>
      </c>
      <c r="AT6" s="1" t="n">
        <v>81648787</v>
      </c>
      <c r="AU6" s="1" t="n">
        <v>81648787</v>
      </c>
      <c r="AV6" s="1" t="n">
        <v>81648787</v>
      </c>
      <c r="AW6" s="1" t="n">
        <v>81648787</v>
      </c>
      <c r="AX6" s="25" t="n">
        <v>108543913</v>
      </c>
      <c r="AY6" s="25" t="n">
        <v>108543913</v>
      </c>
      <c r="AZ6" s="25" t="n">
        <v>108543913</v>
      </c>
      <c r="BA6" s="1" t="n">
        <v>81648787</v>
      </c>
      <c r="BB6" s="1" t="n">
        <v>81648787</v>
      </c>
      <c r="BC6" s="25" t="n">
        <v>108543913</v>
      </c>
      <c r="BD6" s="25" t="n">
        <v>108543913</v>
      </c>
      <c r="BE6" s="25" t="n">
        <v>108543913</v>
      </c>
      <c r="BF6" s="25" t="n">
        <v>108543913</v>
      </c>
      <c r="BG6" s="25" t="n">
        <v>108543913</v>
      </c>
      <c r="BH6" s="25" t="n">
        <v>108543913</v>
      </c>
      <c r="BI6" s="25" t="n">
        <v>108543913</v>
      </c>
      <c r="BJ6" s="25" t="n">
        <v>108543913</v>
      </c>
      <c r="BK6" s="25" t="n">
        <v>108543913</v>
      </c>
    </row>
    <row r="7" customFormat="false" ht="12.75" hidden="false" customHeight="false" outlineLevel="0" collapsed="false">
      <c r="A7" s="20" t="n">
        <f aca="false">A6+1</f>
        <v>6</v>
      </c>
      <c r="B7" s="25" t="n">
        <v>102249069</v>
      </c>
      <c r="C7" s="25" t="n">
        <v>102249069</v>
      </c>
      <c r="D7" s="25" t="n">
        <v>102249069</v>
      </c>
      <c r="E7" s="25" t="n">
        <v>102249069</v>
      </c>
      <c r="F7" s="1" t="n">
        <v>78407301</v>
      </c>
      <c r="G7" s="1" t="n">
        <v>78407301</v>
      </c>
      <c r="H7" s="1" t="n">
        <v>78407301</v>
      </c>
      <c r="I7" s="1" t="n">
        <v>78407301</v>
      </c>
      <c r="J7" s="25" t="n">
        <v>102249069</v>
      </c>
      <c r="K7" s="25" t="n">
        <v>102249069</v>
      </c>
      <c r="L7" s="25" t="n">
        <v>102249069</v>
      </c>
      <c r="M7" s="25" t="n">
        <v>102249069</v>
      </c>
      <c r="N7" s="25" t="n">
        <v>102249069</v>
      </c>
      <c r="O7" s="25" t="n">
        <v>102249069</v>
      </c>
      <c r="P7" s="25" t="n">
        <v>102249069</v>
      </c>
      <c r="Q7" s="1" t="n">
        <v>78407301</v>
      </c>
      <c r="R7" s="1" t="n">
        <v>78407301</v>
      </c>
      <c r="S7" s="1" t="n">
        <v>78407301</v>
      </c>
      <c r="T7" s="1" t="n">
        <v>78407301</v>
      </c>
      <c r="U7" s="1" t="n">
        <v>78407301</v>
      </c>
      <c r="V7" s="1" t="n">
        <v>78407301</v>
      </c>
      <c r="W7" s="1" t="n">
        <v>78407301</v>
      </c>
      <c r="X7" s="1" t="n">
        <v>78407301</v>
      </c>
      <c r="Y7" s="1" t="n">
        <v>78407301</v>
      </c>
      <c r="Z7" s="1" t="n">
        <v>78407301</v>
      </c>
      <c r="AA7" s="1" t="n">
        <v>78407301</v>
      </c>
      <c r="AB7" s="1" t="n">
        <v>78407301</v>
      </c>
      <c r="AC7" s="1" t="n">
        <v>78407301</v>
      </c>
      <c r="AD7" s="1" t="n">
        <v>78407301</v>
      </c>
      <c r="AE7" s="25" t="n">
        <v>102249069</v>
      </c>
      <c r="AF7" s="25" t="n">
        <v>102249069</v>
      </c>
      <c r="AG7" s="25" t="n">
        <v>102249069</v>
      </c>
      <c r="AH7" s="25" t="n">
        <v>102249069</v>
      </c>
      <c r="AI7" s="25" t="n">
        <v>102249069</v>
      </c>
      <c r="AJ7" s="25" t="n">
        <v>102249069</v>
      </c>
      <c r="AK7" s="25" t="n">
        <v>102249069</v>
      </c>
      <c r="AL7" s="25" t="n">
        <v>102249069</v>
      </c>
      <c r="AM7" s="25" t="n">
        <v>102249069</v>
      </c>
      <c r="AN7" s="1" t="n">
        <v>78407301</v>
      </c>
      <c r="AO7" s="1" t="n">
        <v>78407301</v>
      </c>
      <c r="AP7" s="1" t="n">
        <v>78407301</v>
      </c>
      <c r="AQ7" s="1" t="n">
        <v>78407301</v>
      </c>
      <c r="AR7" s="1" t="n">
        <v>78407301</v>
      </c>
      <c r="AS7" s="1" t="n">
        <v>78407301</v>
      </c>
      <c r="AT7" s="1" t="n">
        <v>78407301</v>
      </c>
      <c r="AU7" s="1" t="n">
        <v>78407301</v>
      </c>
      <c r="AV7" s="1" t="n">
        <v>78407301</v>
      </c>
      <c r="AW7" s="1" t="n">
        <v>78407301</v>
      </c>
      <c r="AX7" s="25" t="n">
        <v>102249069</v>
      </c>
      <c r="AY7" s="25" t="n">
        <v>102249069</v>
      </c>
      <c r="AZ7" s="25" t="n">
        <v>102249069</v>
      </c>
      <c r="BA7" s="1" t="n">
        <v>78407301</v>
      </c>
      <c r="BB7" s="1" t="n">
        <v>78407301</v>
      </c>
      <c r="BC7" s="25" t="n">
        <v>102249069</v>
      </c>
      <c r="BD7" s="25" t="n">
        <v>102249069</v>
      </c>
      <c r="BE7" s="25" t="n">
        <v>102249069</v>
      </c>
      <c r="BF7" s="25" t="n">
        <v>102249069</v>
      </c>
      <c r="BG7" s="25" t="n">
        <v>102249069</v>
      </c>
      <c r="BH7" s="25" t="n">
        <v>102249069</v>
      </c>
      <c r="BI7" s="25" t="n">
        <v>102249069</v>
      </c>
      <c r="BJ7" s="25" t="n">
        <v>102249069</v>
      </c>
      <c r="BK7" s="25" t="n">
        <v>102249069</v>
      </c>
    </row>
    <row r="8" customFormat="false" ht="12.75" hidden="false" customHeight="false" outlineLevel="0" collapsed="false">
      <c r="A8" s="20" t="n">
        <f aca="false">A7+1</f>
        <v>7</v>
      </c>
      <c r="B8" s="25" t="n">
        <v>108254199</v>
      </c>
      <c r="C8" s="25" t="n">
        <v>108254199</v>
      </c>
      <c r="D8" s="25" t="n">
        <v>108254199</v>
      </c>
      <c r="E8" s="25" t="n">
        <v>108254199</v>
      </c>
      <c r="F8" s="1" t="n">
        <v>85380723</v>
      </c>
      <c r="G8" s="1" t="n">
        <v>85380723</v>
      </c>
      <c r="H8" s="1" t="n">
        <v>85380723</v>
      </c>
      <c r="I8" s="1" t="n">
        <v>85380723</v>
      </c>
      <c r="J8" s="25" t="n">
        <v>108254199</v>
      </c>
      <c r="K8" s="25" t="n">
        <v>108254199</v>
      </c>
      <c r="L8" s="25" t="n">
        <v>108254199</v>
      </c>
      <c r="M8" s="25" t="n">
        <v>108254199</v>
      </c>
      <c r="N8" s="25" t="n">
        <v>108254199</v>
      </c>
      <c r="O8" s="25" t="n">
        <v>108254199</v>
      </c>
      <c r="P8" s="25" t="n">
        <v>108254199</v>
      </c>
      <c r="Q8" s="1" t="n">
        <v>85380723</v>
      </c>
      <c r="R8" s="1" t="n">
        <v>85380723</v>
      </c>
      <c r="S8" s="1" t="n">
        <v>85380723</v>
      </c>
      <c r="T8" s="1" t="n">
        <v>85380723</v>
      </c>
      <c r="U8" s="1" t="n">
        <v>85380723</v>
      </c>
      <c r="V8" s="1" t="n">
        <v>85380723</v>
      </c>
      <c r="W8" s="1" t="n">
        <v>85380723</v>
      </c>
      <c r="X8" s="1" t="n">
        <v>85380723</v>
      </c>
      <c r="Y8" s="1" t="n">
        <v>85380723</v>
      </c>
      <c r="Z8" s="1" t="n">
        <v>85380723</v>
      </c>
      <c r="AA8" s="1" t="n">
        <v>85380723</v>
      </c>
      <c r="AB8" s="1" t="n">
        <v>85380723</v>
      </c>
      <c r="AC8" s="1" t="n">
        <v>85380723</v>
      </c>
      <c r="AD8" s="1" t="n">
        <v>85380723</v>
      </c>
      <c r="AE8" s="25" t="n">
        <v>108254199</v>
      </c>
      <c r="AF8" s="25" t="n">
        <v>108254199</v>
      </c>
      <c r="AG8" s="25" t="n">
        <v>108254199</v>
      </c>
      <c r="AH8" s="25" t="n">
        <v>108254199</v>
      </c>
      <c r="AI8" s="25" t="n">
        <v>108254199</v>
      </c>
      <c r="AJ8" s="25" t="n">
        <v>108254199</v>
      </c>
      <c r="AK8" s="25" t="n">
        <v>108254199</v>
      </c>
      <c r="AL8" s="25" t="n">
        <v>108254199</v>
      </c>
      <c r="AM8" s="25" t="n">
        <v>108254199</v>
      </c>
      <c r="AN8" s="1" t="n">
        <v>85380723</v>
      </c>
      <c r="AO8" s="1" t="n">
        <v>85380723</v>
      </c>
      <c r="AP8" s="1" t="n">
        <v>85380723</v>
      </c>
      <c r="AQ8" s="1" t="n">
        <v>85380723</v>
      </c>
      <c r="AR8" s="1" t="n">
        <v>85380723</v>
      </c>
      <c r="AS8" s="1" t="n">
        <v>85380723</v>
      </c>
      <c r="AT8" s="1" t="n">
        <v>85380723</v>
      </c>
      <c r="AU8" s="1" t="n">
        <v>85380723</v>
      </c>
      <c r="AV8" s="1" t="n">
        <v>85380723</v>
      </c>
      <c r="AW8" s="1" t="n">
        <v>85380723</v>
      </c>
      <c r="AX8" s="25" t="n">
        <v>108254199</v>
      </c>
      <c r="AY8" s="25" t="n">
        <v>108254199</v>
      </c>
      <c r="AZ8" s="25" t="n">
        <v>108254199</v>
      </c>
      <c r="BA8" s="1" t="n">
        <v>85380723</v>
      </c>
      <c r="BB8" s="1" t="n">
        <v>85380723</v>
      </c>
      <c r="BC8" s="25" t="n">
        <v>108254199</v>
      </c>
      <c r="BD8" s="25" t="n">
        <v>108254199</v>
      </c>
      <c r="BE8" s="25" t="n">
        <v>108254199</v>
      </c>
      <c r="BF8" s="25" t="n">
        <v>108254199</v>
      </c>
      <c r="BG8" s="25" t="n">
        <v>108254199</v>
      </c>
      <c r="BH8" s="25" t="n">
        <v>108254199</v>
      </c>
      <c r="BI8" s="25" t="n">
        <v>108254199</v>
      </c>
      <c r="BJ8" s="25" t="n">
        <v>108254199</v>
      </c>
      <c r="BK8" s="25" t="n">
        <v>108254199</v>
      </c>
    </row>
    <row r="9" customFormat="false" ht="12.75" hidden="false" customHeight="false" outlineLevel="0" collapsed="false">
      <c r="A9" s="20" t="n">
        <f aca="false">A8+1</f>
        <v>8</v>
      </c>
      <c r="B9" s="25" t="n">
        <v>111422921</v>
      </c>
      <c r="C9" s="25" t="n">
        <v>111422921</v>
      </c>
      <c r="D9" s="25" t="n">
        <v>111422921</v>
      </c>
      <c r="E9" s="25" t="n">
        <v>111422921</v>
      </c>
      <c r="F9" s="1" t="n">
        <v>86610087</v>
      </c>
      <c r="G9" s="1" t="n">
        <v>86610087</v>
      </c>
      <c r="H9" s="1" t="n">
        <v>86610087</v>
      </c>
      <c r="I9" s="1" t="n">
        <v>86610087</v>
      </c>
      <c r="J9" s="25" t="n">
        <v>111422921</v>
      </c>
      <c r="K9" s="25" t="n">
        <v>111422921</v>
      </c>
      <c r="L9" s="25" t="n">
        <v>111422921</v>
      </c>
      <c r="M9" s="25" t="n">
        <v>111422921</v>
      </c>
      <c r="N9" s="25" t="n">
        <v>111422921</v>
      </c>
      <c r="O9" s="25" t="n">
        <v>111422921</v>
      </c>
      <c r="P9" s="25" t="n">
        <v>111422921</v>
      </c>
      <c r="Q9" s="1" t="n">
        <v>86610087</v>
      </c>
      <c r="R9" s="1" t="n">
        <v>86610087</v>
      </c>
      <c r="S9" s="1" t="n">
        <v>86610087</v>
      </c>
      <c r="T9" s="1" t="n">
        <v>86610087</v>
      </c>
      <c r="U9" s="1" t="n">
        <v>86610087</v>
      </c>
      <c r="V9" s="1" t="n">
        <v>86610087</v>
      </c>
      <c r="W9" s="1" t="n">
        <v>86610087</v>
      </c>
      <c r="X9" s="1" t="n">
        <v>86610087</v>
      </c>
      <c r="Y9" s="1" t="n">
        <v>86610087</v>
      </c>
      <c r="Z9" s="1" t="n">
        <v>86610087</v>
      </c>
      <c r="AA9" s="1" t="n">
        <v>86610087</v>
      </c>
      <c r="AB9" s="1" t="n">
        <v>86610087</v>
      </c>
      <c r="AC9" s="1" t="n">
        <v>86610087</v>
      </c>
      <c r="AD9" s="1" t="n">
        <v>86610087</v>
      </c>
      <c r="AE9" s="25" t="n">
        <v>111422921</v>
      </c>
      <c r="AF9" s="25" t="n">
        <v>111422921</v>
      </c>
      <c r="AG9" s="25" t="n">
        <v>111422921</v>
      </c>
      <c r="AH9" s="25" t="n">
        <v>111422921</v>
      </c>
      <c r="AI9" s="25" t="n">
        <v>111422921</v>
      </c>
      <c r="AJ9" s="25" t="n">
        <v>111422921</v>
      </c>
      <c r="AK9" s="25" t="n">
        <v>111422921</v>
      </c>
      <c r="AL9" s="25" t="n">
        <v>111422921</v>
      </c>
      <c r="AM9" s="25" t="n">
        <v>111422921</v>
      </c>
      <c r="AN9" s="1" t="n">
        <v>86610087</v>
      </c>
      <c r="AO9" s="1" t="n">
        <v>86610087</v>
      </c>
      <c r="AP9" s="1" t="n">
        <v>86610087</v>
      </c>
      <c r="AQ9" s="1" t="n">
        <v>86610087</v>
      </c>
      <c r="AR9" s="1" t="n">
        <v>86610087</v>
      </c>
      <c r="AS9" s="1" t="n">
        <v>86610087</v>
      </c>
      <c r="AT9" s="1" t="n">
        <v>86610087</v>
      </c>
      <c r="AU9" s="1" t="n">
        <v>86610087</v>
      </c>
      <c r="AV9" s="1" t="n">
        <v>86610087</v>
      </c>
      <c r="AW9" s="1" t="n">
        <v>86610087</v>
      </c>
      <c r="AX9" s="25" t="n">
        <v>111422921</v>
      </c>
      <c r="AY9" s="25" t="n">
        <v>111422921</v>
      </c>
      <c r="AZ9" s="25" t="n">
        <v>111422921</v>
      </c>
      <c r="BA9" s="1" t="n">
        <v>86610087</v>
      </c>
      <c r="BB9" s="1" t="n">
        <v>86610087</v>
      </c>
      <c r="BC9" s="25" t="n">
        <v>111422921</v>
      </c>
      <c r="BD9" s="25" t="n">
        <v>111422921</v>
      </c>
      <c r="BE9" s="25" t="n">
        <v>111422921</v>
      </c>
      <c r="BF9" s="25" t="n">
        <v>111422921</v>
      </c>
      <c r="BG9" s="25" t="n">
        <v>111422921</v>
      </c>
      <c r="BH9" s="25" t="n">
        <v>111422921</v>
      </c>
      <c r="BI9" s="25" t="n">
        <v>111422921</v>
      </c>
      <c r="BJ9" s="25" t="n">
        <v>111422921</v>
      </c>
      <c r="BK9" s="25" t="n">
        <v>111422921</v>
      </c>
    </row>
    <row r="10" customFormat="false" ht="12.75" hidden="false" customHeight="false" outlineLevel="0" collapsed="false">
      <c r="A10" s="20" t="n">
        <f aca="false">A9+1</f>
        <v>9</v>
      </c>
      <c r="B10" s="25" t="n">
        <v>102744148</v>
      </c>
      <c r="C10" s="25" t="n">
        <v>102744148</v>
      </c>
      <c r="D10" s="25" t="n">
        <v>102744148</v>
      </c>
      <c r="E10" s="25" t="n">
        <v>102744148</v>
      </c>
      <c r="F10" s="1" t="n">
        <v>82320986</v>
      </c>
      <c r="G10" s="1" t="n">
        <v>82320986</v>
      </c>
      <c r="H10" s="1" t="n">
        <v>82320986</v>
      </c>
      <c r="I10" s="1" t="n">
        <v>82320986</v>
      </c>
      <c r="J10" s="25" t="n">
        <v>102744148</v>
      </c>
      <c r="K10" s="25" t="n">
        <v>102744148</v>
      </c>
      <c r="L10" s="25" t="n">
        <v>102744148</v>
      </c>
      <c r="M10" s="25" t="n">
        <v>102744148</v>
      </c>
      <c r="N10" s="25" t="n">
        <v>102744148</v>
      </c>
      <c r="O10" s="25" t="n">
        <v>102744148</v>
      </c>
      <c r="P10" s="25" t="n">
        <v>102744148</v>
      </c>
      <c r="Q10" s="1" t="n">
        <v>82320986</v>
      </c>
      <c r="R10" s="1" t="n">
        <v>82320986</v>
      </c>
      <c r="S10" s="1" t="n">
        <v>82320986</v>
      </c>
      <c r="T10" s="1" t="n">
        <v>82320986</v>
      </c>
      <c r="U10" s="1" t="n">
        <v>82320986</v>
      </c>
      <c r="V10" s="1" t="n">
        <v>82320986</v>
      </c>
      <c r="W10" s="1" t="n">
        <v>82320986</v>
      </c>
      <c r="X10" s="1" t="n">
        <v>82320986</v>
      </c>
      <c r="Y10" s="1" t="n">
        <v>82320986</v>
      </c>
      <c r="Z10" s="1" t="n">
        <v>82320986</v>
      </c>
      <c r="AA10" s="1" t="n">
        <v>82320986</v>
      </c>
      <c r="AB10" s="1" t="n">
        <v>82320986</v>
      </c>
      <c r="AC10" s="1" t="n">
        <v>82320986</v>
      </c>
      <c r="AD10" s="1" t="n">
        <v>82320986</v>
      </c>
      <c r="AE10" s="25" t="n">
        <v>102744148</v>
      </c>
      <c r="AF10" s="25" t="n">
        <v>102744148</v>
      </c>
      <c r="AG10" s="25" t="n">
        <v>102744148</v>
      </c>
      <c r="AH10" s="25" t="n">
        <v>102744148</v>
      </c>
      <c r="AI10" s="25" t="n">
        <v>102744148</v>
      </c>
      <c r="AJ10" s="25" t="n">
        <v>102744148</v>
      </c>
      <c r="AK10" s="25" t="n">
        <v>102744148</v>
      </c>
      <c r="AL10" s="25" t="n">
        <v>102744148</v>
      </c>
      <c r="AM10" s="25" t="n">
        <v>102744148</v>
      </c>
      <c r="AN10" s="1" t="n">
        <v>82320986</v>
      </c>
      <c r="AO10" s="1" t="n">
        <v>82320986</v>
      </c>
      <c r="AP10" s="1" t="n">
        <v>82320986</v>
      </c>
      <c r="AQ10" s="1" t="n">
        <v>82320986</v>
      </c>
      <c r="AR10" s="1" t="n">
        <v>82320986</v>
      </c>
      <c r="AS10" s="1" t="n">
        <v>82320986</v>
      </c>
      <c r="AT10" s="1" t="n">
        <v>82320986</v>
      </c>
      <c r="AU10" s="1" t="n">
        <v>82320986</v>
      </c>
      <c r="AV10" s="1" t="n">
        <v>82320986</v>
      </c>
      <c r="AW10" s="1" t="n">
        <v>82320986</v>
      </c>
      <c r="AX10" s="25" t="n">
        <v>102744148</v>
      </c>
      <c r="AY10" s="25" t="n">
        <v>102744148</v>
      </c>
      <c r="AZ10" s="25" t="n">
        <v>102744148</v>
      </c>
      <c r="BA10" s="1" t="n">
        <v>82320986</v>
      </c>
      <c r="BB10" s="1" t="n">
        <v>82320986</v>
      </c>
      <c r="BC10" s="25" t="n">
        <v>102744148</v>
      </c>
      <c r="BD10" s="25" t="n">
        <v>102744148</v>
      </c>
      <c r="BE10" s="25" t="n">
        <v>102744148</v>
      </c>
      <c r="BF10" s="25" t="n">
        <v>102744148</v>
      </c>
      <c r="BG10" s="25" t="n">
        <v>102744148</v>
      </c>
      <c r="BH10" s="25" t="n">
        <v>102744148</v>
      </c>
      <c r="BI10" s="25" t="n">
        <v>102744148</v>
      </c>
      <c r="BJ10" s="25" t="n">
        <v>102744148</v>
      </c>
      <c r="BK10" s="25" t="n">
        <v>102744148</v>
      </c>
    </row>
    <row r="11" customFormat="false" ht="12.75" hidden="false" customHeight="false" outlineLevel="0" collapsed="false">
      <c r="A11" s="20" t="n">
        <f aca="false">A10+1</f>
        <v>10</v>
      </c>
      <c r="B11" s="25" t="n">
        <v>96792174</v>
      </c>
      <c r="C11" s="25" t="n">
        <v>96792174</v>
      </c>
      <c r="D11" s="25" t="n">
        <v>96792174</v>
      </c>
      <c r="E11" s="25" t="n">
        <v>96792174</v>
      </c>
      <c r="F11" s="1" t="n">
        <v>74832328</v>
      </c>
      <c r="G11" s="1" t="n">
        <v>74832328</v>
      </c>
      <c r="H11" s="1" t="n">
        <v>74832328</v>
      </c>
      <c r="I11" s="1" t="n">
        <v>74832328</v>
      </c>
      <c r="J11" s="25" t="n">
        <v>96792174</v>
      </c>
      <c r="K11" s="25" t="n">
        <v>96792174</v>
      </c>
      <c r="L11" s="25" t="n">
        <v>96792174</v>
      </c>
      <c r="M11" s="25" t="n">
        <v>96792174</v>
      </c>
      <c r="N11" s="25" t="n">
        <v>96792174</v>
      </c>
      <c r="O11" s="25" t="n">
        <v>96792174</v>
      </c>
      <c r="P11" s="25" t="n">
        <v>96792174</v>
      </c>
      <c r="Q11" s="1" t="n">
        <v>74832328</v>
      </c>
      <c r="R11" s="1" t="n">
        <v>74832328</v>
      </c>
      <c r="S11" s="1" t="n">
        <v>74832328</v>
      </c>
      <c r="T11" s="1" t="n">
        <v>74832328</v>
      </c>
      <c r="U11" s="1" t="n">
        <v>74832328</v>
      </c>
      <c r="V11" s="1" t="n">
        <v>74832328</v>
      </c>
      <c r="W11" s="1" t="n">
        <v>74832328</v>
      </c>
      <c r="X11" s="1" t="n">
        <v>74832328</v>
      </c>
      <c r="Y11" s="1" t="n">
        <v>74832328</v>
      </c>
      <c r="Z11" s="1" t="n">
        <v>74832328</v>
      </c>
      <c r="AA11" s="1" t="n">
        <v>74832328</v>
      </c>
      <c r="AB11" s="1" t="n">
        <v>74832328</v>
      </c>
      <c r="AC11" s="1" t="n">
        <v>74832328</v>
      </c>
      <c r="AD11" s="1" t="n">
        <v>74832328</v>
      </c>
      <c r="AE11" s="25" t="n">
        <v>96792174</v>
      </c>
      <c r="AF11" s="25" t="n">
        <v>96792174</v>
      </c>
      <c r="AG11" s="25" t="n">
        <v>96792174</v>
      </c>
      <c r="AH11" s="25" t="n">
        <v>96792174</v>
      </c>
      <c r="AI11" s="25" t="n">
        <v>96792174</v>
      </c>
      <c r="AJ11" s="25" t="n">
        <v>96792174</v>
      </c>
      <c r="AK11" s="25" t="n">
        <v>96792174</v>
      </c>
      <c r="AL11" s="25" t="n">
        <v>96792174</v>
      </c>
      <c r="AM11" s="25" t="n">
        <v>96792174</v>
      </c>
      <c r="AN11" s="1" t="n">
        <v>74832328</v>
      </c>
      <c r="AO11" s="1" t="n">
        <v>74832328</v>
      </c>
      <c r="AP11" s="1" t="n">
        <v>74832328</v>
      </c>
      <c r="AQ11" s="1" t="n">
        <v>74832328</v>
      </c>
      <c r="AR11" s="1" t="n">
        <v>74832328</v>
      </c>
      <c r="AS11" s="1" t="n">
        <v>74832328</v>
      </c>
      <c r="AT11" s="1" t="n">
        <v>74832328</v>
      </c>
      <c r="AU11" s="1" t="n">
        <v>74832328</v>
      </c>
      <c r="AV11" s="1" t="n">
        <v>74832328</v>
      </c>
      <c r="AW11" s="1" t="n">
        <v>74832328</v>
      </c>
      <c r="AX11" s="25" t="n">
        <v>96792174</v>
      </c>
      <c r="AY11" s="25" t="n">
        <v>96792174</v>
      </c>
      <c r="AZ11" s="25" t="n">
        <v>96792174</v>
      </c>
      <c r="BA11" s="1" t="n">
        <v>74832328</v>
      </c>
      <c r="BB11" s="1" t="n">
        <v>74832328</v>
      </c>
      <c r="BC11" s="25" t="n">
        <v>96792174</v>
      </c>
      <c r="BD11" s="25" t="n">
        <v>96792174</v>
      </c>
      <c r="BE11" s="25" t="n">
        <v>96792174</v>
      </c>
      <c r="BF11" s="25" t="n">
        <v>96792174</v>
      </c>
      <c r="BG11" s="25" t="n">
        <v>96792174</v>
      </c>
      <c r="BH11" s="25" t="n">
        <v>96792174</v>
      </c>
      <c r="BI11" s="25" t="n">
        <v>96792174</v>
      </c>
      <c r="BJ11" s="25" t="n">
        <v>96792174</v>
      </c>
      <c r="BK11" s="25" t="n">
        <v>96792174</v>
      </c>
    </row>
    <row r="12" customFormat="false" ht="12.75" hidden="false" customHeight="false" outlineLevel="0" collapsed="false">
      <c r="A12" s="20" t="n">
        <f aca="false">A11+1</f>
        <v>11</v>
      </c>
      <c r="B12" s="25" t="n">
        <v>104645989</v>
      </c>
      <c r="C12" s="25" t="n">
        <v>104645989</v>
      </c>
      <c r="D12" s="25" t="n">
        <v>104645989</v>
      </c>
      <c r="E12" s="25" t="n">
        <v>104645989</v>
      </c>
      <c r="F12" s="1" t="n">
        <v>83678709</v>
      </c>
      <c r="G12" s="1" t="n">
        <v>83678709</v>
      </c>
      <c r="H12" s="1" t="n">
        <v>83678709</v>
      </c>
      <c r="I12" s="1" t="n">
        <v>83678709</v>
      </c>
      <c r="J12" s="25" t="n">
        <v>104645989</v>
      </c>
      <c r="K12" s="25" t="n">
        <v>104645989</v>
      </c>
      <c r="L12" s="25" t="n">
        <v>104645989</v>
      </c>
      <c r="M12" s="25" t="n">
        <v>104645989</v>
      </c>
      <c r="N12" s="25" t="n">
        <v>104645989</v>
      </c>
      <c r="O12" s="25" t="n">
        <v>104645989</v>
      </c>
      <c r="P12" s="25" t="n">
        <v>104645989</v>
      </c>
      <c r="Q12" s="1" t="n">
        <v>83678709</v>
      </c>
      <c r="R12" s="1" t="n">
        <v>83678709</v>
      </c>
      <c r="S12" s="1" t="n">
        <v>83678709</v>
      </c>
      <c r="T12" s="1" t="n">
        <v>83678709</v>
      </c>
      <c r="U12" s="1" t="n">
        <v>83678709</v>
      </c>
      <c r="V12" s="1" t="n">
        <v>83678709</v>
      </c>
      <c r="W12" s="1" t="n">
        <v>83678709</v>
      </c>
      <c r="X12" s="1" t="n">
        <v>83678709</v>
      </c>
      <c r="Y12" s="1" t="n">
        <v>83678709</v>
      </c>
      <c r="Z12" s="1" t="n">
        <v>83678709</v>
      </c>
      <c r="AA12" s="1" t="n">
        <v>83678709</v>
      </c>
      <c r="AB12" s="1" t="n">
        <v>83678709</v>
      </c>
      <c r="AC12" s="1" t="n">
        <v>83678709</v>
      </c>
      <c r="AD12" s="1" t="n">
        <v>83678709</v>
      </c>
      <c r="AE12" s="25" t="n">
        <v>104645989</v>
      </c>
      <c r="AF12" s="25" t="n">
        <v>104645989</v>
      </c>
      <c r="AG12" s="25" t="n">
        <v>104645989</v>
      </c>
      <c r="AH12" s="25" t="n">
        <v>104645989</v>
      </c>
      <c r="AI12" s="25" t="n">
        <v>104645989</v>
      </c>
      <c r="AJ12" s="25" t="n">
        <v>104645989</v>
      </c>
      <c r="AK12" s="25" t="n">
        <v>104645989</v>
      </c>
      <c r="AL12" s="25" t="n">
        <v>104645989</v>
      </c>
      <c r="AM12" s="25" t="n">
        <v>104645989</v>
      </c>
      <c r="AN12" s="1" t="n">
        <v>83678709</v>
      </c>
      <c r="AO12" s="1" t="n">
        <v>83678709</v>
      </c>
      <c r="AP12" s="1" t="n">
        <v>83678709</v>
      </c>
      <c r="AQ12" s="1" t="n">
        <v>83678709</v>
      </c>
      <c r="AR12" s="1" t="n">
        <v>83678709</v>
      </c>
      <c r="AS12" s="1" t="n">
        <v>83678709</v>
      </c>
      <c r="AT12" s="1" t="n">
        <v>83678709</v>
      </c>
      <c r="AU12" s="1" t="n">
        <v>83678709</v>
      </c>
      <c r="AV12" s="1" t="n">
        <v>83678709</v>
      </c>
      <c r="AW12" s="1" t="n">
        <v>83678709</v>
      </c>
      <c r="AX12" s="25" t="n">
        <v>104645989</v>
      </c>
      <c r="AY12" s="25" t="n">
        <v>104645989</v>
      </c>
      <c r="AZ12" s="25" t="n">
        <v>104645989</v>
      </c>
      <c r="BA12" s="1" t="n">
        <v>83678709</v>
      </c>
      <c r="BB12" s="1" t="n">
        <v>83678709</v>
      </c>
      <c r="BC12" s="25" t="n">
        <v>104645989</v>
      </c>
      <c r="BD12" s="25" t="n">
        <v>104645989</v>
      </c>
      <c r="BE12" s="25" t="n">
        <v>104645989</v>
      </c>
      <c r="BF12" s="25" t="n">
        <v>104645989</v>
      </c>
      <c r="BG12" s="25" t="n">
        <v>104645989</v>
      </c>
      <c r="BH12" s="25" t="n">
        <v>104645989</v>
      </c>
      <c r="BI12" s="25" t="n">
        <v>104645989</v>
      </c>
      <c r="BJ12" s="25" t="n">
        <v>104645989</v>
      </c>
      <c r="BK12" s="25" t="n">
        <v>104645989</v>
      </c>
    </row>
    <row r="13" customFormat="false" ht="12.75" hidden="false" customHeight="false" outlineLevel="0" collapsed="false">
      <c r="A13" s="20" t="n">
        <f aca="false">A12+1</f>
        <v>12</v>
      </c>
      <c r="B13" s="25" t="n">
        <v>114549531</v>
      </c>
      <c r="C13" s="25" t="n">
        <v>114549531</v>
      </c>
      <c r="D13" s="25" t="n">
        <v>114549531</v>
      </c>
      <c r="E13" s="25" t="n">
        <v>114549531</v>
      </c>
      <c r="F13" s="1" t="n">
        <v>86255454</v>
      </c>
      <c r="G13" s="1" t="n">
        <v>86255454</v>
      </c>
      <c r="H13" s="1" t="n">
        <v>86255454</v>
      </c>
      <c r="I13" s="1" t="n">
        <v>86255454</v>
      </c>
      <c r="J13" s="25" t="n">
        <v>114549531</v>
      </c>
      <c r="K13" s="25" t="n">
        <v>114549531</v>
      </c>
      <c r="L13" s="25" t="n">
        <v>114549531</v>
      </c>
      <c r="M13" s="25" t="n">
        <v>114549531</v>
      </c>
      <c r="N13" s="25" t="n">
        <v>114549531</v>
      </c>
      <c r="O13" s="25" t="n">
        <v>114549531</v>
      </c>
      <c r="P13" s="25" t="n">
        <v>114549531</v>
      </c>
      <c r="Q13" s="1" t="n">
        <v>86255454</v>
      </c>
      <c r="R13" s="1" t="n">
        <v>86255454</v>
      </c>
      <c r="S13" s="1" t="n">
        <v>86255454</v>
      </c>
      <c r="T13" s="1" t="n">
        <v>86255454</v>
      </c>
      <c r="U13" s="1" t="n">
        <v>86255454</v>
      </c>
      <c r="V13" s="1" t="n">
        <v>86255454</v>
      </c>
      <c r="W13" s="1" t="n">
        <v>86255454</v>
      </c>
      <c r="X13" s="1" t="n">
        <v>86255454</v>
      </c>
      <c r="Y13" s="1" t="n">
        <v>86255454</v>
      </c>
      <c r="Z13" s="1" t="n">
        <v>86255454</v>
      </c>
      <c r="AA13" s="1" t="n">
        <v>86255454</v>
      </c>
      <c r="AB13" s="1" t="n">
        <v>86255454</v>
      </c>
      <c r="AC13" s="1" t="n">
        <v>86255454</v>
      </c>
      <c r="AD13" s="1" t="n">
        <v>86255454</v>
      </c>
      <c r="AE13" s="25" t="n">
        <v>114549531</v>
      </c>
      <c r="AF13" s="25" t="n">
        <v>114549531</v>
      </c>
      <c r="AG13" s="25" t="n">
        <v>114549531</v>
      </c>
      <c r="AH13" s="25" t="n">
        <v>114549531</v>
      </c>
      <c r="AI13" s="25" t="n">
        <v>114549531</v>
      </c>
      <c r="AJ13" s="25" t="n">
        <v>114549531</v>
      </c>
      <c r="AK13" s="25" t="n">
        <v>114549531</v>
      </c>
      <c r="AL13" s="25" t="n">
        <v>114549531</v>
      </c>
      <c r="AM13" s="25" t="n">
        <v>114549531</v>
      </c>
      <c r="AN13" s="1" t="n">
        <v>86255454</v>
      </c>
      <c r="AO13" s="1" t="n">
        <v>86255454</v>
      </c>
      <c r="AP13" s="1" t="n">
        <v>86255454</v>
      </c>
      <c r="AQ13" s="1" t="n">
        <v>86255454</v>
      </c>
      <c r="AR13" s="1" t="n">
        <v>86255454</v>
      </c>
      <c r="AS13" s="1" t="n">
        <v>86255454</v>
      </c>
      <c r="AT13" s="1" t="n">
        <v>86255454</v>
      </c>
      <c r="AU13" s="1" t="n">
        <v>86255454</v>
      </c>
      <c r="AV13" s="1" t="n">
        <v>86255454</v>
      </c>
      <c r="AW13" s="1" t="n">
        <v>86255454</v>
      </c>
      <c r="AX13" s="25" t="n">
        <v>114549531</v>
      </c>
      <c r="AY13" s="25" t="n">
        <v>114549531</v>
      </c>
      <c r="AZ13" s="25" t="n">
        <v>114549531</v>
      </c>
      <c r="BA13" s="1" t="n">
        <v>86255454</v>
      </c>
      <c r="BB13" s="1" t="n">
        <v>86255454</v>
      </c>
      <c r="BC13" s="25" t="n">
        <v>114549531</v>
      </c>
      <c r="BD13" s="25" t="n">
        <v>114549531</v>
      </c>
      <c r="BE13" s="25" t="n">
        <v>114549531</v>
      </c>
      <c r="BF13" s="25" t="n">
        <v>114549531</v>
      </c>
      <c r="BG13" s="25" t="n">
        <v>114549531</v>
      </c>
      <c r="BH13" s="25" t="n">
        <v>114549531</v>
      </c>
      <c r="BI13" s="25" t="n">
        <v>114549531</v>
      </c>
      <c r="BJ13" s="25" t="n">
        <v>114549531</v>
      </c>
      <c r="BK13" s="25" t="n">
        <v>114549531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4.42"/>
    <col collapsed="false" customWidth="true" hidden="false" outlineLevel="0" max="2" min="2" style="1" width="9.57"/>
    <col collapsed="false" customWidth="true" hidden="false" outlineLevel="0" max="3" min="3" style="1" width="23.71"/>
    <col collapsed="false" customWidth="true" hidden="false" outlineLevel="0" max="4" min="4" style="1" width="5.86"/>
  </cols>
  <sheetData>
    <row r="1" customFormat="false" ht="12.75" hidden="false" customHeight="false" outlineLevel="0" collapsed="false">
      <c r="A1" s="1" t="s">
        <v>3</v>
      </c>
      <c r="B1" s="1" t="s">
        <v>336</v>
      </c>
      <c r="C1" s="1" t="s">
        <v>337</v>
      </c>
      <c r="D1" s="1" t="s">
        <v>329</v>
      </c>
    </row>
    <row r="2" customFormat="false" ht="12.75" hidden="false" customHeight="false" outlineLevel="0" collapsed="false">
      <c r="A2" s="1" t="s">
        <v>27</v>
      </c>
      <c r="B2" s="1" t="s">
        <v>338</v>
      </c>
      <c r="C2" s="1" t="s">
        <v>339</v>
      </c>
      <c r="D2" s="1" t="n">
        <v>52</v>
      </c>
    </row>
    <row r="3" customFormat="false" ht="12.75" hidden="false" customHeight="false" outlineLevel="0" collapsed="false">
      <c r="A3" s="1" t="s">
        <v>27</v>
      </c>
      <c r="B3" s="1" t="s">
        <v>340</v>
      </c>
      <c r="C3" s="1" t="s">
        <v>341</v>
      </c>
      <c r="D3" s="1" t="n">
        <v>39</v>
      </c>
    </row>
    <row r="4" customFormat="false" ht="12.75" hidden="false" customHeight="false" outlineLevel="0" collapsed="false">
      <c r="A4" s="1" t="s">
        <v>27</v>
      </c>
      <c r="B4" s="1" t="s">
        <v>342</v>
      </c>
      <c r="C4" s="1" t="s">
        <v>343</v>
      </c>
      <c r="D4" s="1" t="n">
        <v>0.4</v>
      </c>
    </row>
    <row r="5" customFormat="false" ht="12.75" hidden="false" customHeight="false" outlineLevel="0" collapsed="false">
      <c r="A5" s="1" t="s">
        <v>27</v>
      </c>
      <c r="B5" s="1" t="s">
        <v>344</v>
      </c>
      <c r="C5" s="1" t="s">
        <v>345</v>
      </c>
      <c r="D5" s="1" t="n">
        <v>86</v>
      </c>
    </row>
    <row r="6" customFormat="false" ht="12.75" hidden="false" customHeight="false" outlineLevel="0" collapsed="false">
      <c r="A6" s="1" t="s">
        <v>27</v>
      </c>
      <c r="B6" s="1" t="s">
        <v>346</v>
      </c>
      <c r="C6" s="1" t="s">
        <v>347</v>
      </c>
      <c r="D6" s="1" t="n">
        <v>10</v>
      </c>
    </row>
    <row r="7" customFormat="false" ht="12.75" hidden="false" customHeight="false" outlineLevel="0" collapsed="false">
      <c r="A7" s="1" t="s">
        <v>27</v>
      </c>
      <c r="B7" s="1" t="s">
        <v>348</v>
      </c>
      <c r="C7" s="1" t="s">
        <v>349</v>
      </c>
      <c r="D7" s="1" t="n">
        <v>50</v>
      </c>
    </row>
    <row r="8" customFormat="false" ht="12.75" hidden="false" customHeight="false" outlineLevel="0" collapsed="false">
      <c r="A8" s="1" t="s">
        <v>49</v>
      </c>
      <c r="B8" s="1" t="s">
        <v>350</v>
      </c>
      <c r="C8" s="1" t="s">
        <v>351</v>
      </c>
      <c r="D8" s="1" t="n">
        <v>840</v>
      </c>
    </row>
    <row r="9" customFormat="false" ht="12.75" hidden="false" customHeight="false" outlineLevel="0" collapsed="false">
      <c r="A9" s="1" t="s">
        <v>49</v>
      </c>
      <c r="B9" s="1" t="s">
        <v>352</v>
      </c>
      <c r="C9" s="1" t="s">
        <v>341</v>
      </c>
      <c r="D9" s="1" t="n">
        <v>9</v>
      </c>
    </row>
    <row r="10" customFormat="false" ht="12.75" hidden="false" customHeight="false" outlineLevel="0" collapsed="false">
      <c r="A10" s="1" t="s">
        <v>49</v>
      </c>
      <c r="B10" s="1" t="s">
        <v>353</v>
      </c>
      <c r="C10" s="1" t="s">
        <v>354</v>
      </c>
      <c r="D10" s="1" t="n">
        <v>51</v>
      </c>
    </row>
    <row r="11" customFormat="false" ht="12.75" hidden="false" customHeight="false" outlineLevel="0" collapsed="false">
      <c r="A11" s="1" t="s">
        <v>49</v>
      </c>
      <c r="B11" s="1" t="s">
        <v>355</v>
      </c>
      <c r="C11" s="1" t="s">
        <v>356</v>
      </c>
      <c r="D11" s="1" t="n">
        <v>350</v>
      </c>
    </row>
    <row r="12" customFormat="false" ht="12.75" hidden="false" customHeight="false" outlineLevel="0" collapsed="false">
      <c r="A12" s="1" t="s">
        <v>49</v>
      </c>
      <c r="B12" s="1" t="s">
        <v>348</v>
      </c>
      <c r="C12" s="1" t="s">
        <v>349</v>
      </c>
      <c r="D12" s="1" t="n">
        <v>250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2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1" topLeftCell="BW2" activePane="bottomRight" state="frozen"/>
      <selection pane="topLeft" activeCell="A1" activeCellId="0" sqref="A1"/>
      <selection pane="topRight" activeCell="BW1" activeCellId="0" sqref="BW1"/>
      <selection pane="bottomLeft" activeCell="A2" activeCellId="0" sqref="A2"/>
      <selection pane="bottomRight" activeCell="BW1" activeCellId="0" sqref="BW1"/>
    </sheetView>
  </sheetViews>
  <sheetFormatPr defaultColWidth="11.71484375" defaultRowHeight="12.8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8.71"/>
    <col collapsed="false" customWidth="true" hidden="false" outlineLevel="0" max="4" min="3" style="1" width="22.15"/>
    <col collapsed="false" customWidth="true" hidden="false" outlineLevel="0" max="5" min="5" style="1" width="20.57"/>
    <col collapsed="false" customWidth="true" hidden="false" outlineLevel="0" max="6" min="6" style="1" width="15.29"/>
    <col collapsed="false" customWidth="true" hidden="false" outlineLevel="0" max="8" min="7" style="1" width="18.71"/>
    <col collapsed="false" customWidth="true" hidden="false" outlineLevel="0" max="9" min="9" style="1" width="13"/>
    <col collapsed="false" customWidth="true" hidden="false" outlineLevel="0" max="10" min="10" style="1" width="17.15"/>
    <col collapsed="false" customWidth="true" hidden="false" outlineLevel="0" max="11" min="11" style="1" width="16.84"/>
    <col collapsed="false" customWidth="true" hidden="false" outlineLevel="0" max="13" min="12" style="1" width="20.29"/>
    <col collapsed="false" customWidth="true" hidden="false" outlineLevel="0" max="14" min="14" style="1" width="14.42"/>
    <col collapsed="false" customWidth="true" hidden="false" outlineLevel="0" max="15" min="15" style="1" width="18.71"/>
    <col collapsed="false" customWidth="true" hidden="false" outlineLevel="0" max="16" min="16" style="1" width="12.29"/>
    <col collapsed="false" customWidth="true" hidden="false" outlineLevel="0" max="18" min="17" style="1" width="15.85"/>
    <col collapsed="false" customWidth="true" hidden="false" outlineLevel="0" max="19" min="19" style="1" width="10"/>
    <col collapsed="false" customWidth="true" hidden="false" outlineLevel="0" max="20" min="20" style="1" width="14.14"/>
    <col collapsed="false" customWidth="true" hidden="false" outlineLevel="0" max="21" min="21" style="1" width="16.71"/>
    <col collapsed="false" customWidth="true" hidden="false" outlineLevel="0" max="22" min="22" style="1" width="20.14"/>
    <col collapsed="false" customWidth="true" hidden="false" outlineLevel="0" max="23" min="23" style="1" width="14.29"/>
    <col collapsed="false" customWidth="true" hidden="false" outlineLevel="0" max="24" min="24" style="1" width="18.57"/>
    <col collapsed="false" customWidth="true" hidden="false" outlineLevel="0" max="25" min="25" style="1" width="16.29"/>
    <col collapsed="false" customWidth="true" hidden="false" outlineLevel="0" max="27" min="26" style="1" width="19.57"/>
    <col collapsed="false" customWidth="true" hidden="false" outlineLevel="0" max="28" min="28" style="1" width="13.86"/>
    <col collapsed="false" customWidth="true" hidden="false" outlineLevel="0" max="29" min="29" style="1" width="18"/>
    <col collapsed="false" customWidth="true" hidden="false" outlineLevel="0" max="30" min="30" style="1" width="15.71"/>
    <col collapsed="false" customWidth="true" hidden="false" outlineLevel="0" max="32" min="31" style="1" width="19.14"/>
    <col collapsed="false" customWidth="true" hidden="false" outlineLevel="0" max="33" min="33" style="1" width="13.29"/>
    <col collapsed="false" customWidth="true" hidden="false" outlineLevel="0" max="34" min="34" style="1" width="17.42"/>
    <col collapsed="false" customWidth="true" hidden="false" outlineLevel="0" max="35" min="35" style="1" width="23"/>
    <col collapsed="false" customWidth="true" hidden="false" outlineLevel="0" max="37" min="36" style="1" width="26.42"/>
    <col collapsed="false" customWidth="true" hidden="false" outlineLevel="0" max="38" min="38" style="1" width="24.86"/>
    <col collapsed="false" customWidth="true" hidden="false" outlineLevel="0" max="39" min="39" style="1" width="23.86"/>
    <col collapsed="false" customWidth="true" hidden="false" outlineLevel="0" max="41" min="40" style="1" width="27.29"/>
    <col collapsed="false" customWidth="true" hidden="false" outlineLevel="0" max="42" min="42" style="1" width="23.29"/>
    <col collapsed="false" customWidth="true" hidden="false" outlineLevel="0" max="44" min="43" style="1" width="26.71"/>
    <col collapsed="false" customWidth="true" hidden="false" outlineLevel="0" max="45" min="45" style="1" width="23.29"/>
    <col collapsed="false" customWidth="true" hidden="false" outlineLevel="0" max="46" min="46" style="1" width="26.71"/>
    <col collapsed="false" customWidth="true" hidden="false" outlineLevel="0" max="47" min="47" style="1" width="23.29"/>
    <col collapsed="false" customWidth="true" hidden="false" outlineLevel="0" max="48" min="48" style="1" width="26.71"/>
    <col collapsed="false" customWidth="true" hidden="false" outlineLevel="0" max="49" min="49" style="1" width="23.29"/>
    <col collapsed="false" customWidth="true" hidden="false" outlineLevel="0" max="50" min="50" style="1" width="26.71"/>
    <col collapsed="false" customWidth="true" hidden="false" outlineLevel="0" max="51" min="51" style="1" width="23.29"/>
    <col collapsed="false" customWidth="true" hidden="false" outlineLevel="0" max="52" min="52" style="1" width="26.71"/>
    <col collapsed="false" customWidth="true" hidden="false" outlineLevel="0" max="53" min="53" style="1" width="23.29"/>
    <col collapsed="false" customWidth="true" hidden="false" outlineLevel="0" max="54" min="54" style="1" width="21.57"/>
    <col collapsed="false" customWidth="true" hidden="false" outlineLevel="0" max="55" min="55" style="1" width="26.71"/>
    <col collapsed="false" customWidth="true" hidden="false" outlineLevel="0" max="61" min="56" style="1" width="23.29"/>
    <col collapsed="false" customWidth="true" hidden="false" outlineLevel="0" max="62" min="62" style="1" width="20.57"/>
    <col collapsed="false" customWidth="true" hidden="false" outlineLevel="0" max="63" min="63" style="1" width="24.14"/>
    <col collapsed="false" customWidth="true" hidden="false" outlineLevel="0" max="64" min="64" style="1" width="19.57"/>
    <col collapsed="false" customWidth="true" hidden="false" outlineLevel="0" max="65" min="65" style="1" width="23"/>
    <col collapsed="false" customWidth="true" hidden="false" outlineLevel="0" max="66" min="66" style="1" width="19.86"/>
    <col collapsed="false" customWidth="true" hidden="false" outlineLevel="0" max="67" min="67" style="1" width="23.29"/>
    <col collapsed="false" customWidth="true" hidden="false" outlineLevel="0" max="68" min="68" style="1" width="23.14"/>
    <col collapsed="false" customWidth="true" hidden="false" outlineLevel="0" max="69" min="69" style="1" width="26.57"/>
    <col collapsed="false" customWidth="true" hidden="false" outlineLevel="0" max="70" min="70" style="1" width="23.29"/>
    <col collapsed="false" customWidth="true" hidden="false" outlineLevel="0" max="71" min="71" style="1" width="26.71"/>
    <col collapsed="false" customWidth="true" hidden="false" outlineLevel="0" max="72" min="72" style="1" width="30.29"/>
    <col collapsed="false" customWidth="true" hidden="false" outlineLevel="0" max="74" min="73" style="1" width="33.57"/>
    <col collapsed="false" customWidth="true" hidden="false" outlineLevel="0" max="76" min="75" style="1" width="32.57"/>
    <col collapsed="false" customWidth="true" hidden="false" outlineLevel="0" max="77" min="77" style="1" width="26.71"/>
    <col collapsed="false" customWidth="true" hidden="false" outlineLevel="0" max="78" min="78" style="1" width="30.85"/>
    <col collapsed="false" customWidth="true" hidden="false" outlineLevel="0" max="79" min="79" style="1" width="33.57"/>
    <col collapsed="false" customWidth="true" hidden="false" outlineLevel="0" max="80" min="80" style="1" width="27.29"/>
    <col collapsed="false" customWidth="true" hidden="false" outlineLevel="0" max="82" min="81" style="1" width="30.71"/>
    <col collapsed="false" customWidth="true" hidden="false" outlineLevel="0" max="83" min="83" style="1" width="24.86"/>
    <col collapsed="false" customWidth="true" hidden="false" outlineLevel="0" max="84" min="84" style="1" width="29"/>
    <col collapsed="false" customWidth="true" hidden="false" outlineLevel="0" max="85" min="85" style="1" width="27.29"/>
    <col collapsed="false" customWidth="true" hidden="false" outlineLevel="0" max="86" min="86" style="1" width="30.71"/>
  </cols>
  <sheetData>
    <row r="1" s="37" customFormat="true" ht="13.8" hidden="false" customHeight="false" outlineLevel="0" collapsed="false">
      <c r="A1" s="37" t="s">
        <v>357</v>
      </c>
      <c r="B1" s="37" t="s">
        <v>358</v>
      </c>
      <c r="C1" s="37" t="s">
        <v>359</v>
      </c>
      <c r="D1" s="37" t="s">
        <v>360</v>
      </c>
      <c r="E1" s="37" t="s">
        <v>361</v>
      </c>
      <c r="F1" s="37" t="s">
        <v>362</v>
      </c>
      <c r="G1" s="37" t="s">
        <v>363</v>
      </c>
      <c r="H1" s="37" t="s">
        <v>364</v>
      </c>
      <c r="I1" s="37" t="s">
        <v>365</v>
      </c>
      <c r="J1" s="37" t="s">
        <v>366</v>
      </c>
      <c r="K1" s="37" t="s">
        <v>367</v>
      </c>
      <c r="L1" s="37" t="s">
        <v>368</v>
      </c>
      <c r="M1" s="37" t="s">
        <v>369</v>
      </c>
      <c r="N1" s="37" t="s">
        <v>370</v>
      </c>
      <c r="O1" s="37" t="s">
        <v>371</v>
      </c>
      <c r="P1" s="37" t="s">
        <v>372</v>
      </c>
      <c r="Q1" s="37" t="s">
        <v>373</v>
      </c>
      <c r="R1" s="37" t="s">
        <v>374</v>
      </c>
      <c r="S1" s="37" t="s">
        <v>375</v>
      </c>
      <c r="T1" s="37" t="s">
        <v>376</v>
      </c>
      <c r="U1" s="37" t="s">
        <v>377</v>
      </c>
      <c r="V1" s="37" t="s">
        <v>378</v>
      </c>
      <c r="W1" s="37" t="s">
        <v>379</v>
      </c>
      <c r="X1" s="37" t="s">
        <v>380</v>
      </c>
      <c r="Y1" s="37" t="s">
        <v>381</v>
      </c>
      <c r="Z1" s="37" t="s">
        <v>382</v>
      </c>
      <c r="AA1" s="37" t="s">
        <v>383</v>
      </c>
      <c r="AB1" s="37" t="s">
        <v>384</v>
      </c>
      <c r="AC1" s="37" t="s">
        <v>385</v>
      </c>
      <c r="AD1" s="37" t="s">
        <v>386</v>
      </c>
      <c r="AE1" s="37" t="s">
        <v>387</v>
      </c>
      <c r="AF1" s="37" t="s">
        <v>388</v>
      </c>
      <c r="AG1" s="37" t="s">
        <v>389</v>
      </c>
      <c r="AH1" s="37" t="s">
        <v>390</v>
      </c>
      <c r="AI1" s="37" t="s">
        <v>391</v>
      </c>
      <c r="AJ1" s="37" t="s">
        <v>392</v>
      </c>
      <c r="AK1" s="37" t="s">
        <v>393</v>
      </c>
      <c r="AL1" s="37" t="s">
        <v>394</v>
      </c>
      <c r="AM1" s="37" t="s">
        <v>395</v>
      </c>
      <c r="AN1" s="37" t="s">
        <v>396</v>
      </c>
      <c r="AO1" s="37" t="s">
        <v>397</v>
      </c>
      <c r="AP1" s="37" t="s">
        <v>398</v>
      </c>
      <c r="AQ1" s="37" t="s">
        <v>399</v>
      </c>
      <c r="AR1" s="37" t="s">
        <v>400</v>
      </c>
      <c r="AS1" s="37" t="s">
        <v>401</v>
      </c>
      <c r="AT1" s="37" t="s">
        <v>402</v>
      </c>
      <c r="AU1" s="37" t="s">
        <v>403</v>
      </c>
      <c r="AV1" s="37" t="s">
        <v>404</v>
      </c>
      <c r="AW1" s="37" t="s">
        <v>405</v>
      </c>
      <c r="AX1" s="37" t="s">
        <v>406</v>
      </c>
      <c r="AY1" s="37" t="s">
        <v>407</v>
      </c>
      <c r="AZ1" s="37" t="s">
        <v>408</v>
      </c>
      <c r="BA1" s="37" t="s">
        <v>409</v>
      </c>
      <c r="BB1" s="37" t="s">
        <v>410</v>
      </c>
      <c r="BC1" s="37" t="s">
        <v>411</v>
      </c>
      <c r="BD1" s="37" t="s">
        <v>412</v>
      </c>
      <c r="BE1" s="37" t="s">
        <v>413</v>
      </c>
      <c r="BF1" s="37" t="s">
        <v>414</v>
      </c>
      <c r="BG1" s="37" t="s">
        <v>415</v>
      </c>
      <c r="BH1" s="37" t="s">
        <v>416</v>
      </c>
      <c r="BI1" s="37" t="s">
        <v>417</v>
      </c>
      <c r="BJ1" s="37" t="s">
        <v>418</v>
      </c>
      <c r="BK1" s="37" t="s">
        <v>419</v>
      </c>
      <c r="BL1" s="37" t="s">
        <v>420</v>
      </c>
      <c r="BM1" s="37" t="s">
        <v>421</v>
      </c>
      <c r="BN1" s="37" t="s">
        <v>422</v>
      </c>
      <c r="BO1" s="37" t="s">
        <v>423</v>
      </c>
      <c r="BP1" s="37" t="s">
        <v>424</v>
      </c>
      <c r="BQ1" s="37" t="s">
        <v>425</v>
      </c>
      <c r="BR1" s="37" t="s">
        <v>426</v>
      </c>
      <c r="BS1" s="37" t="s">
        <v>427</v>
      </c>
      <c r="BT1" s="37" t="s">
        <v>428</v>
      </c>
      <c r="BU1" s="37" t="s">
        <v>429</v>
      </c>
      <c r="BV1" s="37" t="s">
        <v>430</v>
      </c>
      <c r="BW1" s="37" t="s">
        <v>431</v>
      </c>
      <c r="BX1" s="37" t="s">
        <v>432</v>
      </c>
      <c r="BY1" s="37" t="s">
        <v>433</v>
      </c>
      <c r="BZ1" s="37" t="s">
        <v>434</v>
      </c>
      <c r="CA1" s="37" t="s">
        <v>435</v>
      </c>
      <c r="CB1" s="37" t="s">
        <v>436</v>
      </c>
      <c r="CC1" s="37" t="s">
        <v>437</v>
      </c>
      <c r="CD1" s="37" t="s">
        <v>438</v>
      </c>
      <c r="CE1" s="37" t="s">
        <v>439</v>
      </c>
      <c r="CF1" s="37" t="s">
        <v>440</v>
      </c>
      <c r="CG1" s="37" t="s">
        <v>441</v>
      </c>
      <c r="CH1" s="37" t="s">
        <v>442</v>
      </c>
    </row>
    <row r="2" customFormat="false" ht="12.75" hidden="false" customHeight="false" outlineLevel="0" collapsed="false">
      <c r="A2" s="1" t="n">
        <v>2019</v>
      </c>
      <c r="B2" s="1" t="n">
        <v>1</v>
      </c>
      <c r="D2" s="1" t="n">
        <v>1572</v>
      </c>
      <c r="E2" s="1" t="n">
        <v>5</v>
      </c>
      <c r="F2" s="1" t="n">
        <v>116</v>
      </c>
      <c r="G2" s="1" t="n">
        <v>1</v>
      </c>
      <c r="H2" s="1" t="n">
        <v>18575</v>
      </c>
      <c r="I2" s="1" t="n">
        <v>1</v>
      </c>
      <c r="J2" s="1" t="n">
        <v>142</v>
      </c>
      <c r="K2" s="1" t="n">
        <v>505</v>
      </c>
      <c r="L2" s="1" t="n">
        <v>3</v>
      </c>
      <c r="M2" s="1" t="n">
        <v>39778</v>
      </c>
      <c r="O2" s="1" t="n">
        <v>1467</v>
      </c>
      <c r="P2" s="1" t="n">
        <v>319</v>
      </c>
      <c r="R2" s="1" t="n">
        <v>14447</v>
      </c>
      <c r="T2" s="1" t="n">
        <v>4</v>
      </c>
      <c r="U2" s="1" t="n">
        <v>299</v>
      </c>
      <c r="V2" s="1" t="n">
        <v>221</v>
      </c>
      <c r="Y2" s="1" t="n">
        <v>148</v>
      </c>
      <c r="AA2" s="1" t="n">
        <v>85</v>
      </c>
      <c r="AD2" s="1" t="n">
        <v>2749</v>
      </c>
      <c r="AF2" s="1" t="n">
        <v>2027</v>
      </c>
      <c r="AI2" s="1" t="n">
        <v>2524</v>
      </c>
      <c r="AM2" s="1" t="n">
        <v>297</v>
      </c>
      <c r="AP2" s="1" t="n">
        <v>80</v>
      </c>
      <c r="AS2" s="1" t="n">
        <v>24</v>
      </c>
      <c r="AU2" s="1" t="n">
        <v>99</v>
      </c>
      <c r="AW2" s="1" t="n">
        <v>4</v>
      </c>
      <c r="AY2" s="1" t="n">
        <v>17</v>
      </c>
      <c r="BB2" s="1" t="n">
        <v>18</v>
      </c>
      <c r="BD2" s="1" t="n">
        <v>174</v>
      </c>
      <c r="BE2" s="1" t="n">
        <v>109</v>
      </c>
      <c r="BF2" s="1" t="n">
        <v>1</v>
      </c>
      <c r="BG2" s="1" t="n">
        <v>20</v>
      </c>
      <c r="BH2" s="1" t="n">
        <v>98</v>
      </c>
      <c r="BI2" s="1" t="n">
        <v>5</v>
      </c>
      <c r="BJ2" s="1" t="n">
        <v>30.6</v>
      </c>
      <c r="BK2" s="1" t="n">
        <v>0.85</v>
      </c>
      <c r="BL2" s="1" t="n">
        <v>417.350000000001</v>
      </c>
      <c r="BN2" s="1" t="n">
        <v>17</v>
      </c>
      <c r="BP2" s="1" t="n">
        <v>184.35</v>
      </c>
      <c r="BQ2" s="1" t="n">
        <v>1.95</v>
      </c>
      <c r="BR2" s="1" t="n">
        <v>5.25</v>
      </c>
      <c r="BS2" s="1" t="n">
        <v>0.15</v>
      </c>
      <c r="BV2" s="1" t="n">
        <v>66</v>
      </c>
      <c r="CA2" s="1" t="n">
        <v>31369</v>
      </c>
    </row>
    <row r="3" customFormat="false" ht="12.75" hidden="false" customHeight="false" outlineLevel="0" collapsed="false">
      <c r="A3" s="1" t="n">
        <v>2018</v>
      </c>
      <c r="B3" s="1" t="n">
        <v>15</v>
      </c>
      <c r="D3" s="1" t="n">
        <v>891</v>
      </c>
      <c r="E3" s="1" t="n">
        <v>7</v>
      </c>
      <c r="F3" s="1" t="n">
        <v>25</v>
      </c>
      <c r="H3" s="1" t="n">
        <v>8602</v>
      </c>
      <c r="J3" s="1" t="n">
        <v>124</v>
      </c>
      <c r="K3" s="1" t="n">
        <v>281</v>
      </c>
      <c r="M3" s="1" t="n">
        <v>25687</v>
      </c>
      <c r="N3" s="1" t="n">
        <v>1</v>
      </c>
      <c r="O3" s="1" t="n">
        <v>1403</v>
      </c>
      <c r="P3" s="1" t="n">
        <v>648</v>
      </c>
      <c r="Q3" s="1" t="n">
        <v>6</v>
      </c>
      <c r="R3" s="1" t="n">
        <v>39723</v>
      </c>
      <c r="T3" s="1" t="n">
        <v>23</v>
      </c>
      <c r="U3" s="1" t="n">
        <v>974</v>
      </c>
      <c r="V3" s="1" t="n">
        <v>946</v>
      </c>
      <c r="Y3" s="1" t="n">
        <v>728</v>
      </c>
      <c r="AA3" s="1" t="n">
        <v>605</v>
      </c>
      <c r="AD3" s="1" t="n">
        <v>12345</v>
      </c>
      <c r="AE3" s="1" t="n">
        <v>7</v>
      </c>
      <c r="AF3" s="1" t="n">
        <v>9033</v>
      </c>
      <c r="AI3" s="1" t="n">
        <v>3968</v>
      </c>
      <c r="AK3" s="1" t="n">
        <v>90</v>
      </c>
      <c r="AM3" s="1" t="n">
        <v>455</v>
      </c>
      <c r="AO3" s="1" t="n">
        <v>1</v>
      </c>
      <c r="AP3" s="1" t="n">
        <v>246</v>
      </c>
      <c r="AS3" s="1" t="n">
        <v>111</v>
      </c>
      <c r="AU3" s="1" t="n">
        <v>256</v>
      </c>
      <c r="AW3" s="1" t="n">
        <v>19</v>
      </c>
      <c r="AY3" s="1" t="n">
        <v>68</v>
      </c>
      <c r="BA3" s="1" t="n">
        <v>1</v>
      </c>
      <c r="BB3" s="1" t="n">
        <v>29</v>
      </c>
      <c r="BD3" s="1" t="n">
        <v>304</v>
      </c>
      <c r="BE3" s="1" t="n">
        <v>236</v>
      </c>
      <c r="BF3" s="1" t="n">
        <v>4</v>
      </c>
      <c r="BG3" s="1" t="n">
        <v>14</v>
      </c>
      <c r="BH3" s="1" t="n">
        <v>261</v>
      </c>
      <c r="BI3" s="1" t="n">
        <v>22</v>
      </c>
      <c r="BJ3" s="1" t="n">
        <v>232.9</v>
      </c>
      <c r="BK3" s="1" t="n">
        <v>1.7</v>
      </c>
      <c r="BL3" s="1" t="n">
        <v>1114.35</v>
      </c>
      <c r="BM3" s="1" t="n">
        <v>1.7</v>
      </c>
      <c r="BN3" s="1" t="n">
        <v>123.25</v>
      </c>
      <c r="BO3" s="1" t="n">
        <v>0.85</v>
      </c>
      <c r="BP3" s="1" t="n">
        <v>217.65</v>
      </c>
      <c r="BQ3" s="1" t="n">
        <v>1.8</v>
      </c>
      <c r="BR3" s="1" t="n">
        <v>4.5</v>
      </c>
      <c r="BU3" s="1" t="n">
        <v>56</v>
      </c>
      <c r="BV3" s="1" t="n">
        <v>767</v>
      </c>
      <c r="BZ3" s="1" t="n">
        <v>12</v>
      </c>
      <c r="CA3" s="1" t="n">
        <v>102301</v>
      </c>
      <c r="CB3" s="1" t="n">
        <v>1</v>
      </c>
      <c r="CD3" s="1" t="n">
        <v>1</v>
      </c>
      <c r="CE3" s="1" t="n">
        <v>19</v>
      </c>
      <c r="CH3" s="1" t="n">
        <v>4</v>
      </c>
    </row>
    <row r="4" customFormat="false" ht="12.75" hidden="false" customHeight="false" outlineLevel="0" collapsed="false">
      <c r="A4" s="1" t="n">
        <v>2017</v>
      </c>
      <c r="C4" s="1" t="n">
        <v>25</v>
      </c>
      <c r="D4" s="1" t="n">
        <v>106</v>
      </c>
      <c r="E4" s="1" t="n">
        <v>13</v>
      </c>
      <c r="F4" s="1" t="n">
        <v>1</v>
      </c>
      <c r="G4" s="1" t="n">
        <v>6</v>
      </c>
      <c r="H4" s="1" t="n">
        <v>5522</v>
      </c>
      <c r="J4" s="1" t="n">
        <v>9</v>
      </c>
      <c r="K4" s="1" t="n">
        <v>10</v>
      </c>
      <c r="L4" s="1" t="n">
        <v>56</v>
      </c>
      <c r="M4" s="1" t="n">
        <v>16474</v>
      </c>
      <c r="O4" s="1" t="n">
        <v>1526</v>
      </c>
      <c r="P4" s="1" t="n">
        <v>525</v>
      </c>
      <c r="R4" s="1" t="n">
        <v>24392</v>
      </c>
      <c r="T4" s="1" t="n">
        <v>23</v>
      </c>
      <c r="U4" s="1" t="n">
        <v>493</v>
      </c>
      <c r="V4" s="1" t="n">
        <v>435</v>
      </c>
      <c r="Y4" s="1" t="n">
        <v>552</v>
      </c>
      <c r="AA4" s="1" t="n">
        <v>488</v>
      </c>
      <c r="AD4" s="1" t="n">
        <v>8926</v>
      </c>
      <c r="AF4" s="1" t="n">
        <v>4790</v>
      </c>
      <c r="AH4" s="1" t="n">
        <v>2</v>
      </c>
      <c r="AI4" s="1" t="n">
        <v>2936</v>
      </c>
      <c r="AK4" s="1" t="n">
        <v>9</v>
      </c>
      <c r="AM4" s="1" t="n">
        <v>342</v>
      </c>
      <c r="AP4" s="1" t="n">
        <v>222</v>
      </c>
      <c r="AS4" s="1" t="n">
        <v>73</v>
      </c>
      <c r="AU4" s="1" t="n">
        <v>203</v>
      </c>
      <c r="AW4" s="1" t="n">
        <v>15</v>
      </c>
      <c r="AY4" s="1" t="n">
        <v>32</v>
      </c>
      <c r="BB4" s="1" t="n">
        <v>4</v>
      </c>
      <c r="BD4" s="1" t="n">
        <v>164</v>
      </c>
      <c r="BE4" s="1" t="n">
        <v>90</v>
      </c>
      <c r="BF4" s="1" t="n">
        <v>1</v>
      </c>
      <c r="BG4" s="1" t="n">
        <v>22</v>
      </c>
      <c r="BH4" s="1" t="n">
        <v>71</v>
      </c>
      <c r="BI4" s="1" t="n">
        <v>7</v>
      </c>
      <c r="BJ4" s="1" t="n">
        <v>302.6</v>
      </c>
      <c r="BL4" s="1" t="n">
        <v>1210.4</v>
      </c>
      <c r="BM4" s="1" t="n">
        <v>3.4</v>
      </c>
      <c r="BN4" s="1" t="n">
        <v>66.3</v>
      </c>
      <c r="BP4" s="1" t="n">
        <v>224.1</v>
      </c>
      <c r="BQ4" s="1" t="n">
        <v>1.8</v>
      </c>
      <c r="BR4" s="1" t="n">
        <v>0.15</v>
      </c>
      <c r="BU4" s="1" t="n">
        <v>68</v>
      </c>
      <c r="BV4" s="1" t="n">
        <v>1485</v>
      </c>
      <c r="BW4" s="1" t="n">
        <v>1</v>
      </c>
      <c r="BZ4" s="1" t="n">
        <v>6</v>
      </c>
      <c r="CA4" s="1" t="n">
        <v>73869</v>
      </c>
      <c r="CB4" s="1" t="n">
        <v>2</v>
      </c>
      <c r="CD4" s="1" t="n">
        <v>2</v>
      </c>
      <c r="CE4" s="1" t="n">
        <v>3</v>
      </c>
      <c r="CH4" s="1" t="n">
        <v>2</v>
      </c>
    </row>
    <row r="5" customFormat="false" ht="12.75" hidden="false" customHeight="false" outlineLevel="0" collapsed="false">
      <c r="A5" s="1" t="n">
        <v>2016</v>
      </c>
      <c r="B5" s="1" t="n">
        <v>1</v>
      </c>
      <c r="D5" s="1" t="n">
        <v>201</v>
      </c>
      <c r="E5" s="1" t="n">
        <v>2</v>
      </c>
      <c r="F5" s="1" t="n">
        <v>1</v>
      </c>
      <c r="G5" s="1" t="n">
        <v>3</v>
      </c>
      <c r="H5" s="1" t="n">
        <v>4030</v>
      </c>
      <c r="J5" s="1" t="n">
        <v>1</v>
      </c>
      <c r="K5" s="1" t="n">
        <v>193</v>
      </c>
      <c r="L5" s="1" t="n">
        <v>33</v>
      </c>
      <c r="M5" s="1" t="n">
        <v>14052</v>
      </c>
      <c r="O5" s="1" t="n">
        <v>502</v>
      </c>
      <c r="P5" s="1" t="n">
        <v>460</v>
      </c>
      <c r="Q5" s="1" t="n">
        <v>7</v>
      </c>
      <c r="R5" s="1" t="n">
        <v>14707</v>
      </c>
      <c r="S5" s="1" t="n">
        <v>1</v>
      </c>
      <c r="T5" s="1" t="n">
        <v>48</v>
      </c>
      <c r="U5" s="1" t="n">
        <v>801</v>
      </c>
      <c r="V5" s="1" t="n">
        <v>365</v>
      </c>
      <c r="Y5" s="1" t="n">
        <v>353</v>
      </c>
      <c r="AA5" s="1" t="n">
        <v>390</v>
      </c>
      <c r="AD5" s="1" t="n">
        <v>5916</v>
      </c>
      <c r="AF5" s="1" t="n">
        <v>2649</v>
      </c>
      <c r="AI5" s="1" t="n">
        <v>1045</v>
      </c>
      <c r="AK5" s="1" t="n">
        <v>13</v>
      </c>
      <c r="AM5" s="1" t="n">
        <v>159</v>
      </c>
      <c r="AO5" s="1" t="n">
        <v>1</v>
      </c>
      <c r="AP5" s="1" t="n">
        <v>18</v>
      </c>
      <c r="AS5" s="1" t="n">
        <v>45</v>
      </c>
      <c r="AU5" s="1" t="n">
        <v>43</v>
      </c>
      <c r="AW5" s="1" t="n">
        <v>10</v>
      </c>
      <c r="AY5" s="1" t="n">
        <v>8</v>
      </c>
      <c r="BB5" s="1" t="n">
        <v>1</v>
      </c>
      <c r="BD5" s="1" t="n">
        <v>21</v>
      </c>
      <c r="BE5" s="1" t="n">
        <v>1</v>
      </c>
      <c r="BH5" s="1" t="n">
        <v>1</v>
      </c>
      <c r="BJ5" s="1" t="n">
        <v>75.65</v>
      </c>
      <c r="BL5" s="1" t="n">
        <v>939.250000000001</v>
      </c>
      <c r="BM5" s="1" t="n">
        <v>1.7</v>
      </c>
      <c r="BN5" s="1" t="n">
        <v>17</v>
      </c>
      <c r="BP5" s="1" t="n">
        <v>162.15</v>
      </c>
      <c r="BQ5" s="1" t="n">
        <v>1.35</v>
      </c>
      <c r="BR5" s="1" t="n">
        <v>1.35</v>
      </c>
      <c r="BU5" s="1" t="n">
        <v>4</v>
      </c>
      <c r="BV5" s="1" t="n">
        <v>465</v>
      </c>
      <c r="BZ5" s="1" t="n">
        <v>2</v>
      </c>
      <c r="CA5" s="1" t="n">
        <v>37270</v>
      </c>
    </row>
    <row r="6" customFormat="false" ht="12.75" hidden="false" customHeight="false" outlineLevel="0" collapsed="false">
      <c r="A6" s="1" t="n">
        <v>2015</v>
      </c>
      <c r="B6" s="1" t="n">
        <v>2</v>
      </c>
      <c r="D6" s="1" t="n">
        <v>36</v>
      </c>
      <c r="F6" s="1" t="n">
        <v>1</v>
      </c>
      <c r="H6" s="1" t="n">
        <v>9792</v>
      </c>
      <c r="J6" s="1" t="n">
        <v>8</v>
      </c>
      <c r="K6" s="1" t="n">
        <v>15</v>
      </c>
      <c r="L6" s="1" t="n">
        <v>2</v>
      </c>
      <c r="M6" s="1" t="n">
        <v>25052</v>
      </c>
      <c r="O6" s="1" t="n">
        <v>667</v>
      </c>
      <c r="P6" s="1" t="n">
        <v>123</v>
      </c>
      <c r="Q6" s="1" t="n">
        <v>66</v>
      </c>
      <c r="R6" s="1" t="n">
        <v>12476</v>
      </c>
      <c r="S6" s="1" t="n">
        <v>1</v>
      </c>
      <c r="T6" s="1" t="n">
        <v>42</v>
      </c>
      <c r="U6" s="1" t="n">
        <v>961</v>
      </c>
      <c r="V6" s="1" t="n">
        <v>1085</v>
      </c>
      <c r="Y6" s="1" t="n">
        <v>192</v>
      </c>
      <c r="AA6" s="1" t="n">
        <v>293</v>
      </c>
      <c r="AD6" s="1" t="n">
        <v>4351</v>
      </c>
      <c r="AE6" s="1" t="n">
        <v>3</v>
      </c>
      <c r="AF6" s="1" t="n">
        <v>3757</v>
      </c>
      <c r="AG6" s="1" t="n">
        <v>1</v>
      </c>
      <c r="AH6" s="1" t="n">
        <v>1</v>
      </c>
      <c r="AI6" s="1" t="n">
        <v>3185</v>
      </c>
      <c r="AJ6" s="1" t="n">
        <v>1</v>
      </c>
      <c r="AK6" s="1" t="n">
        <v>45</v>
      </c>
      <c r="AM6" s="1" t="n">
        <v>328</v>
      </c>
      <c r="AO6" s="1" t="n">
        <v>3</v>
      </c>
      <c r="AP6" s="1" t="n">
        <v>81</v>
      </c>
      <c r="AS6" s="1" t="n">
        <v>200</v>
      </c>
      <c r="AU6" s="1" t="n">
        <v>165</v>
      </c>
      <c r="AV6" s="1" t="n">
        <v>2</v>
      </c>
      <c r="AW6" s="1" t="n">
        <v>18</v>
      </c>
      <c r="AY6" s="1" t="n">
        <v>19</v>
      </c>
      <c r="AZ6" s="1" t="n">
        <v>1</v>
      </c>
      <c r="BB6" s="1" t="n">
        <v>2</v>
      </c>
      <c r="BD6" s="1" t="n">
        <v>118</v>
      </c>
      <c r="BE6" s="1" t="n">
        <v>112</v>
      </c>
      <c r="BF6" s="1" t="n">
        <v>3</v>
      </c>
      <c r="BG6" s="1" t="n">
        <v>14</v>
      </c>
      <c r="BH6" s="1" t="n">
        <v>46</v>
      </c>
      <c r="BI6" s="1" t="n">
        <v>11</v>
      </c>
      <c r="BJ6" s="1" t="n">
        <v>135.15</v>
      </c>
      <c r="BK6" s="1" t="n">
        <v>0.85</v>
      </c>
      <c r="BL6" s="1" t="n">
        <v>1212.95</v>
      </c>
      <c r="BM6" s="1" t="n">
        <v>9.35</v>
      </c>
      <c r="BN6" s="1" t="n">
        <v>61.2</v>
      </c>
      <c r="BP6" s="1" t="n">
        <v>169.65</v>
      </c>
      <c r="BQ6" s="1" t="n">
        <v>1.35</v>
      </c>
      <c r="BR6" s="1" t="n">
        <v>0.3</v>
      </c>
      <c r="BU6" s="1" t="n">
        <v>1</v>
      </c>
      <c r="BV6" s="1" t="n">
        <v>86</v>
      </c>
      <c r="CA6" s="1" t="n">
        <v>24810</v>
      </c>
      <c r="CE6" s="1" t="n">
        <v>6</v>
      </c>
      <c r="CH6" s="1" t="n">
        <v>2</v>
      </c>
    </row>
    <row r="7" customFormat="false" ht="12.75" hidden="false" customHeight="false" outlineLevel="0" collapsed="false">
      <c r="A7" s="1" t="n">
        <v>2014</v>
      </c>
      <c r="B7" s="1" t="n">
        <v>2</v>
      </c>
      <c r="D7" s="1" t="n">
        <v>78</v>
      </c>
      <c r="F7" s="1" t="n">
        <v>1</v>
      </c>
      <c r="H7" s="1" t="n">
        <v>15449</v>
      </c>
      <c r="J7" s="1" t="n">
        <v>3</v>
      </c>
      <c r="K7" s="1" t="n">
        <v>25</v>
      </c>
      <c r="M7" s="1" t="n">
        <v>17959</v>
      </c>
      <c r="N7" s="1" t="n">
        <v>1</v>
      </c>
      <c r="O7" s="1" t="n">
        <v>76</v>
      </c>
      <c r="P7" s="1" t="n">
        <v>93</v>
      </c>
      <c r="Q7" s="1" t="n">
        <v>2</v>
      </c>
      <c r="R7" s="1" t="n">
        <v>24529</v>
      </c>
      <c r="S7" s="1" t="n">
        <v>2</v>
      </c>
      <c r="T7" s="1" t="n">
        <v>6</v>
      </c>
      <c r="U7" s="1" t="n">
        <v>1991</v>
      </c>
      <c r="V7" s="1" t="n">
        <v>1496</v>
      </c>
      <c r="W7" s="1" t="n">
        <v>1</v>
      </c>
      <c r="Y7" s="1" t="n">
        <v>648</v>
      </c>
      <c r="AA7" s="1" t="n">
        <v>886</v>
      </c>
      <c r="AD7" s="1" t="n">
        <v>8830</v>
      </c>
      <c r="AF7" s="1" t="n">
        <v>7747</v>
      </c>
      <c r="AG7" s="1" t="n">
        <v>1</v>
      </c>
      <c r="AH7" s="1" t="n">
        <v>1</v>
      </c>
      <c r="AI7" s="1" t="n">
        <v>6124</v>
      </c>
      <c r="AK7" s="1" t="n">
        <v>60</v>
      </c>
      <c r="AM7" s="1" t="n">
        <v>1072</v>
      </c>
      <c r="AO7" s="1" t="n">
        <v>5</v>
      </c>
      <c r="AP7" s="1" t="n">
        <v>197</v>
      </c>
      <c r="AR7" s="1" t="n">
        <v>2</v>
      </c>
      <c r="AS7" s="1" t="n">
        <v>591</v>
      </c>
      <c r="AT7" s="1" t="n">
        <v>2</v>
      </c>
      <c r="AU7" s="1" t="n">
        <v>495</v>
      </c>
      <c r="AV7" s="1" t="n">
        <v>5</v>
      </c>
      <c r="AW7" s="1" t="n">
        <v>162</v>
      </c>
      <c r="AY7" s="1" t="n">
        <v>207</v>
      </c>
      <c r="AZ7" s="1" t="n">
        <v>4</v>
      </c>
      <c r="BA7" s="1" t="n">
        <v>2</v>
      </c>
      <c r="BB7" s="1" t="n">
        <v>8</v>
      </c>
      <c r="BD7" s="1" t="n">
        <v>224</v>
      </c>
      <c r="BE7" s="1" t="n">
        <v>661</v>
      </c>
      <c r="BF7" s="1" t="n">
        <v>7</v>
      </c>
      <c r="BG7" s="1" t="n">
        <v>174</v>
      </c>
      <c r="BH7" s="1" t="n">
        <v>307</v>
      </c>
      <c r="BI7" s="1" t="n">
        <v>5</v>
      </c>
      <c r="BJ7" s="1" t="n">
        <v>112.2</v>
      </c>
      <c r="BL7" s="1" t="n">
        <v>1134.75</v>
      </c>
      <c r="BM7" s="1" t="n">
        <v>10.2</v>
      </c>
      <c r="BN7" s="1" t="n">
        <v>68</v>
      </c>
      <c r="BP7" s="1" t="n">
        <v>198.6</v>
      </c>
      <c r="BQ7" s="1" t="n">
        <v>1.65</v>
      </c>
      <c r="BR7" s="1" t="n">
        <v>2.85</v>
      </c>
      <c r="BV7" s="1" t="n">
        <v>127</v>
      </c>
      <c r="BY7" s="1" t="n">
        <v>2</v>
      </c>
      <c r="CA7" s="1" t="n">
        <v>53787</v>
      </c>
      <c r="CB7" s="1" t="n">
        <v>2</v>
      </c>
      <c r="CC7" s="1" t="n">
        <v>1</v>
      </c>
      <c r="CE7" s="1" t="n">
        <v>67</v>
      </c>
      <c r="CH7" s="1" t="n">
        <v>4</v>
      </c>
    </row>
    <row r="8" customFormat="false" ht="12.75" hidden="false" customHeight="false" outlineLevel="0" collapsed="false">
      <c r="A8" s="1" t="n">
        <v>2013</v>
      </c>
      <c r="B8" s="1" t="n">
        <v>2</v>
      </c>
      <c r="D8" s="1" t="n">
        <v>64</v>
      </c>
      <c r="F8" s="1" t="n">
        <v>3</v>
      </c>
      <c r="H8" s="1" t="n">
        <v>20796</v>
      </c>
      <c r="I8" s="1" t="n">
        <v>1</v>
      </c>
      <c r="J8" s="1" t="n">
        <v>73</v>
      </c>
      <c r="K8" s="1" t="n">
        <v>30</v>
      </c>
      <c r="M8" s="1" t="n">
        <v>20890</v>
      </c>
      <c r="O8" s="1" t="n">
        <v>254</v>
      </c>
      <c r="P8" s="1" t="n">
        <v>74</v>
      </c>
      <c r="Q8" s="1" t="n">
        <v>1</v>
      </c>
      <c r="R8" s="1" t="n">
        <v>21361</v>
      </c>
      <c r="S8" s="1" t="n">
        <v>1</v>
      </c>
      <c r="T8" s="1" t="n">
        <v>15</v>
      </c>
      <c r="U8" s="1" t="n">
        <v>1266</v>
      </c>
      <c r="V8" s="1" t="n">
        <v>1226</v>
      </c>
      <c r="Y8" s="1" t="n">
        <v>745</v>
      </c>
      <c r="AA8" s="1" t="n">
        <v>731</v>
      </c>
      <c r="AC8" s="1" t="n">
        <v>1</v>
      </c>
      <c r="AD8" s="1" t="n">
        <v>7922</v>
      </c>
      <c r="AF8" s="1" t="n">
        <v>7038</v>
      </c>
      <c r="AG8" s="1" t="n">
        <v>1</v>
      </c>
      <c r="AI8" s="1" t="n">
        <v>4776</v>
      </c>
      <c r="AK8" s="1" t="n">
        <v>17</v>
      </c>
      <c r="AM8" s="1" t="n">
        <v>588</v>
      </c>
      <c r="AO8" s="1" t="n">
        <v>3</v>
      </c>
      <c r="AP8" s="1" t="n">
        <v>259</v>
      </c>
      <c r="AS8" s="1" t="n">
        <v>128</v>
      </c>
      <c r="AU8" s="1" t="n">
        <v>501</v>
      </c>
      <c r="AV8" s="1" t="n">
        <v>2</v>
      </c>
      <c r="AW8" s="1" t="n">
        <v>131</v>
      </c>
      <c r="AX8" s="1" t="n">
        <v>2</v>
      </c>
      <c r="AY8" s="1" t="n">
        <v>136</v>
      </c>
      <c r="BA8" s="1" t="n">
        <v>59</v>
      </c>
      <c r="BB8" s="1" t="n">
        <v>17</v>
      </c>
      <c r="BC8" s="1" t="n">
        <v>1</v>
      </c>
      <c r="BD8" s="1" t="n">
        <v>217</v>
      </c>
      <c r="BE8" s="1" t="n">
        <v>552</v>
      </c>
      <c r="BF8" s="1" t="n">
        <v>16</v>
      </c>
      <c r="BG8" s="1" t="n">
        <v>174</v>
      </c>
      <c r="BH8" s="1" t="n">
        <v>183</v>
      </c>
      <c r="BI8" s="1" t="n">
        <v>8</v>
      </c>
      <c r="BJ8" s="1" t="n">
        <v>281.35</v>
      </c>
      <c r="BL8" s="1" t="n">
        <v>1153.45</v>
      </c>
      <c r="BM8" s="1" t="n">
        <v>1.7</v>
      </c>
      <c r="BN8" s="1" t="n">
        <v>24.65</v>
      </c>
      <c r="BP8" s="1" t="n">
        <v>114.15</v>
      </c>
      <c r="BQ8" s="1" t="n">
        <v>1.05</v>
      </c>
      <c r="BR8" s="1" t="n">
        <v>0.45</v>
      </c>
      <c r="BV8" s="1" t="n">
        <v>365</v>
      </c>
      <c r="BY8" s="1" t="n">
        <v>2</v>
      </c>
      <c r="BZ8" s="1" t="n">
        <v>5</v>
      </c>
      <c r="CA8" s="1" t="n">
        <v>46591</v>
      </c>
      <c r="CE8" s="1" t="n">
        <v>35</v>
      </c>
      <c r="CH8" s="1" t="n">
        <v>10</v>
      </c>
    </row>
    <row r="9" customFormat="false" ht="12.75" hidden="false" customHeight="false" outlineLevel="0" collapsed="false">
      <c r="A9" s="1" t="n">
        <v>2012</v>
      </c>
      <c r="B9" s="1" t="n">
        <v>1</v>
      </c>
      <c r="D9" s="1" t="n">
        <v>64</v>
      </c>
      <c r="E9" s="1" t="n">
        <v>14</v>
      </c>
      <c r="F9" s="1" t="n">
        <v>6</v>
      </c>
      <c r="H9" s="1" t="n">
        <v>17643</v>
      </c>
      <c r="J9" s="1" t="n">
        <v>119</v>
      </c>
      <c r="K9" s="1" t="n">
        <v>35</v>
      </c>
      <c r="M9" s="1" t="n">
        <v>26385</v>
      </c>
      <c r="N9" s="1" t="n">
        <v>2</v>
      </c>
      <c r="O9" s="1" t="n">
        <v>131</v>
      </c>
      <c r="P9" s="1" t="n">
        <v>124</v>
      </c>
      <c r="Q9" s="1" t="n">
        <v>1</v>
      </c>
      <c r="R9" s="1" t="n">
        <v>23514</v>
      </c>
      <c r="T9" s="1" t="n">
        <v>8</v>
      </c>
      <c r="U9" s="1" t="n">
        <v>456</v>
      </c>
      <c r="V9" s="1" t="n">
        <v>569</v>
      </c>
      <c r="Y9" s="1" t="n">
        <v>908</v>
      </c>
      <c r="Z9" s="1" t="n">
        <v>1</v>
      </c>
      <c r="AA9" s="1" t="n">
        <v>1400</v>
      </c>
      <c r="AD9" s="1" t="n">
        <v>9792</v>
      </c>
      <c r="AE9" s="1" t="n">
        <v>2</v>
      </c>
      <c r="AF9" s="1" t="n">
        <v>12369</v>
      </c>
      <c r="AI9" s="1" t="n">
        <v>5860</v>
      </c>
      <c r="AK9" s="1" t="n">
        <v>50</v>
      </c>
      <c r="AM9" s="1" t="n">
        <v>532</v>
      </c>
      <c r="AO9" s="1" t="n">
        <v>6</v>
      </c>
      <c r="AP9" s="1" t="n">
        <v>335</v>
      </c>
      <c r="AQ9" s="1" t="n">
        <v>1</v>
      </c>
      <c r="AR9" s="1" t="n">
        <v>1</v>
      </c>
      <c r="AS9" s="1" t="n">
        <v>126</v>
      </c>
      <c r="AT9" s="1" t="n">
        <v>1</v>
      </c>
      <c r="AU9" s="1" t="n">
        <v>412</v>
      </c>
      <c r="AV9" s="1" t="n">
        <v>1</v>
      </c>
      <c r="AW9" s="1" t="n">
        <v>343</v>
      </c>
      <c r="AX9" s="1" t="n">
        <v>6</v>
      </c>
      <c r="AY9" s="1" t="n">
        <v>112</v>
      </c>
      <c r="BA9" s="1" t="n">
        <v>62</v>
      </c>
      <c r="BB9" s="1" t="n">
        <v>69</v>
      </c>
      <c r="BD9" s="1" t="n">
        <v>219</v>
      </c>
      <c r="BE9" s="1" t="n">
        <v>523</v>
      </c>
      <c r="BF9" s="1" t="n">
        <v>15</v>
      </c>
      <c r="BG9" s="1" t="n">
        <v>163</v>
      </c>
      <c r="BH9" s="1" t="n">
        <v>213</v>
      </c>
      <c r="BJ9" s="1" t="n">
        <v>272</v>
      </c>
      <c r="BL9" s="1" t="n">
        <v>848.300000000001</v>
      </c>
      <c r="BM9" s="1" t="n">
        <v>2.55</v>
      </c>
      <c r="BN9" s="1" t="n">
        <v>10.2</v>
      </c>
      <c r="BP9" s="1" t="n">
        <v>230.7</v>
      </c>
      <c r="BQ9" s="1" t="n">
        <v>2.1</v>
      </c>
      <c r="BR9" s="1" t="n">
        <v>2.7</v>
      </c>
      <c r="BT9" s="1" t="n">
        <v>6</v>
      </c>
      <c r="BU9" s="1" t="n">
        <v>4</v>
      </c>
      <c r="BV9" s="1" t="n">
        <v>398</v>
      </c>
      <c r="BX9" s="1" t="n">
        <v>1</v>
      </c>
      <c r="BY9" s="1" t="n">
        <v>61</v>
      </c>
      <c r="CA9" s="1" t="n">
        <v>34545</v>
      </c>
      <c r="CB9" s="1" t="n">
        <v>2</v>
      </c>
      <c r="CE9" s="1" t="n">
        <v>11</v>
      </c>
      <c r="CH9" s="1" t="n">
        <v>31</v>
      </c>
    </row>
    <row r="10" customFormat="false" ht="12.75" hidden="false" customHeight="false" outlineLevel="0" collapsed="false">
      <c r="A10" s="1" t="n">
        <v>2011</v>
      </c>
      <c r="B10" s="1" t="n">
        <v>1</v>
      </c>
      <c r="D10" s="1" t="n">
        <v>172</v>
      </c>
      <c r="E10" s="1" t="n">
        <v>5</v>
      </c>
      <c r="F10" s="1" t="n">
        <v>18</v>
      </c>
      <c r="G10" s="1" t="n">
        <v>1</v>
      </c>
      <c r="H10" s="1" t="n">
        <v>16182</v>
      </c>
      <c r="I10" s="1" t="n">
        <v>1</v>
      </c>
      <c r="J10" s="1" t="n">
        <v>40</v>
      </c>
      <c r="K10" s="1" t="n">
        <v>100</v>
      </c>
      <c r="M10" s="1" t="n">
        <v>33938</v>
      </c>
      <c r="N10" s="1" t="n">
        <v>3</v>
      </c>
      <c r="O10" s="1" t="n">
        <v>129</v>
      </c>
      <c r="P10" s="1" t="n">
        <v>81</v>
      </c>
      <c r="Q10" s="1" t="n">
        <v>1</v>
      </c>
      <c r="R10" s="1" t="n">
        <v>22476</v>
      </c>
      <c r="S10" s="1" t="n">
        <v>3</v>
      </c>
      <c r="T10" s="1" t="n">
        <v>67</v>
      </c>
      <c r="U10" s="1" t="n">
        <v>586</v>
      </c>
      <c r="V10" s="1" t="n">
        <v>246</v>
      </c>
      <c r="Y10" s="1" t="n">
        <v>696</v>
      </c>
      <c r="AA10" s="1" t="n">
        <v>2066</v>
      </c>
      <c r="AB10" s="1" t="n">
        <v>1</v>
      </c>
      <c r="AD10" s="1" t="n">
        <v>7033</v>
      </c>
      <c r="AF10" s="1" t="n">
        <v>11933</v>
      </c>
      <c r="AG10" s="1" t="n">
        <v>2</v>
      </c>
      <c r="AH10" s="1" t="n">
        <v>1</v>
      </c>
      <c r="AI10" s="1" t="n">
        <v>4794</v>
      </c>
      <c r="AK10" s="1" t="n">
        <v>50</v>
      </c>
      <c r="AM10" s="1" t="n">
        <v>688</v>
      </c>
      <c r="AO10" s="1" t="n">
        <v>4</v>
      </c>
      <c r="AP10" s="1" t="n">
        <v>607</v>
      </c>
      <c r="AR10" s="1" t="n">
        <v>4</v>
      </c>
      <c r="AS10" s="1" t="n">
        <v>81</v>
      </c>
      <c r="AU10" s="1" t="n">
        <v>304</v>
      </c>
      <c r="AV10" s="1" t="n">
        <v>1</v>
      </c>
      <c r="AW10" s="1" t="n">
        <v>311</v>
      </c>
      <c r="AX10" s="1" t="n">
        <v>4</v>
      </c>
      <c r="AY10" s="1" t="n">
        <v>9</v>
      </c>
      <c r="BA10" s="1" t="n">
        <v>13</v>
      </c>
      <c r="BB10" s="1" t="n">
        <v>36</v>
      </c>
      <c r="BD10" s="1" t="n">
        <v>243</v>
      </c>
      <c r="BE10" s="1" t="n">
        <v>338</v>
      </c>
      <c r="BF10" s="1" t="n">
        <v>28</v>
      </c>
      <c r="BG10" s="1" t="n">
        <v>159</v>
      </c>
      <c r="BH10" s="1" t="n">
        <v>180</v>
      </c>
      <c r="BI10" s="1" t="n">
        <v>2</v>
      </c>
      <c r="BJ10" s="1" t="n">
        <v>165.75</v>
      </c>
      <c r="BK10" s="1" t="n">
        <v>2.55</v>
      </c>
      <c r="BL10" s="1" t="n">
        <v>935.000000000001</v>
      </c>
      <c r="BM10" s="1" t="n">
        <v>4.25</v>
      </c>
      <c r="BN10" s="1" t="n">
        <v>4.25</v>
      </c>
      <c r="BP10" s="1" t="n">
        <v>194.25</v>
      </c>
      <c r="BQ10" s="1" t="n">
        <v>1.2</v>
      </c>
      <c r="BR10" s="1" t="n">
        <v>0.75</v>
      </c>
      <c r="BV10" s="1" t="n">
        <v>318</v>
      </c>
      <c r="BY10" s="1" t="n">
        <v>5</v>
      </c>
      <c r="BZ10" s="1" t="n">
        <v>1</v>
      </c>
      <c r="CA10" s="1" t="n">
        <v>36287</v>
      </c>
      <c r="CB10" s="1" t="n">
        <v>2</v>
      </c>
      <c r="CE10" s="1" t="n">
        <v>4</v>
      </c>
      <c r="CH10" s="1" t="n">
        <v>1</v>
      </c>
    </row>
    <row r="11" customFormat="false" ht="12.75" hidden="false" customHeight="false" outlineLevel="0" collapsed="false">
      <c r="A11" s="1" t="n">
        <v>2010</v>
      </c>
      <c r="B11" s="1" t="n">
        <v>3</v>
      </c>
      <c r="D11" s="1" t="n">
        <v>11</v>
      </c>
      <c r="E11" s="1" t="n">
        <v>1</v>
      </c>
      <c r="F11" s="1" t="n">
        <v>15</v>
      </c>
      <c r="H11" s="1" t="n">
        <v>11486</v>
      </c>
      <c r="I11" s="1" t="n">
        <v>3</v>
      </c>
      <c r="J11" s="1" t="n">
        <v>259</v>
      </c>
      <c r="K11" s="1" t="n">
        <v>116</v>
      </c>
      <c r="M11" s="1" t="n">
        <v>17566</v>
      </c>
      <c r="O11" s="1" t="n">
        <v>517</v>
      </c>
      <c r="P11" s="1" t="n">
        <v>135</v>
      </c>
      <c r="Q11" s="1" t="n">
        <v>2</v>
      </c>
      <c r="R11" s="1" t="n">
        <v>25762</v>
      </c>
      <c r="S11" s="1" t="n">
        <v>1</v>
      </c>
      <c r="T11" s="1" t="n">
        <v>377</v>
      </c>
      <c r="U11" s="1" t="n">
        <v>758</v>
      </c>
      <c r="V11" s="1" t="n">
        <v>184</v>
      </c>
      <c r="Y11" s="1" t="n">
        <v>914</v>
      </c>
      <c r="AA11" s="1" t="n">
        <v>1114</v>
      </c>
      <c r="AC11" s="1" t="n">
        <v>2</v>
      </c>
      <c r="AD11" s="1" t="n">
        <v>9413</v>
      </c>
      <c r="AF11" s="1" t="n">
        <v>13738</v>
      </c>
      <c r="AG11" s="1" t="n">
        <v>1</v>
      </c>
      <c r="AH11" s="1" t="n">
        <v>71</v>
      </c>
      <c r="AI11" s="1" t="n">
        <v>4665</v>
      </c>
      <c r="AK11" s="1" t="n">
        <v>72</v>
      </c>
      <c r="AM11" s="1" t="n">
        <v>962</v>
      </c>
      <c r="AO11" s="1" t="n">
        <v>5</v>
      </c>
      <c r="AP11" s="1" t="n">
        <v>450</v>
      </c>
      <c r="AR11" s="1" t="n">
        <v>2</v>
      </c>
      <c r="AS11" s="1" t="n">
        <v>125</v>
      </c>
      <c r="AT11" s="1" t="n">
        <v>3</v>
      </c>
      <c r="AU11" s="1" t="n">
        <v>243</v>
      </c>
      <c r="AV11" s="1" t="n">
        <v>1</v>
      </c>
      <c r="AW11" s="1" t="n">
        <v>80</v>
      </c>
      <c r="AX11" s="1" t="n">
        <v>1</v>
      </c>
      <c r="AY11" s="1" t="n">
        <v>34</v>
      </c>
      <c r="BA11" s="1" t="n">
        <v>22</v>
      </c>
      <c r="BB11" s="1" t="n">
        <v>12</v>
      </c>
      <c r="BD11" s="1" t="n">
        <v>217</v>
      </c>
      <c r="BE11" s="1" t="n">
        <v>343</v>
      </c>
      <c r="BF11" s="1" t="n">
        <v>34</v>
      </c>
      <c r="BG11" s="1" t="n">
        <v>96</v>
      </c>
      <c r="BH11" s="1" t="n">
        <v>75</v>
      </c>
      <c r="BJ11" s="1" t="n">
        <v>285.6</v>
      </c>
      <c r="BK11" s="1" t="n">
        <v>1.7</v>
      </c>
      <c r="BL11" s="1" t="n">
        <v>1021.7</v>
      </c>
      <c r="BM11" s="1" t="n">
        <v>10.2</v>
      </c>
      <c r="BN11" s="1" t="n">
        <v>15.3</v>
      </c>
      <c r="BP11" s="1" t="n">
        <v>197.7</v>
      </c>
      <c r="BQ11" s="1" t="n">
        <v>0.45</v>
      </c>
      <c r="BR11" s="1" t="n">
        <v>1.8</v>
      </c>
      <c r="BV11" s="1" t="n">
        <v>50</v>
      </c>
      <c r="BY11" s="1" t="n">
        <v>6</v>
      </c>
      <c r="BZ11" s="1" t="n">
        <v>1</v>
      </c>
      <c r="CA11" s="1" t="n">
        <v>22764</v>
      </c>
      <c r="CE11" s="1" t="n">
        <v>5</v>
      </c>
      <c r="CG11" s="1" t="n">
        <v>1</v>
      </c>
      <c r="CH11" s="1" t="n">
        <v>3</v>
      </c>
    </row>
    <row r="12" customFormat="false" ht="12.75" hidden="false" customHeight="false" outlineLevel="0" collapsed="false">
      <c r="A12" s="1" t="n">
        <v>2009</v>
      </c>
      <c r="B12" s="1" t="n">
        <v>2</v>
      </c>
      <c r="D12" s="1" t="n">
        <v>9</v>
      </c>
      <c r="F12" s="1" t="n">
        <v>46</v>
      </c>
      <c r="H12" s="1" t="n">
        <v>16179</v>
      </c>
      <c r="I12" s="1" t="n">
        <v>2</v>
      </c>
      <c r="J12" s="1" t="n">
        <v>2</v>
      </c>
      <c r="K12" s="1" t="n">
        <v>125</v>
      </c>
      <c r="M12" s="1" t="n">
        <v>17772</v>
      </c>
      <c r="O12" s="1" t="n">
        <v>22</v>
      </c>
      <c r="P12" s="1" t="n">
        <v>604</v>
      </c>
      <c r="Q12" s="1" t="n">
        <v>4</v>
      </c>
      <c r="R12" s="1" t="n">
        <v>18996</v>
      </c>
      <c r="S12" s="1" t="n">
        <v>6</v>
      </c>
      <c r="T12" s="1" t="n">
        <v>1595</v>
      </c>
      <c r="U12" s="1" t="n">
        <v>344</v>
      </c>
      <c r="V12" s="1" t="n">
        <v>144</v>
      </c>
      <c r="Y12" s="1" t="n">
        <v>539</v>
      </c>
      <c r="AA12" s="1" t="n">
        <v>710</v>
      </c>
      <c r="AD12" s="1" t="n">
        <v>5850</v>
      </c>
      <c r="AF12" s="1" t="n">
        <v>11742</v>
      </c>
      <c r="AH12" s="1" t="n">
        <v>32</v>
      </c>
      <c r="AI12" s="1" t="n">
        <v>2385</v>
      </c>
      <c r="AK12" s="1" t="n">
        <v>39</v>
      </c>
      <c r="AM12" s="1" t="n">
        <v>567</v>
      </c>
      <c r="AO12" s="1" t="n">
        <v>5</v>
      </c>
      <c r="AP12" s="1" t="n">
        <v>404</v>
      </c>
      <c r="AR12" s="1" t="n">
        <v>1</v>
      </c>
      <c r="AS12" s="1" t="n">
        <v>226</v>
      </c>
      <c r="AT12" s="1" t="n">
        <v>3</v>
      </c>
      <c r="AU12" s="1" t="n">
        <v>256</v>
      </c>
      <c r="AW12" s="1" t="n">
        <v>119</v>
      </c>
      <c r="AX12" s="1" t="n">
        <v>1</v>
      </c>
      <c r="AY12" s="1" t="n">
        <v>9</v>
      </c>
      <c r="BA12" s="1" t="n">
        <v>17</v>
      </c>
      <c r="BB12" s="1" t="n">
        <v>15</v>
      </c>
      <c r="BD12" s="1" t="n">
        <v>176</v>
      </c>
      <c r="BE12" s="1" t="n">
        <v>206</v>
      </c>
      <c r="BF12" s="1" t="n">
        <v>31</v>
      </c>
      <c r="BG12" s="1" t="n">
        <v>92</v>
      </c>
      <c r="BH12" s="1" t="n">
        <v>58</v>
      </c>
      <c r="BJ12" s="1" t="n">
        <v>37.4</v>
      </c>
      <c r="BL12" s="1" t="n">
        <v>609.45</v>
      </c>
      <c r="BM12" s="1" t="n">
        <v>5.95</v>
      </c>
      <c r="BN12" s="1" t="n">
        <v>2.55</v>
      </c>
      <c r="BP12" s="1" t="n">
        <v>253.2</v>
      </c>
      <c r="BQ12" s="1" t="n">
        <v>0.3</v>
      </c>
      <c r="BR12" s="1" t="n">
        <v>4.35</v>
      </c>
      <c r="BV12" s="1" t="n">
        <v>65</v>
      </c>
      <c r="CA12" s="1" t="n">
        <v>18274</v>
      </c>
      <c r="CB12" s="1" t="n">
        <v>5</v>
      </c>
      <c r="CE12" s="1" t="n">
        <v>1</v>
      </c>
    </row>
    <row r="13" customFormat="false" ht="12.75" hidden="false" customHeight="false" outlineLevel="0" collapsed="false">
      <c r="A13" s="1" t="n">
        <v>2008</v>
      </c>
      <c r="B13" s="1" t="n">
        <v>1</v>
      </c>
      <c r="D13" s="1" t="n">
        <v>5</v>
      </c>
      <c r="F13" s="1" t="n">
        <v>91</v>
      </c>
      <c r="G13" s="1" t="n">
        <v>1</v>
      </c>
      <c r="H13" s="1" t="n">
        <v>13810</v>
      </c>
      <c r="I13" s="1" t="n">
        <v>1</v>
      </c>
      <c r="K13" s="1" t="n">
        <v>216</v>
      </c>
      <c r="L13" s="1" t="n">
        <v>1</v>
      </c>
      <c r="M13" s="1" t="n">
        <v>12778</v>
      </c>
      <c r="O13" s="1" t="n">
        <v>4</v>
      </c>
      <c r="P13" s="1" t="n">
        <v>929</v>
      </c>
      <c r="Q13" s="1" t="n">
        <v>6</v>
      </c>
      <c r="R13" s="1" t="n">
        <v>19637</v>
      </c>
      <c r="S13" s="1" t="n">
        <v>2</v>
      </c>
      <c r="T13" s="1" t="n">
        <v>147</v>
      </c>
      <c r="U13" s="1" t="n">
        <v>477</v>
      </c>
      <c r="V13" s="1" t="n">
        <v>234</v>
      </c>
      <c r="X13" s="1" t="n">
        <v>4</v>
      </c>
      <c r="Y13" s="1" t="n">
        <v>1075</v>
      </c>
      <c r="Z13" s="1" t="n">
        <v>1</v>
      </c>
      <c r="AA13" s="1" t="n">
        <v>1279</v>
      </c>
      <c r="AC13" s="1" t="n">
        <v>3</v>
      </c>
      <c r="AD13" s="1" t="n">
        <v>8180</v>
      </c>
      <c r="AE13" s="1" t="n">
        <v>1</v>
      </c>
      <c r="AF13" s="1" t="n">
        <v>13093</v>
      </c>
      <c r="AG13" s="1" t="n">
        <v>1</v>
      </c>
      <c r="AH13" s="1" t="n">
        <v>15</v>
      </c>
      <c r="AI13" s="1" t="n">
        <v>4624</v>
      </c>
      <c r="AK13" s="1" t="n">
        <v>58</v>
      </c>
      <c r="AL13" s="1" t="n">
        <v>1</v>
      </c>
      <c r="AM13" s="1" t="n">
        <v>767</v>
      </c>
      <c r="AO13" s="1" t="n">
        <v>10</v>
      </c>
      <c r="AP13" s="1" t="n">
        <v>590</v>
      </c>
      <c r="AR13" s="1" t="n">
        <v>3</v>
      </c>
      <c r="AS13" s="1" t="n">
        <v>237</v>
      </c>
      <c r="AT13" s="1" t="n">
        <v>3</v>
      </c>
      <c r="AU13" s="1" t="n">
        <v>421</v>
      </c>
      <c r="AV13" s="1" t="n">
        <v>3</v>
      </c>
      <c r="AW13" s="1" t="n">
        <v>216</v>
      </c>
      <c r="AX13" s="1" t="n">
        <v>2</v>
      </c>
      <c r="AY13" s="1" t="n">
        <v>27</v>
      </c>
      <c r="BA13" s="1" t="n">
        <v>72</v>
      </c>
      <c r="BB13" s="1" t="n">
        <v>31</v>
      </c>
      <c r="BD13" s="1" t="n">
        <v>207</v>
      </c>
      <c r="BE13" s="1" t="n">
        <v>162</v>
      </c>
      <c r="BF13" s="1" t="n">
        <v>115</v>
      </c>
      <c r="BG13" s="1" t="n">
        <v>134</v>
      </c>
      <c r="BH13" s="1" t="n">
        <v>71</v>
      </c>
      <c r="BI13" s="1" t="n">
        <v>1</v>
      </c>
      <c r="BJ13" s="1" t="n">
        <v>107.95</v>
      </c>
      <c r="BL13" s="1" t="n">
        <v>1017.45</v>
      </c>
      <c r="BM13" s="1" t="n">
        <v>9.35</v>
      </c>
      <c r="BN13" s="1" t="n">
        <v>16.15</v>
      </c>
      <c r="BP13" s="1" t="n">
        <v>220.05</v>
      </c>
      <c r="BQ13" s="1" t="n">
        <v>1.8</v>
      </c>
      <c r="BR13" s="1" t="n">
        <v>12</v>
      </c>
      <c r="BV13" s="1" t="n">
        <v>100</v>
      </c>
      <c r="BY13" s="1" t="n">
        <v>2</v>
      </c>
      <c r="CA13" s="1" t="n">
        <v>14436</v>
      </c>
      <c r="CB13" s="1" t="n">
        <v>1</v>
      </c>
    </row>
    <row r="14" customFormat="false" ht="12.75" hidden="false" customHeight="false" outlineLevel="0" collapsed="false">
      <c r="A14" s="1" t="n">
        <v>2007</v>
      </c>
      <c r="B14" s="1" t="n">
        <v>2</v>
      </c>
      <c r="D14" s="1" t="n">
        <v>13</v>
      </c>
      <c r="F14" s="1" t="n">
        <v>125</v>
      </c>
      <c r="G14" s="1" t="n">
        <v>1</v>
      </c>
      <c r="H14" s="1" t="n">
        <v>16222</v>
      </c>
      <c r="I14" s="1" t="n">
        <v>9</v>
      </c>
      <c r="K14" s="1" t="n">
        <v>196</v>
      </c>
      <c r="M14" s="1" t="n">
        <v>13904</v>
      </c>
      <c r="P14" s="1" t="n">
        <v>955</v>
      </c>
      <c r="R14" s="1" t="n">
        <v>11998</v>
      </c>
      <c r="S14" s="1" t="n">
        <v>1</v>
      </c>
      <c r="T14" s="1" t="n">
        <v>1</v>
      </c>
      <c r="U14" s="1" t="n">
        <v>295</v>
      </c>
      <c r="V14" s="1" t="n">
        <v>207</v>
      </c>
      <c r="Y14" s="1" t="n">
        <v>815</v>
      </c>
      <c r="AA14" s="1" t="n">
        <v>1780</v>
      </c>
      <c r="AB14" s="1" t="n">
        <v>2</v>
      </c>
      <c r="AD14" s="1" t="n">
        <v>3603</v>
      </c>
      <c r="AF14" s="1" t="n">
        <v>11246</v>
      </c>
      <c r="AG14" s="1" t="n">
        <v>1</v>
      </c>
      <c r="AI14" s="1" t="n">
        <v>4223</v>
      </c>
      <c r="AJ14" s="1" t="n">
        <v>1</v>
      </c>
      <c r="AK14" s="1" t="n">
        <v>60</v>
      </c>
      <c r="AM14" s="1" t="n">
        <v>616</v>
      </c>
      <c r="AO14" s="1" t="n">
        <v>4</v>
      </c>
      <c r="AP14" s="1" t="n">
        <v>550</v>
      </c>
      <c r="AR14" s="1" t="n">
        <v>2</v>
      </c>
      <c r="AS14" s="1" t="n">
        <v>152</v>
      </c>
      <c r="AT14" s="1" t="n">
        <v>3</v>
      </c>
      <c r="AU14" s="1" t="n">
        <v>252</v>
      </c>
      <c r="AV14" s="1" t="n">
        <v>3</v>
      </c>
      <c r="AW14" s="1" t="n">
        <v>112</v>
      </c>
      <c r="AX14" s="1" t="n">
        <v>2</v>
      </c>
      <c r="AY14" s="1" t="n">
        <v>7</v>
      </c>
      <c r="BA14" s="1" t="n">
        <v>45</v>
      </c>
      <c r="BB14" s="1" t="n">
        <v>23</v>
      </c>
      <c r="BD14" s="1" t="n">
        <v>143</v>
      </c>
      <c r="BE14" s="1" t="n">
        <v>119</v>
      </c>
      <c r="BF14" s="1" t="n">
        <v>80</v>
      </c>
      <c r="BG14" s="1" t="n">
        <v>54</v>
      </c>
      <c r="BH14" s="1" t="n">
        <v>49</v>
      </c>
      <c r="BJ14" s="1" t="n">
        <v>43.35</v>
      </c>
      <c r="BK14" s="1" t="n">
        <v>0.85</v>
      </c>
      <c r="BL14" s="1" t="n">
        <v>918.000000000001</v>
      </c>
      <c r="BM14" s="1" t="n">
        <v>6.8</v>
      </c>
      <c r="BN14" s="1" t="n">
        <v>1.7</v>
      </c>
      <c r="BP14" s="1" t="n">
        <v>237.9</v>
      </c>
      <c r="BQ14" s="1" t="n">
        <v>1.8</v>
      </c>
      <c r="BR14" s="1" t="n">
        <v>10.8</v>
      </c>
      <c r="BV14" s="1" t="n">
        <v>92</v>
      </c>
      <c r="BY14" s="1" t="n">
        <v>2</v>
      </c>
      <c r="CA14" s="1" t="n">
        <v>12951</v>
      </c>
      <c r="CC14" s="1" t="n">
        <v>1</v>
      </c>
      <c r="CE14" s="1" t="n">
        <v>146</v>
      </c>
      <c r="CH14" s="1" t="n">
        <v>1</v>
      </c>
    </row>
    <row r="15" customFormat="false" ht="12.75" hidden="false" customHeight="false" outlineLevel="0" collapsed="false">
      <c r="A15" s="1" t="n">
        <v>2006</v>
      </c>
      <c r="D15" s="1" t="n">
        <v>51</v>
      </c>
      <c r="F15" s="1" t="n">
        <v>27</v>
      </c>
      <c r="H15" s="1" t="n">
        <v>13552</v>
      </c>
      <c r="I15" s="1" t="n">
        <v>17</v>
      </c>
      <c r="K15" s="1" t="n">
        <v>87</v>
      </c>
      <c r="L15" s="1" t="n">
        <v>1</v>
      </c>
      <c r="M15" s="1" t="n">
        <v>17057</v>
      </c>
      <c r="N15" s="1" t="n">
        <v>6</v>
      </c>
      <c r="O15" s="1" t="n">
        <v>1</v>
      </c>
      <c r="P15" s="1" t="n">
        <v>1365</v>
      </c>
      <c r="R15" s="1" t="n">
        <v>12471</v>
      </c>
      <c r="S15" s="1" t="n">
        <v>2</v>
      </c>
      <c r="T15" s="1" t="n">
        <v>1</v>
      </c>
      <c r="U15" s="1" t="n">
        <v>206</v>
      </c>
      <c r="V15" s="1" t="n">
        <v>197</v>
      </c>
      <c r="W15" s="1" t="n">
        <v>1</v>
      </c>
      <c r="Y15" s="1" t="n">
        <v>342</v>
      </c>
      <c r="AA15" s="1" t="n">
        <v>1521</v>
      </c>
      <c r="AD15" s="1" t="n">
        <v>2611</v>
      </c>
      <c r="AF15" s="1" t="n">
        <v>12755</v>
      </c>
      <c r="AG15" s="1" t="n">
        <v>1</v>
      </c>
      <c r="AI15" s="1" t="n">
        <v>4542</v>
      </c>
      <c r="AK15" s="1" t="n">
        <v>71</v>
      </c>
      <c r="AM15" s="1" t="n">
        <v>633</v>
      </c>
      <c r="AO15" s="1" t="n">
        <v>7</v>
      </c>
      <c r="AP15" s="1" t="n">
        <v>313</v>
      </c>
      <c r="AR15" s="1" t="n">
        <v>3</v>
      </c>
      <c r="AS15" s="1" t="n">
        <v>117</v>
      </c>
      <c r="AT15" s="1" t="n">
        <v>2</v>
      </c>
      <c r="AU15" s="1" t="n">
        <v>195</v>
      </c>
      <c r="AV15" s="1" t="n">
        <v>5</v>
      </c>
      <c r="AW15" s="1" t="n">
        <v>36</v>
      </c>
      <c r="AY15" s="1" t="n">
        <v>1</v>
      </c>
      <c r="BA15" s="1" t="n">
        <v>39</v>
      </c>
      <c r="BB15" s="1" t="n">
        <v>14</v>
      </c>
      <c r="BD15" s="1" t="n">
        <v>100</v>
      </c>
      <c r="BE15" s="1" t="n">
        <v>57</v>
      </c>
      <c r="BF15" s="1" t="n">
        <v>41</v>
      </c>
      <c r="BG15" s="1" t="n">
        <v>44</v>
      </c>
      <c r="BH15" s="1" t="n">
        <v>58</v>
      </c>
      <c r="BJ15" s="1" t="n">
        <v>189.55</v>
      </c>
      <c r="BL15" s="1" t="n">
        <v>729.3</v>
      </c>
      <c r="BM15" s="1" t="n">
        <v>7.65</v>
      </c>
      <c r="BN15" s="1" t="n">
        <v>7.65</v>
      </c>
      <c r="BP15" s="1" t="n">
        <v>179.1</v>
      </c>
      <c r="BQ15" s="1" t="n">
        <v>0.3</v>
      </c>
      <c r="BR15" s="1" t="n">
        <v>3</v>
      </c>
      <c r="BV15" s="1" t="n">
        <v>78</v>
      </c>
      <c r="BY15" s="1" t="n">
        <v>2</v>
      </c>
      <c r="CA15" s="1" t="n">
        <v>8597</v>
      </c>
      <c r="CB15" s="1" t="n">
        <v>2</v>
      </c>
      <c r="CE15" s="1" t="n">
        <v>834</v>
      </c>
      <c r="CF15" s="1" t="n">
        <v>1</v>
      </c>
    </row>
    <row r="16" customFormat="false" ht="12.75" hidden="false" customHeight="false" outlineLevel="0" collapsed="false">
      <c r="A16" s="1" t="n">
        <v>2005</v>
      </c>
      <c r="B16" s="1" t="n">
        <v>2</v>
      </c>
      <c r="D16" s="1" t="n">
        <v>10</v>
      </c>
      <c r="F16" s="1" t="n">
        <v>2</v>
      </c>
      <c r="H16" s="1" t="n">
        <v>1620</v>
      </c>
      <c r="I16" s="1" t="n">
        <v>1</v>
      </c>
      <c r="K16" s="1" t="n">
        <v>63</v>
      </c>
      <c r="M16" s="1" t="n">
        <v>25829</v>
      </c>
      <c r="P16" s="1" t="n">
        <v>1080</v>
      </c>
      <c r="R16" s="1" t="n">
        <v>8744</v>
      </c>
      <c r="S16" s="1" t="n">
        <v>5</v>
      </c>
      <c r="U16" s="1" t="n">
        <v>101</v>
      </c>
      <c r="V16" s="1" t="n">
        <v>429</v>
      </c>
      <c r="Y16" s="1" t="n">
        <v>232</v>
      </c>
      <c r="AA16" s="1" t="n">
        <v>906</v>
      </c>
      <c r="AD16" s="1" t="n">
        <v>2421</v>
      </c>
      <c r="AF16" s="1" t="n">
        <v>11361</v>
      </c>
      <c r="AG16" s="1" t="n">
        <v>4</v>
      </c>
      <c r="AH16" s="1" t="n">
        <v>1</v>
      </c>
      <c r="AI16" s="1" t="n">
        <v>3215</v>
      </c>
      <c r="AK16" s="1" t="n">
        <v>65</v>
      </c>
      <c r="AM16" s="1" t="n">
        <v>673</v>
      </c>
      <c r="AN16" s="1" t="n">
        <v>1</v>
      </c>
      <c r="AO16" s="1" t="n">
        <v>8</v>
      </c>
      <c r="AP16" s="1" t="n">
        <v>151</v>
      </c>
      <c r="AS16" s="1" t="n">
        <v>114</v>
      </c>
      <c r="AT16" s="1" t="n">
        <v>2</v>
      </c>
      <c r="AU16" s="1" t="n">
        <v>228</v>
      </c>
      <c r="AV16" s="1" t="n">
        <v>2</v>
      </c>
      <c r="AW16" s="1" t="n">
        <v>45</v>
      </c>
      <c r="AY16" s="1" t="n">
        <v>3</v>
      </c>
      <c r="BA16" s="1" t="n">
        <v>13</v>
      </c>
      <c r="BB16" s="1" t="n">
        <v>13</v>
      </c>
      <c r="BD16" s="1" t="n">
        <v>107</v>
      </c>
      <c r="BE16" s="1" t="n">
        <v>89</v>
      </c>
      <c r="BF16" s="1" t="n">
        <v>17</v>
      </c>
      <c r="BG16" s="1" t="n">
        <v>49</v>
      </c>
      <c r="BH16" s="1" t="n">
        <v>30</v>
      </c>
      <c r="BI16" s="1" t="n">
        <v>1</v>
      </c>
      <c r="BJ16" s="1" t="n">
        <v>368.9</v>
      </c>
      <c r="BK16" s="1" t="n">
        <v>0.85</v>
      </c>
      <c r="BL16" s="1" t="n">
        <v>901.000000000001</v>
      </c>
      <c r="BM16" s="1" t="n">
        <v>9.35</v>
      </c>
      <c r="BN16" s="1" t="n">
        <v>0.85</v>
      </c>
      <c r="BP16" s="1" t="n">
        <v>267</v>
      </c>
      <c r="BQ16" s="1" t="n">
        <v>0.6</v>
      </c>
      <c r="BR16" s="1" t="n">
        <v>11.7</v>
      </c>
      <c r="BV16" s="1" t="n">
        <v>55</v>
      </c>
      <c r="CA16" s="1" t="n">
        <v>8126</v>
      </c>
      <c r="CB16" s="1" t="n">
        <v>2</v>
      </c>
      <c r="CE16" s="1" t="n">
        <v>1079</v>
      </c>
      <c r="CH16" s="1" t="n">
        <v>1</v>
      </c>
    </row>
    <row r="17" customFormat="false" ht="12.75" hidden="false" customHeight="false" outlineLevel="0" collapsed="false">
      <c r="A17" s="1" t="n">
        <v>2004</v>
      </c>
      <c r="B17" s="1" t="n">
        <v>1</v>
      </c>
      <c r="D17" s="1" t="n">
        <v>10</v>
      </c>
      <c r="H17" s="1" t="n">
        <v>322</v>
      </c>
      <c r="K17" s="1" t="n">
        <v>46</v>
      </c>
      <c r="M17" s="1" t="n">
        <v>17829</v>
      </c>
      <c r="P17" s="1" t="n">
        <v>666</v>
      </c>
      <c r="R17" s="1" t="n">
        <v>7739</v>
      </c>
      <c r="U17" s="1" t="n">
        <v>112</v>
      </c>
      <c r="V17" s="1" t="n">
        <v>763</v>
      </c>
      <c r="Y17" s="1" t="n">
        <v>296</v>
      </c>
      <c r="AA17" s="1" t="n">
        <v>171</v>
      </c>
      <c r="AD17" s="1" t="n">
        <v>2084</v>
      </c>
      <c r="AF17" s="1" t="n">
        <v>10904</v>
      </c>
      <c r="AG17" s="1" t="n">
        <v>2</v>
      </c>
      <c r="AI17" s="1" t="n">
        <v>2494</v>
      </c>
      <c r="AK17" s="1" t="n">
        <v>58</v>
      </c>
      <c r="AM17" s="1" t="n">
        <v>710</v>
      </c>
      <c r="AO17" s="1" t="n">
        <v>12</v>
      </c>
      <c r="AP17" s="1" t="n">
        <v>66</v>
      </c>
      <c r="AS17" s="1" t="n">
        <v>178</v>
      </c>
      <c r="AT17" s="1" t="n">
        <v>4</v>
      </c>
      <c r="AU17" s="1" t="n">
        <v>112</v>
      </c>
      <c r="AV17" s="1" t="n">
        <v>2</v>
      </c>
      <c r="AW17" s="1" t="n">
        <v>34</v>
      </c>
      <c r="AX17" s="1" t="n">
        <v>1</v>
      </c>
      <c r="AY17" s="1" t="n">
        <v>3</v>
      </c>
      <c r="BA17" s="1" t="n">
        <v>6</v>
      </c>
      <c r="BB17" s="1" t="n">
        <v>3</v>
      </c>
      <c r="BD17" s="1" t="n">
        <v>74</v>
      </c>
      <c r="BE17" s="1" t="n">
        <v>55</v>
      </c>
      <c r="BF17" s="1" t="n">
        <v>20</v>
      </c>
      <c r="BG17" s="1" t="n">
        <v>25</v>
      </c>
      <c r="BH17" s="1" t="n">
        <v>5</v>
      </c>
      <c r="BJ17" s="1" t="n">
        <v>238.85</v>
      </c>
      <c r="BL17" s="1" t="n">
        <v>994.5</v>
      </c>
      <c r="BM17" s="1" t="n">
        <v>10.2</v>
      </c>
      <c r="BN17" s="1" t="n">
        <v>25.5</v>
      </c>
      <c r="BP17" s="1" t="n">
        <v>237.75</v>
      </c>
      <c r="BQ17" s="1" t="n">
        <v>0.6</v>
      </c>
      <c r="BR17" s="1" t="n">
        <v>21.75</v>
      </c>
      <c r="BS17" s="1" t="n">
        <v>0.15</v>
      </c>
      <c r="BV17" s="1" t="n">
        <v>30</v>
      </c>
      <c r="CA17" s="1" t="n">
        <v>3843</v>
      </c>
      <c r="CB17" s="1" t="n">
        <v>1</v>
      </c>
      <c r="CE17" s="1" t="n">
        <v>494</v>
      </c>
    </row>
    <row r="18" customFormat="false" ht="12.75" hidden="false" customHeight="false" outlineLevel="0" collapsed="false">
      <c r="D18" s="1" t="n">
        <f aca="false">SUM(D2:D17)</f>
        <v>3293</v>
      </c>
      <c r="H18" s="1" t="n">
        <f aca="false">SUM(H2:H17)</f>
        <v>189782</v>
      </c>
      <c r="M18" s="1" t="n">
        <f aca="false">SUM(M2:M17)</f>
        <v>342950</v>
      </c>
      <c r="P18" s="1" t="n">
        <v>86</v>
      </c>
      <c r="R18" s="1" t="n">
        <v>5891</v>
      </c>
      <c r="U18" s="1" t="n">
        <v>175</v>
      </c>
      <c r="V18" s="1" t="n">
        <v>725</v>
      </c>
      <c r="Y18" s="1" t="n">
        <v>208</v>
      </c>
      <c r="AA18" s="1" t="n">
        <v>190</v>
      </c>
      <c r="AD18" s="1" t="n">
        <v>1876</v>
      </c>
      <c r="AE18" s="1" t="n">
        <v>1</v>
      </c>
      <c r="AF18" s="1" t="n">
        <v>8886</v>
      </c>
      <c r="AI18" s="1" t="n">
        <v>1988</v>
      </c>
      <c r="AK18" s="1" t="n">
        <v>63</v>
      </c>
      <c r="AM18" s="1" t="n">
        <v>497</v>
      </c>
      <c r="AO18" s="1" t="n">
        <v>10</v>
      </c>
      <c r="AP18" s="1" t="n">
        <v>32</v>
      </c>
      <c r="AS18" s="1" t="n">
        <v>109</v>
      </c>
      <c r="AT18" s="1" t="n">
        <v>1</v>
      </c>
      <c r="AU18" s="1" t="n">
        <v>76</v>
      </c>
      <c r="AV18" s="1" t="n">
        <v>1</v>
      </c>
      <c r="AW18" s="1" t="n">
        <v>14</v>
      </c>
      <c r="AX18" s="1" t="n">
        <v>1</v>
      </c>
      <c r="AY18" s="1" t="n">
        <v>2</v>
      </c>
      <c r="BA18" s="1" t="n">
        <v>4</v>
      </c>
      <c r="BB18" s="1" t="n">
        <v>1</v>
      </c>
      <c r="BD18" s="1" t="n">
        <v>61</v>
      </c>
      <c r="BE18" s="1" t="n">
        <v>29</v>
      </c>
      <c r="BF18" s="1" t="n">
        <v>19</v>
      </c>
      <c r="BG18" s="1" t="n">
        <v>12</v>
      </c>
      <c r="BH18" s="1" t="n">
        <v>4</v>
      </c>
      <c r="BJ18" s="1" t="n">
        <v>87.55</v>
      </c>
      <c r="BL18" s="1" t="n">
        <v>957.1</v>
      </c>
      <c r="BM18" s="1" t="n">
        <v>11.05</v>
      </c>
      <c r="BN18" s="1" t="n">
        <v>29.75</v>
      </c>
      <c r="BO18" s="1" t="n">
        <v>0.85</v>
      </c>
      <c r="BP18" s="1" t="n">
        <v>79.0500000000001</v>
      </c>
      <c r="BQ18" s="1" t="n">
        <v>0.15</v>
      </c>
      <c r="BR18" s="1" t="n">
        <v>3</v>
      </c>
      <c r="BV18" s="1" t="n">
        <v>19</v>
      </c>
      <c r="CA18" s="1" t="n">
        <v>3085</v>
      </c>
      <c r="CB18" s="1" t="n">
        <v>2</v>
      </c>
      <c r="CE18" s="1" t="n">
        <v>449</v>
      </c>
    </row>
    <row r="19" customFormat="false" ht="12.75" hidden="false" customHeight="false" outlineLevel="0" collapsed="false">
      <c r="D19" s="77" t="n">
        <f aca="false">D18/N20*100</f>
        <v>0.614337017862973</v>
      </c>
      <c r="E19" s="77"/>
      <c r="F19" s="77"/>
      <c r="G19" s="77"/>
      <c r="H19" s="77" t="n">
        <f aca="false">H18/N20*100</f>
        <v>35.4054381791894</v>
      </c>
      <c r="I19" s="77"/>
      <c r="J19" s="77"/>
      <c r="K19" s="77"/>
      <c r="L19" s="77"/>
      <c r="M19" s="77" t="n">
        <f aca="false">M18/N20*100</f>
        <v>63.9802248029476</v>
      </c>
      <c r="N19" s="1" t="s">
        <v>24</v>
      </c>
      <c r="V19" s="1" t="n">
        <f aca="false">SUM(V2:V18)</f>
        <v>9472</v>
      </c>
      <c r="AA19" s="1" t="n">
        <f aca="false">SUM(AA2:AA18)</f>
        <v>14615</v>
      </c>
      <c r="AF19" s="1" t="n">
        <f aca="false">SUM(AF2:AF18)</f>
        <v>155068</v>
      </c>
    </row>
    <row r="20" customFormat="false" ht="12.75" hidden="false" customHeight="false" outlineLevel="0" collapsed="false">
      <c r="D20" s="1" t="n">
        <f aca="false">100-H20-M20</f>
        <v>100</v>
      </c>
      <c r="H20" s="1" t="n">
        <f aca="false">-M20</f>
        <v>-63</v>
      </c>
      <c r="M20" s="1" t="n">
        <v>63</v>
      </c>
      <c r="N20" s="1" t="n">
        <f aca="false">M18+H18+D18</f>
        <v>536025</v>
      </c>
      <c r="V20" s="78" t="n">
        <f aca="false">V19/AG20*100</f>
        <v>5.28704194691747</v>
      </c>
      <c r="W20" s="78"/>
      <c r="X20" s="78"/>
      <c r="Y20" s="78"/>
      <c r="Z20" s="78"/>
      <c r="AA20" s="78" t="n">
        <f aca="false">AA19/AG20*100</f>
        <v>8.15774050403282</v>
      </c>
      <c r="AB20" s="78"/>
      <c r="AC20" s="78"/>
      <c r="AD20" s="78"/>
      <c r="AE20" s="78"/>
      <c r="AF20" s="78" t="n">
        <f aca="false">AF19/AG20*100</f>
        <v>86.5552175490497</v>
      </c>
      <c r="AG20" s="1" t="n">
        <f aca="false">AF19+AA19+V19</f>
        <v>179155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2" activeCellId="0" sqref="A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1" width="11.29"/>
    <col collapsed="false" customWidth="true" hidden="false" outlineLevel="0" max="3" min="3" style="1" width="13.42"/>
    <col collapsed="false" customWidth="true" hidden="false" outlineLevel="0" max="4" min="4" style="1" width="14.86"/>
    <col collapsed="false" customWidth="true" hidden="false" outlineLevel="0" max="6" min="5" style="1" width="11.14"/>
    <col collapsed="false" customWidth="true" hidden="false" outlineLevel="0" max="7" min="7" style="1" width="13.29"/>
    <col collapsed="false" customWidth="true" hidden="false" outlineLevel="0" max="8" min="8" style="1" width="14.71"/>
    <col collapsed="false" customWidth="true" hidden="false" outlineLevel="0" max="9" min="9" style="1" width="11"/>
    <col collapsed="false" customWidth="true" hidden="false" outlineLevel="0" max="10" min="10" style="1" width="9.86"/>
    <col collapsed="false" customWidth="true" hidden="false" outlineLevel="0" max="11" min="11" style="1" width="14.57"/>
    <col collapsed="false" customWidth="true" hidden="false" outlineLevel="0" max="12" min="12" style="1" width="15"/>
    <col collapsed="false" customWidth="true" hidden="false" outlineLevel="0" max="13" min="13" style="1" width="17.29"/>
    <col collapsed="false" customWidth="true" hidden="false" outlineLevel="0" max="14" min="14" style="1" width="10.14"/>
    <col collapsed="false" customWidth="true" hidden="false" outlineLevel="0" max="15" min="15" style="1" width="10.71"/>
    <col collapsed="false" customWidth="true" hidden="false" outlineLevel="0" max="16" min="16" style="1" width="11.29"/>
    <col collapsed="false" customWidth="true" hidden="false" outlineLevel="0" max="17" min="17" style="1" width="10"/>
    <col collapsed="false" customWidth="true" hidden="false" outlineLevel="0" max="18" min="18" style="1" width="10.57"/>
    <col collapsed="false" customWidth="true" hidden="false" outlineLevel="0" max="19" min="19" style="1" width="11.14"/>
    <col collapsed="false" customWidth="true" hidden="false" outlineLevel="0" max="20" min="20" style="1" width="10.71"/>
    <col collapsed="false" customWidth="true" hidden="false" outlineLevel="0" max="21" min="21" style="1" width="8.57"/>
    <col collapsed="false" customWidth="true" hidden="false" outlineLevel="0" max="22" min="22" style="1" width="16.43"/>
    <col collapsed="false" customWidth="true" hidden="false" outlineLevel="0" max="23" min="23" style="1" width="19.42"/>
    <col collapsed="false" customWidth="true" hidden="false" outlineLevel="0" max="29" min="24" style="1" width="20.29"/>
    <col collapsed="false" customWidth="true" hidden="false" outlineLevel="0" max="30" min="30" style="1" width="17.42"/>
    <col collapsed="false" customWidth="true" hidden="false" outlineLevel="0" max="31" min="31" style="1" width="16.57"/>
    <col collapsed="false" customWidth="true" hidden="false" outlineLevel="0" max="32" min="32" style="1" width="19.57"/>
    <col collapsed="false" customWidth="true" hidden="false" outlineLevel="0" max="38" min="33" style="1" width="20.42"/>
    <col collapsed="false" customWidth="true" hidden="false" outlineLevel="0" max="39" min="39" style="1" width="17.57"/>
    <col collapsed="false" customWidth="true" hidden="false" outlineLevel="0" max="45" min="40" style="1" width="20.29"/>
    <col collapsed="false" customWidth="true" hidden="false" outlineLevel="0" max="46" min="46" style="1" width="14.71"/>
    <col collapsed="false" customWidth="true" hidden="false" outlineLevel="0" max="47" min="47" style="1" width="14"/>
    <col collapsed="false" customWidth="true" hidden="false" outlineLevel="0" max="48" min="48" style="1" width="16.84"/>
    <col collapsed="false" customWidth="true" hidden="false" outlineLevel="0" max="49" min="49" style="1" width="14"/>
    <col collapsed="false" customWidth="true" hidden="false" outlineLevel="0" max="50" min="50" style="1" width="14.14"/>
    <col collapsed="false" customWidth="true" hidden="false" outlineLevel="0" max="51" min="51" style="1" width="17"/>
    <col collapsed="false" customWidth="true" hidden="false" outlineLevel="0" max="52" min="52" style="1" width="14.14"/>
    <col collapsed="false" customWidth="true" hidden="false" outlineLevel="0" max="54" min="53" style="1" width="17.86"/>
    <col collapsed="false" customWidth="true" hidden="false" outlineLevel="0" max="56" min="55" style="1" width="18"/>
    <col collapsed="false" customWidth="true" hidden="false" outlineLevel="0" max="57" min="57" style="1" width="15.14"/>
    <col collapsed="false" customWidth="true" hidden="false" outlineLevel="0" max="58" min="58" style="1" width="11"/>
    <col collapsed="false" customWidth="true" hidden="false" outlineLevel="0" max="59" min="59" style="1" width="12.86"/>
    <col collapsed="false" customWidth="true" hidden="false" outlineLevel="0" max="60" min="60" style="1" width="16.71"/>
    <col collapsed="false" customWidth="true" hidden="false" outlineLevel="0" max="61" min="61" style="1" width="17.71"/>
    <col collapsed="false" customWidth="true" hidden="false" outlineLevel="0" max="62" min="62" style="1" width="13.86"/>
    <col collapsed="false" customWidth="true" hidden="false" outlineLevel="0" max="63" min="63" style="1" width="10"/>
  </cols>
  <sheetData>
    <row r="1" customFormat="false" ht="12.75" hidden="false" customHeight="false" outlineLevel="0" collapsed="false">
      <c r="A1" s="6" t="s">
        <v>443</v>
      </c>
      <c r="B1" s="6" t="s">
        <v>25</v>
      </c>
      <c r="C1" s="6" t="s">
        <v>35</v>
      </c>
      <c r="D1" s="6" t="s">
        <v>38</v>
      </c>
      <c r="E1" s="6" t="s">
        <v>43</v>
      </c>
      <c r="F1" s="6" t="s">
        <v>48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57</v>
      </c>
      <c r="L1" s="6" t="s">
        <v>60</v>
      </c>
      <c r="M1" s="6" t="s">
        <v>62</v>
      </c>
      <c r="N1" s="6" t="s">
        <v>67</v>
      </c>
      <c r="O1" s="6" t="s">
        <v>73</v>
      </c>
      <c r="P1" s="6" t="s">
        <v>77</v>
      </c>
      <c r="Q1" s="6" t="s">
        <v>81</v>
      </c>
      <c r="R1" s="6" t="s">
        <v>84</v>
      </c>
      <c r="S1" s="6" t="s">
        <v>86</v>
      </c>
      <c r="T1" s="6" t="s">
        <v>88</v>
      </c>
      <c r="U1" s="6" t="s">
        <v>90</v>
      </c>
      <c r="V1" s="6" t="s">
        <v>92</v>
      </c>
      <c r="W1" s="6" t="s">
        <v>100</v>
      </c>
      <c r="X1" s="6" t="s">
        <v>104</v>
      </c>
      <c r="Y1" s="6" t="s">
        <v>108</v>
      </c>
      <c r="Z1" s="6" t="s">
        <v>112</v>
      </c>
      <c r="AA1" s="6" t="s">
        <v>114</v>
      </c>
      <c r="AB1" s="6" t="s">
        <v>118</v>
      </c>
      <c r="AC1" s="6" t="s">
        <v>122</v>
      </c>
      <c r="AD1" s="1" t="s">
        <v>126</v>
      </c>
      <c r="AE1" s="1" t="s">
        <v>130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6" t="s">
        <v>144</v>
      </c>
      <c r="AP1" s="6" t="s">
        <v>147</v>
      </c>
      <c r="AQ1" s="1" t="s">
        <v>151</v>
      </c>
      <c r="AR1" s="1" t="s">
        <v>155</v>
      </c>
      <c r="AS1" s="1" t="s">
        <v>159</v>
      </c>
      <c r="AT1" s="1" t="s">
        <v>163</v>
      </c>
      <c r="AU1" s="1" t="s">
        <v>167</v>
      </c>
      <c r="AV1" s="1" t="s">
        <v>174</v>
      </c>
      <c r="AW1" s="1" t="s">
        <v>179</v>
      </c>
      <c r="AX1" s="1" t="s">
        <v>184</v>
      </c>
      <c r="AY1" s="1" t="s">
        <v>186</v>
      </c>
      <c r="AZ1" s="1" t="s">
        <v>187</v>
      </c>
      <c r="BA1" s="1" t="s">
        <v>188</v>
      </c>
      <c r="BB1" s="1" t="s">
        <v>192</v>
      </c>
      <c r="BC1" s="1" t="s">
        <v>196</v>
      </c>
      <c r="BD1" s="1" t="s">
        <v>197</v>
      </c>
      <c r="BE1" s="1" t="s">
        <v>198</v>
      </c>
      <c r="BF1" s="1" t="s">
        <v>201</v>
      </c>
      <c r="BG1" s="1" t="s">
        <v>205</v>
      </c>
      <c r="BH1" s="1" t="s">
        <v>215</v>
      </c>
      <c r="BI1" s="1" t="s">
        <v>220</v>
      </c>
      <c r="BJ1" s="1" t="s">
        <v>225</v>
      </c>
      <c r="BK1" s="1" t="s">
        <v>230</v>
      </c>
    </row>
    <row r="2" customFormat="false" ht="12.75" hidden="false" customHeight="false" outlineLevel="0" collapsed="false">
      <c r="A2" s="6" t="n">
        <v>2025</v>
      </c>
      <c r="B2" s="79" t="n">
        <f aca="false">im!C2/(im!C2+im!D2)</f>
        <v>0.983729990512526</v>
      </c>
      <c r="C2" s="79" t="n">
        <f aca="false">B2</f>
        <v>0.983729990512526</v>
      </c>
      <c r="D2" s="79" t="n">
        <f aca="false">B2</f>
        <v>0.983729990512526</v>
      </c>
      <c r="E2" s="79" t="n">
        <f aca="false">B2</f>
        <v>0.983729990512526</v>
      </c>
      <c r="F2" s="79" t="n">
        <f aca="false">im!I2/(im!I2+im!J2)</f>
        <v>0.937062937062937</v>
      </c>
      <c r="G2" s="79" t="n">
        <f aca="false">F2</f>
        <v>0.937062937062937</v>
      </c>
      <c r="H2" s="79" t="n">
        <f aca="false">F2</f>
        <v>0.937062937062937</v>
      </c>
      <c r="I2" s="79" t="n">
        <f aca="false">F2</f>
        <v>0.937062937062937</v>
      </c>
      <c r="J2" s="79" t="n">
        <v>1</v>
      </c>
      <c r="K2" s="79" t="n">
        <v>1</v>
      </c>
      <c r="L2" s="79" t="n">
        <f aca="false">B2</f>
        <v>0.983729990512526</v>
      </c>
      <c r="M2" s="79" t="n">
        <f aca="false">B2</f>
        <v>0.983729990512526</v>
      </c>
      <c r="N2" s="79" t="n">
        <f aca="false">B2</f>
        <v>0.983729990512526</v>
      </c>
      <c r="O2" s="79" t="n">
        <f aca="false">B2</f>
        <v>0.983729990512526</v>
      </c>
      <c r="P2" s="79" t="n">
        <f aca="false">B2</f>
        <v>0.983729990512526</v>
      </c>
      <c r="Q2" s="80" t="n">
        <f aca="false">F2</f>
        <v>0.937062937062937</v>
      </c>
      <c r="R2" s="80" t="n">
        <f aca="false">F2</f>
        <v>0.937062937062937</v>
      </c>
      <c r="S2" s="80" t="n">
        <f aca="false">F2</f>
        <v>0.937062937062937</v>
      </c>
      <c r="T2" s="80" t="n">
        <v>1</v>
      </c>
      <c r="U2" s="80" t="n">
        <v>1</v>
      </c>
      <c r="V2" s="80" t="n">
        <f aca="false">F2</f>
        <v>0.937062937062937</v>
      </c>
      <c r="W2" s="80" t="n">
        <f aca="false">F2</f>
        <v>0.937062937062937</v>
      </c>
      <c r="X2" s="80" t="n">
        <f aca="false">F2</f>
        <v>0.937062937062937</v>
      </c>
      <c r="Y2" s="80" t="n">
        <f aca="false">F2</f>
        <v>0.937062937062937</v>
      </c>
      <c r="Z2" s="80" t="n">
        <f aca="false">F2</f>
        <v>0.937062937062937</v>
      </c>
      <c r="AA2" s="80" t="n">
        <f aca="false">F2</f>
        <v>0.937062937062937</v>
      </c>
      <c r="AB2" s="80" t="n">
        <f aca="false">F2</f>
        <v>0.937062937062937</v>
      </c>
      <c r="AC2" s="80" t="n">
        <f aca="false">F2</f>
        <v>0.937062937062937</v>
      </c>
      <c r="AD2" s="80" t="n">
        <f aca="false">F2</f>
        <v>0.937062937062937</v>
      </c>
      <c r="AE2" s="79" t="n">
        <f aca="false">B2</f>
        <v>0.983729990512526</v>
      </c>
      <c r="AF2" s="79" t="n">
        <f aca="false">B2</f>
        <v>0.983729990512526</v>
      </c>
      <c r="AG2" s="79" t="n">
        <f aca="false">B2</f>
        <v>0.983729990512526</v>
      </c>
      <c r="AH2" s="79" t="n">
        <f aca="false">B2</f>
        <v>0.983729990512526</v>
      </c>
      <c r="AI2" s="79" t="n">
        <f aca="false">B2</f>
        <v>0.983729990512526</v>
      </c>
      <c r="AJ2" s="79" t="n">
        <f aca="false">B2</f>
        <v>0.983729990512526</v>
      </c>
      <c r="AK2" s="79" t="n">
        <f aca="false">B2</f>
        <v>0.983729990512526</v>
      </c>
      <c r="AL2" s="79" t="n">
        <f aca="false">B2</f>
        <v>0.983729990512526</v>
      </c>
      <c r="AM2" s="79" t="n">
        <f aca="false">B2</f>
        <v>0.983729990512526</v>
      </c>
      <c r="AN2" s="80" t="n">
        <f aca="false">F2</f>
        <v>0.937062937062937</v>
      </c>
      <c r="AO2" s="80" t="n">
        <f aca="false">F2</f>
        <v>0.937062937062937</v>
      </c>
      <c r="AP2" s="80" t="n">
        <f aca="false">F2</f>
        <v>0.937062937062937</v>
      </c>
      <c r="AQ2" s="80" t="n">
        <f aca="false">F2</f>
        <v>0.937062937062937</v>
      </c>
      <c r="AR2" s="80" t="n">
        <f aca="false">F2</f>
        <v>0.937062937062937</v>
      </c>
      <c r="AS2" s="80" t="n">
        <f aca="false">F2</f>
        <v>0.937062937062937</v>
      </c>
      <c r="AT2" s="80" t="n">
        <v>1</v>
      </c>
      <c r="AU2" s="80" t="n">
        <f aca="false">F2</f>
        <v>0.937062937062937</v>
      </c>
      <c r="AV2" s="80" t="n">
        <f aca="false">F2</f>
        <v>0.937062937062937</v>
      </c>
      <c r="AW2" s="80" t="n">
        <f aca="false">F2</f>
        <v>0.937062937062937</v>
      </c>
      <c r="AX2" s="79" t="n">
        <f aca="false">B2</f>
        <v>0.983729990512526</v>
      </c>
      <c r="AY2" s="79" t="n">
        <f aca="false">B2</f>
        <v>0.983729990512526</v>
      </c>
      <c r="AZ2" s="79" t="n">
        <f aca="false">B2</f>
        <v>0.983729990512526</v>
      </c>
      <c r="BA2" s="80" t="n">
        <f aca="false">F2</f>
        <v>0.937062937062937</v>
      </c>
      <c r="BB2" s="80" t="n">
        <f aca="false">F2</f>
        <v>0.937062937062937</v>
      </c>
      <c r="BC2" s="79" t="n">
        <f aca="false">B2</f>
        <v>0.983729990512526</v>
      </c>
      <c r="BD2" s="79" t="n">
        <f aca="false">B2</f>
        <v>0.983729990512526</v>
      </c>
      <c r="BE2" s="80" t="n">
        <v>1</v>
      </c>
      <c r="BF2" s="80" t="n">
        <v>1</v>
      </c>
      <c r="BG2" s="79" t="n">
        <f aca="false">B2</f>
        <v>0.983729990512526</v>
      </c>
      <c r="BH2" s="79" t="n">
        <f aca="false">B2</f>
        <v>0.983729990512526</v>
      </c>
      <c r="BI2" s="79" t="n">
        <f aca="false">B2</f>
        <v>0.983729990512526</v>
      </c>
      <c r="BJ2" s="79" t="n">
        <f aca="false">B2</f>
        <v>0.983729990512526</v>
      </c>
      <c r="BK2" s="80" t="n">
        <v>1</v>
      </c>
    </row>
    <row r="3" customFormat="false" ht="12.75" hidden="false" customHeight="false" outlineLevel="0" collapsed="false">
      <c r="A3" s="6" t="n">
        <v>2024</v>
      </c>
      <c r="B3" s="79" t="n">
        <f aca="false">im!C3/(im!C3+im!D3)</f>
        <v>0.983729990512526</v>
      </c>
      <c r="C3" s="79" t="n">
        <f aca="false">B3</f>
        <v>0.983729990512526</v>
      </c>
      <c r="D3" s="79" t="n">
        <f aca="false">B3</f>
        <v>0.983729990512526</v>
      </c>
      <c r="E3" s="79" t="n">
        <f aca="false">B3</f>
        <v>0.983729990512526</v>
      </c>
      <c r="F3" s="79" t="n">
        <f aca="false">im!I3/(im!I3+im!J3)</f>
        <v>0.937062937062937</v>
      </c>
      <c r="G3" s="79" t="n">
        <f aca="false">F3</f>
        <v>0.937062937062937</v>
      </c>
      <c r="H3" s="79" t="n">
        <f aca="false">F3</f>
        <v>0.937062937062937</v>
      </c>
      <c r="I3" s="79" t="n">
        <f aca="false">F3</f>
        <v>0.937062937062937</v>
      </c>
      <c r="J3" s="79" t="n">
        <v>1</v>
      </c>
      <c r="K3" s="79" t="n">
        <v>1</v>
      </c>
      <c r="L3" s="79" t="n">
        <f aca="false">B3</f>
        <v>0.983729990512526</v>
      </c>
      <c r="M3" s="79" t="n">
        <f aca="false">B3</f>
        <v>0.983729990512526</v>
      </c>
      <c r="N3" s="79" t="n">
        <f aca="false">B3</f>
        <v>0.983729990512526</v>
      </c>
      <c r="O3" s="79" t="n">
        <f aca="false">B3</f>
        <v>0.983729990512526</v>
      </c>
      <c r="P3" s="79" t="n">
        <f aca="false">B3</f>
        <v>0.983729990512526</v>
      </c>
      <c r="Q3" s="80" t="n">
        <f aca="false">F3</f>
        <v>0.937062937062937</v>
      </c>
      <c r="R3" s="80" t="n">
        <f aca="false">F3</f>
        <v>0.937062937062937</v>
      </c>
      <c r="S3" s="80" t="n">
        <f aca="false">F3</f>
        <v>0.937062937062937</v>
      </c>
      <c r="T3" s="80" t="n">
        <v>1</v>
      </c>
      <c r="U3" s="80" t="n">
        <v>1</v>
      </c>
      <c r="V3" s="80" t="n">
        <f aca="false">F3</f>
        <v>0.937062937062937</v>
      </c>
      <c r="W3" s="80" t="n">
        <f aca="false">F3</f>
        <v>0.937062937062937</v>
      </c>
      <c r="X3" s="80" t="n">
        <f aca="false">F3</f>
        <v>0.937062937062937</v>
      </c>
      <c r="Y3" s="80" t="n">
        <f aca="false">F3</f>
        <v>0.937062937062937</v>
      </c>
      <c r="Z3" s="80" t="n">
        <f aca="false">F3</f>
        <v>0.937062937062937</v>
      </c>
      <c r="AA3" s="80" t="n">
        <f aca="false">F3</f>
        <v>0.937062937062937</v>
      </c>
      <c r="AB3" s="80" t="n">
        <f aca="false">F3</f>
        <v>0.937062937062937</v>
      </c>
      <c r="AC3" s="80" t="n">
        <f aca="false">F3</f>
        <v>0.937062937062937</v>
      </c>
      <c r="AD3" s="80" t="n">
        <f aca="false">F3</f>
        <v>0.937062937062937</v>
      </c>
      <c r="AE3" s="79" t="n">
        <f aca="false">B3</f>
        <v>0.983729990512526</v>
      </c>
      <c r="AF3" s="79" t="n">
        <f aca="false">B3</f>
        <v>0.983729990512526</v>
      </c>
      <c r="AG3" s="79" t="n">
        <f aca="false">B3</f>
        <v>0.983729990512526</v>
      </c>
      <c r="AH3" s="79" t="n">
        <f aca="false">B3</f>
        <v>0.983729990512526</v>
      </c>
      <c r="AI3" s="79" t="n">
        <f aca="false">B3</f>
        <v>0.983729990512526</v>
      </c>
      <c r="AJ3" s="79" t="n">
        <f aca="false">B3</f>
        <v>0.983729990512526</v>
      </c>
      <c r="AK3" s="79" t="n">
        <f aca="false">B3</f>
        <v>0.983729990512526</v>
      </c>
      <c r="AL3" s="79" t="n">
        <f aca="false">B3</f>
        <v>0.983729990512526</v>
      </c>
      <c r="AM3" s="79" t="n">
        <f aca="false">B3</f>
        <v>0.983729990512526</v>
      </c>
      <c r="AN3" s="80" t="n">
        <f aca="false">F3</f>
        <v>0.937062937062937</v>
      </c>
      <c r="AO3" s="80" t="n">
        <f aca="false">F3</f>
        <v>0.937062937062937</v>
      </c>
      <c r="AP3" s="80" t="n">
        <f aca="false">F3</f>
        <v>0.937062937062937</v>
      </c>
      <c r="AQ3" s="80" t="n">
        <f aca="false">F3</f>
        <v>0.937062937062937</v>
      </c>
      <c r="AR3" s="80" t="n">
        <f aca="false">F3</f>
        <v>0.937062937062937</v>
      </c>
      <c r="AS3" s="80" t="n">
        <f aca="false">F3</f>
        <v>0.937062937062937</v>
      </c>
      <c r="AT3" s="80" t="n">
        <v>1</v>
      </c>
      <c r="AU3" s="80" t="n">
        <f aca="false">F3</f>
        <v>0.937062937062937</v>
      </c>
      <c r="AV3" s="80" t="n">
        <f aca="false">F3</f>
        <v>0.937062937062937</v>
      </c>
      <c r="AW3" s="80" t="n">
        <f aca="false">F3</f>
        <v>0.937062937062937</v>
      </c>
      <c r="AX3" s="79" t="n">
        <f aca="false">B3</f>
        <v>0.983729990512526</v>
      </c>
      <c r="AY3" s="79" t="n">
        <f aca="false">B3</f>
        <v>0.983729990512526</v>
      </c>
      <c r="AZ3" s="79" t="n">
        <f aca="false">B3</f>
        <v>0.983729990512526</v>
      </c>
      <c r="BA3" s="80" t="n">
        <f aca="false">F3</f>
        <v>0.937062937062937</v>
      </c>
      <c r="BB3" s="80" t="n">
        <f aca="false">F3</f>
        <v>0.937062937062937</v>
      </c>
      <c r="BC3" s="79" t="n">
        <f aca="false">B3</f>
        <v>0.983729990512526</v>
      </c>
      <c r="BD3" s="79" t="n">
        <f aca="false">B3</f>
        <v>0.983729990512526</v>
      </c>
      <c r="BE3" s="80" t="n">
        <v>1</v>
      </c>
      <c r="BF3" s="80" t="n">
        <v>1</v>
      </c>
      <c r="BG3" s="79" t="n">
        <f aca="false">B3</f>
        <v>0.983729990512526</v>
      </c>
      <c r="BH3" s="79" t="n">
        <f aca="false">B3</f>
        <v>0.983729990512526</v>
      </c>
      <c r="BI3" s="79" t="n">
        <f aca="false">B3</f>
        <v>0.983729990512526</v>
      </c>
      <c r="BJ3" s="79" t="n">
        <f aca="false">B3</f>
        <v>0.983729990512526</v>
      </c>
      <c r="BK3" s="80" t="n">
        <v>1</v>
      </c>
    </row>
    <row r="4" customFormat="false" ht="12.75" hidden="false" customHeight="false" outlineLevel="0" collapsed="false">
      <c r="A4" s="6" t="n">
        <v>2023</v>
      </c>
      <c r="B4" s="79" t="n">
        <f aca="false">im!C4/(im!C4+im!D4)</f>
        <v>0.983729990512526</v>
      </c>
      <c r="C4" s="79" t="n">
        <f aca="false">B4</f>
        <v>0.983729990512526</v>
      </c>
      <c r="D4" s="79" t="n">
        <f aca="false">B4</f>
        <v>0.983729990512526</v>
      </c>
      <c r="E4" s="79" t="n">
        <f aca="false">B4</f>
        <v>0.983729990512526</v>
      </c>
      <c r="F4" s="79" t="n">
        <f aca="false">im!I4/(im!I4+im!J4)</f>
        <v>0.937062937062937</v>
      </c>
      <c r="G4" s="79" t="n">
        <f aca="false">F4</f>
        <v>0.937062937062937</v>
      </c>
      <c r="H4" s="79" t="n">
        <f aca="false">F4</f>
        <v>0.937062937062937</v>
      </c>
      <c r="I4" s="79" t="n">
        <f aca="false">F4</f>
        <v>0.937062937062937</v>
      </c>
      <c r="J4" s="79" t="n">
        <v>1</v>
      </c>
      <c r="K4" s="79" t="n">
        <v>1</v>
      </c>
      <c r="L4" s="79" t="n">
        <f aca="false">B4</f>
        <v>0.983729990512526</v>
      </c>
      <c r="M4" s="79" t="n">
        <f aca="false">B4</f>
        <v>0.983729990512526</v>
      </c>
      <c r="N4" s="79" t="n">
        <f aca="false">B4</f>
        <v>0.983729990512526</v>
      </c>
      <c r="O4" s="79" t="n">
        <f aca="false">B4</f>
        <v>0.983729990512526</v>
      </c>
      <c r="P4" s="79" t="n">
        <f aca="false">B4</f>
        <v>0.983729990512526</v>
      </c>
      <c r="Q4" s="80" t="n">
        <f aca="false">F4</f>
        <v>0.937062937062937</v>
      </c>
      <c r="R4" s="80" t="n">
        <f aca="false">F4</f>
        <v>0.937062937062937</v>
      </c>
      <c r="S4" s="80" t="n">
        <f aca="false">F4</f>
        <v>0.937062937062937</v>
      </c>
      <c r="T4" s="80" t="n">
        <v>1</v>
      </c>
      <c r="U4" s="80" t="n">
        <v>1</v>
      </c>
      <c r="V4" s="80" t="n">
        <f aca="false">F4</f>
        <v>0.937062937062937</v>
      </c>
      <c r="W4" s="80" t="n">
        <f aca="false">F4</f>
        <v>0.937062937062937</v>
      </c>
      <c r="X4" s="80" t="n">
        <f aca="false">F4</f>
        <v>0.937062937062937</v>
      </c>
      <c r="Y4" s="80" t="n">
        <f aca="false">F4</f>
        <v>0.937062937062937</v>
      </c>
      <c r="Z4" s="80" t="n">
        <f aca="false">F4</f>
        <v>0.937062937062937</v>
      </c>
      <c r="AA4" s="80" t="n">
        <f aca="false">F4</f>
        <v>0.937062937062937</v>
      </c>
      <c r="AB4" s="80" t="n">
        <f aca="false">F4</f>
        <v>0.937062937062937</v>
      </c>
      <c r="AC4" s="80" t="n">
        <f aca="false">F4</f>
        <v>0.937062937062937</v>
      </c>
      <c r="AD4" s="80" t="n">
        <f aca="false">F4</f>
        <v>0.937062937062937</v>
      </c>
      <c r="AE4" s="79" t="n">
        <f aca="false">B4</f>
        <v>0.983729990512526</v>
      </c>
      <c r="AF4" s="79" t="n">
        <f aca="false">B4</f>
        <v>0.983729990512526</v>
      </c>
      <c r="AG4" s="79" t="n">
        <f aca="false">B4</f>
        <v>0.983729990512526</v>
      </c>
      <c r="AH4" s="79" t="n">
        <f aca="false">B4</f>
        <v>0.983729990512526</v>
      </c>
      <c r="AI4" s="79" t="n">
        <f aca="false">B4</f>
        <v>0.983729990512526</v>
      </c>
      <c r="AJ4" s="79" t="n">
        <f aca="false">B4</f>
        <v>0.983729990512526</v>
      </c>
      <c r="AK4" s="79" t="n">
        <f aca="false">B4</f>
        <v>0.983729990512526</v>
      </c>
      <c r="AL4" s="79" t="n">
        <f aca="false">B4</f>
        <v>0.983729990512526</v>
      </c>
      <c r="AM4" s="79" t="n">
        <f aca="false">B4</f>
        <v>0.983729990512526</v>
      </c>
      <c r="AN4" s="80" t="n">
        <f aca="false">F4</f>
        <v>0.937062937062937</v>
      </c>
      <c r="AO4" s="80" t="n">
        <f aca="false">F4</f>
        <v>0.937062937062937</v>
      </c>
      <c r="AP4" s="80" t="n">
        <f aca="false">F4</f>
        <v>0.937062937062937</v>
      </c>
      <c r="AQ4" s="80" t="n">
        <f aca="false">F4</f>
        <v>0.937062937062937</v>
      </c>
      <c r="AR4" s="80" t="n">
        <f aca="false">F4</f>
        <v>0.937062937062937</v>
      </c>
      <c r="AS4" s="80" t="n">
        <f aca="false">F4</f>
        <v>0.937062937062937</v>
      </c>
      <c r="AT4" s="80" t="n">
        <v>1</v>
      </c>
      <c r="AU4" s="80" t="n">
        <f aca="false">F4</f>
        <v>0.937062937062937</v>
      </c>
      <c r="AV4" s="80" t="n">
        <f aca="false">F4</f>
        <v>0.937062937062937</v>
      </c>
      <c r="AW4" s="80" t="n">
        <f aca="false">F4</f>
        <v>0.937062937062937</v>
      </c>
      <c r="AX4" s="79" t="n">
        <f aca="false">B4</f>
        <v>0.983729990512526</v>
      </c>
      <c r="AY4" s="79" t="n">
        <f aca="false">B4</f>
        <v>0.983729990512526</v>
      </c>
      <c r="AZ4" s="79" t="n">
        <f aca="false">B4</f>
        <v>0.983729990512526</v>
      </c>
      <c r="BA4" s="80" t="n">
        <f aca="false">F4</f>
        <v>0.937062937062937</v>
      </c>
      <c r="BB4" s="80" t="n">
        <f aca="false">F4</f>
        <v>0.937062937062937</v>
      </c>
      <c r="BC4" s="79" t="n">
        <f aca="false">B4</f>
        <v>0.983729990512526</v>
      </c>
      <c r="BD4" s="79" t="n">
        <f aca="false">B4</f>
        <v>0.983729990512526</v>
      </c>
      <c r="BE4" s="80" t="n">
        <v>1</v>
      </c>
      <c r="BF4" s="80" t="n">
        <v>1</v>
      </c>
      <c r="BG4" s="79" t="n">
        <f aca="false">B4</f>
        <v>0.983729990512526</v>
      </c>
      <c r="BH4" s="79" t="n">
        <f aca="false">B4</f>
        <v>0.983729990512526</v>
      </c>
      <c r="BI4" s="79" t="n">
        <f aca="false">B4</f>
        <v>0.983729990512526</v>
      </c>
      <c r="BJ4" s="79" t="n">
        <f aca="false">B4</f>
        <v>0.983729990512526</v>
      </c>
      <c r="BK4" s="80" t="n">
        <v>1</v>
      </c>
    </row>
    <row r="5" customFormat="false" ht="12.75" hidden="false" customHeight="false" outlineLevel="0" collapsed="false">
      <c r="A5" s="6" t="n">
        <v>2022</v>
      </c>
      <c r="B5" s="79" t="n">
        <f aca="false">im!C5/(im!C5+im!D5)</f>
        <v>0.983729990512526</v>
      </c>
      <c r="C5" s="79" t="n">
        <f aca="false">B5</f>
        <v>0.983729990512526</v>
      </c>
      <c r="D5" s="79" t="n">
        <f aca="false">B5</f>
        <v>0.983729990512526</v>
      </c>
      <c r="E5" s="79" t="n">
        <f aca="false">B5</f>
        <v>0.983729990512526</v>
      </c>
      <c r="F5" s="79" t="n">
        <f aca="false">im!I5/(im!I5+im!J5)</f>
        <v>0.937062937062937</v>
      </c>
      <c r="G5" s="79" t="n">
        <f aca="false">F5</f>
        <v>0.937062937062937</v>
      </c>
      <c r="H5" s="79" t="n">
        <f aca="false">F5</f>
        <v>0.937062937062937</v>
      </c>
      <c r="I5" s="79" t="n">
        <f aca="false">F5</f>
        <v>0.937062937062937</v>
      </c>
      <c r="J5" s="79" t="n">
        <v>1</v>
      </c>
      <c r="K5" s="79" t="n">
        <v>1</v>
      </c>
      <c r="L5" s="79" t="n">
        <f aca="false">B5</f>
        <v>0.983729990512526</v>
      </c>
      <c r="M5" s="79" t="n">
        <f aca="false">B5</f>
        <v>0.983729990512526</v>
      </c>
      <c r="N5" s="79" t="n">
        <f aca="false">B5</f>
        <v>0.983729990512526</v>
      </c>
      <c r="O5" s="79" t="n">
        <f aca="false">B5</f>
        <v>0.983729990512526</v>
      </c>
      <c r="P5" s="79" t="n">
        <f aca="false">B5</f>
        <v>0.983729990512526</v>
      </c>
      <c r="Q5" s="80" t="n">
        <f aca="false">F5</f>
        <v>0.937062937062937</v>
      </c>
      <c r="R5" s="80" t="n">
        <f aca="false">F5</f>
        <v>0.937062937062937</v>
      </c>
      <c r="S5" s="80" t="n">
        <f aca="false">F5</f>
        <v>0.937062937062937</v>
      </c>
      <c r="T5" s="80" t="n">
        <v>1</v>
      </c>
      <c r="U5" s="80" t="n">
        <v>1</v>
      </c>
      <c r="V5" s="80" t="n">
        <f aca="false">F5</f>
        <v>0.937062937062937</v>
      </c>
      <c r="W5" s="80" t="n">
        <f aca="false">F5</f>
        <v>0.937062937062937</v>
      </c>
      <c r="X5" s="80" t="n">
        <f aca="false">F5</f>
        <v>0.937062937062937</v>
      </c>
      <c r="Y5" s="80" t="n">
        <f aca="false">F5</f>
        <v>0.937062937062937</v>
      </c>
      <c r="Z5" s="80" t="n">
        <f aca="false">F5</f>
        <v>0.937062937062937</v>
      </c>
      <c r="AA5" s="80" t="n">
        <f aca="false">F5</f>
        <v>0.937062937062937</v>
      </c>
      <c r="AB5" s="80" t="n">
        <f aca="false">F5</f>
        <v>0.937062937062937</v>
      </c>
      <c r="AC5" s="80" t="n">
        <f aca="false">F5</f>
        <v>0.937062937062937</v>
      </c>
      <c r="AD5" s="80" t="n">
        <f aca="false">F5</f>
        <v>0.937062937062937</v>
      </c>
      <c r="AE5" s="79" t="n">
        <f aca="false">B5</f>
        <v>0.983729990512526</v>
      </c>
      <c r="AF5" s="79" t="n">
        <f aca="false">B5</f>
        <v>0.983729990512526</v>
      </c>
      <c r="AG5" s="79" t="n">
        <f aca="false">B5</f>
        <v>0.983729990512526</v>
      </c>
      <c r="AH5" s="79" t="n">
        <f aca="false">B5</f>
        <v>0.983729990512526</v>
      </c>
      <c r="AI5" s="79" t="n">
        <f aca="false">B5</f>
        <v>0.983729990512526</v>
      </c>
      <c r="AJ5" s="79" t="n">
        <f aca="false">B5</f>
        <v>0.983729990512526</v>
      </c>
      <c r="AK5" s="79" t="n">
        <f aca="false">B5</f>
        <v>0.983729990512526</v>
      </c>
      <c r="AL5" s="79" t="n">
        <f aca="false">B5</f>
        <v>0.983729990512526</v>
      </c>
      <c r="AM5" s="79" t="n">
        <f aca="false">B5</f>
        <v>0.983729990512526</v>
      </c>
      <c r="AN5" s="80" t="n">
        <f aca="false">F5</f>
        <v>0.937062937062937</v>
      </c>
      <c r="AO5" s="80" t="n">
        <f aca="false">F5</f>
        <v>0.937062937062937</v>
      </c>
      <c r="AP5" s="80" t="n">
        <f aca="false">F5</f>
        <v>0.937062937062937</v>
      </c>
      <c r="AQ5" s="80" t="n">
        <f aca="false">F5</f>
        <v>0.937062937062937</v>
      </c>
      <c r="AR5" s="80" t="n">
        <f aca="false">F5</f>
        <v>0.937062937062937</v>
      </c>
      <c r="AS5" s="80" t="n">
        <f aca="false">F5</f>
        <v>0.937062937062937</v>
      </c>
      <c r="AT5" s="80" t="n">
        <v>1</v>
      </c>
      <c r="AU5" s="80" t="n">
        <f aca="false">F5</f>
        <v>0.937062937062937</v>
      </c>
      <c r="AV5" s="80" t="n">
        <f aca="false">F5</f>
        <v>0.937062937062937</v>
      </c>
      <c r="AW5" s="80" t="n">
        <f aca="false">F5</f>
        <v>0.937062937062937</v>
      </c>
      <c r="AX5" s="79" t="n">
        <f aca="false">B5</f>
        <v>0.983729990512526</v>
      </c>
      <c r="AY5" s="79" t="n">
        <f aca="false">B5</f>
        <v>0.983729990512526</v>
      </c>
      <c r="AZ5" s="79" t="n">
        <f aca="false">B5</f>
        <v>0.983729990512526</v>
      </c>
      <c r="BA5" s="80" t="n">
        <f aca="false">F5</f>
        <v>0.937062937062937</v>
      </c>
      <c r="BB5" s="80" t="n">
        <f aca="false">F5</f>
        <v>0.937062937062937</v>
      </c>
      <c r="BC5" s="79" t="n">
        <f aca="false">B5</f>
        <v>0.983729990512526</v>
      </c>
      <c r="BD5" s="79" t="n">
        <f aca="false">B5</f>
        <v>0.983729990512526</v>
      </c>
      <c r="BE5" s="80" t="n">
        <v>1</v>
      </c>
      <c r="BF5" s="80" t="n">
        <v>1</v>
      </c>
      <c r="BG5" s="79" t="n">
        <f aca="false">B5</f>
        <v>0.983729990512526</v>
      </c>
      <c r="BH5" s="79" t="n">
        <f aca="false">B5</f>
        <v>0.983729990512526</v>
      </c>
      <c r="BI5" s="79" t="n">
        <f aca="false">B5</f>
        <v>0.983729990512526</v>
      </c>
      <c r="BJ5" s="79" t="n">
        <f aca="false">B5</f>
        <v>0.983729990512526</v>
      </c>
      <c r="BK5" s="80" t="n">
        <v>1</v>
      </c>
    </row>
    <row r="6" customFormat="false" ht="12.75" hidden="false" customHeight="false" outlineLevel="0" collapsed="false">
      <c r="A6" s="6" t="n">
        <v>2021</v>
      </c>
      <c r="B6" s="79" t="n">
        <f aca="false">im!C6/(im!C6+im!D6)</f>
        <v>0.983729990512526</v>
      </c>
      <c r="C6" s="79" t="n">
        <f aca="false">B6</f>
        <v>0.983729990512526</v>
      </c>
      <c r="D6" s="79" t="n">
        <f aca="false">B6</f>
        <v>0.983729990512526</v>
      </c>
      <c r="E6" s="79" t="n">
        <f aca="false">B6</f>
        <v>0.983729990512526</v>
      </c>
      <c r="F6" s="79" t="n">
        <f aca="false">im!I6/(im!I6+im!J6)</f>
        <v>0.937062937062937</v>
      </c>
      <c r="G6" s="79" t="n">
        <f aca="false">F6</f>
        <v>0.937062937062937</v>
      </c>
      <c r="H6" s="79" t="n">
        <f aca="false">F6</f>
        <v>0.937062937062937</v>
      </c>
      <c r="I6" s="79" t="n">
        <f aca="false">F6</f>
        <v>0.937062937062937</v>
      </c>
      <c r="J6" s="79" t="n">
        <v>1</v>
      </c>
      <c r="K6" s="79" t="n">
        <v>1</v>
      </c>
      <c r="L6" s="79" t="n">
        <f aca="false">B6</f>
        <v>0.983729990512526</v>
      </c>
      <c r="M6" s="79" t="n">
        <f aca="false">B6</f>
        <v>0.983729990512526</v>
      </c>
      <c r="N6" s="79" t="n">
        <f aca="false">B6</f>
        <v>0.983729990512526</v>
      </c>
      <c r="O6" s="79" t="n">
        <f aca="false">B6</f>
        <v>0.983729990512526</v>
      </c>
      <c r="P6" s="79" t="n">
        <f aca="false">B6</f>
        <v>0.983729990512526</v>
      </c>
      <c r="Q6" s="80" t="n">
        <f aca="false">F6</f>
        <v>0.937062937062937</v>
      </c>
      <c r="R6" s="80" t="n">
        <f aca="false">F6</f>
        <v>0.937062937062937</v>
      </c>
      <c r="S6" s="80" t="n">
        <f aca="false">F6</f>
        <v>0.937062937062937</v>
      </c>
      <c r="T6" s="80" t="n">
        <v>1</v>
      </c>
      <c r="U6" s="80" t="n">
        <v>1</v>
      </c>
      <c r="V6" s="80" t="n">
        <f aca="false">F6</f>
        <v>0.937062937062937</v>
      </c>
      <c r="W6" s="80" t="n">
        <f aca="false">F6</f>
        <v>0.937062937062937</v>
      </c>
      <c r="X6" s="80" t="n">
        <f aca="false">F6</f>
        <v>0.937062937062937</v>
      </c>
      <c r="Y6" s="80" t="n">
        <f aca="false">F6</f>
        <v>0.937062937062937</v>
      </c>
      <c r="Z6" s="80" t="n">
        <f aca="false">F6</f>
        <v>0.937062937062937</v>
      </c>
      <c r="AA6" s="80" t="n">
        <f aca="false">F6</f>
        <v>0.937062937062937</v>
      </c>
      <c r="AB6" s="80" t="n">
        <f aca="false">F6</f>
        <v>0.937062937062937</v>
      </c>
      <c r="AC6" s="80" t="n">
        <f aca="false">F6</f>
        <v>0.937062937062937</v>
      </c>
      <c r="AD6" s="80" t="n">
        <f aca="false">F6</f>
        <v>0.937062937062937</v>
      </c>
      <c r="AE6" s="79" t="n">
        <f aca="false">B6</f>
        <v>0.983729990512526</v>
      </c>
      <c r="AF6" s="79" t="n">
        <f aca="false">B6</f>
        <v>0.983729990512526</v>
      </c>
      <c r="AG6" s="79" t="n">
        <f aca="false">B6</f>
        <v>0.983729990512526</v>
      </c>
      <c r="AH6" s="79" t="n">
        <f aca="false">B6</f>
        <v>0.983729990512526</v>
      </c>
      <c r="AI6" s="79" t="n">
        <f aca="false">B6</f>
        <v>0.983729990512526</v>
      </c>
      <c r="AJ6" s="79" t="n">
        <f aca="false">B6</f>
        <v>0.983729990512526</v>
      </c>
      <c r="AK6" s="79" t="n">
        <f aca="false">B6</f>
        <v>0.983729990512526</v>
      </c>
      <c r="AL6" s="79" t="n">
        <f aca="false">B6</f>
        <v>0.983729990512526</v>
      </c>
      <c r="AM6" s="79" t="n">
        <f aca="false">B6</f>
        <v>0.983729990512526</v>
      </c>
      <c r="AN6" s="80" t="n">
        <f aca="false">F6</f>
        <v>0.937062937062937</v>
      </c>
      <c r="AO6" s="80" t="n">
        <f aca="false">F6</f>
        <v>0.937062937062937</v>
      </c>
      <c r="AP6" s="80" t="n">
        <f aca="false">F6</f>
        <v>0.937062937062937</v>
      </c>
      <c r="AQ6" s="80" t="n">
        <f aca="false">F6</f>
        <v>0.937062937062937</v>
      </c>
      <c r="AR6" s="80" t="n">
        <f aca="false">F6</f>
        <v>0.937062937062937</v>
      </c>
      <c r="AS6" s="80" t="n">
        <f aca="false">F6</f>
        <v>0.937062937062937</v>
      </c>
      <c r="AT6" s="80" t="n">
        <v>1</v>
      </c>
      <c r="AU6" s="80" t="n">
        <f aca="false">F6</f>
        <v>0.937062937062937</v>
      </c>
      <c r="AV6" s="80" t="n">
        <f aca="false">F6</f>
        <v>0.937062937062937</v>
      </c>
      <c r="AW6" s="80" t="n">
        <f aca="false">F6</f>
        <v>0.937062937062937</v>
      </c>
      <c r="AX6" s="79" t="n">
        <f aca="false">B6</f>
        <v>0.983729990512526</v>
      </c>
      <c r="AY6" s="79" t="n">
        <f aca="false">B6</f>
        <v>0.983729990512526</v>
      </c>
      <c r="AZ6" s="79" t="n">
        <f aca="false">B6</f>
        <v>0.983729990512526</v>
      </c>
      <c r="BA6" s="80" t="n">
        <f aca="false">F6</f>
        <v>0.937062937062937</v>
      </c>
      <c r="BB6" s="80" t="n">
        <f aca="false">F6</f>
        <v>0.937062937062937</v>
      </c>
      <c r="BC6" s="79" t="n">
        <f aca="false">B6</f>
        <v>0.983729990512526</v>
      </c>
      <c r="BD6" s="79" t="n">
        <f aca="false">B6</f>
        <v>0.983729990512526</v>
      </c>
      <c r="BE6" s="80" t="n">
        <v>1</v>
      </c>
      <c r="BF6" s="80" t="n">
        <v>1</v>
      </c>
      <c r="BG6" s="79" t="n">
        <f aca="false">B6</f>
        <v>0.983729990512526</v>
      </c>
      <c r="BH6" s="79" t="n">
        <f aca="false">B6</f>
        <v>0.983729990512526</v>
      </c>
      <c r="BI6" s="79" t="n">
        <f aca="false">B6</f>
        <v>0.983729990512526</v>
      </c>
      <c r="BJ6" s="79" t="n">
        <f aca="false">B6</f>
        <v>0.983729990512526</v>
      </c>
      <c r="BK6" s="80" t="n">
        <v>1</v>
      </c>
    </row>
    <row r="7" customFormat="false" ht="12.75" hidden="false" customHeight="false" outlineLevel="0" collapsed="false">
      <c r="A7" s="6" t="n">
        <v>2020</v>
      </c>
      <c r="B7" s="79" t="n">
        <f aca="false">im!C7/(im!C7+im!D7)</f>
        <v>0.983729990512526</v>
      </c>
      <c r="C7" s="79" t="n">
        <f aca="false">B7</f>
        <v>0.983729990512526</v>
      </c>
      <c r="D7" s="79" t="n">
        <f aca="false">B7</f>
        <v>0.983729990512526</v>
      </c>
      <c r="E7" s="79" t="n">
        <f aca="false">B7</f>
        <v>0.983729990512526</v>
      </c>
      <c r="F7" s="79" t="n">
        <f aca="false">im!I7/(im!I7+im!J7)</f>
        <v>0.937062937062937</v>
      </c>
      <c r="G7" s="79" t="n">
        <f aca="false">F7</f>
        <v>0.937062937062937</v>
      </c>
      <c r="H7" s="79" t="n">
        <f aca="false">F7</f>
        <v>0.937062937062937</v>
      </c>
      <c r="I7" s="79" t="n">
        <f aca="false">F7</f>
        <v>0.937062937062937</v>
      </c>
      <c r="J7" s="79" t="n">
        <v>1</v>
      </c>
      <c r="K7" s="79" t="n">
        <v>1</v>
      </c>
      <c r="L7" s="79" t="n">
        <f aca="false">B7</f>
        <v>0.983729990512526</v>
      </c>
      <c r="M7" s="79" t="n">
        <f aca="false">B7</f>
        <v>0.983729990512526</v>
      </c>
      <c r="N7" s="79" t="n">
        <f aca="false">B7</f>
        <v>0.983729990512526</v>
      </c>
      <c r="O7" s="79" t="n">
        <f aca="false">B7</f>
        <v>0.983729990512526</v>
      </c>
      <c r="P7" s="79" t="n">
        <f aca="false">B7</f>
        <v>0.983729990512526</v>
      </c>
      <c r="Q7" s="80" t="n">
        <f aca="false">F7</f>
        <v>0.937062937062937</v>
      </c>
      <c r="R7" s="80" t="n">
        <f aca="false">F7</f>
        <v>0.937062937062937</v>
      </c>
      <c r="S7" s="80" t="n">
        <f aca="false">F7</f>
        <v>0.937062937062937</v>
      </c>
      <c r="T7" s="80" t="n">
        <v>1</v>
      </c>
      <c r="U7" s="80" t="n">
        <v>1</v>
      </c>
      <c r="V7" s="80" t="n">
        <f aca="false">F7</f>
        <v>0.937062937062937</v>
      </c>
      <c r="W7" s="80" t="n">
        <f aca="false">F7</f>
        <v>0.937062937062937</v>
      </c>
      <c r="X7" s="80" t="n">
        <f aca="false">F7</f>
        <v>0.937062937062937</v>
      </c>
      <c r="Y7" s="80" t="n">
        <f aca="false">F7</f>
        <v>0.937062937062937</v>
      </c>
      <c r="Z7" s="80" t="n">
        <f aca="false">F7</f>
        <v>0.937062937062937</v>
      </c>
      <c r="AA7" s="80" t="n">
        <f aca="false">F7</f>
        <v>0.937062937062937</v>
      </c>
      <c r="AB7" s="80" t="n">
        <f aca="false">F7</f>
        <v>0.937062937062937</v>
      </c>
      <c r="AC7" s="80" t="n">
        <f aca="false">F7</f>
        <v>0.937062937062937</v>
      </c>
      <c r="AD7" s="80" t="n">
        <f aca="false">F7</f>
        <v>0.937062937062937</v>
      </c>
      <c r="AE7" s="79" t="n">
        <f aca="false">B7</f>
        <v>0.983729990512526</v>
      </c>
      <c r="AF7" s="79" t="n">
        <f aca="false">B7</f>
        <v>0.983729990512526</v>
      </c>
      <c r="AG7" s="79" t="n">
        <f aca="false">B7</f>
        <v>0.983729990512526</v>
      </c>
      <c r="AH7" s="79" t="n">
        <f aca="false">B7</f>
        <v>0.983729990512526</v>
      </c>
      <c r="AI7" s="79" t="n">
        <f aca="false">B7</f>
        <v>0.983729990512526</v>
      </c>
      <c r="AJ7" s="79" t="n">
        <f aca="false">B7</f>
        <v>0.983729990512526</v>
      </c>
      <c r="AK7" s="79" t="n">
        <f aca="false">B7</f>
        <v>0.983729990512526</v>
      </c>
      <c r="AL7" s="79" t="n">
        <f aca="false">B7</f>
        <v>0.983729990512526</v>
      </c>
      <c r="AM7" s="79" t="n">
        <f aca="false">B7</f>
        <v>0.983729990512526</v>
      </c>
      <c r="AN7" s="80" t="n">
        <f aca="false">F7</f>
        <v>0.937062937062937</v>
      </c>
      <c r="AO7" s="80" t="n">
        <f aca="false">F7</f>
        <v>0.937062937062937</v>
      </c>
      <c r="AP7" s="80" t="n">
        <f aca="false">F7</f>
        <v>0.937062937062937</v>
      </c>
      <c r="AQ7" s="80" t="n">
        <f aca="false">F7</f>
        <v>0.937062937062937</v>
      </c>
      <c r="AR7" s="80" t="n">
        <f aca="false">F7</f>
        <v>0.937062937062937</v>
      </c>
      <c r="AS7" s="80" t="n">
        <f aca="false">F7</f>
        <v>0.937062937062937</v>
      </c>
      <c r="AT7" s="80" t="n">
        <v>1</v>
      </c>
      <c r="AU7" s="80" t="n">
        <f aca="false">F7</f>
        <v>0.937062937062937</v>
      </c>
      <c r="AV7" s="80" t="n">
        <f aca="false">F7</f>
        <v>0.937062937062937</v>
      </c>
      <c r="AW7" s="80" t="n">
        <f aca="false">F7</f>
        <v>0.937062937062937</v>
      </c>
      <c r="AX7" s="79" t="n">
        <f aca="false">B7</f>
        <v>0.983729990512526</v>
      </c>
      <c r="AY7" s="79" t="n">
        <f aca="false">B7</f>
        <v>0.983729990512526</v>
      </c>
      <c r="AZ7" s="79" t="n">
        <f aca="false">B7</f>
        <v>0.983729990512526</v>
      </c>
      <c r="BA7" s="80" t="n">
        <f aca="false">F7</f>
        <v>0.937062937062937</v>
      </c>
      <c r="BB7" s="80" t="n">
        <f aca="false">F7</f>
        <v>0.937062937062937</v>
      </c>
      <c r="BC7" s="79" t="n">
        <f aca="false">B7</f>
        <v>0.983729990512526</v>
      </c>
      <c r="BD7" s="79" t="n">
        <f aca="false">B7</f>
        <v>0.983729990512526</v>
      </c>
      <c r="BE7" s="80" t="n">
        <v>1</v>
      </c>
      <c r="BF7" s="80" t="n">
        <v>1</v>
      </c>
      <c r="BG7" s="79" t="n">
        <f aca="false">B7</f>
        <v>0.983729990512526</v>
      </c>
      <c r="BH7" s="79" t="n">
        <f aca="false">B7</f>
        <v>0.983729990512526</v>
      </c>
      <c r="BI7" s="79" t="n">
        <f aca="false">B7</f>
        <v>0.983729990512526</v>
      </c>
      <c r="BJ7" s="79" t="n">
        <f aca="false">B7</f>
        <v>0.983729990512526</v>
      </c>
      <c r="BK7" s="80" t="n">
        <v>1</v>
      </c>
    </row>
    <row r="8" customFormat="false" ht="12.75" hidden="false" customHeight="false" outlineLevel="0" collapsed="false">
      <c r="A8" s="1" t="n">
        <v>2019</v>
      </c>
      <c r="B8" s="79" t="n">
        <f aca="false">im!C8/(im!C8+im!D8)</f>
        <v>0.975716974242297</v>
      </c>
      <c r="C8" s="79" t="n">
        <f aca="false">B8</f>
        <v>0.975716974242297</v>
      </c>
      <c r="D8" s="79" t="n">
        <f aca="false">B8</f>
        <v>0.975716974242297</v>
      </c>
      <c r="E8" s="79" t="n">
        <f aca="false">B8</f>
        <v>0.975716974242297</v>
      </c>
      <c r="F8" s="79" t="n">
        <f aca="false">im!I8/(im!I8+im!J8)</f>
        <v>0.949598715890851</v>
      </c>
      <c r="G8" s="79" t="n">
        <f aca="false">F8</f>
        <v>0.949598715890851</v>
      </c>
      <c r="H8" s="79" t="n">
        <f aca="false">F8</f>
        <v>0.949598715890851</v>
      </c>
      <c r="I8" s="79" t="n">
        <f aca="false">F8</f>
        <v>0.949598715890851</v>
      </c>
      <c r="J8" s="79" t="n">
        <v>1</v>
      </c>
      <c r="K8" s="79" t="n">
        <v>1</v>
      </c>
      <c r="L8" s="79" t="n">
        <f aca="false">B8</f>
        <v>0.975716974242297</v>
      </c>
      <c r="M8" s="79" t="n">
        <f aca="false">B8</f>
        <v>0.975716974242297</v>
      </c>
      <c r="N8" s="79" t="n">
        <f aca="false">B8</f>
        <v>0.975716974242297</v>
      </c>
      <c r="O8" s="79" t="n">
        <f aca="false">B8</f>
        <v>0.975716974242297</v>
      </c>
      <c r="P8" s="79" t="n">
        <f aca="false">B8</f>
        <v>0.975716974242297</v>
      </c>
      <c r="Q8" s="80" t="n">
        <f aca="false">F8</f>
        <v>0.949598715890851</v>
      </c>
      <c r="R8" s="80" t="n">
        <f aca="false">F8</f>
        <v>0.949598715890851</v>
      </c>
      <c r="S8" s="80" t="n">
        <f aca="false">F8</f>
        <v>0.949598715890851</v>
      </c>
      <c r="T8" s="80" t="n">
        <v>1</v>
      </c>
      <c r="U8" s="80" t="n">
        <v>1</v>
      </c>
      <c r="V8" s="80" t="n">
        <f aca="false">F8</f>
        <v>0.949598715890851</v>
      </c>
      <c r="W8" s="80" t="n">
        <f aca="false">F8</f>
        <v>0.949598715890851</v>
      </c>
      <c r="X8" s="80" t="n">
        <f aca="false">F8</f>
        <v>0.949598715890851</v>
      </c>
      <c r="Y8" s="80" t="n">
        <f aca="false">F8</f>
        <v>0.949598715890851</v>
      </c>
      <c r="Z8" s="80" t="n">
        <f aca="false">F8</f>
        <v>0.949598715890851</v>
      </c>
      <c r="AA8" s="80" t="n">
        <f aca="false">F8</f>
        <v>0.949598715890851</v>
      </c>
      <c r="AB8" s="80" t="n">
        <f aca="false">F8</f>
        <v>0.949598715890851</v>
      </c>
      <c r="AC8" s="80" t="n">
        <f aca="false">F8</f>
        <v>0.949598715890851</v>
      </c>
      <c r="AD8" s="80" t="n">
        <f aca="false">F8</f>
        <v>0.949598715890851</v>
      </c>
      <c r="AE8" s="79" t="n">
        <f aca="false">B8</f>
        <v>0.975716974242297</v>
      </c>
      <c r="AF8" s="79" t="n">
        <f aca="false">B8</f>
        <v>0.975716974242297</v>
      </c>
      <c r="AG8" s="79" t="n">
        <f aca="false">B8</f>
        <v>0.975716974242297</v>
      </c>
      <c r="AH8" s="79" t="n">
        <f aca="false">B8</f>
        <v>0.975716974242297</v>
      </c>
      <c r="AI8" s="79" t="n">
        <f aca="false">B8</f>
        <v>0.975716974242297</v>
      </c>
      <c r="AJ8" s="79" t="n">
        <f aca="false">B8</f>
        <v>0.975716974242297</v>
      </c>
      <c r="AK8" s="79" t="n">
        <f aca="false">B8</f>
        <v>0.975716974242297</v>
      </c>
      <c r="AL8" s="79" t="n">
        <f aca="false">B8</f>
        <v>0.975716974242297</v>
      </c>
      <c r="AM8" s="79" t="n">
        <f aca="false">B8</f>
        <v>0.975716974242297</v>
      </c>
      <c r="AN8" s="80" t="n">
        <f aca="false">F8</f>
        <v>0.949598715890851</v>
      </c>
      <c r="AO8" s="80" t="n">
        <f aca="false">F8</f>
        <v>0.949598715890851</v>
      </c>
      <c r="AP8" s="80" t="n">
        <f aca="false">F8</f>
        <v>0.949598715890851</v>
      </c>
      <c r="AQ8" s="80" t="n">
        <f aca="false">F8</f>
        <v>0.949598715890851</v>
      </c>
      <c r="AR8" s="80" t="n">
        <f aca="false">F8</f>
        <v>0.949598715890851</v>
      </c>
      <c r="AS8" s="80" t="n">
        <f aca="false">F8</f>
        <v>0.949598715890851</v>
      </c>
      <c r="AT8" s="80" t="n">
        <v>1</v>
      </c>
      <c r="AU8" s="80" t="n">
        <f aca="false">F8</f>
        <v>0.949598715890851</v>
      </c>
      <c r="AV8" s="80" t="n">
        <f aca="false">F8</f>
        <v>0.949598715890851</v>
      </c>
      <c r="AW8" s="80" t="n">
        <f aca="false">F8</f>
        <v>0.949598715890851</v>
      </c>
      <c r="AX8" s="79" t="n">
        <f aca="false">B8</f>
        <v>0.975716974242297</v>
      </c>
      <c r="AY8" s="79" t="n">
        <f aca="false">B8</f>
        <v>0.975716974242297</v>
      </c>
      <c r="AZ8" s="79" t="n">
        <f aca="false">B8</f>
        <v>0.975716974242297</v>
      </c>
      <c r="BA8" s="80" t="n">
        <f aca="false">F8</f>
        <v>0.949598715890851</v>
      </c>
      <c r="BB8" s="80" t="n">
        <f aca="false">F8</f>
        <v>0.949598715890851</v>
      </c>
      <c r="BC8" s="79" t="n">
        <f aca="false">B8</f>
        <v>0.975716974242297</v>
      </c>
      <c r="BD8" s="79" t="n">
        <f aca="false">B8</f>
        <v>0.975716974242297</v>
      </c>
      <c r="BE8" s="80" t="n">
        <v>1</v>
      </c>
      <c r="BF8" s="80" t="n">
        <v>1</v>
      </c>
      <c r="BG8" s="79" t="n">
        <f aca="false">B8</f>
        <v>0.975716974242297</v>
      </c>
      <c r="BH8" s="79" t="n">
        <f aca="false">B8</f>
        <v>0.975716974242297</v>
      </c>
      <c r="BI8" s="79" t="n">
        <f aca="false">B8</f>
        <v>0.975716974242297</v>
      </c>
      <c r="BJ8" s="79" t="n">
        <f aca="false">B8</f>
        <v>0.975716974242297</v>
      </c>
      <c r="BK8" s="80" t="n">
        <v>1</v>
      </c>
    </row>
    <row r="9" customFormat="false" ht="12.75" hidden="false" customHeight="false" outlineLevel="0" collapsed="false">
      <c r="A9" s="1" t="n">
        <f aca="false">A8-1</f>
        <v>2018</v>
      </c>
      <c r="B9" s="79" t="n">
        <f aca="false">im!C9/(im!C9+im!D9)</f>
        <v>0.957505794664364</v>
      </c>
      <c r="C9" s="79" t="n">
        <f aca="false">B9</f>
        <v>0.957505794664364</v>
      </c>
      <c r="D9" s="79" t="n">
        <f aca="false">B9</f>
        <v>0.957505794664364</v>
      </c>
      <c r="E9" s="79" t="n">
        <f aca="false">B9</f>
        <v>0.957505794664364</v>
      </c>
      <c r="F9" s="79" t="n">
        <f aca="false">im!I9/(im!I9+im!J9)</f>
        <v>0.85456595264938</v>
      </c>
      <c r="G9" s="79" t="n">
        <f aca="false">F9</f>
        <v>0.85456595264938</v>
      </c>
      <c r="H9" s="79" t="n">
        <f aca="false">F9</f>
        <v>0.85456595264938</v>
      </c>
      <c r="I9" s="79" t="n">
        <f aca="false">F9</f>
        <v>0.85456595264938</v>
      </c>
      <c r="J9" s="79" t="n">
        <v>1</v>
      </c>
      <c r="K9" s="79" t="n">
        <v>1</v>
      </c>
      <c r="L9" s="79" t="n">
        <f aca="false">B9</f>
        <v>0.957505794664364</v>
      </c>
      <c r="M9" s="79" t="n">
        <f aca="false">B9</f>
        <v>0.957505794664364</v>
      </c>
      <c r="N9" s="79" t="n">
        <f aca="false">B9</f>
        <v>0.957505794664364</v>
      </c>
      <c r="O9" s="79" t="n">
        <f aca="false">B9</f>
        <v>0.957505794664364</v>
      </c>
      <c r="P9" s="79" t="n">
        <f aca="false">B9</f>
        <v>0.957505794664364</v>
      </c>
      <c r="Q9" s="80" t="n">
        <f aca="false">F9</f>
        <v>0.85456595264938</v>
      </c>
      <c r="R9" s="80" t="n">
        <f aca="false">F9</f>
        <v>0.85456595264938</v>
      </c>
      <c r="S9" s="80" t="n">
        <f aca="false">F9</f>
        <v>0.85456595264938</v>
      </c>
      <c r="T9" s="80" t="n">
        <v>1</v>
      </c>
      <c r="U9" s="80" t="n">
        <v>1</v>
      </c>
      <c r="V9" s="80" t="n">
        <f aca="false">F9</f>
        <v>0.85456595264938</v>
      </c>
      <c r="W9" s="80" t="n">
        <f aca="false">F9</f>
        <v>0.85456595264938</v>
      </c>
      <c r="X9" s="80" t="n">
        <f aca="false">F9</f>
        <v>0.85456595264938</v>
      </c>
      <c r="Y9" s="80" t="n">
        <f aca="false">F9</f>
        <v>0.85456595264938</v>
      </c>
      <c r="Z9" s="80" t="n">
        <f aca="false">F9</f>
        <v>0.85456595264938</v>
      </c>
      <c r="AA9" s="80" t="n">
        <f aca="false">F9</f>
        <v>0.85456595264938</v>
      </c>
      <c r="AB9" s="80" t="n">
        <f aca="false">F9</f>
        <v>0.85456595264938</v>
      </c>
      <c r="AC9" s="80" t="n">
        <f aca="false">F9</f>
        <v>0.85456595264938</v>
      </c>
      <c r="AD9" s="80" t="n">
        <f aca="false">F9</f>
        <v>0.85456595264938</v>
      </c>
      <c r="AE9" s="79" t="n">
        <f aca="false">B9</f>
        <v>0.957505794664364</v>
      </c>
      <c r="AF9" s="79" t="n">
        <f aca="false">B9</f>
        <v>0.957505794664364</v>
      </c>
      <c r="AG9" s="79" t="n">
        <f aca="false">B9</f>
        <v>0.957505794664364</v>
      </c>
      <c r="AH9" s="79" t="n">
        <f aca="false">B9</f>
        <v>0.957505794664364</v>
      </c>
      <c r="AI9" s="79" t="n">
        <f aca="false">B9</f>
        <v>0.957505794664364</v>
      </c>
      <c r="AJ9" s="79" t="n">
        <f aca="false">B9</f>
        <v>0.957505794664364</v>
      </c>
      <c r="AK9" s="79" t="n">
        <f aca="false">B9</f>
        <v>0.957505794664364</v>
      </c>
      <c r="AL9" s="79" t="n">
        <f aca="false">B9</f>
        <v>0.957505794664364</v>
      </c>
      <c r="AM9" s="79" t="n">
        <f aca="false">B9</f>
        <v>0.957505794664364</v>
      </c>
      <c r="AN9" s="80" t="n">
        <f aca="false">F9</f>
        <v>0.85456595264938</v>
      </c>
      <c r="AO9" s="80" t="n">
        <f aca="false">F9</f>
        <v>0.85456595264938</v>
      </c>
      <c r="AP9" s="80" t="n">
        <f aca="false">F9</f>
        <v>0.85456595264938</v>
      </c>
      <c r="AQ9" s="80" t="n">
        <f aca="false">F9</f>
        <v>0.85456595264938</v>
      </c>
      <c r="AR9" s="80" t="n">
        <f aca="false">F9</f>
        <v>0.85456595264938</v>
      </c>
      <c r="AS9" s="80" t="n">
        <f aca="false">F9</f>
        <v>0.85456595264938</v>
      </c>
      <c r="AT9" s="80" t="n">
        <v>1</v>
      </c>
      <c r="AU9" s="80" t="n">
        <f aca="false">F9</f>
        <v>0.85456595264938</v>
      </c>
      <c r="AV9" s="80" t="n">
        <f aca="false">F9</f>
        <v>0.85456595264938</v>
      </c>
      <c r="AW9" s="80" t="n">
        <f aca="false">F9</f>
        <v>0.85456595264938</v>
      </c>
      <c r="AX9" s="79" t="n">
        <f aca="false">B9</f>
        <v>0.957505794664364</v>
      </c>
      <c r="AY9" s="79" t="n">
        <f aca="false">B9</f>
        <v>0.957505794664364</v>
      </c>
      <c r="AZ9" s="79" t="n">
        <f aca="false">B9</f>
        <v>0.957505794664364</v>
      </c>
      <c r="BA9" s="80" t="n">
        <f aca="false">F9</f>
        <v>0.85456595264938</v>
      </c>
      <c r="BB9" s="80" t="n">
        <f aca="false">F9</f>
        <v>0.85456595264938</v>
      </c>
      <c r="BC9" s="79" t="n">
        <f aca="false">B9</f>
        <v>0.957505794664364</v>
      </c>
      <c r="BD9" s="79" t="n">
        <f aca="false">B9</f>
        <v>0.957505794664364</v>
      </c>
      <c r="BE9" s="80" t="n">
        <v>1</v>
      </c>
      <c r="BF9" s="80" t="n">
        <v>1</v>
      </c>
      <c r="BG9" s="79" t="n">
        <f aca="false">B9</f>
        <v>0.957505794664364</v>
      </c>
      <c r="BH9" s="79" t="n">
        <f aca="false">B9</f>
        <v>0.957505794664364</v>
      </c>
      <c r="BI9" s="79" t="n">
        <f aca="false">B9</f>
        <v>0.957505794664364</v>
      </c>
      <c r="BJ9" s="79" t="n">
        <f aca="false">B9</f>
        <v>0.957505794664364</v>
      </c>
      <c r="BK9" s="80" t="n">
        <v>1</v>
      </c>
    </row>
    <row r="10" customFormat="false" ht="12.75" hidden="false" customHeight="false" outlineLevel="0" collapsed="false">
      <c r="A10" s="1" t="n">
        <f aca="false">A9-1</f>
        <v>2017</v>
      </c>
      <c r="B10" s="79" t="n">
        <f aca="false">im!C10/(im!C10+im!D10)</f>
        <v>0.971810733990971</v>
      </c>
      <c r="C10" s="79" t="n">
        <f aca="false">B10</f>
        <v>0.971810733990971</v>
      </c>
      <c r="D10" s="79" t="n">
        <f aca="false">B10</f>
        <v>0.971810733990971</v>
      </c>
      <c r="E10" s="79" t="n">
        <f aca="false">B10</f>
        <v>0.971810733990971</v>
      </c>
      <c r="F10" s="79" t="n">
        <f aca="false">im!I10/(im!I10+im!J10)</f>
        <v>0.851540616246499</v>
      </c>
      <c r="G10" s="79" t="n">
        <f aca="false">F10</f>
        <v>0.851540616246499</v>
      </c>
      <c r="H10" s="79" t="n">
        <f aca="false">F10</f>
        <v>0.851540616246499</v>
      </c>
      <c r="I10" s="79" t="n">
        <f aca="false">F10</f>
        <v>0.851540616246499</v>
      </c>
      <c r="J10" s="79" t="n">
        <v>1</v>
      </c>
      <c r="K10" s="79" t="n">
        <v>1</v>
      </c>
      <c r="L10" s="79" t="n">
        <f aca="false">B10</f>
        <v>0.971810733990971</v>
      </c>
      <c r="M10" s="79" t="n">
        <f aca="false">B10</f>
        <v>0.971810733990971</v>
      </c>
      <c r="N10" s="79" t="n">
        <f aca="false">B10</f>
        <v>0.971810733990971</v>
      </c>
      <c r="O10" s="79" t="n">
        <f aca="false">B10</f>
        <v>0.971810733990971</v>
      </c>
      <c r="P10" s="79" t="n">
        <f aca="false">B10</f>
        <v>0.971810733990971</v>
      </c>
      <c r="Q10" s="80" t="n">
        <f aca="false">F10</f>
        <v>0.851540616246499</v>
      </c>
      <c r="R10" s="80" t="n">
        <f aca="false">F10</f>
        <v>0.851540616246499</v>
      </c>
      <c r="S10" s="80" t="n">
        <f aca="false">F10</f>
        <v>0.851540616246499</v>
      </c>
      <c r="T10" s="80" t="n">
        <v>1</v>
      </c>
      <c r="U10" s="80" t="n">
        <v>1</v>
      </c>
      <c r="V10" s="80" t="n">
        <f aca="false">F10</f>
        <v>0.851540616246499</v>
      </c>
      <c r="W10" s="80" t="n">
        <f aca="false">F10</f>
        <v>0.851540616246499</v>
      </c>
      <c r="X10" s="80" t="n">
        <f aca="false">F10</f>
        <v>0.851540616246499</v>
      </c>
      <c r="Y10" s="80" t="n">
        <f aca="false">F10</f>
        <v>0.851540616246499</v>
      </c>
      <c r="Z10" s="80" t="n">
        <f aca="false">F10</f>
        <v>0.851540616246499</v>
      </c>
      <c r="AA10" s="80" t="n">
        <f aca="false">F10</f>
        <v>0.851540616246499</v>
      </c>
      <c r="AB10" s="80" t="n">
        <f aca="false">F10</f>
        <v>0.851540616246499</v>
      </c>
      <c r="AC10" s="80" t="n">
        <f aca="false">F10</f>
        <v>0.851540616246499</v>
      </c>
      <c r="AD10" s="80" t="n">
        <f aca="false">F10</f>
        <v>0.851540616246499</v>
      </c>
      <c r="AE10" s="79" t="n">
        <f aca="false">B10</f>
        <v>0.971810733990971</v>
      </c>
      <c r="AF10" s="79" t="n">
        <f aca="false">B10</f>
        <v>0.971810733990971</v>
      </c>
      <c r="AG10" s="79" t="n">
        <f aca="false">B10</f>
        <v>0.971810733990971</v>
      </c>
      <c r="AH10" s="79" t="n">
        <f aca="false">B10</f>
        <v>0.971810733990971</v>
      </c>
      <c r="AI10" s="79" t="n">
        <f aca="false">B10</f>
        <v>0.971810733990971</v>
      </c>
      <c r="AJ10" s="79" t="n">
        <f aca="false">B10</f>
        <v>0.971810733990971</v>
      </c>
      <c r="AK10" s="79" t="n">
        <f aca="false">B10</f>
        <v>0.971810733990971</v>
      </c>
      <c r="AL10" s="79" t="n">
        <f aca="false">B10</f>
        <v>0.971810733990971</v>
      </c>
      <c r="AM10" s="79" t="n">
        <f aca="false">B10</f>
        <v>0.971810733990971</v>
      </c>
      <c r="AN10" s="80" t="n">
        <f aca="false">F10</f>
        <v>0.851540616246499</v>
      </c>
      <c r="AO10" s="80" t="n">
        <f aca="false">F10</f>
        <v>0.851540616246499</v>
      </c>
      <c r="AP10" s="80" t="n">
        <f aca="false">F10</f>
        <v>0.851540616246499</v>
      </c>
      <c r="AQ10" s="80" t="n">
        <f aca="false">F10</f>
        <v>0.851540616246499</v>
      </c>
      <c r="AR10" s="80" t="n">
        <f aca="false">F10</f>
        <v>0.851540616246499</v>
      </c>
      <c r="AS10" s="80" t="n">
        <f aca="false">F10</f>
        <v>0.851540616246499</v>
      </c>
      <c r="AT10" s="80" t="n">
        <v>1</v>
      </c>
      <c r="AU10" s="80" t="n">
        <f aca="false">F10</f>
        <v>0.851540616246499</v>
      </c>
      <c r="AV10" s="80" t="n">
        <f aca="false">F10</f>
        <v>0.851540616246499</v>
      </c>
      <c r="AW10" s="80" t="n">
        <f aca="false">F10</f>
        <v>0.851540616246499</v>
      </c>
      <c r="AX10" s="79" t="n">
        <f aca="false">B10</f>
        <v>0.971810733990971</v>
      </c>
      <c r="AY10" s="79" t="n">
        <f aca="false">B10</f>
        <v>0.971810733990971</v>
      </c>
      <c r="AZ10" s="79" t="n">
        <f aca="false">B10</f>
        <v>0.971810733990971</v>
      </c>
      <c r="BA10" s="80" t="n">
        <f aca="false">F10</f>
        <v>0.851540616246499</v>
      </c>
      <c r="BB10" s="80" t="n">
        <f aca="false">F10</f>
        <v>0.851540616246499</v>
      </c>
      <c r="BC10" s="79" t="n">
        <f aca="false">B10</f>
        <v>0.971810733990971</v>
      </c>
      <c r="BD10" s="79" t="n">
        <f aca="false">B10</f>
        <v>0.971810733990971</v>
      </c>
      <c r="BE10" s="80" t="n">
        <v>1</v>
      </c>
      <c r="BF10" s="80" t="n">
        <v>1</v>
      </c>
      <c r="BG10" s="79" t="n">
        <f aca="false">B10</f>
        <v>0.971810733990971</v>
      </c>
      <c r="BH10" s="79" t="n">
        <f aca="false">B10</f>
        <v>0.971810733990971</v>
      </c>
      <c r="BI10" s="79" t="n">
        <f aca="false">B10</f>
        <v>0.971810733990971</v>
      </c>
      <c r="BJ10" s="79" t="n">
        <f aca="false">B10</f>
        <v>0.971810733990971</v>
      </c>
      <c r="BK10" s="80" t="n">
        <v>1</v>
      </c>
    </row>
    <row r="11" customFormat="false" ht="12.75" hidden="false" customHeight="false" outlineLevel="0" collapsed="false">
      <c r="A11" s="1" t="n">
        <f aca="false">A10-1</f>
        <v>2016</v>
      </c>
      <c r="B11" s="79" t="n">
        <f aca="false">im!C11/(im!C11+im!D11)</f>
        <v>0.968723158487101</v>
      </c>
      <c r="C11" s="79" t="n">
        <f aca="false">B11</f>
        <v>0.968723158487101</v>
      </c>
      <c r="D11" s="79" t="n">
        <f aca="false">B11</f>
        <v>0.968723158487101</v>
      </c>
      <c r="E11" s="79" t="n">
        <f aca="false">B11</f>
        <v>0.968723158487101</v>
      </c>
      <c r="F11" s="79" t="n">
        <f aca="false">im!I11/(im!I11+im!J11)</f>
        <v>0.830394190871369</v>
      </c>
      <c r="G11" s="79" t="n">
        <f aca="false">F11</f>
        <v>0.830394190871369</v>
      </c>
      <c r="H11" s="79" t="n">
        <f aca="false">F11</f>
        <v>0.830394190871369</v>
      </c>
      <c r="I11" s="79" t="n">
        <f aca="false">F11</f>
        <v>0.830394190871369</v>
      </c>
      <c r="J11" s="79" t="n">
        <v>1</v>
      </c>
      <c r="K11" s="79" t="n">
        <v>1</v>
      </c>
      <c r="L11" s="79" t="n">
        <f aca="false">B11</f>
        <v>0.968723158487101</v>
      </c>
      <c r="M11" s="79" t="n">
        <f aca="false">B11</f>
        <v>0.968723158487101</v>
      </c>
      <c r="N11" s="79" t="n">
        <f aca="false">B11</f>
        <v>0.968723158487101</v>
      </c>
      <c r="O11" s="79" t="n">
        <f aca="false">B11</f>
        <v>0.968723158487101</v>
      </c>
      <c r="P11" s="79" t="n">
        <f aca="false">B11</f>
        <v>0.968723158487101</v>
      </c>
      <c r="Q11" s="80" t="n">
        <f aca="false">F11</f>
        <v>0.830394190871369</v>
      </c>
      <c r="R11" s="80" t="n">
        <f aca="false">F11</f>
        <v>0.830394190871369</v>
      </c>
      <c r="S11" s="80" t="n">
        <f aca="false">F11</f>
        <v>0.830394190871369</v>
      </c>
      <c r="T11" s="80" t="n">
        <v>1</v>
      </c>
      <c r="U11" s="80" t="n">
        <v>1</v>
      </c>
      <c r="V11" s="80" t="n">
        <f aca="false">F11</f>
        <v>0.830394190871369</v>
      </c>
      <c r="W11" s="80" t="n">
        <f aca="false">F11</f>
        <v>0.830394190871369</v>
      </c>
      <c r="X11" s="80" t="n">
        <f aca="false">F11</f>
        <v>0.830394190871369</v>
      </c>
      <c r="Y11" s="80" t="n">
        <f aca="false">F11</f>
        <v>0.830394190871369</v>
      </c>
      <c r="Z11" s="80" t="n">
        <f aca="false">F11</f>
        <v>0.830394190871369</v>
      </c>
      <c r="AA11" s="80" t="n">
        <f aca="false">F11</f>
        <v>0.830394190871369</v>
      </c>
      <c r="AB11" s="80" t="n">
        <f aca="false">F11</f>
        <v>0.830394190871369</v>
      </c>
      <c r="AC11" s="80" t="n">
        <f aca="false">F11</f>
        <v>0.830394190871369</v>
      </c>
      <c r="AD11" s="80" t="n">
        <f aca="false">F11</f>
        <v>0.830394190871369</v>
      </c>
      <c r="AE11" s="79" t="n">
        <f aca="false">B11</f>
        <v>0.968723158487101</v>
      </c>
      <c r="AF11" s="79" t="n">
        <f aca="false">B11</f>
        <v>0.968723158487101</v>
      </c>
      <c r="AG11" s="79" t="n">
        <f aca="false">B11</f>
        <v>0.968723158487101</v>
      </c>
      <c r="AH11" s="79" t="n">
        <f aca="false">B11</f>
        <v>0.968723158487101</v>
      </c>
      <c r="AI11" s="79" t="n">
        <f aca="false">B11</f>
        <v>0.968723158487101</v>
      </c>
      <c r="AJ11" s="79" t="n">
        <f aca="false">B11</f>
        <v>0.968723158487101</v>
      </c>
      <c r="AK11" s="79" t="n">
        <f aca="false">B11</f>
        <v>0.968723158487101</v>
      </c>
      <c r="AL11" s="79" t="n">
        <f aca="false">B11</f>
        <v>0.968723158487101</v>
      </c>
      <c r="AM11" s="79" t="n">
        <f aca="false">B11</f>
        <v>0.968723158487101</v>
      </c>
      <c r="AN11" s="80" t="n">
        <f aca="false">F11</f>
        <v>0.830394190871369</v>
      </c>
      <c r="AO11" s="80" t="n">
        <f aca="false">F11</f>
        <v>0.830394190871369</v>
      </c>
      <c r="AP11" s="80" t="n">
        <f aca="false">F11</f>
        <v>0.830394190871369</v>
      </c>
      <c r="AQ11" s="80" t="n">
        <f aca="false">F11</f>
        <v>0.830394190871369</v>
      </c>
      <c r="AR11" s="80" t="n">
        <f aca="false">F11</f>
        <v>0.830394190871369</v>
      </c>
      <c r="AS11" s="80" t="n">
        <f aca="false">F11</f>
        <v>0.830394190871369</v>
      </c>
      <c r="AT11" s="80" t="n">
        <v>1</v>
      </c>
      <c r="AU11" s="80" t="n">
        <f aca="false">F11</f>
        <v>0.830394190871369</v>
      </c>
      <c r="AV11" s="80" t="n">
        <f aca="false">F11</f>
        <v>0.830394190871369</v>
      </c>
      <c r="AW11" s="80" t="n">
        <f aca="false">F11</f>
        <v>0.830394190871369</v>
      </c>
      <c r="AX11" s="79" t="n">
        <f aca="false">B11</f>
        <v>0.968723158487101</v>
      </c>
      <c r="AY11" s="79" t="n">
        <f aca="false">B11</f>
        <v>0.968723158487101</v>
      </c>
      <c r="AZ11" s="79" t="n">
        <f aca="false">B11</f>
        <v>0.968723158487101</v>
      </c>
      <c r="BA11" s="80" t="n">
        <f aca="false">F11</f>
        <v>0.830394190871369</v>
      </c>
      <c r="BB11" s="80" t="n">
        <f aca="false">F11</f>
        <v>0.830394190871369</v>
      </c>
      <c r="BC11" s="79" t="n">
        <f aca="false">B11</f>
        <v>0.968723158487101</v>
      </c>
      <c r="BD11" s="79" t="n">
        <f aca="false">B11</f>
        <v>0.968723158487101</v>
      </c>
      <c r="BE11" s="80" t="n">
        <v>1</v>
      </c>
      <c r="BF11" s="80" t="n">
        <v>1</v>
      </c>
      <c r="BG11" s="79" t="n">
        <f aca="false">B11</f>
        <v>0.968723158487101</v>
      </c>
      <c r="BH11" s="79" t="n">
        <f aca="false">B11</f>
        <v>0.968723158487101</v>
      </c>
      <c r="BI11" s="79" t="n">
        <f aca="false">B11</f>
        <v>0.968723158487101</v>
      </c>
      <c r="BJ11" s="79" t="n">
        <f aca="false">B11</f>
        <v>0.968723158487101</v>
      </c>
      <c r="BK11" s="80" t="n">
        <v>1</v>
      </c>
    </row>
    <row r="12" customFormat="false" ht="12.75" hidden="false" customHeight="false" outlineLevel="0" collapsed="false">
      <c r="A12" s="1" t="n">
        <f aca="false">A11-1</f>
        <v>2015</v>
      </c>
      <c r="B12" s="79" t="n">
        <f aca="false">im!C12/(im!C12+im!D12)</f>
        <v>0.969133209043405</v>
      </c>
      <c r="C12" s="79" t="n">
        <f aca="false">B12</f>
        <v>0.969133209043405</v>
      </c>
      <c r="D12" s="79" t="n">
        <f aca="false">B12</f>
        <v>0.969133209043405</v>
      </c>
      <c r="E12" s="79" t="n">
        <f aca="false">B12</f>
        <v>0.969133209043405</v>
      </c>
      <c r="F12" s="79" t="n">
        <f aca="false">im!I12/(im!I12+im!J12)</f>
        <v>0.812208138759173</v>
      </c>
      <c r="G12" s="79" t="n">
        <f aca="false">F12</f>
        <v>0.812208138759173</v>
      </c>
      <c r="H12" s="79" t="n">
        <f aca="false">F12</f>
        <v>0.812208138759173</v>
      </c>
      <c r="I12" s="79" t="n">
        <f aca="false">F12</f>
        <v>0.812208138759173</v>
      </c>
      <c r="J12" s="79" t="n">
        <v>1</v>
      </c>
      <c r="K12" s="79" t="n">
        <v>1</v>
      </c>
      <c r="L12" s="79" t="n">
        <f aca="false">B12</f>
        <v>0.969133209043405</v>
      </c>
      <c r="M12" s="79" t="n">
        <f aca="false">B12</f>
        <v>0.969133209043405</v>
      </c>
      <c r="N12" s="79" t="n">
        <f aca="false">B12</f>
        <v>0.969133209043405</v>
      </c>
      <c r="O12" s="79" t="n">
        <f aca="false">B12</f>
        <v>0.969133209043405</v>
      </c>
      <c r="P12" s="79" t="n">
        <f aca="false">B12</f>
        <v>0.969133209043405</v>
      </c>
      <c r="Q12" s="80" t="n">
        <f aca="false">F12</f>
        <v>0.812208138759173</v>
      </c>
      <c r="R12" s="80" t="n">
        <f aca="false">F12</f>
        <v>0.812208138759173</v>
      </c>
      <c r="S12" s="80" t="n">
        <f aca="false">F12</f>
        <v>0.812208138759173</v>
      </c>
      <c r="T12" s="80" t="n">
        <v>1</v>
      </c>
      <c r="U12" s="80" t="n">
        <v>1</v>
      </c>
      <c r="V12" s="80" t="n">
        <f aca="false">F12</f>
        <v>0.812208138759173</v>
      </c>
      <c r="W12" s="80" t="n">
        <f aca="false">F12</f>
        <v>0.812208138759173</v>
      </c>
      <c r="X12" s="80" t="n">
        <f aca="false">F12</f>
        <v>0.812208138759173</v>
      </c>
      <c r="Y12" s="80" t="n">
        <f aca="false">F12</f>
        <v>0.812208138759173</v>
      </c>
      <c r="Z12" s="80" t="n">
        <f aca="false">F12</f>
        <v>0.812208138759173</v>
      </c>
      <c r="AA12" s="80" t="n">
        <f aca="false">F12</f>
        <v>0.812208138759173</v>
      </c>
      <c r="AB12" s="80" t="n">
        <f aca="false">F12</f>
        <v>0.812208138759173</v>
      </c>
      <c r="AC12" s="80" t="n">
        <f aca="false">F12</f>
        <v>0.812208138759173</v>
      </c>
      <c r="AD12" s="80" t="n">
        <f aca="false">F12</f>
        <v>0.812208138759173</v>
      </c>
      <c r="AE12" s="79" t="n">
        <f aca="false">B12</f>
        <v>0.969133209043405</v>
      </c>
      <c r="AF12" s="79" t="n">
        <f aca="false">B12</f>
        <v>0.969133209043405</v>
      </c>
      <c r="AG12" s="79" t="n">
        <f aca="false">B12</f>
        <v>0.969133209043405</v>
      </c>
      <c r="AH12" s="79" t="n">
        <f aca="false">B12</f>
        <v>0.969133209043405</v>
      </c>
      <c r="AI12" s="79" t="n">
        <f aca="false">B12</f>
        <v>0.969133209043405</v>
      </c>
      <c r="AJ12" s="79" t="n">
        <f aca="false">B12</f>
        <v>0.969133209043405</v>
      </c>
      <c r="AK12" s="79" t="n">
        <f aca="false">B12</f>
        <v>0.969133209043405</v>
      </c>
      <c r="AL12" s="79" t="n">
        <f aca="false">B12</f>
        <v>0.969133209043405</v>
      </c>
      <c r="AM12" s="79" t="n">
        <f aca="false">B12</f>
        <v>0.969133209043405</v>
      </c>
      <c r="AN12" s="80" t="n">
        <f aca="false">F12</f>
        <v>0.812208138759173</v>
      </c>
      <c r="AO12" s="80" t="n">
        <f aca="false">F12</f>
        <v>0.812208138759173</v>
      </c>
      <c r="AP12" s="80" t="n">
        <f aca="false">F12</f>
        <v>0.812208138759173</v>
      </c>
      <c r="AQ12" s="80" t="n">
        <f aca="false">F12</f>
        <v>0.812208138759173</v>
      </c>
      <c r="AR12" s="80" t="n">
        <f aca="false">F12</f>
        <v>0.812208138759173</v>
      </c>
      <c r="AS12" s="80" t="n">
        <f aca="false">F12</f>
        <v>0.812208138759173</v>
      </c>
      <c r="AT12" s="80" t="n">
        <v>1</v>
      </c>
      <c r="AU12" s="80" t="n">
        <f aca="false">F12</f>
        <v>0.812208138759173</v>
      </c>
      <c r="AV12" s="80" t="n">
        <f aca="false">F12</f>
        <v>0.812208138759173</v>
      </c>
      <c r="AW12" s="80" t="n">
        <f aca="false">F12</f>
        <v>0.812208138759173</v>
      </c>
      <c r="AX12" s="79" t="n">
        <f aca="false">B12</f>
        <v>0.969133209043405</v>
      </c>
      <c r="AY12" s="79" t="n">
        <f aca="false">B12</f>
        <v>0.969133209043405</v>
      </c>
      <c r="AZ12" s="79" t="n">
        <f aca="false">B12</f>
        <v>0.969133209043405</v>
      </c>
      <c r="BA12" s="80" t="n">
        <f aca="false">F12</f>
        <v>0.812208138759173</v>
      </c>
      <c r="BB12" s="80" t="n">
        <f aca="false">F12</f>
        <v>0.812208138759173</v>
      </c>
      <c r="BC12" s="79" t="n">
        <f aca="false">B12</f>
        <v>0.969133209043405</v>
      </c>
      <c r="BD12" s="79" t="n">
        <f aca="false">B12</f>
        <v>0.969133209043405</v>
      </c>
      <c r="BE12" s="80" t="n">
        <v>1</v>
      </c>
      <c r="BF12" s="80" t="n">
        <v>1</v>
      </c>
      <c r="BG12" s="79" t="n">
        <f aca="false">B12</f>
        <v>0.969133209043405</v>
      </c>
      <c r="BH12" s="79" t="n">
        <f aca="false">B12</f>
        <v>0.969133209043405</v>
      </c>
      <c r="BI12" s="79" t="n">
        <f aca="false">B12</f>
        <v>0.969133209043405</v>
      </c>
      <c r="BJ12" s="79" t="n">
        <f aca="false">B12</f>
        <v>0.969133209043405</v>
      </c>
      <c r="BK12" s="80" t="n">
        <v>1</v>
      </c>
    </row>
    <row r="13" customFormat="false" ht="12.75" hidden="false" customHeight="false" outlineLevel="0" collapsed="false">
      <c r="A13" s="1" t="n">
        <f aca="false">A12-1</f>
        <v>2014</v>
      </c>
      <c r="B13" s="79" t="n">
        <f aca="false">im!C13/(im!C13+im!D13)</f>
        <v>0.965733790413145</v>
      </c>
      <c r="C13" s="79" t="n">
        <f aca="false">B13</f>
        <v>0.965733790413145</v>
      </c>
      <c r="D13" s="79" t="n">
        <f aca="false">B13</f>
        <v>0.965733790413145</v>
      </c>
      <c r="E13" s="79" t="n">
        <f aca="false">B13</f>
        <v>0.965733790413145</v>
      </c>
      <c r="F13" s="79" t="n">
        <f aca="false">im!I13/(im!I13+im!J13)</f>
        <v>0.773053561568194</v>
      </c>
      <c r="G13" s="79" t="n">
        <f aca="false">F13</f>
        <v>0.773053561568194</v>
      </c>
      <c r="H13" s="79" t="n">
        <f aca="false">F13</f>
        <v>0.773053561568194</v>
      </c>
      <c r="I13" s="79" t="n">
        <f aca="false">F13</f>
        <v>0.773053561568194</v>
      </c>
      <c r="J13" s="79" t="n">
        <v>1</v>
      </c>
      <c r="K13" s="79" t="n">
        <v>1</v>
      </c>
      <c r="L13" s="79" t="n">
        <f aca="false">B13</f>
        <v>0.965733790413145</v>
      </c>
      <c r="M13" s="79" t="n">
        <f aca="false">B13</f>
        <v>0.965733790413145</v>
      </c>
      <c r="N13" s="79" t="n">
        <f aca="false">B13</f>
        <v>0.965733790413145</v>
      </c>
      <c r="O13" s="79" t="n">
        <f aca="false">B13</f>
        <v>0.965733790413145</v>
      </c>
      <c r="P13" s="79" t="n">
        <f aca="false">B13</f>
        <v>0.965733790413145</v>
      </c>
      <c r="Q13" s="80" t="n">
        <f aca="false">F13</f>
        <v>0.773053561568194</v>
      </c>
      <c r="R13" s="80" t="n">
        <f aca="false">F13</f>
        <v>0.773053561568194</v>
      </c>
      <c r="S13" s="80" t="n">
        <f aca="false">F13</f>
        <v>0.773053561568194</v>
      </c>
      <c r="T13" s="80" t="n">
        <v>1</v>
      </c>
      <c r="U13" s="80" t="n">
        <v>1</v>
      </c>
      <c r="V13" s="80" t="n">
        <f aca="false">F13</f>
        <v>0.773053561568194</v>
      </c>
      <c r="W13" s="80" t="n">
        <f aca="false">F13</f>
        <v>0.773053561568194</v>
      </c>
      <c r="X13" s="80" t="n">
        <f aca="false">F13</f>
        <v>0.773053561568194</v>
      </c>
      <c r="Y13" s="80" t="n">
        <f aca="false">F13</f>
        <v>0.773053561568194</v>
      </c>
      <c r="Z13" s="80" t="n">
        <f aca="false">F13</f>
        <v>0.773053561568194</v>
      </c>
      <c r="AA13" s="80" t="n">
        <f aca="false">F13</f>
        <v>0.773053561568194</v>
      </c>
      <c r="AB13" s="80" t="n">
        <f aca="false">F13</f>
        <v>0.773053561568194</v>
      </c>
      <c r="AC13" s="80" t="n">
        <f aca="false">F13</f>
        <v>0.773053561568194</v>
      </c>
      <c r="AD13" s="80" t="n">
        <f aca="false">F13</f>
        <v>0.773053561568194</v>
      </c>
      <c r="AE13" s="79" t="n">
        <f aca="false">B13</f>
        <v>0.965733790413145</v>
      </c>
      <c r="AF13" s="79" t="n">
        <f aca="false">B13</f>
        <v>0.965733790413145</v>
      </c>
      <c r="AG13" s="79" t="n">
        <f aca="false">B13</f>
        <v>0.965733790413145</v>
      </c>
      <c r="AH13" s="79" t="n">
        <f aca="false">B13</f>
        <v>0.965733790413145</v>
      </c>
      <c r="AI13" s="79" t="n">
        <f aca="false">B13</f>
        <v>0.965733790413145</v>
      </c>
      <c r="AJ13" s="79" t="n">
        <f aca="false">B13</f>
        <v>0.965733790413145</v>
      </c>
      <c r="AK13" s="79" t="n">
        <f aca="false">B13</f>
        <v>0.965733790413145</v>
      </c>
      <c r="AL13" s="79" t="n">
        <f aca="false">B13</f>
        <v>0.965733790413145</v>
      </c>
      <c r="AM13" s="79" t="n">
        <f aca="false">B13</f>
        <v>0.965733790413145</v>
      </c>
      <c r="AN13" s="80" t="n">
        <f aca="false">F13</f>
        <v>0.773053561568194</v>
      </c>
      <c r="AO13" s="80" t="n">
        <f aca="false">F13</f>
        <v>0.773053561568194</v>
      </c>
      <c r="AP13" s="80" t="n">
        <f aca="false">F13</f>
        <v>0.773053561568194</v>
      </c>
      <c r="AQ13" s="80" t="n">
        <f aca="false">F13</f>
        <v>0.773053561568194</v>
      </c>
      <c r="AR13" s="80" t="n">
        <f aca="false">F13</f>
        <v>0.773053561568194</v>
      </c>
      <c r="AS13" s="80" t="n">
        <f aca="false">F13</f>
        <v>0.773053561568194</v>
      </c>
      <c r="AT13" s="80" t="n">
        <v>1</v>
      </c>
      <c r="AU13" s="80" t="n">
        <f aca="false">F13</f>
        <v>0.773053561568194</v>
      </c>
      <c r="AV13" s="80" t="n">
        <f aca="false">F13</f>
        <v>0.773053561568194</v>
      </c>
      <c r="AW13" s="80" t="n">
        <f aca="false">F13</f>
        <v>0.773053561568194</v>
      </c>
      <c r="AX13" s="79" t="n">
        <f aca="false">B13</f>
        <v>0.965733790413145</v>
      </c>
      <c r="AY13" s="79" t="n">
        <f aca="false">B13</f>
        <v>0.965733790413145</v>
      </c>
      <c r="AZ13" s="79" t="n">
        <f aca="false">B13</f>
        <v>0.965733790413145</v>
      </c>
      <c r="BA13" s="80" t="n">
        <f aca="false">F13</f>
        <v>0.773053561568194</v>
      </c>
      <c r="BB13" s="80" t="n">
        <f aca="false">F13</f>
        <v>0.773053561568194</v>
      </c>
      <c r="BC13" s="79" t="n">
        <f aca="false">B13</f>
        <v>0.965733790413145</v>
      </c>
      <c r="BD13" s="79" t="n">
        <f aca="false">B13</f>
        <v>0.965733790413145</v>
      </c>
      <c r="BE13" s="80" t="n">
        <v>1</v>
      </c>
      <c r="BF13" s="80" t="n">
        <v>1</v>
      </c>
      <c r="BG13" s="79" t="n">
        <f aca="false">B13</f>
        <v>0.965733790413145</v>
      </c>
      <c r="BH13" s="79" t="n">
        <f aca="false">B13</f>
        <v>0.965733790413145</v>
      </c>
      <c r="BI13" s="79" t="n">
        <f aca="false">B13</f>
        <v>0.965733790413145</v>
      </c>
      <c r="BJ13" s="79" t="n">
        <f aca="false">B13</f>
        <v>0.965733790413145</v>
      </c>
      <c r="BK13" s="80" t="n">
        <v>1</v>
      </c>
    </row>
    <row r="14" customFormat="false" ht="12.75" hidden="false" customHeight="false" outlineLevel="0" collapsed="false">
      <c r="A14" s="1" t="n">
        <f aca="false">A13-1</f>
        <v>2013</v>
      </c>
      <c r="B14" s="79" t="n">
        <f aca="false">im!C14/(im!C14+im!D14)</f>
        <v>0.954828611281171</v>
      </c>
      <c r="C14" s="79" t="n">
        <f aca="false">B14</f>
        <v>0.954828611281171</v>
      </c>
      <c r="D14" s="79" t="n">
        <f aca="false">B14</f>
        <v>0.954828611281171</v>
      </c>
      <c r="E14" s="79" t="n">
        <f aca="false">B14</f>
        <v>0.954828611281171</v>
      </c>
      <c r="F14" s="79" t="n">
        <f aca="false">im!I14/(im!I14+im!J14)</f>
        <v>0.769169960474308</v>
      </c>
      <c r="G14" s="79" t="n">
        <f aca="false">F14</f>
        <v>0.769169960474308</v>
      </c>
      <c r="H14" s="79" t="n">
        <f aca="false">F14</f>
        <v>0.769169960474308</v>
      </c>
      <c r="I14" s="79" t="n">
        <f aca="false">F14</f>
        <v>0.769169960474308</v>
      </c>
      <c r="J14" s="79" t="n">
        <v>1</v>
      </c>
      <c r="K14" s="79" t="n">
        <v>1</v>
      </c>
      <c r="L14" s="79" t="n">
        <f aca="false">B14</f>
        <v>0.954828611281171</v>
      </c>
      <c r="M14" s="79" t="n">
        <f aca="false">B14</f>
        <v>0.954828611281171</v>
      </c>
      <c r="N14" s="79" t="n">
        <f aca="false">B14</f>
        <v>0.954828611281171</v>
      </c>
      <c r="O14" s="79" t="n">
        <f aca="false">B14</f>
        <v>0.954828611281171</v>
      </c>
      <c r="P14" s="79" t="n">
        <f aca="false">B14</f>
        <v>0.954828611281171</v>
      </c>
      <c r="Q14" s="80" t="n">
        <f aca="false">F14</f>
        <v>0.769169960474308</v>
      </c>
      <c r="R14" s="80" t="n">
        <f aca="false">F14</f>
        <v>0.769169960474308</v>
      </c>
      <c r="S14" s="80" t="n">
        <f aca="false">F14</f>
        <v>0.769169960474308</v>
      </c>
      <c r="T14" s="80" t="n">
        <v>1</v>
      </c>
      <c r="U14" s="80" t="n">
        <v>1</v>
      </c>
      <c r="V14" s="80" t="n">
        <f aca="false">F14</f>
        <v>0.769169960474308</v>
      </c>
      <c r="W14" s="80" t="n">
        <f aca="false">F14</f>
        <v>0.769169960474308</v>
      </c>
      <c r="X14" s="80" t="n">
        <f aca="false">F14</f>
        <v>0.769169960474308</v>
      </c>
      <c r="Y14" s="80" t="n">
        <f aca="false">F14</f>
        <v>0.769169960474308</v>
      </c>
      <c r="Z14" s="80" t="n">
        <f aca="false">F14</f>
        <v>0.769169960474308</v>
      </c>
      <c r="AA14" s="80" t="n">
        <f aca="false">F14</f>
        <v>0.769169960474308</v>
      </c>
      <c r="AB14" s="80" t="n">
        <f aca="false">F14</f>
        <v>0.769169960474308</v>
      </c>
      <c r="AC14" s="80" t="n">
        <f aca="false">F14</f>
        <v>0.769169960474308</v>
      </c>
      <c r="AD14" s="80" t="n">
        <f aca="false">F14</f>
        <v>0.769169960474308</v>
      </c>
      <c r="AE14" s="79" t="n">
        <f aca="false">B14</f>
        <v>0.954828611281171</v>
      </c>
      <c r="AF14" s="79" t="n">
        <f aca="false">B14</f>
        <v>0.954828611281171</v>
      </c>
      <c r="AG14" s="79" t="n">
        <f aca="false">B14</f>
        <v>0.954828611281171</v>
      </c>
      <c r="AH14" s="79" t="n">
        <f aca="false">B14</f>
        <v>0.954828611281171</v>
      </c>
      <c r="AI14" s="79" t="n">
        <f aca="false">B14</f>
        <v>0.954828611281171</v>
      </c>
      <c r="AJ14" s="79" t="n">
        <f aca="false">B14</f>
        <v>0.954828611281171</v>
      </c>
      <c r="AK14" s="79" t="n">
        <f aca="false">B14</f>
        <v>0.954828611281171</v>
      </c>
      <c r="AL14" s="79" t="n">
        <f aca="false">B14</f>
        <v>0.954828611281171</v>
      </c>
      <c r="AM14" s="79" t="n">
        <f aca="false">B14</f>
        <v>0.954828611281171</v>
      </c>
      <c r="AN14" s="80" t="n">
        <f aca="false">F14</f>
        <v>0.769169960474308</v>
      </c>
      <c r="AO14" s="80" t="n">
        <f aca="false">F14</f>
        <v>0.769169960474308</v>
      </c>
      <c r="AP14" s="80" t="n">
        <f aca="false">F14</f>
        <v>0.769169960474308</v>
      </c>
      <c r="AQ14" s="80" t="n">
        <f aca="false">F14</f>
        <v>0.769169960474308</v>
      </c>
      <c r="AR14" s="80" t="n">
        <f aca="false">F14</f>
        <v>0.769169960474308</v>
      </c>
      <c r="AS14" s="80" t="n">
        <f aca="false">F14</f>
        <v>0.769169960474308</v>
      </c>
      <c r="AT14" s="80" t="n">
        <v>1</v>
      </c>
      <c r="AU14" s="80" t="n">
        <f aca="false">F14</f>
        <v>0.769169960474308</v>
      </c>
      <c r="AV14" s="80" t="n">
        <f aca="false">F14</f>
        <v>0.769169960474308</v>
      </c>
      <c r="AW14" s="80" t="n">
        <f aca="false">F14</f>
        <v>0.769169960474308</v>
      </c>
      <c r="AX14" s="79" t="n">
        <f aca="false">B14</f>
        <v>0.954828611281171</v>
      </c>
      <c r="AY14" s="79" t="n">
        <f aca="false">B14</f>
        <v>0.954828611281171</v>
      </c>
      <c r="AZ14" s="79" t="n">
        <f aca="false">B14</f>
        <v>0.954828611281171</v>
      </c>
      <c r="BA14" s="80" t="n">
        <f aca="false">F14</f>
        <v>0.769169960474308</v>
      </c>
      <c r="BB14" s="80" t="n">
        <f aca="false">F14</f>
        <v>0.769169960474308</v>
      </c>
      <c r="BC14" s="79" t="n">
        <f aca="false">B14</f>
        <v>0.954828611281171</v>
      </c>
      <c r="BD14" s="79" t="n">
        <f aca="false">B14</f>
        <v>0.954828611281171</v>
      </c>
      <c r="BE14" s="80" t="n">
        <v>1</v>
      </c>
      <c r="BF14" s="80" t="n">
        <v>1</v>
      </c>
      <c r="BG14" s="79" t="n">
        <f aca="false">B14</f>
        <v>0.954828611281171</v>
      </c>
      <c r="BH14" s="79" t="n">
        <f aca="false">B14</f>
        <v>0.954828611281171</v>
      </c>
      <c r="BI14" s="79" t="n">
        <f aca="false">B14</f>
        <v>0.954828611281171</v>
      </c>
      <c r="BJ14" s="79" t="n">
        <f aca="false">B14</f>
        <v>0.954828611281171</v>
      </c>
      <c r="BK14" s="80" t="n">
        <v>1</v>
      </c>
    </row>
    <row r="15" customFormat="false" ht="12.75" hidden="false" customHeight="false" outlineLevel="0" collapsed="false">
      <c r="A15" s="1" t="n">
        <f aca="false">A14-1</f>
        <v>2012</v>
      </c>
      <c r="B15" s="79" t="n">
        <f aca="false">im!C15/(im!C15+im!D15)</f>
        <v>0.948701950465236</v>
      </c>
      <c r="C15" s="79" t="n">
        <f aca="false">B15</f>
        <v>0.948701950465236</v>
      </c>
      <c r="D15" s="79" t="n">
        <f aca="false">B15</f>
        <v>0.948701950465236</v>
      </c>
      <c r="E15" s="79" t="n">
        <f aca="false">B15</f>
        <v>0.948701950465236</v>
      </c>
      <c r="F15" s="79" t="n">
        <f aca="false">im!I15/(im!I15+im!J15)</f>
        <v>0.793499043977055</v>
      </c>
      <c r="G15" s="79" t="n">
        <f aca="false">F15</f>
        <v>0.793499043977055</v>
      </c>
      <c r="H15" s="79" t="n">
        <f aca="false">F15</f>
        <v>0.793499043977055</v>
      </c>
      <c r="I15" s="79" t="n">
        <f aca="false">F15</f>
        <v>0.793499043977055</v>
      </c>
      <c r="J15" s="79" t="n">
        <v>1</v>
      </c>
      <c r="K15" s="79" t="n">
        <v>1</v>
      </c>
      <c r="L15" s="79" t="n">
        <f aca="false">B15</f>
        <v>0.948701950465236</v>
      </c>
      <c r="M15" s="79" t="n">
        <f aca="false">B15</f>
        <v>0.948701950465236</v>
      </c>
      <c r="N15" s="79" t="n">
        <f aca="false">B15</f>
        <v>0.948701950465236</v>
      </c>
      <c r="O15" s="79" t="n">
        <f aca="false">B15</f>
        <v>0.948701950465236</v>
      </c>
      <c r="P15" s="79" t="n">
        <f aca="false">B15</f>
        <v>0.948701950465236</v>
      </c>
      <c r="Q15" s="80" t="n">
        <f aca="false">F15</f>
        <v>0.793499043977055</v>
      </c>
      <c r="R15" s="80" t="n">
        <f aca="false">F15</f>
        <v>0.793499043977055</v>
      </c>
      <c r="S15" s="80" t="n">
        <f aca="false">F15</f>
        <v>0.793499043977055</v>
      </c>
      <c r="T15" s="80" t="n">
        <v>1</v>
      </c>
      <c r="U15" s="80" t="n">
        <v>1</v>
      </c>
      <c r="V15" s="80" t="n">
        <f aca="false">F15</f>
        <v>0.793499043977055</v>
      </c>
      <c r="W15" s="80" t="n">
        <f aca="false">F15</f>
        <v>0.793499043977055</v>
      </c>
      <c r="X15" s="80" t="n">
        <f aca="false">F15</f>
        <v>0.793499043977055</v>
      </c>
      <c r="Y15" s="80" t="n">
        <f aca="false">F15</f>
        <v>0.793499043977055</v>
      </c>
      <c r="Z15" s="80" t="n">
        <f aca="false">F15</f>
        <v>0.793499043977055</v>
      </c>
      <c r="AA15" s="80" t="n">
        <f aca="false">F15</f>
        <v>0.793499043977055</v>
      </c>
      <c r="AB15" s="80" t="n">
        <f aca="false">F15</f>
        <v>0.793499043977055</v>
      </c>
      <c r="AC15" s="80" t="n">
        <f aca="false">F15</f>
        <v>0.793499043977055</v>
      </c>
      <c r="AD15" s="80" t="n">
        <f aca="false">F15</f>
        <v>0.793499043977055</v>
      </c>
      <c r="AE15" s="79" t="n">
        <f aca="false">B15</f>
        <v>0.948701950465236</v>
      </c>
      <c r="AF15" s="79" t="n">
        <f aca="false">B15</f>
        <v>0.948701950465236</v>
      </c>
      <c r="AG15" s="79" t="n">
        <f aca="false">B15</f>
        <v>0.948701950465236</v>
      </c>
      <c r="AH15" s="79" t="n">
        <f aca="false">B15</f>
        <v>0.948701950465236</v>
      </c>
      <c r="AI15" s="79" t="n">
        <f aca="false">B15</f>
        <v>0.948701950465236</v>
      </c>
      <c r="AJ15" s="79" t="n">
        <f aca="false">B15</f>
        <v>0.948701950465236</v>
      </c>
      <c r="AK15" s="79" t="n">
        <f aca="false">B15</f>
        <v>0.948701950465236</v>
      </c>
      <c r="AL15" s="79" t="n">
        <f aca="false">B15</f>
        <v>0.948701950465236</v>
      </c>
      <c r="AM15" s="79" t="n">
        <f aca="false">B15</f>
        <v>0.948701950465236</v>
      </c>
      <c r="AN15" s="80" t="n">
        <f aca="false">F15</f>
        <v>0.793499043977055</v>
      </c>
      <c r="AO15" s="80" t="n">
        <f aca="false">F15</f>
        <v>0.793499043977055</v>
      </c>
      <c r="AP15" s="80" t="n">
        <f aca="false">F15</f>
        <v>0.793499043977055</v>
      </c>
      <c r="AQ15" s="80" t="n">
        <f aca="false">F15</f>
        <v>0.793499043977055</v>
      </c>
      <c r="AR15" s="80" t="n">
        <f aca="false">F15</f>
        <v>0.793499043977055</v>
      </c>
      <c r="AS15" s="80" t="n">
        <f aca="false">F15</f>
        <v>0.793499043977055</v>
      </c>
      <c r="AT15" s="80" t="n">
        <v>1</v>
      </c>
      <c r="AU15" s="80" t="n">
        <f aca="false">F15</f>
        <v>0.793499043977055</v>
      </c>
      <c r="AV15" s="80" t="n">
        <f aca="false">F15</f>
        <v>0.793499043977055</v>
      </c>
      <c r="AW15" s="80" t="n">
        <f aca="false">F15</f>
        <v>0.793499043977055</v>
      </c>
      <c r="AX15" s="79" t="n">
        <f aca="false">B15</f>
        <v>0.948701950465236</v>
      </c>
      <c r="AY15" s="79" t="n">
        <f aca="false">B15</f>
        <v>0.948701950465236</v>
      </c>
      <c r="AZ15" s="79" t="n">
        <f aca="false">B15</f>
        <v>0.948701950465236</v>
      </c>
      <c r="BA15" s="80" t="n">
        <f aca="false">F15</f>
        <v>0.793499043977055</v>
      </c>
      <c r="BB15" s="80" t="n">
        <f aca="false">F15</f>
        <v>0.793499043977055</v>
      </c>
      <c r="BC15" s="79" t="n">
        <f aca="false">B15</f>
        <v>0.948701950465236</v>
      </c>
      <c r="BD15" s="79" t="n">
        <f aca="false">B15</f>
        <v>0.948701950465236</v>
      </c>
      <c r="BE15" s="80" t="n">
        <v>1</v>
      </c>
      <c r="BF15" s="80" t="n">
        <v>1</v>
      </c>
      <c r="BG15" s="79" t="n">
        <f aca="false">B15</f>
        <v>0.948701950465236</v>
      </c>
      <c r="BH15" s="79" t="n">
        <f aca="false">B15</f>
        <v>0.948701950465236</v>
      </c>
      <c r="BI15" s="79" t="n">
        <f aca="false">B15</f>
        <v>0.948701950465236</v>
      </c>
      <c r="BJ15" s="79" t="n">
        <f aca="false">B15</f>
        <v>0.948701950465236</v>
      </c>
      <c r="BK15" s="80" t="n">
        <v>1</v>
      </c>
    </row>
    <row r="16" customFormat="false" ht="12.75" hidden="false" customHeight="false" outlineLevel="0" collapsed="false">
      <c r="A16" s="1" t="n">
        <f aca="false">A15-1</f>
        <v>2011</v>
      </c>
      <c r="B16" s="79" t="n">
        <f aca="false">im!C16/(im!C16+im!D16)</f>
        <v>0.942679962605173</v>
      </c>
      <c r="C16" s="79" t="n">
        <f aca="false">B16</f>
        <v>0.942679962605173</v>
      </c>
      <c r="D16" s="79" t="n">
        <f aca="false">B16</f>
        <v>0.942679962605173</v>
      </c>
      <c r="E16" s="79" t="n">
        <f aca="false">B16</f>
        <v>0.942679962605173</v>
      </c>
      <c r="F16" s="79" t="n">
        <f aca="false">im!I16/(im!I16+im!J16)</f>
        <v>0.769230769230769</v>
      </c>
      <c r="G16" s="79" t="n">
        <f aca="false">F16</f>
        <v>0.769230769230769</v>
      </c>
      <c r="H16" s="79" t="n">
        <f aca="false">F16</f>
        <v>0.769230769230769</v>
      </c>
      <c r="I16" s="79" t="n">
        <f aca="false">F16</f>
        <v>0.769230769230769</v>
      </c>
      <c r="J16" s="79" t="n">
        <v>1</v>
      </c>
      <c r="K16" s="79" t="n">
        <v>1</v>
      </c>
      <c r="L16" s="79" t="n">
        <f aca="false">B16</f>
        <v>0.942679962605173</v>
      </c>
      <c r="M16" s="79" t="n">
        <f aca="false">B16</f>
        <v>0.942679962605173</v>
      </c>
      <c r="N16" s="79" t="n">
        <f aca="false">B16</f>
        <v>0.942679962605173</v>
      </c>
      <c r="O16" s="79" t="n">
        <f aca="false">B16</f>
        <v>0.942679962605173</v>
      </c>
      <c r="P16" s="79" t="n">
        <f aca="false">B16</f>
        <v>0.942679962605173</v>
      </c>
      <c r="Q16" s="80" t="n">
        <f aca="false">F16</f>
        <v>0.769230769230769</v>
      </c>
      <c r="R16" s="80" t="n">
        <f aca="false">F16</f>
        <v>0.769230769230769</v>
      </c>
      <c r="S16" s="80" t="n">
        <f aca="false">F16</f>
        <v>0.769230769230769</v>
      </c>
      <c r="T16" s="80" t="n">
        <v>1</v>
      </c>
      <c r="U16" s="80" t="n">
        <v>1</v>
      </c>
      <c r="V16" s="80" t="n">
        <f aca="false">F16</f>
        <v>0.769230769230769</v>
      </c>
      <c r="W16" s="80" t="n">
        <f aca="false">F16</f>
        <v>0.769230769230769</v>
      </c>
      <c r="X16" s="80" t="n">
        <f aca="false">F16</f>
        <v>0.769230769230769</v>
      </c>
      <c r="Y16" s="80" t="n">
        <f aca="false">F16</f>
        <v>0.769230769230769</v>
      </c>
      <c r="Z16" s="80" t="n">
        <f aca="false">F16</f>
        <v>0.769230769230769</v>
      </c>
      <c r="AA16" s="80" t="n">
        <f aca="false">F16</f>
        <v>0.769230769230769</v>
      </c>
      <c r="AB16" s="80" t="n">
        <f aca="false">F16</f>
        <v>0.769230769230769</v>
      </c>
      <c r="AC16" s="80" t="n">
        <f aca="false">F16</f>
        <v>0.769230769230769</v>
      </c>
      <c r="AD16" s="80" t="n">
        <f aca="false">F16</f>
        <v>0.769230769230769</v>
      </c>
      <c r="AE16" s="79" t="n">
        <f aca="false">B16</f>
        <v>0.942679962605173</v>
      </c>
      <c r="AF16" s="79" t="n">
        <f aca="false">B16</f>
        <v>0.942679962605173</v>
      </c>
      <c r="AG16" s="79" t="n">
        <f aca="false">B16</f>
        <v>0.942679962605173</v>
      </c>
      <c r="AH16" s="79" t="n">
        <f aca="false">B16</f>
        <v>0.942679962605173</v>
      </c>
      <c r="AI16" s="79" t="n">
        <f aca="false">B16</f>
        <v>0.942679962605173</v>
      </c>
      <c r="AJ16" s="79" t="n">
        <f aca="false">B16</f>
        <v>0.942679962605173</v>
      </c>
      <c r="AK16" s="79" t="n">
        <f aca="false">B16</f>
        <v>0.942679962605173</v>
      </c>
      <c r="AL16" s="79" t="n">
        <f aca="false">B16</f>
        <v>0.942679962605173</v>
      </c>
      <c r="AM16" s="79" t="n">
        <f aca="false">B16</f>
        <v>0.942679962605173</v>
      </c>
      <c r="AN16" s="80" t="n">
        <f aca="false">F16</f>
        <v>0.769230769230769</v>
      </c>
      <c r="AO16" s="80" t="n">
        <f aca="false">F16</f>
        <v>0.769230769230769</v>
      </c>
      <c r="AP16" s="80" t="n">
        <f aca="false">F16</f>
        <v>0.769230769230769</v>
      </c>
      <c r="AQ16" s="80" t="n">
        <f aca="false">F16</f>
        <v>0.769230769230769</v>
      </c>
      <c r="AR16" s="80" t="n">
        <f aca="false">F16</f>
        <v>0.769230769230769</v>
      </c>
      <c r="AS16" s="80" t="n">
        <f aca="false">F16</f>
        <v>0.769230769230769</v>
      </c>
      <c r="AT16" s="80" t="n">
        <v>1</v>
      </c>
      <c r="AU16" s="80" t="n">
        <f aca="false">F16</f>
        <v>0.769230769230769</v>
      </c>
      <c r="AV16" s="80" t="n">
        <f aca="false">F16</f>
        <v>0.769230769230769</v>
      </c>
      <c r="AW16" s="80" t="n">
        <f aca="false">F16</f>
        <v>0.769230769230769</v>
      </c>
      <c r="AX16" s="79" t="n">
        <f aca="false">B16</f>
        <v>0.942679962605173</v>
      </c>
      <c r="AY16" s="79" t="n">
        <f aca="false">B16</f>
        <v>0.942679962605173</v>
      </c>
      <c r="AZ16" s="79" t="n">
        <f aca="false">B16</f>
        <v>0.942679962605173</v>
      </c>
      <c r="BA16" s="80" t="n">
        <f aca="false">F16</f>
        <v>0.769230769230769</v>
      </c>
      <c r="BB16" s="80" t="n">
        <f aca="false">F16</f>
        <v>0.769230769230769</v>
      </c>
      <c r="BC16" s="79" t="n">
        <f aca="false">B16</f>
        <v>0.942679962605173</v>
      </c>
      <c r="BD16" s="79" t="n">
        <f aca="false">B16</f>
        <v>0.942679962605173</v>
      </c>
      <c r="BE16" s="80" t="n">
        <v>1</v>
      </c>
      <c r="BF16" s="80" t="n">
        <v>1</v>
      </c>
      <c r="BG16" s="79" t="n">
        <f aca="false">B16</f>
        <v>0.942679962605173</v>
      </c>
      <c r="BH16" s="79" t="n">
        <f aca="false">B16</f>
        <v>0.942679962605173</v>
      </c>
      <c r="BI16" s="79" t="n">
        <f aca="false">B16</f>
        <v>0.942679962605173</v>
      </c>
      <c r="BJ16" s="79" t="n">
        <f aca="false">B16</f>
        <v>0.942679962605173</v>
      </c>
      <c r="BK16" s="80" t="n">
        <v>1</v>
      </c>
    </row>
    <row r="17" customFormat="false" ht="12.75" hidden="false" customHeight="false" outlineLevel="0" collapsed="false">
      <c r="A17" s="1" t="n">
        <f aca="false">A16-1</f>
        <v>2010</v>
      </c>
      <c r="B17" s="79" t="n">
        <f aca="false">im!C17/(im!C17+im!D17)</f>
        <v>0.93975868500816</v>
      </c>
      <c r="C17" s="79" t="n">
        <f aca="false">B17</f>
        <v>0.93975868500816</v>
      </c>
      <c r="D17" s="79" t="n">
        <f aca="false">B17</f>
        <v>0.93975868500816</v>
      </c>
      <c r="E17" s="79" t="n">
        <f aca="false">B17</f>
        <v>0.93975868500816</v>
      </c>
      <c r="F17" s="79" t="n">
        <f aca="false">im!I17/(im!I17+im!J17)</f>
        <v>0.727272727272727</v>
      </c>
      <c r="G17" s="79" t="n">
        <f aca="false">F17</f>
        <v>0.727272727272727</v>
      </c>
      <c r="H17" s="79" t="n">
        <f aca="false">F17</f>
        <v>0.727272727272727</v>
      </c>
      <c r="I17" s="79" t="n">
        <f aca="false">F17</f>
        <v>0.727272727272727</v>
      </c>
      <c r="J17" s="79" t="n">
        <v>1</v>
      </c>
      <c r="K17" s="79" t="n">
        <v>1</v>
      </c>
      <c r="L17" s="79" t="n">
        <f aca="false">B17</f>
        <v>0.93975868500816</v>
      </c>
      <c r="M17" s="79" t="n">
        <f aca="false">B17</f>
        <v>0.93975868500816</v>
      </c>
      <c r="N17" s="79" t="n">
        <f aca="false">B17</f>
        <v>0.93975868500816</v>
      </c>
      <c r="O17" s="79" t="n">
        <f aca="false">B17</f>
        <v>0.93975868500816</v>
      </c>
      <c r="P17" s="79" t="n">
        <f aca="false">B17</f>
        <v>0.93975868500816</v>
      </c>
      <c r="Q17" s="80" t="n">
        <f aca="false">F17</f>
        <v>0.727272727272727</v>
      </c>
      <c r="R17" s="80" t="n">
        <f aca="false">F17</f>
        <v>0.727272727272727</v>
      </c>
      <c r="S17" s="80" t="n">
        <f aca="false">F17</f>
        <v>0.727272727272727</v>
      </c>
      <c r="T17" s="80" t="n">
        <v>1</v>
      </c>
      <c r="U17" s="80" t="n">
        <v>1</v>
      </c>
      <c r="V17" s="80" t="n">
        <f aca="false">F17</f>
        <v>0.727272727272727</v>
      </c>
      <c r="W17" s="80" t="n">
        <f aca="false">F17</f>
        <v>0.727272727272727</v>
      </c>
      <c r="X17" s="80" t="n">
        <f aca="false">F17</f>
        <v>0.727272727272727</v>
      </c>
      <c r="Y17" s="80" t="n">
        <f aca="false">F17</f>
        <v>0.727272727272727</v>
      </c>
      <c r="Z17" s="80" t="n">
        <f aca="false">F17</f>
        <v>0.727272727272727</v>
      </c>
      <c r="AA17" s="80" t="n">
        <f aca="false">F17</f>
        <v>0.727272727272727</v>
      </c>
      <c r="AB17" s="80" t="n">
        <f aca="false">F17</f>
        <v>0.727272727272727</v>
      </c>
      <c r="AC17" s="80" t="n">
        <f aca="false">F17</f>
        <v>0.727272727272727</v>
      </c>
      <c r="AD17" s="80" t="n">
        <f aca="false">F17</f>
        <v>0.727272727272727</v>
      </c>
      <c r="AE17" s="79" t="n">
        <f aca="false">B17</f>
        <v>0.93975868500816</v>
      </c>
      <c r="AF17" s="79" t="n">
        <f aca="false">B17</f>
        <v>0.93975868500816</v>
      </c>
      <c r="AG17" s="79" t="n">
        <f aca="false">B17</f>
        <v>0.93975868500816</v>
      </c>
      <c r="AH17" s="79" t="n">
        <f aca="false">B17</f>
        <v>0.93975868500816</v>
      </c>
      <c r="AI17" s="79" t="n">
        <f aca="false">B17</f>
        <v>0.93975868500816</v>
      </c>
      <c r="AJ17" s="79" t="n">
        <f aca="false">B17</f>
        <v>0.93975868500816</v>
      </c>
      <c r="AK17" s="79" t="n">
        <f aca="false">B17</f>
        <v>0.93975868500816</v>
      </c>
      <c r="AL17" s="79" t="n">
        <f aca="false">B17</f>
        <v>0.93975868500816</v>
      </c>
      <c r="AM17" s="79" t="n">
        <f aca="false">B17</f>
        <v>0.93975868500816</v>
      </c>
      <c r="AN17" s="80" t="n">
        <f aca="false">F17</f>
        <v>0.727272727272727</v>
      </c>
      <c r="AO17" s="80" t="n">
        <f aca="false">F17</f>
        <v>0.727272727272727</v>
      </c>
      <c r="AP17" s="80" t="n">
        <f aca="false">F17</f>
        <v>0.727272727272727</v>
      </c>
      <c r="AQ17" s="80" t="n">
        <f aca="false">F17</f>
        <v>0.727272727272727</v>
      </c>
      <c r="AR17" s="80" t="n">
        <f aca="false">F17</f>
        <v>0.727272727272727</v>
      </c>
      <c r="AS17" s="80" t="n">
        <f aca="false">F17</f>
        <v>0.727272727272727</v>
      </c>
      <c r="AT17" s="80" t="n">
        <v>1</v>
      </c>
      <c r="AU17" s="80" t="n">
        <f aca="false">F17</f>
        <v>0.727272727272727</v>
      </c>
      <c r="AV17" s="80" t="n">
        <f aca="false">F17</f>
        <v>0.727272727272727</v>
      </c>
      <c r="AW17" s="80" t="n">
        <f aca="false">F17</f>
        <v>0.727272727272727</v>
      </c>
      <c r="AX17" s="79" t="n">
        <f aca="false">B17</f>
        <v>0.93975868500816</v>
      </c>
      <c r="AY17" s="79" t="n">
        <f aca="false">B17</f>
        <v>0.93975868500816</v>
      </c>
      <c r="AZ17" s="79" t="n">
        <f aca="false">B17</f>
        <v>0.93975868500816</v>
      </c>
      <c r="BA17" s="80" t="n">
        <f aca="false">F17</f>
        <v>0.727272727272727</v>
      </c>
      <c r="BB17" s="80" t="n">
        <f aca="false">F17</f>
        <v>0.727272727272727</v>
      </c>
      <c r="BC17" s="79" t="n">
        <f aca="false">B17</f>
        <v>0.93975868500816</v>
      </c>
      <c r="BD17" s="79" t="n">
        <f aca="false">B17</f>
        <v>0.93975868500816</v>
      </c>
      <c r="BE17" s="80" t="n">
        <v>1</v>
      </c>
      <c r="BF17" s="80" t="n">
        <v>1</v>
      </c>
      <c r="BG17" s="79" t="n">
        <f aca="false">B17</f>
        <v>0.93975868500816</v>
      </c>
      <c r="BH17" s="79" t="n">
        <f aca="false">B17</f>
        <v>0.93975868500816</v>
      </c>
      <c r="BI17" s="79" t="n">
        <f aca="false">B17</f>
        <v>0.93975868500816</v>
      </c>
      <c r="BJ17" s="79" t="n">
        <f aca="false">B17</f>
        <v>0.93975868500816</v>
      </c>
      <c r="BK17" s="80" t="n">
        <v>1</v>
      </c>
    </row>
    <row r="18" customFormat="false" ht="12.75" hidden="false" customHeight="false" outlineLevel="0" collapsed="false">
      <c r="A18" s="1" t="n">
        <f aca="false">A17-1</f>
        <v>2009</v>
      </c>
      <c r="B18" s="79" t="n">
        <f aca="false">im!C18/(im!C18+im!D18)</f>
        <v>0.935548526212799</v>
      </c>
      <c r="C18" s="79" t="n">
        <f aca="false">B18</f>
        <v>0.935548526212799</v>
      </c>
      <c r="D18" s="79" t="n">
        <f aca="false">B18</f>
        <v>0.935548526212799</v>
      </c>
      <c r="E18" s="79" t="n">
        <f aca="false">B18</f>
        <v>0.935548526212799</v>
      </c>
      <c r="F18" s="79" t="n">
        <f aca="false">im!I18/(im!I18+im!J18)</f>
        <v>0.802585604472397</v>
      </c>
      <c r="G18" s="79" t="n">
        <f aca="false">F18</f>
        <v>0.802585604472397</v>
      </c>
      <c r="H18" s="79" t="n">
        <f aca="false">F18</f>
        <v>0.802585604472397</v>
      </c>
      <c r="I18" s="79" t="n">
        <f aca="false">F18</f>
        <v>0.802585604472397</v>
      </c>
      <c r="J18" s="79" t="n">
        <v>1</v>
      </c>
      <c r="K18" s="79" t="n">
        <v>1</v>
      </c>
      <c r="L18" s="79" t="n">
        <f aca="false">B18</f>
        <v>0.935548526212799</v>
      </c>
      <c r="M18" s="79" t="n">
        <f aca="false">B18</f>
        <v>0.935548526212799</v>
      </c>
      <c r="N18" s="79" t="n">
        <f aca="false">B18</f>
        <v>0.935548526212799</v>
      </c>
      <c r="O18" s="79" t="n">
        <f aca="false">B18</f>
        <v>0.935548526212799</v>
      </c>
      <c r="P18" s="79" t="n">
        <f aca="false">B18</f>
        <v>0.935548526212799</v>
      </c>
      <c r="Q18" s="80" t="n">
        <f aca="false">F18</f>
        <v>0.802585604472397</v>
      </c>
      <c r="R18" s="80" t="n">
        <f aca="false">F18</f>
        <v>0.802585604472397</v>
      </c>
      <c r="S18" s="80" t="n">
        <f aca="false">F18</f>
        <v>0.802585604472397</v>
      </c>
      <c r="T18" s="80" t="n">
        <v>1</v>
      </c>
      <c r="U18" s="80" t="n">
        <v>1</v>
      </c>
      <c r="V18" s="80" t="n">
        <f aca="false">F18</f>
        <v>0.802585604472397</v>
      </c>
      <c r="W18" s="80" t="n">
        <f aca="false">F18</f>
        <v>0.802585604472397</v>
      </c>
      <c r="X18" s="80" t="n">
        <f aca="false">F18</f>
        <v>0.802585604472397</v>
      </c>
      <c r="Y18" s="80" t="n">
        <f aca="false">F18</f>
        <v>0.802585604472397</v>
      </c>
      <c r="Z18" s="80" t="n">
        <f aca="false">F18</f>
        <v>0.802585604472397</v>
      </c>
      <c r="AA18" s="80" t="n">
        <f aca="false">F18</f>
        <v>0.802585604472397</v>
      </c>
      <c r="AB18" s="80" t="n">
        <f aca="false">F18</f>
        <v>0.802585604472397</v>
      </c>
      <c r="AC18" s="80" t="n">
        <f aca="false">F18</f>
        <v>0.802585604472397</v>
      </c>
      <c r="AD18" s="80" t="n">
        <f aca="false">F18</f>
        <v>0.802585604472397</v>
      </c>
      <c r="AE18" s="79" t="n">
        <f aca="false">B18</f>
        <v>0.935548526212799</v>
      </c>
      <c r="AF18" s="79" t="n">
        <f aca="false">B18</f>
        <v>0.935548526212799</v>
      </c>
      <c r="AG18" s="79" t="n">
        <f aca="false">B18</f>
        <v>0.935548526212799</v>
      </c>
      <c r="AH18" s="79" t="n">
        <f aca="false">B18</f>
        <v>0.935548526212799</v>
      </c>
      <c r="AI18" s="79" t="n">
        <f aca="false">B18</f>
        <v>0.935548526212799</v>
      </c>
      <c r="AJ18" s="79" t="n">
        <f aca="false">B18</f>
        <v>0.935548526212799</v>
      </c>
      <c r="AK18" s="79" t="n">
        <f aca="false">B18</f>
        <v>0.935548526212799</v>
      </c>
      <c r="AL18" s="79" t="n">
        <f aca="false">B18</f>
        <v>0.935548526212799</v>
      </c>
      <c r="AM18" s="79" t="n">
        <f aca="false">B18</f>
        <v>0.935548526212799</v>
      </c>
      <c r="AN18" s="80" t="n">
        <f aca="false">F18</f>
        <v>0.802585604472397</v>
      </c>
      <c r="AO18" s="80" t="n">
        <f aca="false">F18</f>
        <v>0.802585604472397</v>
      </c>
      <c r="AP18" s="80" t="n">
        <f aca="false">F18</f>
        <v>0.802585604472397</v>
      </c>
      <c r="AQ18" s="80" t="n">
        <f aca="false">F18</f>
        <v>0.802585604472397</v>
      </c>
      <c r="AR18" s="80" t="n">
        <f aca="false">F18</f>
        <v>0.802585604472397</v>
      </c>
      <c r="AS18" s="80" t="n">
        <f aca="false">F18</f>
        <v>0.802585604472397</v>
      </c>
      <c r="AT18" s="80" t="n">
        <v>1</v>
      </c>
      <c r="AU18" s="80" t="n">
        <f aca="false">F18</f>
        <v>0.802585604472397</v>
      </c>
      <c r="AV18" s="80" t="n">
        <f aca="false">F18</f>
        <v>0.802585604472397</v>
      </c>
      <c r="AW18" s="80" t="n">
        <f aca="false">F18</f>
        <v>0.802585604472397</v>
      </c>
      <c r="AX18" s="79" t="n">
        <f aca="false">B18</f>
        <v>0.935548526212799</v>
      </c>
      <c r="AY18" s="79" t="n">
        <f aca="false">B18</f>
        <v>0.935548526212799</v>
      </c>
      <c r="AZ18" s="79" t="n">
        <f aca="false">B18</f>
        <v>0.935548526212799</v>
      </c>
      <c r="BA18" s="80" t="n">
        <f aca="false">F18</f>
        <v>0.802585604472397</v>
      </c>
      <c r="BB18" s="80" t="n">
        <f aca="false">F18</f>
        <v>0.802585604472397</v>
      </c>
      <c r="BC18" s="79" t="n">
        <f aca="false">B18</f>
        <v>0.935548526212799</v>
      </c>
      <c r="BD18" s="79" t="n">
        <f aca="false">B18</f>
        <v>0.935548526212799</v>
      </c>
      <c r="BE18" s="80" t="n">
        <v>1</v>
      </c>
      <c r="BF18" s="80" t="n">
        <v>1</v>
      </c>
      <c r="BG18" s="79" t="n">
        <f aca="false">B18</f>
        <v>0.935548526212799</v>
      </c>
      <c r="BH18" s="79" t="n">
        <f aca="false">B18</f>
        <v>0.935548526212799</v>
      </c>
      <c r="BI18" s="79" t="n">
        <f aca="false">B18</f>
        <v>0.935548526212799</v>
      </c>
      <c r="BJ18" s="79" t="n">
        <f aca="false">B18</f>
        <v>0.935548526212799</v>
      </c>
      <c r="BK18" s="80" t="n">
        <v>1</v>
      </c>
    </row>
    <row r="19" customFormat="false" ht="12.75" hidden="false" customHeight="false" outlineLevel="0" collapsed="false">
      <c r="A19" s="1" t="n">
        <f aca="false">A18-1</f>
        <v>2008</v>
      </c>
      <c r="B19" s="79" t="n">
        <f aca="false">im!C19/(im!C19+im!D19)</f>
        <v>0.936475718968142</v>
      </c>
      <c r="C19" s="79" t="n">
        <f aca="false">B19</f>
        <v>0.936475718968142</v>
      </c>
      <c r="D19" s="79" t="n">
        <f aca="false">B19</f>
        <v>0.936475718968142</v>
      </c>
      <c r="E19" s="79" t="n">
        <f aca="false">B19</f>
        <v>0.936475718968142</v>
      </c>
      <c r="F19" s="79" t="n">
        <f aca="false">im!I19/(im!I19+im!J19)</f>
        <v>0.781449893390192</v>
      </c>
      <c r="G19" s="79" t="n">
        <f aca="false">F19</f>
        <v>0.781449893390192</v>
      </c>
      <c r="H19" s="79" t="n">
        <f aca="false">F19</f>
        <v>0.781449893390192</v>
      </c>
      <c r="I19" s="79" t="n">
        <f aca="false">F19</f>
        <v>0.781449893390192</v>
      </c>
      <c r="J19" s="79" t="n">
        <v>1</v>
      </c>
      <c r="K19" s="79" t="n">
        <v>1</v>
      </c>
      <c r="L19" s="79" t="n">
        <f aca="false">B19</f>
        <v>0.936475718968142</v>
      </c>
      <c r="M19" s="79" t="n">
        <f aca="false">B19</f>
        <v>0.936475718968142</v>
      </c>
      <c r="N19" s="79" t="n">
        <f aca="false">B19</f>
        <v>0.936475718968142</v>
      </c>
      <c r="O19" s="79" t="n">
        <f aca="false">B19</f>
        <v>0.936475718968142</v>
      </c>
      <c r="P19" s="79" t="n">
        <f aca="false">B19</f>
        <v>0.936475718968142</v>
      </c>
      <c r="Q19" s="80" t="n">
        <f aca="false">F19</f>
        <v>0.781449893390192</v>
      </c>
      <c r="R19" s="80" t="n">
        <f aca="false">F19</f>
        <v>0.781449893390192</v>
      </c>
      <c r="S19" s="80" t="n">
        <f aca="false">F19</f>
        <v>0.781449893390192</v>
      </c>
      <c r="T19" s="80" t="n">
        <v>1</v>
      </c>
      <c r="U19" s="80" t="n">
        <v>1</v>
      </c>
      <c r="V19" s="80" t="n">
        <f aca="false">F19</f>
        <v>0.781449893390192</v>
      </c>
      <c r="W19" s="80" t="n">
        <f aca="false">F19</f>
        <v>0.781449893390192</v>
      </c>
      <c r="X19" s="80" t="n">
        <f aca="false">F19</f>
        <v>0.781449893390192</v>
      </c>
      <c r="Y19" s="80" t="n">
        <f aca="false">F19</f>
        <v>0.781449893390192</v>
      </c>
      <c r="Z19" s="80" t="n">
        <f aca="false">F19</f>
        <v>0.781449893390192</v>
      </c>
      <c r="AA19" s="80" t="n">
        <f aca="false">F19</f>
        <v>0.781449893390192</v>
      </c>
      <c r="AB19" s="80" t="n">
        <f aca="false">F19</f>
        <v>0.781449893390192</v>
      </c>
      <c r="AC19" s="80" t="n">
        <f aca="false">F19</f>
        <v>0.781449893390192</v>
      </c>
      <c r="AD19" s="80" t="n">
        <f aca="false">F19</f>
        <v>0.781449893390192</v>
      </c>
      <c r="AE19" s="79" t="n">
        <f aca="false">B19</f>
        <v>0.936475718968142</v>
      </c>
      <c r="AF19" s="79" t="n">
        <f aca="false">B19</f>
        <v>0.936475718968142</v>
      </c>
      <c r="AG19" s="79" t="n">
        <f aca="false">B19</f>
        <v>0.936475718968142</v>
      </c>
      <c r="AH19" s="79" t="n">
        <f aca="false">B19</f>
        <v>0.936475718968142</v>
      </c>
      <c r="AI19" s="79" t="n">
        <f aca="false">B19</f>
        <v>0.936475718968142</v>
      </c>
      <c r="AJ19" s="79" t="n">
        <f aca="false">B19</f>
        <v>0.936475718968142</v>
      </c>
      <c r="AK19" s="79" t="n">
        <f aca="false">B19</f>
        <v>0.936475718968142</v>
      </c>
      <c r="AL19" s="79" t="n">
        <f aca="false">B19</f>
        <v>0.936475718968142</v>
      </c>
      <c r="AM19" s="79" t="n">
        <f aca="false">B19</f>
        <v>0.936475718968142</v>
      </c>
      <c r="AN19" s="80" t="n">
        <f aca="false">F19</f>
        <v>0.781449893390192</v>
      </c>
      <c r="AO19" s="80" t="n">
        <f aca="false">F19</f>
        <v>0.781449893390192</v>
      </c>
      <c r="AP19" s="80" t="n">
        <f aca="false">F19</f>
        <v>0.781449893390192</v>
      </c>
      <c r="AQ19" s="80" t="n">
        <f aca="false">F19</f>
        <v>0.781449893390192</v>
      </c>
      <c r="AR19" s="80" t="n">
        <f aca="false">F19</f>
        <v>0.781449893390192</v>
      </c>
      <c r="AS19" s="80" t="n">
        <f aca="false">F19</f>
        <v>0.781449893390192</v>
      </c>
      <c r="AT19" s="80" t="n">
        <v>1</v>
      </c>
      <c r="AU19" s="80" t="n">
        <f aca="false">F19</f>
        <v>0.781449893390192</v>
      </c>
      <c r="AV19" s="80" t="n">
        <f aca="false">F19</f>
        <v>0.781449893390192</v>
      </c>
      <c r="AW19" s="80" t="n">
        <f aca="false">F19</f>
        <v>0.781449893390192</v>
      </c>
      <c r="AX19" s="79" t="n">
        <f aca="false">B19</f>
        <v>0.936475718968142</v>
      </c>
      <c r="AY19" s="79" t="n">
        <f aca="false">B19</f>
        <v>0.936475718968142</v>
      </c>
      <c r="AZ19" s="79" t="n">
        <f aca="false">B19</f>
        <v>0.936475718968142</v>
      </c>
      <c r="BA19" s="80" t="n">
        <f aca="false">F19</f>
        <v>0.781449893390192</v>
      </c>
      <c r="BB19" s="80" t="n">
        <f aca="false">F19</f>
        <v>0.781449893390192</v>
      </c>
      <c r="BC19" s="79" t="n">
        <f aca="false">B19</f>
        <v>0.936475718968142</v>
      </c>
      <c r="BD19" s="79" t="n">
        <f aca="false">B19</f>
        <v>0.936475718968142</v>
      </c>
      <c r="BE19" s="80" t="n">
        <v>1</v>
      </c>
      <c r="BF19" s="80" t="n">
        <v>1</v>
      </c>
      <c r="BG19" s="79" t="n">
        <f aca="false">B19</f>
        <v>0.936475718968142</v>
      </c>
      <c r="BH19" s="79" t="n">
        <f aca="false">B19</f>
        <v>0.936475718968142</v>
      </c>
      <c r="BI19" s="79" t="n">
        <f aca="false">B19</f>
        <v>0.936475718968142</v>
      </c>
      <c r="BJ19" s="79" t="n">
        <f aca="false">B19</f>
        <v>0.936475718968142</v>
      </c>
      <c r="BK19" s="80" t="n">
        <v>1</v>
      </c>
    </row>
    <row r="20" customFormat="false" ht="12.75" hidden="false" customHeight="false" outlineLevel="0" collapsed="false">
      <c r="A20" s="1" t="n">
        <f aca="false">A19-1</f>
        <v>2007</v>
      </c>
      <c r="B20" s="79" t="n">
        <f aca="false">im!C20/(im!C20+im!D20)</f>
        <v>0.924000798790403</v>
      </c>
      <c r="C20" s="79" t="n">
        <f aca="false">B20</f>
        <v>0.924000798790403</v>
      </c>
      <c r="D20" s="79" t="n">
        <f aca="false">B20</f>
        <v>0.924000798790403</v>
      </c>
      <c r="E20" s="79" t="n">
        <f aca="false">B20</f>
        <v>0.924000798790403</v>
      </c>
      <c r="F20" s="79" t="n">
        <f aca="false">im!I20/(im!I20+im!J20)</f>
        <v>0.760849772382398</v>
      </c>
      <c r="G20" s="79" t="n">
        <f aca="false">F20</f>
        <v>0.760849772382398</v>
      </c>
      <c r="H20" s="79" t="n">
        <f aca="false">F20</f>
        <v>0.760849772382398</v>
      </c>
      <c r="I20" s="79" t="n">
        <f aca="false">F20</f>
        <v>0.760849772382398</v>
      </c>
      <c r="J20" s="79" t="n">
        <v>1</v>
      </c>
      <c r="K20" s="79" t="n">
        <v>1</v>
      </c>
      <c r="L20" s="79" t="n">
        <f aca="false">B20</f>
        <v>0.924000798790403</v>
      </c>
      <c r="M20" s="79" t="n">
        <f aca="false">B20</f>
        <v>0.924000798790403</v>
      </c>
      <c r="N20" s="79" t="n">
        <f aca="false">B20</f>
        <v>0.924000798790403</v>
      </c>
      <c r="O20" s="79" t="n">
        <f aca="false">B20</f>
        <v>0.924000798790403</v>
      </c>
      <c r="P20" s="79" t="n">
        <f aca="false">B20</f>
        <v>0.924000798790403</v>
      </c>
      <c r="Q20" s="80" t="n">
        <f aca="false">F20</f>
        <v>0.760849772382398</v>
      </c>
      <c r="R20" s="80" t="n">
        <f aca="false">F20</f>
        <v>0.760849772382398</v>
      </c>
      <c r="S20" s="80" t="n">
        <f aca="false">F20</f>
        <v>0.760849772382398</v>
      </c>
      <c r="T20" s="80" t="n">
        <v>1</v>
      </c>
      <c r="U20" s="80" t="n">
        <v>1</v>
      </c>
      <c r="V20" s="80" t="n">
        <f aca="false">F20</f>
        <v>0.760849772382398</v>
      </c>
      <c r="W20" s="80" t="n">
        <f aca="false">F20</f>
        <v>0.760849772382398</v>
      </c>
      <c r="X20" s="80" t="n">
        <f aca="false">F20</f>
        <v>0.760849772382398</v>
      </c>
      <c r="Y20" s="80" t="n">
        <f aca="false">F20</f>
        <v>0.760849772382398</v>
      </c>
      <c r="Z20" s="80" t="n">
        <f aca="false">F20</f>
        <v>0.760849772382398</v>
      </c>
      <c r="AA20" s="80" t="n">
        <f aca="false">F20</f>
        <v>0.760849772382398</v>
      </c>
      <c r="AB20" s="80" t="n">
        <f aca="false">F20</f>
        <v>0.760849772382398</v>
      </c>
      <c r="AC20" s="80" t="n">
        <f aca="false">F20</f>
        <v>0.760849772382398</v>
      </c>
      <c r="AD20" s="80" t="n">
        <f aca="false">F20</f>
        <v>0.760849772382398</v>
      </c>
      <c r="AE20" s="79" t="n">
        <f aca="false">B20</f>
        <v>0.924000798790403</v>
      </c>
      <c r="AF20" s="79" t="n">
        <f aca="false">B20</f>
        <v>0.924000798790403</v>
      </c>
      <c r="AG20" s="79" t="n">
        <f aca="false">B20</f>
        <v>0.924000798790403</v>
      </c>
      <c r="AH20" s="79" t="n">
        <f aca="false">B20</f>
        <v>0.924000798790403</v>
      </c>
      <c r="AI20" s="79" t="n">
        <f aca="false">B20</f>
        <v>0.924000798790403</v>
      </c>
      <c r="AJ20" s="79" t="n">
        <f aca="false">B20</f>
        <v>0.924000798790403</v>
      </c>
      <c r="AK20" s="79" t="n">
        <f aca="false">B20</f>
        <v>0.924000798790403</v>
      </c>
      <c r="AL20" s="79" t="n">
        <f aca="false">B20</f>
        <v>0.924000798790403</v>
      </c>
      <c r="AM20" s="79" t="n">
        <f aca="false">B20</f>
        <v>0.924000798790403</v>
      </c>
      <c r="AN20" s="80" t="n">
        <f aca="false">F20</f>
        <v>0.760849772382398</v>
      </c>
      <c r="AO20" s="80" t="n">
        <f aca="false">F20</f>
        <v>0.760849772382398</v>
      </c>
      <c r="AP20" s="80" t="n">
        <f aca="false">F20</f>
        <v>0.760849772382398</v>
      </c>
      <c r="AQ20" s="80" t="n">
        <f aca="false">F20</f>
        <v>0.760849772382398</v>
      </c>
      <c r="AR20" s="80" t="n">
        <f aca="false">F20</f>
        <v>0.760849772382398</v>
      </c>
      <c r="AS20" s="80" t="n">
        <f aca="false">F20</f>
        <v>0.760849772382398</v>
      </c>
      <c r="AT20" s="80" t="n">
        <v>1</v>
      </c>
      <c r="AU20" s="80" t="n">
        <f aca="false">F20</f>
        <v>0.760849772382398</v>
      </c>
      <c r="AV20" s="80" t="n">
        <f aca="false">F20</f>
        <v>0.760849772382398</v>
      </c>
      <c r="AW20" s="80" t="n">
        <f aca="false">F20</f>
        <v>0.760849772382398</v>
      </c>
      <c r="AX20" s="79" t="n">
        <f aca="false">B20</f>
        <v>0.924000798790403</v>
      </c>
      <c r="AY20" s="79" t="n">
        <f aca="false">B20</f>
        <v>0.924000798790403</v>
      </c>
      <c r="AZ20" s="79" t="n">
        <f aca="false">B20</f>
        <v>0.924000798790403</v>
      </c>
      <c r="BA20" s="80" t="n">
        <f aca="false">F20</f>
        <v>0.760849772382398</v>
      </c>
      <c r="BB20" s="80" t="n">
        <f aca="false">F20</f>
        <v>0.760849772382398</v>
      </c>
      <c r="BC20" s="79" t="n">
        <f aca="false">B20</f>
        <v>0.924000798790403</v>
      </c>
      <c r="BD20" s="79" t="n">
        <f aca="false">B20</f>
        <v>0.924000798790403</v>
      </c>
      <c r="BE20" s="80" t="n">
        <v>1</v>
      </c>
      <c r="BF20" s="80" t="n">
        <v>1</v>
      </c>
      <c r="BG20" s="79" t="n">
        <f aca="false">B20</f>
        <v>0.924000798790403</v>
      </c>
      <c r="BH20" s="79" t="n">
        <f aca="false">B20</f>
        <v>0.924000798790403</v>
      </c>
      <c r="BI20" s="79" t="n">
        <f aca="false">B20</f>
        <v>0.924000798790403</v>
      </c>
      <c r="BJ20" s="79" t="n">
        <f aca="false">B20</f>
        <v>0.924000798790403</v>
      </c>
      <c r="BK20" s="80" t="n">
        <v>1</v>
      </c>
    </row>
    <row r="21" customFormat="false" ht="12.75" hidden="false" customHeight="false" outlineLevel="0" collapsed="false">
      <c r="A21" s="1" t="n">
        <f aca="false">A20-1</f>
        <v>2006</v>
      </c>
      <c r="B21" s="79" t="n">
        <f aca="false">im!C21/(im!C21+im!D21)</f>
        <v>0.901487899207918</v>
      </c>
      <c r="C21" s="79" t="n">
        <f aca="false">B21</f>
        <v>0.901487899207918</v>
      </c>
      <c r="D21" s="79" t="n">
        <f aca="false">B21</f>
        <v>0.901487899207918</v>
      </c>
      <c r="E21" s="79" t="n">
        <f aca="false">B21</f>
        <v>0.901487899207918</v>
      </c>
      <c r="F21" s="79" t="n">
        <f aca="false">im!I21/(im!I21+im!J21)</f>
        <v>0.765202702702703</v>
      </c>
      <c r="G21" s="79" t="n">
        <f aca="false">F21</f>
        <v>0.765202702702703</v>
      </c>
      <c r="H21" s="79" t="n">
        <f aca="false">F21</f>
        <v>0.765202702702703</v>
      </c>
      <c r="I21" s="79" t="n">
        <f aca="false">F21</f>
        <v>0.765202702702703</v>
      </c>
      <c r="J21" s="79" t="n">
        <v>1</v>
      </c>
      <c r="K21" s="79" t="n">
        <v>1</v>
      </c>
      <c r="L21" s="79" t="n">
        <f aca="false">B21</f>
        <v>0.901487899207918</v>
      </c>
      <c r="M21" s="79" t="n">
        <f aca="false">B21</f>
        <v>0.901487899207918</v>
      </c>
      <c r="N21" s="79" t="n">
        <f aca="false">B21</f>
        <v>0.901487899207918</v>
      </c>
      <c r="O21" s="79" t="n">
        <f aca="false">B21</f>
        <v>0.901487899207918</v>
      </c>
      <c r="P21" s="79" t="n">
        <f aca="false">B21</f>
        <v>0.901487899207918</v>
      </c>
      <c r="Q21" s="80" t="n">
        <f aca="false">F21</f>
        <v>0.765202702702703</v>
      </c>
      <c r="R21" s="80" t="n">
        <f aca="false">F21</f>
        <v>0.765202702702703</v>
      </c>
      <c r="S21" s="80" t="n">
        <f aca="false">F21</f>
        <v>0.765202702702703</v>
      </c>
      <c r="T21" s="80" t="n">
        <v>1</v>
      </c>
      <c r="U21" s="80" t="n">
        <v>1</v>
      </c>
      <c r="V21" s="80" t="n">
        <f aca="false">F21</f>
        <v>0.765202702702703</v>
      </c>
      <c r="W21" s="80" t="n">
        <f aca="false">F21</f>
        <v>0.765202702702703</v>
      </c>
      <c r="X21" s="80" t="n">
        <f aca="false">F21</f>
        <v>0.765202702702703</v>
      </c>
      <c r="Y21" s="80" t="n">
        <f aca="false">F21</f>
        <v>0.765202702702703</v>
      </c>
      <c r="Z21" s="80" t="n">
        <f aca="false">F21</f>
        <v>0.765202702702703</v>
      </c>
      <c r="AA21" s="80" t="n">
        <f aca="false">F21</f>
        <v>0.765202702702703</v>
      </c>
      <c r="AB21" s="80" t="n">
        <f aca="false">F21</f>
        <v>0.765202702702703</v>
      </c>
      <c r="AC21" s="80" t="n">
        <f aca="false">F21</f>
        <v>0.765202702702703</v>
      </c>
      <c r="AD21" s="80" t="n">
        <f aca="false">F21</f>
        <v>0.765202702702703</v>
      </c>
      <c r="AE21" s="79" t="n">
        <f aca="false">B21</f>
        <v>0.901487899207918</v>
      </c>
      <c r="AF21" s="79" t="n">
        <f aca="false">B21</f>
        <v>0.901487899207918</v>
      </c>
      <c r="AG21" s="79" t="n">
        <f aca="false">B21</f>
        <v>0.901487899207918</v>
      </c>
      <c r="AH21" s="79" t="n">
        <f aca="false">B21</f>
        <v>0.901487899207918</v>
      </c>
      <c r="AI21" s="79" t="n">
        <f aca="false">B21</f>
        <v>0.901487899207918</v>
      </c>
      <c r="AJ21" s="79" t="n">
        <f aca="false">B21</f>
        <v>0.901487899207918</v>
      </c>
      <c r="AK21" s="79" t="n">
        <f aca="false">B21</f>
        <v>0.901487899207918</v>
      </c>
      <c r="AL21" s="79" t="n">
        <f aca="false">B21</f>
        <v>0.901487899207918</v>
      </c>
      <c r="AM21" s="79" t="n">
        <f aca="false">B21</f>
        <v>0.901487899207918</v>
      </c>
      <c r="AN21" s="80" t="n">
        <f aca="false">F21</f>
        <v>0.765202702702703</v>
      </c>
      <c r="AO21" s="80" t="n">
        <f aca="false">F21</f>
        <v>0.765202702702703</v>
      </c>
      <c r="AP21" s="80" t="n">
        <f aca="false">F21</f>
        <v>0.765202702702703</v>
      </c>
      <c r="AQ21" s="80" t="n">
        <f aca="false">F21</f>
        <v>0.765202702702703</v>
      </c>
      <c r="AR21" s="80" t="n">
        <f aca="false">F21</f>
        <v>0.765202702702703</v>
      </c>
      <c r="AS21" s="80" t="n">
        <f aca="false">F21</f>
        <v>0.765202702702703</v>
      </c>
      <c r="AT21" s="80" t="n">
        <v>1</v>
      </c>
      <c r="AU21" s="80" t="n">
        <f aca="false">F21</f>
        <v>0.765202702702703</v>
      </c>
      <c r="AV21" s="80" t="n">
        <f aca="false">F21</f>
        <v>0.765202702702703</v>
      </c>
      <c r="AW21" s="80" t="n">
        <f aca="false">F21</f>
        <v>0.765202702702703</v>
      </c>
      <c r="AX21" s="79" t="n">
        <f aca="false">B21</f>
        <v>0.901487899207918</v>
      </c>
      <c r="AY21" s="79" t="n">
        <f aca="false">B21</f>
        <v>0.901487899207918</v>
      </c>
      <c r="AZ21" s="79" t="n">
        <f aca="false">B21</f>
        <v>0.901487899207918</v>
      </c>
      <c r="BA21" s="80" t="n">
        <f aca="false">F21</f>
        <v>0.765202702702703</v>
      </c>
      <c r="BB21" s="80" t="n">
        <f aca="false">F21</f>
        <v>0.765202702702703</v>
      </c>
      <c r="BC21" s="79" t="n">
        <f aca="false">B21</f>
        <v>0.901487899207918</v>
      </c>
      <c r="BD21" s="79" t="n">
        <f aca="false">B21</f>
        <v>0.901487899207918</v>
      </c>
      <c r="BE21" s="80" t="n">
        <v>1</v>
      </c>
      <c r="BF21" s="80" t="n">
        <v>1</v>
      </c>
      <c r="BG21" s="79" t="n">
        <f aca="false">B21</f>
        <v>0.901487899207918</v>
      </c>
      <c r="BH21" s="79" t="n">
        <f aca="false">B21</f>
        <v>0.901487899207918</v>
      </c>
      <c r="BI21" s="79" t="n">
        <f aca="false">B21</f>
        <v>0.901487899207918</v>
      </c>
      <c r="BJ21" s="79" t="n">
        <f aca="false">B21</f>
        <v>0.901487899207918</v>
      </c>
      <c r="BK21" s="80" t="n">
        <v>1</v>
      </c>
    </row>
    <row r="22" customFormat="false" ht="12.75" hidden="false" customHeight="false" outlineLevel="0" collapsed="false">
      <c r="A22" s="1" t="n">
        <f aca="false">A21-1</f>
        <v>2005</v>
      </c>
      <c r="B22" s="79" t="n">
        <f aca="false">im!C22/(im!C22+im!D22)</f>
        <v>0.876963809449647</v>
      </c>
      <c r="C22" s="79" t="n">
        <f aca="false">B22</f>
        <v>0.876963809449647</v>
      </c>
      <c r="D22" s="79" t="n">
        <f aca="false">B22</f>
        <v>0.876963809449647</v>
      </c>
      <c r="E22" s="79" t="n">
        <f aca="false">B22</f>
        <v>0.876963809449647</v>
      </c>
      <c r="F22" s="79" t="n">
        <f aca="false">im!I22/(im!I22+im!J22)</f>
        <v>0.74974533106961</v>
      </c>
      <c r="G22" s="79" t="n">
        <f aca="false">F22</f>
        <v>0.74974533106961</v>
      </c>
      <c r="H22" s="79" t="n">
        <f aca="false">F22</f>
        <v>0.74974533106961</v>
      </c>
      <c r="I22" s="79" t="n">
        <f aca="false">F22</f>
        <v>0.74974533106961</v>
      </c>
      <c r="J22" s="79" t="n">
        <v>1</v>
      </c>
      <c r="K22" s="79" t="n">
        <v>1</v>
      </c>
      <c r="L22" s="79" t="n">
        <f aca="false">B22</f>
        <v>0.876963809449647</v>
      </c>
      <c r="M22" s="79" t="n">
        <f aca="false">B22</f>
        <v>0.876963809449647</v>
      </c>
      <c r="N22" s="79" t="n">
        <f aca="false">B22</f>
        <v>0.876963809449647</v>
      </c>
      <c r="O22" s="79" t="n">
        <f aca="false">B22</f>
        <v>0.876963809449647</v>
      </c>
      <c r="P22" s="79" t="n">
        <f aca="false">B22</f>
        <v>0.876963809449647</v>
      </c>
      <c r="Q22" s="80" t="n">
        <f aca="false">F22</f>
        <v>0.74974533106961</v>
      </c>
      <c r="R22" s="80" t="n">
        <f aca="false">F22</f>
        <v>0.74974533106961</v>
      </c>
      <c r="S22" s="80" t="n">
        <f aca="false">F22</f>
        <v>0.74974533106961</v>
      </c>
      <c r="T22" s="80" t="n">
        <v>1</v>
      </c>
      <c r="U22" s="80" t="n">
        <v>1</v>
      </c>
      <c r="V22" s="80" t="n">
        <f aca="false">F22</f>
        <v>0.74974533106961</v>
      </c>
      <c r="W22" s="80" t="n">
        <f aca="false">F22</f>
        <v>0.74974533106961</v>
      </c>
      <c r="X22" s="80" t="n">
        <f aca="false">F22</f>
        <v>0.74974533106961</v>
      </c>
      <c r="Y22" s="80" t="n">
        <f aca="false">F22</f>
        <v>0.74974533106961</v>
      </c>
      <c r="Z22" s="80" t="n">
        <f aca="false">F22</f>
        <v>0.74974533106961</v>
      </c>
      <c r="AA22" s="80" t="n">
        <f aca="false">F22</f>
        <v>0.74974533106961</v>
      </c>
      <c r="AB22" s="80" t="n">
        <f aca="false">F22</f>
        <v>0.74974533106961</v>
      </c>
      <c r="AC22" s="80" t="n">
        <f aca="false">F22</f>
        <v>0.74974533106961</v>
      </c>
      <c r="AD22" s="80" t="n">
        <f aca="false">F22</f>
        <v>0.74974533106961</v>
      </c>
      <c r="AE22" s="79" t="n">
        <f aca="false">B22</f>
        <v>0.876963809449647</v>
      </c>
      <c r="AF22" s="79" t="n">
        <f aca="false">B22</f>
        <v>0.876963809449647</v>
      </c>
      <c r="AG22" s="79" t="n">
        <f aca="false">B22</f>
        <v>0.876963809449647</v>
      </c>
      <c r="AH22" s="79" t="n">
        <f aca="false">B22</f>
        <v>0.876963809449647</v>
      </c>
      <c r="AI22" s="79" t="n">
        <f aca="false">B22</f>
        <v>0.876963809449647</v>
      </c>
      <c r="AJ22" s="79" t="n">
        <f aca="false">B22</f>
        <v>0.876963809449647</v>
      </c>
      <c r="AK22" s="79" t="n">
        <f aca="false">B22</f>
        <v>0.876963809449647</v>
      </c>
      <c r="AL22" s="79" t="n">
        <f aca="false">B22</f>
        <v>0.876963809449647</v>
      </c>
      <c r="AM22" s="79" t="n">
        <f aca="false">B22</f>
        <v>0.876963809449647</v>
      </c>
      <c r="AN22" s="80" t="n">
        <f aca="false">F22</f>
        <v>0.74974533106961</v>
      </c>
      <c r="AO22" s="80" t="n">
        <f aca="false">F22</f>
        <v>0.74974533106961</v>
      </c>
      <c r="AP22" s="80" t="n">
        <f aca="false">F22</f>
        <v>0.74974533106961</v>
      </c>
      <c r="AQ22" s="80" t="n">
        <f aca="false">F22</f>
        <v>0.74974533106961</v>
      </c>
      <c r="AR22" s="80" t="n">
        <f aca="false">F22</f>
        <v>0.74974533106961</v>
      </c>
      <c r="AS22" s="80" t="n">
        <f aca="false">F22</f>
        <v>0.74974533106961</v>
      </c>
      <c r="AT22" s="80" t="n">
        <v>1</v>
      </c>
      <c r="AU22" s="80" t="n">
        <f aca="false">F22</f>
        <v>0.74974533106961</v>
      </c>
      <c r="AV22" s="80" t="n">
        <f aca="false">F22</f>
        <v>0.74974533106961</v>
      </c>
      <c r="AW22" s="80" t="n">
        <f aca="false">F22</f>
        <v>0.74974533106961</v>
      </c>
      <c r="AX22" s="79" t="n">
        <f aca="false">B22</f>
        <v>0.876963809449647</v>
      </c>
      <c r="AY22" s="79" t="n">
        <f aca="false">B22</f>
        <v>0.876963809449647</v>
      </c>
      <c r="AZ22" s="79" t="n">
        <f aca="false">B22</f>
        <v>0.876963809449647</v>
      </c>
      <c r="BA22" s="80" t="n">
        <f aca="false">F22</f>
        <v>0.74974533106961</v>
      </c>
      <c r="BB22" s="80" t="n">
        <f aca="false">F22</f>
        <v>0.74974533106961</v>
      </c>
      <c r="BC22" s="79" t="n">
        <f aca="false">B22</f>
        <v>0.876963809449647</v>
      </c>
      <c r="BD22" s="79" t="n">
        <f aca="false">B22</f>
        <v>0.876963809449647</v>
      </c>
      <c r="BE22" s="80" t="n">
        <v>1</v>
      </c>
      <c r="BF22" s="80" t="n">
        <v>1</v>
      </c>
      <c r="BG22" s="79" t="n">
        <f aca="false">B22</f>
        <v>0.876963809449647</v>
      </c>
      <c r="BH22" s="79" t="n">
        <f aca="false">B22</f>
        <v>0.876963809449647</v>
      </c>
      <c r="BI22" s="79" t="n">
        <f aca="false">B22</f>
        <v>0.876963809449647</v>
      </c>
      <c r="BJ22" s="79" t="n">
        <f aca="false">B22</f>
        <v>0.876963809449647</v>
      </c>
      <c r="BK22" s="80" t="n">
        <v>1</v>
      </c>
    </row>
    <row r="23" customFormat="false" ht="12.75" hidden="false" customHeight="false" outlineLevel="0" collapsed="false">
      <c r="A23" s="1" t="n">
        <f aca="false">A22-1</f>
        <v>2004</v>
      </c>
      <c r="B23" s="79" t="n">
        <f aca="false">im!C23/(im!C23+im!D23)</f>
        <v>0.862754592500681</v>
      </c>
      <c r="C23" s="79" t="n">
        <f aca="false">B23</f>
        <v>0.862754592500681</v>
      </c>
      <c r="D23" s="79" t="n">
        <f aca="false">B23</f>
        <v>0.862754592500681</v>
      </c>
      <c r="E23" s="79" t="n">
        <f aca="false">B23</f>
        <v>0.862754592500681</v>
      </c>
      <c r="F23" s="79" t="n">
        <f aca="false">im!I23/(im!I23+im!J23)</f>
        <v>0.753653444676409</v>
      </c>
      <c r="G23" s="79" t="n">
        <f aca="false">F23</f>
        <v>0.753653444676409</v>
      </c>
      <c r="H23" s="79" t="n">
        <f aca="false">F23</f>
        <v>0.753653444676409</v>
      </c>
      <c r="I23" s="79" t="n">
        <f aca="false">F23</f>
        <v>0.753653444676409</v>
      </c>
      <c r="J23" s="79" t="n">
        <v>1</v>
      </c>
      <c r="K23" s="79" t="n">
        <v>1</v>
      </c>
      <c r="L23" s="79" t="n">
        <f aca="false">B23</f>
        <v>0.862754592500681</v>
      </c>
      <c r="M23" s="79" t="n">
        <f aca="false">B23</f>
        <v>0.862754592500681</v>
      </c>
      <c r="N23" s="79" t="n">
        <f aca="false">B23</f>
        <v>0.862754592500681</v>
      </c>
      <c r="O23" s="79" t="n">
        <f aca="false">B23</f>
        <v>0.862754592500681</v>
      </c>
      <c r="P23" s="79" t="n">
        <f aca="false">B23</f>
        <v>0.862754592500681</v>
      </c>
      <c r="Q23" s="80" t="n">
        <f aca="false">F23</f>
        <v>0.753653444676409</v>
      </c>
      <c r="R23" s="80" t="n">
        <f aca="false">F23</f>
        <v>0.753653444676409</v>
      </c>
      <c r="S23" s="80" t="n">
        <f aca="false">F23</f>
        <v>0.753653444676409</v>
      </c>
      <c r="T23" s="80" t="n">
        <v>1</v>
      </c>
      <c r="U23" s="80" t="n">
        <v>1</v>
      </c>
      <c r="V23" s="80" t="n">
        <f aca="false">F23</f>
        <v>0.753653444676409</v>
      </c>
      <c r="W23" s="80" t="n">
        <f aca="false">F23</f>
        <v>0.753653444676409</v>
      </c>
      <c r="X23" s="80" t="n">
        <f aca="false">F23</f>
        <v>0.753653444676409</v>
      </c>
      <c r="Y23" s="80" t="n">
        <f aca="false">F23</f>
        <v>0.753653444676409</v>
      </c>
      <c r="Z23" s="80" t="n">
        <f aca="false">F23</f>
        <v>0.753653444676409</v>
      </c>
      <c r="AA23" s="80" t="n">
        <f aca="false">F23</f>
        <v>0.753653444676409</v>
      </c>
      <c r="AB23" s="80" t="n">
        <f aca="false">F23</f>
        <v>0.753653444676409</v>
      </c>
      <c r="AC23" s="80" t="n">
        <f aca="false">F23</f>
        <v>0.753653444676409</v>
      </c>
      <c r="AD23" s="80" t="n">
        <f aca="false">F23</f>
        <v>0.753653444676409</v>
      </c>
      <c r="AE23" s="79" t="n">
        <f aca="false">B23</f>
        <v>0.862754592500681</v>
      </c>
      <c r="AF23" s="79" t="n">
        <f aca="false">B23</f>
        <v>0.862754592500681</v>
      </c>
      <c r="AG23" s="79" t="n">
        <f aca="false">B23</f>
        <v>0.862754592500681</v>
      </c>
      <c r="AH23" s="79" t="n">
        <f aca="false">B23</f>
        <v>0.862754592500681</v>
      </c>
      <c r="AI23" s="79" t="n">
        <f aca="false">B23</f>
        <v>0.862754592500681</v>
      </c>
      <c r="AJ23" s="79" t="n">
        <f aca="false">B23</f>
        <v>0.862754592500681</v>
      </c>
      <c r="AK23" s="79" t="n">
        <f aca="false">B23</f>
        <v>0.862754592500681</v>
      </c>
      <c r="AL23" s="79" t="n">
        <f aca="false">B23</f>
        <v>0.862754592500681</v>
      </c>
      <c r="AM23" s="79" t="n">
        <f aca="false">B23</f>
        <v>0.862754592500681</v>
      </c>
      <c r="AN23" s="80" t="n">
        <f aca="false">F23</f>
        <v>0.753653444676409</v>
      </c>
      <c r="AO23" s="80" t="n">
        <f aca="false">F23</f>
        <v>0.753653444676409</v>
      </c>
      <c r="AP23" s="80" t="n">
        <f aca="false">F23</f>
        <v>0.753653444676409</v>
      </c>
      <c r="AQ23" s="80" t="n">
        <f aca="false">F23</f>
        <v>0.753653444676409</v>
      </c>
      <c r="AR23" s="80" t="n">
        <f aca="false">F23</f>
        <v>0.753653444676409</v>
      </c>
      <c r="AS23" s="80" t="n">
        <f aca="false">F23</f>
        <v>0.753653444676409</v>
      </c>
      <c r="AT23" s="80" t="n">
        <v>1</v>
      </c>
      <c r="AU23" s="80" t="n">
        <f aca="false">F23</f>
        <v>0.753653444676409</v>
      </c>
      <c r="AV23" s="80" t="n">
        <f aca="false">F23</f>
        <v>0.753653444676409</v>
      </c>
      <c r="AW23" s="80" t="n">
        <f aca="false">F23</f>
        <v>0.753653444676409</v>
      </c>
      <c r="AX23" s="79" t="n">
        <f aca="false">B23</f>
        <v>0.862754592500681</v>
      </c>
      <c r="AY23" s="79" t="n">
        <f aca="false">B23</f>
        <v>0.862754592500681</v>
      </c>
      <c r="AZ23" s="79" t="n">
        <f aca="false">B23</f>
        <v>0.862754592500681</v>
      </c>
      <c r="BA23" s="80" t="n">
        <f aca="false">F23</f>
        <v>0.753653444676409</v>
      </c>
      <c r="BB23" s="80" t="n">
        <f aca="false">F23</f>
        <v>0.753653444676409</v>
      </c>
      <c r="BC23" s="79" t="n">
        <f aca="false">B23</f>
        <v>0.862754592500681</v>
      </c>
      <c r="BD23" s="79" t="n">
        <f aca="false">B23</f>
        <v>0.862754592500681</v>
      </c>
      <c r="BE23" s="80" t="n">
        <v>1</v>
      </c>
      <c r="BF23" s="80" t="n">
        <v>1</v>
      </c>
      <c r="BG23" s="79" t="n">
        <f aca="false">B23</f>
        <v>0.862754592500681</v>
      </c>
      <c r="BH23" s="79" t="n">
        <f aca="false">B23</f>
        <v>0.862754592500681</v>
      </c>
      <c r="BI23" s="79" t="n">
        <f aca="false">B23</f>
        <v>0.862754592500681</v>
      </c>
      <c r="BJ23" s="79" t="n">
        <f aca="false">B23</f>
        <v>0.862754592500681</v>
      </c>
      <c r="BK23" s="80" t="n">
        <v>1</v>
      </c>
    </row>
    <row r="24" customFormat="false" ht="12.75" hidden="false" customHeight="false" outlineLevel="0" collapsed="false">
      <c r="A24" s="1" t="n">
        <f aca="false">A23-1</f>
        <v>2003</v>
      </c>
      <c r="B24" s="79" t="n">
        <f aca="false">im!C24/(im!C24+im!D24)</f>
        <v>0.838840021135735</v>
      </c>
      <c r="C24" s="79" t="n">
        <f aca="false">B24</f>
        <v>0.838840021135735</v>
      </c>
      <c r="D24" s="79" t="n">
        <f aca="false">B24</f>
        <v>0.838840021135735</v>
      </c>
      <c r="E24" s="79" t="n">
        <f aca="false">B24</f>
        <v>0.838840021135735</v>
      </c>
      <c r="F24" s="79" t="n">
        <f aca="false">im!I24/(im!I24+im!J24)</f>
        <v>0.776023680315738</v>
      </c>
      <c r="G24" s="79" t="n">
        <f aca="false">F24</f>
        <v>0.776023680315738</v>
      </c>
      <c r="H24" s="79" t="n">
        <f aca="false">F24</f>
        <v>0.776023680315738</v>
      </c>
      <c r="I24" s="79" t="n">
        <f aca="false">F24</f>
        <v>0.776023680315738</v>
      </c>
      <c r="J24" s="79" t="n">
        <v>1</v>
      </c>
      <c r="K24" s="79" t="n">
        <v>1</v>
      </c>
      <c r="L24" s="79" t="n">
        <f aca="false">B24</f>
        <v>0.838840021135735</v>
      </c>
      <c r="M24" s="79" t="n">
        <f aca="false">B24</f>
        <v>0.838840021135735</v>
      </c>
      <c r="N24" s="79" t="n">
        <f aca="false">B24</f>
        <v>0.838840021135735</v>
      </c>
      <c r="O24" s="79" t="n">
        <f aca="false">B24</f>
        <v>0.838840021135735</v>
      </c>
      <c r="P24" s="79" t="n">
        <f aca="false">B24</f>
        <v>0.838840021135735</v>
      </c>
      <c r="Q24" s="80" t="n">
        <f aca="false">F24</f>
        <v>0.776023680315738</v>
      </c>
      <c r="R24" s="80" t="n">
        <f aca="false">F24</f>
        <v>0.776023680315738</v>
      </c>
      <c r="S24" s="80" t="n">
        <f aca="false">F24</f>
        <v>0.776023680315738</v>
      </c>
      <c r="T24" s="80" t="n">
        <v>1</v>
      </c>
      <c r="U24" s="80" t="n">
        <v>1</v>
      </c>
      <c r="V24" s="80" t="n">
        <f aca="false">F24</f>
        <v>0.776023680315738</v>
      </c>
      <c r="W24" s="80" t="n">
        <f aca="false">F24</f>
        <v>0.776023680315738</v>
      </c>
      <c r="X24" s="80" t="n">
        <f aca="false">F24</f>
        <v>0.776023680315738</v>
      </c>
      <c r="Y24" s="80" t="n">
        <f aca="false">F24</f>
        <v>0.776023680315738</v>
      </c>
      <c r="Z24" s="80" t="n">
        <f aca="false">F24</f>
        <v>0.776023680315738</v>
      </c>
      <c r="AA24" s="80" t="n">
        <f aca="false">F24</f>
        <v>0.776023680315738</v>
      </c>
      <c r="AB24" s="80" t="n">
        <f aca="false">F24</f>
        <v>0.776023680315738</v>
      </c>
      <c r="AC24" s="80" t="n">
        <f aca="false">F24</f>
        <v>0.776023680315738</v>
      </c>
      <c r="AD24" s="80" t="n">
        <f aca="false">F24</f>
        <v>0.776023680315738</v>
      </c>
      <c r="AE24" s="79" t="n">
        <f aca="false">B24</f>
        <v>0.838840021135735</v>
      </c>
      <c r="AF24" s="79" t="n">
        <f aca="false">B24</f>
        <v>0.838840021135735</v>
      </c>
      <c r="AG24" s="79" t="n">
        <f aca="false">B24</f>
        <v>0.838840021135735</v>
      </c>
      <c r="AH24" s="79" t="n">
        <f aca="false">B24</f>
        <v>0.838840021135735</v>
      </c>
      <c r="AI24" s="79" t="n">
        <f aca="false">B24</f>
        <v>0.838840021135735</v>
      </c>
      <c r="AJ24" s="79" t="n">
        <f aca="false">B24</f>
        <v>0.838840021135735</v>
      </c>
      <c r="AK24" s="79" t="n">
        <f aca="false">B24</f>
        <v>0.838840021135735</v>
      </c>
      <c r="AL24" s="79" t="n">
        <f aca="false">B24</f>
        <v>0.838840021135735</v>
      </c>
      <c r="AM24" s="79" t="n">
        <f aca="false">B24</f>
        <v>0.838840021135735</v>
      </c>
      <c r="AN24" s="80" t="n">
        <f aca="false">F24</f>
        <v>0.776023680315738</v>
      </c>
      <c r="AO24" s="80" t="n">
        <f aca="false">F24</f>
        <v>0.776023680315738</v>
      </c>
      <c r="AP24" s="80" t="n">
        <f aca="false">F24</f>
        <v>0.776023680315738</v>
      </c>
      <c r="AQ24" s="80" t="n">
        <f aca="false">F24</f>
        <v>0.776023680315738</v>
      </c>
      <c r="AR24" s="80" t="n">
        <f aca="false">F24</f>
        <v>0.776023680315738</v>
      </c>
      <c r="AS24" s="80" t="n">
        <f aca="false">F24</f>
        <v>0.776023680315738</v>
      </c>
      <c r="AT24" s="80" t="n">
        <v>1</v>
      </c>
      <c r="AU24" s="80" t="n">
        <f aca="false">F24</f>
        <v>0.776023680315738</v>
      </c>
      <c r="AV24" s="80" t="n">
        <f aca="false">F24</f>
        <v>0.776023680315738</v>
      </c>
      <c r="AW24" s="80" t="n">
        <f aca="false">F24</f>
        <v>0.776023680315738</v>
      </c>
      <c r="AX24" s="79" t="n">
        <f aca="false">B24</f>
        <v>0.838840021135735</v>
      </c>
      <c r="AY24" s="79" t="n">
        <f aca="false">B24</f>
        <v>0.838840021135735</v>
      </c>
      <c r="AZ24" s="79" t="n">
        <f aca="false">B24</f>
        <v>0.838840021135735</v>
      </c>
      <c r="BA24" s="80" t="n">
        <f aca="false">F24</f>
        <v>0.776023680315738</v>
      </c>
      <c r="BB24" s="80" t="n">
        <f aca="false">F24</f>
        <v>0.776023680315738</v>
      </c>
      <c r="BC24" s="79" t="n">
        <f aca="false">B24</f>
        <v>0.838840021135735</v>
      </c>
      <c r="BD24" s="79" t="n">
        <f aca="false">B24</f>
        <v>0.838840021135735</v>
      </c>
      <c r="BE24" s="80" t="n">
        <v>1</v>
      </c>
      <c r="BF24" s="80" t="n">
        <v>1</v>
      </c>
      <c r="BG24" s="79" t="n">
        <f aca="false">B24</f>
        <v>0.838840021135735</v>
      </c>
      <c r="BH24" s="79" t="n">
        <f aca="false">B24</f>
        <v>0.838840021135735</v>
      </c>
      <c r="BI24" s="79" t="n">
        <f aca="false">B24</f>
        <v>0.838840021135735</v>
      </c>
      <c r="BJ24" s="79" t="n">
        <f aca="false">B24</f>
        <v>0.838840021135735</v>
      </c>
      <c r="BK24" s="80" t="n">
        <v>1</v>
      </c>
    </row>
    <row r="25" customFormat="false" ht="12.75" hidden="false" customHeight="false" outlineLevel="0" collapsed="false">
      <c r="A25" s="1" t="n">
        <f aca="false">A24-1</f>
        <v>2002</v>
      </c>
      <c r="B25" s="79" t="n">
        <f aca="false">im!C25/(im!C25+im!D25)</f>
        <v>0.823128619653752</v>
      </c>
      <c r="C25" s="79" t="n">
        <f aca="false">B25</f>
        <v>0.823128619653752</v>
      </c>
      <c r="D25" s="79" t="n">
        <f aca="false">B25</f>
        <v>0.823128619653752</v>
      </c>
      <c r="E25" s="79" t="n">
        <f aca="false">B25</f>
        <v>0.823128619653752</v>
      </c>
      <c r="F25" s="79" t="n">
        <f aca="false">im!I25/(im!I25+im!J25)</f>
        <v>0.771746239372139</v>
      </c>
      <c r="G25" s="79" t="n">
        <f aca="false">F25</f>
        <v>0.771746239372139</v>
      </c>
      <c r="H25" s="79" t="n">
        <f aca="false">F25</f>
        <v>0.771746239372139</v>
      </c>
      <c r="I25" s="79" t="n">
        <f aca="false">F25</f>
        <v>0.771746239372139</v>
      </c>
      <c r="J25" s="79" t="n">
        <v>1</v>
      </c>
      <c r="K25" s="79" t="n">
        <v>1</v>
      </c>
      <c r="L25" s="79" t="n">
        <f aca="false">B25</f>
        <v>0.823128619653752</v>
      </c>
      <c r="M25" s="79" t="n">
        <f aca="false">B25</f>
        <v>0.823128619653752</v>
      </c>
      <c r="N25" s="79" t="n">
        <f aca="false">B25</f>
        <v>0.823128619653752</v>
      </c>
      <c r="O25" s="79" t="n">
        <f aca="false">B25</f>
        <v>0.823128619653752</v>
      </c>
      <c r="P25" s="79" t="n">
        <f aca="false">B25</f>
        <v>0.823128619653752</v>
      </c>
      <c r="Q25" s="80" t="n">
        <f aca="false">F25</f>
        <v>0.771746239372139</v>
      </c>
      <c r="R25" s="80" t="n">
        <f aca="false">F25</f>
        <v>0.771746239372139</v>
      </c>
      <c r="S25" s="80" t="n">
        <f aca="false">F25</f>
        <v>0.771746239372139</v>
      </c>
      <c r="T25" s="80" t="n">
        <v>1</v>
      </c>
      <c r="U25" s="80" t="n">
        <v>1</v>
      </c>
      <c r="V25" s="80" t="n">
        <f aca="false">F25</f>
        <v>0.771746239372139</v>
      </c>
      <c r="W25" s="80" t="n">
        <f aca="false">F25</f>
        <v>0.771746239372139</v>
      </c>
      <c r="X25" s="80" t="n">
        <f aca="false">F25</f>
        <v>0.771746239372139</v>
      </c>
      <c r="Y25" s="80" t="n">
        <f aca="false">F25</f>
        <v>0.771746239372139</v>
      </c>
      <c r="Z25" s="80" t="n">
        <f aca="false">F25</f>
        <v>0.771746239372139</v>
      </c>
      <c r="AA25" s="80" t="n">
        <f aca="false">F25</f>
        <v>0.771746239372139</v>
      </c>
      <c r="AB25" s="80" t="n">
        <f aca="false">F25</f>
        <v>0.771746239372139</v>
      </c>
      <c r="AC25" s="80" t="n">
        <f aca="false">F25</f>
        <v>0.771746239372139</v>
      </c>
      <c r="AD25" s="80" t="n">
        <f aca="false">F25</f>
        <v>0.771746239372139</v>
      </c>
      <c r="AE25" s="79" t="n">
        <f aca="false">B25</f>
        <v>0.823128619653752</v>
      </c>
      <c r="AF25" s="79" t="n">
        <f aca="false">B25</f>
        <v>0.823128619653752</v>
      </c>
      <c r="AG25" s="79" t="n">
        <f aca="false">B25</f>
        <v>0.823128619653752</v>
      </c>
      <c r="AH25" s="79" t="n">
        <f aca="false">B25</f>
        <v>0.823128619653752</v>
      </c>
      <c r="AI25" s="79" t="n">
        <f aca="false">B25</f>
        <v>0.823128619653752</v>
      </c>
      <c r="AJ25" s="79" t="n">
        <f aca="false">B25</f>
        <v>0.823128619653752</v>
      </c>
      <c r="AK25" s="79" t="n">
        <f aca="false">B25</f>
        <v>0.823128619653752</v>
      </c>
      <c r="AL25" s="79" t="n">
        <f aca="false">B25</f>
        <v>0.823128619653752</v>
      </c>
      <c r="AM25" s="79" t="n">
        <f aca="false">B25</f>
        <v>0.823128619653752</v>
      </c>
      <c r="AN25" s="80" t="n">
        <f aca="false">F25</f>
        <v>0.771746239372139</v>
      </c>
      <c r="AO25" s="80" t="n">
        <f aca="false">F25</f>
        <v>0.771746239372139</v>
      </c>
      <c r="AP25" s="80" t="n">
        <f aca="false">F25</f>
        <v>0.771746239372139</v>
      </c>
      <c r="AQ25" s="80" t="n">
        <f aca="false">F25</f>
        <v>0.771746239372139</v>
      </c>
      <c r="AR25" s="80" t="n">
        <f aca="false">F25</f>
        <v>0.771746239372139</v>
      </c>
      <c r="AS25" s="80" t="n">
        <f aca="false">F25</f>
        <v>0.771746239372139</v>
      </c>
      <c r="AT25" s="80" t="n">
        <v>1</v>
      </c>
      <c r="AU25" s="80" t="n">
        <f aca="false">F25</f>
        <v>0.771746239372139</v>
      </c>
      <c r="AV25" s="80" t="n">
        <f aca="false">F25</f>
        <v>0.771746239372139</v>
      </c>
      <c r="AW25" s="80" t="n">
        <f aca="false">F25</f>
        <v>0.771746239372139</v>
      </c>
      <c r="AX25" s="79" t="n">
        <f aca="false">B25</f>
        <v>0.823128619653752</v>
      </c>
      <c r="AY25" s="79" t="n">
        <f aca="false">B25</f>
        <v>0.823128619653752</v>
      </c>
      <c r="AZ25" s="79" t="n">
        <f aca="false">B25</f>
        <v>0.823128619653752</v>
      </c>
      <c r="BA25" s="80" t="n">
        <f aca="false">F25</f>
        <v>0.771746239372139</v>
      </c>
      <c r="BB25" s="80" t="n">
        <f aca="false">F25</f>
        <v>0.771746239372139</v>
      </c>
      <c r="BC25" s="79" t="n">
        <f aca="false">B25</f>
        <v>0.823128619653752</v>
      </c>
      <c r="BD25" s="79" t="n">
        <f aca="false">B25</f>
        <v>0.823128619653752</v>
      </c>
      <c r="BE25" s="80" t="n">
        <v>1</v>
      </c>
      <c r="BF25" s="80" t="n">
        <v>1</v>
      </c>
      <c r="BG25" s="79" t="n">
        <f aca="false">B25</f>
        <v>0.823128619653752</v>
      </c>
      <c r="BH25" s="79" t="n">
        <f aca="false">B25</f>
        <v>0.823128619653752</v>
      </c>
      <c r="BI25" s="79" t="n">
        <f aca="false">B25</f>
        <v>0.823128619653752</v>
      </c>
      <c r="BJ25" s="79" t="n">
        <f aca="false">B25</f>
        <v>0.823128619653752</v>
      </c>
      <c r="BK25" s="80" t="n">
        <v>1</v>
      </c>
    </row>
    <row r="26" customFormat="false" ht="12.75" hidden="false" customHeight="false" outlineLevel="0" collapsed="false">
      <c r="A26" s="1" t="n">
        <f aca="false">A25-1</f>
        <v>2001</v>
      </c>
      <c r="B26" s="79" t="n">
        <f aca="false">im!C26/(im!C26+im!D26)</f>
        <v>0.823359580052493</v>
      </c>
      <c r="C26" s="79" t="n">
        <f aca="false">B26</f>
        <v>0.823359580052493</v>
      </c>
      <c r="D26" s="79" t="n">
        <f aca="false">B26</f>
        <v>0.823359580052493</v>
      </c>
      <c r="E26" s="79" t="n">
        <f aca="false">B26</f>
        <v>0.823359580052493</v>
      </c>
      <c r="F26" s="79" t="n">
        <f aca="false">im!I26/(im!I26+im!J26)</f>
        <v>0.771523178807947</v>
      </c>
      <c r="G26" s="79" t="n">
        <f aca="false">F26</f>
        <v>0.771523178807947</v>
      </c>
      <c r="H26" s="79" t="n">
        <f aca="false">F26</f>
        <v>0.771523178807947</v>
      </c>
      <c r="I26" s="79" t="n">
        <f aca="false">F26</f>
        <v>0.771523178807947</v>
      </c>
      <c r="J26" s="79" t="n">
        <v>1</v>
      </c>
      <c r="K26" s="79" t="n">
        <v>1</v>
      </c>
      <c r="L26" s="79" t="n">
        <f aca="false">B26</f>
        <v>0.823359580052493</v>
      </c>
      <c r="M26" s="79" t="n">
        <f aca="false">B26</f>
        <v>0.823359580052493</v>
      </c>
      <c r="N26" s="79" t="n">
        <f aca="false">B26</f>
        <v>0.823359580052493</v>
      </c>
      <c r="O26" s="79" t="n">
        <f aca="false">B26</f>
        <v>0.823359580052493</v>
      </c>
      <c r="P26" s="79" t="n">
        <f aca="false">B26</f>
        <v>0.823359580052493</v>
      </c>
      <c r="Q26" s="80" t="n">
        <f aca="false">F26</f>
        <v>0.771523178807947</v>
      </c>
      <c r="R26" s="80" t="n">
        <f aca="false">F26</f>
        <v>0.771523178807947</v>
      </c>
      <c r="S26" s="80" t="n">
        <f aca="false">F26</f>
        <v>0.771523178807947</v>
      </c>
      <c r="T26" s="80" t="n">
        <v>1</v>
      </c>
      <c r="U26" s="80" t="n">
        <v>1</v>
      </c>
      <c r="V26" s="80" t="n">
        <f aca="false">F26</f>
        <v>0.771523178807947</v>
      </c>
      <c r="W26" s="80" t="n">
        <f aca="false">F26</f>
        <v>0.771523178807947</v>
      </c>
      <c r="X26" s="80" t="n">
        <f aca="false">F26</f>
        <v>0.771523178807947</v>
      </c>
      <c r="Y26" s="80" t="n">
        <f aca="false">F26</f>
        <v>0.771523178807947</v>
      </c>
      <c r="Z26" s="80" t="n">
        <f aca="false">F26</f>
        <v>0.771523178807947</v>
      </c>
      <c r="AA26" s="80" t="n">
        <f aca="false">F26</f>
        <v>0.771523178807947</v>
      </c>
      <c r="AB26" s="80" t="n">
        <f aca="false">F26</f>
        <v>0.771523178807947</v>
      </c>
      <c r="AC26" s="80" t="n">
        <f aca="false">F26</f>
        <v>0.771523178807947</v>
      </c>
      <c r="AD26" s="80" t="n">
        <f aca="false">F26</f>
        <v>0.771523178807947</v>
      </c>
      <c r="AE26" s="79" t="n">
        <f aca="false">B26</f>
        <v>0.823359580052493</v>
      </c>
      <c r="AF26" s="79" t="n">
        <f aca="false">B26</f>
        <v>0.823359580052493</v>
      </c>
      <c r="AG26" s="79" t="n">
        <f aca="false">B26</f>
        <v>0.823359580052493</v>
      </c>
      <c r="AH26" s="79" t="n">
        <f aca="false">B26</f>
        <v>0.823359580052493</v>
      </c>
      <c r="AI26" s="79" t="n">
        <f aca="false">B26</f>
        <v>0.823359580052493</v>
      </c>
      <c r="AJ26" s="79" t="n">
        <f aca="false">B26</f>
        <v>0.823359580052493</v>
      </c>
      <c r="AK26" s="79" t="n">
        <f aca="false">B26</f>
        <v>0.823359580052493</v>
      </c>
      <c r="AL26" s="79" t="n">
        <f aca="false">B26</f>
        <v>0.823359580052493</v>
      </c>
      <c r="AM26" s="79" t="n">
        <f aca="false">B26</f>
        <v>0.823359580052493</v>
      </c>
      <c r="AN26" s="80" t="n">
        <f aca="false">F26</f>
        <v>0.771523178807947</v>
      </c>
      <c r="AO26" s="80" t="n">
        <f aca="false">F26</f>
        <v>0.771523178807947</v>
      </c>
      <c r="AP26" s="80" t="n">
        <f aca="false">F26</f>
        <v>0.771523178807947</v>
      </c>
      <c r="AQ26" s="80" t="n">
        <f aca="false">F26</f>
        <v>0.771523178807947</v>
      </c>
      <c r="AR26" s="80" t="n">
        <f aca="false">F26</f>
        <v>0.771523178807947</v>
      </c>
      <c r="AS26" s="80" t="n">
        <f aca="false">F26</f>
        <v>0.771523178807947</v>
      </c>
      <c r="AT26" s="80" t="n">
        <v>1</v>
      </c>
      <c r="AU26" s="80" t="n">
        <f aca="false">F26</f>
        <v>0.771523178807947</v>
      </c>
      <c r="AV26" s="80" t="n">
        <f aca="false">F26</f>
        <v>0.771523178807947</v>
      </c>
      <c r="AW26" s="80" t="n">
        <f aca="false">F26</f>
        <v>0.771523178807947</v>
      </c>
      <c r="AX26" s="79" t="n">
        <f aca="false">B26</f>
        <v>0.823359580052493</v>
      </c>
      <c r="AY26" s="79" t="n">
        <f aca="false">B26</f>
        <v>0.823359580052493</v>
      </c>
      <c r="AZ26" s="79" t="n">
        <f aca="false">B26</f>
        <v>0.823359580052493</v>
      </c>
      <c r="BA26" s="80" t="n">
        <f aca="false">F26</f>
        <v>0.771523178807947</v>
      </c>
      <c r="BB26" s="80" t="n">
        <f aca="false">F26</f>
        <v>0.771523178807947</v>
      </c>
      <c r="BC26" s="79" t="n">
        <f aca="false">B26</f>
        <v>0.823359580052493</v>
      </c>
      <c r="BD26" s="79" t="n">
        <f aca="false">B26</f>
        <v>0.823359580052493</v>
      </c>
      <c r="BE26" s="80" t="n">
        <v>1</v>
      </c>
      <c r="BF26" s="80" t="n">
        <v>1</v>
      </c>
      <c r="BG26" s="79" t="n">
        <f aca="false">B26</f>
        <v>0.823359580052493</v>
      </c>
      <c r="BH26" s="79" t="n">
        <f aca="false">B26</f>
        <v>0.823359580052493</v>
      </c>
      <c r="BI26" s="79" t="n">
        <f aca="false">B26</f>
        <v>0.823359580052493</v>
      </c>
      <c r="BJ26" s="79" t="n">
        <f aca="false">B26</f>
        <v>0.823359580052493</v>
      </c>
      <c r="BK26" s="80" t="n">
        <v>1</v>
      </c>
    </row>
    <row r="27" customFormat="false" ht="12.75" hidden="false" customHeight="false" outlineLevel="0" collapsed="false">
      <c r="A27" s="1" t="n">
        <f aca="false">A26-1</f>
        <v>2000</v>
      </c>
      <c r="B27" s="79" t="n">
        <f aca="false">im!C27/(im!C27+im!D27)</f>
        <v>0.816570881226054</v>
      </c>
      <c r="C27" s="79" t="n">
        <f aca="false">B27</f>
        <v>0.816570881226054</v>
      </c>
      <c r="D27" s="79" t="n">
        <f aca="false">B27</f>
        <v>0.816570881226054</v>
      </c>
      <c r="E27" s="79" t="n">
        <f aca="false">B27</f>
        <v>0.816570881226054</v>
      </c>
      <c r="F27" s="79" t="n">
        <f aca="false">im!I27/(im!I27+im!J27)</f>
        <v>0.753846153846154</v>
      </c>
      <c r="G27" s="79" t="n">
        <f aca="false">F27</f>
        <v>0.753846153846154</v>
      </c>
      <c r="H27" s="79" t="n">
        <f aca="false">F27</f>
        <v>0.753846153846154</v>
      </c>
      <c r="I27" s="79" t="n">
        <f aca="false">F27</f>
        <v>0.753846153846154</v>
      </c>
      <c r="J27" s="79" t="n">
        <v>1</v>
      </c>
      <c r="K27" s="79" t="n">
        <v>1</v>
      </c>
      <c r="L27" s="79" t="n">
        <f aca="false">B27</f>
        <v>0.816570881226054</v>
      </c>
      <c r="M27" s="79" t="n">
        <f aca="false">B27</f>
        <v>0.816570881226054</v>
      </c>
      <c r="N27" s="79" t="n">
        <f aca="false">B27</f>
        <v>0.816570881226054</v>
      </c>
      <c r="O27" s="79" t="n">
        <f aca="false">B27</f>
        <v>0.816570881226054</v>
      </c>
      <c r="P27" s="79" t="n">
        <f aca="false">B27</f>
        <v>0.816570881226054</v>
      </c>
      <c r="Q27" s="80" t="n">
        <f aca="false">F27</f>
        <v>0.753846153846154</v>
      </c>
      <c r="R27" s="80" t="n">
        <f aca="false">F27</f>
        <v>0.753846153846154</v>
      </c>
      <c r="S27" s="80" t="n">
        <f aca="false">F27</f>
        <v>0.753846153846154</v>
      </c>
      <c r="T27" s="80" t="n">
        <v>1</v>
      </c>
      <c r="U27" s="80" t="n">
        <v>1</v>
      </c>
      <c r="V27" s="80" t="n">
        <f aca="false">F27</f>
        <v>0.753846153846154</v>
      </c>
      <c r="W27" s="80" t="n">
        <f aca="false">F27</f>
        <v>0.753846153846154</v>
      </c>
      <c r="X27" s="80" t="n">
        <f aca="false">F27</f>
        <v>0.753846153846154</v>
      </c>
      <c r="Y27" s="80" t="n">
        <f aca="false">F27</f>
        <v>0.753846153846154</v>
      </c>
      <c r="Z27" s="80" t="n">
        <f aca="false">F27</f>
        <v>0.753846153846154</v>
      </c>
      <c r="AA27" s="80" t="n">
        <f aca="false">F27</f>
        <v>0.753846153846154</v>
      </c>
      <c r="AB27" s="80" t="n">
        <f aca="false">F27</f>
        <v>0.753846153846154</v>
      </c>
      <c r="AC27" s="80" t="n">
        <f aca="false">F27</f>
        <v>0.753846153846154</v>
      </c>
      <c r="AD27" s="80" t="n">
        <f aca="false">F27</f>
        <v>0.753846153846154</v>
      </c>
      <c r="AE27" s="79" t="n">
        <f aca="false">B27</f>
        <v>0.816570881226054</v>
      </c>
      <c r="AF27" s="79" t="n">
        <f aca="false">B27</f>
        <v>0.816570881226054</v>
      </c>
      <c r="AG27" s="79" t="n">
        <f aca="false">B27</f>
        <v>0.816570881226054</v>
      </c>
      <c r="AH27" s="79" t="n">
        <f aca="false">B27</f>
        <v>0.816570881226054</v>
      </c>
      <c r="AI27" s="79" t="n">
        <f aca="false">B27</f>
        <v>0.816570881226054</v>
      </c>
      <c r="AJ27" s="79" t="n">
        <f aca="false">B27</f>
        <v>0.816570881226054</v>
      </c>
      <c r="AK27" s="79" t="n">
        <f aca="false">B27</f>
        <v>0.816570881226054</v>
      </c>
      <c r="AL27" s="79" t="n">
        <f aca="false">B27</f>
        <v>0.816570881226054</v>
      </c>
      <c r="AM27" s="79" t="n">
        <f aca="false">B27</f>
        <v>0.816570881226054</v>
      </c>
      <c r="AN27" s="80" t="n">
        <f aca="false">F27</f>
        <v>0.753846153846154</v>
      </c>
      <c r="AO27" s="80" t="n">
        <f aca="false">F27</f>
        <v>0.753846153846154</v>
      </c>
      <c r="AP27" s="80" t="n">
        <f aca="false">F27</f>
        <v>0.753846153846154</v>
      </c>
      <c r="AQ27" s="80" t="n">
        <f aca="false">F27</f>
        <v>0.753846153846154</v>
      </c>
      <c r="AR27" s="80" t="n">
        <f aca="false">F27</f>
        <v>0.753846153846154</v>
      </c>
      <c r="AS27" s="80" t="n">
        <f aca="false">F27</f>
        <v>0.753846153846154</v>
      </c>
      <c r="AT27" s="80" t="n">
        <v>1</v>
      </c>
      <c r="AU27" s="80" t="n">
        <f aca="false">F27</f>
        <v>0.753846153846154</v>
      </c>
      <c r="AV27" s="80" t="n">
        <f aca="false">F27</f>
        <v>0.753846153846154</v>
      </c>
      <c r="AW27" s="80" t="n">
        <f aca="false">F27</f>
        <v>0.753846153846154</v>
      </c>
      <c r="AX27" s="79" t="n">
        <f aca="false">B27</f>
        <v>0.816570881226054</v>
      </c>
      <c r="AY27" s="79" t="n">
        <f aca="false">B27</f>
        <v>0.816570881226054</v>
      </c>
      <c r="AZ27" s="79" t="n">
        <f aca="false">B27</f>
        <v>0.816570881226054</v>
      </c>
      <c r="BA27" s="80" t="n">
        <f aca="false">F27</f>
        <v>0.753846153846154</v>
      </c>
      <c r="BB27" s="80" t="n">
        <f aca="false">F27</f>
        <v>0.753846153846154</v>
      </c>
      <c r="BC27" s="79" t="n">
        <f aca="false">B27</f>
        <v>0.816570881226054</v>
      </c>
      <c r="BD27" s="79" t="n">
        <f aca="false">B27</f>
        <v>0.816570881226054</v>
      </c>
      <c r="BE27" s="80" t="n">
        <v>1</v>
      </c>
      <c r="BF27" s="80" t="n">
        <v>1</v>
      </c>
      <c r="BG27" s="79" t="n">
        <f aca="false">B27</f>
        <v>0.816570881226054</v>
      </c>
      <c r="BH27" s="79" t="n">
        <f aca="false">B27</f>
        <v>0.816570881226054</v>
      </c>
      <c r="BI27" s="79" t="n">
        <f aca="false">B27</f>
        <v>0.816570881226054</v>
      </c>
      <c r="BJ27" s="79" t="n">
        <f aca="false">B27</f>
        <v>0.816570881226054</v>
      </c>
      <c r="BK27" s="80" t="n">
        <v>1</v>
      </c>
    </row>
    <row r="28" customFormat="false" ht="12.75" hidden="false" customHeight="false" outlineLevel="0" collapsed="false">
      <c r="A28" s="1" t="n">
        <f aca="false">A27-1</f>
        <v>1999</v>
      </c>
      <c r="B28" s="79" t="n">
        <f aca="false">im!C28/(im!C28+im!D28)</f>
        <v>0.922501966955153</v>
      </c>
      <c r="C28" s="79" t="n">
        <f aca="false">B28</f>
        <v>0.922501966955153</v>
      </c>
      <c r="D28" s="79" t="n">
        <f aca="false">B28</f>
        <v>0.922501966955153</v>
      </c>
      <c r="E28" s="79" t="n">
        <f aca="false">B28</f>
        <v>0.922501966955153</v>
      </c>
      <c r="F28" s="79" t="n">
        <f aca="false">im!I28/(im!I28+im!J28)</f>
        <v>0.861878453038674</v>
      </c>
      <c r="G28" s="79" t="n">
        <f aca="false">F28</f>
        <v>0.861878453038674</v>
      </c>
      <c r="H28" s="79" t="n">
        <f aca="false">F28</f>
        <v>0.861878453038674</v>
      </c>
      <c r="I28" s="79" t="n">
        <f aca="false">F28</f>
        <v>0.861878453038674</v>
      </c>
      <c r="J28" s="79" t="n">
        <v>1</v>
      </c>
      <c r="K28" s="79" t="n">
        <v>1</v>
      </c>
      <c r="L28" s="79" t="n">
        <f aca="false">B28</f>
        <v>0.922501966955153</v>
      </c>
      <c r="M28" s="79" t="n">
        <f aca="false">B28</f>
        <v>0.922501966955153</v>
      </c>
      <c r="N28" s="79" t="n">
        <f aca="false">B28</f>
        <v>0.922501966955153</v>
      </c>
      <c r="O28" s="79" t="n">
        <f aca="false">B28</f>
        <v>0.922501966955153</v>
      </c>
      <c r="P28" s="79" t="n">
        <f aca="false">B28</f>
        <v>0.922501966955153</v>
      </c>
      <c r="Q28" s="80" t="n">
        <f aca="false">F28</f>
        <v>0.861878453038674</v>
      </c>
      <c r="R28" s="80" t="n">
        <f aca="false">F28</f>
        <v>0.861878453038674</v>
      </c>
      <c r="S28" s="80" t="n">
        <f aca="false">F28</f>
        <v>0.861878453038674</v>
      </c>
      <c r="T28" s="80" t="n">
        <v>1</v>
      </c>
      <c r="U28" s="80" t="n">
        <v>1</v>
      </c>
      <c r="V28" s="80" t="n">
        <f aca="false">F28</f>
        <v>0.861878453038674</v>
      </c>
      <c r="W28" s="80" t="n">
        <f aca="false">F28</f>
        <v>0.861878453038674</v>
      </c>
      <c r="X28" s="80" t="n">
        <f aca="false">F28</f>
        <v>0.861878453038674</v>
      </c>
      <c r="Y28" s="80" t="n">
        <f aca="false">F28</f>
        <v>0.861878453038674</v>
      </c>
      <c r="Z28" s="80" t="n">
        <f aca="false">F28</f>
        <v>0.861878453038674</v>
      </c>
      <c r="AA28" s="80" t="n">
        <f aca="false">F28</f>
        <v>0.861878453038674</v>
      </c>
      <c r="AB28" s="80" t="n">
        <f aca="false">F28</f>
        <v>0.861878453038674</v>
      </c>
      <c r="AC28" s="80" t="n">
        <f aca="false">F28</f>
        <v>0.861878453038674</v>
      </c>
      <c r="AD28" s="80" t="n">
        <f aca="false">F28</f>
        <v>0.861878453038674</v>
      </c>
      <c r="AE28" s="79" t="n">
        <f aca="false">B28</f>
        <v>0.922501966955153</v>
      </c>
      <c r="AF28" s="79" t="n">
        <f aca="false">B28</f>
        <v>0.922501966955153</v>
      </c>
      <c r="AG28" s="79" t="n">
        <f aca="false">B28</f>
        <v>0.922501966955153</v>
      </c>
      <c r="AH28" s="79" t="n">
        <f aca="false">B28</f>
        <v>0.922501966955153</v>
      </c>
      <c r="AI28" s="79" t="n">
        <f aca="false">B28</f>
        <v>0.922501966955153</v>
      </c>
      <c r="AJ28" s="79" t="n">
        <f aca="false">B28</f>
        <v>0.922501966955153</v>
      </c>
      <c r="AK28" s="79" t="n">
        <f aca="false">B28</f>
        <v>0.922501966955153</v>
      </c>
      <c r="AL28" s="79" t="n">
        <f aca="false">B28</f>
        <v>0.922501966955153</v>
      </c>
      <c r="AM28" s="79" t="n">
        <f aca="false">B28</f>
        <v>0.922501966955153</v>
      </c>
      <c r="AN28" s="80" t="n">
        <f aca="false">F28</f>
        <v>0.861878453038674</v>
      </c>
      <c r="AO28" s="80" t="n">
        <f aca="false">F28</f>
        <v>0.861878453038674</v>
      </c>
      <c r="AP28" s="80" t="n">
        <f aca="false">F28</f>
        <v>0.861878453038674</v>
      </c>
      <c r="AQ28" s="80" t="n">
        <f aca="false">F28</f>
        <v>0.861878453038674</v>
      </c>
      <c r="AR28" s="80" t="n">
        <f aca="false">F28</f>
        <v>0.861878453038674</v>
      </c>
      <c r="AS28" s="80" t="n">
        <f aca="false">F28</f>
        <v>0.861878453038674</v>
      </c>
      <c r="AT28" s="80" t="n">
        <v>1</v>
      </c>
      <c r="AU28" s="80" t="n">
        <f aca="false">F28</f>
        <v>0.861878453038674</v>
      </c>
      <c r="AV28" s="80" t="n">
        <f aca="false">F28</f>
        <v>0.861878453038674</v>
      </c>
      <c r="AW28" s="80" t="n">
        <f aca="false">F28</f>
        <v>0.861878453038674</v>
      </c>
      <c r="AX28" s="79" t="n">
        <f aca="false">B28</f>
        <v>0.922501966955153</v>
      </c>
      <c r="AY28" s="79" t="n">
        <f aca="false">B28</f>
        <v>0.922501966955153</v>
      </c>
      <c r="AZ28" s="79" t="n">
        <f aca="false">B28</f>
        <v>0.922501966955153</v>
      </c>
      <c r="BA28" s="80" t="n">
        <f aca="false">F28</f>
        <v>0.861878453038674</v>
      </c>
      <c r="BB28" s="80" t="n">
        <f aca="false">F28</f>
        <v>0.861878453038674</v>
      </c>
      <c r="BC28" s="79" t="n">
        <f aca="false">B28</f>
        <v>0.922501966955153</v>
      </c>
      <c r="BD28" s="79" t="n">
        <f aca="false">B28</f>
        <v>0.922501966955153</v>
      </c>
      <c r="BE28" s="80" t="n">
        <v>1</v>
      </c>
      <c r="BF28" s="80" t="n">
        <v>1</v>
      </c>
      <c r="BG28" s="79" t="n">
        <f aca="false">B28</f>
        <v>0.922501966955153</v>
      </c>
      <c r="BH28" s="79" t="n">
        <f aca="false">B28</f>
        <v>0.922501966955153</v>
      </c>
      <c r="BI28" s="79" t="n">
        <f aca="false">B28</f>
        <v>0.922501966955153</v>
      </c>
      <c r="BJ28" s="79" t="n">
        <f aca="false">B28</f>
        <v>0.922501966955153</v>
      </c>
      <c r="BK28" s="80" t="n">
        <v>1</v>
      </c>
    </row>
    <row r="29" customFormat="false" ht="12.75" hidden="false" customHeight="false" outlineLevel="0" collapsed="false">
      <c r="A29" s="1" t="n">
        <f aca="false">A28-1</f>
        <v>1998</v>
      </c>
      <c r="B29" s="79" t="n">
        <f aca="false">im!C29/(im!C29+im!D29)</f>
        <v>0.915773171312843</v>
      </c>
      <c r="C29" s="79" t="n">
        <f aca="false">B29</f>
        <v>0.915773171312843</v>
      </c>
      <c r="D29" s="79" t="n">
        <f aca="false">B29</f>
        <v>0.915773171312843</v>
      </c>
      <c r="E29" s="79" t="n">
        <f aca="false">B29</f>
        <v>0.915773171312843</v>
      </c>
      <c r="F29" s="79" t="n">
        <f aca="false">im!I29/(im!I29+im!J29)</f>
        <v>0.817543859649123</v>
      </c>
      <c r="G29" s="79" t="n">
        <f aca="false">F29</f>
        <v>0.817543859649123</v>
      </c>
      <c r="H29" s="79" t="n">
        <f aca="false">F29</f>
        <v>0.817543859649123</v>
      </c>
      <c r="I29" s="79" t="n">
        <f aca="false">F29</f>
        <v>0.817543859649123</v>
      </c>
      <c r="J29" s="79" t="n">
        <v>1</v>
      </c>
      <c r="K29" s="79" t="n">
        <v>1</v>
      </c>
      <c r="L29" s="79" t="n">
        <f aca="false">B29</f>
        <v>0.915773171312843</v>
      </c>
      <c r="M29" s="79" t="n">
        <f aca="false">B29</f>
        <v>0.915773171312843</v>
      </c>
      <c r="N29" s="79" t="n">
        <f aca="false">B29</f>
        <v>0.915773171312843</v>
      </c>
      <c r="O29" s="79" t="n">
        <f aca="false">B29</f>
        <v>0.915773171312843</v>
      </c>
      <c r="P29" s="79" t="n">
        <f aca="false">B29</f>
        <v>0.915773171312843</v>
      </c>
      <c r="Q29" s="80" t="n">
        <f aca="false">F29</f>
        <v>0.817543859649123</v>
      </c>
      <c r="R29" s="80" t="n">
        <f aca="false">F29</f>
        <v>0.817543859649123</v>
      </c>
      <c r="S29" s="80" t="n">
        <f aca="false">F29</f>
        <v>0.817543859649123</v>
      </c>
      <c r="T29" s="80" t="n">
        <v>1</v>
      </c>
      <c r="U29" s="80" t="n">
        <v>1</v>
      </c>
      <c r="V29" s="80" t="n">
        <f aca="false">F29</f>
        <v>0.817543859649123</v>
      </c>
      <c r="W29" s="80" t="n">
        <f aca="false">F29</f>
        <v>0.817543859649123</v>
      </c>
      <c r="X29" s="80" t="n">
        <f aca="false">F29</f>
        <v>0.817543859649123</v>
      </c>
      <c r="Y29" s="80" t="n">
        <f aca="false">F29</f>
        <v>0.817543859649123</v>
      </c>
      <c r="Z29" s="80" t="n">
        <f aca="false">F29</f>
        <v>0.817543859649123</v>
      </c>
      <c r="AA29" s="80" t="n">
        <f aca="false">F29</f>
        <v>0.817543859649123</v>
      </c>
      <c r="AB29" s="80" t="n">
        <f aca="false">F29</f>
        <v>0.817543859649123</v>
      </c>
      <c r="AC29" s="80" t="n">
        <f aca="false">F29</f>
        <v>0.817543859649123</v>
      </c>
      <c r="AD29" s="80" t="n">
        <f aca="false">F29</f>
        <v>0.817543859649123</v>
      </c>
      <c r="AE29" s="79" t="n">
        <f aca="false">B29</f>
        <v>0.915773171312843</v>
      </c>
      <c r="AF29" s="79" t="n">
        <f aca="false">B29</f>
        <v>0.915773171312843</v>
      </c>
      <c r="AG29" s="79" t="n">
        <f aca="false">B29</f>
        <v>0.915773171312843</v>
      </c>
      <c r="AH29" s="79" t="n">
        <f aca="false">B29</f>
        <v>0.915773171312843</v>
      </c>
      <c r="AI29" s="79" t="n">
        <f aca="false">B29</f>
        <v>0.915773171312843</v>
      </c>
      <c r="AJ29" s="79" t="n">
        <f aca="false">B29</f>
        <v>0.915773171312843</v>
      </c>
      <c r="AK29" s="79" t="n">
        <f aca="false">B29</f>
        <v>0.915773171312843</v>
      </c>
      <c r="AL29" s="79" t="n">
        <f aca="false">B29</f>
        <v>0.915773171312843</v>
      </c>
      <c r="AM29" s="79" t="n">
        <f aca="false">B29</f>
        <v>0.915773171312843</v>
      </c>
      <c r="AN29" s="80" t="n">
        <f aca="false">F29</f>
        <v>0.817543859649123</v>
      </c>
      <c r="AO29" s="80" t="n">
        <f aca="false">F29</f>
        <v>0.817543859649123</v>
      </c>
      <c r="AP29" s="80" t="n">
        <f aca="false">F29</f>
        <v>0.817543859649123</v>
      </c>
      <c r="AQ29" s="80" t="n">
        <f aca="false">F29</f>
        <v>0.817543859649123</v>
      </c>
      <c r="AR29" s="80" t="n">
        <f aca="false">F29</f>
        <v>0.817543859649123</v>
      </c>
      <c r="AS29" s="80" t="n">
        <f aca="false">F29</f>
        <v>0.817543859649123</v>
      </c>
      <c r="AT29" s="80" t="n">
        <v>1</v>
      </c>
      <c r="AU29" s="80" t="n">
        <f aca="false">F29</f>
        <v>0.817543859649123</v>
      </c>
      <c r="AV29" s="80" t="n">
        <f aca="false">F29</f>
        <v>0.817543859649123</v>
      </c>
      <c r="AW29" s="80" t="n">
        <f aca="false">F29</f>
        <v>0.817543859649123</v>
      </c>
      <c r="AX29" s="79" t="n">
        <f aca="false">B29</f>
        <v>0.915773171312843</v>
      </c>
      <c r="AY29" s="79" t="n">
        <f aca="false">B29</f>
        <v>0.915773171312843</v>
      </c>
      <c r="AZ29" s="79" t="n">
        <f aca="false">B29</f>
        <v>0.915773171312843</v>
      </c>
      <c r="BA29" s="80" t="n">
        <f aca="false">F29</f>
        <v>0.817543859649123</v>
      </c>
      <c r="BB29" s="80" t="n">
        <f aca="false">F29</f>
        <v>0.817543859649123</v>
      </c>
      <c r="BC29" s="79" t="n">
        <f aca="false">B29</f>
        <v>0.915773171312843</v>
      </c>
      <c r="BD29" s="79" t="n">
        <f aca="false">B29</f>
        <v>0.915773171312843</v>
      </c>
      <c r="BE29" s="80" t="n">
        <v>1</v>
      </c>
      <c r="BF29" s="80" t="n">
        <v>1</v>
      </c>
      <c r="BG29" s="79" t="n">
        <f aca="false">B29</f>
        <v>0.915773171312843</v>
      </c>
      <c r="BH29" s="79" t="n">
        <f aca="false">B29</f>
        <v>0.915773171312843</v>
      </c>
      <c r="BI29" s="79" t="n">
        <f aca="false">B29</f>
        <v>0.915773171312843</v>
      </c>
      <c r="BJ29" s="79" t="n">
        <f aca="false">B29</f>
        <v>0.915773171312843</v>
      </c>
      <c r="BK29" s="80" t="n">
        <v>1</v>
      </c>
    </row>
    <row r="30" customFormat="false" ht="12.75" hidden="false" customHeight="false" outlineLevel="0" collapsed="false">
      <c r="A30" s="1" t="n">
        <f aca="false">A29-1</f>
        <v>1997</v>
      </c>
      <c r="B30" s="79" t="n">
        <f aca="false">im!C30/(im!C30+im!D30)</f>
        <v>0.916674548377944</v>
      </c>
      <c r="C30" s="79" t="n">
        <f aca="false">B30</f>
        <v>0.916674548377944</v>
      </c>
      <c r="D30" s="79" t="n">
        <f aca="false">B30</f>
        <v>0.916674548377944</v>
      </c>
      <c r="E30" s="79" t="n">
        <f aca="false">B30</f>
        <v>0.916674548377944</v>
      </c>
      <c r="F30" s="79" t="n">
        <f aca="false">im!I30/(im!I30+im!J30)</f>
        <v>0.729411764705882</v>
      </c>
      <c r="G30" s="79" t="n">
        <f aca="false">F30</f>
        <v>0.729411764705882</v>
      </c>
      <c r="H30" s="79" t="n">
        <f aca="false">F30</f>
        <v>0.729411764705882</v>
      </c>
      <c r="I30" s="79" t="n">
        <f aca="false">F30</f>
        <v>0.729411764705882</v>
      </c>
      <c r="J30" s="79" t="n">
        <v>1</v>
      </c>
      <c r="K30" s="79" t="n">
        <v>1</v>
      </c>
      <c r="L30" s="79" t="n">
        <f aca="false">B30</f>
        <v>0.916674548377944</v>
      </c>
      <c r="M30" s="79" t="n">
        <f aca="false">B30</f>
        <v>0.916674548377944</v>
      </c>
      <c r="N30" s="79" t="n">
        <f aca="false">B30</f>
        <v>0.916674548377944</v>
      </c>
      <c r="O30" s="79" t="n">
        <f aca="false">B30</f>
        <v>0.916674548377944</v>
      </c>
      <c r="P30" s="79" t="n">
        <f aca="false">B30</f>
        <v>0.916674548377944</v>
      </c>
      <c r="Q30" s="80" t="n">
        <f aca="false">F30</f>
        <v>0.729411764705882</v>
      </c>
      <c r="R30" s="80" t="n">
        <f aca="false">F30</f>
        <v>0.729411764705882</v>
      </c>
      <c r="S30" s="80" t="n">
        <f aca="false">F30</f>
        <v>0.729411764705882</v>
      </c>
      <c r="T30" s="80" t="n">
        <v>1</v>
      </c>
      <c r="U30" s="80" t="n">
        <v>1</v>
      </c>
      <c r="V30" s="80" t="n">
        <f aca="false">F30</f>
        <v>0.729411764705882</v>
      </c>
      <c r="W30" s="80" t="n">
        <f aca="false">F30</f>
        <v>0.729411764705882</v>
      </c>
      <c r="X30" s="80" t="n">
        <f aca="false">F30</f>
        <v>0.729411764705882</v>
      </c>
      <c r="Y30" s="80" t="n">
        <f aca="false">F30</f>
        <v>0.729411764705882</v>
      </c>
      <c r="Z30" s="80" t="n">
        <f aca="false">F30</f>
        <v>0.729411764705882</v>
      </c>
      <c r="AA30" s="80" t="n">
        <f aca="false">F30</f>
        <v>0.729411764705882</v>
      </c>
      <c r="AB30" s="80" t="n">
        <f aca="false">F30</f>
        <v>0.729411764705882</v>
      </c>
      <c r="AC30" s="80" t="n">
        <f aca="false">F30</f>
        <v>0.729411764705882</v>
      </c>
      <c r="AD30" s="80" t="n">
        <f aca="false">F30</f>
        <v>0.729411764705882</v>
      </c>
      <c r="AE30" s="79" t="n">
        <f aca="false">B30</f>
        <v>0.916674548377944</v>
      </c>
      <c r="AF30" s="79" t="n">
        <f aca="false">B30</f>
        <v>0.916674548377944</v>
      </c>
      <c r="AG30" s="79" t="n">
        <f aca="false">B30</f>
        <v>0.916674548377944</v>
      </c>
      <c r="AH30" s="79" t="n">
        <f aca="false">B30</f>
        <v>0.916674548377944</v>
      </c>
      <c r="AI30" s="79" t="n">
        <f aca="false">B30</f>
        <v>0.916674548377944</v>
      </c>
      <c r="AJ30" s="79" t="n">
        <f aca="false">B30</f>
        <v>0.916674548377944</v>
      </c>
      <c r="AK30" s="79" t="n">
        <f aca="false">B30</f>
        <v>0.916674548377944</v>
      </c>
      <c r="AL30" s="79" t="n">
        <f aca="false">B30</f>
        <v>0.916674548377944</v>
      </c>
      <c r="AM30" s="79" t="n">
        <f aca="false">B30</f>
        <v>0.916674548377944</v>
      </c>
      <c r="AN30" s="80" t="n">
        <f aca="false">F30</f>
        <v>0.729411764705882</v>
      </c>
      <c r="AO30" s="80" t="n">
        <f aca="false">F30</f>
        <v>0.729411764705882</v>
      </c>
      <c r="AP30" s="80" t="n">
        <f aca="false">F30</f>
        <v>0.729411764705882</v>
      </c>
      <c r="AQ30" s="80" t="n">
        <f aca="false">F30</f>
        <v>0.729411764705882</v>
      </c>
      <c r="AR30" s="80" t="n">
        <f aca="false">F30</f>
        <v>0.729411764705882</v>
      </c>
      <c r="AS30" s="80" t="n">
        <f aca="false">F30</f>
        <v>0.729411764705882</v>
      </c>
      <c r="AT30" s="80" t="n">
        <v>1</v>
      </c>
      <c r="AU30" s="80" t="n">
        <f aca="false">F30</f>
        <v>0.729411764705882</v>
      </c>
      <c r="AV30" s="80" t="n">
        <f aca="false">F30</f>
        <v>0.729411764705882</v>
      </c>
      <c r="AW30" s="80" t="n">
        <f aca="false">F30</f>
        <v>0.729411764705882</v>
      </c>
      <c r="AX30" s="79" t="n">
        <f aca="false">B30</f>
        <v>0.916674548377944</v>
      </c>
      <c r="AY30" s="79" t="n">
        <f aca="false">B30</f>
        <v>0.916674548377944</v>
      </c>
      <c r="AZ30" s="79" t="n">
        <f aca="false">B30</f>
        <v>0.916674548377944</v>
      </c>
      <c r="BA30" s="80" t="n">
        <f aca="false">F30</f>
        <v>0.729411764705882</v>
      </c>
      <c r="BB30" s="80" t="n">
        <f aca="false">F30</f>
        <v>0.729411764705882</v>
      </c>
      <c r="BC30" s="79" t="n">
        <f aca="false">B30</f>
        <v>0.916674548377944</v>
      </c>
      <c r="BD30" s="79" t="n">
        <f aca="false">B30</f>
        <v>0.916674548377944</v>
      </c>
      <c r="BE30" s="80" t="n">
        <v>1</v>
      </c>
      <c r="BF30" s="80" t="n">
        <v>1</v>
      </c>
      <c r="BG30" s="79" t="n">
        <f aca="false">B30</f>
        <v>0.916674548377944</v>
      </c>
      <c r="BH30" s="79" t="n">
        <f aca="false">B30</f>
        <v>0.916674548377944</v>
      </c>
      <c r="BI30" s="79" t="n">
        <f aca="false">B30</f>
        <v>0.916674548377944</v>
      </c>
      <c r="BJ30" s="79" t="n">
        <f aca="false">B30</f>
        <v>0.916674548377944</v>
      </c>
      <c r="BK30" s="80" t="n">
        <v>1</v>
      </c>
    </row>
    <row r="31" customFormat="false" ht="12.75" hidden="false" customHeight="false" outlineLevel="0" collapsed="false">
      <c r="A31" s="1" t="n">
        <f aca="false">A30-1</f>
        <v>1996</v>
      </c>
      <c r="B31" s="79" t="n">
        <f aca="false">im!C31/(im!C31+im!D31)</f>
        <v>0.899509577125937</v>
      </c>
      <c r="C31" s="79" t="n">
        <f aca="false">B31</f>
        <v>0.899509577125937</v>
      </c>
      <c r="D31" s="79" t="n">
        <f aca="false">B31</f>
        <v>0.899509577125937</v>
      </c>
      <c r="E31" s="79" t="n">
        <f aca="false">B31</f>
        <v>0.899509577125937</v>
      </c>
      <c r="F31" s="79" t="n">
        <f aca="false">im!I31/(im!I31+im!J31)</f>
        <v>0.888888888888889</v>
      </c>
      <c r="G31" s="79" t="n">
        <f aca="false">F31</f>
        <v>0.888888888888889</v>
      </c>
      <c r="H31" s="79" t="n">
        <f aca="false">F31</f>
        <v>0.888888888888889</v>
      </c>
      <c r="I31" s="79" t="n">
        <f aca="false">F31</f>
        <v>0.888888888888889</v>
      </c>
      <c r="J31" s="79" t="n">
        <v>1</v>
      </c>
      <c r="K31" s="79" t="n">
        <v>1</v>
      </c>
      <c r="L31" s="79" t="n">
        <f aca="false">B31</f>
        <v>0.899509577125937</v>
      </c>
      <c r="M31" s="79" t="n">
        <f aca="false">B31</f>
        <v>0.899509577125937</v>
      </c>
      <c r="N31" s="79" t="n">
        <f aca="false">B31</f>
        <v>0.899509577125937</v>
      </c>
      <c r="O31" s="79" t="n">
        <f aca="false">B31</f>
        <v>0.899509577125937</v>
      </c>
      <c r="P31" s="79" t="n">
        <f aca="false">B31</f>
        <v>0.899509577125937</v>
      </c>
      <c r="Q31" s="80" t="n">
        <f aca="false">F31</f>
        <v>0.888888888888889</v>
      </c>
      <c r="R31" s="80" t="n">
        <f aca="false">F31</f>
        <v>0.888888888888889</v>
      </c>
      <c r="S31" s="80" t="n">
        <f aca="false">F31</f>
        <v>0.888888888888889</v>
      </c>
      <c r="T31" s="80" t="n">
        <v>1</v>
      </c>
      <c r="U31" s="80" t="n">
        <v>1</v>
      </c>
      <c r="V31" s="80" t="n">
        <f aca="false">F31</f>
        <v>0.888888888888889</v>
      </c>
      <c r="W31" s="80" t="n">
        <f aca="false">F31</f>
        <v>0.888888888888889</v>
      </c>
      <c r="X31" s="80" t="n">
        <f aca="false">F31</f>
        <v>0.888888888888889</v>
      </c>
      <c r="Y31" s="80" t="n">
        <f aca="false">F31</f>
        <v>0.888888888888889</v>
      </c>
      <c r="Z31" s="80" t="n">
        <f aca="false">F31</f>
        <v>0.888888888888889</v>
      </c>
      <c r="AA31" s="80" t="n">
        <f aca="false">F31</f>
        <v>0.888888888888889</v>
      </c>
      <c r="AB31" s="80" t="n">
        <f aca="false">F31</f>
        <v>0.888888888888889</v>
      </c>
      <c r="AC31" s="80" t="n">
        <f aca="false">F31</f>
        <v>0.888888888888889</v>
      </c>
      <c r="AD31" s="80" t="n">
        <f aca="false">F31</f>
        <v>0.888888888888889</v>
      </c>
      <c r="AE31" s="79" t="n">
        <f aca="false">B31</f>
        <v>0.899509577125937</v>
      </c>
      <c r="AF31" s="79" t="n">
        <f aca="false">B31</f>
        <v>0.899509577125937</v>
      </c>
      <c r="AG31" s="79" t="n">
        <f aca="false">B31</f>
        <v>0.899509577125937</v>
      </c>
      <c r="AH31" s="79" t="n">
        <f aca="false">B31</f>
        <v>0.899509577125937</v>
      </c>
      <c r="AI31" s="79" t="n">
        <f aca="false">B31</f>
        <v>0.899509577125937</v>
      </c>
      <c r="AJ31" s="79" t="n">
        <f aca="false">B31</f>
        <v>0.899509577125937</v>
      </c>
      <c r="AK31" s="79" t="n">
        <f aca="false">B31</f>
        <v>0.899509577125937</v>
      </c>
      <c r="AL31" s="79" t="n">
        <f aca="false">B31</f>
        <v>0.899509577125937</v>
      </c>
      <c r="AM31" s="79" t="n">
        <f aca="false">B31</f>
        <v>0.899509577125937</v>
      </c>
      <c r="AN31" s="80" t="n">
        <f aca="false">F31</f>
        <v>0.888888888888889</v>
      </c>
      <c r="AO31" s="80" t="n">
        <f aca="false">F31</f>
        <v>0.888888888888889</v>
      </c>
      <c r="AP31" s="80" t="n">
        <f aca="false">F31</f>
        <v>0.888888888888889</v>
      </c>
      <c r="AQ31" s="80" t="n">
        <f aca="false">F31</f>
        <v>0.888888888888889</v>
      </c>
      <c r="AR31" s="80" t="n">
        <f aca="false">F31</f>
        <v>0.888888888888889</v>
      </c>
      <c r="AS31" s="80" t="n">
        <f aca="false">F31</f>
        <v>0.888888888888889</v>
      </c>
      <c r="AT31" s="80" t="n">
        <v>1</v>
      </c>
      <c r="AU31" s="80" t="n">
        <f aca="false">F31</f>
        <v>0.888888888888889</v>
      </c>
      <c r="AV31" s="80" t="n">
        <f aca="false">F31</f>
        <v>0.888888888888889</v>
      </c>
      <c r="AW31" s="80" t="n">
        <f aca="false">F31</f>
        <v>0.888888888888889</v>
      </c>
      <c r="AX31" s="79" t="n">
        <f aca="false">B31</f>
        <v>0.899509577125937</v>
      </c>
      <c r="AY31" s="79" t="n">
        <f aca="false">B31</f>
        <v>0.899509577125937</v>
      </c>
      <c r="AZ31" s="79" t="n">
        <f aca="false">B31</f>
        <v>0.899509577125937</v>
      </c>
      <c r="BA31" s="80" t="n">
        <f aca="false">F31</f>
        <v>0.888888888888889</v>
      </c>
      <c r="BB31" s="80" t="n">
        <f aca="false">F31</f>
        <v>0.888888888888889</v>
      </c>
      <c r="BC31" s="79" t="n">
        <f aca="false">B31</f>
        <v>0.899509577125937</v>
      </c>
      <c r="BD31" s="79" t="n">
        <f aca="false">B31</f>
        <v>0.899509577125937</v>
      </c>
      <c r="BE31" s="80" t="n">
        <v>1</v>
      </c>
      <c r="BF31" s="80" t="n">
        <v>1</v>
      </c>
      <c r="BG31" s="79" t="n">
        <f aca="false">B31</f>
        <v>0.899509577125937</v>
      </c>
      <c r="BH31" s="79" t="n">
        <f aca="false">B31</f>
        <v>0.899509577125937</v>
      </c>
      <c r="BI31" s="79" t="n">
        <f aca="false">B31</f>
        <v>0.899509577125937</v>
      </c>
      <c r="BJ31" s="79" t="n">
        <f aca="false">B31</f>
        <v>0.899509577125937</v>
      </c>
      <c r="BK31" s="80" t="n">
        <v>1</v>
      </c>
    </row>
    <row r="32" customFormat="false" ht="12.75" hidden="false" customHeight="false" outlineLevel="0" collapsed="false">
      <c r="A32" s="1" t="n">
        <f aca="false">A31-1</f>
        <v>1995</v>
      </c>
      <c r="B32" s="79" t="n">
        <f aca="false">im!C32/(im!C32+im!D32)</f>
        <v>0.888686131386861</v>
      </c>
      <c r="C32" s="79" t="n">
        <f aca="false">B32</f>
        <v>0.888686131386861</v>
      </c>
      <c r="D32" s="79" t="n">
        <f aca="false">B32</f>
        <v>0.888686131386861</v>
      </c>
      <c r="E32" s="79" t="n">
        <f aca="false">B32</f>
        <v>0.888686131386861</v>
      </c>
      <c r="F32" s="79" t="n">
        <f aca="false">im!I32/(im!I32+im!J32)</f>
        <v>0.926315789473684</v>
      </c>
      <c r="G32" s="79" t="n">
        <f aca="false">F32</f>
        <v>0.926315789473684</v>
      </c>
      <c r="H32" s="79" t="n">
        <f aca="false">F32</f>
        <v>0.926315789473684</v>
      </c>
      <c r="I32" s="79" t="n">
        <f aca="false">F32</f>
        <v>0.926315789473684</v>
      </c>
      <c r="J32" s="79" t="n">
        <v>1</v>
      </c>
      <c r="K32" s="79" t="n">
        <v>1</v>
      </c>
      <c r="L32" s="79" t="n">
        <f aca="false">B32</f>
        <v>0.888686131386861</v>
      </c>
      <c r="M32" s="79" t="n">
        <f aca="false">B32</f>
        <v>0.888686131386861</v>
      </c>
      <c r="N32" s="79" t="n">
        <f aca="false">B32</f>
        <v>0.888686131386861</v>
      </c>
      <c r="O32" s="79" t="n">
        <f aca="false">B32</f>
        <v>0.888686131386861</v>
      </c>
      <c r="P32" s="79" t="n">
        <f aca="false">B32</f>
        <v>0.888686131386861</v>
      </c>
      <c r="Q32" s="80" t="n">
        <f aca="false">F32</f>
        <v>0.926315789473684</v>
      </c>
      <c r="R32" s="80" t="n">
        <f aca="false">F32</f>
        <v>0.926315789473684</v>
      </c>
      <c r="S32" s="80" t="n">
        <f aca="false">F32</f>
        <v>0.926315789473684</v>
      </c>
      <c r="T32" s="80" t="n">
        <v>1</v>
      </c>
      <c r="U32" s="80" t="n">
        <v>1</v>
      </c>
      <c r="V32" s="80" t="n">
        <f aca="false">F32</f>
        <v>0.926315789473684</v>
      </c>
      <c r="W32" s="80" t="n">
        <f aca="false">F32</f>
        <v>0.926315789473684</v>
      </c>
      <c r="X32" s="80" t="n">
        <f aca="false">F32</f>
        <v>0.926315789473684</v>
      </c>
      <c r="Y32" s="80" t="n">
        <f aca="false">F32</f>
        <v>0.926315789473684</v>
      </c>
      <c r="Z32" s="80" t="n">
        <f aca="false">F32</f>
        <v>0.926315789473684</v>
      </c>
      <c r="AA32" s="80" t="n">
        <f aca="false">F32</f>
        <v>0.926315789473684</v>
      </c>
      <c r="AB32" s="80" t="n">
        <f aca="false">F32</f>
        <v>0.926315789473684</v>
      </c>
      <c r="AC32" s="80" t="n">
        <f aca="false">F32</f>
        <v>0.926315789473684</v>
      </c>
      <c r="AD32" s="80" t="n">
        <f aca="false">F32</f>
        <v>0.926315789473684</v>
      </c>
      <c r="AE32" s="79" t="n">
        <f aca="false">B32</f>
        <v>0.888686131386861</v>
      </c>
      <c r="AF32" s="79" t="n">
        <f aca="false">B32</f>
        <v>0.888686131386861</v>
      </c>
      <c r="AG32" s="79" t="n">
        <f aca="false">B32</f>
        <v>0.888686131386861</v>
      </c>
      <c r="AH32" s="79" t="n">
        <f aca="false">B32</f>
        <v>0.888686131386861</v>
      </c>
      <c r="AI32" s="79" t="n">
        <f aca="false">B32</f>
        <v>0.888686131386861</v>
      </c>
      <c r="AJ32" s="79" t="n">
        <f aca="false">B32</f>
        <v>0.888686131386861</v>
      </c>
      <c r="AK32" s="79" t="n">
        <f aca="false">B32</f>
        <v>0.888686131386861</v>
      </c>
      <c r="AL32" s="79" t="n">
        <f aca="false">B32</f>
        <v>0.888686131386861</v>
      </c>
      <c r="AM32" s="79" t="n">
        <f aca="false">B32</f>
        <v>0.888686131386861</v>
      </c>
      <c r="AN32" s="80" t="n">
        <f aca="false">F32</f>
        <v>0.926315789473684</v>
      </c>
      <c r="AO32" s="80" t="n">
        <f aca="false">F32</f>
        <v>0.926315789473684</v>
      </c>
      <c r="AP32" s="80" t="n">
        <f aca="false">F32</f>
        <v>0.926315789473684</v>
      </c>
      <c r="AQ32" s="80" t="n">
        <f aca="false">F32</f>
        <v>0.926315789473684</v>
      </c>
      <c r="AR32" s="80" t="n">
        <f aca="false">F32</f>
        <v>0.926315789473684</v>
      </c>
      <c r="AS32" s="80" t="n">
        <f aca="false">F32</f>
        <v>0.926315789473684</v>
      </c>
      <c r="AT32" s="80" t="n">
        <v>1</v>
      </c>
      <c r="AU32" s="80" t="n">
        <f aca="false">F32</f>
        <v>0.926315789473684</v>
      </c>
      <c r="AV32" s="80" t="n">
        <f aca="false">F32</f>
        <v>0.926315789473684</v>
      </c>
      <c r="AW32" s="80" t="n">
        <f aca="false">F32</f>
        <v>0.926315789473684</v>
      </c>
      <c r="AX32" s="79" t="n">
        <f aca="false">B32</f>
        <v>0.888686131386861</v>
      </c>
      <c r="AY32" s="79" t="n">
        <f aca="false">B32</f>
        <v>0.888686131386861</v>
      </c>
      <c r="AZ32" s="79" t="n">
        <f aca="false">B32</f>
        <v>0.888686131386861</v>
      </c>
      <c r="BA32" s="80" t="n">
        <f aca="false">F32</f>
        <v>0.926315789473684</v>
      </c>
      <c r="BB32" s="80" t="n">
        <f aca="false">F32</f>
        <v>0.926315789473684</v>
      </c>
      <c r="BC32" s="79" t="n">
        <f aca="false">B32</f>
        <v>0.888686131386861</v>
      </c>
      <c r="BD32" s="79" t="n">
        <f aca="false">B32</f>
        <v>0.888686131386861</v>
      </c>
      <c r="BE32" s="80" t="n">
        <v>1</v>
      </c>
      <c r="BF32" s="80" t="n">
        <v>1</v>
      </c>
      <c r="BG32" s="79" t="n">
        <f aca="false">B32</f>
        <v>0.888686131386861</v>
      </c>
      <c r="BH32" s="79" t="n">
        <f aca="false">B32</f>
        <v>0.888686131386861</v>
      </c>
      <c r="BI32" s="79" t="n">
        <f aca="false">B32</f>
        <v>0.888686131386861</v>
      </c>
      <c r="BJ32" s="79" t="n">
        <f aca="false">B32</f>
        <v>0.888686131386861</v>
      </c>
      <c r="BK32" s="80" t="n">
        <v>1</v>
      </c>
    </row>
    <row r="33" customFormat="false" ht="12.75" hidden="false" customHeight="false" outlineLevel="0" collapsed="false">
      <c r="A33" s="1" t="n">
        <f aca="false">A32-1</f>
        <v>1994</v>
      </c>
      <c r="B33" s="79" t="n">
        <f aca="false">im!C33/(im!C33+im!D33)</f>
        <v>0.875145537976851</v>
      </c>
      <c r="C33" s="79" t="n">
        <f aca="false">B33</f>
        <v>0.875145537976851</v>
      </c>
      <c r="D33" s="79" t="n">
        <f aca="false">B33</f>
        <v>0.875145537976851</v>
      </c>
      <c r="E33" s="79" t="n">
        <f aca="false">B33</f>
        <v>0.875145537976851</v>
      </c>
      <c r="F33" s="79" t="n">
        <f aca="false">im!I33/(im!I33+im!J33)</f>
        <v>0.795918367346939</v>
      </c>
      <c r="G33" s="79" t="n">
        <f aca="false">F33</f>
        <v>0.795918367346939</v>
      </c>
      <c r="H33" s="79" t="n">
        <f aca="false">F33</f>
        <v>0.795918367346939</v>
      </c>
      <c r="I33" s="79" t="n">
        <f aca="false">F33</f>
        <v>0.795918367346939</v>
      </c>
      <c r="J33" s="79" t="n">
        <v>1</v>
      </c>
      <c r="K33" s="79" t="n">
        <v>1</v>
      </c>
      <c r="L33" s="79" t="n">
        <f aca="false">B33</f>
        <v>0.875145537976851</v>
      </c>
      <c r="M33" s="79" t="n">
        <f aca="false">B33</f>
        <v>0.875145537976851</v>
      </c>
      <c r="N33" s="79" t="n">
        <f aca="false">B33</f>
        <v>0.875145537976851</v>
      </c>
      <c r="O33" s="79" t="n">
        <f aca="false">B33</f>
        <v>0.875145537976851</v>
      </c>
      <c r="P33" s="79" t="n">
        <f aca="false">B33</f>
        <v>0.875145537976851</v>
      </c>
      <c r="Q33" s="80" t="n">
        <f aca="false">F33</f>
        <v>0.795918367346939</v>
      </c>
      <c r="R33" s="80" t="n">
        <f aca="false">F33</f>
        <v>0.795918367346939</v>
      </c>
      <c r="S33" s="80" t="n">
        <f aca="false">F33</f>
        <v>0.795918367346939</v>
      </c>
      <c r="T33" s="80" t="n">
        <v>1</v>
      </c>
      <c r="U33" s="80" t="n">
        <v>1</v>
      </c>
      <c r="V33" s="80" t="n">
        <f aca="false">F33</f>
        <v>0.795918367346939</v>
      </c>
      <c r="W33" s="80" t="n">
        <f aca="false">F33</f>
        <v>0.795918367346939</v>
      </c>
      <c r="X33" s="80" t="n">
        <f aca="false">F33</f>
        <v>0.795918367346939</v>
      </c>
      <c r="Y33" s="80" t="n">
        <f aca="false">F33</f>
        <v>0.795918367346939</v>
      </c>
      <c r="Z33" s="80" t="n">
        <f aca="false">F33</f>
        <v>0.795918367346939</v>
      </c>
      <c r="AA33" s="80" t="n">
        <f aca="false">F33</f>
        <v>0.795918367346939</v>
      </c>
      <c r="AB33" s="80" t="n">
        <f aca="false">F33</f>
        <v>0.795918367346939</v>
      </c>
      <c r="AC33" s="80" t="n">
        <f aca="false">F33</f>
        <v>0.795918367346939</v>
      </c>
      <c r="AD33" s="80" t="n">
        <f aca="false">F33</f>
        <v>0.795918367346939</v>
      </c>
      <c r="AE33" s="79" t="n">
        <f aca="false">B33</f>
        <v>0.875145537976851</v>
      </c>
      <c r="AF33" s="79" t="n">
        <f aca="false">B33</f>
        <v>0.875145537976851</v>
      </c>
      <c r="AG33" s="79" t="n">
        <f aca="false">B33</f>
        <v>0.875145537976851</v>
      </c>
      <c r="AH33" s="79" t="n">
        <f aca="false">B33</f>
        <v>0.875145537976851</v>
      </c>
      <c r="AI33" s="79" t="n">
        <f aca="false">B33</f>
        <v>0.875145537976851</v>
      </c>
      <c r="AJ33" s="79" t="n">
        <f aca="false">B33</f>
        <v>0.875145537976851</v>
      </c>
      <c r="AK33" s="79" t="n">
        <f aca="false">B33</f>
        <v>0.875145537976851</v>
      </c>
      <c r="AL33" s="79" t="n">
        <f aca="false">B33</f>
        <v>0.875145537976851</v>
      </c>
      <c r="AM33" s="79" t="n">
        <f aca="false">B33</f>
        <v>0.875145537976851</v>
      </c>
      <c r="AN33" s="80" t="n">
        <f aca="false">F33</f>
        <v>0.795918367346939</v>
      </c>
      <c r="AO33" s="80" t="n">
        <f aca="false">F33</f>
        <v>0.795918367346939</v>
      </c>
      <c r="AP33" s="80" t="n">
        <f aca="false">F33</f>
        <v>0.795918367346939</v>
      </c>
      <c r="AQ33" s="80" t="n">
        <f aca="false">F33</f>
        <v>0.795918367346939</v>
      </c>
      <c r="AR33" s="80" t="n">
        <f aca="false">F33</f>
        <v>0.795918367346939</v>
      </c>
      <c r="AS33" s="80" t="n">
        <f aca="false">F33</f>
        <v>0.795918367346939</v>
      </c>
      <c r="AT33" s="80" t="n">
        <v>1</v>
      </c>
      <c r="AU33" s="80" t="n">
        <f aca="false">F33</f>
        <v>0.795918367346939</v>
      </c>
      <c r="AV33" s="80" t="n">
        <f aca="false">F33</f>
        <v>0.795918367346939</v>
      </c>
      <c r="AW33" s="80" t="n">
        <f aca="false">F33</f>
        <v>0.795918367346939</v>
      </c>
      <c r="AX33" s="79" t="n">
        <f aca="false">B33</f>
        <v>0.875145537976851</v>
      </c>
      <c r="AY33" s="79" t="n">
        <f aca="false">B33</f>
        <v>0.875145537976851</v>
      </c>
      <c r="AZ33" s="79" t="n">
        <f aca="false">B33</f>
        <v>0.875145537976851</v>
      </c>
      <c r="BA33" s="80" t="n">
        <f aca="false">F33</f>
        <v>0.795918367346939</v>
      </c>
      <c r="BB33" s="80" t="n">
        <f aca="false">F33</f>
        <v>0.795918367346939</v>
      </c>
      <c r="BC33" s="79" t="n">
        <f aca="false">B33</f>
        <v>0.875145537976851</v>
      </c>
      <c r="BD33" s="79" t="n">
        <f aca="false">B33</f>
        <v>0.875145537976851</v>
      </c>
      <c r="BE33" s="80" t="n">
        <v>1</v>
      </c>
      <c r="BF33" s="80" t="n">
        <v>1</v>
      </c>
      <c r="BG33" s="79" t="n">
        <f aca="false">B33</f>
        <v>0.875145537976851</v>
      </c>
      <c r="BH33" s="79" t="n">
        <f aca="false">B33</f>
        <v>0.875145537976851</v>
      </c>
      <c r="BI33" s="79" t="n">
        <f aca="false">B33</f>
        <v>0.875145537976851</v>
      </c>
      <c r="BJ33" s="79" t="n">
        <f aca="false">B33</f>
        <v>0.875145537976851</v>
      </c>
      <c r="BK33" s="80" t="n">
        <v>1</v>
      </c>
    </row>
    <row r="34" customFormat="false" ht="12.75" hidden="false" customHeight="false" outlineLevel="0" collapsed="false">
      <c r="A34" s="1" t="n">
        <f aca="false">A33-1</f>
        <v>1993</v>
      </c>
      <c r="B34" s="79" t="n">
        <f aca="false">im!C34/(im!C34+im!D34)</f>
        <v>0.874339070761615</v>
      </c>
      <c r="C34" s="79" t="n">
        <f aca="false">B34</f>
        <v>0.874339070761615</v>
      </c>
      <c r="D34" s="79" t="n">
        <f aca="false">B34</f>
        <v>0.874339070761615</v>
      </c>
      <c r="E34" s="79" t="n">
        <f aca="false">B34</f>
        <v>0.874339070761615</v>
      </c>
      <c r="F34" s="79" t="n">
        <f aca="false">im!I34/(im!I34+im!J34)</f>
        <v>0.739130434782609</v>
      </c>
      <c r="G34" s="79" t="n">
        <f aca="false">F34</f>
        <v>0.739130434782609</v>
      </c>
      <c r="H34" s="79" t="n">
        <f aca="false">F34</f>
        <v>0.739130434782609</v>
      </c>
      <c r="I34" s="79" t="n">
        <f aca="false">F34</f>
        <v>0.739130434782609</v>
      </c>
      <c r="J34" s="79" t="n">
        <v>1</v>
      </c>
      <c r="K34" s="79" t="n">
        <v>1</v>
      </c>
      <c r="L34" s="79" t="n">
        <f aca="false">B34</f>
        <v>0.874339070761615</v>
      </c>
      <c r="M34" s="79" t="n">
        <f aca="false">B34</f>
        <v>0.874339070761615</v>
      </c>
      <c r="N34" s="79" t="n">
        <f aca="false">B34</f>
        <v>0.874339070761615</v>
      </c>
      <c r="O34" s="79" t="n">
        <f aca="false">B34</f>
        <v>0.874339070761615</v>
      </c>
      <c r="P34" s="79" t="n">
        <f aca="false">B34</f>
        <v>0.874339070761615</v>
      </c>
      <c r="Q34" s="80" t="n">
        <f aca="false">F34</f>
        <v>0.739130434782609</v>
      </c>
      <c r="R34" s="80" t="n">
        <f aca="false">F34</f>
        <v>0.739130434782609</v>
      </c>
      <c r="S34" s="80" t="n">
        <f aca="false">F34</f>
        <v>0.739130434782609</v>
      </c>
      <c r="T34" s="80" t="n">
        <v>1</v>
      </c>
      <c r="U34" s="80" t="n">
        <v>1</v>
      </c>
      <c r="V34" s="80" t="n">
        <f aca="false">F34</f>
        <v>0.739130434782609</v>
      </c>
      <c r="W34" s="80" t="n">
        <f aca="false">F34</f>
        <v>0.739130434782609</v>
      </c>
      <c r="X34" s="80" t="n">
        <f aca="false">F34</f>
        <v>0.739130434782609</v>
      </c>
      <c r="Y34" s="80" t="n">
        <f aca="false">F34</f>
        <v>0.739130434782609</v>
      </c>
      <c r="Z34" s="80" t="n">
        <f aca="false">F34</f>
        <v>0.739130434782609</v>
      </c>
      <c r="AA34" s="80" t="n">
        <f aca="false">F34</f>
        <v>0.739130434782609</v>
      </c>
      <c r="AB34" s="80" t="n">
        <f aca="false">F34</f>
        <v>0.739130434782609</v>
      </c>
      <c r="AC34" s="80" t="n">
        <f aca="false">F34</f>
        <v>0.739130434782609</v>
      </c>
      <c r="AD34" s="80" t="n">
        <f aca="false">F34</f>
        <v>0.739130434782609</v>
      </c>
      <c r="AE34" s="79" t="n">
        <f aca="false">B34</f>
        <v>0.874339070761615</v>
      </c>
      <c r="AF34" s="79" t="n">
        <f aca="false">B34</f>
        <v>0.874339070761615</v>
      </c>
      <c r="AG34" s="79" t="n">
        <f aca="false">B34</f>
        <v>0.874339070761615</v>
      </c>
      <c r="AH34" s="79" t="n">
        <f aca="false">B34</f>
        <v>0.874339070761615</v>
      </c>
      <c r="AI34" s="79" t="n">
        <f aca="false">B34</f>
        <v>0.874339070761615</v>
      </c>
      <c r="AJ34" s="79" t="n">
        <f aca="false">B34</f>
        <v>0.874339070761615</v>
      </c>
      <c r="AK34" s="79" t="n">
        <f aca="false">B34</f>
        <v>0.874339070761615</v>
      </c>
      <c r="AL34" s="79" t="n">
        <f aca="false">B34</f>
        <v>0.874339070761615</v>
      </c>
      <c r="AM34" s="79" t="n">
        <f aca="false">B34</f>
        <v>0.874339070761615</v>
      </c>
      <c r="AN34" s="80" t="n">
        <f aca="false">F34</f>
        <v>0.739130434782609</v>
      </c>
      <c r="AO34" s="80" t="n">
        <f aca="false">F34</f>
        <v>0.739130434782609</v>
      </c>
      <c r="AP34" s="80" t="n">
        <f aca="false">F34</f>
        <v>0.739130434782609</v>
      </c>
      <c r="AQ34" s="80" t="n">
        <f aca="false">F34</f>
        <v>0.739130434782609</v>
      </c>
      <c r="AR34" s="80" t="n">
        <f aca="false">F34</f>
        <v>0.739130434782609</v>
      </c>
      <c r="AS34" s="80" t="n">
        <f aca="false">F34</f>
        <v>0.739130434782609</v>
      </c>
      <c r="AT34" s="80" t="n">
        <v>1</v>
      </c>
      <c r="AU34" s="80" t="n">
        <f aca="false">F34</f>
        <v>0.739130434782609</v>
      </c>
      <c r="AV34" s="80" t="n">
        <f aca="false">F34</f>
        <v>0.739130434782609</v>
      </c>
      <c r="AW34" s="80" t="n">
        <f aca="false">F34</f>
        <v>0.739130434782609</v>
      </c>
      <c r="AX34" s="79" t="n">
        <f aca="false">B34</f>
        <v>0.874339070761615</v>
      </c>
      <c r="AY34" s="79" t="n">
        <f aca="false">B34</f>
        <v>0.874339070761615</v>
      </c>
      <c r="AZ34" s="79" t="n">
        <f aca="false">B34</f>
        <v>0.874339070761615</v>
      </c>
      <c r="BA34" s="80" t="n">
        <f aca="false">F34</f>
        <v>0.739130434782609</v>
      </c>
      <c r="BB34" s="80" t="n">
        <f aca="false">F34</f>
        <v>0.739130434782609</v>
      </c>
      <c r="BC34" s="79" t="n">
        <f aca="false">B34</f>
        <v>0.874339070761615</v>
      </c>
      <c r="BD34" s="79" t="n">
        <f aca="false">B34</f>
        <v>0.874339070761615</v>
      </c>
      <c r="BE34" s="80" t="n">
        <v>1</v>
      </c>
      <c r="BF34" s="80" t="n">
        <v>1</v>
      </c>
      <c r="BG34" s="79" t="n">
        <f aca="false">B34</f>
        <v>0.874339070761615</v>
      </c>
      <c r="BH34" s="79" t="n">
        <f aca="false">B34</f>
        <v>0.874339070761615</v>
      </c>
      <c r="BI34" s="79" t="n">
        <f aca="false">B34</f>
        <v>0.874339070761615</v>
      </c>
      <c r="BJ34" s="79" t="n">
        <f aca="false">B34</f>
        <v>0.874339070761615</v>
      </c>
      <c r="BK34" s="80" t="n">
        <v>1</v>
      </c>
    </row>
    <row r="35" customFormat="false" ht="12.75" hidden="false" customHeight="false" outlineLevel="0" collapsed="false">
      <c r="A35" s="1" t="n">
        <f aca="false">A34-1</f>
        <v>1992</v>
      </c>
      <c r="B35" s="79" t="n">
        <f aca="false">im!C35/(im!C35+im!D35)</f>
        <v>0.886727293657189</v>
      </c>
      <c r="C35" s="79" t="n">
        <f aca="false">B35</f>
        <v>0.886727293657189</v>
      </c>
      <c r="D35" s="79" t="n">
        <f aca="false">B35</f>
        <v>0.886727293657189</v>
      </c>
      <c r="E35" s="79" t="n">
        <f aca="false">B35</f>
        <v>0.886727293657189</v>
      </c>
      <c r="F35" s="79" t="n">
        <f aca="false">im!I35/(im!I35+im!J35)</f>
        <v>0.80952380952381</v>
      </c>
      <c r="G35" s="79" t="n">
        <f aca="false">F35</f>
        <v>0.80952380952381</v>
      </c>
      <c r="H35" s="79" t="n">
        <f aca="false">F35</f>
        <v>0.80952380952381</v>
      </c>
      <c r="I35" s="79" t="n">
        <f aca="false">F35</f>
        <v>0.80952380952381</v>
      </c>
      <c r="J35" s="79" t="n">
        <v>1</v>
      </c>
      <c r="K35" s="79" t="n">
        <v>1</v>
      </c>
      <c r="L35" s="79" t="n">
        <f aca="false">B35</f>
        <v>0.886727293657189</v>
      </c>
      <c r="M35" s="79" t="n">
        <f aca="false">B35</f>
        <v>0.886727293657189</v>
      </c>
      <c r="N35" s="79" t="n">
        <f aca="false">B35</f>
        <v>0.886727293657189</v>
      </c>
      <c r="O35" s="79" t="n">
        <f aca="false">B35</f>
        <v>0.886727293657189</v>
      </c>
      <c r="P35" s="79" t="n">
        <f aca="false">B35</f>
        <v>0.886727293657189</v>
      </c>
      <c r="Q35" s="80" t="n">
        <f aca="false">F35</f>
        <v>0.80952380952381</v>
      </c>
      <c r="R35" s="80" t="n">
        <f aca="false">F35</f>
        <v>0.80952380952381</v>
      </c>
      <c r="S35" s="80" t="n">
        <f aca="false">F35</f>
        <v>0.80952380952381</v>
      </c>
      <c r="T35" s="80" t="n">
        <v>1</v>
      </c>
      <c r="U35" s="80" t="n">
        <v>1</v>
      </c>
      <c r="V35" s="80" t="n">
        <f aca="false">F35</f>
        <v>0.80952380952381</v>
      </c>
      <c r="W35" s="80" t="n">
        <f aca="false">F35</f>
        <v>0.80952380952381</v>
      </c>
      <c r="X35" s="80" t="n">
        <f aca="false">F35</f>
        <v>0.80952380952381</v>
      </c>
      <c r="Y35" s="80" t="n">
        <f aca="false">F35</f>
        <v>0.80952380952381</v>
      </c>
      <c r="Z35" s="80" t="n">
        <f aca="false">F35</f>
        <v>0.80952380952381</v>
      </c>
      <c r="AA35" s="80" t="n">
        <f aca="false">F35</f>
        <v>0.80952380952381</v>
      </c>
      <c r="AB35" s="80" t="n">
        <f aca="false">F35</f>
        <v>0.80952380952381</v>
      </c>
      <c r="AC35" s="80" t="n">
        <f aca="false">F35</f>
        <v>0.80952380952381</v>
      </c>
      <c r="AD35" s="80" t="n">
        <f aca="false">F35</f>
        <v>0.80952380952381</v>
      </c>
      <c r="AE35" s="79" t="n">
        <f aca="false">B35</f>
        <v>0.886727293657189</v>
      </c>
      <c r="AF35" s="79" t="n">
        <f aca="false">B35</f>
        <v>0.886727293657189</v>
      </c>
      <c r="AG35" s="79" t="n">
        <f aca="false">B35</f>
        <v>0.886727293657189</v>
      </c>
      <c r="AH35" s="79" t="n">
        <f aca="false">B35</f>
        <v>0.886727293657189</v>
      </c>
      <c r="AI35" s="79" t="n">
        <f aca="false">B35</f>
        <v>0.886727293657189</v>
      </c>
      <c r="AJ35" s="79" t="n">
        <f aca="false">B35</f>
        <v>0.886727293657189</v>
      </c>
      <c r="AK35" s="79" t="n">
        <f aca="false">B35</f>
        <v>0.886727293657189</v>
      </c>
      <c r="AL35" s="79" t="n">
        <f aca="false">B35</f>
        <v>0.886727293657189</v>
      </c>
      <c r="AM35" s="79" t="n">
        <f aca="false">B35</f>
        <v>0.886727293657189</v>
      </c>
      <c r="AN35" s="80" t="n">
        <f aca="false">F35</f>
        <v>0.80952380952381</v>
      </c>
      <c r="AO35" s="80" t="n">
        <f aca="false">F35</f>
        <v>0.80952380952381</v>
      </c>
      <c r="AP35" s="80" t="n">
        <f aca="false">F35</f>
        <v>0.80952380952381</v>
      </c>
      <c r="AQ35" s="80" t="n">
        <f aca="false">F35</f>
        <v>0.80952380952381</v>
      </c>
      <c r="AR35" s="80" t="n">
        <f aca="false">F35</f>
        <v>0.80952380952381</v>
      </c>
      <c r="AS35" s="80" t="n">
        <f aca="false">F35</f>
        <v>0.80952380952381</v>
      </c>
      <c r="AT35" s="80" t="n">
        <v>1</v>
      </c>
      <c r="AU35" s="80" t="n">
        <f aca="false">F35</f>
        <v>0.80952380952381</v>
      </c>
      <c r="AV35" s="80" t="n">
        <f aca="false">F35</f>
        <v>0.80952380952381</v>
      </c>
      <c r="AW35" s="80" t="n">
        <f aca="false">F35</f>
        <v>0.80952380952381</v>
      </c>
      <c r="AX35" s="79" t="n">
        <f aca="false">B35</f>
        <v>0.886727293657189</v>
      </c>
      <c r="AY35" s="79" t="n">
        <f aca="false">B35</f>
        <v>0.886727293657189</v>
      </c>
      <c r="AZ35" s="79" t="n">
        <f aca="false">B35</f>
        <v>0.886727293657189</v>
      </c>
      <c r="BA35" s="80" t="n">
        <f aca="false">F35</f>
        <v>0.80952380952381</v>
      </c>
      <c r="BB35" s="80" t="n">
        <f aca="false">F35</f>
        <v>0.80952380952381</v>
      </c>
      <c r="BC35" s="79" t="n">
        <f aca="false">B35</f>
        <v>0.886727293657189</v>
      </c>
      <c r="BD35" s="79" t="n">
        <f aca="false">B35</f>
        <v>0.886727293657189</v>
      </c>
      <c r="BE35" s="80" t="n">
        <v>1</v>
      </c>
      <c r="BF35" s="80" t="n">
        <v>1</v>
      </c>
      <c r="BG35" s="79" t="n">
        <f aca="false">B35</f>
        <v>0.886727293657189</v>
      </c>
      <c r="BH35" s="79" t="n">
        <f aca="false">B35</f>
        <v>0.886727293657189</v>
      </c>
      <c r="BI35" s="79" t="n">
        <f aca="false">B35</f>
        <v>0.886727293657189</v>
      </c>
      <c r="BJ35" s="79" t="n">
        <f aca="false">B35</f>
        <v>0.886727293657189</v>
      </c>
      <c r="BK35" s="80" t="n">
        <v>1</v>
      </c>
    </row>
    <row r="36" customFormat="false" ht="12.75" hidden="false" customHeight="false" outlineLevel="0" collapsed="false">
      <c r="A36" s="1" t="n">
        <f aca="false">A35-1</f>
        <v>1991</v>
      </c>
      <c r="B36" s="79" t="n">
        <f aca="false">im!C36/(im!C36+im!D36)</f>
        <v>0.863082437275986</v>
      </c>
      <c r="C36" s="79" t="n">
        <f aca="false">B36</f>
        <v>0.863082437275986</v>
      </c>
      <c r="D36" s="79" t="n">
        <f aca="false">B36</f>
        <v>0.863082437275986</v>
      </c>
      <c r="E36" s="79" t="n">
        <f aca="false">B36</f>
        <v>0.863082437275986</v>
      </c>
      <c r="F36" s="79" t="n">
        <f aca="false">im!I36/(im!I36+im!J36)</f>
        <v>0.782608695652174</v>
      </c>
      <c r="G36" s="79" t="n">
        <f aca="false">F36</f>
        <v>0.782608695652174</v>
      </c>
      <c r="H36" s="79" t="n">
        <f aca="false">F36</f>
        <v>0.782608695652174</v>
      </c>
      <c r="I36" s="79" t="n">
        <f aca="false">F36</f>
        <v>0.782608695652174</v>
      </c>
      <c r="J36" s="79" t="n">
        <v>1</v>
      </c>
      <c r="K36" s="79" t="n">
        <v>1</v>
      </c>
      <c r="L36" s="79" t="n">
        <f aca="false">B36</f>
        <v>0.863082437275986</v>
      </c>
      <c r="M36" s="79" t="n">
        <f aca="false">B36</f>
        <v>0.863082437275986</v>
      </c>
      <c r="N36" s="79" t="n">
        <f aca="false">B36</f>
        <v>0.863082437275986</v>
      </c>
      <c r="O36" s="79" t="n">
        <f aca="false">B36</f>
        <v>0.863082437275986</v>
      </c>
      <c r="P36" s="79" t="n">
        <f aca="false">B36</f>
        <v>0.863082437275986</v>
      </c>
      <c r="Q36" s="80" t="n">
        <f aca="false">F36</f>
        <v>0.782608695652174</v>
      </c>
      <c r="R36" s="80" t="n">
        <f aca="false">F36</f>
        <v>0.782608695652174</v>
      </c>
      <c r="S36" s="80" t="n">
        <f aca="false">F36</f>
        <v>0.782608695652174</v>
      </c>
      <c r="T36" s="80" t="n">
        <v>1</v>
      </c>
      <c r="U36" s="80" t="n">
        <v>1</v>
      </c>
      <c r="V36" s="80" t="n">
        <f aca="false">F36</f>
        <v>0.782608695652174</v>
      </c>
      <c r="W36" s="80" t="n">
        <f aca="false">F36</f>
        <v>0.782608695652174</v>
      </c>
      <c r="X36" s="80" t="n">
        <f aca="false">F36</f>
        <v>0.782608695652174</v>
      </c>
      <c r="Y36" s="80" t="n">
        <f aca="false">F36</f>
        <v>0.782608695652174</v>
      </c>
      <c r="Z36" s="80" t="n">
        <f aca="false">F36</f>
        <v>0.782608695652174</v>
      </c>
      <c r="AA36" s="80" t="n">
        <f aca="false">F36</f>
        <v>0.782608695652174</v>
      </c>
      <c r="AB36" s="80" t="n">
        <f aca="false">F36</f>
        <v>0.782608695652174</v>
      </c>
      <c r="AC36" s="80" t="n">
        <f aca="false">F36</f>
        <v>0.782608695652174</v>
      </c>
      <c r="AD36" s="80" t="n">
        <f aca="false">F36</f>
        <v>0.782608695652174</v>
      </c>
      <c r="AE36" s="79" t="n">
        <f aca="false">B36</f>
        <v>0.863082437275986</v>
      </c>
      <c r="AF36" s="79" t="n">
        <f aca="false">B36</f>
        <v>0.863082437275986</v>
      </c>
      <c r="AG36" s="79" t="n">
        <f aca="false">B36</f>
        <v>0.863082437275986</v>
      </c>
      <c r="AH36" s="79" t="n">
        <f aca="false">B36</f>
        <v>0.863082437275986</v>
      </c>
      <c r="AI36" s="79" t="n">
        <f aca="false">B36</f>
        <v>0.863082437275986</v>
      </c>
      <c r="AJ36" s="79" t="n">
        <f aca="false">B36</f>
        <v>0.863082437275986</v>
      </c>
      <c r="AK36" s="79" t="n">
        <f aca="false">B36</f>
        <v>0.863082437275986</v>
      </c>
      <c r="AL36" s="79" t="n">
        <f aca="false">B36</f>
        <v>0.863082437275986</v>
      </c>
      <c r="AM36" s="79" t="n">
        <f aca="false">B36</f>
        <v>0.863082437275986</v>
      </c>
      <c r="AN36" s="80" t="n">
        <f aca="false">F36</f>
        <v>0.782608695652174</v>
      </c>
      <c r="AO36" s="80" t="n">
        <f aca="false">F36</f>
        <v>0.782608695652174</v>
      </c>
      <c r="AP36" s="80" t="n">
        <f aca="false">F36</f>
        <v>0.782608695652174</v>
      </c>
      <c r="AQ36" s="80" t="n">
        <f aca="false">F36</f>
        <v>0.782608695652174</v>
      </c>
      <c r="AR36" s="80" t="n">
        <f aca="false">F36</f>
        <v>0.782608695652174</v>
      </c>
      <c r="AS36" s="80" t="n">
        <f aca="false">F36</f>
        <v>0.782608695652174</v>
      </c>
      <c r="AT36" s="80" t="n">
        <v>1</v>
      </c>
      <c r="AU36" s="80" t="n">
        <f aca="false">F36</f>
        <v>0.782608695652174</v>
      </c>
      <c r="AV36" s="80" t="n">
        <f aca="false">F36</f>
        <v>0.782608695652174</v>
      </c>
      <c r="AW36" s="80" t="n">
        <f aca="false">F36</f>
        <v>0.782608695652174</v>
      </c>
      <c r="AX36" s="79" t="n">
        <f aca="false">B36</f>
        <v>0.863082437275986</v>
      </c>
      <c r="AY36" s="79" t="n">
        <f aca="false">B36</f>
        <v>0.863082437275986</v>
      </c>
      <c r="AZ36" s="79" t="n">
        <f aca="false">B36</f>
        <v>0.863082437275986</v>
      </c>
      <c r="BA36" s="80" t="n">
        <f aca="false">F36</f>
        <v>0.782608695652174</v>
      </c>
      <c r="BB36" s="80" t="n">
        <f aca="false">F36</f>
        <v>0.782608695652174</v>
      </c>
      <c r="BC36" s="79" t="n">
        <f aca="false">B36</f>
        <v>0.863082437275986</v>
      </c>
      <c r="BD36" s="79" t="n">
        <f aca="false">B36</f>
        <v>0.863082437275986</v>
      </c>
      <c r="BE36" s="80" t="n">
        <v>1</v>
      </c>
      <c r="BF36" s="80" t="n">
        <v>1</v>
      </c>
      <c r="BG36" s="79" t="n">
        <f aca="false">B36</f>
        <v>0.863082437275986</v>
      </c>
      <c r="BH36" s="79" t="n">
        <f aca="false">B36</f>
        <v>0.863082437275986</v>
      </c>
      <c r="BI36" s="79" t="n">
        <f aca="false">B36</f>
        <v>0.863082437275986</v>
      </c>
      <c r="BJ36" s="79" t="n">
        <f aca="false">B36</f>
        <v>0.863082437275986</v>
      </c>
      <c r="BK36" s="80" t="n">
        <v>1</v>
      </c>
    </row>
    <row r="37" customFormat="false" ht="12.75" hidden="false" customHeight="false" outlineLevel="0" collapsed="false">
      <c r="A37" s="1" t="n">
        <f aca="false">A36-1</f>
        <v>1990</v>
      </c>
      <c r="B37" s="79" t="n">
        <f aca="false">im!C37/(im!C37+im!D37)</f>
        <v>0.861494974874372</v>
      </c>
      <c r="C37" s="79" t="n">
        <f aca="false">B37</f>
        <v>0.861494974874372</v>
      </c>
      <c r="D37" s="79" t="n">
        <f aca="false">B37</f>
        <v>0.861494974874372</v>
      </c>
      <c r="E37" s="79" t="n">
        <f aca="false">B37</f>
        <v>0.861494974874372</v>
      </c>
      <c r="F37" s="79" t="n">
        <f aca="false">im!I39/(im!I39+im!J39)</f>
        <v>0.75</v>
      </c>
      <c r="G37" s="79" t="n">
        <f aca="false">F37</f>
        <v>0.75</v>
      </c>
      <c r="H37" s="79" t="n">
        <f aca="false">F37</f>
        <v>0.75</v>
      </c>
      <c r="I37" s="79" t="n">
        <f aca="false">F37</f>
        <v>0.75</v>
      </c>
      <c r="J37" s="79" t="n">
        <v>1</v>
      </c>
      <c r="K37" s="79" t="n">
        <v>1</v>
      </c>
      <c r="L37" s="79" t="n">
        <f aca="false">B37</f>
        <v>0.861494974874372</v>
      </c>
      <c r="M37" s="79" t="n">
        <f aca="false">B37</f>
        <v>0.861494974874372</v>
      </c>
      <c r="N37" s="79" t="n">
        <f aca="false">B37</f>
        <v>0.861494974874372</v>
      </c>
      <c r="O37" s="79" t="n">
        <f aca="false">B37</f>
        <v>0.861494974874372</v>
      </c>
      <c r="P37" s="79" t="n">
        <f aca="false">B37</f>
        <v>0.861494974874372</v>
      </c>
      <c r="Q37" s="80" t="n">
        <f aca="false">F37</f>
        <v>0.75</v>
      </c>
      <c r="R37" s="80" t="n">
        <f aca="false">F37</f>
        <v>0.75</v>
      </c>
      <c r="S37" s="80" t="n">
        <f aca="false">F37</f>
        <v>0.75</v>
      </c>
      <c r="T37" s="80" t="n">
        <v>1</v>
      </c>
      <c r="U37" s="80" t="n">
        <v>1</v>
      </c>
      <c r="V37" s="80" t="n">
        <f aca="false">F37</f>
        <v>0.75</v>
      </c>
      <c r="W37" s="80" t="n">
        <f aca="false">F37</f>
        <v>0.75</v>
      </c>
      <c r="X37" s="80" t="n">
        <f aca="false">F37</f>
        <v>0.75</v>
      </c>
      <c r="Y37" s="80" t="n">
        <f aca="false">F37</f>
        <v>0.75</v>
      </c>
      <c r="Z37" s="80" t="n">
        <f aca="false">F37</f>
        <v>0.75</v>
      </c>
      <c r="AA37" s="80" t="n">
        <f aca="false">F37</f>
        <v>0.75</v>
      </c>
      <c r="AB37" s="80" t="n">
        <f aca="false">F37</f>
        <v>0.75</v>
      </c>
      <c r="AC37" s="80" t="n">
        <f aca="false">F37</f>
        <v>0.75</v>
      </c>
      <c r="AD37" s="80" t="n">
        <f aca="false">F37</f>
        <v>0.75</v>
      </c>
      <c r="AE37" s="79" t="n">
        <f aca="false">B37</f>
        <v>0.861494974874372</v>
      </c>
      <c r="AF37" s="79" t="n">
        <f aca="false">B37</f>
        <v>0.861494974874372</v>
      </c>
      <c r="AG37" s="79" t="n">
        <f aca="false">B37</f>
        <v>0.861494974874372</v>
      </c>
      <c r="AH37" s="79" t="n">
        <f aca="false">B37</f>
        <v>0.861494974874372</v>
      </c>
      <c r="AI37" s="79" t="n">
        <f aca="false">B37</f>
        <v>0.861494974874372</v>
      </c>
      <c r="AJ37" s="79" t="n">
        <f aca="false">B37</f>
        <v>0.861494974874372</v>
      </c>
      <c r="AK37" s="79" t="n">
        <f aca="false">B37</f>
        <v>0.861494974874372</v>
      </c>
      <c r="AL37" s="79" t="n">
        <f aca="false">B37</f>
        <v>0.861494974874372</v>
      </c>
      <c r="AM37" s="79" t="n">
        <f aca="false">B37</f>
        <v>0.861494974874372</v>
      </c>
      <c r="AN37" s="80" t="n">
        <f aca="false">F37</f>
        <v>0.75</v>
      </c>
      <c r="AO37" s="80" t="n">
        <f aca="false">F37</f>
        <v>0.75</v>
      </c>
      <c r="AP37" s="80" t="n">
        <f aca="false">F37</f>
        <v>0.75</v>
      </c>
      <c r="AQ37" s="80" t="n">
        <f aca="false">F37</f>
        <v>0.75</v>
      </c>
      <c r="AR37" s="80" t="n">
        <f aca="false">F37</f>
        <v>0.75</v>
      </c>
      <c r="AS37" s="80" t="n">
        <f aca="false">F37</f>
        <v>0.75</v>
      </c>
      <c r="AT37" s="80" t="n">
        <v>1</v>
      </c>
      <c r="AU37" s="80" t="n">
        <f aca="false">F37</f>
        <v>0.75</v>
      </c>
      <c r="AV37" s="80" t="n">
        <f aca="false">F37</f>
        <v>0.75</v>
      </c>
      <c r="AW37" s="80" t="n">
        <f aca="false">F37</f>
        <v>0.75</v>
      </c>
      <c r="AX37" s="79" t="n">
        <f aca="false">B37</f>
        <v>0.861494974874372</v>
      </c>
      <c r="AY37" s="79" t="n">
        <f aca="false">B37</f>
        <v>0.861494974874372</v>
      </c>
      <c r="AZ37" s="79" t="n">
        <f aca="false">B37</f>
        <v>0.861494974874372</v>
      </c>
      <c r="BA37" s="80" t="n">
        <f aca="false">F37</f>
        <v>0.75</v>
      </c>
      <c r="BB37" s="80" t="n">
        <f aca="false">F37</f>
        <v>0.75</v>
      </c>
      <c r="BC37" s="79" t="n">
        <f aca="false">B37</f>
        <v>0.861494974874372</v>
      </c>
      <c r="BD37" s="79" t="n">
        <f aca="false">B37</f>
        <v>0.861494974874372</v>
      </c>
      <c r="BE37" s="80" t="n">
        <v>1</v>
      </c>
      <c r="BF37" s="80" t="n">
        <v>1</v>
      </c>
      <c r="BG37" s="79" t="n">
        <f aca="false">B37</f>
        <v>0.861494974874372</v>
      </c>
      <c r="BH37" s="79" t="n">
        <f aca="false">B37</f>
        <v>0.861494974874372</v>
      </c>
      <c r="BI37" s="79" t="n">
        <f aca="false">B37</f>
        <v>0.861494974874372</v>
      </c>
      <c r="BJ37" s="79" t="n">
        <f aca="false">B37</f>
        <v>0.861494974874372</v>
      </c>
      <c r="BK37" s="80" t="n">
        <v>1</v>
      </c>
    </row>
    <row r="38" customFormat="false" ht="12.75" hidden="false" customHeight="false" outlineLevel="0" collapsed="false">
      <c r="A38" s="1" t="n">
        <f aca="false">A37-1</f>
        <v>1989</v>
      </c>
      <c r="B38" s="79" t="n">
        <f aca="false">im!C38/(im!C38+im!D38)</f>
        <v>0.925108395743004</v>
      </c>
      <c r="C38" s="79" t="n">
        <f aca="false">B38</f>
        <v>0.925108395743004</v>
      </c>
      <c r="D38" s="79" t="n">
        <f aca="false">B38</f>
        <v>0.925108395743004</v>
      </c>
      <c r="E38" s="79" t="n">
        <f aca="false">B38</f>
        <v>0.925108395743004</v>
      </c>
      <c r="F38" s="79" t="n">
        <f aca="false">F37</f>
        <v>0.75</v>
      </c>
      <c r="G38" s="79" t="n">
        <f aca="false">F38</f>
        <v>0.75</v>
      </c>
      <c r="H38" s="79" t="n">
        <f aca="false">F38</f>
        <v>0.75</v>
      </c>
      <c r="I38" s="79" t="n">
        <f aca="false">F38</f>
        <v>0.75</v>
      </c>
      <c r="J38" s="79" t="n">
        <v>1</v>
      </c>
      <c r="K38" s="79" t="n">
        <v>1</v>
      </c>
      <c r="L38" s="79" t="n">
        <f aca="false">B38</f>
        <v>0.925108395743004</v>
      </c>
      <c r="M38" s="79" t="n">
        <f aca="false">B38</f>
        <v>0.925108395743004</v>
      </c>
      <c r="N38" s="79" t="n">
        <f aca="false">B38</f>
        <v>0.925108395743004</v>
      </c>
      <c r="O38" s="79" t="n">
        <f aca="false">B38</f>
        <v>0.925108395743004</v>
      </c>
      <c r="P38" s="79" t="n">
        <f aca="false">B38</f>
        <v>0.925108395743004</v>
      </c>
      <c r="Q38" s="80" t="n">
        <f aca="false">F38</f>
        <v>0.75</v>
      </c>
      <c r="R38" s="80" t="n">
        <f aca="false">F38</f>
        <v>0.75</v>
      </c>
      <c r="S38" s="80" t="n">
        <f aca="false">F38</f>
        <v>0.75</v>
      </c>
      <c r="T38" s="80" t="n">
        <v>1</v>
      </c>
      <c r="U38" s="80" t="n">
        <v>1</v>
      </c>
      <c r="V38" s="80" t="n">
        <f aca="false">F38</f>
        <v>0.75</v>
      </c>
      <c r="W38" s="80" t="n">
        <f aca="false">F38</f>
        <v>0.75</v>
      </c>
      <c r="X38" s="80" t="n">
        <f aca="false">F38</f>
        <v>0.75</v>
      </c>
      <c r="Y38" s="80" t="n">
        <f aca="false">F38</f>
        <v>0.75</v>
      </c>
      <c r="Z38" s="80" t="n">
        <f aca="false">F38</f>
        <v>0.75</v>
      </c>
      <c r="AA38" s="80" t="n">
        <f aca="false">F38</f>
        <v>0.75</v>
      </c>
      <c r="AB38" s="80" t="n">
        <f aca="false">F38</f>
        <v>0.75</v>
      </c>
      <c r="AC38" s="80" t="n">
        <f aca="false">F38</f>
        <v>0.75</v>
      </c>
      <c r="AD38" s="80" t="n">
        <f aca="false">F38</f>
        <v>0.75</v>
      </c>
      <c r="AE38" s="79" t="n">
        <f aca="false">B38</f>
        <v>0.925108395743004</v>
      </c>
      <c r="AF38" s="79" t="n">
        <f aca="false">B38</f>
        <v>0.925108395743004</v>
      </c>
      <c r="AG38" s="79" t="n">
        <f aca="false">B38</f>
        <v>0.925108395743004</v>
      </c>
      <c r="AH38" s="79" t="n">
        <f aca="false">B38</f>
        <v>0.925108395743004</v>
      </c>
      <c r="AI38" s="79" t="n">
        <f aca="false">B38</f>
        <v>0.925108395743004</v>
      </c>
      <c r="AJ38" s="79" t="n">
        <f aca="false">B38</f>
        <v>0.925108395743004</v>
      </c>
      <c r="AK38" s="79" t="n">
        <f aca="false">B38</f>
        <v>0.925108395743004</v>
      </c>
      <c r="AL38" s="79" t="n">
        <f aca="false">B38</f>
        <v>0.925108395743004</v>
      </c>
      <c r="AM38" s="79" t="n">
        <f aca="false">B38</f>
        <v>0.925108395743004</v>
      </c>
      <c r="AN38" s="80" t="n">
        <f aca="false">F38</f>
        <v>0.75</v>
      </c>
      <c r="AO38" s="80" t="n">
        <f aca="false">F38</f>
        <v>0.75</v>
      </c>
      <c r="AP38" s="80" t="n">
        <f aca="false">F38</f>
        <v>0.75</v>
      </c>
      <c r="AQ38" s="80" t="n">
        <f aca="false">F38</f>
        <v>0.75</v>
      </c>
      <c r="AR38" s="80" t="n">
        <f aca="false">F38</f>
        <v>0.75</v>
      </c>
      <c r="AS38" s="80" t="n">
        <f aca="false">F38</f>
        <v>0.75</v>
      </c>
      <c r="AT38" s="80" t="n">
        <v>1</v>
      </c>
      <c r="AU38" s="80" t="n">
        <f aca="false">F38</f>
        <v>0.75</v>
      </c>
      <c r="AV38" s="80" t="n">
        <f aca="false">F38</f>
        <v>0.75</v>
      </c>
      <c r="AW38" s="80" t="n">
        <f aca="false">F38</f>
        <v>0.75</v>
      </c>
      <c r="AX38" s="79" t="n">
        <f aca="false">B38</f>
        <v>0.925108395743004</v>
      </c>
      <c r="AY38" s="79" t="n">
        <f aca="false">B38</f>
        <v>0.925108395743004</v>
      </c>
      <c r="AZ38" s="79" t="n">
        <f aca="false">B38</f>
        <v>0.925108395743004</v>
      </c>
      <c r="BA38" s="80" t="n">
        <f aca="false">F38</f>
        <v>0.75</v>
      </c>
      <c r="BB38" s="80" t="n">
        <f aca="false">F38</f>
        <v>0.75</v>
      </c>
      <c r="BC38" s="79" t="n">
        <f aca="false">B38</f>
        <v>0.925108395743004</v>
      </c>
      <c r="BD38" s="79" t="n">
        <f aca="false">B38</f>
        <v>0.925108395743004</v>
      </c>
      <c r="BE38" s="80" t="n">
        <v>1</v>
      </c>
      <c r="BF38" s="80" t="n">
        <v>1</v>
      </c>
      <c r="BG38" s="79" t="n">
        <f aca="false">B38</f>
        <v>0.925108395743004</v>
      </c>
      <c r="BH38" s="79" t="n">
        <f aca="false">B38</f>
        <v>0.925108395743004</v>
      </c>
      <c r="BI38" s="79" t="n">
        <f aca="false">B38</f>
        <v>0.925108395743004</v>
      </c>
      <c r="BJ38" s="79" t="n">
        <f aca="false">B38</f>
        <v>0.925108395743004</v>
      </c>
      <c r="BK38" s="80" t="n">
        <v>1</v>
      </c>
    </row>
    <row r="39" customFormat="false" ht="12.75" hidden="false" customHeight="false" outlineLevel="0" collapsed="false">
      <c r="A39" s="1" t="n">
        <f aca="false">A38-1</f>
        <v>1988</v>
      </c>
      <c r="B39" s="79" t="n">
        <f aca="false">im!C39/(im!C39+im!D39)</f>
        <v>0.905542986425339</v>
      </c>
      <c r="C39" s="79" t="n">
        <f aca="false">B39</f>
        <v>0.905542986425339</v>
      </c>
      <c r="D39" s="79" t="n">
        <f aca="false">B39</f>
        <v>0.905542986425339</v>
      </c>
      <c r="E39" s="79" t="n">
        <f aca="false">B39</f>
        <v>0.905542986425339</v>
      </c>
      <c r="F39" s="79" t="n">
        <f aca="false">F38</f>
        <v>0.75</v>
      </c>
      <c r="G39" s="79" t="n">
        <f aca="false">F39</f>
        <v>0.75</v>
      </c>
      <c r="H39" s="79" t="n">
        <f aca="false">F39</f>
        <v>0.75</v>
      </c>
      <c r="I39" s="79" t="n">
        <f aca="false">F39</f>
        <v>0.75</v>
      </c>
      <c r="J39" s="79" t="n">
        <v>1</v>
      </c>
      <c r="K39" s="79" t="n">
        <v>1</v>
      </c>
      <c r="L39" s="79" t="n">
        <f aca="false">B39</f>
        <v>0.905542986425339</v>
      </c>
      <c r="M39" s="79" t="n">
        <f aca="false">B39</f>
        <v>0.905542986425339</v>
      </c>
      <c r="N39" s="79" t="n">
        <f aca="false">B39</f>
        <v>0.905542986425339</v>
      </c>
      <c r="O39" s="79" t="n">
        <f aca="false">B39</f>
        <v>0.905542986425339</v>
      </c>
      <c r="P39" s="79" t="n">
        <f aca="false">B39</f>
        <v>0.905542986425339</v>
      </c>
      <c r="Q39" s="80" t="n">
        <f aca="false">F39</f>
        <v>0.75</v>
      </c>
      <c r="R39" s="80" t="n">
        <f aca="false">F39</f>
        <v>0.75</v>
      </c>
      <c r="S39" s="80" t="n">
        <f aca="false">F39</f>
        <v>0.75</v>
      </c>
      <c r="T39" s="80" t="n">
        <v>1</v>
      </c>
      <c r="U39" s="80" t="n">
        <v>1</v>
      </c>
      <c r="V39" s="80" t="n">
        <f aca="false">F39</f>
        <v>0.75</v>
      </c>
      <c r="W39" s="80" t="n">
        <f aca="false">F39</f>
        <v>0.75</v>
      </c>
      <c r="X39" s="80" t="n">
        <f aca="false">F39</f>
        <v>0.75</v>
      </c>
      <c r="Y39" s="80" t="n">
        <f aca="false">F39</f>
        <v>0.75</v>
      </c>
      <c r="Z39" s="80" t="n">
        <f aca="false">F39</f>
        <v>0.75</v>
      </c>
      <c r="AA39" s="80" t="n">
        <f aca="false">F39</f>
        <v>0.75</v>
      </c>
      <c r="AB39" s="80" t="n">
        <f aca="false">F39</f>
        <v>0.75</v>
      </c>
      <c r="AC39" s="80" t="n">
        <f aca="false">F39</f>
        <v>0.75</v>
      </c>
      <c r="AD39" s="80" t="n">
        <f aca="false">F39</f>
        <v>0.75</v>
      </c>
      <c r="AE39" s="79" t="n">
        <f aca="false">B39</f>
        <v>0.905542986425339</v>
      </c>
      <c r="AF39" s="79" t="n">
        <f aca="false">B39</f>
        <v>0.905542986425339</v>
      </c>
      <c r="AG39" s="79" t="n">
        <f aca="false">B39</f>
        <v>0.905542986425339</v>
      </c>
      <c r="AH39" s="79" t="n">
        <f aca="false">B39</f>
        <v>0.905542986425339</v>
      </c>
      <c r="AI39" s="79" t="n">
        <f aca="false">B39</f>
        <v>0.905542986425339</v>
      </c>
      <c r="AJ39" s="79" t="n">
        <f aca="false">B39</f>
        <v>0.905542986425339</v>
      </c>
      <c r="AK39" s="79" t="n">
        <f aca="false">B39</f>
        <v>0.905542986425339</v>
      </c>
      <c r="AL39" s="79" t="n">
        <f aca="false">B39</f>
        <v>0.905542986425339</v>
      </c>
      <c r="AM39" s="79" t="n">
        <f aca="false">B39</f>
        <v>0.905542986425339</v>
      </c>
      <c r="AN39" s="80" t="n">
        <f aca="false">F39</f>
        <v>0.75</v>
      </c>
      <c r="AO39" s="80" t="n">
        <f aca="false">F39</f>
        <v>0.75</v>
      </c>
      <c r="AP39" s="80" t="n">
        <f aca="false">F39</f>
        <v>0.75</v>
      </c>
      <c r="AQ39" s="80" t="n">
        <f aca="false">F39</f>
        <v>0.75</v>
      </c>
      <c r="AR39" s="80" t="n">
        <f aca="false">F39</f>
        <v>0.75</v>
      </c>
      <c r="AS39" s="80" t="n">
        <f aca="false">F39</f>
        <v>0.75</v>
      </c>
      <c r="AT39" s="80" t="n">
        <v>1</v>
      </c>
      <c r="AU39" s="80" t="n">
        <f aca="false">F39</f>
        <v>0.75</v>
      </c>
      <c r="AV39" s="80" t="n">
        <f aca="false">F39</f>
        <v>0.75</v>
      </c>
      <c r="AW39" s="80" t="n">
        <f aca="false">F39</f>
        <v>0.75</v>
      </c>
      <c r="AX39" s="79" t="n">
        <f aca="false">B39</f>
        <v>0.905542986425339</v>
      </c>
      <c r="AY39" s="79" t="n">
        <f aca="false">B39</f>
        <v>0.905542986425339</v>
      </c>
      <c r="AZ39" s="79" t="n">
        <f aca="false">B39</f>
        <v>0.905542986425339</v>
      </c>
      <c r="BA39" s="80" t="n">
        <f aca="false">F39</f>
        <v>0.75</v>
      </c>
      <c r="BB39" s="80" t="n">
        <f aca="false">F39</f>
        <v>0.75</v>
      </c>
      <c r="BC39" s="79" t="n">
        <f aca="false">B39</f>
        <v>0.905542986425339</v>
      </c>
      <c r="BD39" s="79" t="n">
        <f aca="false">B39</f>
        <v>0.905542986425339</v>
      </c>
      <c r="BE39" s="80" t="n">
        <v>1</v>
      </c>
      <c r="BF39" s="80" t="n">
        <v>1</v>
      </c>
      <c r="BG39" s="79" t="n">
        <f aca="false">B39</f>
        <v>0.905542986425339</v>
      </c>
      <c r="BH39" s="79" t="n">
        <f aca="false">B39</f>
        <v>0.905542986425339</v>
      </c>
      <c r="BI39" s="79" t="n">
        <f aca="false">B39</f>
        <v>0.905542986425339</v>
      </c>
      <c r="BJ39" s="79" t="n">
        <f aca="false">B39</f>
        <v>0.905542986425339</v>
      </c>
      <c r="BK39" s="80" t="n">
        <v>1</v>
      </c>
    </row>
    <row r="40" customFormat="false" ht="12.75" hidden="false" customHeight="false" outlineLevel="0" collapsed="false">
      <c r="A40" s="1" t="n">
        <f aca="false">A39-1</f>
        <v>1987</v>
      </c>
      <c r="B40" s="79" t="n">
        <f aca="false">im!C40/(im!C40+im!D40)</f>
        <v>0.924331671952877</v>
      </c>
      <c r="C40" s="79" t="n">
        <f aca="false">B40</f>
        <v>0.924331671952877</v>
      </c>
      <c r="D40" s="79" t="n">
        <f aca="false">B40</f>
        <v>0.924331671952877</v>
      </c>
      <c r="E40" s="79" t="n">
        <f aca="false">B40</f>
        <v>0.924331671952877</v>
      </c>
      <c r="F40" s="79" t="n">
        <f aca="false">F39</f>
        <v>0.75</v>
      </c>
      <c r="G40" s="79" t="n">
        <f aca="false">F40</f>
        <v>0.75</v>
      </c>
      <c r="H40" s="79" t="n">
        <f aca="false">F40</f>
        <v>0.75</v>
      </c>
      <c r="I40" s="79" t="n">
        <f aca="false">F40</f>
        <v>0.75</v>
      </c>
      <c r="J40" s="79" t="n">
        <v>1</v>
      </c>
      <c r="K40" s="79" t="n">
        <v>1</v>
      </c>
      <c r="L40" s="79" t="n">
        <f aca="false">B40</f>
        <v>0.924331671952877</v>
      </c>
      <c r="M40" s="79" t="n">
        <f aca="false">B40</f>
        <v>0.924331671952877</v>
      </c>
      <c r="N40" s="79" t="n">
        <f aca="false">B40</f>
        <v>0.924331671952877</v>
      </c>
      <c r="O40" s="79" t="n">
        <f aca="false">B40</f>
        <v>0.924331671952877</v>
      </c>
      <c r="P40" s="79" t="n">
        <f aca="false">B40</f>
        <v>0.924331671952877</v>
      </c>
      <c r="Q40" s="80" t="n">
        <f aca="false">F40</f>
        <v>0.75</v>
      </c>
      <c r="R40" s="80" t="n">
        <f aca="false">F40</f>
        <v>0.75</v>
      </c>
      <c r="S40" s="80" t="n">
        <f aca="false">F40</f>
        <v>0.75</v>
      </c>
      <c r="T40" s="80" t="n">
        <v>1</v>
      </c>
      <c r="U40" s="80" t="n">
        <v>1</v>
      </c>
      <c r="V40" s="80" t="n">
        <f aca="false">F40</f>
        <v>0.75</v>
      </c>
      <c r="W40" s="80" t="n">
        <f aca="false">F40</f>
        <v>0.75</v>
      </c>
      <c r="X40" s="80" t="n">
        <f aca="false">F40</f>
        <v>0.75</v>
      </c>
      <c r="Y40" s="80" t="n">
        <f aca="false">F40</f>
        <v>0.75</v>
      </c>
      <c r="Z40" s="80" t="n">
        <f aca="false">F40</f>
        <v>0.75</v>
      </c>
      <c r="AA40" s="80" t="n">
        <f aca="false">F40</f>
        <v>0.75</v>
      </c>
      <c r="AB40" s="80" t="n">
        <f aca="false">F40</f>
        <v>0.75</v>
      </c>
      <c r="AC40" s="80" t="n">
        <f aca="false">F40</f>
        <v>0.75</v>
      </c>
      <c r="AD40" s="80" t="n">
        <f aca="false">F40</f>
        <v>0.75</v>
      </c>
      <c r="AE40" s="79" t="n">
        <f aca="false">B40</f>
        <v>0.924331671952877</v>
      </c>
      <c r="AF40" s="79" t="n">
        <f aca="false">B40</f>
        <v>0.924331671952877</v>
      </c>
      <c r="AG40" s="79" t="n">
        <f aca="false">B40</f>
        <v>0.924331671952877</v>
      </c>
      <c r="AH40" s="79" t="n">
        <f aca="false">B40</f>
        <v>0.924331671952877</v>
      </c>
      <c r="AI40" s="79" t="n">
        <f aca="false">B40</f>
        <v>0.924331671952877</v>
      </c>
      <c r="AJ40" s="79" t="n">
        <f aca="false">B40</f>
        <v>0.924331671952877</v>
      </c>
      <c r="AK40" s="79" t="n">
        <f aca="false">B40</f>
        <v>0.924331671952877</v>
      </c>
      <c r="AL40" s="79" t="n">
        <f aca="false">B40</f>
        <v>0.924331671952877</v>
      </c>
      <c r="AM40" s="79" t="n">
        <f aca="false">B40</f>
        <v>0.924331671952877</v>
      </c>
      <c r="AN40" s="80" t="n">
        <f aca="false">F40</f>
        <v>0.75</v>
      </c>
      <c r="AO40" s="80" t="n">
        <f aca="false">F40</f>
        <v>0.75</v>
      </c>
      <c r="AP40" s="80" t="n">
        <f aca="false">F40</f>
        <v>0.75</v>
      </c>
      <c r="AQ40" s="80" t="n">
        <f aca="false">F40</f>
        <v>0.75</v>
      </c>
      <c r="AR40" s="80" t="n">
        <f aca="false">F40</f>
        <v>0.75</v>
      </c>
      <c r="AS40" s="80" t="n">
        <f aca="false">F40</f>
        <v>0.75</v>
      </c>
      <c r="AT40" s="80" t="n">
        <v>1</v>
      </c>
      <c r="AU40" s="80" t="n">
        <f aca="false">F40</f>
        <v>0.75</v>
      </c>
      <c r="AV40" s="80" t="n">
        <f aca="false">F40</f>
        <v>0.75</v>
      </c>
      <c r="AW40" s="80" t="n">
        <f aca="false">F40</f>
        <v>0.75</v>
      </c>
      <c r="AX40" s="79" t="n">
        <f aca="false">B40</f>
        <v>0.924331671952877</v>
      </c>
      <c r="AY40" s="79" t="n">
        <f aca="false">B40</f>
        <v>0.924331671952877</v>
      </c>
      <c r="AZ40" s="79" t="n">
        <f aca="false">B40</f>
        <v>0.924331671952877</v>
      </c>
      <c r="BA40" s="80" t="n">
        <f aca="false">F40</f>
        <v>0.75</v>
      </c>
      <c r="BB40" s="80" t="n">
        <f aca="false">F40</f>
        <v>0.75</v>
      </c>
      <c r="BC40" s="79" t="n">
        <f aca="false">B40</f>
        <v>0.924331671952877</v>
      </c>
      <c r="BD40" s="79" t="n">
        <f aca="false">B40</f>
        <v>0.924331671952877</v>
      </c>
      <c r="BE40" s="80" t="n">
        <v>1</v>
      </c>
      <c r="BF40" s="80" t="n">
        <v>1</v>
      </c>
      <c r="BG40" s="79" t="n">
        <f aca="false">B40</f>
        <v>0.924331671952877</v>
      </c>
      <c r="BH40" s="79" t="n">
        <f aca="false">B40</f>
        <v>0.924331671952877</v>
      </c>
      <c r="BI40" s="79" t="n">
        <f aca="false">B40</f>
        <v>0.924331671952877</v>
      </c>
      <c r="BJ40" s="79" t="n">
        <f aca="false">B40</f>
        <v>0.924331671952877</v>
      </c>
      <c r="BK40" s="80" t="n">
        <v>1</v>
      </c>
    </row>
    <row r="41" customFormat="false" ht="12.75" hidden="false" customHeight="false" outlineLevel="0" collapsed="false">
      <c r="A41" s="1" t="n">
        <f aca="false">A40-1</f>
        <v>1986</v>
      </c>
      <c r="B41" s="79" t="n">
        <f aca="false">im!C41/(im!C41+im!D41)</f>
        <v>0.923619271445358</v>
      </c>
      <c r="C41" s="79" t="n">
        <f aca="false">B41</f>
        <v>0.923619271445358</v>
      </c>
      <c r="D41" s="79" t="n">
        <f aca="false">B41</f>
        <v>0.923619271445358</v>
      </c>
      <c r="E41" s="79" t="n">
        <f aca="false">B41</f>
        <v>0.923619271445358</v>
      </c>
      <c r="F41" s="79" t="n">
        <f aca="false">F40</f>
        <v>0.75</v>
      </c>
      <c r="G41" s="79" t="n">
        <f aca="false">F41</f>
        <v>0.75</v>
      </c>
      <c r="H41" s="79" t="n">
        <f aca="false">F41</f>
        <v>0.75</v>
      </c>
      <c r="I41" s="79" t="n">
        <f aca="false">F41</f>
        <v>0.75</v>
      </c>
      <c r="J41" s="79" t="n">
        <v>1</v>
      </c>
      <c r="K41" s="79" t="n">
        <v>1</v>
      </c>
      <c r="L41" s="79" t="n">
        <f aca="false">B41</f>
        <v>0.923619271445358</v>
      </c>
      <c r="M41" s="79" t="n">
        <f aca="false">B41</f>
        <v>0.923619271445358</v>
      </c>
      <c r="N41" s="79" t="n">
        <f aca="false">B41</f>
        <v>0.923619271445358</v>
      </c>
      <c r="O41" s="79" t="n">
        <f aca="false">B41</f>
        <v>0.923619271445358</v>
      </c>
      <c r="P41" s="79" t="n">
        <f aca="false">B41</f>
        <v>0.923619271445358</v>
      </c>
      <c r="Q41" s="80" t="n">
        <f aca="false">F41</f>
        <v>0.75</v>
      </c>
      <c r="R41" s="80" t="n">
        <f aca="false">F41</f>
        <v>0.75</v>
      </c>
      <c r="S41" s="80" t="n">
        <f aca="false">F41</f>
        <v>0.75</v>
      </c>
      <c r="T41" s="80" t="n">
        <v>1</v>
      </c>
      <c r="U41" s="80" t="n">
        <v>1</v>
      </c>
      <c r="V41" s="80" t="n">
        <f aca="false">F41</f>
        <v>0.75</v>
      </c>
      <c r="W41" s="80" t="n">
        <f aca="false">F41</f>
        <v>0.75</v>
      </c>
      <c r="X41" s="80" t="n">
        <f aca="false">F41</f>
        <v>0.75</v>
      </c>
      <c r="Y41" s="80" t="n">
        <f aca="false">F41</f>
        <v>0.75</v>
      </c>
      <c r="Z41" s="80" t="n">
        <f aca="false">F41</f>
        <v>0.75</v>
      </c>
      <c r="AA41" s="80" t="n">
        <f aca="false">F41</f>
        <v>0.75</v>
      </c>
      <c r="AB41" s="80" t="n">
        <f aca="false">F41</f>
        <v>0.75</v>
      </c>
      <c r="AC41" s="80" t="n">
        <f aca="false">F41</f>
        <v>0.75</v>
      </c>
      <c r="AD41" s="80" t="n">
        <f aca="false">F41</f>
        <v>0.75</v>
      </c>
      <c r="AE41" s="79" t="n">
        <f aca="false">B41</f>
        <v>0.923619271445358</v>
      </c>
      <c r="AF41" s="79" t="n">
        <f aca="false">B41</f>
        <v>0.923619271445358</v>
      </c>
      <c r="AG41" s="79" t="n">
        <f aca="false">B41</f>
        <v>0.923619271445358</v>
      </c>
      <c r="AH41" s="79" t="n">
        <f aca="false">B41</f>
        <v>0.923619271445358</v>
      </c>
      <c r="AI41" s="79" t="n">
        <f aca="false">B41</f>
        <v>0.923619271445358</v>
      </c>
      <c r="AJ41" s="79" t="n">
        <f aca="false">B41</f>
        <v>0.923619271445358</v>
      </c>
      <c r="AK41" s="79" t="n">
        <f aca="false">B41</f>
        <v>0.923619271445358</v>
      </c>
      <c r="AL41" s="79" t="n">
        <f aca="false">B41</f>
        <v>0.923619271445358</v>
      </c>
      <c r="AM41" s="79" t="n">
        <f aca="false">B41</f>
        <v>0.923619271445358</v>
      </c>
      <c r="AN41" s="80" t="n">
        <f aca="false">F41</f>
        <v>0.75</v>
      </c>
      <c r="AO41" s="80" t="n">
        <f aca="false">F41</f>
        <v>0.75</v>
      </c>
      <c r="AP41" s="80" t="n">
        <f aca="false">F41</f>
        <v>0.75</v>
      </c>
      <c r="AQ41" s="80" t="n">
        <f aca="false">F41</f>
        <v>0.75</v>
      </c>
      <c r="AR41" s="80" t="n">
        <f aca="false">F41</f>
        <v>0.75</v>
      </c>
      <c r="AS41" s="80" t="n">
        <f aca="false">F41</f>
        <v>0.75</v>
      </c>
      <c r="AT41" s="80" t="n">
        <v>1</v>
      </c>
      <c r="AU41" s="80" t="n">
        <f aca="false">F41</f>
        <v>0.75</v>
      </c>
      <c r="AV41" s="80" t="n">
        <f aca="false">F41</f>
        <v>0.75</v>
      </c>
      <c r="AW41" s="80" t="n">
        <f aca="false">F41</f>
        <v>0.75</v>
      </c>
      <c r="AX41" s="79" t="n">
        <f aca="false">B41</f>
        <v>0.923619271445358</v>
      </c>
      <c r="AY41" s="79" t="n">
        <f aca="false">B41</f>
        <v>0.923619271445358</v>
      </c>
      <c r="AZ41" s="79" t="n">
        <f aca="false">B41</f>
        <v>0.923619271445358</v>
      </c>
      <c r="BA41" s="80" t="n">
        <f aca="false">F41</f>
        <v>0.75</v>
      </c>
      <c r="BB41" s="80" t="n">
        <f aca="false">F41</f>
        <v>0.75</v>
      </c>
      <c r="BC41" s="79" t="n">
        <f aca="false">B41</f>
        <v>0.923619271445358</v>
      </c>
      <c r="BD41" s="79" t="n">
        <f aca="false">B41</f>
        <v>0.923619271445358</v>
      </c>
      <c r="BE41" s="80" t="n">
        <v>1</v>
      </c>
      <c r="BF41" s="80" t="n">
        <v>1</v>
      </c>
      <c r="BG41" s="79" t="n">
        <f aca="false">B41</f>
        <v>0.923619271445358</v>
      </c>
      <c r="BH41" s="79" t="n">
        <f aca="false">B41</f>
        <v>0.923619271445358</v>
      </c>
      <c r="BI41" s="79" t="n">
        <f aca="false">B41</f>
        <v>0.923619271445358</v>
      </c>
      <c r="BJ41" s="79" t="n">
        <f aca="false">B41</f>
        <v>0.923619271445358</v>
      </c>
      <c r="BK41" s="80" t="n">
        <v>1</v>
      </c>
    </row>
    <row r="42" customFormat="false" ht="12.75" hidden="false" customHeight="false" outlineLevel="0" collapsed="false">
      <c r="A42" s="1" t="n">
        <f aca="false">A41-1</f>
        <v>1985</v>
      </c>
      <c r="B42" s="79" t="n">
        <f aca="false">im!C42/(im!C42+im!D42)</f>
        <v>0.918160561184723</v>
      </c>
      <c r="C42" s="79" t="n">
        <f aca="false">B42</f>
        <v>0.918160561184723</v>
      </c>
      <c r="D42" s="79" t="n">
        <f aca="false">B42</f>
        <v>0.918160561184723</v>
      </c>
      <c r="E42" s="79" t="n">
        <f aca="false">B42</f>
        <v>0.918160561184723</v>
      </c>
      <c r="F42" s="79" t="n">
        <f aca="false">F41</f>
        <v>0.75</v>
      </c>
      <c r="G42" s="79" t="n">
        <f aca="false">F42</f>
        <v>0.75</v>
      </c>
      <c r="H42" s="79" t="n">
        <f aca="false">F42</f>
        <v>0.75</v>
      </c>
      <c r="I42" s="79" t="n">
        <f aca="false">F42</f>
        <v>0.75</v>
      </c>
      <c r="J42" s="79" t="n">
        <v>1</v>
      </c>
      <c r="K42" s="79" t="n">
        <v>1</v>
      </c>
      <c r="L42" s="79" t="n">
        <f aca="false">B42</f>
        <v>0.918160561184723</v>
      </c>
      <c r="M42" s="79" t="n">
        <f aca="false">B42</f>
        <v>0.918160561184723</v>
      </c>
      <c r="N42" s="79" t="n">
        <f aca="false">B42</f>
        <v>0.918160561184723</v>
      </c>
      <c r="O42" s="79" t="n">
        <f aca="false">B42</f>
        <v>0.918160561184723</v>
      </c>
      <c r="P42" s="79" t="n">
        <f aca="false">B42</f>
        <v>0.918160561184723</v>
      </c>
      <c r="Q42" s="80" t="n">
        <f aca="false">F42</f>
        <v>0.75</v>
      </c>
      <c r="R42" s="80" t="n">
        <f aca="false">F42</f>
        <v>0.75</v>
      </c>
      <c r="S42" s="80" t="n">
        <f aca="false">F42</f>
        <v>0.75</v>
      </c>
      <c r="T42" s="80" t="n">
        <v>1</v>
      </c>
      <c r="U42" s="80" t="n">
        <v>1</v>
      </c>
      <c r="V42" s="80" t="n">
        <f aca="false">F42</f>
        <v>0.75</v>
      </c>
      <c r="W42" s="80" t="n">
        <f aca="false">F42</f>
        <v>0.75</v>
      </c>
      <c r="X42" s="80" t="n">
        <f aca="false">F42</f>
        <v>0.75</v>
      </c>
      <c r="Y42" s="80" t="n">
        <f aca="false">F42</f>
        <v>0.75</v>
      </c>
      <c r="Z42" s="80" t="n">
        <f aca="false">F42</f>
        <v>0.75</v>
      </c>
      <c r="AA42" s="80" t="n">
        <f aca="false">F42</f>
        <v>0.75</v>
      </c>
      <c r="AB42" s="80" t="n">
        <f aca="false">F42</f>
        <v>0.75</v>
      </c>
      <c r="AC42" s="80" t="n">
        <f aca="false">F42</f>
        <v>0.75</v>
      </c>
      <c r="AD42" s="80" t="n">
        <f aca="false">F42</f>
        <v>0.75</v>
      </c>
      <c r="AE42" s="79" t="n">
        <f aca="false">B42</f>
        <v>0.918160561184723</v>
      </c>
      <c r="AF42" s="79" t="n">
        <f aca="false">B42</f>
        <v>0.918160561184723</v>
      </c>
      <c r="AG42" s="79" t="n">
        <f aca="false">B42</f>
        <v>0.918160561184723</v>
      </c>
      <c r="AH42" s="79" t="n">
        <f aca="false">B42</f>
        <v>0.918160561184723</v>
      </c>
      <c r="AI42" s="79" t="n">
        <f aca="false">B42</f>
        <v>0.918160561184723</v>
      </c>
      <c r="AJ42" s="79" t="n">
        <f aca="false">B42</f>
        <v>0.918160561184723</v>
      </c>
      <c r="AK42" s="79" t="n">
        <f aca="false">B42</f>
        <v>0.918160561184723</v>
      </c>
      <c r="AL42" s="79" t="n">
        <f aca="false">B42</f>
        <v>0.918160561184723</v>
      </c>
      <c r="AM42" s="79" t="n">
        <f aca="false">B42</f>
        <v>0.918160561184723</v>
      </c>
      <c r="AN42" s="80" t="n">
        <f aca="false">F42</f>
        <v>0.75</v>
      </c>
      <c r="AO42" s="80" t="n">
        <f aca="false">F42</f>
        <v>0.75</v>
      </c>
      <c r="AP42" s="80" t="n">
        <f aca="false">F42</f>
        <v>0.75</v>
      </c>
      <c r="AQ42" s="80" t="n">
        <f aca="false">F42</f>
        <v>0.75</v>
      </c>
      <c r="AR42" s="80" t="n">
        <f aca="false">F42</f>
        <v>0.75</v>
      </c>
      <c r="AS42" s="80" t="n">
        <f aca="false">F42</f>
        <v>0.75</v>
      </c>
      <c r="AT42" s="80" t="n">
        <v>1</v>
      </c>
      <c r="AU42" s="80" t="n">
        <f aca="false">F42</f>
        <v>0.75</v>
      </c>
      <c r="AV42" s="80" t="n">
        <f aca="false">F42</f>
        <v>0.75</v>
      </c>
      <c r="AW42" s="80" t="n">
        <f aca="false">F42</f>
        <v>0.75</v>
      </c>
      <c r="AX42" s="79" t="n">
        <f aca="false">B42</f>
        <v>0.918160561184723</v>
      </c>
      <c r="AY42" s="79" t="n">
        <f aca="false">B42</f>
        <v>0.918160561184723</v>
      </c>
      <c r="AZ42" s="79" t="n">
        <f aca="false">B42</f>
        <v>0.918160561184723</v>
      </c>
      <c r="BA42" s="80" t="n">
        <f aca="false">F42</f>
        <v>0.75</v>
      </c>
      <c r="BB42" s="80" t="n">
        <f aca="false">F42</f>
        <v>0.75</v>
      </c>
      <c r="BC42" s="79" t="n">
        <f aca="false">B42</f>
        <v>0.918160561184723</v>
      </c>
      <c r="BD42" s="79" t="n">
        <f aca="false">B42</f>
        <v>0.918160561184723</v>
      </c>
      <c r="BE42" s="80" t="n">
        <v>1</v>
      </c>
      <c r="BF42" s="80" t="n">
        <v>1</v>
      </c>
      <c r="BG42" s="79" t="n">
        <f aca="false">B42</f>
        <v>0.918160561184723</v>
      </c>
      <c r="BH42" s="79" t="n">
        <f aca="false">B42</f>
        <v>0.918160561184723</v>
      </c>
      <c r="BI42" s="79" t="n">
        <f aca="false">B42</f>
        <v>0.918160561184723</v>
      </c>
      <c r="BJ42" s="79" t="n">
        <f aca="false">B42</f>
        <v>0.918160561184723</v>
      </c>
      <c r="BK42" s="80" t="n">
        <v>1</v>
      </c>
    </row>
    <row r="43" customFormat="false" ht="12.75" hidden="false" customHeight="false" outlineLevel="0" collapsed="false">
      <c r="A43" s="1" t="n">
        <f aca="false">A42-1</f>
        <v>1984</v>
      </c>
      <c r="B43" s="79" t="n">
        <f aca="false">im!C43/(im!C43+im!D43)</f>
        <v>0.908991228070175</v>
      </c>
      <c r="C43" s="79" t="n">
        <f aca="false">B43</f>
        <v>0.908991228070175</v>
      </c>
      <c r="D43" s="79" t="n">
        <f aca="false">B43</f>
        <v>0.908991228070175</v>
      </c>
      <c r="E43" s="79" t="n">
        <f aca="false">B43</f>
        <v>0.908991228070175</v>
      </c>
      <c r="F43" s="79" t="n">
        <f aca="false">F42</f>
        <v>0.75</v>
      </c>
      <c r="G43" s="79" t="n">
        <f aca="false">F43</f>
        <v>0.75</v>
      </c>
      <c r="H43" s="79" t="n">
        <f aca="false">F43</f>
        <v>0.75</v>
      </c>
      <c r="I43" s="79" t="n">
        <f aca="false">F43</f>
        <v>0.75</v>
      </c>
      <c r="J43" s="79" t="n">
        <v>1</v>
      </c>
      <c r="K43" s="79" t="n">
        <v>1</v>
      </c>
      <c r="L43" s="79" t="n">
        <f aca="false">B43</f>
        <v>0.908991228070175</v>
      </c>
      <c r="M43" s="79" t="n">
        <f aca="false">B43</f>
        <v>0.908991228070175</v>
      </c>
      <c r="N43" s="79" t="n">
        <f aca="false">B43</f>
        <v>0.908991228070175</v>
      </c>
      <c r="O43" s="79" t="n">
        <f aca="false">B43</f>
        <v>0.908991228070175</v>
      </c>
      <c r="P43" s="79" t="n">
        <f aca="false">B43</f>
        <v>0.908991228070175</v>
      </c>
      <c r="Q43" s="80" t="n">
        <f aca="false">F43</f>
        <v>0.75</v>
      </c>
      <c r="R43" s="80" t="n">
        <f aca="false">F43</f>
        <v>0.75</v>
      </c>
      <c r="S43" s="80" t="n">
        <f aca="false">F43</f>
        <v>0.75</v>
      </c>
      <c r="T43" s="80" t="n">
        <v>1</v>
      </c>
      <c r="U43" s="80" t="n">
        <v>1</v>
      </c>
      <c r="V43" s="80" t="n">
        <f aca="false">F43</f>
        <v>0.75</v>
      </c>
      <c r="W43" s="80" t="n">
        <f aca="false">F43</f>
        <v>0.75</v>
      </c>
      <c r="X43" s="80" t="n">
        <f aca="false">F43</f>
        <v>0.75</v>
      </c>
      <c r="Y43" s="80" t="n">
        <f aca="false">F43</f>
        <v>0.75</v>
      </c>
      <c r="Z43" s="80" t="n">
        <f aca="false">F43</f>
        <v>0.75</v>
      </c>
      <c r="AA43" s="80" t="n">
        <f aca="false">F43</f>
        <v>0.75</v>
      </c>
      <c r="AB43" s="80" t="n">
        <f aca="false">F43</f>
        <v>0.75</v>
      </c>
      <c r="AC43" s="80" t="n">
        <f aca="false">F43</f>
        <v>0.75</v>
      </c>
      <c r="AD43" s="80" t="n">
        <f aca="false">F43</f>
        <v>0.75</v>
      </c>
      <c r="AE43" s="79" t="n">
        <f aca="false">B43</f>
        <v>0.908991228070175</v>
      </c>
      <c r="AF43" s="79" t="n">
        <f aca="false">B43</f>
        <v>0.908991228070175</v>
      </c>
      <c r="AG43" s="79" t="n">
        <f aca="false">B43</f>
        <v>0.908991228070175</v>
      </c>
      <c r="AH43" s="79" t="n">
        <f aca="false">B43</f>
        <v>0.908991228070175</v>
      </c>
      <c r="AI43" s="79" t="n">
        <f aca="false">B43</f>
        <v>0.908991228070175</v>
      </c>
      <c r="AJ43" s="79" t="n">
        <f aca="false">B43</f>
        <v>0.908991228070175</v>
      </c>
      <c r="AK43" s="79" t="n">
        <f aca="false">B43</f>
        <v>0.908991228070175</v>
      </c>
      <c r="AL43" s="79" t="n">
        <f aca="false">B43</f>
        <v>0.908991228070175</v>
      </c>
      <c r="AM43" s="79" t="n">
        <f aca="false">B43</f>
        <v>0.908991228070175</v>
      </c>
      <c r="AN43" s="80" t="n">
        <f aca="false">F43</f>
        <v>0.75</v>
      </c>
      <c r="AO43" s="80" t="n">
        <f aca="false">F43</f>
        <v>0.75</v>
      </c>
      <c r="AP43" s="80" t="n">
        <f aca="false">F43</f>
        <v>0.75</v>
      </c>
      <c r="AQ43" s="80" t="n">
        <f aca="false">F43</f>
        <v>0.75</v>
      </c>
      <c r="AR43" s="80" t="n">
        <f aca="false">F43</f>
        <v>0.75</v>
      </c>
      <c r="AS43" s="80" t="n">
        <f aca="false">F43</f>
        <v>0.75</v>
      </c>
      <c r="AT43" s="80" t="n">
        <v>1</v>
      </c>
      <c r="AU43" s="80" t="n">
        <f aca="false">F43</f>
        <v>0.75</v>
      </c>
      <c r="AV43" s="80" t="n">
        <f aca="false">F43</f>
        <v>0.75</v>
      </c>
      <c r="AW43" s="80" t="n">
        <f aca="false">F43</f>
        <v>0.75</v>
      </c>
      <c r="AX43" s="79" t="n">
        <f aca="false">B43</f>
        <v>0.908991228070175</v>
      </c>
      <c r="AY43" s="79" t="n">
        <f aca="false">B43</f>
        <v>0.908991228070175</v>
      </c>
      <c r="AZ43" s="79" t="n">
        <f aca="false">B43</f>
        <v>0.908991228070175</v>
      </c>
      <c r="BA43" s="80" t="n">
        <f aca="false">F43</f>
        <v>0.75</v>
      </c>
      <c r="BB43" s="80" t="n">
        <f aca="false">F43</f>
        <v>0.75</v>
      </c>
      <c r="BC43" s="79" t="n">
        <f aca="false">B43</f>
        <v>0.908991228070175</v>
      </c>
      <c r="BD43" s="79" t="n">
        <f aca="false">B43</f>
        <v>0.908991228070175</v>
      </c>
      <c r="BE43" s="80" t="n">
        <v>1</v>
      </c>
      <c r="BF43" s="80" t="n">
        <v>1</v>
      </c>
      <c r="BG43" s="79" t="n">
        <f aca="false">B43</f>
        <v>0.908991228070175</v>
      </c>
      <c r="BH43" s="79" t="n">
        <f aca="false">B43</f>
        <v>0.908991228070175</v>
      </c>
      <c r="BI43" s="79" t="n">
        <f aca="false">B43</f>
        <v>0.908991228070175</v>
      </c>
      <c r="BJ43" s="79" t="n">
        <f aca="false">B43</f>
        <v>0.908991228070175</v>
      </c>
      <c r="BK43" s="80" t="n">
        <v>1</v>
      </c>
    </row>
    <row r="44" customFormat="false" ht="12.75" hidden="false" customHeight="false" outlineLevel="0" collapsed="false">
      <c r="A44" s="1" t="n">
        <f aca="false">A43-1</f>
        <v>1983</v>
      </c>
      <c r="B44" s="79" t="n">
        <f aca="false">im!C44/(im!C44+im!D44)</f>
        <v>0.903930131004367</v>
      </c>
      <c r="C44" s="79" t="n">
        <f aca="false">B44</f>
        <v>0.903930131004367</v>
      </c>
      <c r="D44" s="79" t="n">
        <f aca="false">B44</f>
        <v>0.903930131004367</v>
      </c>
      <c r="E44" s="79" t="n">
        <f aca="false">B44</f>
        <v>0.903930131004367</v>
      </c>
      <c r="F44" s="79" t="n">
        <f aca="false">F43</f>
        <v>0.75</v>
      </c>
      <c r="G44" s="79" t="n">
        <f aca="false">F44</f>
        <v>0.75</v>
      </c>
      <c r="H44" s="79" t="n">
        <f aca="false">F44</f>
        <v>0.75</v>
      </c>
      <c r="I44" s="79" t="n">
        <f aca="false">F44</f>
        <v>0.75</v>
      </c>
      <c r="J44" s="79" t="n">
        <v>1</v>
      </c>
      <c r="K44" s="79" t="n">
        <v>1</v>
      </c>
      <c r="L44" s="79" t="n">
        <f aca="false">B44</f>
        <v>0.903930131004367</v>
      </c>
      <c r="M44" s="79" t="n">
        <f aca="false">B44</f>
        <v>0.903930131004367</v>
      </c>
      <c r="N44" s="79" t="n">
        <f aca="false">B44</f>
        <v>0.903930131004367</v>
      </c>
      <c r="O44" s="79" t="n">
        <f aca="false">B44</f>
        <v>0.903930131004367</v>
      </c>
      <c r="P44" s="79" t="n">
        <f aca="false">B44</f>
        <v>0.903930131004367</v>
      </c>
      <c r="Q44" s="80" t="n">
        <f aca="false">F44</f>
        <v>0.75</v>
      </c>
      <c r="R44" s="80" t="n">
        <f aca="false">F44</f>
        <v>0.75</v>
      </c>
      <c r="S44" s="80" t="n">
        <f aca="false">F44</f>
        <v>0.75</v>
      </c>
      <c r="T44" s="80" t="n">
        <v>1</v>
      </c>
      <c r="U44" s="80" t="n">
        <v>1</v>
      </c>
      <c r="V44" s="80" t="n">
        <f aca="false">F44</f>
        <v>0.75</v>
      </c>
      <c r="W44" s="80" t="n">
        <f aca="false">F44</f>
        <v>0.75</v>
      </c>
      <c r="X44" s="80" t="n">
        <f aca="false">F44</f>
        <v>0.75</v>
      </c>
      <c r="Y44" s="80" t="n">
        <f aca="false">F44</f>
        <v>0.75</v>
      </c>
      <c r="Z44" s="80" t="n">
        <f aca="false">F44</f>
        <v>0.75</v>
      </c>
      <c r="AA44" s="80" t="n">
        <f aca="false">F44</f>
        <v>0.75</v>
      </c>
      <c r="AB44" s="80" t="n">
        <f aca="false">F44</f>
        <v>0.75</v>
      </c>
      <c r="AC44" s="80" t="n">
        <f aca="false">F44</f>
        <v>0.75</v>
      </c>
      <c r="AD44" s="80" t="n">
        <f aca="false">F44</f>
        <v>0.75</v>
      </c>
      <c r="AE44" s="79" t="n">
        <f aca="false">B44</f>
        <v>0.903930131004367</v>
      </c>
      <c r="AF44" s="79" t="n">
        <f aca="false">B44</f>
        <v>0.903930131004367</v>
      </c>
      <c r="AG44" s="79" t="n">
        <f aca="false">B44</f>
        <v>0.903930131004367</v>
      </c>
      <c r="AH44" s="79" t="n">
        <f aca="false">B44</f>
        <v>0.903930131004367</v>
      </c>
      <c r="AI44" s="79" t="n">
        <f aca="false">B44</f>
        <v>0.903930131004367</v>
      </c>
      <c r="AJ44" s="79" t="n">
        <f aca="false">B44</f>
        <v>0.903930131004367</v>
      </c>
      <c r="AK44" s="79" t="n">
        <f aca="false">B44</f>
        <v>0.903930131004367</v>
      </c>
      <c r="AL44" s="79" t="n">
        <f aca="false">B44</f>
        <v>0.903930131004367</v>
      </c>
      <c r="AM44" s="79" t="n">
        <f aca="false">B44</f>
        <v>0.903930131004367</v>
      </c>
      <c r="AN44" s="80" t="n">
        <f aca="false">F44</f>
        <v>0.75</v>
      </c>
      <c r="AO44" s="80" t="n">
        <f aca="false">F44</f>
        <v>0.75</v>
      </c>
      <c r="AP44" s="80" t="n">
        <f aca="false">F44</f>
        <v>0.75</v>
      </c>
      <c r="AQ44" s="80" t="n">
        <f aca="false">F44</f>
        <v>0.75</v>
      </c>
      <c r="AR44" s="80" t="n">
        <f aca="false">F44</f>
        <v>0.75</v>
      </c>
      <c r="AS44" s="80" t="n">
        <f aca="false">F44</f>
        <v>0.75</v>
      </c>
      <c r="AT44" s="80" t="n">
        <v>1</v>
      </c>
      <c r="AU44" s="80" t="n">
        <f aca="false">F44</f>
        <v>0.75</v>
      </c>
      <c r="AV44" s="80" t="n">
        <f aca="false">F44</f>
        <v>0.75</v>
      </c>
      <c r="AW44" s="80" t="n">
        <f aca="false">F44</f>
        <v>0.75</v>
      </c>
      <c r="AX44" s="79" t="n">
        <f aca="false">B44</f>
        <v>0.903930131004367</v>
      </c>
      <c r="AY44" s="79" t="n">
        <f aca="false">B44</f>
        <v>0.903930131004367</v>
      </c>
      <c r="AZ44" s="79" t="n">
        <f aca="false">B44</f>
        <v>0.903930131004367</v>
      </c>
      <c r="BA44" s="80" t="n">
        <f aca="false">F44</f>
        <v>0.75</v>
      </c>
      <c r="BB44" s="80" t="n">
        <f aca="false">F44</f>
        <v>0.75</v>
      </c>
      <c r="BC44" s="79" t="n">
        <f aca="false">B44</f>
        <v>0.903930131004367</v>
      </c>
      <c r="BD44" s="79" t="n">
        <f aca="false">B44</f>
        <v>0.903930131004367</v>
      </c>
      <c r="BE44" s="80" t="n">
        <v>1</v>
      </c>
      <c r="BF44" s="80" t="n">
        <v>1</v>
      </c>
      <c r="BG44" s="79" t="n">
        <f aca="false">B44</f>
        <v>0.903930131004367</v>
      </c>
      <c r="BH44" s="79" t="n">
        <f aca="false">B44</f>
        <v>0.903930131004367</v>
      </c>
      <c r="BI44" s="79" t="n">
        <f aca="false">B44</f>
        <v>0.903930131004367</v>
      </c>
      <c r="BJ44" s="79" t="n">
        <f aca="false">B44</f>
        <v>0.903930131004367</v>
      </c>
      <c r="BK44" s="80" t="n">
        <v>1</v>
      </c>
    </row>
    <row r="45" customFormat="false" ht="12.75" hidden="false" customHeight="false" outlineLevel="0" collapsed="false">
      <c r="A45" s="1" t="n">
        <f aca="false">A44-1</f>
        <v>1982</v>
      </c>
      <c r="B45" s="79" t="n">
        <f aca="false">im!C45/(im!C45+im!D45)</f>
        <v>0.918586789554531</v>
      </c>
      <c r="C45" s="79" t="n">
        <f aca="false">B45</f>
        <v>0.918586789554531</v>
      </c>
      <c r="D45" s="79" t="n">
        <f aca="false">B45</f>
        <v>0.918586789554531</v>
      </c>
      <c r="E45" s="79" t="n">
        <f aca="false">B45</f>
        <v>0.918586789554531</v>
      </c>
      <c r="F45" s="79" t="n">
        <f aca="false">F44</f>
        <v>0.75</v>
      </c>
      <c r="G45" s="79" t="n">
        <f aca="false">F45</f>
        <v>0.75</v>
      </c>
      <c r="H45" s="79" t="n">
        <f aca="false">F45</f>
        <v>0.75</v>
      </c>
      <c r="I45" s="79" t="n">
        <f aca="false">F45</f>
        <v>0.75</v>
      </c>
      <c r="J45" s="79" t="n">
        <v>1</v>
      </c>
      <c r="K45" s="79" t="n">
        <v>1</v>
      </c>
      <c r="L45" s="79" t="n">
        <f aca="false">B45</f>
        <v>0.918586789554531</v>
      </c>
      <c r="M45" s="79" t="n">
        <f aca="false">B45</f>
        <v>0.918586789554531</v>
      </c>
      <c r="N45" s="79" t="n">
        <f aca="false">B45</f>
        <v>0.918586789554531</v>
      </c>
      <c r="O45" s="79" t="n">
        <f aca="false">B45</f>
        <v>0.918586789554531</v>
      </c>
      <c r="P45" s="79" t="n">
        <f aca="false">B45</f>
        <v>0.918586789554531</v>
      </c>
      <c r="Q45" s="80" t="n">
        <f aca="false">F45</f>
        <v>0.75</v>
      </c>
      <c r="R45" s="80" t="n">
        <f aca="false">F45</f>
        <v>0.75</v>
      </c>
      <c r="S45" s="80" t="n">
        <f aca="false">F45</f>
        <v>0.75</v>
      </c>
      <c r="T45" s="80" t="n">
        <v>1</v>
      </c>
      <c r="U45" s="80" t="n">
        <v>1</v>
      </c>
      <c r="V45" s="80" t="n">
        <f aca="false">F45</f>
        <v>0.75</v>
      </c>
      <c r="W45" s="80" t="n">
        <f aca="false">F45</f>
        <v>0.75</v>
      </c>
      <c r="X45" s="80" t="n">
        <f aca="false">F45</f>
        <v>0.75</v>
      </c>
      <c r="Y45" s="80" t="n">
        <f aca="false">F45</f>
        <v>0.75</v>
      </c>
      <c r="Z45" s="80" t="n">
        <f aca="false">F45</f>
        <v>0.75</v>
      </c>
      <c r="AA45" s="80" t="n">
        <f aca="false">F45</f>
        <v>0.75</v>
      </c>
      <c r="AB45" s="80" t="n">
        <f aca="false">F45</f>
        <v>0.75</v>
      </c>
      <c r="AC45" s="80" t="n">
        <f aca="false">F45</f>
        <v>0.75</v>
      </c>
      <c r="AD45" s="80" t="n">
        <f aca="false">F45</f>
        <v>0.75</v>
      </c>
      <c r="AE45" s="79" t="n">
        <f aca="false">B45</f>
        <v>0.918586789554531</v>
      </c>
      <c r="AF45" s="79" t="n">
        <f aca="false">B45</f>
        <v>0.918586789554531</v>
      </c>
      <c r="AG45" s="79" t="n">
        <f aca="false">B45</f>
        <v>0.918586789554531</v>
      </c>
      <c r="AH45" s="79" t="n">
        <f aca="false">B45</f>
        <v>0.918586789554531</v>
      </c>
      <c r="AI45" s="79" t="n">
        <f aca="false">B45</f>
        <v>0.918586789554531</v>
      </c>
      <c r="AJ45" s="79" t="n">
        <f aca="false">B45</f>
        <v>0.918586789554531</v>
      </c>
      <c r="AK45" s="79" t="n">
        <f aca="false">B45</f>
        <v>0.918586789554531</v>
      </c>
      <c r="AL45" s="79" t="n">
        <f aca="false">B45</f>
        <v>0.918586789554531</v>
      </c>
      <c r="AM45" s="79" t="n">
        <f aca="false">B45</f>
        <v>0.918586789554531</v>
      </c>
      <c r="AN45" s="80" t="n">
        <f aca="false">F45</f>
        <v>0.75</v>
      </c>
      <c r="AO45" s="80" t="n">
        <f aca="false">F45</f>
        <v>0.75</v>
      </c>
      <c r="AP45" s="80" t="n">
        <f aca="false">F45</f>
        <v>0.75</v>
      </c>
      <c r="AQ45" s="80" t="n">
        <f aca="false">F45</f>
        <v>0.75</v>
      </c>
      <c r="AR45" s="80" t="n">
        <f aca="false">F45</f>
        <v>0.75</v>
      </c>
      <c r="AS45" s="80" t="n">
        <f aca="false">F45</f>
        <v>0.75</v>
      </c>
      <c r="AT45" s="80" t="n">
        <v>1</v>
      </c>
      <c r="AU45" s="80" t="n">
        <f aca="false">F45</f>
        <v>0.75</v>
      </c>
      <c r="AV45" s="80" t="n">
        <f aca="false">F45</f>
        <v>0.75</v>
      </c>
      <c r="AW45" s="80" t="n">
        <f aca="false">F45</f>
        <v>0.75</v>
      </c>
      <c r="AX45" s="79" t="n">
        <f aca="false">B45</f>
        <v>0.918586789554531</v>
      </c>
      <c r="AY45" s="79" t="n">
        <f aca="false">B45</f>
        <v>0.918586789554531</v>
      </c>
      <c r="AZ45" s="79" t="n">
        <f aca="false">B45</f>
        <v>0.918586789554531</v>
      </c>
      <c r="BA45" s="80" t="n">
        <f aca="false">F45</f>
        <v>0.75</v>
      </c>
      <c r="BB45" s="80" t="n">
        <f aca="false">F45</f>
        <v>0.75</v>
      </c>
      <c r="BC45" s="79" t="n">
        <f aca="false">B45</f>
        <v>0.918586789554531</v>
      </c>
      <c r="BD45" s="79" t="n">
        <f aca="false">B45</f>
        <v>0.918586789554531</v>
      </c>
      <c r="BE45" s="80" t="n">
        <v>1</v>
      </c>
      <c r="BF45" s="80" t="n">
        <v>1</v>
      </c>
      <c r="BG45" s="79" t="n">
        <f aca="false">B45</f>
        <v>0.918586789554531</v>
      </c>
      <c r="BH45" s="79" t="n">
        <f aca="false">B45</f>
        <v>0.918586789554531</v>
      </c>
      <c r="BI45" s="79" t="n">
        <f aca="false">B45</f>
        <v>0.918586789554531</v>
      </c>
      <c r="BJ45" s="79" t="n">
        <f aca="false">B45</f>
        <v>0.918586789554531</v>
      </c>
      <c r="BK45" s="80" t="n">
        <v>1</v>
      </c>
    </row>
    <row r="46" customFormat="false" ht="12.75" hidden="false" customHeight="false" outlineLevel="0" collapsed="false">
      <c r="A46" s="1" t="n">
        <f aca="false">A45-1</f>
        <v>1981</v>
      </c>
      <c r="B46" s="79" t="n">
        <f aca="false">im!C46/(im!C46+im!D46)</f>
        <v>0.900657131812911</v>
      </c>
      <c r="C46" s="79" t="n">
        <f aca="false">B46</f>
        <v>0.900657131812911</v>
      </c>
      <c r="D46" s="79" t="n">
        <f aca="false">B46</f>
        <v>0.900657131812911</v>
      </c>
      <c r="E46" s="79" t="n">
        <f aca="false">B46</f>
        <v>0.900657131812911</v>
      </c>
      <c r="F46" s="79" t="n">
        <f aca="false">F45</f>
        <v>0.75</v>
      </c>
      <c r="G46" s="79" t="n">
        <f aca="false">F46</f>
        <v>0.75</v>
      </c>
      <c r="H46" s="79" t="n">
        <f aca="false">F46</f>
        <v>0.75</v>
      </c>
      <c r="I46" s="79" t="n">
        <f aca="false">F46</f>
        <v>0.75</v>
      </c>
      <c r="J46" s="79" t="n">
        <v>1</v>
      </c>
      <c r="K46" s="79" t="n">
        <v>1</v>
      </c>
      <c r="L46" s="79" t="n">
        <f aca="false">B46</f>
        <v>0.900657131812911</v>
      </c>
      <c r="M46" s="79" t="n">
        <f aca="false">B46</f>
        <v>0.900657131812911</v>
      </c>
      <c r="N46" s="79" t="n">
        <f aca="false">B46</f>
        <v>0.900657131812911</v>
      </c>
      <c r="O46" s="79" t="n">
        <f aca="false">B46</f>
        <v>0.900657131812911</v>
      </c>
      <c r="P46" s="79" t="n">
        <f aca="false">B46</f>
        <v>0.900657131812911</v>
      </c>
      <c r="Q46" s="80" t="n">
        <f aca="false">F46</f>
        <v>0.75</v>
      </c>
      <c r="R46" s="80" t="n">
        <f aca="false">F46</f>
        <v>0.75</v>
      </c>
      <c r="S46" s="80" t="n">
        <f aca="false">F46</f>
        <v>0.75</v>
      </c>
      <c r="T46" s="80" t="n">
        <v>1</v>
      </c>
      <c r="U46" s="80" t="n">
        <v>1</v>
      </c>
      <c r="V46" s="80" t="n">
        <f aca="false">F46</f>
        <v>0.75</v>
      </c>
      <c r="W46" s="80" t="n">
        <f aca="false">F46</f>
        <v>0.75</v>
      </c>
      <c r="X46" s="80" t="n">
        <f aca="false">F46</f>
        <v>0.75</v>
      </c>
      <c r="Y46" s="80" t="n">
        <f aca="false">F46</f>
        <v>0.75</v>
      </c>
      <c r="Z46" s="80" t="n">
        <f aca="false">F46</f>
        <v>0.75</v>
      </c>
      <c r="AA46" s="80" t="n">
        <f aca="false">F46</f>
        <v>0.75</v>
      </c>
      <c r="AB46" s="80" t="n">
        <f aca="false">F46</f>
        <v>0.75</v>
      </c>
      <c r="AC46" s="80" t="n">
        <f aca="false">F46</f>
        <v>0.75</v>
      </c>
      <c r="AD46" s="80" t="n">
        <f aca="false">F46</f>
        <v>0.75</v>
      </c>
      <c r="AE46" s="79" t="n">
        <f aca="false">B46</f>
        <v>0.900657131812911</v>
      </c>
      <c r="AF46" s="79" t="n">
        <f aca="false">B46</f>
        <v>0.900657131812911</v>
      </c>
      <c r="AG46" s="79" t="n">
        <f aca="false">B46</f>
        <v>0.900657131812911</v>
      </c>
      <c r="AH46" s="79" t="n">
        <f aca="false">B46</f>
        <v>0.900657131812911</v>
      </c>
      <c r="AI46" s="79" t="n">
        <f aca="false">B46</f>
        <v>0.900657131812911</v>
      </c>
      <c r="AJ46" s="79" t="n">
        <f aca="false">B46</f>
        <v>0.900657131812911</v>
      </c>
      <c r="AK46" s="79" t="n">
        <f aca="false">B46</f>
        <v>0.900657131812911</v>
      </c>
      <c r="AL46" s="79" t="n">
        <f aca="false">B46</f>
        <v>0.900657131812911</v>
      </c>
      <c r="AM46" s="79" t="n">
        <f aca="false">B46</f>
        <v>0.900657131812911</v>
      </c>
      <c r="AN46" s="80" t="n">
        <f aca="false">F46</f>
        <v>0.75</v>
      </c>
      <c r="AO46" s="80" t="n">
        <f aca="false">F46</f>
        <v>0.75</v>
      </c>
      <c r="AP46" s="80" t="n">
        <f aca="false">F46</f>
        <v>0.75</v>
      </c>
      <c r="AQ46" s="80" t="n">
        <f aca="false">F46</f>
        <v>0.75</v>
      </c>
      <c r="AR46" s="80" t="n">
        <f aca="false">F46</f>
        <v>0.75</v>
      </c>
      <c r="AS46" s="80" t="n">
        <f aca="false">F46</f>
        <v>0.75</v>
      </c>
      <c r="AT46" s="80" t="n">
        <v>1</v>
      </c>
      <c r="AU46" s="80" t="n">
        <f aca="false">F46</f>
        <v>0.75</v>
      </c>
      <c r="AV46" s="80" t="n">
        <f aca="false">F46</f>
        <v>0.75</v>
      </c>
      <c r="AW46" s="80" t="n">
        <f aca="false">F46</f>
        <v>0.75</v>
      </c>
      <c r="AX46" s="79" t="n">
        <f aca="false">B46</f>
        <v>0.900657131812911</v>
      </c>
      <c r="AY46" s="79" t="n">
        <f aca="false">B46</f>
        <v>0.900657131812911</v>
      </c>
      <c r="AZ46" s="79" t="n">
        <f aca="false">B46</f>
        <v>0.900657131812911</v>
      </c>
      <c r="BA46" s="80" t="n">
        <f aca="false">F46</f>
        <v>0.75</v>
      </c>
      <c r="BB46" s="80" t="n">
        <f aca="false">F46</f>
        <v>0.75</v>
      </c>
      <c r="BC46" s="79" t="n">
        <f aca="false">B46</f>
        <v>0.900657131812911</v>
      </c>
      <c r="BD46" s="79" t="n">
        <f aca="false">B46</f>
        <v>0.900657131812911</v>
      </c>
      <c r="BE46" s="80" t="n">
        <v>1</v>
      </c>
      <c r="BF46" s="80" t="n">
        <v>1</v>
      </c>
      <c r="BG46" s="79" t="n">
        <f aca="false">B46</f>
        <v>0.900657131812911</v>
      </c>
      <c r="BH46" s="79" t="n">
        <f aca="false">B46</f>
        <v>0.900657131812911</v>
      </c>
      <c r="BI46" s="79" t="n">
        <f aca="false">B46</f>
        <v>0.900657131812911</v>
      </c>
      <c r="BJ46" s="79" t="n">
        <f aca="false">B46</f>
        <v>0.900657131812911</v>
      </c>
      <c r="BK46" s="80" t="n">
        <v>1</v>
      </c>
    </row>
    <row r="47" customFormat="false" ht="12.75" hidden="false" customHeight="false" outlineLevel="0" collapsed="false">
      <c r="A47" s="1" t="n">
        <f aca="false">A46-1</f>
        <v>1980</v>
      </c>
      <c r="B47" s="79" t="n">
        <f aca="false">im!C47/(im!C47+im!D47)</f>
        <v>0.902576489533011</v>
      </c>
      <c r="C47" s="79" t="n">
        <f aca="false">B47</f>
        <v>0.902576489533011</v>
      </c>
      <c r="D47" s="79" t="n">
        <f aca="false">B47</f>
        <v>0.902576489533011</v>
      </c>
      <c r="E47" s="79" t="n">
        <f aca="false">B47</f>
        <v>0.902576489533011</v>
      </c>
      <c r="F47" s="79" t="n">
        <f aca="false">F46</f>
        <v>0.75</v>
      </c>
      <c r="G47" s="79" t="n">
        <f aca="false">F47</f>
        <v>0.75</v>
      </c>
      <c r="H47" s="79" t="n">
        <f aca="false">F47</f>
        <v>0.75</v>
      </c>
      <c r="I47" s="79" t="n">
        <f aca="false">F47</f>
        <v>0.75</v>
      </c>
      <c r="J47" s="79" t="n">
        <v>1</v>
      </c>
      <c r="K47" s="79" t="n">
        <v>1</v>
      </c>
      <c r="L47" s="79" t="n">
        <f aca="false">B47</f>
        <v>0.902576489533011</v>
      </c>
      <c r="M47" s="79" t="n">
        <f aca="false">B47</f>
        <v>0.902576489533011</v>
      </c>
      <c r="N47" s="79" t="n">
        <f aca="false">B47</f>
        <v>0.902576489533011</v>
      </c>
      <c r="O47" s="79" t="n">
        <f aca="false">B47</f>
        <v>0.902576489533011</v>
      </c>
      <c r="P47" s="79" t="n">
        <f aca="false">B47</f>
        <v>0.902576489533011</v>
      </c>
      <c r="Q47" s="80" t="n">
        <f aca="false">F47</f>
        <v>0.75</v>
      </c>
      <c r="R47" s="80" t="n">
        <f aca="false">F47</f>
        <v>0.75</v>
      </c>
      <c r="S47" s="80" t="n">
        <f aca="false">F47</f>
        <v>0.75</v>
      </c>
      <c r="T47" s="80" t="n">
        <v>1</v>
      </c>
      <c r="U47" s="80" t="n">
        <v>1</v>
      </c>
      <c r="V47" s="80" t="n">
        <f aca="false">F47</f>
        <v>0.75</v>
      </c>
      <c r="W47" s="80" t="n">
        <f aca="false">F47</f>
        <v>0.75</v>
      </c>
      <c r="X47" s="80" t="n">
        <f aca="false">F47</f>
        <v>0.75</v>
      </c>
      <c r="Y47" s="80" t="n">
        <f aca="false">F47</f>
        <v>0.75</v>
      </c>
      <c r="Z47" s="80" t="n">
        <f aca="false">F47</f>
        <v>0.75</v>
      </c>
      <c r="AA47" s="80" t="n">
        <f aca="false">F47</f>
        <v>0.75</v>
      </c>
      <c r="AB47" s="80" t="n">
        <f aca="false">F47</f>
        <v>0.75</v>
      </c>
      <c r="AC47" s="80" t="n">
        <f aca="false">F47</f>
        <v>0.75</v>
      </c>
      <c r="AD47" s="80" t="n">
        <f aca="false">F47</f>
        <v>0.75</v>
      </c>
      <c r="AE47" s="79" t="n">
        <f aca="false">B47</f>
        <v>0.902576489533011</v>
      </c>
      <c r="AF47" s="79" t="n">
        <f aca="false">B47</f>
        <v>0.902576489533011</v>
      </c>
      <c r="AG47" s="79" t="n">
        <f aca="false">B47</f>
        <v>0.902576489533011</v>
      </c>
      <c r="AH47" s="79" t="n">
        <f aca="false">B47</f>
        <v>0.902576489533011</v>
      </c>
      <c r="AI47" s="79" t="n">
        <f aca="false">B47</f>
        <v>0.902576489533011</v>
      </c>
      <c r="AJ47" s="79" t="n">
        <f aca="false">B47</f>
        <v>0.902576489533011</v>
      </c>
      <c r="AK47" s="79" t="n">
        <f aca="false">B47</f>
        <v>0.902576489533011</v>
      </c>
      <c r="AL47" s="79" t="n">
        <f aca="false">B47</f>
        <v>0.902576489533011</v>
      </c>
      <c r="AM47" s="79" t="n">
        <f aca="false">B47</f>
        <v>0.902576489533011</v>
      </c>
      <c r="AN47" s="80" t="n">
        <f aca="false">F47</f>
        <v>0.75</v>
      </c>
      <c r="AO47" s="80" t="n">
        <f aca="false">F47</f>
        <v>0.75</v>
      </c>
      <c r="AP47" s="80" t="n">
        <f aca="false">F47</f>
        <v>0.75</v>
      </c>
      <c r="AQ47" s="80" t="n">
        <f aca="false">F47</f>
        <v>0.75</v>
      </c>
      <c r="AR47" s="80" t="n">
        <f aca="false">F47</f>
        <v>0.75</v>
      </c>
      <c r="AS47" s="80" t="n">
        <f aca="false">F47</f>
        <v>0.75</v>
      </c>
      <c r="AT47" s="80" t="n">
        <v>1</v>
      </c>
      <c r="AU47" s="80" t="n">
        <f aca="false">F47</f>
        <v>0.75</v>
      </c>
      <c r="AV47" s="80" t="n">
        <f aca="false">F47</f>
        <v>0.75</v>
      </c>
      <c r="AW47" s="80" t="n">
        <f aca="false">F47</f>
        <v>0.75</v>
      </c>
      <c r="AX47" s="79" t="n">
        <f aca="false">B47</f>
        <v>0.902576489533011</v>
      </c>
      <c r="AY47" s="79" t="n">
        <f aca="false">B47</f>
        <v>0.902576489533011</v>
      </c>
      <c r="AZ47" s="79" t="n">
        <f aca="false">B47</f>
        <v>0.902576489533011</v>
      </c>
      <c r="BA47" s="80" t="n">
        <f aca="false">F47</f>
        <v>0.75</v>
      </c>
      <c r="BB47" s="80" t="n">
        <f aca="false">F47</f>
        <v>0.75</v>
      </c>
      <c r="BC47" s="79" t="n">
        <f aca="false">B47</f>
        <v>0.902576489533011</v>
      </c>
      <c r="BD47" s="79" t="n">
        <f aca="false">B47</f>
        <v>0.902576489533011</v>
      </c>
      <c r="BE47" s="80" t="n">
        <v>1</v>
      </c>
      <c r="BF47" s="80" t="n">
        <v>1</v>
      </c>
      <c r="BG47" s="79" t="n">
        <f aca="false">B47</f>
        <v>0.902576489533011</v>
      </c>
      <c r="BH47" s="79" t="n">
        <f aca="false">B47</f>
        <v>0.902576489533011</v>
      </c>
      <c r="BI47" s="79" t="n">
        <f aca="false">B47</f>
        <v>0.902576489533011</v>
      </c>
      <c r="BJ47" s="79" t="n">
        <f aca="false">B47</f>
        <v>0.902576489533011</v>
      </c>
      <c r="BK47" s="80" t="n">
        <v>1</v>
      </c>
    </row>
    <row r="48" customFormat="false" ht="12.75" hidden="false" customHeight="false" outlineLevel="0" collapsed="false">
      <c r="A48" s="1" t="n">
        <f aca="false">A47-1</f>
        <v>1979</v>
      </c>
      <c r="B48" s="79" t="n">
        <f aca="false">im!C48/(im!C48+im!D48)</f>
        <v>0.91702786377709</v>
      </c>
      <c r="C48" s="79" t="n">
        <f aca="false">B48</f>
        <v>0.91702786377709</v>
      </c>
      <c r="D48" s="79" t="n">
        <f aca="false">B48</f>
        <v>0.91702786377709</v>
      </c>
      <c r="E48" s="79" t="n">
        <f aca="false">B48</f>
        <v>0.91702786377709</v>
      </c>
      <c r="F48" s="79" t="n">
        <f aca="false">F47</f>
        <v>0.75</v>
      </c>
      <c r="G48" s="79" t="n">
        <f aca="false">F48</f>
        <v>0.75</v>
      </c>
      <c r="H48" s="79" t="n">
        <f aca="false">F48</f>
        <v>0.75</v>
      </c>
      <c r="I48" s="79" t="n">
        <f aca="false">F48</f>
        <v>0.75</v>
      </c>
      <c r="J48" s="79" t="n">
        <v>1</v>
      </c>
      <c r="K48" s="79" t="n">
        <v>1</v>
      </c>
      <c r="L48" s="79" t="n">
        <f aca="false">B48</f>
        <v>0.91702786377709</v>
      </c>
      <c r="M48" s="79" t="n">
        <f aca="false">B48</f>
        <v>0.91702786377709</v>
      </c>
      <c r="N48" s="79" t="n">
        <f aca="false">B48</f>
        <v>0.91702786377709</v>
      </c>
      <c r="O48" s="79" t="n">
        <f aca="false">B48</f>
        <v>0.91702786377709</v>
      </c>
      <c r="P48" s="79" t="n">
        <f aca="false">B48</f>
        <v>0.91702786377709</v>
      </c>
      <c r="Q48" s="80" t="n">
        <f aca="false">F48</f>
        <v>0.75</v>
      </c>
      <c r="R48" s="80" t="n">
        <f aca="false">F48</f>
        <v>0.75</v>
      </c>
      <c r="S48" s="80" t="n">
        <f aca="false">F48</f>
        <v>0.75</v>
      </c>
      <c r="T48" s="80" t="n">
        <v>1</v>
      </c>
      <c r="U48" s="80" t="n">
        <v>1</v>
      </c>
      <c r="V48" s="80" t="n">
        <f aca="false">F48</f>
        <v>0.75</v>
      </c>
      <c r="W48" s="80" t="n">
        <f aca="false">F48</f>
        <v>0.75</v>
      </c>
      <c r="X48" s="80" t="n">
        <f aca="false">F48</f>
        <v>0.75</v>
      </c>
      <c r="Y48" s="80" t="n">
        <f aca="false">F48</f>
        <v>0.75</v>
      </c>
      <c r="Z48" s="80" t="n">
        <f aca="false">F48</f>
        <v>0.75</v>
      </c>
      <c r="AA48" s="80" t="n">
        <f aca="false">F48</f>
        <v>0.75</v>
      </c>
      <c r="AB48" s="80" t="n">
        <f aca="false">F48</f>
        <v>0.75</v>
      </c>
      <c r="AC48" s="80" t="n">
        <f aca="false">F48</f>
        <v>0.75</v>
      </c>
      <c r="AD48" s="80" t="n">
        <f aca="false">F48</f>
        <v>0.75</v>
      </c>
      <c r="AE48" s="79" t="n">
        <f aca="false">B48</f>
        <v>0.91702786377709</v>
      </c>
      <c r="AF48" s="79" t="n">
        <f aca="false">B48</f>
        <v>0.91702786377709</v>
      </c>
      <c r="AG48" s="79" t="n">
        <f aca="false">B48</f>
        <v>0.91702786377709</v>
      </c>
      <c r="AH48" s="79" t="n">
        <f aca="false">B48</f>
        <v>0.91702786377709</v>
      </c>
      <c r="AI48" s="79" t="n">
        <f aca="false">B48</f>
        <v>0.91702786377709</v>
      </c>
      <c r="AJ48" s="79" t="n">
        <f aca="false">B48</f>
        <v>0.91702786377709</v>
      </c>
      <c r="AK48" s="79" t="n">
        <f aca="false">B48</f>
        <v>0.91702786377709</v>
      </c>
      <c r="AL48" s="79" t="n">
        <f aca="false">B48</f>
        <v>0.91702786377709</v>
      </c>
      <c r="AM48" s="79" t="n">
        <f aca="false">B48</f>
        <v>0.91702786377709</v>
      </c>
      <c r="AN48" s="80" t="n">
        <f aca="false">F48</f>
        <v>0.75</v>
      </c>
      <c r="AO48" s="80" t="n">
        <f aca="false">F48</f>
        <v>0.75</v>
      </c>
      <c r="AP48" s="80" t="n">
        <f aca="false">F48</f>
        <v>0.75</v>
      </c>
      <c r="AQ48" s="80" t="n">
        <f aca="false">F48</f>
        <v>0.75</v>
      </c>
      <c r="AR48" s="80" t="n">
        <f aca="false">F48</f>
        <v>0.75</v>
      </c>
      <c r="AS48" s="80" t="n">
        <f aca="false">F48</f>
        <v>0.75</v>
      </c>
      <c r="AT48" s="80" t="n">
        <v>1</v>
      </c>
      <c r="AU48" s="80" t="n">
        <f aca="false">F48</f>
        <v>0.75</v>
      </c>
      <c r="AV48" s="80" t="n">
        <f aca="false">F48</f>
        <v>0.75</v>
      </c>
      <c r="AW48" s="80" t="n">
        <f aca="false">F48</f>
        <v>0.75</v>
      </c>
      <c r="AX48" s="79" t="n">
        <f aca="false">B48</f>
        <v>0.91702786377709</v>
      </c>
      <c r="AY48" s="79" t="n">
        <f aca="false">B48</f>
        <v>0.91702786377709</v>
      </c>
      <c r="AZ48" s="79" t="n">
        <f aca="false">B48</f>
        <v>0.91702786377709</v>
      </c>
      <c r="BA48" s="80" t="n">
        <f aca="false">F48</f>
        <v>0.75</v>
      </c>
      <c r="BB48" s="80" t="n">
        <f aca="false">F48</f>
        <v>0.75</v>
      </c>
      <c r="BC48" s="79" t="n">
        <f aca="false">B48</f>
        <v>0.91702786377709</v>
      </c>
      <c r="BD48" s="79" t="n">
        <f aca="false">B48</f>
        <v>0.91702786377709</v>
      </c>
      <c r="BE48" s="80" t="n">
        <v>1</v>
      </c>
      <c r="BF48" s="80" t="n">
        <v>1</v>
      </c>
      <c r="BG48" s="79" t="n">
        <f aca="false">B48</f>
        <v>0.91702786377709</v>
      </c>
      <c r="BH48" s="79" t="n">
        <f aca="false">B48</f>
        <v>0.91702786377709</v>
      </c>
      <c r="BI48" s="79" t="n">
        <f aca="false">B48</f>
        <v>0.91702786377709</v>
      </c>
      <c r="BJ48" s="79" t="n">
        <f aca="false">B48</f>
        <v>0.91702786377709</v>
      </c>
      <c r="BK48" s="80" t="n">
        <v>1</v>
      </c>
    </row>
    <row r="49" customFormat="false" ht="12.75" hidden="false" customHeight="false" outlineLevel="0" collapsed="false">
      <c r="A49" s="1" t="n">
        <f aca="false">A48-1</f>
        <v>1978</v>
      </c>
      <c r="B49" s="79" t="n">
        <f aca="false">im!C49/(im!C49+im!D49)</f>
        <v>0.900523560209424</v>
      </c>
      <c r="C49" s="79" t="n">
        <f aca="false">B49</f>
        <v>0.900523560209424</v>
      </c>
      <c r="D49" s="79" t="n">
        <f aca="false">B49</f>
        <v>0.900523560209424</v>
      </c>
      <c r="E49" s="79" t="n">
        <f aca="false">B49</f>
        <v>0.900523560209424</v>
      </c>
      <c r="F49" s="79" t="n">
        <f aca="false">F48</f>
        <v>0.75</v>
      </c>
      <c r="G49" s="79" t="n">
        <f aca="false">F49</f>
        <v>0.75</v>
      </c>
      <c r="H49" s="79" t="n">
        <f aca="false">F49</f>
        <v>0.75</v>
      </c>
      <c r="I49" s="79" t="n">
        <f aca="false">F49</f>
        <v>0.75</v>
      </c>
      <c r="J49" s="79" t="n">
        <v>1</v>
      </c>
      <c r="K49" s="79" t="n">
        <v>1</v>
      </c>
      <c r="L49" s="79" t="n">
        <f aca="false">B49</f>
        <v>0.900523560209424</v>
      </c>
      <c r="M49" s="79" t="n">
        <f aca="false">B49</f>
        <v>0.900523560209424</v>
      </c>
      <c r="N49" s="79" t="n">
        <f aca="false">B49</f>
        <v>0.900523560209424</v>
      </c>
      <c r="O49" s="79" t="n">
        <f aca="false">B49</f>
        <v>0.900523560209424</v>
      </c>
      <c r="P49" s="79" t="n">
        <f aca="false">B49</f>
        <v>0.900523560209424</v>
      </c>
      <c r="Q49" s="80" t="n">
        <f aca="false">F49</f>
        <v>0.75</v>
      </c>
      <c r="R49" s="80" t="n">
        <f aca="false">F49</f>
        <v>0.75</v>
      </c>
      <c r="S49" s="80" t="n">
        <f aca="false">F49</f>
        <v>0.75</v>
      </c>
      <c r="T49" s="80" t="n">
        <v>1</v>
      </c>
      <c r="U49" s="80" t="n">
        <v>1</v>
      </c>
      <c r="V49" s="80" t="n">
        <f aca="false">F49</f>
        <v>0.75</v>
      </c>
      <c r="W49" s="80" t="n">
        <f aca="false">F49</f>
        <v>0.75</v>
      </c>
      <c r="X49" s="80" t="n">
        <f aca="false">F49</f>
        <v>0.75</v>
      </c>
      <c r="Y49" s="80" t="n">
        <f aca="false">F49</f>
        <v>0.75</v>
      </c>
      <c r="Z49" s="80" t="n">
        <f aca="false">F49</f>
        <v>0.75</v>
      </c>
      <c r="AA49" s="80" t="n">
        <f aca="false">F49</f>
        <v>0.75</v>
      </c>
      <c r="AB49" s="80" t="n">
        <f aca="false">F49</f>
        <v>0.75</v>
      </c>
      <c r="AC49" s="80" t="n">
        <f aca="false">F49</f>
        <v>0.75</v>
      </c>
      <c r="AD49" s="80" t="n">
        <f aca="false">F49</f>
        <v>0.75</v>
      </c>
      <c r="AE49" s="79" t="n">
        <f aca="false">B49</f>
        <v>0.900523560209424</v>
      </c>
      <c r="AF49" s="79" t="n">
        <f aca="false">B49</f>
        <v>0.900523560209424</v>
      </c>
      <c r="AG49" s="79" t="n">
        <f aca="false">B49</f>
        <v>0.900523560209424</v>
      </c>
      <c r="AH49" s="79" t="n">
        <f aca="false">B49</f>
        <v>0.900523560209424</v>
      </c>
      <c r="AI49" s="79" t="n">
        <f aca="false">B49</f>
        <v>0.900523560209424</v>
      </c>
      <c r="AJ49" s="79" t="n">
        <f aca="false">B49</f>
        <v>0.900523560209424</v>
      </c>
      <c r="AK49" s="79" t="n">
        <f aca="false">B49</f>
        <v>0.900523560209424</v>
      </c>
      <c r="AL49" s="79" t="n">
        <f aca="false">B49</f>
        <v>0.900523560209424</v>
      </c>
      <c r="AM49" s="79" t="n">
        <f aca="false">B49</f>
        <v>0.900523560209424</v>
      </c>
      <c r="AN49" s="80" t="n">
        <f aca="false">F49</f>
        <v>0.75</v>
      </c>
      <c r="AO49" s="80" t="n">
        <f aca="false">F49</f>
        <v>0.75</v>
      </c>
      <c r="AP49" s="80" t="n">
        <f aca="false">F49</f>
        <v>0.75</v>
      </c>
      <c r="AQ49" s="80" t="n">
        <f aca="false">F49</f>
        <v>0.75</v>
      </c>
      <c r="AR49" s="80" t="n">
        <f aca="false">F49</f>
        <v>0.75</v>
      </c>
      <c r="AS49" s="80" t="n">
        <f aca="false">F49</f>
        <v>0.75</v>
      </c>
      <c r="AT49" s="80" t="n">
        <v>1</v>
      </c>
      <c r="AU49" s="80" t="n">
        <f aca="false">F49</f>
        <v>0.75</v>
      </c>
      <c r="AV49" s="80" t="n">
        <f aca="false">F49</f>
        <v>0.75</v>
      </c>
      <c r="AW49" s="80" t="n">
        <f aca="false">F49</f>
        <v>0.75</v>
      </c>
      <c r="AX49" s="79" t="n">
        <f aca="false">B49</f>
        <v>0.900523560209424</v>
      </c>
      <c r="AY49" s="79" t="n">
        <f aca="false">B49</f>
        <v>0.900523560209424</v>
      </c>
      <c r="AZ49" s="79" t="n">
        <f aca="false">B49</f>
        <v>0.900523560209424</v>
      </c>
      <c r="BA49" s="80" t="n">
        <f aca="false">F49</f>
        <v>0.75</v>
      </c>
      <c r="BB49" s="80" t="n">
        <f aca="false">F49</f>
        <v>0.75</v>
      </c>
      <c r="BC49" s="79" t="n">
        <f aca="false">B49</f>
        <v>0.900523560209424</v>
      </c>
      <c r="BD49" s="79" t="n">
        <f aca="false">B49</f>
        <v>0.900523560209424</v>
      </c>
      <c r="BE49" s="80" t="n">
        <v>1</v>
      </c>
      <c r="BF49" s="80" t="n">
        <v>1</v>
      </c>
      <c r="BG49" s="79" t="n">
        <f aca="false">B49</f>
        <v>0.900523560209424</v>
      </c>
      <c r="BH49" s="79" t="n">
        <f aca="false">B49</f>
        <v>0.900523560209424</v>
      </c>
      <c r="BI49" s="79" t="n">
        <f aca="false">B49</f>
        <v>0.900523560209424</v>
      </c>
      <c r="BJ49" s="79" t="n">
        <f aca="false">B49</f>
        <v>0.900523560209424</v>
      </c>
      <c r="BK49" s="80" t="n">
        <v>1</v>
      </c>
    </row>
    <row r="50" customFormat="false" ht="12.75" hidden="false" customHeight="false" outlineLevel="0" collapsed="false">
      <c r="A50" s="1" t="n">
        <f aca="false">A49-1</f>
        <v>1977</v>
      </c>
      <c r="B50" s="79" t="n">
        <f aca="false">im!C50/(im!C50+im!D50)</f>
        <v>0.904022582921666</v>
      </c>
      <c r="C50" s="79" t="n">
        <f aca="false">B50</f>
        <v>0.904022582921666</v>
      </c>
      <c r="D50" s="79" t="n">
        <f aca="false">B50</f>
        <v>0.904022582921666</v>
      </c>
      <c r="E50" s="79" t="n">
        <f aca="false">B50</f>
        <v>0.904022582921666</v>
      </c>
      <c r="F50" s="79" t="n">
        <f aca="false">F49</f>
        <v>0.75</v>
      </c>
      <c r="G50" s="79" t="n">
        <f aca="false">F50</f>
        <v>0.75</v>
      </c>
      <c r="H50" s="79" t="n">
        <f aca="false">F50</f>
        <v>0.75</v>
      </c>
      <c r="I50" s="79" t="n">
        <f aca="false">F50</f>
        <v>0.75</v>
      </c>
      <c r="J50" s="79" t="n">
        <v>1</v>
      </c>
      <c r="K50" s="79" t="n">
        <v>1</v>
      </c>
      <c r="L50" s="79" t="n">
        <f aca="false">B50</f>
        <v>0.904022582921666</v>
      </c>
      <c r="M50" s="79" t="n">
        <f aca="false">B50</f>
        <v>0.904022582921666</v>
      </c>
      <c r="N50" s="79" t="n">
        <f aca="false">B50</f>
        <v>0.904022582921666</v>
      </c>
      <c r="O50" s="79" t="n">
        <f aca="false">B50</f>
        <v>0.904022582921666</v>
      </c>
      <c r="P50" s="79" t="n">
        <f aca="false">B50</f>
        <v>0.904022582921666</v>
      </c>
      <c r="Q50" s="80" t="n">
        <f aca="false">F50</f>
        <v>0.75</v>
      </c>
      <c r="R50" s="80" t="n">
        <f aca="false">F50</f>
        <v>0.75</v>
      </c>
      <c r="S50" s="80" t="n">
        <f aca="false">F50</f>
        <v>0.75</v>
      </c>
      <c r="T50" s="80" t="n">
        <v>1</v>
      </c>
      <c r="U50" s="80" t="n">
        <v>1</v>
      </c>
      <c r="V50" s="80" t="n">
        <f aca="false">F50</f>
        <v>0.75</v>
      </c>
      <c r="W50" s="80" t="n">
        <f aca="false">F50</f>
        <v>0.75</v>
      </c>
      <c r="X50" s="80" t="n">
        <f aca="false">F50</f>
        <v>0.75</v>
      </c>
      <c r="Y50" s="80" t="n">
        <f aca="false">F50</f>
        <v>0.75</v>
      </c>
      <c r="Z50" s="80" t="n">
        <f aca="false">F50</f>
        <v>0.75</v>
      </c>
      <c r="AA50" s="80" t="n">
        <f aca="false">F50</f>
        <v>0.75</v>
      </c>
      <c r="AB50" s="80" t="n">
        <f aca="false">F50</f>
        <v>0.75</v>
      </c>
      <c r="AC50" s="80" t="n">
        <f aca="false">F50</f>
        <v>0.75</v>
      </c>
      <c r="AD50" s="80" t="n">
        <f aca="false">F50</f>
        <v>0.75</v>
      </c>
      <c r="AE50" s="79" t="n">
        <f aca="false">B50</f>
        <v>0.904022582921666</v>
      </c>
      <c r="AF50" s="79" t="n">
        <f aca="false">B50</f>
        <v>0.904022582921666</v>
      </c>
      <c r="AG50" s="79" t="n">
        <f aca="false">B50</f>
        <v>0.904022582921666</v>
      </c>
      <c r="AH50" s="79" t="n">
        <f aca="false">B50</f>
        <v>0.904022582921666</v>
      </c>
      <c r="AI50" s="79" t="n">
        <f aca="false">B50</f>
        <v>0.904022582921666</v>
      </c>
      <c r="AJ50" s="79" t="n">
        <f aca="false">B50</f>
        <v>0.904022582921666</v>
      </c>
      <c r="AK50" s="79" t="n">
        <f aca="false">B50</f>
        <v>0.904022582921666</v>
      </c>
      <c r="AL50" s="79" t="n">
        <f aca="false">B50</f>
        <v>0.904022582921666</v>
      </c>
      <c r="AM50" s="79" t="n">
        <f aca="false">B50</f>
        <v>0.904022582921666</v>
      </c>
      <c r="AN50" s="80" t="n">
        <f aca="false">F50</f>
        <v>0.75</v>
      </c>
      <c r="AO50" s="80" t="n">
        <f aca="false">F50</f>
        <v>0.75</v>
      </c>
      <c r="AP50" s="80" t="n">
        <f aca="false">F50</f>
        <v>0.75</v>
      </c>
      <c r="AQ50" s="80" t="n">
        <f aca="false">F50</f>
        <v>0.75</v>
      </c>
      <c r="AR50" s="80" t="n">
        <f aca="false">F50</f>
        <v>0.75</v>
      </c>
      <c r="AS50" s="80" t="n">
        <f aca="false">F50</f>
        <v>0.75</v>
      </c>
      <c r="AT50" s="80" t="n">
        <v>1</v>
      </c>
      <c r="AU50" s="80" t="n">
        <f aca="false">F50</f>
        <v>0.75</v>
      </c>
      <c r="AV50" s="80" t="n">
        <f aca="false">F50</f>
        <v>0.75</v>
      </c>
      <c r="AW50" s="80" t="n">
        <f aca="false">F50</f>
        <v>0.75</v>
      </c>
      <c r="AX50" s="79" t="n">
        <f aca="false">B50</f>
        <v>0.904022582921666</v>
      </c>
      <c r="AY50" s="79" t="n">
        <f aca="false">B50</f>
        <v>0.904022582921666</v>
      </c>
      <c r="AZ50" s="79" t="n">
        <f aca="false">B50</f>
        <v>0.904022582921666</v>
      </c>
      <c r="BA50" s="80" t="n">
        <f aca="false">F50</f>
        <v>0.75</v>
      </c>
      <c r="BB50" s="80" t="n">
        <f aca="false">F50</f>
        <v>0.75</v>
      </c>
      <c r="BC50" s="79" t="n">
        <f aca="false">B50</f>
        <v>0.904022582921666</v>
      </c>
      <c r="BD50" s="79" t="n">
        <f aca="false">B50</f>
        <v>0.904022582921666</v>
      </c>
      <c r="BE50" s="80" t="n">
        <v>1</v>
      </c>
      <c r="BF50" s="80" t="n">
        <v>1</v>
      </c>
      <c r="BG50" s="79" t="n">
        <f aca="false">B50</f>
        <v>0.904022582921666</v>
      </c>
      <c r="BH50" s="79" t="n">
        <f aca="false">B50</f>
        <v>0.904022582921666</v>
      </c>
      <c r="BI50" s="79" t="n">
        <f aca="false">B50</f>
        <v>0.904022582921666</v>
      </c>
      <c r="BJ50" s="79" t="n">
        <f aca="false">B50</f>
        <v>0.904022582921666</v>
      </c>
      <c r="BK50" s="80" t="n">
        <v>1</v>
      </c>
    </row>
    <row r="51" customFormat="false" ht="12.75" hidden="false" customHeight="false" outlineLevel="0" collapsed="false">
      <c r="A51" s="1" t="n">
        <f aca="false">A50-1</f>
        <v>1976</v>
      </c>
      <c r="B51" s="79" t="n">
        <f aca="false">im!C51/(im!C51+im!D51)</f>
        <v>0.906804733727811</v>
      </c>
      <c r="C51" s="79" t="n">
        <f aca="false">B51</f>
        <v>0.906804733727811</v>
      </c>
      <c r="D51" s="79" t="n">
        <f aca="false">B51</f>
        <v>0.906804733727811</v>
      </c>
      <c r="E51" s="79" t="n">
        <f aca="false">B51</f>
        <v>0.906804733727811</v>
      </c>
      <c r="F51" s="79" t="n">
        <f aca="false">F50</f>
        <v>0.75</v>
      </c>
      <c r="G51" s="79" t="n">
        <f aca="false">F51</f>
        <v>0.75</v>
      </c>
      <c r="H51" s="79" t="n">
        <f aca="false">F51</f>
        <v>0.75</v>
      </c>
      <c r="I51" s="79" t="n">
        <f aca="false">F51</f>
        <v>0.75</v>
      </c>
      <c r="J51" s="79" t="n">
        <v>1</v>
      </c>
      <c r="K51" s="79" t="n">
        <v>1</v>
      </c>
      <c r="L51" s="79" t="n">
        <f aca="false">B51</f>
        <v>0.906804733727811</v>
      </c>
      <c r="M51" s="79" t="n">
        <f aca="false">B51</f>
        <v>0.906804733727811</v>
      </c>
      <c r="N51" s="79" t="n">
        <f aca="false">B51</f>
        <v>0.906804733727811</v>
      </c>
      <c r="O51" s="79" t="n">
        <f aca="false">B51</f>
        <v>0.906804733727811</v>
      </c>
      <c r="P51" s="79" t="n">
        <f aca="false">B51</f>
        <v>0.906804733727811</v>
      </c>
      <c r="Q51" s="80" t="n">
        <f aca="false">F51</f>
        <v>0.75</v>
      </c>
      <c r="R51" s="80" t="n">
        <f aca="false">F51</f>
        <v>0.75</v>
      </c>
      <c r="S51" s="80" t="n">
        <f aca="false">F51</f>
        <v>0.75</v>
      </c>
      <c r="T51" s="80" t="n">
        <v>1</v>
      </c>
      <c r="U51" s="80" t="n">
        <v>1</v>
      </c>
      <c r="V51" s="80" t="n">
        <f aca="false">F51</f>
        <v>0.75</v>
      </c>
      <c r="W51" s="80" t="n">
        <f aca="false">F51</f>
        <v>0.75</v>
      </c>
      <c r="X51" s="80" t="n">
        <f aca="false">F51</f>
        <v>0.75</v>
      </c>
      <c r="Y51" s="80" t="n">
        <f aca="false">F51</f>
        <v>0.75</v>
      </c>
      <c r="Z51" s="80" t="n">
        <f aca="false">F51</f>
        <v>0.75</v>
      </c>
      <c r="AA51" s="80" t="n">
        <f aca="false">F51</f>
        <v>0.75</v>
      </c>
      <c r="AB51" s="80" t="n">
        <f aca="false">F51</f>
        <v>0.75</v>
      </c>
      <c r="AC51" s="80" t="n">
        <f aca="false">F51</f>
        <v>0.75</v>
      </c>
      <c r="AD51" s="80" t="n">
        <f aca="false">F51</f>
        <v>0.75</v>
      </c>
      <c r="AE51" s="79" t="n">
        <f aca="false">B51</f>
        <v>0.906804733727811</v>
      </c>
      <c r="AF51" s="79" t="n">
        <f aca="false">B51</f>
        <v>0.906804733727811</v>
      </c>
      <c r="AG51" s="79" t="n">
        <f aca="false">B51</f>
        <v>0.906804733727811</v>
      </c>
      <c r="AH51" s="79" t="n">
        <f aca="false">B51</f>
        <v>0.906804733727811</v>
      </c>
      <c r="AI51" s="79" t="n">
        <f aca="false">B51</f>
        <v>0.906804733727811</v>
      </c>
      <c r="AJ51" s="79" t="n">
        <f aca="false">B51</f>
        <v>0.906804733727811</v>
      </c>
      <c r="AK51" s="79" t="n">
        <f aca="false">B51</f>
        <v>0.906804733727811</v>
      </c>
      <c r="AL51" s="79" t="n">
        <f aca="false">B51</f>
        <v>0.906804733727811</v>
      </c>
      <c r="AM51" s="79" t="n">
        <f aca="false">B51</f>
        <v>0.906804733727811</v>
      </c>
      <c r="AN51" s="80" t="n">
        <f aca="false">F51</f>
        <v>0.75</v>
      </c>
      <c r="AO51" s="80" t="n">
        <f aca="false">F51</f>
        <v>0.75</v>
      </c>
      <c r="AP51" s="80" t="n">
        <f aca="false">F51</f>
        <v>0.75</v>
      </c>
      <c r="AQ51" s="80" t="n">
        <f aca="false">F51</f>
        <v>0.75</v>
      </c>
      <c r="AR51" s="80" t="n">
        <f aca="false">F51</f>
        <v>0.75</v>
      </c>
      <c r="AS51" s="80" t="n">
        <f aca="false">F51</f>
        <v>0.75</v>
      </c>
      <c r="AT51" s="80" t="n">
        <v>1</v>
      </c>
      <c r="AU51" s="80" t="n">
        <f aca="false">F51</f>
        <v>0.75</v>
      </c>
      <c r="AV51" s="80" t="n">
        <f aca="false">F51</f>
        <v>0.75</v>
      </c>
      <c r="AW51" s="80" t="n">
        <f aca="false">F51</f>
        <v>0.75</v>
      </c>
      <c r="AX51" s="79" t="n">
        <f aca="false">B51</f>
        <v>0.906804733727811</v>
      </c>
      <c r="AY51" s="79" t="n">
        <f aca="false">B51</f>
        <v>0.906804733727811</v>
      </c>
      <c r="AZ51" s="79" t="n">
        <f aca="false">B51</f>
        <v>0.906804733727811</v>
      </c>
      <c r="BA51" s="80" t="n">
        <f aca="false">F51</f>
        <v>0.75</v>
      </c>
      <c r="BB51" s="80" t="n">
        <f aca="false">F51</f>
        <v>0.75</v>
      </c>
      <c r="BC51" s="79" t="n">
        <f aca="false">B51</f>
        <v>0.906804733727811</v>
      </c>
      <c r="BD51" s="79" t="n">
        <f aca="false">B51</f>
        <v>0.906804733727811</v>
      </c>
      <c r="BE51" s="80" t="n">
        <v>1</v>
      </c>
      <c r="BF51" s="80" t="n">
        <v>1</v>
      </c>
      <c r="BG51" s="79" t="n">
        <f aca="false">B51</f>
        <v>0.906804733727811</v>
      </c>
      <c r="BH51" s="79" t="n">
        <f aca="false">B51</f>
        <v>0.906804733727811</v>
      </c>
      <c r="BI51" s="79" t="n">
        <f aca="false">B51</f>
        <v>0.906804733727811</v>
      </c>
      <c r="BJ51" s="79" t="n">
        <f aca="false">B51</f>
        <v>0.906804733727811</v>
      </c>
      <c r="BK51" s="80" t="n">
        <v>1</v>
      </c>
    </row>
    <row r="52" customFormat="false" ht="12.75" hidden="false" customHeight="false" outlineLevel="0" collapsed="false">
      <c r="A52" s="1" t="n">
        <f aca="false">A51-1</f>
        <v>1975</v>
      </c>
      <c r="B52" s="79" t="n">
        <f aca="false">im!C52/(im!C52+im!D52)</f>
        <v>0.904263275991025</v>
      </c>
      <c r="C52" s="79" t="n">
        <f aca="false">B52</f>
        <v>0.904263275991025</v>
      </c>
      <c r="D52" s="79" t="n">
        <f aca="false">B52</f>
        <v>0.904263275991025</v>
      </c>
      <c r="E52" s="79" t="n">
        <f aca="false">B52</f>
        <v>0.904263275991025</v>
      </c>
      <c r="F52" s="79" t="n">
        <f aca="false">F51</f>
        <v>0.75</v>
      </c>
      <c r="G52" s="79" t="n">
        <f aca="false">F52</f>
        <v>0.75</v>
      </c>
      <c r="H52" s="79" t="n">
        <f aca="false">F52</f>
        <v>0.75</v>
      </c>
      <c r="I52" s="79" t="n">
        <f aca="false">F52</f>
        <v>0.75</v>
      </c>
      <c r="J52" s="79" t="n">
        <v>1</v>
      </c>
      <c r="K52" s="79" t="n">
        <v>1</v>
      </c>
      <c r="L52" s="79" t="n">
        <f aca="false">B52</f>
        <v>0.904263275991025</v>
      </c>
      <c r="M52" s="79" t="n">
        <f aca="false">B52</f>
        <v>0.904263275991025</v>
      </c>
      <c r="N52" s="79" t="n">
        <f aca="false">B52</f>
        <v>0.904263275991025</v>
      </c>
      <c r="O52" s="79" t="n">
        <f aca="false">B52</f>
        <v>0.904263275991025</v>
      </c>
      <c r="P52" s="79" t="n">
        <f aca="false">B52</f>
        <v>0.904263275991025</v>
      </c>
      <c r="Q52" s="80" t="n">
        <f aca="false">F52</f>
        <v>0.75</v>
      </c>
      <c r="R52" s="80" t="n">
        <f aca="false">F52</f>
        <v>0.75</v>
      </c>
      <c r="S52" s="80" t="n">
        <f aca="false">F52</f>
        <v>0.75</v>
      </c>
      <c r="T52" s="80" t="n">
        <v>1</v>
      </c>
      <c r="U52" s="80" t="n">
        <v>1</v>
      </c>
      <c r="V52" s="80" t="n">
        <f aca="false">F52</f>
        <v>0.75</v>
      </c>
      <c r="W52" s="80" t="n">
        <f aca="false">F52</f>
        <v>0.75</v>
      </c>
      <c r="X52" s="80" t="n">
        <f aca="false">F52</f>
        <v>0.75</v>
      </c>
      <c r="Y52" s="80" t="n">
        <f aca="false">F52</f>
        <v>0.75</v>
      </c>
      <c r="Z52" s="80" t="n">
        <f aca="false">F52</f>
        <v>0.75</v>
      </c>
      <c r="AA52" s="80" t="n">
        <f aca="false">F52</f>
        <v>0.75</v>
      </c>
      <c r="AB52" s="80" t="n">
        <f aca="false">F52</f>
        <v>0.75</v>
      </c>
      <c r="AC52" s="80" t="n">
        <f aca="false">F52</f>
        <v>0.75</v>
      </c>
      <c r="AD52" s="80" t="n">
        <f aca="false">F52</f>
        <v>0.75</v>
      </c>
      <c r="AE52" s="79" t="n">
        <f aca="false">B52</f>
        <v>0.904263275991025</v>
      </c>
      <c r="AF52" s="79" t="n">
        <f aca="false">B52</f>
        <v>0.904263275991025</v>
      </c>
      <c r="AG52" s="79" t="n">
        <f aca="false">B52</f>
        <v>0.904263275991025</v>
      </c>
      <c r="AH52" s="79" t="n">
        <f aca="false">B52</f>
        <v>0.904263275991025</v>
      </c>
      <c r="AI52" s="79" t="n">
        <f aca="false">B52</f>
        <v>0.904263275991025</v>
      </c>
      <c r="AJ52" s="79" t="n">
        <f aca="false">B52</f>
        <v>0.904263275991025</v>
      </c>
      <c r="AK52" s="79" t="n">
        <f aca="false">B52</f>
        <v>0.904263275991025</v>
      </c>
      <c r="AL52" s="79" t="n">
        <f aca="false">B52</f>
        <v>0.904263275991025</v>
      </c>
      <c r="AM52" s="79" t="n">
        <f aca="false">B52</f>
        <v>0.904263275991025</v>
      </c>
      <c r="AN52" s="80" t="n">
        <f aca="false">F52</f>
        <v>0.75</v>
      </c>
      <c r="AO52" s="80" t="n">
        <f aca="false">F52</f>
        <v>0.75</v>
      </c>
      <c r="AP52" s="80" t="n">
        <f aca="false">F52</f>
        <v>0.75</v>
      </c>
      <c r="AQ52" s="80" t="n">
        <f aca="false">F52</f>
        <v>0.75</v>
      </c>
      <c r="AR52" s="80" t="n">
        <f aca="false">F52</f>
        <v>0.75</v>
      </c>
      <c r="AS52" s="80" t="n">
        <f aca="false">F52</f>
        <v>0.75</v>
      </c>
      <c r="AT52" s="80" t="n">
        <v>1</v>
      </c>
      <c r="AU52" s="80" t="n">
        <f aca="false">F52</f>
        <v>0.75</v>
      </c>
      <c r="AV52" s="80" t="n">
        <f aca="false">F52</f>
        <v>0.75</v>
      </c>
      <c r="AW52" s="80" t="n">
        <f aca="false">F52</f>
        <v>0.75</v>
      </c>
      <c r="AX52" s="79" t="n">
        <f aca="false">B52</f>
        <v>0.904263275991025</v>
      </c>
      <c r="AY52" s="79" t="n">
        <f aca="false">B52</f>
        <v>0.904263275991025</v>
      </c>
      <c r="AZ52" s="79" t="n">
        <f aca="false">B52</f>
        <v>0.904263275991025</v>
      </c>
      <c r="BA52" s="80" t="n">
        <f aca="false">F52</f>
        <v>0.75</v>
      </c>
      <c r="BB52" s="80" t="n">
        <f aca="false">F52</f>
        <v>0.75</v>
      </c>
      <c r="BC52" s="79" t="n">
        <f aca="false">B52</f>
        <v>0.904263275991025</v>
      </c>
      <c r="BD52" s="79" t="n">
        <f aca="false">B52</f>
        <v>0.904263275991025</v>
      </c>
      <c r="BE52" s="80" t="n">
        <v>1</v>
      </c>
      <c r="BF52" s="80" t="n">
        <v>1</v>
      </c>
      <c r="BG52" s="79" t="n">
        <f aca="false">B52</f>
        <v>0.904263275991025</v>
      </c>
      <c r="BH52" s="79" t="n">
        <f aca="false">B52</f>
        <v>0.904263275991025</v>
      </c>
      <c r="BI52" s="79" t="n">
        <f aca="false">B52</f>
        <v>0.904263275991025</v>
      </c>
      <c r="BJ52" s="79" t="n">
        <f aca="false">B52</f>
        <v>0.904263275991025</v>
      </c>
      <c r="BK52" s="80" t="n">
        <v>1</v>
      </c>
    </row>
    <row r="53" customFormat="false" ht="12.75" hidden="false" customHeight="false" outlineLevel="0" collapsed="false">
      <c r="A53" s="1" t="n">
        <f aca="false">A52-1</f>
        <v>1974</v>
      </c>
      <c r="B53" s="79" t="n">
        <f aca="false">im!C53/(im!C53+im!D53)</f>
        <v>0.897535667963684</v>
      </c>
      <c r="C53" s="79" t="n">
        <f aca="false">B53</f>
        <v>0.897535667963684</v>
      </c>
      <c r="D53" s="79" t="n">
        <f aca="false">B53</f>
        <v>0.897535667963684</v>
      </c>
      <c r="E53" s="79" t="n">
        <f aca="false">B53</f>
        <v>0.897535667963684</v>
      </c>
      <c r="F53" s="79" t="n">
        <f aca="false">F52</f>
        <v>0.75</v>
      </c>
      <c r="G53" s="79" t="n">
        <f aca="false">F53</f>
        <v>0.75</v>
      </c>
      <c r="H53" s="79" t="n">
        <f aca="false">F53</f>
        <v>0.75</v>
      </c>
      <c r="I53" s="79" t="n">
        <f aca="false">F53</f>
        <v>0.75</v>
      </c>
      <c r="J53" s="79" t="n">
        <v>1</v>
      </c>
      <c r="K53" s="79" t="n">
        <v>1</v>
      </c>
      <c r="L53" s="79" t="n">
        <f aca="false">B53</f>
        <v>0.897535667963684</v>
      </c>
      <c r="M53" s="79" t="n">
        <f aca="false">B53</f>
        <v>0.897535667963684</v>
      </c>
      <c r="N53" s="79" t="n">
        <f aca="false">B53</f>
        <v>0.897535667963684</v>
      </c>
      <c r="O53" s="79" t="n">
        <f aca="false">B53</f>
        <v>0.897535667963684</v>
      </c>
      <c r="P53" s="79" t="n">
        <f aca="false">B53</f>
        <v>0.897535667963684</v>
      </c>
      <c r="Q53" s="80" t="n">
        <f aca="false">F53</f>
        <v>0.75</v>
      </c>
      <c r="R53" s="80" t="n">
        <f aca="false">F53</f>
        <v>0.75</v>
      </c>
      <c r="S53" s="80" t="n">
        <f aca="false">F53</f>
        <v>0.75</v>
      </c>
      <c r="T53" s="80" t="n">
        <v>1</v>
      </c>
      <c r="U53" s="80" t="n">
        <v>1</v>
      </c>
      <c r="V53" s="80" t="n">
        <f aca="false">F53</f>
        <v>0.75</v>
      </c>
      <c r="W53" s="80" t="n">
        <f aca="false">F53</f>
        <v>0.75</v>
      </c>
      <c r="X53" s="80" t="n">
        <f aca="false">F53</f>
        <v>0.75</v>
      </c>
      <c r="Y53" s="80" t="n">
        <f aca="false">F53</f>
        <v>0.75</v>
      </c>
      <c r="Z53" s="80" t="n">
        <f aca="false">F53</f>
        <v>0.75</v>
      </c>
      <c r="AA53" s="80" t="n">
        <f aca="false">F53</f>
        <v>0.75</v>
      </c>
      <c r="AB53" s="80" t="n">
        <f aca="false">F53</f>
        <v>0.75</v>
      </c>
      <c r="AC53" s="80" t="n">
        <f aca="false">F53</f>
        <v>0.75</v>
      </c>
      <c r="AD53" s="80" t="n">
        <f aca="false">F53</f>
        <v>0.75</v>
      </c>
      <c r="AE53" s="79" t="n">
        <f aca="false">B53</f>
        <v>0.897535667963684</v>
      </c>
      <c r="AF53" s="79" t="n">
        <f aca="false">B53</f>
        <v>0.897535667963684</v>
      </c>
      <c r="AG53" s="79" t="n">
        <f aca="false">B53</f>
        <v>0.897535667963684</v>
      </c>
      <c r="AH53" s="79" t="n">
        <f aca="false">B53</f>
        <v>0.897535667963684</v>
      </c>
      <c r="AI53" s="79" t="n">
        <f aca="false">B53</f>
        <v>0.897535667963684</v>
      </c>
      <c r="AJ53" s="79" t="n">
        <f aca="false">B53</f>
        <v>0.897535667963684</v>
      </c>
      <c r="AK53" s="79" t="n">
        <f aca="false">B53</f>
        <v>0.897535667963684</v>
      </c>
      <c r="AL53" s="79" t="n">
        <f aca="false">B53</f>
        <v>0.897535667963684</v>
      </c>
      <c r="AM53" s="79" t="n">
        <f aca="false">B53</f>
        <v>0.897535667963684</v>
      </c>
      <c r="AN53" s="80" t="n">
        <f aca="false">F53</f>
        <v>0.75</v>
      </c>
      <c r="AO53" s="80" t="n">
        <f aca="false">F53</f>
        <v>0.75</v>
      </c>
      <c r="AP53" s="80" t="n">
        <f aca="false">F53</f>
        <v>0.75</v>
      </c>
      <c r="AQ53" s="80" t="n">
        <f aca="false">F53</f>
        <v>0.75</v>
      </c>
      <c r="AR53" s="80" t="n">
        <f aca="false">F53</f>
        <v>0.75</v>
      </c>
      <c r="AS53" s="80" t="n">
        <f aca="false">F53</f>
        <v>0.75</v>
      </c>
      <c r="AT53" s="80" t="n">
        <v>1</v>
      </c>
      <c r="AU53" s="80" t="n">
        <f aca="false">F53</f>
        <v>0.75</v>
      </c>
      <c r="AV53" s="80" t="n">
        <f aca="false">F53</f>
        <v>0.75</v>
      </c>
      <c r="AW53" s="80" t="n">
        <f aca="false">F53</f>
        <v>0.75</v>
      </c>
      <c r="AX53" s="79" t="n">
        <f aca="false">B53</f>
        <v>0.897535667963684</v>
      </c>
      <c r="AY53" s="79" t="n">
        <f aca="false">B53</f>
        <v>0.897535667963684</v>
      </c>
      <c r="AZ53" s="79" t="n">
        <f aca="false">B53</f>
        <v>0.897535667963684</v>
      </c>
      <c r="BA53" s="80" t="n">
        <f aca="false">F53</f>
        <v>0.75</v>
      </c>
      <c r="BB53" s="80" t="n">
        <f aca="false">F53</f>
        <v>0.75</v>
      </c>
      <c r="BC53" s="79" t="n">
        <f aca="false">B53</f>
        <v>0.897535667963684</v>
      </c>
      <c r="BD53" s="79" t="n">
        <f aca="false">B53</f>
        <v>0.897535667963684</v>
      </c>
      <c r="BE53" s="80" t="n">
        <v>1</v>
      </c>
      <c r="BF53" s="80" t="n">
        <v>1</v>
      </c>
      <c r="BG53" s="79" t="n">
        <f aca="false">B53</f>
        <v>0.897535667963684</v>
      </c>
      <c r="BH53" s="79" t="n">
        <f aca="false">B53</f>
        <v>0.897535667963684</v>
      </c>
      <c r="BI53" s="79" t="n">
        <f aca="false">B53</f>
        <v>0.897535667963684</v>
      </c>
      <c r="BJ53" s="79" t="n">
        <f aca="false">B53</f>
        <v>0.897535667963684</v>
      </c>
      <c r="BK53" s="80" t="n">
        <v>1</v>
      </c>
    </row>
    <row r="54" customFormat="false" ht="12.75" hidden="false" customHeight="false" outlineLevel="0" collapsed="false">
      <c r="A54" s="1" t="n">
        <f aca="false">A53-1</f>
        <v>1973</v>
      </c>
      <c r="B54" s="79" t="n">
        <f aca="false">im!C54/(im!C54+im!D54)</f>
        <v>0.914702581369248</v>
      </c>
      <c r="C54" s="79" t="n">
        <f aca="false">B54</f>
        <v>0.914702581369248</v>
      </c>
      <c r="D54" s="79" t="n">
        <f aca="false">B54</f>
        <v>0.914702581369248</v>
      </c>
      <c r="E54" s="79" t="n">
        <f aca="false">B54</f>
        <v>0.914702581369248</v>
      </c>
      <c r="F54" s="79" t="n">
        <f aca="false">F53</f>
        <v>0.75</v>
      </c>
      <c r="G54" s="79" t="n">
        <f aca="false">F54</f>
        <v>0.75</v>
      </c>
      <c r="H54" s="79" t="n">
        <f aca="false">F54</f>
        <v>0.75</v>
      </c>
      <c r="I54" s="79" t="n">
        <f aca="false">F54</f>
        <v>0.75</v>
      </c>
      <c r="J54" s="79" t="n">
        <v>1</v>
      </c>
      <c r="K54" s="79" t="n">
        <v>1</v>
      </c>
      <c r="L54" s="79" t="n">
        <f aca="false">B54</f>
        <v>0.914702581369248</v>
      </c>
      <c r="M54" s="79" t="n">
        <f aca="false">B54</f>
        <v>0.914702581369248</v>
      </c>
      <c r="N54" s="79" t="n">
        <f aca="false">B54</f>
        <v>0.914702581369248</v>
      </c>
      <c r="O54" s="79" t="n">
        <f aca="false">B54</f>
        <v>0.914702581369248</v>
      </c>
      <c r="P54" s="79" t="n">
        <f aca="false">B54</f>
        <v>0.914702581369248</v>
      </c>
      <c r="Q54" s="80" t="n">
        <f aca="false">F54</f>
        <v>0.75</v>
      </c>
      <c r="R54" s="80" t="n">
        <f aca="false">F54</f>
        <v>0.75</v>
      </c>
      <c r="S54" s="80" t="n">
        <f aca="false">F54</f>
        <v>0.75</v>
      </c>
      <c r="T54" s="80" t="n">
        <v>1</v>
      </c>
      <c r="U54" s="80" t="n">
        <v>1</v>
      </c>
      <c r="V54" s="80" t="n">
        <f aca="false">F54</f>
        <v>0.75</v>
      </c>
      <c r="W54" s="80" t="n">
        <f aca="false">F54</f>
        <v>0.75</v>
      </c>
      <c r="X54" s="80" t="n">
        <f aca="false">F54</f>
        <v>0.75</v>
      </c>
      <c r="Y54" s="80" t="n">
        <f aca="false">F54</f>
        <v>0.75</v>
      </c>
      <c r="Z54" s="80" t="n">
        <f aca="false">F54</f>
        <v>0.75</v>
      </c>
      <c r="AA54" s="80" t="n">
        <f aca="false">F54</f>
        <v>0.75</v>
      </c>
      <c r="AB54" s="80" t="n">
        <f aca="false">F54</f>
        <v>0.75</v>
      </c>
      <c r="AC54" s="80" t="n">
        <f aca="false">F54</f>
        <v>0.75</v>
      </c>
      <c r="AD54" s="80" t="n">
        <f aca="false">F54</f>
        <v>0.75</v>
      </c>
      <c r="AE54" s="79" t="n">
        <f aca="false">B54</f>
        <v>0.914702581369248</v>
      </c>
      <c r="AF54" s="79" t="n">
        <f aca="false">B54</f>
        <v>0.914702581369248</v>
      </c>
      <c r="AG54" s="79" t="n">
        <f aca="false">B54</f>
        <v>0.914702581369248</v>
      </c>
      <c r="AH54" s="79" t="n">
        <f aca="false">B54</f>
        <v>0.914702581369248</v>
      </c>
      <c r="AI54" s="79" t="n">
        <f aca="false">B54</f>
        <v>0.914702581369248</v>
      </c>
      <c r="AJ54" s="79" t="n">
        <f aca="false">B54</f>
        <v>0.914702581369248</v>
      </c>
      <c r="AK54" s="79" t="n">
        <f aca="false">B54</f>
        <v>0.914702581369248</v>
      </c>
      <c r="AL54" s="79" t="n">
        <f aca="false">B54</f>
        <v>0.914702581369248</v>
      </c>
      <c r="AM54" s="79" t="n">
        <f aca="false">B54</f>
        <v>0.914702581369248</v>
      </c>
      <c r="AN54" s="80" t="n">
        <f aca="false">F54</f>
        <v>0.75</v>
      </c>
      <c r="AO54" s="80" t="n">
        <f aca="false">F54</f>
        <v>0.75</v>
      </c>
      <c r="AP54" s="80" t="n">
        <f aca="false">F54</f>
        <v>0.75</v>
      </c>
      <c r="AQ54" s="80" t="n">
        <f aca="false">F54</f>
        <v>0.75</v>
      </c>
      <c r="AR54" s="80" t="n">
        <f aca="false">F54</f>
        <v>0.75</v>
      </c>
      <c r="AS54" s="80" t="n">
        <f aca="false">F54</f>
        <v>0.75</v>
      </c>
      <c r="AT54" s="80" t="n">
        <v>1</v>
      </c>
      <c r="AU54" s="80" t="n">
        <f aca="false">F54</f>
        <v>0.75</v>
      </c>
      <c r="AV54" s="80" t="n">
        <f aca="false">F54</f>
        <v>0.75</v>
      </c>
      <c r="AW54" s="80" t="n">
        <f aca="false">F54</f>
        <v>0.75</v>
      </c>
      <c r="AX54" s="79" t="n">
        <f aca="false">B54</f>
        <v>0.914702581369248</v>
      </c>
      <c r="AY54" s="79" t="n">
        <f aca="false">B54</f>
        <v>0.914702581369248</v>
      </c>
      <c r="AZ54" s="79" t="n">
        <f aca="false">B54</f>
        <v>0.914702581369248</v>
      </c>
      <c r="BA54" s="80" t="n">
        <f aca="false">F54</f>
        <v>0.75</v>
      </c>
      <c r="BB54" s="80" t="n">
        <f aca="false">F54</f>
        <v>0.75</v>
      </c>
      <c r="BC54" s="79" t="n">
        <f aca="false">B54</f>
        <v>0.914702581369248</v>
      </c>
      <c r="BD54" s="79" t="n">
        <f aca="false">B54</f>
        <v>0.914702581369248</v>
      </c>
      <c r="BE54" s="80" t="n">
        <v>1</v>
      </c>
      <c r="BF54" s="80" t="n">
        <v>1</v>
      </c>
      <c r="BG54" s="79" t="n">
        <f aca="false">B54</f>
        <v>0.914702581369248</v>
      </c>
      <c r="BH54" s="79" t="n">
        <f aca="false">B54</f>
        <v>0.914702581369248</v>
      </c>
      <c r="BI54" s="79" t="n">
        <f aca="false">B54</f>
        <v>0.914702581369248</v>
      </c>
      <c r="BJ54" s="79" t="n">
        <f aca="false">B54</f>
        <v>0.914702581369248</v>
      </c>
      <c r="BK54" s="80" t="n">
        <v>1</v>
      </c>
    </row>
    <row r="55" customFormat="false" ht="12.75" hidden="false" customHeight="false" outlineLevel="0" collapsed="false">
      <c r="A55" s="1" t="n">
        <f aca="false">A54-1</f>
        <v>1972</v>
      </c>
      <c r="B55" s="79" t="n">
        <f aca="false">im!C55/(im!C55+im!D55)</f>
        <v>0.903225806451613</v>
      </c>
      <c r="C55" s="79" t="n">
        <f aca="false">B55</f>
        <v>0.903225806451613</v>
      </c>
      <c r="D55" s="79" t="n">
        <f aca="false">B55</f>
        <v>0.903225806451613</v>
      </c>
      <c r="E55" s="79" t="n">
        <f aca="false">B55</f>
        <v>0.903225806451613</v>
      </c>
      <c r="F55" s="79" t="n">
        <f aca="false">F54</f>
        <v>0.75</v>
      </c>
      <c r="G55" s="79" t="n">
        <f aca="false">F55</f>
        <v>0.75</v>
      </c>
      <c r="H55" s="79" t="n">
        <f aca="false">F55</f>
        <v>0.75</v>
      </c>
      <c r="I55" s="79" t="n">
        <f aca="false">F55</f>
        <v>0.75</v>
      </c>
      <c r="J55" s="79" t="n">
        <v>1</v>
      </c>
      <c r="K55" s="79" t="n">
        <v>1</v>
      </c>
      <c r="L55" s="79" t="n">
        <f aca="false">B55</f>
        <v>0.903225806451613</v>
      </c>
      <c r="M55" s="79" t="n">
        <f aca="false">B55</f>
        <v>0.903225806451613</v>
      </c>
      <c r="N55" s="79" t="n">
        <f aca="false">B55</f>
        <v>0.903225806451613</v>
      </c>
      <c r="O55" s="79" t="n">
        <f aca="false">B55</f>
        <v>0.903225806451613</v>
      </c>
      <c r="P55" s="79" t="n">
        <f aca="false">B55</f>
        <v>0.903225806451613</v>
      </c>
      <c r="Q55" s="80" t="n">
        <f aca="false">F55</f>
        <v>0.75</v>
      </c>
      <c r="R55" s="80" t="n">
        <f aca="false">F55</f>
        <v>0.75</v>
      </c>
      <c r="S55" s="80" t="n">
        <f aca="false">F55</f>
        <v>0.75</v>
      </c>
      <c r="T55" s="80" t="n">
        <v>1</v>
      </c>
      <c r="U55" s="80" t="n">
        <v>1</v>
      </c>
      <c r="V55" s="80" t="n">
        <f aca="false">F55</f>
        <v>0.75</v>
      </c>
      <c r="W55" s="80" t="n">
        <f aca="false">F55</f>
        <v>0.75</v>
      </c>
      <c r="X55" s="80" t="n">
        <f aca="false">F55</f>
        <v>0.75</v>
      </c>
      <c r="Y55" s="80" t="n">
        <f aca="false">F55</f>
        <v>0.75</v>
      </c>
      <c r="Z55" s="80" t="n">
        <f aca="false">F55</f>
        <v>0.75</v>
      </c>
      <c r="AA55" s="80" t="n">
        <f aca="false">F55</f>
        <v>0.75</v>
      </c>
      <c r="AB55" s="80" t="n">
        <f aca="false">F55</f>
        <v>0.75</v>
      </c>
      <c r="AC55" s="80" t="n">
        <f aca="false">F55</f>
        <v>0.75</v>
      </c>
      <c r="AD55" s="80" t="n">
        <f aca="false">F55</f>
        <v>0.75</v>
      </c>
      <c r="AE55" s="79" t="n">
        <f aca="false">B55</f>
        <v>0.903225806451613</v>
      </c>
      <c r="AF55" s="79" t="n">
        <f aca="false">B55</f>
        <v>0.903225806451613</v>
      </c>
      <c r="AG55" s="79" t="n">
        <f aca="false">B55</f>
        <v>0.903225806451613</v>
      </c>
      <c r="AH55" s="79" t="n">
        <f aca="false">B55</f>
        <v>0.903225806451613</v>
      </c>
      <c r="AI55" s="79" t="n">
        <f aca="false">B55</f>
        <v>0.903225806451613</v>
      </c>
      <c r="AJ55" s="79" t="n">
        <f aca="false">B55</f>
        <v>0.903225806451613</v>
      </c>
      <c r="AK55" s="79" t="n">
        <f aca="false">B55</f>
        <v>0.903225806451613</v>
      </c>
      <c r="AL55" s="79" t="n">
        <f aca="false">B55</f>
        <v>0.903225806451613</v>
      </c>
      <c r="AM55" s="79" t="n">
        <f aca="false">B55</f>
        <v>0.903225806451613</v>
      </c>
      <c r="AN55" s="80" t="n">
        <f aca="false">F55</f>
        <v>0.75</v>
      </c>
      <c r="AO55" s="80" t="n">
        <f aca="false">F55</f>
        <v>0.75</v>
      </c>
      <c r="AP55" s="80" t="n">
        <f aca="false">F55</f>
        <v>0.75</v>
      </c>
      <c r="AQ55" s="80" t="n">
        <f aca="false">F55</f>
        <v>0.75</v>
      </c>
      <c r="AR55" s="80" t="n">
        <f aca="false">F55</f>
        <v>0.75</v>
      </c>
      <c r="AS55" s="80" t="n">
        <f aca="false">F55</f>
        <v>0.75</v>
      </c>
      <c r="AT55" s="80" t="n">
        <v>1</v>
      </c>
      <c r="AU55" s="80" t="n">
        <f aca="false">F55</f>
        <v>0.75</v>
      </c>
      <c r="AV55" s="80" t="n">
        <f aca="false">F55</f>
        <v>0.75</v>
      </c>
      <c r="AW55" s="80" t="n">
        <f aca="false">F55</f>
        <v>0.75</v>
      </c>
      <c r="AX55" s="79" t="n">
        <f aca="false">B55</f>
        <v>0.903225806451613</v>
      </c>
      <c r="AY55" s="79" t="n">
        <f aca="false">B55</f>
        <v>0.903225806451613</v>
      </c>
      <c r="AZ55" s="79" t="n">
        <f aca="false">B55</f>
        <v>0.903225806451613</v>
      </c>
      <c r="BA55" s="80" t="n">
        <f aca="false">F55</f>
        <v>0.75</v>
      </c>
      <c r="BB55" s="80" t="n">
        <f aca="false">F55</f>
        <v>0.75</v>
      </c>
      <c r="BC55" s="79" t="n">
        <f aca="false">B55</f>
        <v>0.903225806451613</v>
      </c>
      <c r="BD55" s="79" t="n">
        <f aca="false">B55</f>
        <v>0.903225806451613</v>
      </c>
      <c r="BE55" s="80" t="n">
        <v>1</v>
      </c>
      <c r="BF55" s="80" t="n">
        <v>1</v>
      </c>
      <c r="BG55" s="79" t="n">
        <f aca="false">B55</f>
        <v>0.903225806451613</v>
      </c>
      <c r="BH55" s="79" t="n">
        <f aca="false">B55</f>
        <v>0.903225806451613</v>
      </c>
      <c r="BI55" s="79" t="n">
        <f aca="false">B55</f>
        <v>0.903225806451613</v>
      </c>
      <c r="BJ55" s="79" t="n">
        <f aca="false">B55</f>
        <v>0.903225806451613</v>
      </c>
      <c r="BK55" s="80" t="n">
        <v>1</v>
      </c>
    </row>
    <row r="56" customFormat="false" ht="12.75" hidden="false" customHeight="false" outlineLevel="0" collapsed="false">
      <c r="A56" s="1" t="n">
        <f aca="false">A55-1</f>
        <v>1971</v>
      </c>
      <c r="B56" s="79" t="n">
        <f aca="false">im!C56/(im!C56+im!D56)</f>
        <v>0.897360703812317</v>
      </c>
      <c r="C56" s="79" t="n">
        <f aca="false">B56</f>
        <v>0.897360703812317</v>
      </c>
      <c r="D56" s="79" t="n">
        <f aca="false">B56</f>
        <v>0.897360703812317</v>
      </c>
      <c r="E56" s="79" t="n">
        <f aca="false">B56</f>
        <v>0.897360703812317</v>
      </c>
      <c r="F56" s="79" t="n">
        <f aca="false">F55</f>
        <v>0.75</v>
      </c>
      <c r="G56" s="79" t="n">
        <f aca="false">F56</f>
        <v>0.75</v>
      </c>
      <c r="H56" s="79" t="n">
        <f aca="false">F56</f>
        <v>0.75</v>
      </c>
      <c r="I56" s="79" t="n">
        <f aca="false">F56</f>
        <v>0.75</v>
      </c>
      <c r="J56" s="79" t="n">
        <v>1</v>
      </c>
      <c r="K56" s="79" t="n">
        <v>1</v>
      </c>
      <c r="L56" s="79" t="n">
        <f aca="false">B56</f>
        <v>0.897360703812317</v>
      </c>
      <c r="M56" s="79" t="n">
        <f aca="false">B56</f>
        <v>0.897360703812317</v>
      </c>
      <c r="N56" s="79" t="n">
        <f aca="false">B56</f>
        <v>0.897360703812317</v>
      </c>
      <c r="O56" s="79" t="n">
        <f aca="false">B56</f>
        <v>0.897360703812317</v>
      </c>
      <c r="P56" s="79" t="n">
        <f aca="false">B56</f>
        <v>0.897360703812317</v>
      </c>
      <c r="Q56" s="80" t="n">
        <f aca="false">F56</f>
        <v>0.75</v>
      </c>
      <c r="R56" s="80" t="n">
        <f aca="false">F56</f>
        <v>0.75</v>
      </c>
      <c r="S56" s="80" t="n">
        <f aca="false">F56</f>
        <v>0.75</v>
      </c>
      <c r="T56" s="80" t="n">
        <v>1</v>
      </c>
      <c r="U56" s="80" t="n">
        <v>1</v>
      </c>
      <c r="V56" s="80" t="n">
        <f aca="false">F56</f>
        <v>0.75</v>
      </c>
      <c r="W56" s="80" t="n">
        <f aca="false">F56</f>
        <v>0.75</v>
      </c>
      <c r="X56" s="80" t="n">
        <f aca="false">F56</f>
        <v>0.75</v>
      </c>
      <c r="Y56" s="80" t="n">
        <f aca="false">F56</f>
        <v>0.75</v>
      </c>
      <c r="Z56" s="80" t="n">
        <f aca="false">F56</f>
        <v>0.75</v>
      </c>
      <c r="AA56" s="80" t="n">
        <f aca="false">F56</f>
        <v>0.75</v>
      </c>
      <c r="AB56" s="80" t="n">
        <f aca="false">F56</f>
        <v>0.75</v>
      </c>
      <c r="AC56" s="80" t="n">
        <f aca="false">F56</f>
        <v>0.75</v>
      </c>
      <c r="AD56" s="80" t="n">
        <f aca="false">F56</f>
        <v>0.75</v>
      </c>
      <c r="AE56" s="79" t="n">
        <f aca="false">B56</f>
        <v>0.897360703812317</v>
      </c>
      <c r="AF56" s="79" t="n">
        <f aca="false">B56</f>
        <v>0.897360703812317</v>
      </c>
      <c r="AG56" s="79" t="n">
        <f aca="false">B56</f>
        <v>0.897360703812317</v>
      </c>
      <c r="AH56" s="79" t="n">
        <f aca="false">B56</f>
        <v>0.897360703812317</v>
      </c>
      <c r="AI56" s="79" t="n">
        <f aca="false">B56</f>
        <v>0.897360703812317</v>
      </c>
      <c r="AJ56" s="79" t="n">
        <f aca="false">B56</f>
        <v>0.897360703812317</v>
      </c>
      <c r="AK56" s="79" t="n">
        <f aca="false">B56</f>
        <v>0.897360703812317</v>
      </c>
      <c r="AL56" s="79" t="n">
        <f aca="false">B56</f>
        <v>0.897360703812317</v>
      </c>
      <c r="AM56" s="79" t="n">
        <f aca="false">B56</f>
        <v>0.897360703812317</v>
      </c>
      <c r="AN56" s="80" t="n">
        <f aca="false">F56</f>
        <v>0.75</v>
      </c>
      <c r="AO56" s="80" t="n">
        <f aca="false">F56</f>
        <v>0.75</v>
      </c>
      <c r="AP56" s="80" t="n">
        <f aca="false">F56</f>
        <v>0.75</v>
      </c>
      <c r="AQ56" s="80" t="n">
        <f aca="false">F56</f>
        <v>0.75</v>
      </c>
      <c r="AR56" s="80" t="n">
        <f aca="false">F56</f>
        <v>0.75</v>
      </c>
      <c r="AS56" s="80" t="n">
        <f aca="false">F56</f>
        <v>0.75</v>
      </c>
      <c r="AT56" s="80" t="n">
        <v>1</v>
      </c>
      <c r="AU56" s="80" t="n">
        <f aca="false">F56</f>
        <v>0.75</v>
      </c>
      <c r="AV56" s="80" t="n">
        <f aca="false">F56</f>
        <v>0.75</v>
      </c>
      <c r="AW56" s="80" t="n">
        <f aca="false">F56</f>
        <v>0.75</v>
      </c>
      <c r="AX56" s="79" t="n">
        <f aca="false">B56</f>
        <v>0.897360703812317</v>
      </c>
      <c r="AY56" s="79" t="n">
        <f aca="false">B56</f>
        <v>0.897360703812317</v>
      </c>
      <c r="AZ56" s="79" t="n">
        <f aca="false">B56</f>
        <v>0.897360703812317</v>
      </c>
      <c r="BA56" s="80" t="n">
        <f aca="false">F56</f>
        <v>0.75</v>
      </c>
      <c r="BB56" s="80" t="n">
        <f aca="false">F56</f>
        <v>0.75</v>
      </c>
      <c r="BC56" s="79" t="n">
        <f aca="false">B56</f>
        <v>0.897360703812317</v>
      </c>
      <c r="BD56" s="79" t="n">
        <f aca="false">B56</f>
        <v>0.897360703812317</v>
      </c>
      <c r="BE56" s="80" t="n">
        <v>1</v>
      </c>
      <c r="BF56" s="80" t="n">
        <v>1</v>
      </c>
      <c r="BG56" s="79" t="n">
        <f aca="false">B56</f>
        <v>0.897360703812317</v>
      </c>
      <c r="BH56" s="79" t="n">
        <f aca="false">B56</f>
        <v>0.897360703812317</v>
      </c>
      <c r="BI56" s="79" t="n">
        <f aca="false">B56</f>
        <v>0.897360703812317</v>
      </c>
      <c r="BJ56" s="79" t="n">
        <f aca="false">B56</f>
        <v>0.897360703812317</v>
      </c>
      <c r="BK56" s="80" t="n">
        <v>1</v>
      </c>
    </row>
    <row r="57" customFormat="false" ht="12.75" hidden="false" customHeight="false" outlineLevel="0" collapsed="false">
      <c r="A57" s="1" t="n">
        <f aca="false">A56-1</f>
        <v>1970</v>
      </c>
      <c r="B57" s="79" t="n">
        <f aca="false">im!C57/(im!C57+im!D57)</f>
        <v>0.953424657534247</v>
      </c>
      <c r="C57" s="79" t="n">
        <f aca="false">B57</f>
        <v>0.953424657534247</v>
      </c>
      <c r="D57" s="79" t="n">
        <f aca="false">B57</f>
        <v>0.953424657534247</v>
      </c>
      <c r="E57" s="79" t="n">
        <f aca="false">B57</f>
        <v>0.953424657534247</v>
      </c>
      <c r="F57" s="79" t="n">
        <f aca="false">F56</f>
        <v>0.75</v>
      </c>
      <c r="G57" s="79" t="n">
        <f aca="false">F57</f>
        <v>0.75</v>
      </c>
      <c r="H57" s="79" t="n">
        <f aca="false">F57</f>
        <v>0.75</v>
      </c>
      <c r="I57" s="79" t="n">
        <f aca="false">F57</f>
        <v>0.75</v>
      </c>
      <c r="J57" s="79" t="n">
        <v>1</v>
      </c>
      <c r="K57" s="79" t="n">
        <v>1</v>
      </c>
      <c r="L57" s="79" t="n">
        <f aca="false">B57</f>
        <v>0.953424657534247</v>
      </c>
      <c r="M57" s="79" t="n">
        <f aca="false">B57</f>
        <v>0.953424657534247</v>
      </c>
      <c r="N57" s="79" t="n">
        <f aca="false">B57</f>
        <v>0.953424657534247</v>
      </c>
      <c r="O57" s="79" t="n">
        <f aca="false">B57</f>
        <v>0.953424657534247</v>
      </c>
      <c r="P57" s="79" t="n">
        <f aca="false">B57</f>
        <v>0.953424657534247</v>
      </c>
      <c r="Q57" s="80" t="n">
        <f aca="false">F57</f>
        <v>0.75</v>
      </c>
      <c r="R57" s="80" t="n">
        <f aca="false">F57</f>
        <v>0.75</v>
      </c>
      <c r="S57" s="80" t="n">
        <f aca="false">F57</f>
        <v>0.75</v>
      </c>
      <c r="T57" s="80" t="n">
        <v>1</v>
      </c>
      <c r="U57" s="80" t="n">
        <v>1</v>
      </c>
      <c r="V57" s="80" t="n">
        <f aca="false">F57</f>
        <v>0.75</v>
      </c>
      <c r="W57" s="80" t="n">
        <f aca="false">F57</f>
        <v>0.75</v>
      </c>
      <c r="X57" s="80" t="n">
        <f aca="false">F57</f>
        <v>0.75</v>
      </c>
      <c r="Y57" s="80" t="n">
        <f aca="false">F57</f>
        <v>0.75</v>
      </c>
      <c r="Z57" s="80" t="n">
        <f aca="false">F57</f>
        <v>0.75</v>
      </c>
      <c r="AA57" s="80" t="n">
        <f aca="false">F57</f>
        <v>0.75</v>
      </c>
      <c r="AB57" s="80" t="n">
        <f aca="false">F57</f>
        <v>0.75</v>
      </c>
      <c r="AC57" s="80" t="n">
        <f aca="false">F57</f>
        <v>0.75</v>
      </c>
      <c r="AD57" s="80" t="n">
        <f aca="false">F57</f>
        <v>0.75</v>
      </c>
      <c r="AE57" s="79" t="n">
        <f aca="false">B57</f>
        <v>0.953424657534247</v>
      </c>
      <c r="AF57" s="79" t="n">
        <f aca="false">B57</f>
        <v>0.953424657534247</v>
      </c>
      <c r="AG57" s="79" t="n">
        <f aca="false">B57</f>
        <v>0.953424657534247</v>
      </c>
      <c r="AH57" s="79" t="n">
        <f aca="false">B57</f>
        <v>0.953424657534247</v>
      </c>
      <c r="AI57" s="79" t="n">
        <f aca="false">B57</f>
        <v>0.953424657534247</v>
      </c>
      <c r="AJ57" s="79" t="n">
        <f aca="false">B57</f>
        <v>0.953424657534247</v>
      </c>
      <c r="AK57" s="79" t="n">
        <f aca="false">B57</f>
        <v>0.953424657534247</v>
      </c>
      <c r="AL57" s="79" t="n">
        <f aca="false">B57</f>
        <v>0.953424657534247</v>
      </c>
      <c r="AM57" s="79" t="n">
        <f aca="false">B57</f>
        <v>0.953424657534247</v>
      </c>
      <c r="AN57" s="80" t="n">
        <f aca="false">F57</f>
        <v>0.75</v>
      </c>
      <c r="AO57" s="80" t="n">
        <f aca="false">F57</f>
        <v>0.75</v>
      </c>
      <c r="AP57" s="80" t="n">
        <f aca="false">F57</f>
        <v>0.75</v>
      </c>
      <c r="AQ57" s="80" t="n">
        <f aca="false">F57</f>
        <v>0.75</v>
      </c>
      <c r="AR57" s="80" t="n">
        <f aca="false">F57</f>
        <v>0.75</v>
      </c>
      <c r="AS57" s="80" t="n">
        <f aca="false">F57</f>
        <v>0.75</v>
      </c>
      <c r="AT57" s="80" t="n">
        <v>1</v>
      </c>
      <c r="AU57" s="80" t="n">
        <f aca="false">F57</f>
        <v>0.75</v>
      </c>
      <c r="AV57" s="80" t="n">
        <f aca="false">F57</f>
        <v>0.75</v>
      </c>
      <c r="AW57" s="80" t="n">
        <f aca="false">F57</f>
        <v>0.75</v>
      </c>
      <c r="AX57" s="79" t="n">
        <f aca="false">B57</f>
        <v>0.953424657534247</v>
      </c>
      <c r="AY57" s="79" t="n">
        <f aca="false">B57</f>
        <v>0.953424657534247</v>
      </c>
      <c r="AZ57" s="79" t="n">
        <f aca="false">B57</f>
        <v>0.953424657534247</v>
      </c>
      <c r="BA57" s="80" t="n">
        <f aca="false">F57</f>
        <v>0.75</v>
      </c>
      <c r="BB57" s="80" t="n">
        <f aca="false">F57</f>
        <v>0.75</v>
      </c>
      <c r="BC57" s="79" t="n">
        <f aca="false">B57</f>
        <v>0.953424657534247</v>
      </c>
      <c r="BD57" s="79" t="n">
        <f aca="false">B57</f>
        <v>0.953424657534247</v>
      </c>
      <c r="BE57" s="80" t="n">
        <v>1</v>
      </c>
      <c r="BF57" s="80" t="n">
        <v>1</v>
      </c>
      <c r="BG57" s="79" t="n">
        <f aca="false">B57</f>
        <v>0.953424657534247</v>
      </c>
      <c r="BH57" s="79" t="n">
        <f aca="false">B57</f>
        <v>0.953424657534247</v>
      </c>
      <c r="BI57" s="79" t="n">
        <f aca="false">B57</f>
        <v>0.953424657534247</v>
      </c>
      <c r="BJ57" s="79" t="n">
        <f aca="false">B57</f>
        <v>0.953424657534247</v>
      </c>
      <c r="BK57" s="80" t="n">
        <v>1</v>
      </c>
    </row>
    <row r="58" customFormat="false" ht="12.75" hidden="false" customHeight="false" outlineLevel="0" collapsed="false">
      <c r="A58" s="1" t="n">
        <f aca="false">A57-1</f>
        <v>1969</v>
      </c>
      <c r="B58" s="79" t="n">
        <f aca="false">im!C58/(im!C58+im!D58)</f>
        <v>0.9209726443769</v>
      </c>
      <c r="C58" s="79" t="n">
        <f aca="false">B58</f>
        <v>0.9209726443769</v>
      </c>
      <c r="D58" s="79" t="n">
        <f aca="false">B58</f>
        <v>0.9209726443769</v>
      </c>
      <c r="E58" s="79" t="n">
        <f aca="false">B58</f>
        <v>0.9209726443769</v>
      </c>
      <c r="F58" s="79" t="n">
        <f aca="false">F57</f>
        <v>0.75</v>
      </c>
      <c r="G58" s="79" t="n">
        <f aca="false">F58</f>
        <v>0.75</v>
      </c>
      <c r="H58" s="79" t="n">
        <f aca="false">F58</f>
        <v>0.75</v>
      </c>
      <c r="I58" s="79" t="n">
        <f aca="false">F58</f>
        <v>0.75</v>
      </c>
      <c r="J58" s="79" t="n">
        <v>1</v>
      </c>
      <c r="K58" s="79" t="n">
        <v>1</v>
      </c>
      <c r="L58" s="79" t="n">
        <f aca="false">B58</f>
        <v>0.9209726443769</v>
      </c>
      <c r="M58" s="79" t="n">
        <f aca="false">B58</f>
        <v>0.9209726443769</v>
      </c>
      <c r="N58" s="79" t="n">
        <f aca="false">B58</f>
        <v>0.9209726443769</v>
      </c>
      <c r="O58" s="79" t="n">
        <f aca="false">B58</f>
        <v>0.9209726443769</v>
      </c>
      <c r="P58" s="79" t="n">
        <f aca="false">B58</f>
        <v>0.9209726443769</v>
      </c>
      <c r="Q58" s="80" t="n">
        <f aca="false">F58</f>
        <v>0.75</v>
      </c>
      <c r="R58" s="80" t="n">
        <f aca="false">F58</f>
        <v>0.75</v>
      </c>
      <c r="S58" s="80" t="n">
        <f aca="false">F58</f>
        <v>0.75</v>
      </c>
      <c r="T58" s="80" t="n">
        <v>1</v>
      </c>
      <c r="U58" s="80" t="n">
        <v>1</v>
      </c>
      <c r="V58" s="80" t="n">
        <f aca="false">F58</f>
        <v>0.75</v>
      </c>
      <c r="W58" s="80" t="n">
        <f aca="false">F58</f>
        <v>0.75</v>
      </c>
      <c r="X58" s="80" t="n">
        <f aca="false">F58</f>
        <v>0.75</v>
      </c>
      <c r="Y58" s="80" t="n">
        <f aca="false">F58</f>
        <v>0.75</v>
      </c>
      <c r="Z58" s="80" t="n">
        <f aca="false">F58</f>
        <v>0.75</v>
      </c>
      <c r="AA58" s="80" t="n">
        <f aca="false">F58</f>
        <v>0.75</v>
      </c>
      <c r="AB58" s="80" t="n">
        <f aca="false">F58</f>
        <v>0.75</v>
      </c>
      <c r="AC58" s="80" t="n">
        <f aca="false">F58</f>
        <v>0.75</v>
      </c>
      <c r="AD58" s="80" t="n">
        <f aca="false">F58</f>
        <v>0.75</v>
      </c>
      <c r="AE58" s="79" t="n">
        <f aca="false">B58</f>
        <v>0.9209726443769</v>
      </c>
      <c r="AF58" s="79" t="n">
        <f aca="false">B58</f>
        <v>0.9209726443769</v>
      </c>
      <c r="AG58" s="79" t="n">
        <f aca="false">B58</f>
        <v>0.9209726443769</v>
      </c>
      <c r="AH58" s="79" t="n">
        <f aca="false">B58</f>
        <v>0.9209726443769</v>
      </c>
      <c r="AI58" s="79" t="n">
        <f aca="false">B58</f>
        <v>0.9209726443769</v>
      </c>
      <c r="AJ58" s="79" t="n">
        <f aca="false">B58</f>
        <v>0.9209726443769</v>
      </c>
      <c r="AK58" s="79" t="n">
        <f aca="false">B58</f>
        <v>0.9209726443769</v>
      </c>
      <c r="AL58" s="79" t="n">
        <f aca="false">B58</f>
        <v>0.9209726443769</v>
      </c>
      <c r="AM58" s="79" t="n">
        <f aca="false">B58</f>
        <v>0.9209726443769</v>
      </c>
      <c r="AN58" s="80" t="n">
        <f aca="false">F58</f>
        <v>0.75</v>
      </c>
      <c r="AO58" s="80" t="n">
        <f aca="false">F58</f>
        <v>0.75</v>
      </c>
      <c r="AP58" s="80" t="n">
        <f aca="false">F58</f>
        <v>0.75</v>
      </c>
      <c r="AQ58" s="80" t="n">
        <f aca="false">F58</f>
        <v>0.75</v>
      </c>
      <c r="AR58" s="80" t="n">
        <f aca="false">F58</f>
        <v>0.75</v>
      </c>
      <c r="AS58" s="80" t="n">
        <f aca="false">F58</f>
        <v>0.75</v>
      </c>
      <c r="AT58" s="80" t="n">
        <v>1</v>
      </c>
      <c r="AU58" s="80" t="n">
        <f aca="false">F58</f>
        <v>0.75</v>
      </c>
      <c r="AV58" s="80" t="n">
        <f aca="false">F58</f>
        <v>0.75</v>
      </c>
      <c r="AW58" s="80" t="n">
        <f aca="false">F58</f>
        <v>0.75</v>
      </c>
      <c r="AX58" s="79" t="n">
        <f aca="false">B58</f>
        <v>0.9209726443769</v>
      </c>
      <c r="AY58" s="79" t="n">
        <f aca="false">B58</f>
        <v>0.9209726443769</v>
      </c>
      <c r="AZ58" s="79" t="n">
        <f aca="false">B58</f>
        <v>0.9209726443769</v>
      </c>
      <c r="BA58" s="80" t="n">
        <f aca="false">F58</f>
        <v>0.75</v>
      </c>
      <c r="BB58" s="80" t="n">
        <f aca="false">F58</f>
        <v>0.75</v>
      </c>
      <c r="BC58" s="79" t="n">
        <f aca="false">B58</f>
        <v>0.9209726443769</v>
      </c>
      <c r="BD58" s="79" t="n">
        <f aca="false">B58</f>
        <v>0.9209726443769</v>
      </c>
      <c r="BE58" s="80" t="n">
        <v>1</v>
      </c>
      <c r="BF58" s="80" t="n">
        <v>1</v>
      </c>
      <c r="BG58" s="79" t="n">
        <f aca="false">B58</f>
        <v>0.9209726443769</v>
      </c>
      <c r="BH58" s="79" t="n">
        <f aca="false">B58</f>
        <v>0.9209726443769</v>
      </c>
      <c r="BI58" s="79" t="n">
        <f aca="false">B58</f>
        <v>0.9209726443769</v>
      </c>
      <c r="BJ58" s="79" t="n">
        <f aca="false">B58</f>
        <v>0.9209726443769</v>
      </c>
      <c r="BK58" s="80" t="n">
        <v>1</v>
      </c>
    </row>
    <row r="59" customFormat="false" ht="12.75" hidden="false" customHeight="false" outlineLevel="0" collapsed="false">
      <c r="A59" s="1" t="n">
        <f aca="false">A58-1</f>
        <v>1968</v>
      </c>
      <c r="B59" s="79" t="n">
        <f aca="false">im!C59/(im!C59+im!D59)</f>
        <v>0.909448818897638</v>
      </c>
      <c r="C59" s="79" t="n">
        <f aca="false">B59</f>
        <v>0.909448818897638</v>
      </c>
      <c r="D59" s="79" t="n">
        <f aca="false">B59</f>
        <v>0.909448818897638</v>
      </c>
      <c r="E59" s="79" t="n">
        <f aca="false">B59</f>
        <v>0.909448818897638</v>
      </c>
      <c r="F59" s="79" t="n">
        <f aca="false">F58</f>
        <v>0.75</v>
      </c>
      <c r="G59" s="79" t="n">
        <f aca="false">F59</f>
        <v>0.75</v>
      </c>
      <c r="H59" s="79" t="n">
        <f aca="false">F59</f>
        <v>0.75</v>
      </c>
      <c r="I59" s="79" t="n">
        <f aca="false">F59</f>
        <v>0.75</v>
      </c>
      <c r="J59" s="79" t="n">
        <v>1</v>
      </c>
      <c r="K59" s="79" t="n">
        <v>1</v>
      </c>
      <c r="L59" s="79" t="n">
        <f aca="false">B59</f>
        <v>0.909448818897638</v>
      </c>
      <c r="M59" s="79" t="n">
        <f aca="false">B59</f>
        <v>0.909448818897638</v>
      </c>
      <c r="N59" s="79" t="n">
        <f aca="false">B59</f>
        <v>0.909448818897638</v>
      </c>
      <c r="O59" s="79" t="n">
        <f aca="false">B59</f>
        <v>0.909448818897638</v>
      </c>
      <c r="P59" s="79" t="n">
        <f aca="false">B59</f>
        <v>0.909448818897638</v>
      </c>
      <c r="Q59" s="80" t="n">
        <f aca="false">F59</f>
        <v>0.75</v>
      </c>
      <c r="R59" s="80" t="n">
        <f aca="false">F59</f>
        <v>0.75</v>
      </c>
      <c r="S59" s="80" t="n">
        <f aca="false">F59</f>
        <v>0.75</v>
      </c>
      <c r="T59" s="80" t="n">
        <v>1</v>
      </c>
      <c r="U59" s="80" t="n">
        <v>1</v>
      </c>
      <c r="V59" s="80" t="n">
        <f aca="false">F59</f>
        <v>0.75</v>
      </c>
      <c r="W59" s="80" t="n">
        <f aca="false">F59</f>
        <v>0.75</v>
      </c>
      <c r="X59" s="80" t="n">
        <f aca="false">F59</f>
        <v>0.75</v>
      </c>
      <c r="Y59" s="80" t="n">
        <f aca="false">F59</f>
        <v>0.75</v>
      </c>
      <c r="Z59" s="80" t="n">
        <f aca="false">F59</f>
        <v>0.75</v>
      </c>
      <c r="AA59" s="80" t="n">
        <f aca="false">F59</f>
        <v>0.75</v>
      </c>
      <c r="AB59" s="80" t="n">
        <f aca="false">F59</f>
        <v>0.75</v>
      </c>
      <c r="AC59" s="80" t="n">
        <f aca="false">F59</f>
        <v>0.75</v>
      </c>
      <c r="AD59" s="80" t="n">
        <f aca="false">F59</f>
        <v>0.75</v>
      </c>
      <c r="AE59" s="79" t="n">
        <f aca="false">B59</f>
        <v>0.909448818897638</v>
      </c>
      <c r="AF59" s="79" t="n">
        <f aca="false">B59</f>
        <v>0.909448818897638</v>
      </c>
      <c r="AG59" s="79" t="n">
        <f aca="false">B59</f>
        <v>0.909448818897638</v>
      </c>
      <c r="AH59" s="79" t="n">
        <f aca="false">B59</f>
        <v>0.909448818897638</v>
      </c>
      <c r="AI59" s="79" t="n">
        <f aca="false">B59</f>
        <v>0.909448818897638</v>
      </c>
      <c r="AJ59" s="79" t="n">
        <f aca="false">B59</f>
        <v>0.909448818897638</v>
      </c>
      <c r="AK59" s="79" t="n">
        <f aca="false">B59</f>
        <v>0.909448818897638</v>
      </c>
      <c r="AL59" s="79" t="n">
        <f aca="false">B59</f>
        <v>0.909448818897638</v>
      </c>
      <c r="AM59" s="79" t="n">
        <f aca="false">B59</f>
        <v>0.909448818897638</v>
      </c>
      <c r="AN59" s="80" t="n">
        <f aca="false">F59</f>
        <v>0.75</v>
      </c>
      <c r="AO59" s="80" t="n">
        <f aca="false">F59</f>
        <v>0.75</v>
      </c>
      <c r="AP59" s="80" t="n">
        <f aca="false">F59</f>
        <v>0.75</v>
      </c>
      <c r="AQ59" s="80" t="n">
        <f aca="false">F59</f>
        <v>0.75</v>
      </c>
      <c r="AR59" s="80" t="n">
        <f aca="false">F59</f>
        <v>0.75</v>
      </c>
      <c r="AS59" s="80" t="n">
        <f aca="false">F59</f>
        <v>0.75</v>
      </c>
      <c r="AT59" s="80" t="n">
        <v>1</v>
      </c>
      <c r="AU59" s="80" t="n">
        <f aca="false">F59</f>
        <v>0.75</v>
      </c>
      <c r="AV59" s="80" t="n">
        <f aca="false">F59</f>
        <v>0.75</v>
      </c>
      <c r="AW59" s="80" t="n">
        <f aca="false">F59</f>
        <v>0.75</v>
      </c>
      <c r="AX59" s="79" t="n">
        <f aca="false">B59</f>
        <v>0.909448818897638</v>
      </c>
      <c r="AY59" s="79" t="n">
        <f aca="false">B59</f>
        <v>0.909448818897638</v>
      </c>
      <c r="AZ59" s="79" t="n">
        <f aca="false">B59</f>
        <v>0.909448818897638</v>
      </c>
      <c r="BA59" s="80" t="n">
        <f aca="false">F59</f>
        <v>0.75</v>
      </c>
      <c r="BB59" s="80" t="n">
        <f aca="false">F59</f>
        <v>0.75</v>
      </c>
      <c r="BC59" s="79" t="n">
        <f aca="false">B59</f>
        <v>0.909448818897638</v>
      </c>
      <c r="BD59" s="79" t="n">
        <f aca="false">B59</f>
        <v>0.909448818897638</v>
      </c>
      <c r="BE59" s="80" t="n">
        <v>1</v>
      </c>
      <c r="BF59" s="80" t="n">
        <v>1</v>
      </c>
      <c r="BG59" s="79" t="n">
        <f aca="false">B59</f>
        <v>0.909448818897638</v>
      </c>
      <c r="BH59" s="79" t="n">
        <f aca="false">B59</f>
        <v>0.909448818897638</v>
      </c>
      <c r="BI59" s="79" t="n">
        <f aca="false">B59</f>
        <v>0.909448818897638</v>
      </c>
      <c r="BJ59" s="79" t="n">
        <f aca="false">B59</f>
        <v>0.909448818897638</v>
      </c>
      <c r="BK59" s="80" t="n">
        <v>1</v>
      </c>
    </row>
    <row r="60" customFormat="false" ht="12.75" hidden="false" customHeight="false" outlineLevel="0" collapsed="false">
      <c r="A60" s="1" t="n">
        <f aca="false">A59-1</f>
        <v>1967</v>
      </c>
      <c r="B60" s="79" t="n">
        <f aca="false">im!C60/(im!C60+im!D60)</f>
        <v>0.920529801324503</v>
      </c>
      <c r="C60" s="79" t="n">
        <f aca="false">B60</f>
        <v>0.920529801324503</v>
      </c>
      <c r="D60" s="79" t="n">
        <f aca="false">B60</f>
        <v>0.920529801324503</v>
      </c>
      <c r="E60" s="79" t="n">
        <f aca="false">B60</f>
        <v>0.920529801324503</v>
      </c>
      <c r="F60" s="79" t="n">
        <f aca="false">F59</f>
        <v>0.75</v>
      </c>
      <c r="G60" s="79" t="n">
        <f aca="false">F60</f>
        <v>0.75</v>
      </c>
      <c r="H60" s="79" t="n">
        <f aca="false">F60</f>
        <v>0.75</v>
      </c>
      <c r="I60" s="79" t="n">
        <f aca="false">F60</f>
        <v>0.75</v>
      </c>
      <c r="J60" s="79" t="n">
        <v>1</v>
      </c>
      <c r="K60" s="79" t="n">
        <v>1</v>
      </c>
      <c r="L60" s="79" t="n">
        <f aca="false">B60</f>
        <v>0.920529801324503</v>
      </c>
      <c r="M60" s="79" t="n">
        <f aca="false">B60</f>
        <v>0.920529801324503</v>
      </c>
      <c r="N60" s="79" t="n">
        <f aca="false">B60</f>
        <v>0.920529801324503</v>
      </c>
      <c r="O60" s="79" t="n">
        <f aca="false">B60</f>
        <v>0.920529801324503</v>
      </c>
      <c r="P60" s="79" t="n">
        <f aca="false">B60</f>
        <v>0.920529801324503</v>
      </c>
      <c r="Q60" s="80" t="n">
        <f aca="false">F60</f>
        <v>0.75</v>
      </c>
      <c r="R60" s="80" t="n">
        <f aca="false">F60</f>
        <v>0.75</v>
      </c>
      <c r="S60" s="80" t="n">
        <f aca="false">F60</f>
        <v>0.75</v>
      </c>
      <c r="T60" s="80" t="n">
        <v>1</v>
      </c>
      <c r="U60" s="80" t="n">
        <v>1</v>
      </c>
      <c r="V60" s="80" t="n">
        <f aca="false">F60</f>
        <v>0.75</v>
      </c>
      <c r="W60" s="80" t="n">
        <f aca="false">F60</f>
        <v>0.75</v>
      </c>
      <c r="X60" s="80" t="n">
        <f aca="false">F60</f>
        <v>0.75</v>
      </c>
      <c r="Y60" s="80" t="n">
        <f aca="false">F60</f>
        <v>0.75</v>
      </c>
      <c r="Z60" s="80" t="n">
        <f aca="false">F60</f>
        <v>0.75</v>
      </c>
      <c r="AA60" s="80" t="n">
        <f aca="false">F60</f>
        <v>0.75</v>
      </c>
      <c r="AB60" s="80" t="n">
        <f aca="false">F60</f>
        <v>0.75</v>
      </c>
      <c r="AC60" s="80" t="n">
        <f aca="false">F60</f>
        <v>0.75</v>
      </c>
      <c r="AD60" s="80" t="n">
        <f aca="false">F60</f>
        <v>0.75</v>
      </c>
      <c r="AE60" s="79" t="n">
        <f aca="false">B60</f>
        <v>0.920529801324503</v>
      </c>
      <c r="AF60" s="79" t="n">
        <f aca="false">B60</f>
        <v>0.920529801324503</v>
      </c>
      <c r="AG60" s="79" t="n">
        <f aca="false">B60</f>
        <v>0.920529801324503</v>
      </c>
      <c r="AH60" s="79" t="n">
        <f aca="false">B60</f>
        <v>0.920529801324503</v>
      </c>
      <c r="AI60" s="79" t="n">
        <f aca="false">B60</f>
        <v>0.920529801324503</v>
      </c>
      <c r="AJ60" s="79" t="n">
        <f aca="false">B60</f>
        <v>0.920529801324503</v>
      </c>
      <c r="AK60" s="79" t="n">
        <f aca="false">B60</f>
        <v>0.920529801324503</v>
      </c>
      <c r="AL60" s="79" t="n">
        <f aca="false">B60</f>
        <v>0.920529801324503</v>
      </c>
      <c r="AM60" s="79" t="n">
        <f aca="false">B60</f>
        <v>0.920529801324503</v>
      </c>
      <c r="AN60" s="80" t="n">
        <f aca="false">F60</f>
        <v>0.75</v>
      </c>
      <c r="AO60" s="80" t="n">
        <f aca="false">F60</f>
        <v>0.75</v>
      </c>
      <c r="AP60" s="80" t="n">
        <f aca="false">F60</f>
        <v>0.75</v>
      </c>
      <c r="AQ60" s="80" t="n">
        <f aca="false">F60</f>
        <v>0.75</v>
      </c>
      <c r="AR60" s="80" t="n">
        <f aca="false">F60</f>
        <v>0.75</v>
      </c>
      <c r="AS60" s="80" t="n">
        <f aca="false">F60</f>
        <v>0.75</v>
      </c>
      <c r="AT60" s="80" t="n">
        <v>1</v>
      </c>
      <c r="AU60" s="80" t="n">
        <f aca="false">F60</f>
        <v>0.75</v>
      </c>
      <c r="AV60" s="80" t="n">
        <f aca="false">F60</f>
        <v>0.75</v>
      </c>
      <c r="AW60" s="80" t="n">
        <f aca="false">F60</f>
        <v>0.75</v>
      </c>
      <c r="AX60" s="79" t="n">
        <f aca="false">B60</f>
        <v>0.920529801324503</v>
      </c>
      <c r="AY60" s="79" t="n">
        <f aca="false">B60</f>
        <v>0.920529801324503</v>
      </c>
      <c r="AZ60" s="79" t="n">
        <f aca="false">B60</f>
        <v>0.920529801324503</v>
      </c>
      <c r="BA60" s="80" t="n">
        <f aca="false">F60</f>
        <v>0.75</v>
      </c>
      <c r="BB60" s="80" t="n">
        <f aca="false">F60</f>
        <v>0.75</v>
      </c>
      <c r="BC60" s="79" t="n">
        <f aca="false">B60</f>
        <v>0.920529801324503</v>
      </c>
      <c r="BD60" s="79" t="n">
        <f aca="false">B60</f>
        <v>0.920529801324503</v>
      </c>
      <c r="BE60" s="80" t="n">
        <v>1</v>
      </c>
      <c r="BF60" s="80" t="n">
        <v>1</v>
      </c>
      <c r="BG60" s="79" t="n">
        <f aca="false">B60</f>
        <v>0.920529801324503</v>
      </c>
      <c r="BH60" s="79" t="n">
        <f aca="false">B60</f>
        <v>0.920529801324503</v>
      </c>
      <c r="BI60" s="79" t="n">
        <f aca="false">B60</f>
        <v>0.920529801324503</v>
      </c>
      <c r="BJ60" s="79" t="n">
        <f aca="false">B60</f>
        <v>0.920529801324503</v>
      </c>
      <c r="BK60" s="80" t="n">
        <v>1</v>
      </c>
    </row>
    <row r="61" customFormat="false" ht="12.75" hidden="false" customHeight="false" outlineLevel="0" collapsed="false">
      <c r="A61" s="1" t="n">
        <f aca="false">A60-1</f>
        <v>1966</v>
      </c>
      <c r="B61" s="79" t="n">
        <f aca="false">im!C61/(im!C61+im!D61)</f>
        <v>0.891156462585034</v>
      </c>
      <c r="C61" s="79" t="n">
        <f aca="false">B61</f>
        <v>0.891156462585034</v>
      </c>
      <c r="D61" s="79" t="n">
        <f aca="false">B61</f>
        <v>0.891156462585034</v>
      </c>
      <c r="E61" s="79" t="n">
        <f aca="false">B61</f>
        <v>0.891156462585034</v>
      </c>
      <c r="F61" s="79" t="n">
        <f aca="false">F60</f>
        <v>0.75</v>
      </c>
      <c r="G61" s="79" t="n">
        <f aca="false">F61</f>
        <v>0.75</v>
      </c>
      <c r="H61" s="79" t="n">
        <f aca="false">F61</f>
        <v>0.75</v>
      </c>
      <c r="I61" s="79" t="n">
        <f aca="false">F61</f>
        <v>0.75</v>
      </c>
      <c r="J61" s="79" t="n">
        <v>1</v>
      </c>
      <c r="K61" s="79" t="n">
        <v>1</v>
      </c>
      <c r="L61" s="79" t="n">
        <f aca="false">B61</f>
        <v>0.891156462585034</v>
      </c>
      <c r="M61" s="79" t="n">
        <f aca="false">B61</f>
        <v>0.891156462585034</v>
      </c>
      <c r="N61" s="79" t="n">
        <f aca="false">B61</f>
        <v>0.891156462585034</v>
      </c>
      <c r="O61" s="79" t="n">
        <f aca="false">B61</f>
        <v>0.891156462585034</v>
      </c>
      <c r="P61" s="79" t="n">
        <f aca="false">B61</f>
        <v>0.891156462585034</v>
      </c>
      <c r="Q61" s="80" t="n">
        <f aca="false">F61</f>
        <v>0.75</v>
      </c>
      <c r="R61" s="80" t="n">
        <f aca="false">F61</f>
        <v>0.75</v>
      </c>
      <c r="S61" s="80" t="n">
        <f aca="false">F61</f>
        <v>0.75</v>
      </c>
      <c r="T61" s="80" t="n">
        <v>1</v>
      </c>
      <c r="U61" s="80" t="n">
        <v>1</v>
      </c>
      <c r="V61" s="80" t="n">
        <f aca="false">F61</f>
        <v>0.75</v>
      </c>
      <c r="W61" s="80" t="n">
        <f aca="false">F61</f>
        <v>0.75</v>
      </c>
      <c r="X61" s="80" t="n">
        <f aca="false">F61</f>
        <v>0.75</v>
      </c>
      <c r="Y61" s="80" t="n">
        <f aca="false">F61</f>
        <v>0.75</v>
      </c>
      <c r="Z61" s="80" t="n">
        <f aca="false">F61</f>
        <v>0.75</v>
      </c>
      <c r="AA61" s="80" t="n">
        <f aca="false">F61</f>
        <v>0.75</v>
      </c>
      <c r="AB61" s="80" t="n">
        <f aca="false">F61</f>
        <v>0.75</v>
      </c>
      <c r="AC61" s="80" t="n">
        <f aca="false">F61</f>
        <v>0.75</v>
      </c>
      <c r="AD61" s="80" t="n">
        <f aca="false">F61</f>
        <v>0.75</v>
      </c>
      <c r="AE61" s="79" t="n">
        <f aca="false">B61</f>
        <v>0.891156462585034</v>
      </c>
      <c r="AF61" s="79" t="n">
        <f aca="false">B61</f>
        <v>0.891156462585034</v>
      </c>
      <c r="AG61" s="79" t="n">
        <f aca="false">B61</f>
        <v>0.891156462585034</v>
      </c>
      <c r="AH61" s="79" t="n">
        <f aca="false">B61</f>
        <v>0.891156462585034</v>
      </c>
      <c r="AI61" s="79" t="n">
        <f aca="false">B61</f>
        <v>0.891156462585034</v>
      </c>
      <c r="AJ61" s="79" t="n">
        <f aca="false">B61</f>
        <v>0.891156462585034</v>
      </c>
      <c r="AK61" s="79" t="n">
        <f aca="false">B61</f>
        <v>0.891156462585034</v>
      </c>
      <c r="AL61" s="79" t="n">
        <f aca="false">B61</f>
        <v>0.891156462585034</v>
      </c>
      <c r="AM61" s="79" t="n">
        <f aca="false">B61</f>
        <v>0.891156462585034</v>
      </c>
      <c r="AN61" s="80" t="n">
        <f aca="false">F61</f>
        <v>0.75</v>
      </c>
      <c r="AO61" s="80" t="n">
        <f aca="false">F61</f>
        <v>0.75</v>
      </c>
      <c r="AP61" s="80" t="n">
        <f aca="false">F61</f>
        <v>0.75</v>
      </c>
      <c r="AQ61" s="80" t="n">
        <f aca="false">F61</f>
        <v>0.75</v>
      </c>
      <c r="AR61" s="80" t="n">
        <f aca="false">F61</f>
        <v>0.75</v>
      </c>
      <c r="AS61" s="80" t="n">
        <f aca="false">F61</f>
        <v>0.75</v>
      </c>
      <c r="AT61" s="80" t="n">
        <v>1</v>
      </c>
      <c r="AU61" s="80" t="n">
        <f aca="false">F61</f>
        <v>0.75</v>
      </c>
      <c r="AV61" s="80" t="n">
        <f aca="false">F61</f>
        <v>0.75</v>
      </c>
      <c r="AW61" s="80" t="n">
        <f aca="false">F61</f>
        <v>0.75</v>
      </c>
      <c r="AX61" s="79" t="n">
        <f aca="false">B61</f>
        <v>0.891156462585034</v>
      </c>
      <c r="AY61" s="79" t="n">
        <f aca="false">B61</f>
        <v>0.891156462585034</v>
      </c>
      <c r="AZ61" s="79" t="n">
        <f aca="false">B61</f>
        <v>0.891156462585034</v>
      </c>
      <c r="BA61" s="80" t="n">
        <f aca="false">F61</f>
        <v>0.75</v>
      </c>
      <c r="BB61" s="80" t="n">
        <f aca="false">F61</f>
        <v>0.75</v>
      </c>
      <c r="BC61" s="79" t="n">
        <f aca="false">B61</f>
        <v>0.891156462585034</v>
      </c>
      <c r="BD61" s="79" t="n">
        <f aca="false">B61</f>
        <v>0.891156462585034</v>
      </c>
      <c r="BE61" s="80" t="n">
        <v>1</v>
      </c>
      <c r="BF61" s="80" t="n">
        <v>1</v>
      </c>
      <c r="BG61" s="79" t="n">
        <f aca="false">B61</f>
        <v>0.891156462585034</v>
      </c>
      <c r="BH61" s="79" t="n">
        <f aca="false">B61</f>
        <v>0.891156462585034</v>
      </c>
      <c r="BI61" s="79" t="n">
        <f aca="false">B61</f>
        <v>0.891156462585034</v>
      </c>
      <c r="BJ61" s="79" t="n">
        <f aca="false">B61</f>
        <v>0.891156462585034</v>
      </c>
      <c r="BK61" s="80" t="n">
        <v>1</v>
      </c>
    </row>
    <row r="62" customFormat="false" ht="12.75" hidden="false" customHeight="false" outlineLevel="0" collapsed="false">
      <c r="A62" s="1" t="n">
        <f aca="false">A61-1</f>
        <v>1965</v>
      </c>
      <c r="B62" s="79" t="n">
        <f aca="false">im!C62/(im!C62+im!D62)</f>
        <v>0.935897435897436</v>
      </c>
      <c r="C62" s="79" t="n">
        <f aca="false">B62</f>
        <v>0.935897435897436</v>
      </c>
      <c r="D62" s="79" t="n">
        <f aca="false">B62</f>
        <v>0.935897435897436</v>
      </c>
      <c r="E62" s="79" t="n">
        <f aca="false">B62</f>
        <v>0.935897435897436</v>
      </c>
      <c r="F62" s="79" t="n">
        <f aca="false">F61</f>
        <v>0.75</v>
      </c>
      <c r="G62" s="79" t="n">
        <f aca="false">F62</f>
        <v>0.75</v>
      </c>
      <c r="H62" s="79" t="n">
        <f aca="false">F62</f>
        <v>0.75</v>
      </c>
      <c r="I62" s="79" t="n">
        <f aca="false">F62</f>
        <v>0.75</v>
      </c>
      <c r="J62" s="79" t="n">
        <v>1</v>
      </c>
      <c r="K62" s="79" t="n">
        <v>1</v>
      </c>
      <c r="L62" s="79" t="n">
        <f aca="false">B62</f>
        <v>0.935897435897436</v>
      </c>
      <c r="M62" s="79" t="n">
        <f aca="false">B62</f>
        <v>0.935897435897436</v>
      </c>
      <c r="N62" s="79" t="n">
        <f aca="false">B62</f>
        <v>0.935897435897436</v>
      </c>
      <c r="O62" s="79" t="n">
        <f aca="false">B62</f>
        <v>0.935897435897436</v>
      </c>
      <c r="P62" s="79" t="n">
        <f aca="false">B62</f>
        <v>0.935897435897436</v>
      </c>
      <c r="Q62" s="80" t="n">
        <f aca="false">F62</f>
        <v>0.75</v>
      </c>
      <c r="R62" s="80" t="n">
        <f aca="false">F62</f>
        <v>0.75</v>
      </c>
      <c r="S62" s="80" t="n">
        <f aca="false">F62</f>
        <v>0.75</v>
      </c>
      <c r="T62" s="80" t="n">
        <v>1</v>
      </c>
      <c r="U62" s="80" t="n">
        <v>1</v>
      </c>
      <c r="V62" s="80" t="n">
        <f aca="false">F62</f>
        <v>0.75</v>
      </c>
      <c r="W62" s="80" t="n">
        <f aca="false">F62</f>
        <v>0.75</v>
      </c>
      <c r="X62" s="80" t="n">
        <f aca="false">F62</f>
        <v>0.75</v>
      </c>
      <c r="Y62" s="80" t="n">
        <f aca="false">F62</f>
        <v>0.75</v>
      </c>
      <c r="Z62" s="80" t="n">
        <f aca="false">F62</f>
        <v>0.75</v>
      </c>
      <c r="AA62" s="80" t="n">
        <f aca="false">F62</f>
        <v>0.75</v>
      </c>
      <c r="AB62" s="80" t="n">
        <f aca="false">F62</f>
        <v>0.75</v>
      </c>
      <c r="AC62" s="80" t="n">
        <f aca="false">F62</f>
        <v>0.75</v>
      </c>
      <c r="AD62" s="80" t="n">
        <f aca="false">F62</f>
        <v>0.75</v>
      </c>
      <c r="AE62" s="79" t="n">
        <f aca="false">B62</f>
        <v>0.935897435897436</v>
      </c>
      <c r="AF62" s="79" t="n">
        <f aca="false">B62</f>
        <v>0.935897435897436</v>
      </c>
      <c r="AG62" s="79" t="n">
        <f aca="false">B62</f>
        <v>0.935897435897436</v>
      </c>
      <c r="AH62" s="79" t="n">
        <f aca="false">B62</f>
        <v>0.935897435897436</v>
      </c>
      <c r="AI62" s="79" t="n">
        <f aca="false">B62</f>
        <v>0.935897435897436</v>
      </c>
      <c r="AJ62" s="79" t="n">
        <f aca="false">B62</f>
        <v>0.935897435897436</v>
      </c>
      <c r="AK62" s="79" t="n">
        <f aca="false">B62</f>
        <v>0.935897435897436</v>
      </c>
      <c r="AL62" s="79" t="n">
        <f aca="false">B62</f>
        <v>0.935897435897436</v>
      </c>
      <c r="AM62" s="79" t="n">
        <f aca="false">B62</f>
        <v>0.935897435897436</v>
      </c>
      <c r="AN62" s="80" t="n">
        <f aca="false">F62</f>
        <v>0.75</v>
      </c>
      <c r="AO62" s="80" t="n">
        <f aca="false">F62</f>
        <v>0.75</v>
      </c>
      <c r="AP62" s="80" t="n">
        <f aca="false">F62</f>
        <v>0.75</v>
      </c>
      <c r="AQ62" s="80" t="n">
        <f aca="false">F62</f>
        <v>0.75</v>
      </c>
      <c r="AR62" s="80" t="n">
        <f aca="false">F62</f>
        <v>0.75</v>
      </c>
      <c r="AS62" s="80" t="n">
        <f aca="false">F62</f>
        <v>0.75</v>
      </c>
      <c r="AT62" s="80" t="n">
        <v>1</v>
      </c>
      <c r="AU62" s="80" t="n">
        <f aca="false">F62</f>
        <v>0.75</v>
      </c>
      <c r="AV62" s="80" t="n">
        <f aca="false">F62</f>
        <v>0.75</v>
      </c>
      <c r="AW62" s="80" t="n">
        <f aca="false">F62</f>
        <v>0.75</v>
      </c>
      <c r="AX62" s="79" t="n">
        <f aca="false">B62</f>
        <v>0.935897435897436</v>
      </c>
      <c r="AY62" s="79" t="n">
        <f aca="false">B62</f>
        <v>0.935897435897436</v>
      </c>
      <c r="AZ62" s="79" t="n">
        <f aca="false">B62</f>
        <v>0.935897435897436</v>
      </c>
      <c r="BA62" s="80" t="n">
        <f aca="false">F62</f>
        <v>0.75</v>
      </c>
      <c r="BB62" s="80" t="n">
        <f aca="false">F62</f>
        <v>0.75</v>
      </c>
      <c r="BC62" s="79" t="n">
        <f aca="false">B62</f>
        <v>0.935897435897436</v>
      </c>
      <c r="BD62" s="79" t="n">
        <f aca="false">B62</f>
        <v>0.935897435897436</v>
      </c>
      <c r="BE62" s="80" t="n">
        <v>1</v>
      </c>
      <c r="BF62" s="80" t="n">
        <v>1</v>
      </c>
      <c r="BG62" s="79" t="n">
        <f aca="false">B62</f>
        <v>0.935897435897436</v>
      </c>
      <c r="BH62" s="79" t="n">
        <f aca="false">B62</f>
        <v>0.935897435897436</v>
      </c>
      <c r="BI62" s="79" t="n">
        <f aca="false">B62</f>
        <v>0.935897435897436</v>
      </c>
      <c r="BJ62" s="79" t="n">
        <f aca="false">B62</f>
        <v>0.935897435897436</v>
      </c>
      <c r="BK62" s="80" t="n">
        <v>1</v>
      </c>
    </row>
    <row r="63" customFormat="false" ht="12.75" hidden="false" customHeight="false" outlineLevel="0" collapsed="false">
      <c r="A63" s="1" t="n">
        <f aca="false">A62-1</f>
        <v>1964</v>
      </c>
      <c r="B63" s="79" t="n">
        <f aca="false">im!C63/(im!C63+im!D63)</f>
        <v>0.916666666666667</v>
      </c>
      <c r="C63" s="79" t="n">
        <f aca="false">B63</f>
        <v>0.916666666666667</v>
      </c>
      <c r="D63" s="79" t="n">
        <f aca="false">B63</f>
        <v>0.916666666666667</v>
      </c>
      <c r="E63" s="79" t="n">
        <f aca="false">B63</f>
        <v>0.916666666666667</v>
      </c>
      <c r="F63" s="79" t="n">
        <f aca="false">F62</f>
        <v>0.75</v>
      </c>
      <c r="G63" s="79" t="n">
        <f aca="false">F63</f>
        <v>0.75</v>
      </c>
      <c r="H63" s="79" t="n">
        <f aca="false">F63</f>
        <v>0.75</v>
      </c>
      <c r="I63" s="79" t="n">
        <f aca="false">F63</f>
        <v>0.75</v>
      </c>
      <c r="J63" s="79" t="n">
        <v>1</v>
      </c>
      <c r="K63" s="79" t="n">
        <v>1</v>
      </c>
      <c r="L63" s="79" t="n">
        <f aca="false">B63</f>
        <v>0.916666666666667</v>
      </c>
      <c r="M63" s="79" t="n">
        <f aca="false">B63</f>
        <v>0.916666666666667</v>
      </c>
      <c r="N63" s="79" t="n">
        <f aca="false">B63</f>
        <v>0.916666666666667</v>
      </c>
      <c r="O63" s="79" t="n">
        <f aca="false">B63</f>
        <v>0.916666666666667</v>
      </c>
      <c r="P63" s="79" t="n">
        <f aca="false">B63</f>
        <v>0.916666666666667</v>
      </c>
      <c r="Q63" s="80" t="n">
        <f aca="false">F63</f>
        <v>0.75</v>
      </c>
      <c r="R63" s="80" t="n">
        <f aca="false">F63</f>
        <v>0.75</v>
      </c>
      <c r="S63" s="80" t="n">
        <f aca="false">F63</f>
        <v>0.75</v>
      </c>
      <c r="T63" s="80" t="n">
        <v>1</v>
      </c>
      <c r="U63" s="80" t="n">
        <v>1</v>
      </c>
      <c r="V63" s="80" t="n">
        <f aca="false">F63</f>
        <v>0.75</v>
      </c>
      <c r="W63" s="80" t="n">
        <f aca="false">F63</f>
        <v>0.75</v>
      </c>
      <c r="X63" s="80" t="n">
        <f aca="false">F63</f>
        <v>0.75</v>
      </c>
      <c r="Y63" s="80" t="n">
        <f aca="false">F63</f>
        <v>0.75</v>
      </c>
      <c r="Z63" s="80" t="n">
        <f aca="false">F63</f>
        <v>0.75</v>
      </c>
      <c r="AA63" s="80" t="n">
        <f aca="false">F63</f>
        <v>0.75</v>
      </c>
      <c r="AB63" s="80" t="n">
        <f aca="false">F63</f>
        <v>0.75</v>
      </c>
      <c r="AC63" s="80" t="n">
        <f aca="false">F63</f>
        <v>0.75</v>
      </c>
      <c r="AD63" s="80" t="n">
        <f aca="false">F63</f>
        <v>0.75</v>
      </c>
      <c r="AE63" s="79" t="n">
        <f aca="false">B63</f>
        <v>0.916666666666667</v>
      </c>
      <c r="AF63" s="79" t="n">
        <f aca="false">B63</f>
        <v>0.916666666666667</v>
      </c>
      <c r="AG63" s="79" t="n">
        <f aca="false">B63</f>
        <v>0.916666666666667</v>
      </c>
      <c r="AH63" s="79" t="n">
        <f aca="false">B63</f>
        <v>0.916666666666667</v>
      </c>
      <c r="AI63" s="79" t="n">
        <f aca="false">B63</f>
        <v>0.916666666666667</v>
      </c>
      <c r="AJ63" s="79" t="n">
        <f aca="false">B63</f>
        <v>0.916666666666667</v>
      </c>
      <c r="AK63" s="79" t="n">
        <f aca="false">B63</f>
        <v>0.916666666666667</v>
      </c>
      <c r="AL63" s="79" t="n">
        <f aca="false">B63</f>
        <v>0.916666666666667</v>
      </c>
      <c r="AM63" s="79" t="n">
        <f aca="false">B63</f>
        <v>0.916666666666667</v>
      </c>
      <c r="AN63" s="80" t="n">
        <f aca="false">F63</f>
        <v>0.75</v>
      </c>
      <c r="AO63" s="80" t="n">
        <f aca="false">F63</f>
        <v>0.75</v>
      </c>
      <c r="AP63" s="80" t="n">
        <f aca="false">F63</f>
        <v>0.75</v>
      </c>
      <c r="AQ63" s="80" t="n">
        <f aca="false">F63</f>
        <v>0.75</v>
      </c>
      <c r="AR63" s="80" t="n">
        <f aca="false">F63</f>
        <v>0.75</v>
      </c>
      <c r="AS63" s="80" t="n">
        <f aca="false">F63</f>
        <v>0.75</v>
      </c>
      <c r="AT63" s="80" t="n">
        <v>1</v>
      </c>
      <c r="AU63" s="80" t="n">
        <f aca="false">F63</f>
        <v>0.75</v>
      </c>
      <c r="AV63" s="80" t="n">
        <f aca="false">F63</f>
        <v>0.75</v>
      </c>
      <c r="AW63" s="80" t="n">
        <f aca="false">F63</f>
        <v>0.75</v>
      </c>
      <c r="AX63" s="79" t="n">
        <f aca="false">B63</f>
        <v>0.916666666666667</v>
      </c>
      <c r="AY63" s="79" t="n">
        <f aca="false">B63</f>
        <v>0.916666666666667</v>
      </c>
      <c r="AZ63" s="79" t="n">
        <f aca="false">B63</f>
        <v>0.916666666666667</v>
      </c>
      <c r="BA63" s="80" t="n">
        <f aca="false">F63</f>
        <v>0.75</v>
      </c>
      <c r="BB63" s="80" t="n">
        <f aca="false">F63</f>
        <v>0.75</v>
      </c>
      <c r="BC63" s="79" t="n">
        <f aca="false">B63</f>
        <v>0.916666666666667</v>
      </c>
      <c r="BD63" s="79" t="n">
        <f aca="false">B63</f>
        <v>0.916666666666667</v>
      </c>
      <c r="BE63" s="80" t="n">
        <v>1</v>
      </c>
      <c r="BF63" s="80" t="n">
        <v>1</v>
      </c>
      <c r="BG63" s="79" t="n">
        <f aca="false">B63</f>
        <v>0.916666666666667</v>
      </c>
      <c r="BH63" s="79" t="n">
        <f aca="false">B63</f>
        <v>0.916666666666667</v>
      </c>
      <c r="BI63" s="79" t="n">
        <f aca="false">B63</f>
        <v>0.916666666666667</v>
      </c>
      <c r="BJ63" s="79" t="n">
        <f aca="false">B63</f>
        <v>0.916666666666667</v>
      </c>
      <c r="BK63" s="80" t="n">
        <v>1</v>
      </c>
    </row>
    <row r="64" customFormat="false" ht="12.75" hidden="false" customHeight="false" outlineLevel="0" collapsed="false">
      <c r="A64" s="1" t="n">
        <f aca="false">A63-1</f>
        <v>1963</v>
      </c>
      <c r="B64" s="79" t="n">
        <f aca="false">im!C66/(im!C66+im!D66)</f>
        <v>0.952380952380952</v>
      </c>
      <c r="C64" s="79" t="n">
        <f aca="false">B64</f>
        <v>0.952380952380952</v>
      </c>
      <c r="D64" s="79" t="n">
        <f aca="false">B64</f>
        <v>0.952380952380952</v>
      </c>
      <c r="E64" s="79" t="n">
        <f aca="false">B64</f>
        <v>0.952380952380952</v>
      </c>
      <c r="F64" s="79" t="n">
        <f aca="false">F63</f>
        <v>0.75</v>
      </c>
      <c r="G64" s="79" t="n">
        <f aca="false">F64</f>
        <v>0.75</v>
      </c>
      <c r="H64" s="79" t="n">
        <f aca="false">F64</f>
        <v>0.75</v>
      </c>
      <c r="I64" s="79" t="n">
        <f aca="false">F64</f>
        <v>0.75</v>
      </c>
      <c r="J64" s="79" t="n">
        <v>1</v>
      </c>
      <c r="K64" s="79" t="n">
        <v>1</v>
      </c>
      <c r="L64" s="79" t="n">
        <f aca="false">B64</f>
        <v>0.952380952380952</v>
      </c>
      <c r="M64" s="79" t="n">
        <f aca="false">B64</f>
        <v>0.952380952380952</v>
      </c>
      <c r="N64" s="79" t="n">
        <f aca="false">B64</f>
        <v>0.952380952380952</v>
      </c>
      <c r="O64" s="79" t="n">
        <f aca="false">B64</f>
        <v>0.952380952380952</v>
      </c>
      <c r="P64" s="79" t="n">
        <f aca="false">B64</f>
        <v>0.952380952380952</v>
      </c>
      <c r="Q64" s="80" t="n">
        <f aca="false">F64</f>
        <v>0.75</v>
      </c>
      <c r="R64" s="80" t="n">
        <f aca="false">F64</f>
        <v>0.75</v>
      </c>
      <c r="S64" s="80" t="n">
        <f aca="false">F64</f>
        <v>0.75</v>
      </c>
      <c r="T64" s="80" t="n">
        <v>1</v>
      </c>
      <c r="U64" s="80" t="n">
        <v>1</v>
      </c>
      <c r="V64" s="80" t="n">
        <f aca="false">F64</f>
        <v>0.75</v>
      </c>
      <c r="W64" s="80" t="n">
        <f aca="false">F64</f>
        <v>0.75</v>
      </c>
      <c r="X64" s="80" t="n">
        <f aca="false">F64</f>
        <v>0.75</v>
      </c>
      <c r="Y64" s="80" t="n">
        <f aca="false">F64</f>
        <v>0.75</v>
      </c>
      <c r="Z64" s="80" t="n">
        <f aca="false">F64</f>
        <v>0.75</v>
      </c>
      <c r="AA64" s="80" t="n">
        <f aca="false">F64</f>
        <v>0.75</v>
      </c>
      <c r="AB64" s="80" t="n">
        <f aca="false">F64</f>
        <v>0.75</v>
      </c>
      <c r="AC64" s="80" t="n">
        <f aca="false">F64</f>
        <v>0.75</v>
      </c>
      <c r="AD64" s="80" t="n">
        <f aca="false">F64</f>
        <v>0.75</v>
      </c>
      <c r="AE64" s="79" t="n">
        <f aca="false">B64</f>
        <v>0.952380952380952</v>
      </c>
      <c r="AF64" s="79" t="n">
        <f aca="false">B64</f>
        <v>0.952380952380952</v>
      </c>
      <c r="AG64" s="79" t="n">
        <f aca="false">B64</f>
        <v>0.952380952380952</v>
      </c>
      <c r="AH64" s="79" t="n">
        <f aca="false">B64</f>
        <v>0.952380952380952</v>
      </c>
      <c r="AI64" s="79" t="n">
        <f aca="false">B64</f>
        <v>0.952380952380952</v>
      </c>
      <c r="AJ64" s="79" t="n">
        <f aca="false">B64</f>
        <v>0.952380952380952</v>
      </c>
      <c r="AK64" s="79" t="n">
        <f aca="false">B64</f>
        <v>0.952380952380952</v>
      </c>
      <c r="AL64" s="79" t="n">
        <f aca="false">B64</f>
        <v>0.952380952380952</v>
      </c>
      <c r="AM64" s="79" t="n">
        <f aca="false">B64</f>
        <v>0.952380952380952</v>
      </c>
      <c r="AN64" s="80" t="n">
        <f aca="false">F64</f>
        <v>0.75</v>
      </c>
      <c r="AO64" s="80" t="n">
        <f aca="false">F64</f>
        <v>0.75</v>
      </c>
      <c r="AP64" s="80" t="n">
        <f aca="false">F64</f>
        <v>0.75</v>
      </c>
      <c r="AQ64" s="80" t="n">
        <f aca="false">F64</f>
        <v>0.75</v>
      </c>
      <c r="AR64" s="80" t="n">
        <f aca="false">F64</f>
        <v>0.75</v>
      </c>
      <c r="AS64" s="80" t="n">
        <f aca="false">F64</f>
        <v>0.75</v>
      </c>
      <c r="AT64" s="80" t="n">
        <v>1</v>
      </c>
      <c r="AU64" s="80" t="n">
        <f aca="false">F64</f>
        <v>0.75</v>
      </c>
      <c r="AV64" s="80" t="n">
        <f aca="false">F64</f>
        <v>0.75</v>
      </c>
      <c r="AW64" s="80" t="n">
        <f aca="false">F64</f>
        <v>0.75</v>
      </c>
      <c r="AX64" s="79" t="n">
        <f aca="false">B64</f>
        <v>0.952380952380952</v>
      </c>
      <c r="AY64" s="79" t="n">
        <f aca="false">B64</f>
        <v>0.952380952380952</v>
      </c>
      <c r="AZ64" s="79" t="n">
        <f aca="false">B64</f>
        <v>0.952380952380952</v>
      </c>
      <c r="BA64" s="80" t="n">
        <f aca="false">F64</f>
        <v>0.75</v>
      </c>
      <c r="BB64" s="80" t="n">
        <f aca="false">F64</f>
        <v>0.75</v>
      </c>
      <c r="BC64" s="79" t="n">
        <f aca="false">B64</f>
        <v>0.952380952380952</v>
      </c>
      <c r="BD64" s="79" t="n">
        <f aca="false">B64</f>
        <v>0.952380952380952</v>
      </c>
      <c r="BE64" s="80" t="n">
        <v>1</v>
      </c>
      <c r="BF64" s="80" t="n">
        <v>1</v>
      </c>
      <c r="BG64" s="79" t="n">
        <f aca="false">B64</f>
        <v>0.952380952380952</v>
      </c>
      <c r="BH64" s="79" t="n">
        <f aca="false">B64</f>
        <v>0.952380952380952</v>
      </c>
      <c r="BI64" s="79" t="n">
        <f aca="false">B64</f>
        <v>0.952380952380952</v>
      </c>
      <c r="BJ64" s="79" t="n">
        <f aca="false">B64</f>
        <v>0.952380952380952</v>
      </c>
      <c r="BK64" s="80" t="n">
        <v>1</v>
      </c>
    </row>
    <row r="65" customFormat="false" ht="12.75" hidden="false" customHeight="false" outlineLevel="0" collapsed="false">
      <c r="A65" s="1" t="n">
        <f aca="false">A64-1</f>
        <v>1962</v>
      </c>
      <c r="B65" s="79" t="n">
        <f aca="false">im!C67/(im!C67+im!D67)</f>
        <v>0.975609756097561</v>
      </c>
      <c r="C65" s="79" t="n">
        <f aca="false">B65</f>
        <v>0.975609756097561</v>
      </c>
      <c r="D65" s="79" t="n">
        <f aca="false">B65</f>
        <v>0.975609756097561</v>
      </c>
      <c r="E65" s="79" t="n">
        <f aca="false">B65</f>
        <v>0.975609756097561</v>
      </c>
      <c r="F65" s="79" t="n">
        <f aca="false">F64</f>
        <v>0.75</v>
      </c>
      <c r="G65" s="79" t="n">
        <f aca="false">F65</f>
        <v>0.75</v>
      </c>
      <c r="H65" s="79" t="n">
        <f aca="false">F65</f>
        <v>0.75</v>
      </c>
      <c r="I65" s="79" t="n">
        <f aca="false">F65</f>
        <v>0.75</v>
      </c>
      <c r="J65" s="79" t="n">
        <v>1</v>
      </c>
      <c r="K65" s="79" t="n">
        <v>1</v>
      </c>
      <c r="L65" s="79" t="n">
        <f aca="false">B65</f>
        <v>0.975609756097561</v>
      </c>
      <c r="M65" s="79" t="n">
        <f aca="false">B65</f>
        <v>0.975609756097561</v>
      </c>
      <c r="N65" s="79" t="n">
        <f aca="false">B65</f>
        <v>0.975609756097561</v>
      </c>
      <c r="O65" s="79" t="n">
        <f aca="false">B65</f>
        <v>0.975609756097561</v>
      </c>
      <c r="P65" s="79" t="n">
        <f aca="false">B65</f>
        <v>0.975609756097561</v>
      </c>
      <c r="Q65" s="80" t="n">
        <f aca="false">F65</f>
        <v>0.75</v>
      </c>
      <c r="R65" s="80" t="n">
        <f aca="false">F65</f>
        <v>0.75</v>
      </c>
      <c r="S65" s="80" t="n">
        <f aca="false">F65</f>
        <v>0.75</v>
      </c>
      <c r="T65" s="80" t="n">
        <v>1</v>
      </c>
      <c r="U65" s="80" t="n">
        <v>1</v>
      </c>
      <c r="V65" s="80" t="n">
        <f aca="false">F65</f>
        <v>0.75</v>
      </c>
      <c r="W65" s="80" t="n">
        <f aca="false">F65</f>
        <v>0.75</v>
      </c>
      <c r="X65" s="80" t="n">
        <f aca="false">F65</f>
        <v>0.75</v>
      </c>
      <c r="Y65" s="80" t="n">
        <f aca="false">F65</f>
        <v>0.75</v>
      </c>
      <c r="Z65" s="80" t="n">
        <f aca="false">F65</f>
        <v>0.75</v>
      </c>
      <c r="AA65" s="80" t="n">
        <f aca="false">F65</f>
        <v>0.75</v>
      </c>
      <c r="AB65" s="80" t="n">
        <f aca="false">F65</f>
        <v>0.75</v>
      </c>
      <c r="AC65" s="80" t="n">
        <f aca="false">F65</f>
        <v>0.75</v>
      </c>
      <c r="AD65" s="80" t="n">
        <f aca="false">F65</f>
        <v>0.75</v>
      </c>
      <c r="AE65" s="79" t="n">
        <f aca="false">B65</f>
        <v>0.975609756097561</v>
      </c>
      <c r="AF65" s="79" t="n">
        <f aca="false">B65</f>
        <v>0.975609756097561</v>
      </c>
      <c r="AG65" s="79" t="n">
        <f aca="false">B65</f>
        <v>0.975609756097561</v>
      </c>
      <c r="AH65" s="79" t="n">
        <f aca="false">B65</f>
        <v>0.975609756097561</v>
      </c>
      <c r="AI65" s="79" t="n">
        <f aca="false">B65</f>
        <v>0.975609756097561</v>
      </c>
      <c r="AJ65" s="79" t="n">
        <f aca="false">B65</f>
        <v>0.975609756097561</v>
      </c>
      <c r="AK65" s="79" t="n">
        <f aca="false">B65</f>
        <v>0.975609756097561</v>
      </c>
      <c r="AL65" s="79" t="n">
        <f aca="false">B65</f>
        <v>0.975609756097561</v>
      </c>
      <c r="AM65" s="79" t="n">
        <f aca="false">B65</f>
        <v>0.975609756097561</v>
      </c>
      <c r="AN65" s="80" t="n">
        <f aca="false">F65</f>
        <v>0.75</v>
      </c>
      <c r="AO65" s="80" t="n">
        <f aca="false">F65</f>
        <v>0.75</v>
      </c>
      <c r="AP65" s="80" t="n">
        <f aca="false">F65</f>
        <v>0.75</v>
      </c>
      <c r="AQ65" s="80" t="n">
        <f aca="false">F65</f>
        <v>0.75</v>
      </c>
      <c r="AR65" s="80" t="n">
        <f aca="false">F65</f>
        <v>0.75</v>
      </c>
      <c r="AS65" s="80" t="n">
        <f aca="false">F65</f>
        <v>0.75</v>
      </c>
      <c r="AT65" s="80" t="n">
        <v>1</v>
      </c>
      <c r="AU65" s="80" t="n">
        <f aca="false">F65</f>
        <v>0.75</v>
      </c>
      <c r="AV65" s="80" t="n">
        <f aca="false">F65</f>
        <v>0.75</v>
      </c>
      <c r="AW65" s="80" t="n">
        <f aca="false">F65</f>
        <v>0.75</v>
      </c>
      <c r="AX65" s="79" t="n">
        <f aca="false">B65</f>
        <v>0.975609756097561</v>
      </c>
      <c r="AY65" s="79" t="n">
        <f aca="false">B65</f>
        <v>0.975609756097561</v>
      </c>
      <c r="AZ65" s="79" t="n">
        <f aca="false">B65</f>
        <v>0.975609756097561</v>
      </c>
      <c r="BA65" s="80" t="n">
        <f aca="false">F65</f>
        <v>0.75</v>
      </c>
      <c r="BB65" s="80" t="n">
        <f aca="false">F65</f>
        <v>0.75</v>
      </c>
      <c r="BC65" s="79" t="n">
        <f aca="false">B65</f>
        <v>0.975609756097561</v>
      </c>
      <c r="BD65" s="79" t="n">
        <f aca="false">B65</f>
        <v>0.975609756097561</v>
      </c>
      <c r="BE65" s="80" t="n">
        <v>1</v>
      </c>
      <c r="BF65" s="80" t="n">
        <v>1</v>
      </c>
      <c r="BG65" s="79" t="n">
        <f aca="false">B65</f>
        <v>0.975609756097561</v>
      </c>
      <c r="BH65" s="79" t="n">
        <f aca="false">B65</f>
        <v>0.975609756097561</v>
      </c>
      <c r="BI65" s="79" t="n">
        <f aca="false">B65</f>
        <v>0.975609756097561</v>
      </c>
      <c r="BJ65" s="79" t="n">
        <f aca="false">B65</f>
        <v>0.975609756097561</v>
      </c>
      <c r="BK65" s="80" t="n">
        <v>1</v>
      </c>
    </row>
    <row r="66" customFormat="false" ht="12.75" hidden="false" customHeight="false" outlineLevel="0" collapsed="false">
      <c r="A66" s="1" t="n">
        <f aca="false">A65-1</f>
        <v>1961</v>
      </c>
      <c r="B66" s="79" t="n">
        <f aca="false">im!C68/(im!C68+im!D68)</f>
        <v>0.90625</v>
      </c>
      <c r="C66" s="79" t="n">
        <f aca="false">B66</f>
        <v>0.90625</v>
      </c>
      <c r="D66" s="79" t="n">
        <f aca="false">B66</f>
        <v>0.90625</v>
      </c>
      <c r="E66" s="79" t="n">
        <f aca="false">B66</f>
        <v>0.90625</v>
      </c>
      <c r="F66" s="79" t="n">
        <f aca="false">F65</f>
        <v>0.75</v>
      </c>
      <c r="G66" s="79" t="n">
        <f aca="false">F66</f>
        <v>0.75</v>
      </c>
      <c r="H66" s="79" t="n">
        <f aca="false">F66</f>
        <v>0.75</v>
      </c>
      <c r="I66" s="79" t="n">
        <f aca="false">F66</f>
        <v>0.75</v>
      </c>
      <c r="J66" s="79" t="n">
        <v>1</v>
      </c>
      <c r="K66" s="79" t="n">
        <v>1</v>
      </c>
      <c r="L66" s="79" t="n">
        <f aca="false">B66</f>
        <v>0.90625</v>
      </c>
      <c r="M66" s="79" t="n">
        <f aca="false">B66</f>
        <v>0.90625</v>
      </c>
      <c r="N66" s="79" t="n">
        <f aca="false">B66</f>
        <v>0.90625</v>
      </c>
      <c r="O66" s="79" t="n">
        <f aca="false">B66</f>
        <v>0.90625</v>
      </c>
      <c r="P66" s="79" t="n">
        <f aca="false">B66</f>
        <v>0.90625</v>
      </c>
      <c r="Q66" s="80" t="n">
        <f aca="false">F66</f>
        <v>0.75</v>
      </c>
      <c r="R66" s="80" t="n">
        <f aca="false">F66</f>
        <v>0.75</v>
      </c>
      <c r="S66" s="80" t="n">
        <f aca="false">F66</f>
        <v>0.75</v>
      </c>
      <c r="T66" s="80" t="n">
        <v>1</v>
      </c>
      <c r="U66" s="80" t="n">
        <v>1</v>
      </c>
      <c r="V66" s="80" t="n">
        <f aca="false">F66</f>
        <v>0.75</v>
      </c>
      <c r="W66" s="80" t="n">
        <f aca="false">F66</f>
        <v>0.75</v>
      </c>
      <c r="X66" s="80" t="n">
        <f aca="false">F66</f>
        <v>0.75</v>
      </c>
      <c r="Y66" s="80" t="n">
        <f aca="false">F66</f>
        <v>0.75</v>
      </c>
      <c r="Z66" s="80" t="n">
        <f aca="false">F66</f>
        <v>0.75</v>
      </c>
      <c r="AA66" s="80" t="n">
        <f aca="false">F66</f>
        <v>0.75</v>
      </c>
      <c r="AB66" s="80" t="n">
        <f aca="false">F66</f>
        <v>0.75</v>
      </c>
      <c r="AC66" s="80" t="n">
        <f aca="false">F66</f>
        <v>0.75</v>
      </c>
      <c r="AD66" s="80" t="n">
        <f aca="false">F66</f>
        <v>0.75</v>
      </c>
      <c r="AE66" s="79" t="n">
        <f aca="false">B66</f>
        <v>0.90625</v>
      </c>
      <c r="AF66" s="79" t="n">
        <f aca="false">B66</f>
        <v>0.90625</v>
      </c>
      <c r="AG66" s="79" t="n">
        <f aca="false">B66</f>
        <v>0.90625</v>
      </c>
      <c r="AH66" s="79" t="n">
        <f aca="false">B66</f>
        <v>0.90625</v>
      </c>
      <c r="AI66" s="79" t="n">
        <f aca="false">B66</f>
        <v>0.90625</v>
      </c>
      <c r="AJ66" s="79" t="n">
        <f aca="false">B66</f>
        <v>0.90625</v>
      </c>
      <c r="AK66" s="79" t="n">
        <f aca="false">B66</f>
        <v>0.90625</v>
      </c>
      <c r="AL66" s="79" t="n">
        <f aca="false">B66</f>
        <v>0.90625</v>
      </c>
      <c r="AM66" s="79" t="n">
        <f aca="false">B66</f>
        <v>0.90625</v>
      </c>
      <c r="AN66" s="80" t="n">
        <f aca="false">F66</f>
        <v>0.75</v>
      </c>
      <c r="AO66" s="80" t="n">
        <f aca="false">F66</f>
        <v>0.75</v>
      </c>
      <c r="AP66" s="80" t="n">
        <f aca="false">F66</f>
        <v>0.75</v>
      </c>
      <c r="AQ66" s="80" t="n">
        <f aca="false">F66</f>
        <v>0.75</v>
      </c>
      <c r="AR66" s="80" t="n">
        <f aca="false">F66</f>
        <v>0.75</v>
      </c>
      <c r="AS66" s="80" t="n">
        <f aca="false">F66</f>
        <v>0.75</v>
      </c>
      <c r="AT66" s="80" t="n">
        <v>1</v>
      </c>
      <c r="AU66" s="80" t="n">
        <f aca="false">F66</f>
        <v>0.75</v>
      </c>
      <c r="AV66" s="80" t="n">
        <f aca="false">F66</f>
        <v>0.75</v>
      </c>
      <c r="AW66" s="80" t="n">
        <f aca="false">F66</f>
        <v>0.75</v>
      </c>
      <c r="AX66" s="79" t="n">
        <f aca="false">B66</f>
        <v>0.90625</v>
      </c>
      <c r="AY66" s="79" t="n">
        <f aca="false">B66</f>
        <v>0.90625</v>
      </c>
      <c r="AZ66" s="79" t="n">
        <f aca="false">B66</f>
        <v>0.90625</v>
      </c>
      <c r="BA66" s="80" t="n">
        <f aca="false">F66</f>
        <v>0.75</v>
      </c>
      <c r="BB66" s="80" t="n">
        <f aca="false">F66</f>
        <v>0.75</v>
      </c>
      <c r="BC66" s="79" t="n">
        <f aca="false">B66</f>
        <v>0.90625</v>
      </c>
      <c r="BD66" s="79" t="n">
        <f aca="false">B66</f>
        <v>0.90625</v>
      </c>
      <c r="BE66" s="80" t="n">
        <v>1</v>
      </c>
      <c r="BF66" s="80" t="n">
        <v>1</v>
      </c>
      <c r="BG66" s="79" t="n">
        <f aca="false">B66</f>
        <v>0.90625</v>
      </c>
      <c r="BH66" s="79" t="n">
        <f aca="false">B66</f>
        <v>0.90625</v>
      </c>
      <c r="BI66" s="79" t="n">
        <f aca="false">B66</f>
        <v>0.90625</v>
      </c>
      <c r="BJ66" s="79" t="n">
        <f aca="false">B66</f>
        <v>0.90625</v>
      </c>
      <c r="BK66" s="80" t="n">
        <v>1</v>
      </c>
    </row>
    <row r="67" customFormat="false" ht="12.75" hidden="false" customHeight="false" outlineLevel="0" collapsed="false">
      <c r="A67" s="1" t="n">
        <f aca="false">A66-1</f>
        <v>1960</v>
      </c>
      <c r="B67" s="79" t="n">
        <f aca="false">im!C69/(im!C69+im!D69)</f>
        <v>0.5</v>
      </c>
      <c r="C67" s="79" t="n">
        <f aca="false">B67</f>
        <v>0.5</v>
      </c>
      <c r="D67" s="79" t="n">
        <f aca="false">B67</f>
        <v>0.5</v>
      </c>
      <c r="E67" s="79" t="n">
        <f aca="false">B67</f>
        <v>0.5</v>
      </c>
      <c r="F67" s="79" t="n">
        <f aca="false">F66</f>
        <v>0.75</v>
      </c>
      <c r="G67" s="79" t="n">
        <f aca="false">F67</f>
        <v>0.75</v>
      </c>
      <c r="H67" s="79" t="n">
        <f aca="false">F67</f>
        <v>0.75</v>
      </c>
      <c r="I67" s="79" t="n">
        <f aca="false">F67</f>
        <v>0.75</v>
      </c>
      <c r="J67" s="79" t="n">
        <v>1</v>
      </c>
      <c r="K67" s="79" t="n">
        <v>1</v>
      </c>
      <c r="L67" s="79" t="n">
        <f aca="false">B67</f>
        <v>0.5</v>
      </c>
      <c r="M67" s="79" t="n">
        <f aca="false">B67</f>
        <v>0.5</v>
      </c>
      <c r="N67" s="79" t="n">
        <f aca="false">B67</f>
        <v>0.5</v>
      </c>
      <c r="O67" s="79" t="n">
        <f aca="false">B67</f>
        <v>0.5</v>
      </c>
      <c r="P67" s="79" t="n">
        <f aca="false">B67</f>
        <v>0.5</v>
      </c>
      <c r="Q67" s="80" t="n">
        <f aca="false">F67</f>
        <v>0.75</v>
      </c>
      <c r="R67" s="80" t="n">
        <f aca="false">F67</f>
        <v>0.75</v>
      </c>
      <c r="S67" s="80" t="n">
        <f aca="false">F67</f>
        <v>0.75</v>
      </c>
      <c r="T67" s="80" t="n">
        <v>1</v>
      </c>
      <c r="U67" s="80" t="n">
        <v>1</v>
      </c>
      <c r="V67" s="80" t="n">
        <f aca="false">F67</f>
        <v>0.75</v>
      </c>
      <c r="W67" s="80" t="n">
        <f aca="false">F67</f>
        <v>0.75</v>
      </c>
      <c r="X67" s="80" t="n">
        <f aca="false">F67</f>
        <v>0.75</v>
      </c>
      <c r="Y67" s="80" t="n">
        <f aca="false">F67</f>
        <v>0.75</v>
      </c>
      <c r="Z67" s="80" t="n">
        <f aca="false">F67</f>
        <v>0.75</v>
      </c>
      <c r="AA67" s="80" t="n">
        <f aca="false">F67</f>
        <v>0.75</v>
      </c>
      <c r="AB67" s="80" t="n">
        <f aca="false">F67</f>
        <v>0.75</v>
      </c>
      <c r="AC67" s="80" t="n">
        <f aca="false">F67</f>
        <v>0.75</v>
      </c>
      <c r="AD67" s="80" t="n">
        <f aca="false">F67</f>
        <v>0.75</v>
      </c>
      <c r="AE67" s="79" t="n">
        <f aca="false">B67</f>
        <v>0.5</v>
      </c>
      <c r="AF67" s="79" t="n">
        <f aca="false">B67</f>
        <v>0.5</v>
      </c>
      <c r="AG67" s="79" t="n">
        <f aca="false">B67</f>
        <v>0.5</v>
      </c>
      <c r="AH67" s="79" t="n">
        <f aca="false">B67</f>
        <v>0.5</v>
      </c>
      <c r="AI67" s="79" t="n">
        <f aca="false">B67</f>
        <v>0.5</v>
      </c>
      <c r="AJ67" s="79" t="n">
        <f aca="false">B67</f>
        <v>0.5</v>
      </c>
      <c r="AK67" s="79" t="n">
        <f aca="false">B67</f>
        <v>0.5</v>
      </c>
      <c r="AL67" s="79" t="n">
        <f aca="false">B67</f>
        <v>0.5</v>
      </c>
      <c r="AM67" s="79" t="n">
        <f aca="false">B67</f>
        <v>0.5</v>
      </c>
      <c r="AN67" s="80" t="n">
        <f aca="false">F67</f>
        <v>0.75</v>
      </c>
      <c r="AO67" s="80" t="n">
        <f aca="false">F67</f>
        <v>0.75</v>
      </c>
      <c r="AP67" s="80" t="n">
        <f aca="false">F67</f>
        <v>0.75</v>
      </c>
      <c r="AQ67" s="80" t="n">
        <f aca="false">F67</f>
        <v>0.75</v>
      </c>
      <c r="AR67" s="80" t="n">
        <f aca="false">F67</f>
        <v>0.75</v>
      </c>
      <c r="AS67" s="80" t="n">
        <f aca="false">F67</f>
        <v>0.75</v>
      </c>
      <c r="AT67" s="80" t="n">
        <v>1</v>
      </c>
      <c r="AU67" s="80" t="n">
        <f aca="false">F67</f>
        <v>0.75</v>
      </c>
      <c r="AV67" s="80" t="n">
        <f aca="false">F67</f>
        <v>0.75</v>
      </c>
      <c r="AW67" s="80" t="n">
        <f aca="false">F67</f>
        <v>0.75</v>
      </c>
      <c r="AX67" s="79" t="n">
        <f aca="false">B67</f>
        <v>0.5</v>
      </c>
      <c r="AY67" s="79" t="n">
        <f aca="false">B67</f>
        <v>0.5</v>
      </c>
      <c r="AZ67" s="79" t="n">
        <f aca="false">B67</f>
        <v>0.5</v>
      </c>
      <c r="BA67" s="80" t="n">
        <f aca="false">F67</f>
        <v>0.75</v>
      </c>
      <c r="BB67" s="80" t="n">
        <f aca="false">F67</f>
        <v>0.75</v>
      </c>
      <c r="BC67" s="79" t="n">
        <f aca="false">B67</f>
        <v>0.5</v>
      </c>
      <c r="BD67" s="79" t="n">
        <f aca="false">B67</f>
        <v>0.5</v>
      </c>
      <c r="BE67" s="80" t="n">
        <v>1</v>
      </c>
      <c r="BF67" s="80" t="n">
        <v>1</v>
      </c>
      <c r="BG67" s="79" t="n">
        <f aca="false">B67</f>
        <v>0.5</v>
      </c>
      <c r="BH67" s="79" t="n">
        <f aca="false">B67</f>
        <v>0.5</v>
      </c>
      <c r="BI67" s="79" t="n">
        <f aca="false">B67</f>
        <v>0.5</v>
      </c>
      <c r="BJ67" s="79" t="n">
        <f aca="false">B67</f>
        <v>0.5</v>
      </c>
      <c r="BK67" s="80" t="n">
        <v>1</v>
      </c>
    </row>
    <row r="68" customFormat="false" ht="12.75" hidden="false" customHeight="false" outlineLevel="0" collapsed="false">
      <c r="A68" s="1" t="n">
        <f aca="false">A67-1</f>
        <v>1959</v>
      </c>
      <c r="B68" s="79" t="n">
        <f aca="false">im!C70/(im!C70+im!D70)</f>
        <v>0.8125</v>
      </c>
      <c r="C68" s="79" t="n">
        <f aca="false">B68</f>
        <v>0.8125</v>
      </c>
      <c r="D68" s="79" t="n">
        <f aca="false">B68</f>
        <v>0.8125</v>
      </c>
      <c r="E68" s="79" t="n">
        <f aca="false">B68</f>
        <v>0.8125</v>
      </c>
      <c r="F68" s="79" t="n">
        <f aca="false">F67</f>
        <v>0.75</v>
      </c>
      <c r="G68" s="79" t="n">
        <f aca="false">F68</f>
        <v>0.75</v>
      </c>
      <c r="H68" s="79" t="n">
        <f aca="false">F68</f>
        <v>0.75</v>
      </c>
      <c r="I68" s="79" t="n">
        <f aca="false">F68</f>
        <v>0.75</v>
      </c>
      <c r="J68" s="79" t="n">
        <v>1</v>
      </c>
      <c r="K68" s="79" t="n">
        <v>1</v>
      </c>
      <c r="L68" s="79" t="n">
        <f aca="false">B68</f>
        <v>0.8125</v>
      </c>
      <c r="M68" s="79" t="n">
        <f aca="false">B68</f>
        <v>0.8125</v>
      </c>
      <c r="N68" s="79" t="n">
        <f aca="false">B68</f>
        <v>0.8125</v>
      </c>
      <c r="O68" s="79" t="n">
        <f aca="false">B68</f>
        <v>0.8125</v>
      </c>
      <c r="P68" s="79" t="n">
        <f aca="false">B68</f>
        <v>0.8125</v>
      </c>
      <c r="Q68" s="80" t="n">
        <f aca="false">F68</f>
        <v>0.75</v>
      </c>
      <c r="R68" s="80" t="n">
        <f aca="false">F68</f>
        <v>0.75</v>
      </c>
      <c r="S68" s="80" t="n">
        <f aca="false">F68</f>
        <v>0.75</v>
      </c>
      <c r="T68" s="80" t="n">
        <v>1</v>
      </c>
      <c r="U68" s="80" t="n">
        <v>1</v>
      </c>
      <c r="V68" s="80" t="n">
        <f aca="false">F68</f>
        <v>0.75</v>
      </c>
      <c r="W68" s="80" t="n">
        <f aca="false">F68</f>
        <v>0.75</v>
      </c>
      <c r="X68" s="80" t="n">
        <f aca="false">F68</f>
        <v>0.75</v>
      </c>
      <c r="Y68" s="80" t="n">
        <f aca="false">F68</f>
        <v>0.75</v>
      </c>
      <c r="Z68" s="80" t="n">
        <f aca="false">F68</f>
        <v>0.75</v>
      </c>
      <c r="AA68" s="80" t="n">
        <f aca="false">F68</f>
        <v>0.75</v>
      </c>
      <c r="AB68" s="80" t="n">
        <f aca="false">F68</f>
        <v>0.75</v>
      </c>
      <c r="AC68" s="80" t="n">
        <f aca="false">F68</f>
        <v>0.75</v>
      </c>
      <c r="AD68" s="80" t="n">
        <f aca="false">F68</f>
        <v>0.75</v>
      </c>
      <c r="AE68" s="79" t="n">
        <f aca="false">B68</f>
        <v>0.8125</v>
      </c>
      <c r="AF68" s="79" t="n">
        <f aca="false">B68</f>
        <v>0.8125</v>
      </c>
      <c r="AG68" s="79" t="n">
        <f aca="false">B68</f>
        <v>0.8125</v>
      </c>
      <c r="AH68" s="79" t="n">
        <f aca="false">B68</f>
        <v>0.8125</v>
      </c>
      <c r="AI68" s="79" t="n">
        <f aca="false">B68</f>
        <v>0.8125</v>
      </c>
      <c r="AJ68" s="79" t="n">
        <f aca="false">B68</f>
        <v>0.8125</v>
      </c>
      <c r="AK68" s="79" t="n">
        <f aca="false">B68</f>
        <v>0.8125</v>
      </c>
      <c r="AL68" s="79" t="n">
        <f aca="false">B68</f>
        <v>0.8125</v>
      </c>
      <c r="AM68" s="79" t="n">
        <f aca="false">B68</f>
        <v>0.8125</v>
      </c>
      <c r="AN68" s="80" t="n">
        <f aca="false">F68</f>
        <v>0.75</v>
      </c>
      <c r="AO68" s="80" t="n">
        <f aca="false">F68</f>
        <v>0.75</v>
      </c>
      <c r="AP68" s="80" t="n">
        <f aca="false">F68</f>
        <v>0.75</v>
      </c>
      <c r="AQ68" s="80" t="n">
        <f aca="false">F68</f>
        <v>0.75</v>
      </c>
      <c r="AR68" s="80" t="n">
        <f aca="false">F68</f>
        <v>0.75</v>
      </c>
      <c r="AS68" s="80" t="n">
        <f aca="false">F68</f>
        <v>0.75</v>
      </c>
      <c r="AT68" s="80" t="n">
        <v>1</v>
      </c>
      <c r="AU68" s="80" t="n">
        <f aca="false">F68</f>
        <v>0.75</v>
      </c>
      <c r="AV68" s="80" t="n">
        <f aca="false">F68</f>
        <v>0.75</v>
      </c>
      <c r="AW68" s="80" t="n">
        <f aca="false">F68</f>
        <v>0.75</v>
      </c>
      <c r="AX68" s="79" t="n">
        <f aca="false">B68</f>
        <v>0.8125</v>
      </c>
      <c r="AY68" s="79" t="n">
        <f aca="false">B68</f>
        <v>0.8125</v>
      </c>
      <c r="AZ68" s="79" t="n">
        <f aca="false">B68</f>
        <v>0.8125</v>
      </c>
      <c r="BA68" s="80" t="n">
        <f aca="false">F68</f>
        <v>0.75</v>
      </c>
      <c r="BB68" s="80" t="n">
        <f aca="false">F68</f>
        <v>0.75</v>
      </c>
      <c r="BC68" s="79" t="n">
        <f aca="false">B68</f>
        <v>0.8125</v>
      </c>
      <c r="BD68" s="79" t="n">
        <f aca="false">B68</f>
        <v>0.8125</v>
      </c>
      <c r="BE68" s="80" t="n">
        <v>1</v>
      </c>
      <c r="BF68" s="80" t="n">
        <v>1</v>
      </c>
      <c r="BG68" s="79" t="n">
        <f aca="false">B68</f>
        <v>0.8125</v>
      </c>
      <c r="BH68" s="79" t="n">
        <f aca="false">B68</f>
        <v>0.8125</v>
      </c>
      <c r="BI68" s="79" t="n">
        <f aca="false">B68</f>
        <v>0.8125</v>
      </c>
      <c r="BJ68" s="79" t="n">
        <f aca="false">B68</f>
        <v>0.8125</v>
      </c>
      <c r="BK68" s="8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16.71"/>
    <col collapsed="false" customWidth="true" hidden="false" outlineLevel="0" max="3" min="3" style="1" width="13.42"/>
    <col collapsed="false" customWidth="true" hidden="false" outlineLevel="0" max="4" min="4" style="1" width="14.86"/>
    <col collapsed="false" customWidth="true" hidden="false" outlineLevel="0" max="6" min="5" style="1" width="11.14"/>
    <col collapsed="false" customWidth="true" hidden="false" outlineLevel="0" max="7" min="7" style="1" width="13.29"/>
    <col collapsed="false" customWidth="true" hidden="false" outlineLevel="0" max="8" min="8" style="1" width="14.71"/>
    <col collapsed="false" customWidth="true" hidden="false" outlineLevel="0" max="9" min="9" style="1" width="11"/>
    <col collapsed="false" customWidth="true" hidden="false" outlineLevel="0" max="10" min="10" style="1" width="9.86"/>
    <col collapsed="false" customWidth="true" hidden="false" outlineLevel="0" max="11" min="11" style="1" width="14.57"/>
    <col collapsed="false" customWidth="true" hidden="false" outlineLevel="0" max="12" min="12" style="1" width="15"/>
    <col collapsed="false" customWidth="true" hidden="false" outlineLevel="0" max="13" min="13" style="1" width="17.29"/>
    <col collapsed="false" customWidth="true" hidden="false" outlineLevel="0" max="14" min="14" style="1" width="10.14"/>
    <col collapsed="false" customWidth="true" hidden="false" outlineLevel="0" max="15" min="15" style="1" width="10.71"/>
    <col collapsed="false" customWidth="true" hidden="false" outlineLevel="0" max="16" min="16" style="1" width="11.29"/>
    <col collapsed="false" customWidth="true" hidden="false" outlineLevel="0" max="17" min="17" style="1" width="10"/>
    <col collapsed="false" customWidth="true" hidden="false" outlineLevel="0" max="18" min="18" style="1" width="10.57"/>
    <col collapsed="false" customWidth="true" hidden="false" outlineLevel="0" max="19" min="19" style="1" width="11.14"/>
    <col collapsed="false" customWidth="true" hidden="false" outlineLevel="0" max="20" min="20" style="1" width="10.71"/>
    <col collapsed="false" customWidth="true" hidden="false" outlineLevel="0" max="21" min="21" style="1" width="8.57"/>
    <col collapsed="false" customWidth="true" hidden="false" outlineLevel="0" max="22" min="22" style="1" width="16.43"/>
    <col collapsed="false" customWidth="true" hidden="false" outlineLevel="0" max="23" min="23" style="1" width="19.42"/>
    <col collapsed="false" customWidth="true" hidden="false" outlineLevel="0" max="29" min="24" style="1" width="20.29"/>
    <col collapsed="false" customWidth="true" hidden="false" outlineLevel="0" max="30" min="30" style="1" width="17.42"/>
    <col collapsed="false" customWidth="true" hidden="false" outlineLevel="0" max="31" min="31" style="1" width="16.57"/>
    <col collapsed="false" customWidth="true" hidden="false" outlineLevel="0" max="32" min="32" style="1" width="19.57"/>
    <col collapsed="false" customWidth="true" hidden="false" outlineLevel="0" max="38" min="33" style="1" width="20.42"/>
    <col collapsed="false" customWidth="true" hidden="false" outlineLevel="0" max="39" min="39" style="1" width="17.57"/>
    <col collapsed="false" customWidth="true" hidden="false" outlineLevel="0" max="45" min="40" style="1" width="20.29"/>
    <col collapsed="false" customWidth="true" hidden="false" outlineLevel="0" max="46" min="46" style="1" width="14.71"/>
    <col collapsed="false" customWidth="true" hidden="false" outlineLevel="0" max="47" min="47" style="1" width="14"/>
    <col collapsed="false" customWidth="true" hidden="false" outlineLevel="0" max="48" min="48" style="1" width="16.84"/>
    <col collapsed="false" customWidth="true" hidden="false" outlineLevel="0" max="49" min="49" style="1" width="14"/>
    <col collapsed="false" customWidth="true" hidden="false" outlineLevel="0" max="50" min="50" style="1" width="14.14"/>
    <col collapsed="false" customWidth="true" hidden="false" outlineLevel="0" max="51" min="51" style="1" width="17"/>
    <col collapsed="false" customWidth="true" hidden="false" outlineLevel="0" max="52" min="52" style="1" width="14.14"/>
    <col collapsed="false" customWidth="true" hidden="false" outlineLevel="0" max="54" min="53" style="1" width="17.86"/>
    <col collapsed="false" customWidth="true" hidden="false" outlineLevel="0" max="56" min="55" style="1" width="18"/>
    <col collapsed="false" customWidth="true" hidden="false" outlineLevel="0" max="57" min="57" style="1" width="15.14"/>
    <col collapsed="false" customWidth="true" hidden="false" outlineLevel="0" max="58" min="58" style="1" width="11"/>
    <col collapsed="false" customWidth="true" hidden="false" outlineLevel="0" max="59" min="59" style="1" width="12.86"/>
    <col collapsed="false" customWidth="true" hidden="false" outlineLevel="0" max="60" min="60" style="1" width="16.71"/>
    <col collapsed="false" customWidth="true" hidden="false" outlineLevel="0" max="61" min="61" style="1" width="17.71"/>
    <col collapsed="false" customWidth="true" hidden="false" outlineLevel="0" max="62" min="62" style="1" width="13.86"/>
    <col collapsed="false" customWidth="true" hidden="false" outlineLevel="0" max="63" min="63" style="1" width="10"/>
  </cols>
  <sheetData>
    <row r="1" customFormat="false" ht="12.75" hidden="false" customHeight="false" outlineLevel="0" collapsed="false">
      <c r="A1" s="6" t="s">
        <v>232</v>
      </c>
      <c r="B1" s="6" t="s">
        <v>25</v>
      </c>
      <c r="C1" s="6" t="s">
        <v>35</v>
      </c>
      <c r="D1" s="6" t="s">
        <v>38</v>
      </c>
      <c r="E1" s="6" t="s">
        <v>43</v>
      </c>
      <c r="F1" s="6" t="s">
        <v>48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57</v>
      </c>
      <c r="L1" s="6" t="s">
        <v>60</v>
      </c>
      <c r="M1" s="6" t="s">
        <v>62</v>
      </c>
      <c r="N1" s="6" t="s">
        <v>67</v>
      </c>
      <c r="O1" s="6" t="s">
        <v>73</v>
      </c>
      <c r="P1" s="6" t="s">
        <v>77</v>
      </c>
      <c r="Q1" s="6" t="s">
        <v>81</v>
      </c>
      <c r="R1" s="6" t="s">
        <v>84</v>
      </c>
      <c r="S1" s="6" t="s">
        <v>86</v>
      </c>
      <c r="T1" s="6" t="s">
        <v>88</v>
      </c>
      <c r="U1" s="6" t="s">
        <v>90</v>
      </c>
      <c r="V1" s="6" t="s">
        <v>92</v>
      </c>
      <c r="W1" s="6" t="s">
        <v>100</v>
      </c>
      <c r="X1" s="6" t="s">
        <v>104</v>
      </c>
      <c r="Y1" s="6" t="s">
        <v>108</v>
      </c>
      <c r="Z1" s="6" t="s">
        <v>112</v>
      </c>
      <c r="AA1" s="6" t="s">
        <v>114</v>
      </c>
      <c r="AB1" s="6" t="s">
        <v>118</v>
      </c>
      <c r="AC1" s="6" t="s">
        <v>122</v>
      </c>
      <c r="AD1" s="1" t="s">
        <v>126</v>
      </c>
      <c r="AE1" s="1" t="s">
        <v>130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6" t="s">
        <v>144</v>
      </c>
      <c r="AP1" s="6" t="s">
        <v>147</v>
      </c>
      <c r="AQ1" s="1" t="s">
        <v>151</v>
      </c>
      <c r="AR1" s="1" t="s">
        <v>155</v>
      </c>
      <c r="AS1" s="1" t="s">
        <v>159</v>
      </c>
      <c r="AT1" s="1" t="s">
        <v>163</v>
      </c>
      <c r="AU1" s="1" t="s">
        <v>167</v>
      </c>
      <c r="AV1" s="1" t="s">
        <v>174</v>
      </c>
      <c r="AW1" s="1" t="s">
        <v>179</v>
      </c>
      <c r="AX1" s="1" t="s">
        <v>184</v>
      </c>
      <c r="AY1" s="1" t="s">
        <v>186</v>
      </c>
      <c r="AZ1" s="1" t="s">
        <v>187</v>
      </c>
      <c r="BA1" s="1" t="s">
        <v>188</v>
      </c>
      <c r="BB1" s="1" t="s">
        <v>192</v>
      </c>
      <c r="BC1" s="1" t="s">
        <v>196</v>
      </c>
      <c r="BD1" s="1" t="s">
        <v>197</v>
      </c>
      <c r="BE1" s="1" t="s">
        <v>198</v>
      </c>
      <c r="BF1" s="1" t="s">
        <v>201</v>
      </c>
      <c r="BG1" s="1" t="s">
        <v>205</v>
      </c>
      <c r="BH1" s="1" t="s">
        <v>215</v>
      </c>
      <c r="BI1" s="1" t="s">
        <v>220</v>
      </c>
      <c r="BJ1" s="1" t="s">
        <v>225</v>
      </c>
      <c r="BK1" s="1" t="s">
        <v>230</v>
      </c>
    </row>
    <row r="2" customFormat="false" ht="12.75" hidden="false" customHeight="false" outlineLevel="0" collapsed="false">
      <c r="A2" s="6" t="n">
        <v>2025</v>
      </c>
      <c r="B2" s="1" t="n">
        <f aca="false">im!F2/im!E2</f>
        <v>113.157696768048</v>
      </c>
      <c r="C2" s="1" t="n">
        <f aca="false">B2</f>
        <v>113.157696768048</v>
      </c>
      <c r="D2" s="1" t="n">
        <f aca="false">B2</f>
        <v>113.157696768048</v>
      </c>
      <c r="E2" s="1" t="n">
        <f aca="false">B2</f>
        <v>113.157696768048</v>
      </c>
      <c r="F2" s="1" t="n">
        <v>1</v>
      </c>
      <c r="G2" s="1" t="n">
        <f aca="false">F2</f>
        <v>1</v>
      </c>
      <c r="H2" s="1" t="n">
        <f aca="false">F2</f>
        <v>1</v>
      </c>
      <c r="I2" s="1" t="n">
        <f aca="false">F2</f>
        <v>1</v>
      </c>
      <c r="J2" s="1" t="n">
        <v>1</v>
      </c>
      <c r="K2" s="1" t="n">
        <v>1</v>
      </c>
      <c r="L2" s="1" t="n">
        <f aca="false">B2</f>
        <v>113.157696768048</v>
      </c>
      <c r="M2" s="1" t="n">
        <f aca="false">B2</f>
        <v>113.157696768048</v>
      </c>
      <c r="N2" s="1" t="n">
        <f aca="false">B2</f>
        <v>113.157696768048</v>
      </c>
      <c r="O2" s="1" t="n">
        <f aca="false">B2</f>
        <v>113.157696768048</v>
      </c>
      <c r="P2" s="1" t="n">
        <f aca="false">B2</f>
        <v>113.157696768048</v>
      </c>
      <c r="Q2" s="1" t="n">
        <f aca="false">F2</f>
        <v>1</v>
      </c>
      <c r="R2" s="1" t="n">
        <f aca="false">F2</f>
        <v>1</v>
      </c>
      <c r="S2" s="1" t="n">
        <f aca="false">F2</f>
        <v>1</v>
      </c>
      <c r="T2" s="1" t="n">
        <v>1</v>
      </c>
      <c r="U2" s="1" t="n">
        <v>1</v>
      </c>
      <c r="V2" s="1" t="n">
        <f aca="false">F2</f>
        <v>1</v>
      </c>
      <c r="W2" s="1" t="n">
        <f aca="false">F2</f>
        <v>1</v>
      </c>
      <c r="X2" s="1" t="n">
        <f aca="false">F2</f>
        <v>1</v>
      </c>
      <c r="Y2" s="1" t="n">
        <f aca="false">F2</f>
        <v>1</v>
      </c>
      <c r="Z2" s="1" t="n">
        <f aca="false">F2</f>
        <v>1</v>
      </c>
      <c r="AA2" s="1" t="n">
        <f aca="false">F2</f>
        <v>1</v>
      </c>
      <c r="AB2" s="1" t="n">
        <f aca="false">F2</f>
        <v>1</v>
      </c>
      <c r="AC2" s="1" t="n">
        <f aca="false">F2</f>
        <v>1</v>
      </c>
      <c r="AD2" s="1" t="n">
        <f aca="false">F2</f>
        <v>1</v>
      </c>
      <c r="AE2" s="1" t="n">
        <f aca="false">B2</f>
        <v>113.157696768048</v>
      </c>
      <c r="AF2" s="1" t="n">
        <f aca="false">B2</f>
        <v>113.157696768048</v>
      </c>
      <c r="AG2" s="1" t="n">
        <f aca="false">B2</f>
        <v>113.157696768048</v>
      </c>
      <c r="AH2" s="1" t="n">
        <f aca="false">B2</f>
        <v>113.157696768048</v>
      </c>
      <c r="AI2" s="1" t="n">
        <f aca="false">B2</f>
        <v>113.157696768048</v>
      </c>
      <c r="AJ2" s="1" t="n">
        <f aca="false">B2</f>
        <v>113.157696768048</v>
      </c>
      <c r="AK2" s="1" t="n">
        <f aca="false">B2</f>
        <v>113.157696768048</v>
      </c>
      <c r="AL2" s="1" t="n">
        <f aca="false">B2</f>
        <v>113.157696768048</v>
      </c>
      <c r="AM2" s="1" t="n">
        <f aca="false">B2</f>
        <v>113.157696768048</v>
      </c>
      <c r="AN2" s="1" t="n">
        <f aca="false">F2</f>
        <v>1</v>
      </c>
      <c r="AO2" s="1" t="n">
        <f aca="false">F2</f>
        <v>1</v>
      </c>
      <c r="AP2" s="1" t="n">
        <f aca="false">F2</f>
        <v>1</v>
      </c>
      <c r="AQ2" s="1" t="n">
        <f aca="false">F2</f>
        <v>1</v>
      </c>
      <c r="AR2" s="1" t="n">
        <f aca="false">F2</f>
        <v>1</v>
      </c>
      <c r="AS2" s="1" t="n">
        <f aca="false">F2</f>
        <v>1</v>
      </c>
      <c r="AT2" s="1" t="n">
        <v>1</v>
      </c>
      <c r="AU2" s="1" t="n">
        <f aca="false">F2</f>
        <v>1</v>
      </c>
      <c r="AV2" s="1" t="n">
        <f aca="false">F2</f>
        <v>1</v>
      </c>
      <c r="AW2" s="1" t="n">
        <f aca="false">F2</f>
        <v>1</v>
      </c>
      <c r="AX2" s="1" t="n">
        <f aca="false">B2</f>
        <v>113.157696768048</v>
      </c>
      <c r="AY2" s="1" t="n">
        <f aca="false">B2</f>
        <v>113.157696768048</v>
      </c>
      <c r="AZ2" s="1" t="n">
        <f aca="false">B2</f>
        <v>113.157696768048</v>
      </c>
      <c r="BA2" s="1" t="n">
        <f aca="false">F2</f>
        <v>1</v>
      </c>
      <c r="BB2" s="1" t="n">
        <f aca="false">F2</f>
        <v>1</v>
      </c>
      <c r="BC2" s="1" t="n">
        <f aca="false">B2</f>
        <v>113.157696768048</v>
      </c>
      <c r="BD2" s="1" t="n">
        <f aca="false">B2</f>
        <v>113.157696768048</v>
      </c>
      <c r="BE2" s="1" t="n">
        <v>1</v>
      </c>
      <c r="BF2" s="1" t="n">
        <v>1</v>
      </c>
      <c r="BG2" s="1" t="n">
        <f aca="false">B2</f>
        <v>113.157696768048</v>
      </c>
      <c r="BH2" s="1" t="n">
        <f aca="false">B2</f>
        <v>113.157696768048</v>
      </c>
      <c r="BI2" s="1" t="n">
        <f aca="false">B2</f>
        <v>113.157696768048</v>
      </c>
      <c r="BJ2" s="1" t="n">
        <f aca="false">B2</f>
        <v>113.157696768048</v>
      </c>
      <c r="BK2" s="1" t="n">
        <v>1</v>
      </c>
    </row>
    <row r="3" customFormat="false" ht="12.75" hidden="false" customHeight="false" outlineLevel="0" collapsed="false">
      <c r="A3" s="6" t="n">
        <v>2024</v>
      </c>
      <c r="B3" s="1" t="n">
        <f aca="false">im!F3/im!E3</f>
        <v>113.157696768048</v>
      </c>
      <c r="C3" s="1" t="n">
        <f aca="false">B3</f>
        <v>113.157696768048</v>
      </c>
      <c r="D3" s="1" t="n">
        <f aca="false">B3</f>
        <v>113.157696768048</v>
      </c>
      <c r="E3" s="1" t="n">
        <f aca="false">B3</f>
        <v>113.157696768048</v>
      </c>
      <c r="F3" s="1" t="n">
        <v>1</v>
      </c>
      <c r="G3" s="1" t="n">
        <f aca="false">F3</f>
        <v>1</v>
      </c>
      <c r="H3" s="1" t="n">
        <f aca="false">F3</f>
        <v>1</v>
      </c>
      <c r="I3" s="1" t="n">
        <f aca="false">F3</f>
        <v>1</v>
      </c>
      <c r="J3" s="1" t="n">
        <v>1</v>
      </c>
      <c r="K3" s="1" t="n">
        <v>1</v>
      </c>
      <c r="L3" s="1" t="n">
        <f aca="false">B3</f>
        <v>113.157696768048</v>
      </c>
      <c r="M3" s="1" t="n">
        <f aca="false">B3</f>
        <v>113.157696768048</v>
      </c>
      <c r="N3" s="1" t="n">
        <f aca="false">B3</f>
        <v>113.157696768048</v>
      </c>
      <c r="O3" s="1" t="n">
        <f aca="false">B3</f>
        <v>113.157696768048</v>
      </c>
      <c r="P3" s="1" t="n">
        <f aca="false">B3</f>
        <v>113.157696768048</v>
      </c>
      <c r="Q3" s="1" t="n">
        <f aca="false">F3</f>
        <v>1</v>
      </c>
      <c r="R3" s="1" t="n">
        <f aca="false">F3</f>
        <v>1</v>
      </c>
      <c r="S3" s="1" t="n">
        <f aca="false">F3</f>
        <v>1</v>
      </c>
      <c r="T3" s="1" t="n">
        <v>1</v>
      </c>
      <c r="U3" s="1" t="n">
        <v>1</v>
      </c>
      <c r="V3" s="1" t="n">
        <f aca="false">F3</f>
        <v>1</v>
      </c>
      <c r="W3" s="1" t="n">
        <f aca="false">F3</f>
        <v>1</v>
      </c>
      <c r="X3" s="1" t="n">
        <f aca="false">F3</f>
        <v>1</v>
      </c>
      <c r="Y3" s="1" t="n">
        <f aca="false">F3</f>
        <v>1</v>
      </c>
      <c r="Z3" s="1" t="n">
        <f aca="false">F3</f>
        <v>1</v>
      </c>
      <c r="AA3" s="1" t="n">
        <f aca="false">F3</f>
        <v>1</v>
      </c>
      <c r="AB3" s="1" t="n">
        <f aca="false">F3</f>
        <v>1</v>
      </c>
      <c r="AC3" s="1" t="n">
        <f aca="false">F3</f>
        <v>1</v>
      </c>
      <c r="AD3" s="1" t="n">
        <f aca="false">F3</f>
        <v>1</v>
      </c>
      <c r="AE3" s="1" t="n">
        <f aca="false">B3</f>
        <v>113.157696768048</v>
      </c>
      <c r="AF3" s="1" t="n">
        <f aca="false">B3</f>
        <v>113.157696768048</v>
      </c>
      <c r="AG3" s="1" t="n">
        <f aca="false">B3</f>
        <v>113.157696768048</v>
      </c>
      <c r="AH3" s="1" t="n">
        <f aca="false">B3</f>
        <v>113.157696768048</v>
      </c>
      <c r="AI3" s="1" t="n">
        <f aca="false">B3</f>
        <v>113.157696768048</v>
      </c>
      <c r="AJ3" s="1" t="n">
        <f aca="false">B3</f>
        <v>113.157696768048</v>
      </c>
      <c r="AK3" s="1" t="n">
        <f aca="false">B3</f>
        <v>113.157696768048</v>
      </c>
      <c r="AL3" s="1" t="n">
        <f aca="false">B3</f>
        <v>113.157696768048</v>
      </c>
      <c r="AM3" s="1" t="n">
        <f aca="false">B3</f>
        <v>113.157696768048</v>
      </c>
      <c r="AN3" s="1" t="n">
        <f aca="false">F3</f>
        <v>1</v>
      </c>
      <c r="AO3" s="1" t="n">
        <f aca="false">F3</f>
        <v>1</v>
      </c>
      <c r="AP3" s="1" t="n">
        <f aca="false">F3</f>
        <v>1</v>
      </c>
      <c r="AQ3" s="1" t="n">
        <f aca="false">F3</f>
        <v>1</v>
      </c>
      <c r="AR3" s="1" t="n">
        <f aca="false">F3</f>
        <v>1</v>
      </c>
      <c r="AS3" s="1" t="n">
        <f aca="false">F3</f>
        <v>1</v>
      </c>
      <c r="AT3" s="1" t="n">
        <v>1</v>
      </c>
      <c r="AU3" s="1" t="n">
        <f aca="false">F3</f>
        <v>1</v>
      </c>
      <c r="AV3" s="1" t="n">
        <f aca="false">F3</f>
        <v>1</v>
      </c>
      <c r="AW3" s="1" t="n">
        <f aca="false">F3</f>
        <v>1</v>
      </c>
      <c r="AX3" s="1" t="n">
        <f aca="false">B3</f>
        <v>113.157696768048</v>
      </c>
      <c r="AY3" s="1" t="n">
        <f aca="false">B3</f>
        <v>113.157696768048</v>
      </c>
      <c r="AZ3" s="1" t="n">
        <f aca="false">B3</f>
        <v>113.157696768048</v>
      </c>
      <c r="BA3" s="1" t="n">
        <f aca="false">F3</f>
        <v>1</v>
      </c>
      <c r="BB3" s="1" t="n">
        <f aca="false">F3</f>
        <v>1</v>
      </c>
      <c r="BC3" s="1" t="n">
        <f aca="false">B3</f>
        <v>113.157696768048</v>
      </c>
      <c r="BD3" s="1" t="n">
        <f aca="false">B3</f>
        <v>113.157696768048</v>
      </c>
      <c r="BE3" s="1" t="n">
        <v>1</v>
      </c>
      <c r="BF3" s="1" t="n">
        <v>1</v>
      </c>
      <c r="BG3" s="1" t="n">
        <f aca="false">B3</f>
        <v>113.157696768048</v>
      </c>
      <c r="BH3" s="1" t="n">
        <f aca="false">B3</f>
        <v>113.157696768048</v>
      </c>
      <c r="BI3" s="1" t="n">
        <f aca="false">B3</f>
        <v>113.157696768048</v>
      </c>
      <c r="BJ3" s="1" t="n">
        <f aca="false">B3</f>
        <v>113.157696768048</v>
      </c>
      <c r="BK3" s="1" t="n">
        <v>1</v>
      </c>
    </row>
    <row r="4" customFormat="false" ht="12.75" hidden="false" customHeight="false" outlineLevel="0" collapsed="false">
      <c r="A4" s="6" t="n">
        <v>2023</v>
      </c>
      <c r="B4" s="1" t="n">
        <f aca="false">im!F4/im!E4</f>
        <v>113.157696768048</v>
      </c>
      <c r="C4" s="1" t="n">
        <f aca="false">B4</f>
        <v>113.157696768048</v>
      </c>
      <c r="D4" s="1" t="n">
        <f aca="false">B4</f>
        <v>113.157696768048</v>
      </c>
      <c r="E4" s="1" t="n">
        <f aca="false">B4</f>
        <v>113.157696768048</v>
      </c>
      <c r="F4" s="1" t="n">
        <v>1</v>
      </c>
      <c r="G4" s="1" t="n">
        <f aca="false">F4</f>
        <v>1</v>
      </c>
      <c r="H4" s="1" t="n">
        <f aca="false">F4</f>
        <v>1</v>
      </c>
      <c r="I4" s="1" t="n">
        <f aca="false">F4</f>
        <v>1</v>
      </c>
      <c r="J4" s="1" t="n">
        <v>1</v>
      </c>
      <c r="K4" s="1" t="n">
        <v>1</v>
      </c>
      <c r="L4" s="1" t="n">
        <f aca="false">B4</f>
        <v>113.157696768048</v>
      </c>
      <c r="M4" s="1" t="n">
        <f aca="false">B4</f>
        <v>113.157696768048</v>
      </c>
      <c r="N4" s="1" t="n">
        <f aca="false">B4</f>
        <v>113.157696768048</v>
      </c>
      <c r="O4" s="1" t="n">
        <f aca="false">B4</f>
        <v>113.157696768048</v>
      </c>
      <c r="P4" s="1" t="n">
        <f aca="false">B4</f>
        <v>113.157696768048</v>
      </c>
      <c r="Q4" s="1" t="n">
        <f aca="false">F4</f>
        <v>1</v>
      </c>
      <c r="R4" s="1" t="n">
        <f aca="false">F4</f>
        <v>1</v>
      </c>
      <c r="S4" s="1" t="n">
        <f aca="false">F4</f>
        <v>1</v>
      </c>
      <c r="T4" s="1" t="n">
        <v>1</v>
      </c>
      <c r="U4" s="1" t="n">
        <v>1</v>
      </c>
      <c r="V4" s="1" t="n">
        <f aca="false">F4</f>
        <v>1</v>
      </c>
      <c r="W4" s="1" t="n">
        <f aca="false">F4</f>
        <v>1</v>
      </c>
      <c r="X4" s="1" t="n">
        <f aca="false">F4</f>
        <v>1</v>
      </c>
      <c r="Y4" s="1" t="n">
        <f aca="false">F4</f>
        <v>1</v>
      </c>
      <c r="Z4" s="1" t="n">
        <f aca="false">F4</f>
        <v>1</v>
      </c>
      <c r="AA4" s="1" t="n">
        <f aca="false">F4</f>
        <v>1</v>
      </c>
      <c r="AB4" s="1" t="n">
        <f aca="false">F4</f>
        <v>1</v>
      </c>
      <c r="AC4" s="1" t="n">
        <f aca="false">F4</f>
        <v>1</v>
      </c>
      <c r="AD4" s="1" t="n">
        <f aca="false">F4</f>
        <v>1</v>
      </c>
      <c r="AE4" s="1" t="n">
        <f aca="false">B4</f>
        <v>113.157696768048</v>
      </c>
      <c r="AF4" s="1" t="n">
        <f aca="false">B4</f>
        <v>113.157696768048</v>
      </c>
      <c r="AG4" s="1" t="n">
        <f aca="false">B4</f>
        <v>113.157696768048</v>
      </c>
      <c r="AH4" s="1" t="n">
        <f aca="false">B4</f>
        <v>113.157696768048</v>
      </c>
      <c r="AI4" s="1" t="n">
        <f aca="false">B4</f>
        <v>113.157696768048</v>
      </c>
      <c r="AJ4" s="1" t="n">
        <f aca="false">B4</f>
        <v>113.157696768048</v>
      </c>
      <c r="AK4" s="1" t="n">
        <f aca="false">B4</f>
        <v>113.157696768048</v>
      </c>
      <c r="AL4" s="1" t="n">
        <f aca="false">B4</f>
        <v>113.157696768048</v>
      </c>
      <c r="AM4" s="1" t="n">
        <f aca="false">B4</f>
        <v>113.157696768048</v>
      </c>
      <c r="AN4" s="1" t="n">
        <f aca="false">F4</f>
        <v>1</v>
      </c>
      <c r="AO4" s="1" t="n">
        <f aca="false">F4</f>
        <v>1</v>
      </c>
      <c r="AP4" s="1" t="n">
        <f aca="false">F4</f>
        <v>1</v>
      </c>
      <c r="AQ4" s="1" t="n">
        <f aca="false">F4</f>
        <v>1</v>
      </c>
      <c r="AR4" s="1" t="n">
        <f aca="false">F4</f>
        <v>1</v>
      </c>
      <c r="AS4" s="1" t="n">
        <f aca="false">F4</f>
        <v>1</v>
      </c>
      <c r="AT4" s="1" t="n">
        <v>1</v>
      </c>
      <c r="AU4" s="1" t="n">
        <f aca="false">F4</f>
        <v>1</v>
      </c>
      <c r="AV4" s="1" t="n">
        <f aca="false">F4</f>
        <v>1</v>
      </c>
      <c r="AW4" s="1" t="n">
        <f aca="false">F4</f>
        <v>1</v>
      </c>
      <c r="AX4" s="1" t="n">
        <f aca="false">B4</f>
        <v>113.157696768048</v>
      </c>
      <c r="AY4" s="1" t="n">
        <f aca="false">B4</f>
        <v>113.157696768048</v>
      </c>
      <c r="AZ4" s="1" t="n">
        <f aca="false">B4</f>
        <v>113.157696768048</v>
      </c>
      <c r="BA4" s="1" t="n">
        <f aca="false">F4</f>
        <v>1</v>
      </c>
      <c r="BB4" s="1" t="n">
        <f aca="false">F4</f>
        <v>1</v>
      </c>
      <c r="BC4" s="1" t="n">
        <f aca="false">B4</f>
        <v>113.157696768048</v>
      </c>
      <c r="BD4" s="1" t="n">
        <f aca="false">B4</f>
        <v>113.157696768048</v>
      </c>
      <c r="BE4" s="1" t="n">
        <v>1</v>
      </c>
      <c r="BF4" s="1" t="n">
        <v>1</v>
      </c>
      <c r="BG4" s="1" t="n">
        <f aca="false">B4</f>
        <v>113.157696768048</v>
      </c>
      <c r="BH4" s="1" t="n">
        <f aca="false">B4</f>
        <v>113.157696768048</v>
      </c>
      <c r="BI4" s="1" t="n">
        <f aca="false">B4</f>
        <v>113.157696768048</v>
      </c>
      <c r="BJ4" s="1" t="n">
        <f aca="false">B4</f>
        <v>113.157696768048</v>
      </c>
      <c r="BK4" s="1" t="n">
        <v>1</v>
      </c>
    </row>
    <row r="5" customFormat="false" ht="12.75" hidden="false" customHeight="false" outlineLevel="0" collapsed="false">
      <c r="A5" s="6" t="n">
        <v>2022</v>
      </c>
      <c r="B5" s="1" t="n">
        <f aca="false">im!F5/im!E5</f>
        <v>113.157696768048</v>
      </c>
      <c r="C5" s="1" t="n">
        <f aca="false">B5</f>
        <v>113.157696768048</v>
      </c>
      <c r="D5" s="1" t="n">
        <f aca="false">B5</f>
        <v>113.157696768048</v>
      </c>
      <c r="E5" s="1" t="n">
        <f aca="false">B5</f>
        <v>113.157696768048</v>
      </c>
      <c r="F5" s="1" t="n">
        <v>1</v>
      </c>
      <c r="G5" s="1" t="n">
        <f aca="false">F5</f>
        <v>1</v>
      </c>
      <c r="H5" s="1" t="n">
        <f aca="false">F5</f>
        <v>1</v>
      </c>
      <c r="I5" s="1" t="n">
        <f aca="false">F5</f>
        <v>1</v>
      </c>
      <c r="J5" s="1" t="n">
        <v>1</v>
      </c>
      <c r="K5" s="1" t="n">
        <v>1</v>
      </c>
      <c r="L5" s="1" t="n">
        <f aca="false">B5</f>
        <v>113.157696768048</v>
      </c>
      <c r="M5" s="1" t="n">
        <f aca="false">B5</f>
        <v>113.157696768048</v>
      </c>
      <c r="N5" s="1" t="n">
        <f aca="false">B5</f>
        <v>113.157696768048</v>
      </c>
      <c r="O5" s="1" t="n">
        <f aca="false">B5</f>
        <v>113.157696768048</v>
      </c>
      <c r="P5" s="1" t="n">
        <f aca="false">B5</f>
        <v>113.157696768048</v>
      </c>
      <c r="Q5" s="1" t="n">
        <f aca="false">F5</f>
        <v>1</v>
      </c>
      <c r="R5" s="1" t="n">
        <f aca="false">F5</f>
        <v>1</v>
      </c>
      <c r="S5" s="1" t="n">
        <f aca="false">F5</f>
        <v>1</v>
      </c>
      <c r="T5" s="1" t="n">
        <v>1</v>
      </c>
      <c r="U5" s="1" t="n">
        <v>1</v>
      </c>
      <c r="V5" s="1" t="n">
        <f aca="false">F5</f>
        <v>1</v>
      </c>
      <c r="W5" s="1" t="n">
        <f aca="false">F5</f>
        <v>1</v>
      </c>
      <c r="X5" s="1" t="n">
        <f aca="false">F5</f>
        <v>1</v>
      </c>
      <c r="Y5" s="1" t="n">
        <f aca="false">F5</f>
        <v>1</v>
      </c>
      <c r="Z5" s="1" t="n">
        <f aca="false">F5</f>
        <v>1</v>
      </c>
      <c r="AA5" s="1" t="n">
        <f aca="false">F5</f>
        <v>1</v>
      </c>
      <c r="AB5" s="1" t="n">
        <f aca="false">F5</f>
        <v>1</v>
      </c>
      <c r="AC5" s="1" t="n">
        <f aca="false">F5</f>
        <v>1</v>
      </c>
      <c r="AD5" s="1" t="n">
        <f aca="false">F5</f>
        <v>1</v>
      </c>
      <c r="AE5" s="1" t="n">
        <f aca="false">B5</f>
        <v>113.157696768048</v>
      </c>
      <c r="AF5" s="1" t="n">
        <f aca="false">B5</f>
        <v>113.157696768048</v>
      </c>
      <c r="AG5" s="1" t="n">
        <f aca="false">B5</f>
        <v>113.157696768048</v>
      </c>
      <c r="AH5" s="1" t="n">
        <f aca="false">B5</f>
        <v>113.157696768048</v>
      </c>
      <c r="AI5" s="1" t="n">
        <f aca="false">B5</f>
        <v>113.157696768048</v>
      </c>
      <c r="AJ5" s="1" t="n">
        <f aca="false">B5</f>
        <v>113.157696768048</v>
      </c>
      <c r="AK5" s="1" t="n">
        <f aca="false">B5</f>
        <v>113.157696768048</v>
      </c>
      <c r="AL5" s="1" t="n">
        <f aca="false">B5</f>
        <v>113.157696768048</v>
      </c>
      <c r="AM5" s="1" t="n">
        <f aca="false">B5</f>
        <v>113.157696768048</v>
      </c>
      <c r="AN5" s="1" t="n">
        <f aca="false">F5</f>
        <v>1</v>
      </c>
      <c r="AO5" s="1" t="n">
        <f aca="false">F5</f>
        <v>1</v>
      </c>
      <c r="AP5" s="1" t="n">
        <f aca="false">F5</f>
        <v>1</v>
      </c>
      <c r="AQ5" s="1" t="n">
        <f aca="false">F5</f>
        <v>1</v>
      </c>
      <c r="AR5" s="1" t="n">
        <f aca="false">F5</f>
        <v>1</v>
      </c>
      <c r="AS5" s="1" t="n">
        <f aca="false">F5</f>
        <v>1</v>
      </c>
      <c r="AT5" s="1" t="n">
        <v>1</v>
      </c>
      <c r="AU5" s="1" t="n">
        <f aca="false">F5</f>
        <v>1</v>
      </c>
      <c r="AV5" s="1" t="n">
        <f aca="false">F5</f>
        <v>1</v>
      </c>
      <c r="AW5" s="1" t="n">
        <f aca="false">F5</f>
        <v>1</v>
      </c>
      <c r="AX5" s="1" t="n">
        <f aca="false">B5</f>
        <v>113.157696768048</v>
      </c>
      <c r="AY5" s="1" t="n">
        <f aca="false">B5</f>
        <v>113.157696768048</v>
      </c>
      <c r="AZ5" s="1" t="n">
        <f aca="false">B5</f>
        <v>113.157696768048</v>
      </c>
      <c r="BA5" s="1" t="n">
        <f aca="false">F5</f>
        <v>1</v>
      </c>
      <c r="BB5" s="1" t="n">
        <f aca="false">F5</f>
        <v>1</v>
      </c>
      <c r="BC5" s="1" t="n">
        <f aca="false">B5</f>
        <v>113.157696768048</v>
      </c>
      <c r="BD5" s="1" t="n">
        <f aca="false">B5</f>
        <v>113.157696768048</v>
      </c>
      <c r="BE5" s="1" t="n">
        <v>1</v>
      </c>
      <c r="BF5" s="1" t="n">
        <v>1</v>
      </c>
      <c r="BG5" s="1" t="n">
        <f aca="false">B5</f>
        <v>113.157696768048</v>
      </c>
      <c r="BH5" s="1" t="n">
        <f aca="false">B5</f>
        <v>113.157696768048</v>
      </c>
      <c r="BI5" s="1" t="n">
        <f aca="false">B5</f>
        <v>113.157696768048</v>
      </c>
      <c r="BJ5" s="1" t="n">
        <f aca="false">B5</f>
        <v>113.157696768048</v>
      </c>
      <c r="BK5" s="1" t="n">
        <v>1</v>
      </c>
    </row>
    <row r="6" customFormat="false" ht="12.75" hidden="false" customHeight="false" outlineLevel="0" collapsed="false">
      <c r="A6" s="6" t="n">
        <v>2021</v>
      </c>
      <c r="B6" s="1" t="n">
        <f aca="false">im!F6/im!E6</f>
        <v>113.157696768048</v>
      </c>
      <c r="C6" s="1" t="n">
        <f aca="false">B6</f>
        <v>113.157696768048</v>
      </c>
      <c r="D6" s="1" t="n">
        <f aca="false">B6</f>
        <v>113.157696768048</v>
      </c>
      <c r="E6" s="1" t="n">
        <f aca="false">B6</f>
        <v>113.157696768048</v>
      </c>
      <c r="F6" s="1" t="n">
        <v>1</v>
      </c>
      <c r="G6" s="1" t="n">
        <f aca="false">F6</f>
        <v>1</v>
      </c>
      <c r="H6" s="1" t="n">
        <f aca="false">F6</f>
        <v>1</v>
      </c>
      <c r="I6" s="1" t="n">
        <f aca="false">F6</f>
        <v>1</v>
      </c>
      <c r="J6" s="1" t="n">
        <v>1</v>
      </c>
      <c r="K6" s="1" t="n">
        <v>1</v>
      </c>
      <c r="L6" s="1" t="n">
        <f aca="false">B6</f>
        <v>113.157696768048</v>
      </c>
      <c r="M6" s="1" t="n">
        <f aca="false">B6</f>
        <v>113.157696768048</v>
      </c>
      <c r="N6" s="1" t="n">
        <f aca="false">B6</f>
        <v>113.157696768048</v>
      </c>
      <c r="O6" s="1" t="n">
        <f aca="false">B6</f>
        <v>113.157696768048</v>
      </c>
      <c r="P6" s="1" t="n">
        <f aca="false">B6</f>
        <v>113.157696768048</v>
      </c>
      <c r="Q6" s="1" t="n">
        <f aca="false">F6</f>
        <v>1</v>
      </c>
      <c r="R6" s="1" t="n">
        <f aca="false">F6</f>
        <v>1</v>
      </c>
      <c r="S6" s="1" t="n">
        <f aca="false">F6</f>
        <v>1</v>
      </c>
      <c r="T6" s="1" t="n">
        <v>1</v>
      </c>
      <c r="U6" s="1" t="n">
        <v>1</v>
      </c>
      <c r="V6" s="1" t="n">
        <f aca="false">F6</f>
        <v>1</v>
      </c>
      <c r="W6" s="1" t="n">
        <f aca="false">F6</f>
        <v>1</v>
      </c>
      <c r="X6" s="1" t="n">
        <f aca="false">F6</f>
        <v>1</v>
      </c>
      <c r="Y6" s="1" t="n">
        <f aca="false">F6</f>
        <v>1</v>
      </c>
      <c r="Z6" s="1" t="n">
        <f aca="false">F6</f>
        <v>1</v>
      </c>
      <c r="AA6" s="1" t="n">
        <f aca="false">F6</f>
        <v>1</v>
      </c>
      <c r="AB6" s="1" t="n">
        <f aca="false">F6</f>
        <v>1</v>
      </c>
      <c r="AC6" s="1" t="n">
        <f aca="false">F6</f>
        <v>1</v>
      </c>
      <c r="AD6" s="1" t="n">
        <f aca="false">F6</f>
        <v>1</v>
      </c>
      <c r="AE6" s="1" t="n">
        <f aca="false">B6</f>
        <v>113.157696768048</v>
      </c>
      <c r="AF6" s="1" t="n">
        <f aca="false">B6</f>
        <v>113.157696768048</v>
      </c>
      <c r="AG6" s="1" t="n">
        <f aca="false">B6</f>
        <v>113.157696768048</v>
      </c>
      <c r="AH6" s="1" t="n">
        <f aca="false">B6</f>
        <v>113.157696768048</v>
      </c>
      <c r="AI6" s="1" t="n">
        <f aca="false">B6</f>
        <v>113.157696768048</v>
      </c>
      <c r="AJ6" s="1" t="n">
        <f aca="false">B6</f>
        <v>113.157696768048</v>
      </c>
      <c r="AK6" s="1" t="n">
        <f aca="false">B6</f>
        <v>113.157696768048</v>
      </c>
      <c r="AL6" s="1" t="n">
        <f aca="false">B6</f>
        <v>113.157696768048</v>
      </c>
      <c r="AM6" s="1" t="n">
        <f aca="false">B6</f>
        <v>113.157696768048</v>
      </c>
      <c r="AN6" s="1" t="n">
        <f aca="false">F6</f>
        <v>1</v>
      </c>
      <c r="AO6" s="1" t="n">
        <f aca="false">F6</f>
        <v>1</v>
      </c>
      <c r="AP6" s="1" t="n">
        <f aca="false">F6</f>
        <v>1</v>
      </c>
      <c r="AQ6" s="1" t="n">
        <f aca="false">F6</f>
        <v>1</v>
      </c>
      <c r="AR6" s="1" t="n">
        <f aca="false">F6</f>
        <v>1</v>
      </c>
      <c r="AS6" s="1" t="n">
        <f aca="false">F6</f>
        <v>1</v>
      </c>
      <c r="AT6" s="1" t="n">
        <v>1</v>
      </c>
      <c r="AU6" s="1" t="n">
        <f aca="false">F6</f>
        <v>1</v>
      </c>
      <c r="AV6" s="1" t="n">
        <f aca="false">F6</f>
        <v>1</v>
      </c>
      <c r="AW6" s="1" t="n">
        <f aca="false">F6</f>
        <v>1</v>
      </c>
      <c r="AX6" s="1" t="n">
        <f aca="false">B6</f>
        <v>113.157696768048</v>
      </c>
      <c r="AY6" s="1" t="n">
        <f aca="false">B6</f>
        <v>113.157696768048</v>
      </c>
      <c r="AZ6" s="1" t="n">
        <f aca="false">B6</f>
        <v>113.157696768048</v>
      </c>
      <c r="BA6" s="1" t="n">
        <f aca="false">F6</f>
        <v>1</v>
      </c>
      <c r="BB6" s="1" t="n">
        <f aca="false">F6</f>
        <v>1</v>
      </c>
      <c r="BC6" s="1" t="n">
        <f aca="false">B6</f>
        <v>113.157696768048</v>
      </c>
      <c r="BD6" s="1" t="n">
        <f aca="false">B6</f>
        <v>113.157696768048</v>
      </c>
      <c r="BE6" s="1" t="n">
        <v>1</v>
      </c>
      <c r="BF6" s="1" t="n">
        <v>1</v>
      </c>
      <c r="BG6" s="1" t="n">
        <f aca="false">B6</f>
        <v>113.157696768048</v>
      </c>
      <c r="BH6" s="1" t="n">
        <f aca="false">B6</f>
        <v>113.157696768048</v>
      </c>
      <c r="BI6" s="1" t="n">
        <f aca="false">B6</f>
        <v>113.157696768048</v>
      </c>
      <c r="BJ6" s="1" t="n">
        <f aca="false">B6</f>
        <v>113.157696768048</v>
      </c>
      <c r="BK6" s="1" t="n">
        <v>1</v>
      </c>
    </row>
    <row r="7" customFormat="false" ht="12.75" hidden="false" customHeight="false" outlineLevel="0" collapsed="false">
      <c r="A7" s="6" t="n">
        <v>2020</v>
      </c>
      <c r="B7" s="1" t="n">
        <f aca="false">im!F7/im!E7</f>
        <v>113.157696768048</v>
      </c>
      <c r="C7" s="1" t="n">
        <f aca="false">B7</f>
        <v>113.157696768048</v>
      </c>
      <c r="D7" s="1" t="n">
        <f aca="false">B7</f>
        <v>113.157696768048</v>
      </c>
      <c r="E7" s="1" t="n">
        <f aca="false">B7</f>
        <v>113.157696768048</v>
      </c>
      <c r="F7" s="1" t="n">
        <v>1</v>
      </c>
      <c r="G7" s="1" t="n">
        <f aca="false">F7</f>
        <v>1</v>
      </c>
      <c r="H7" s="1" t="n">
        <f aca="false">F7</f>
        <v>1</v>
      </c>
      <c r="I7" s="1" t="n">
        <f aca="false">F7</f>
        <v>1</v>
      </c>
      <c r="J7" s="1" t="n">
        <v>1</v>
      </c>
      <c r="K7" s="1" t="n">
        <v>1</v>
      </c>
      <c r="L7" s="1" t="n">
        <f aca="false">B7</f>
        <v>113.157696768048</v>
      </c>
      <c r="M7" s="1" t="n">
        <f aca="false">B7</f>
        <v>113.157696768048</v>
      </c>
      <c r="N7" s="1" t="n">
        <f aca="false">B7</f>
        <v>113.157696768048</v>
      </c>
      <c r="O7" s="1" t="n">
        <f aca="false">B7</f>
        <v>113.157696768048</v>
      </c>
      <c r="P7" s="1" t="n">
        <f aca="false">B7</f>
        <v>113.157696768048</v>
      </c>
      <c r="Q7" s="1" t="n">
        <f aca="false">F7</f>
        <v>1</v>
      </c>
      <c r="R7" s="1" t="n">
        <f aca="false">F7</f>
        <v>1</v>
      </c>
      <c r="S7" s="1" t="n">
        <f aca="false">F7</f>
        <v>1</v>
      </c>
      <c r="T7" s="1" t="n">
        <v>1</v>
      </c>
      <c r="U7" s="1" t="n">
        <v>1</v>
      </c>
      <c r="V7" s="1" t="n">
        <f aca="false">F7</f>
        <v>1</v>
      </c>
      <c r="W7" s="1" t="n">
        <f aca="false">F7</f>
        <v>1</v>
      </c>
      <c r="X7" s="1" t="n">
        <f aca="false">F7</f>
        <v>1</v>
      </c>
      <c r="Y7" s="1" t="n">
        <f aca="false">F7</f>
        <v>1</v>
      </c>
      <c r="Z7" s="1" t="n">
        <f aca="false">F7</f>
        <v>1</v>
      </c>
      <c r="AA7" s="1" t="n">
        <f aca="false">F7</f>
        <v>1</v>
      </c>
      <c r="AB7" s="1" t="n">
        <f aca="false">F7</f>
        <v>1</v>
      </c>
      <c r="AC7" s="1" t="n">
        <f aca="false">F7</f>
        <v>1</v>
      </c>
      <c r="AD7" s="1" t="n">
        <f aca="false">F7</f>
        <v>1</v>
      </c>
      <c r="AE7" s="1" t="n">
        <f aca="false">B7</f>
        <v>113.157696768048</v>
      </c>
      <c r="AF7" s="1" t="n">
        <f aca="false">B7</f>
        <v>113.157696768048</v>
      </c>
      <c r="AG7" s="1" t="n">
        <f aca="false">B7</f>
        <v>113.157696768048</v>
      </c>
      <c r="AH7" s="1" t="n">
        <f aca="false">B7</f>
        <v>113.157696768048</v>
      </c>
      <c r="AI7" s="1" t="n">
        <f aca="false">B7</f>
        <v>113.157696768048</v>
      </c>
      <c r="AJ7" s="1" t="n">
        <f aca="false">B7</f>
        <v>113.157696768048</v>
      </c>
      <c r="AK7" s="1" t="n">
        <f aca="false">B7</f>
        <v>113.157696768048</v>
      </c>
      <c r="AL7" s="1" t="n">
        <f aca="false">B7</f>
        <v>113.157696768048</v>
      </c>
      <c r="AM7" s="1" t="n">
        <f aca="false">B7</f>
        <v>113.157696768048</v>
      </c>
      <c r="AN7" s="1" t="n">
        <f aca="false">F7</f>
        <v>1</v>
      </c>
      <c r="AO7" s="1" t="n">
        <f aca="false">F7</f>
        <v>1</v>
      </c>
      <c r="AP7" s="1" t="n">
        <f aca="false">F7</f>
        <v>1</v>
      </c>
      <c r="AQ7" s="1" t="n">
        <f aca="false">F7</f>
        <v>1</v>
      </c>
      <c r="AR7" s="1" t="n">
        <f aca="false">F7</f>
        <v>1</v>
      </c>
      <c r="AS7" s="1" t="n">
        <f aca="false">F7</f>
        <v>1</v>
      </c>
      <c r="AT7" s="1" t="n">
        <v>1</v>
      </c>
      <c r="AU7" s="1" t="n">
        <f aca="false">F7</f>
        <v>1</v>
      </c>
      <c r="AV7" s="1" t="n">
        <f aca="false">F7</f>
        <v>1</v>
      </c>
      <c r="AW7" s="1" t="n">
        <f aca="false">F7</f>
        <v>1</v>
      </c>
      <c r="AX7" s="1" t="n">
        <f aca="false">B7</f>
        <v>113.157696768048</v>
      </c>
      <c r="AY7" s="1" t="n">
        <f aca="false">B7</f>
        <v>113.157696768048</v>
      </c>
      <c r="AZ7" s="1" t="n">
        <f aca="false">B7</f>
        <v>113.157696768048</v>
      </c>
      <c r="BA7" s="1" t="n">
        <f aca="false">F7</f>
        <v>1</v>
      </c>
      <c r="BB7" s="1" t="n">
        <f aca="false">F7</f>
        <v>1</v>
      </c>
      <c r="BC7" s="1" t="n">
        <f aca="false">B7</f>
        <v>113.157696768048</v>
      </c>
      <c r="BD7" s="1" t="n">
        <f aca="false">B7</f>
        <v>113.157696768048</v>
      </c>
      <c r="BE7" s="1" t="n">
        <v>1</v>
      </c>
      <c r="BF7" s="1" t="n">
        <v>1</v>
      </c>
      <c r="BG7" s="1" t="n">
        <f aca="false">B7</f>
        <v>113.157696768048</v>
      </c>
      <c r="BH7" s="1" t="n">
        <f aca="false">B7</f>
        <v>113.157696768048</v>
      </c>
      <c r="BI7" s="1" t="n">
        <f aca="false">B7</f>
        <v>113.157696768048</v>
      </c>
      <c r="BJ7" s="1" t="n">
        <f aca="false">B7</f>
        <v>113.157696768048</v>
      </c>
      <c r="BK7" s="1" t="n">
        <v>1</v>
      </c>
    </row>
    <row r="8" customFormat="false" ht="12.75" hidden="false" customHeight="false" outlineLevel="0" collapsed="false">
      <c r="A8" s="1" t="n">
        <v>2019</v>
      </c>
      <c r="B8" s="1" t="n">
        <f aca="false">im!F8/im!E8</f>
        <v>81.3593108187665</v>
      </c>
      <c r="C8" s="1" t="n">
        <f aca="false">B8</f>
        <v>81.3593108187665</v>
      </c>
      <c r="D8" s="1" t="n">
        <f aca="false">B8</f>
        <v>81.3593108187665</v>
      </c>
      <c r="E8" s="1" t="n">
        <f aca="false">B8</f>
        <v>81.3593108187665</v>
      </c>
      <c r="F8" s="1" t="n">
        <v>1</v>
      </c>
      <c r="G8" s="1" t="n">
        <f aca="false">F8</f>
        <v>1</v>
      </c>
      <c r="H8" s="1" t="n">
        <f aca="false">F8</f>
        <v>1</v>
      </c>
      <c r="I8" s="1" t="n">
        <f aca="false">F8</f>
        <v>1</v>
      </c>
      <c r="J8" s="1" t="n">
        <v>1</v>
      </c>
      <c r="K8" s="1" t="n">
        <v>1</v>
      </c>
      <c r="L8" s="1" t="n">
        <f aca="false">B8</f>
        <v>81.3593108187665</v>
      </c>
      <c r="M8" s="1" t="n">
        <f aca="false">B8</f>
        <v>81.3593108187665</v>
      </c>
      <c r="N8" s="1" t="n">
        <f aca="false">B8</f>
        <v>81.3593108187665</v>
      </c>
      <c r="O8" s="1" t="n">
        <f aca="false">B8</f>
        <v>81.3593108187665</v>
      </c>
      <c r="P8" s="1" t="n">
        <f aca="false">B8</f>
        <v>81.3593108187665</v>
      </c>
      <c r="Q8" s="1" t="n">
        <f aca="false">F8</f>
        <v>1</v>
      </c>
      <c r="R8" s="1" t="n">
        <f aca="false">F8</f>
        <v>1</v>
      </c>
      <c r="S8" s="1" t="n">
        <f aca="false">F8</f>
        <v>1</v>
      </c>
      <c r="T8" s="1" t="n">
        <v>1</v>
      </c>
      <c r="U8" s="1" t="n">
        <v>1</v>
      </c>
      <c r="V8" s="1" t="n">
        <f aca="false">F8</f>
        <v>1</v>
      </c>
      <c r="W8" s="1" t="n">
        <f aca="false">F8</f>
        <v>1</v>
      </c>
      <c r="X8" s="1" t="n">
        <f aca="false">F8</f>
        <v>1</v>
      </c>
      <c r="Y8" s="1" t="n">
        <f aca="false">F8</f>
        <v>1</v>
      </c>
      <c r="Z8" s="1" t="n">
        <f aca="false">F8</f>
        <v>1</v>
      </c>
      <c r="AA8" s="1" t="n">
        <f aca="false">F8</f>
        <v>1</v>
      </c>
      <c r="AB8" s="1" t="n">
        <f aca="false">F8</f>
        <v>1</v>
      </c>
      <c r="AC8" s="1" t="n">
        <f aca="false">F8</f>
        <v>1</v>
      </c>
      <c r="AD8" s="1" t="n">
        <f aca="false">F8</f>
        <v>1</v>
      </c>
      <c r="AE8" s="1" t="n">
        <f aca="false">B8</f>
        <v>81.3593108187665</v>
      </c>
      <c r="AF8" s="1" t="n">
        <f aca="false">B8</f>
        <v>81.3593108187665</v>
      </c>
      <c r="AG8" s="1" t="n">
        <f aca="false">B8</f>
        <v>81.3593108187665</v>
      </c>
      <c r="AH8" s="1" t="n">
        <f aca="false">B8</f>
        <v>81.3593108187665</v>
      </c>
      <c r="AI8" s="1" t="n">
        <f aca="false">B8</f>
        <v>81.3593108187665</v>
      </c>
      <c r="AJ8" s="1" t="n">
        <f aca="false">B8</f>
        <v>81.3593108187665</v>
      </c>
      <c r="AK8" s="1" t="n">
        <f aca="false">B8</f>
        <v>81.3593108187665</v>
      </c>
      <c r="AL8" s="1" t="n">
        <f aca="false">B8</f>
        <v>81.3593108187665</v>
      </c>
      <c r="AM8" s="1" t="n">
        <f aca="false">B8</f>
        <v>81.3593108187665</v>
      </c>
      <c r="AN8" s="1" t="n">
        <f aca="false">F8</f>
        <v>1</v>
      </c>
      <c r="AO8" s="1" t="n">
        <f aca="false">F8</f>
        <v>1</v>
      </c>
      <c r="AP8" s="1" t="n">
        <f aca="false">F8</f>
        <v>1</v>
      </c>
      <c r="AQ8" s="1" t="n">
        <f aca="false">F8</f>
        <v>1</v>
      </c>
      <c r="AR8" s="1" t="n">
        <f aca="false">F8</f>
        <v>1</v>
      </c>
      <c r="AS8" s="1" t="n">
        <f aca="false">F8</f>
        <v>1</v>
      </c>
      <c r="AT8" s="1" t="n">
        <v>1</v>
      </c>
      <c r="AU8" s="1" t="n">
        <f aca="false">F8</f>
        <v>1</v>
      </c>
      <c r="AV8" s="1" t="n">
        <f aca="false">F8</f>
        <v>1</v>
      </c>
      <c r="AW8" s="1" t="n">
        <f aca="false">F8</f>
        <v>1</v>
      </c>
      <c r="AX8" s="1" t="n">
        <f aca="false">B8</f>
        <v>81.3593108187665</v>
      </c>
      <c r="AY8" s="1" t="n">
        <f aca="false">B8</f>
        <v>81.3593108187665</v>
      </c>
      <c r="AZ8" s="1" t="n">
        <f aca="false">B8</f>
        <v>81.3593108187665</v>
      </c>
      <c r="BA8" s="1" t="n">
        <f aca="false">F8</f>
        <v>1</v>
      </c>
      <c r="BB8" s="1" t="n">
        <f aca="false">F8</f>
        <v>1</v>
      </c>
      <c r="BC8" s="1" t="n">
        <f aca="false">B8</f>
        <v>81.3593108187665</v>
      </c>
      <c r="BD8" s="1" t="n">
        <f aca="false">B8</f>
        <v>81.3593108187665</v>
      </c>
      <c r="BE8" s="1" t="n">
        <v>1</v>
      </c>
      <c r="BF8" s="1" t="n">
        <v>1</v>
      </c>
      <c r="BG8" s="1" t="n">
        <f aca="false">B8</f>
        <v>81.3593108187665</v>
      </c>
      <c r="BH8" s="1" t="n">
        <f aca="false">B8</f>
        <v>81.3593108187665</v>
      </c>
      <c r="BI8" s="1" t="n">
        <f aca="false">B8</f>
        <v>81.3593108187665</v>
      </c>
      <c r="BJ8" s="1" t="n">
        <f aca="false">B8</f>
        <v>81.3593108187665</v>
      </c>
      <c r="BK8" s="1" t="n">
        <v>1</v>
      </c>
    </row>
    <row r="9" customFormat="false" ht="12.75" hidden="false" customHeight="false" outlineLevel="0" collapsed="false">
      <c r="A9" s="1" t="n">
        <f aca="false">A8-1</f>
        <v>2018</v>
      </c>
      <c r="B9" s="1" t="n">
        <f aca="false">im!F9/im!E9</f>
        <v>40.6237529987159</v>
      </c>
      <c r="C9" s="1" t="n">
        <f aca="false">B9</f>
        <v>40.6237529987159</v>
      </c>
      <c r="D9" s="1" t="n">
        <f aca="false">B9</f>
        <v>40.6237529987159</v>
      </c>
      <c r="E9" s="1" t="n">
        <f aca="false">B9</f>
        <v>40.6237529987159</v>
      </c>
      <c r="F9" s="1" t="n">
        <v>1</v>
      </c>
      <c r="G9" s="1" t="n">
        <f aca="false">F9</f>
        <v>1</v>
      </c>
      <c r="H9" s="1" t="n">
        <f aca="false">F9</f>
        <v>1</v>
      </c>
      <c r="I9" s="1" t="n">
        <f aca="false">F9</f>
        <v>1</v>
      </c>
      <c r="J9" s="1" t="n">
        <v>1</v>
      </c>
      <c r="K9" s="1" t="n">
        <v>1</v>
      </c>
      <c r="L9" s="1" t="n">
        <f aca="false">B9</f>
        <v>40.6237529987159</v>
      </c>
      <c r="M9" s="1" t="n">
        <f aca="false">B9</f>
        <v>40.6237529987159</v>
      </c>
      <c r="N9" s="1" t="n">
        <f aca="false">B9</f>
        <v>40.6237529987159</v>
      </c>
      <c r="O9" s="1" t="n">
        <f aca="false">B9</f>
        <v>40.6237529987159</v>
      </c>
      <c r="P9" s="1" t="n">
        <f aca="false">B9</f>
        <v>40.6237529987159</v>
      </c>
      <c r="Q9" s="1" t="n">
        <f aca="false">F9</f>
        <v>1</v>
      </c>
      <c r="R9" s="1" t="n">
        <f aca="false">F9</f>
        <v>1</v>
      </c>
      <c r="S9" s="1" t="n">
        <f aca="false">F9</f>
        <v>1</v>
      </c>
      <c r="T9" s="1" t="n">
        <v>1</v>
      </c>
      <c r="U9" s="1" t="n">
        <v>1</v>
      </c>
      <c r="V9" s="1" t="n">
        <f aca="false">F9</f>
        <v>1</v>
      </c>
      <c r="W9" s="1" t="n">
        <f aca="false">F9</f>
        <v>1</v>
      </c>
      <c r="X9" s="1" t="n">
        <f aca="false">F9</f>
        <v>1</v>
      </c>
      <c r="Y9" s="1" t="n">
        <f aca="false">F9</f>
        <v>1</v>
      </c>
      <c r="Z9" s="1" t="n">
        <f aca="false">F9</f>
        <v>1</v>
      </c>
      <c r="AA9" s="1" t="n">
        <f aca="false">F9</f>
        <v>1</v>
      </c>
      <c r="AB9" s="1" t="n">
        <f aca="false">F9</f>
        <v>1</v>
      </c>
      <c r="AC9" s="1" t="n">
        <f aca="false">F9</f>
        <v>1</v>
      </c>
      <c r="AD9" s="1" t="n">
        <f aca="false">F9</f>
        <v>1</v>
      </c>
      <c r="AE9" s="1" t="n">
        <f aca="false">B9</f>
        <v>40.6237529987159</v>
      </c>
      <c r="AF9" s="1" t="n">
        <f aca="false">B9</f>
        <v>40.6237529987159</v>
      </c>
      <c r="AG9" s="1" t="n">
        <f aca="false">B9</f>
        <v>40.6237529987159</v>
      </c>
      <c r="AH9" s="1" t="n">
        <f aca="false">B9</f>
        <v>40.6237529987159</v>
      </c>
      <c r="AI9" s="1" t="n">
        <f aca="false">B9</f>
        <v>40.6237529987159</v>
      </c>
      <c r="AJ9" s="1" t="n">
        <f aca="false">B9</f>
        <v>40.6237529987159</v>
      </c>
      <c r="AK9" s="1" t="n">
        <f aca="false">B9</f>
        <v>40.6237529987159</v>
      </c>
      <c r="AL9" s="1" t="n">
        <f aca="false">B9</f>
        <v>40.6237529987159</v>
      </c>
      <c r="AM9" s="1" t="n">
        <f aca="false">B9</f>
        <v>40.6237529987159</v>
      </c>
      <c r="AN9" s="1" t="n">
        <f aca="false">F9</f>
        <v>1</v>
      </c>
      <c r="AO9" s="1" t="n">
        <f aca="false">F9</f>
        <v>1</v>
      </c>
      <c r="AP9" s="1" t="n">
        <f aca="false">F9</f>
        <v>1</v>
      </c>
      <c r="AQ9" s="1" t="n">
        <f aca="false">F9</f>
        <v>1</v>
      </c>
      <c r="AR9" s="1" t="n">
        <f aca="false">F9</f>
        <v>1</v>
      </c>
      <c r="AS9" s="1" t="n">
        <f aca="false">F9</f>
        <v>1</v>
      </c>
      <c r="AT9" s="1" t="n">
        <v>1</v>
      </c>
      <c r="AU9" s="1" t="n">
        <f aca="false">F9</f>
        <v>1</v>
      </c>
      <c r="AV9" s="1" t="n">
        <f aca="false">F9</f>
        <v>1</v>
      </c>
      <c r="AW9" s="1" t="n">
        <f aca="false">F9</f>
        <v>1</v>
      </c>
      <c r="AX9" s="1" t="n">
        <f aca="false">B9</f>
        <v>40.6237529987159</v>
      </c>
      <c r="AY9" s="1" t="n">
        <f aca="false">B9</f>
        <v>40.6237529987159</v>
      </c>
      <c r="AZ9" s="1" t="n">
        <f aca="false">B9</f>
        <v>40.6237529987159</v>
      </c>
      <c r="BA9" s="1" t="n">
        <f aca="false">F9</f>
        <v>1</v>
      </c>
      <c r="BB9" s="1" t="n">
        <f aca="false">F9</f>
        <v>1</v>
      </c>
      <c r="BC9" s="1" t="n">
        <f aca="false">B9</f>
        <v>40.6237529987159</v>
      </c>
      <c r="BD9" s="1" t="n">
        <f aca="false">B9</f>
        <v>40.6237529987159</v>
      </c>
      <c r="BE9" s="1" t="n">
        <v>1</v>
      </c>
      <c r="BF9" s="1" t="n">
        <v>1</v>
      </c>
      <c r="BG9" s="1" t="n">
        <f aca="false">B9</f>
        <v>40.6237529987159</v>
      </c>
      <c r="BH9" s="1" t="n">
        <f aca="false">B9</f>
        <v>40.6237529987159</v>
      </c>
      <c r="BI9" s="1" t="n">
        <f aca="false">B9</f>
        <v>40.6237529987159</v>
      </c>
      <c r="BJ9" s="1" t="n">
        <f aca="false">B9</f>
        <v>40.6237529987159</v>
      </c>
      <c r="BK9" s="1" t="n">
        <v>1</v>
      </c>
    </row>
    <row r="10" customFormat="false" ht="12.75" hidden="false" customHeight="false" outlineLevel="0" collapsed="false">
      <c r="A10" s="1" t="n">
        <f aca="false">A9-1</f>
        <v>2017</v>
      </c>
      <c r="B10" s="1" t="n">
        <f aca="false">im!F10/im!E10</f>
        <v>42.0378391242292</v>
      </c>
      <c r="C10" s="1" t="n">
        <f aca="false">B10</f>
        <v>42.0378391242292</v>
      </c>
      <c r="D10" s="1" t="n">
        <f aca="false">B10</f>
        <v>42.0378391242292</v>
      </c>
      <c r="E10" s="1" t="n">
        <f aca="false">B10</f>
        <v>42.0378391242292</v>
      </c>
      <c r="F10" s="1" t="n">
        <v>1</v>
      </c>
      <c r="G10" s="1" t="n">
        <f aca="false">F10</f>
        <v>1</v>
      </c>
      <c r="H10" s="1" t="n">
        <f aca="false">F10</f>
        <v>1</v>
      </c>
      <c r="I10" s="1" t="n">
        <f aca="false">F10</f>
        <v>1</v>
      </c>
      <c r="J10" s="1" t="n">
        <v>1</v>
      </c>
      <c r="K10" s="1" t="n">
        <v>1</v>
      </c>
      <c r="L10" s="1" t="n">
        <f aca="false">B10</f>
        <v>42.0378391242292</v>
      </c>
      <c r="M10" s="1" t="n">
        <f aca="false">B10</f>
        <v>42.0378391242292</v>
      </c>
      <c r="N10" s="1" t="n">
        <f aca="false">B10</f>
        <v>42.0378391242292</v>
      </c>
      <c r="O10" s="1" t="n">
        <f aca="false">B10</f>
        <v>42.0378391242292</v>
      </c>
      <c r="P10" s="1" t="n">
        <f aca="false">B10</f>
        <v>42.0378391242292</v>
      </c>
      <c r="Q10" s="1" t="n">
        <f aca="false">F10</f>
        <v>1</v>
      </c>
      <c r="R10" s="1" t="n">
        <f aca="false">F10</f>
        <v>1</v>
      </c>
      <c r="S10" s="1" t="n">
        <f aca="false">F10</f>
        <v>1</v>
      </c>
      <c r="T10" s="1" t="n">
        <v>1</v>
      </c>
      <c r="U10" s="1" t="n">
        <v>1</v>
      </c>
      <c r="V10" s="1" t="n">
        <f aca="false">F10</f>
        <v>1</v>
      </c>
      <c r="W10" s="1" t="n">
        <f aca="false">F10</f>
        <v>1</v>
      </c>
      <c r="X10" s="1" t="n">
        <f aca="false">F10</f>
        <v>1</v>
      </c>
      <c r="Y10" s="1" t="n">
        <f aca="false">F10</f>
        <v>1</v>
      </c>
      <c r="Z10" s="1" t="n">
        <f aca="false">F10</f>
        <v>1</v>
      </c>
      <c r="AA10" s="1" t="n">
        <f aca="false">F10</f>
        <v>1</v>
      </c>
      <c r="AB10" s="1" t="n">
        <f aca="false">F10</f>
        <v>1</v>
      </c>
      <c r="AC10" s="1" t="n">
        <f aca="false">F10</f>
        <v>1</v>
      </c>
      <c r="AD10" s="1" t="n">
        <f aca="false">F10</f>
        <v>1</v>
      </c>
      <c r="AE10" s="1" t="n">
        <f aca="false">B10</f>
        <v>42.0378391242292</v>
      </c>
      <c r="AF10" s="1" t="n">
        <f aca="false">B10</f>
        <v>42.0378391242292</v>
      </c>
      <c r="AG10" s="1" t="n">
        <f aca="false">B10</f>
        <v>42.0378391242292</v>
      </c>
      <c r="AH10" s="1" t="n">
        <f aca="false">B10</f>
        <v>42.0378391242292</v>
      </c>
      <c r="AI10" s="1" t="n">
        <f aca="false">B10</f>
        <v>42.0378391242292</v>
      </c>
      <c r="AJ10" s="1" t="n">
        <f aca="false">B10</f>
        <v>42.0378391242292</v>
      </c>
      <c r="AK10" s="1" t="n">
        <f aca="false">B10</f>
        <v>42.0378391242292</v>
      </c>
      <c r="AL10" s="1" t="n">
        <f aca="false">B10</f>
        <v>42.0378391242292</v>
      </c>
      <c r="AM10" s="1" t="n">
        <f aca="false">B10</f>
        <v>42.0378391242292</v>
      </c>
      <c r="AN10" s="1" t="n">
        <f aca="false">F10</f>
        <v>1</v>
      </c>
      <c r="AO10" s="1" t="n">
        <f aca="false">F10</f>
        <v>1</v>
      </c>
      <c r="AP10" s="1" t="n">
        <f aca="false">F10</f>
        <v>1</v>
      </c>
      <c r="AQ10" s="1" t="n">
        <f aca="false">F10</f>
        <v>1</v>
      </c>
      <c r="AR10" s="1" t="n">
        <f aca="false">F10</f>
        <v>1</v>
      </c>
      <c r="AS10" s="1" t="n">
        <f aca="false">F10</f>
        <v>1</v>
      </c>
      <c r="AT10" s="1" t="n">
        <v>1</v>
      </c>
      <c r="AU10" s="1" t="n">
        <f aca="false">F10</f>
        <v>1</v>
      </c>
      <c r="AV10" s="1" t="n">
        <f aca="false">F10</f>
        <v>1</v>
      </c>
      <c r="AW10" s="1" t="n">
        <f aca="false">F10</f>
        <v>1</v>
      </c>
      <c r="AX10" s="1" t="n">
        <f aca="false">B10</f>
        <v>42.0378391242292</v>
      </c>
      <c r="AY10" s="1" t="n">
        <f aca="false">B10</f>
        <v>42.0378391242292</v>
      </c>
      <c r="AZ10" s="1" t="n">
        <f aca="false">B10</f>
        <v>42.0378391242292</v>
      </c>
      <c r="BA10" s="1" t="n">
        <f aca="false">F10</f>
        <v>1</v>
      </c>
      <c r="BB10" s="1" t="n">
        <f aca="false">F10</f>
        <v>1</v>
      </c>
      <c r="BC10" s="1" t="n">
        <f aca="false">B10</f>
        <v>42.0378391242292</v>
      </c>
      <c r="BD10" s="1" t="n">
        <f aca="false">B10</f>
        <v>42.0378391242292</v>
      </c>
      <c r="BE10" s="1" t="n">
        <v>1</v>
      </c>
      <c r="BF10" s="1" t="n">
        <v>1</v>
      </c>
      <c r="BG10" s="1" t="n">
        <f aca="false">B10</f>
        <v>42.0378391242292</v>
      </c>
      <c r="BH10" s="1" t="n">
        <f aca="false">B10</f>
        <v>42.0378391242292</v>
      </c>
      <c r="BI10" s="1" t="n">
        <f aca="false">B10</f>
        <v>42.0378391242292</v>
      </c>
      <c r="BJ10" s="1" t="n">
        <f aca="false">B10</f>
        <v>42.0378391242292</v>
      </c>
      <c r="BK10" s="1" t="n">
        <v>1</v>
      </c>
    </row>
    <row r="11" customFormat="false" ht="12.75" hidden="false" customHeight="false" outlineLevel="0" collapsed="false">
      <c r="A11" s="1" t="n">
        <f aca="false">A10-1</f>
        <v>2016</v>
      </c>
      <c r="B11" s="1" t="n">
        <f aca="false">im!F11/im!E11</f>
        <v>35.2165792906953</v>
      </c>
      <c r="C11" s="1" t="n">
        <f aca="false">B11</f>
        <v>35.2165792906953</v>
      </c>
      <c r="D11" s="1" t="n">
        <f aca="false">B11</f>
        <v>35.2165792906953</v>
      </c>
      <c r="E11" s="1" t="n">
        <f aca="false">B11</f>
        <v>35.2165792906953</v>
      </c>
      <c r="F11" s="1" t="n">
        <v>1</v>
      </c>
      <c r="G11" s="1" t="n">
        <f aca="false">F11</f>
        <v>1</v>
      </c>
      <c r="H11" s="1" t="n">
        <f aca="false">F11</f>
        <v>1</v>
      </c>
      <c r="I11" s="1" t="n">
        <f aca="false">F11</f>
        <v>1</v>
      </c>
      <c r="J11" s="1" t="n">
        <v>1</v>
      </c>
      <c r="K11" s="1" t="n">
        <v>1</v>
      </c>
      <c r="L11" s="1" t="n">
        <f aca="false">B11</f>
        <v>35.2165792906953</v>
      </c>
      <c r="M11" s="1" t="n">
        <f aca="false">B11</f>
        <v>35.2165792906953</v>
      </c>
      <c r="N11" s="1" t="n">
        <f aca="false">B11</f>
        <v>35.2165792906953</v>
      </c>
      <c r="O11" s="1" t="n">
        <f aca="false">B11</f>
        <v>35.2165792906953</v>
      </c>
      <c r="P11" s="1" t="n">
        <f aca="false">B11</f>
        <v>35.2165792906953</v>
      </c>
      <c r="Q11" s="1" t="n">
        <f aca="false">F11</f>
        <v>1</v>
      </c>
      <c r="R11" s="1" t="n">
        <f aca="false">F11</f>
        <v>1</v>
      </c>
      <c r="S11" s="1" t="n">
        <f aca="false">F11</f>
        <v>1</v>
      </c>
      <c r="T11" s="1" t="n">
        <v>1</v>
      </c>
      <c r="U11" s="1" t="n">
        <v>1</v>
      </c>
      <c r="V11" s="1" t="n">
        <f aca="false">F11</f>
        <v>1</v>
      </c>
      <c r="W11" s="1" t="n">
        <f aca="false">F11</f>
        <v>1</v>
      </c>
      <c r="X11" s="1" t="n">
        <f aca="false">F11</f>
        <v>1</v>
      </c>
      <c r="Y11" s="1" t="n">
        <f aca="false">F11</f>
        <v>1</v>
      </c>
      <c r="Z11" s="1" t="n">
        <f aca="false">F11</f>
        <v>1</v>
      </c>
      <c r="AA11" s="1" t="n">
        <f aca="false">F11</f>
        <v>1</v>
      </c>
      <c r="AB11" s="1" t="n">
        <f aca="false">F11</f>
        <v>1</v>
      </c>
      <c r="AC11" s="1" t="n">
        <f aca="false">F11</f>
        <v>1</v>
      </c>
      <c r="AD11" s="1" t="n">
        <f aca="false">F11</f>
        <v>1</v>
      </c>
      <c r="AE11" s="1" t="n">
        <f aca="false">B11</f>
        <v>35.2165792906953</v>
      </c>
      <c r="AF11" s="1" t="n">
        <f aca="false">B11</f>
        <v>35.2165792906953</v>
      </c>
      <c r="AG11" s="1" t="n">
        <f aca="false">B11</f>
        <v>35.2165792906953</v>
      </c>
      <c r="AH11" s="1" t="n">
        <f aca="false">B11</f>
        <v>35.2165792906953</v>
      </c>
      <c r="AI11" s="1" t="n">
        <f aca="false">B11</f>
        <v>35.2165792906953</v>
      </c>
      <c r="AJ11" s="1" t="n">
        <f aca="false">B11</f>
        <v>35.2165792906953</v>
      </c>
      <c r="AK11" s="1" t="n">
        <f aca="false">B11</f>
        <v>35.2165792906953</v>
      </c>
      <c r="AL11" s="1" t="n">
        <f aca="false">B11</f>
        <v>35.2165792906953</v>
      </c>
      <c r="AM11" s="1" t="n">
        <f aca="false">B11</f>
        <v>35.2165792906953</v>
      </c>
      <c r="AN11" s="1" t="n">
        <f aca="false">F11</f>
        <v>1</v>
      </c>
      <c r="AO11" s="1" t="n">
        <f aca="false">F11</f>
        <v>1</v>
      </c>
      <c r="AP11" s="1" t="n">
        <f aca="false">F11</f>
        <v>1</v>
      </c>
      <c r="AQ11" s="1" t="n">
        <f aca="false">F11</f>
        <v>1</v>
      </c>
      <c r="AR11" s="1" t="n">
        <f aca="false">F11</f>
        <v>1</v>
      </c>
      <c r="AS11" s="1" t="n">
        <f aca="false">F11</f>
        <v>1</v>
      </c>
      <c r="AT11" s="1" t="n">
        <v>1</v>
      </c>
      <c r="AU11" s="1" t="n">
        <f aca="false">F11</f>
        <v>1</v>
      </c>
      <c r="AV11" s="1" t="n">
        <f aca="false">F11</f>
        <v>1</v>
      </c>
      <c r="AW11" s="1" t="n">
        <f aca="false">F11</f>
        <v>1</v>
      </c>
      <c r="AX11" s="1" t="n">
        <f aca="false">B11</f>
        <v>35.2165792906953</v>
      </c>
      <c r="AY11" s="1" t="n">
        <f aca="false">B11</f>
        <v>35.2165792906953</v>
      </c>
      <c r="AZ11" s="1" t="n">
        <f aca="false">B11</f>
        <v>35.2165792906953</v>
      </c>
      <c r="BA11" s="1" t="n">
        <f aca="false">F11</f>
        <v>1</v>
      </c>
      <c r="BB11" s="1" t="n">
        <f aca="false">F11</f>
        <v>1</v>
      </c>
      <c r="BC11" s="1" t="n">
        <f aca="false">B11</f>
        <v>35.2165792906953</v>
      </c>
      <c r="BD11" s="1" t="n">
        <f aca="false">B11</f>
        <v>35.2165792906953</v>
      </c>
      <c r="BE11" s="1" t="n">
        <v>1</v>
      </c>
      <c r="BF11" s="1" t="n">
        <v>1</v>
      </c>
      <c r="BG11" s="1" t="n">
        <f aca="false">B11</f>
        <v>35.2165792906953</v>
      </c>
      <c r="BH11" s="1" t="n">
        <f aca="false">B11</f>
        <v>35.2165792906953</v>
      </c>
      <c r="BI11" s="1" t="n">
        <f aca="false">B11</f>
        <v>35.2165792906953</v>
      </c>
      <c r="BJ11" s="1" t="n">
        <f aca="false">B11</f>
        <v>35.2165792906953</v>
      </c>
      <c r="BK11" s="1" t="n">
        <v>1</v>
      </c>
    </row>
    <row r="12" customFormat="false" ht="12.75" hidden="false" customHeight="false" outlineLevel="0" collapsed="false">
      <c r="A12" s="1" t="n">
        <f aca="false">A11-1</f>
        <v>2015</v>
      </c>
      <c r="B12" s="1" t="n">
        <f aca="false">im!F12/im!E12</f>
        <v>28.2893471025145</v>
      </c>
      <c r="C12" s="1" t="n">
        <f aca="false">B12</f>
        <v>28.2893471025145</v>
      </c>
      <c r="D12" s="1" t="n">
        <f aca="false">B12</f>
        <v>28.2893471025145</v>
      </c>
      <c r="E12" s="1" t="n">
        <f aca="false">B12</f>
        <v>28.2893471025145</v>
      </c>
      <c r="F12" s="1" t="n">
        <v>1</v>
      </c>
      <c r="G12" s="1" t="n">
        <f aca="false">F12</f>
        <v>1</v>
      </c>
      <c r="H12" s="1" t="n">
        <f aca="false">F12</f>
        <v>1</v>
      </c>
      <c r="I12" s="1" t="n">
        <f aca="false">F12</f>
        <v>1</v>
      </c>
      <c r="J12" s="1" t="n">
        <v>1</v>
      </c>
      <c r="K12" s="1" t="n">
        <v>1</v>
      </c>
      <c r="L12" s="1" t="n">
        <f aca="false">B12</f>
        <v>28.2893471025145</v>
      </c>
      <c r="M12" s="1" t="n">
        <f aca="false">B12</f>
        <v>28.2893471025145</v>
      </c>
      <c r="N12" s="1" t="n">
        <f aca="false">B12</f>
        <v>28.2893471025145</v>
      </c>
      <c r="O12" s="1" t="n">
        <f aca="false">B12</f>
        <v>28.2893471025145</v>
      </c>
      <c r="P12" s="1" t="n">
        <f aca="false">B12</f>
        <v>28.2893471025145</v>
      </c>
      <c r="Q12" s="1" t="n">
        <f aca="false">F12</f>
        <v>1</v>
      </c>
      <c r="R12" s="1" t="n">
        <f aca="false">F12</f>
        <v>1</v>
      </c>
      <c r="S12" s="1" t="n">
        <f aca="false">F12</f>
        <v>1</v>
      </c>
      <c r="T12" s="1" t="n">
        <v>1</v>
      </c>
      <c r="U12" s="1" t="n">
        <v>1</v>
      </c>
      <c r="V12" s="1" t="n">
        <f aca="false">F12</f>
        <v>1</v>
      </c>
      <c r="W12" s="1" t="n">
        <f aca="false">F12</f>
        <v>1</v>
      </c>
      <c r="X12" s="1" t="n">
        <f aca="false">F12</f>
        <v>1</v>
      </c>
      <c r="Y12" s="1" t="n">
        <f aca="false">F12</f>
        <v>1</v>
      </c>
      <c r="Z12" s="1" t="n">
        <f aca="false">F12</f>
        <v>1</v>
      </c>
      <c r="AA12" s="1" t="n">
        <f aca="false">F12</f>
        <v>1</v>
      </c>
      <c r="AB12" s="1" t="n">
        <f aca="false">F12</f>
        <v>1</v>
      </c>
      <c r="AC12" s="1" t="n">
        <f aca="false">F12</f>
        <v>1</v>
      </c>
      <c r="AD12" s="1" t="n">
        <f aca="false">F12</f>
        <v>1</v>
      </c>
      <c r="AE12" s="1" t="n">
        <f aca="false">B12</f>
        <v>28.2893471025145</v>
      </c>
      <c r="AF12" s="1" t="n">
        <f aca="false">B12</f>
        <v>28.2893471025145</v>
      </c>
      <c r="AG12" s="1" t="n">
        <f aca="false">B12</f>
        <v>28.2893471025145</v>
      </c>
      <c r="AH12" s="1" t="n">
        <f aca="false">B12</f>
        <v>28.2893471025145</v>
      </c>
      <c r="AI12" s="1" t="n">
        <f aca="false">B12</f>
        <v>28.2893471025145</v>
      </c>
      <c r="AJ12" s="1" t="n">
        <f aca="false">B12</f>
        <v>28.2893471025145</v>
      </c>
      <c r="AK12" s="1" t="n">
        <f aca="false">B12</f>
        <v>28.2893471025145</v>
      </c>
      <c r="AL12" s="1" t="n">
        <f aca="false">B12</f>
        <v>28.2893471025145</v>
      </c>
      <c r="AM12" s="1" t="n">
        <f aca="false">B12</f>
        <v>28.2893471025145</v>
      </c>
      <c r="AN12" s="1" t="n">
        <f aca="false">F12</f>
        <v>1</v>
      </c>
      <c r="AO12" s="1" t="n">
        <f aca="false">F12</f>
        <v>1</v>
      </c>
      <c r="AP12" s="1" t="n">
        <f aca="false">F12</f>
        <v>1</v>
      </c>
      <c r="AQ12" s="1" t="n">
        <f aca="false">F12</f>
        <v>1</v>
      </c>
      <c r="AR12" s="1" t="n">
        <f aca="false">F12</f>
        <v>1</v>
      </c>
      <c r="AS12" s="1" t="n">
        <f aca="false">F12</f>
        <v>1</v>
      </c>
      <c r="AT12" s="1" t="n">
        <v>1</v>
      </c>
      <c r="AU12" s="1" t="n">
        <f aca="false">F12</f>
        <v>1</v>
      </c>
      <c r="AV12" s="1" t="n">
        <f aca="false">F12</f>
        <v>1</v>
      </c>
      <c r="AW12" s="1" t="n">
        <f aca="false">F12</f>
        <v>1</v>
      </c>
      <c r="AX12" s="1" t="n">
        <f aca="false">B12</f>
        <v>28.2893471025145</v>
      </c>
      <c r="AY12" s="1" t="n">
        <f aca="false">B12</f>
        <v>28.2893471025145</v>
      </c>
      <c r="AZ12" s="1" t="n">
        <f aca="false">B12</f>
        <v>28.2893471025145</v>
      </c>
      <c r="BA12" s="1" t="n">
        <f aca="false">F12</f>
        <v>1</v>
      </c>
      <c r="BB12" s="1" t="n">
        <f aca="false">F12</f>
        <v>1</v>
      </c>
      <c r="BC12" s="1" t="n">
        <f aca="false">B12</f>
        <v>28.2893471025145</v>
      </c>
      <c r="BD12" s="1" t="n">
        <f aca="false">B12</f>
        <v>28.2893471025145</v>
      </c>
      <c r="BE12" s="1" t="n">
        <v>1</v>
      </c>
      <c r="BF12" s="1" t="n">
        <v>1</v>
      </c>
      <c r="BG12" s="1" t="n">
        <f aca="false">B12</f>
        <v>28.2893471025145</v>
      </c>
      <c r="BH12" s="1" t="n">
        <f aca="false">B12</f>
        <v>28.2893471025145</v>
      </c>
      <c r="BI12" s="1" t="n">
        <f aca="false">B12</f>
        <v>28.2893471025145</v>
      </c>
      <c r="BJ12" s="1" t="n">
        <f aca="false">B12</f>
        <v>28.2893471025145</v>
      </c>
      <c r="BK12" s="1" t="n">
        <v>1</v>
      </c>
    </row>
    <row r="13" customFormat="false" ht="12.75" hidden="false" customHeight="false" outlineLevel="0" collapsed="false">
      <c r="A13" s="1" t="n">
        <f aca="false">A12-1</f>
        <v>2014</v>
      </c>
      <c r="B13" s="1" t="n">
        <f aca="false">im!F13/im!E13</f>
        <v>21.7901843377118</v>
      </c>
      <c r="C13" s="1" t="n">
        <f aca="false">B13</f>
        <v>21.7901843377118</v>
      </c>
      <c r="D13" s="1" t="n">
        <f aca="false">B13</f>
        <v>21.7901843377118</v>
      </c>
      <c r="E13" s="1" t="n">
        <f aca="false">B13</f>
        <v>21.7901843377118</v>
      </c>
      <c r="F13" s="1" t="n">
        <v>1</v>
      </c>
      <c r="G13" s="1" t="n">
        <f aca="false">F13</f>
        <v>1</v>
      </c>
      <c r="H13" s="1" t="n">
        <f aca="false">F13</f>
        <v>1</v>
      </c>
      <c r="I13" s="1" t="n">
        <f aca="false">F13</f>
        <v>1</v>
      </c>
      <c r="J13" s="1" t="n">
        <v>1</v>
      </c>
      <c r="K13" s="1" t="n">
        <v>1</v>
      </c>
      <c r="L13" s="1" t="n">
        <f aca="false">B13</f>
        <v>21.7901843377118</v>
      </c>
      <c r="M13" s="1" t="n">
        <f aca="false">B13</f>
        <v>21.7901843377118</v>
      </c>
      <c r="N13" s="1" t="n">
        <f aca="false">B13</f>
        <v>21.7901843377118</v>
      </c>
      <c r="O13" s="1" t="n">
        <f aca="false">B13</f>
        <v>21.7901843377118</v>
      </c>
      <c r="P13" s="1" t="n">
        <f aca="false">B13</f>
        <v>21.7901843377118</v>
      </c>
      <c r="Q13" s="1" t="n">
        <f aca="false">F13</f>
        <v>1</v>
      </c>
      <c r="R13" s="1" t="n">
        <f aca="false">F13</f>
        <v>1</v>
      </c>
      <c r="S13" s="1" t="n">
        <f aca="false">F13</f>
        <v>1</v>
      </c>
      <c r="T13" s="1" t="n">
        <v>1</v>
      </c>
      <c r="U13" s="1" t="n">
        <v>1</v>
      </c>
      <c r="V13" s="1" t="n">
        <f aca="false">F13</f>
        <v>1</v>
      </c>
      <c r="W13" s="1" t="n">
        <f aca="false">F13</f>
        <v>1</v>
      </c>
      <c r="X13" s="1" t="n">
        <f aca="false">F13</f>
        <v>1</v>
      </c>
      <c r="Y13" s="1" t="n">
        <f aca="false">F13</f>
        <v>1</v>
      </c>
      <c r="Z13" s="1" t="n">
        <f aca="false">F13</f>
        <v>1</v>
      </c>
      <c r="AA13" s="1" t="n">
        <f aca="false">F13</f>
        <v>1</v>
      </c>
      <c r="AB13" s="1" t="n">
        <f aca="false">F13</f>
        <v>1</v>
      </c>
      <c r="AC13" s="1" t="n">
        <f aca="false">F13</f>
        <v>1</v>
      </c>
      <c r="AD13" s="1" t="n">
        <f aca="false">F13</f>
        <v>1</v>
      </c>
      <c r="AE13" s="1" t="n">
        <f aca="false">B13</f>
        <v>21.7901843377118</v>
      </c>
      <c r="AF13" s="1" t="n">
        <f aca="false">B13</f>
        <v>21.7901843377118</v>
      </c>
      <c r="AG13" s="1" t="n">
        <f aca="false">B13</f>
        <v>21.7901843377118</v>
      </c>
      <c r="AH13" s="1" t="n">
        <f aca="false">B13</f>
        <v>21.7901843377118</v>
      </c>
      <c r="AI13" s="1" t="n">
        <f aca="false">B13</f>
        <v>21.7901843377118</v>
      </c>
      <c r="AJ13" s="1" t="n">
        <f aca="false">B13</f>
        <v>21.7901843377118</v>
      </c>
      <c r="AK13" s="1" t="n">
        <f aca="false">B13</f>
        <v>21.7901843377118</v>
      </c>
      <c r="AL13" s="1" t="n">
        <f aca="false">B13</f>
        <v>21.7901843377118</v>
      </c>
      <c r="AM13" s="1" t="n">
        <f aca="false">B13</f>
        <v>21.7901843377118</v>
      </c>
      <c r="AN13" s="1" t="n">
        <f aca="false">F13</f>
        <v>1</v>
      </c>
      <c r="AO13" s="1" t="n">
        <f aca="false">F13</f>
        <v>1</v>
      </c>
      <c r="AP13" s="1" t="n">
        <f aca="false">F13</f>
        <v>1</v>
      </c>
      <c r="AQ13" s="1" t="n">
        <f aca="false">F13</f>
        <v>1</v>
      </c>
      <c r="AR13" s="1" t="n">
        <f aca="false">F13</f>
        <v>1</v>
      </c>
      <c r="AS13" s="1" t="n">
        <f aca="false">F13</f>
        <v>1</v>
      </c>
      <c r="AT13" s="1" t="n">
        <v>1</v>
      </c>
      <c r="AU13" s="1" t="n">
        <f aca="false">F13</f>
        <v>1</v>
      </c>
      <c r="AV13" s="1" t="n">
        <f aca="false">F13</f>
        <v>1</v>
      </c>
      <c r="AW13" s="1" t="n">
        <f aca="false">F13</f>
        <v>1</v>
      </c>
      <c r="AX13" s="1" t="n">
        <f aca="false">B13</f>
        <v>21.7901843377118</v>
      </c>
      <c r="AY13" s="1" t="n">
        <f aca="false">B13</f>
        <v>21.7901843377118</v>
      </c>
      <c r="AZ13" s="1" t="n">
        <f aca="false">B13</f>
        <v>21.7901843377118</v>
      </c>
      <c r="BA13" s="1" t="n">
        <f aca="false">F13</f>
        <v>1</v>
      </c>
      <c r="BB13" s="1" t="n">
        <f aca="false">F13</f>
        <v>1</v>
      </c>
      <c r="BC13" s="1" t="n">
        <f aca="false">B13</f>
        <v>21.7901843377118</v>
      </c>
      <c r="BD13" s="1" t="n">
        <f aca="false">B13</f>
        <v>21.7901843377118</v>
      </c>
      <c r="BE13" s="1" t="n">
        <v>1</v>
      </c>
      <c r="BF13" s="1" t="n">
        <v>1</v>
      </c>
      <c r="BG13" s="1" t="n">
        <f aca="false">B13</f>
        <v>21.7901843377118</v>
      </c>
      <c r="BH13" s="1" t="n">
        <f aca="false">B13</f>
        <v>21.7901843377118</v>
      </c>
      <c r="BI13" s="1" t="n">
        <f aca="false">B13</f>
        <v>21.7901843377118</v>
      </c>
      <c r="BJ13" s="1" t="n">
        <f aca="false">B13</f>
        <v>21.7901843377118</v>
      </c>
      <c r="BK13" s="1" t="n">
        <v>1</v>
      </c>
    </row>
    <row r="14" customFormat="false" ht="12.75" hidden="false" customHeight="false" outlineLevel="0" collapsed="false">
      <c r="A14" s="1" t="n">
        <f aca="false">A13-1</f>
        <v>2013</v>
      </c>
      <c r="B14" s="1" t="n">
        <f aca="false">im!F14/im!E14</f>
        <v>15.3674927263064</v>
      </c>
      <c r="C14" s="1" t="n">
        <f aca="false">B14</f>
        <v>15.3674927263064</v>
      </c>
      <c r="D14" s="1" t="n">
        <f aca="false">B14</f>
        <v>15.3674927263064</v>
      </c>
      <c r="E14" s="1" t="n">
        <f aca="false">B14</f>
        <v>15.3674927263064</v>
      </c>
      <c r="F14" s="1" t="n">
        <v>1</v>
      </c>
      <c r="G14" s="1" t="n">
        <f aca="false">F14</f>
        <v>1</v>
      </c>
      <c r="H14" s="1" t="n">
        <f aca="false">F14</f>
        <v>1</v>
      </c>
      <c r="I14" s="1" t="n">
        <f aca="false">F14</f>
        <v>1</v>
      </c>
      <c r="J14" s="1" t="n">
        <v>1</v>
      </c>
      <c r="K14" s="1" t="n">
        <v>1</v>
      </c>
      <c r="L14" s="1" t="n">
        <f aca="false">B14</f>
        <v>15.3674927263064</v>
      </c>
      <c r="M14" s="1" t="n">
        <f aca="false">B14</f>
        <v>15.3674927263064</v>
      </c>
      <c r="N14" s="1" t="n">
        <f aca="false">B14</f>
        <v>15.3674927263064</v>
      </c>
      <c r="O14" s="1" t="n">
        <f aca="false">B14</f>
        <v>15.3674927263064</v>
      </c>
      <c r="P14" s="1" t="n">
        <f aca="false">B14</f>
        <v>15.3674927263064</v>
      </c>
      <c r="Q14" s="1" t="n">
        <f aca="false">F14</f>
        <v>1</v>
      </c>
      <c r="R14" s="1" t="n">
        <f aca="false">F14</f>
        <v>1</v>
      </c>
      <c r="S14" s="1" t="n">
        <f aca="false">F14</f>
        <v>1</v>
      </c>
      <c r="T14" s="1" t="n">
        <v>1</v>
      </c>
      <c r="U14" s="1" t="n">
        <v>1</v>
      </c>
      <c r="V14" s="1" t="n">
        <f aca="false">F14</f>
        <v>1</v>
      </c>
      <c r="W14" s="1" t="n">
        <f aca="false">F14</f>
        <v>1</v>
      </c>
      <c r="X14" s="1" t="n">
        <f aca="false">F14</f>
        <v>1</v>
      </c>
      <c r="Y14" s="1" t="n">
        <f aca="false">F14</f>
        <v>1</v>
      </c>
      <c r="Z14" s="1" t="n">
        <f aca="false">F14</f>
        <v>1</v>
      </c>
      <c r="AA14" s="1" t="n">
        <f aca="false">F14</f>
        <v>1</v>
      </c>
      <c r="AB14" s="1" t="n">
        <f aca="false">F14</f>
        <v>1</v>
      </c>
      <c r="AC14" s="1" t="n">
        <f aca="false">F14</f>
        <v>1</v>
      </c>
      <c r="AD14" s="1" t="n">
        <f aca="false">F14</f>
        <v>1</v>
      </c>
      <c r="AE14" s="1" t="n">
        <f aca="false">B14</f>
        <v>15.3674927263064</v>
      </c>
      <c r="AF14" s="1" t="n">
        <f aca="false">B14</f>
        <v>15.3674927263064</v>
      </c>
      <c r="AG14" s="1" t="n">
        <f aca="false">B14</f>
        <v>15.3674927263064</v>
      </c>
      <c r="AH14" s="1" t="n">
        <f aca="false">B14</f>
        <v>15.3674927263064</v>
      </c>
      <c r="AI14" s="1" t="n">
        <f aca="false">B14</f>
        <v>15.3674927263064</v>
      </c>
      <c r="AJ14" s="1" t="n">
        <f aca="false">B14</f>
        <v>15.3674927263064</v>
      </c>
      <c r="AK14" s="1" t="n">
        <f aca="false">B14</f>
        <v>15.3674927263064</v>
      </c>
      <c r="AL14" s="1" t="n">
        <f aca="false">B14</f>
        <v>15.3674927263064</v>
      </c>
      <c r="AM14" s="1" t="n">
        <f aca="false">B14</f>
        <v>15.3674927263064</v>
      </c>
      <c r="AN14" s="1" t="n">
        <f aca="false">F14</f>
        <v>1</v>
      </c>
      <c r="AO14" s="1" t="n">
        <f aca="false">F14</f>
        <v>1</v>
      </c>
      <c r="AP14" s="1" t="n">
        <f aca="false">F14</f>
        <v>1</v>
      </c>
      <c r="AQ14" s="1" t="n">
        <f aca="false">F14</f>
        <v>1</v>
      </c>
      <c r="AR14" s="1" t="n">
        <f aca="false">F14</f>
        <v>1</v>
      </c>
      <c r="AS14" s="1" t="n">
        <f aca="false">F14</f>
        <v>1</v>
      </c>
      <c r="AT14" s="1" t="n">
        <v>1</v>
      </c>
      <c r="AU14" s="1" t="n">
        <f aca="false">F14</f>
        <v>1</v>
      </c>
      <c r="AV14" s="1" t="n">
        <f aca="false">F14</f>
        <v>1</v>
      </c>
      <c r="AW14" s="1" t="n">
        <f aca="false">F14</f>
        <v>1</v>
      </c>
      <c r="AX14" s="1" t="n">
        <f aca="false">B14</f>
        <v>15.3674927263064</v>
      </c>
      <c r="AY14" s="1" t="n">
        <f aca="false">B14</f>
        <v>15.3674927263064</v>
      </c>
      <c r="AZ14" s="1" t="n">
        <f aca="false">B14</f>
        <v>15.3674927263064</v>
      </c>
      <c r="BA14" s="1" t="n">
        <f aca="false">F14</f>
        <v>1</v>
      </c>
      <c r="BB14" s="1" t="n">
        <f aca="false">F14</f>
        <v>1</v>
      </c>
      <c r="BC14" s="1" t="n">
        <f aca="false">B14</f>
        <v>15.3674927263064</v>
      </c>
      <c r="BD14" s="1" t="n">
        <f aca="false">B14</f>
        <v>15.3674927263064</v>
      </c>
      <c r="BE14" s="1" t="n">
        <v>1</v>
      </c>
      <c r="BF14" s="1" t="n">
        <v>1</v>
      </c>
      <c r="BG14" s="1" t="n">
        <f aca="false">B14</f>
        <v>15.3674927263064</v>
      </c>
      <c r="BH14" s="1" t="n">
        <f aca="false">B14</f>
        <v>15.3674927263064</v>
      </c>
      <c r="BI14" s="1" t="n">
        <f aca="false">B14</f>
        <v>15.3674927263064</v>
      </c>
      <c r="BJ14" s="1" t="n">
        <f aca="false">B14</f>
        <v>15.3674927263064</v>
      </c>
      <c r="BK14" s="1" t="n">
        <v>1</v>
      </c>
    </row>
    <row r="15" customFormat="false" ht="12.75" hidden="false" customHeight="false" outlineLevel="0" collapsed="false">
      <c r="A15" s="1" t="n">
        <f aca="false">A14-1</f>
        <v>2012</v>
      </c>
      <c r="B15" s="1" t="n">
        <f aca="false">im!F15/im!E15</f>
        <v>12.9394175745875</v>
      </c>
      <c r="C15" s="1" t="n">
        <f aca="false">B15</f>
        <v>12.9394175745875</v>
      </c>
      <c r="D15" s="1" t="n">
        <f aca="false">B15</f>
        <v>12.9394175745875</v>
      </c>
      <c r="E15" s="1" t="n">
        <f aca="false">B15</f>
        <v>12.9394175745875</v>
      </c>
      <c r="F15" s="1" t="n">
        <v>1</v>
      </c>
      <c r="G15" s="1" t="n">
        <f aca="false">F15</f>
        <v>1</v>
      </c>
      <c r="H15" s="1" t="n">
        <f aca="false">F15</f>
        <v>1</v>
      </c>
      <c r="I15" s="1" t="n">
        <f aca="false">F15</f>
        <v>1</v>
      </c>
      <c r="J15" s="1" t="n">
        <v>1</v>
      </c>
      <c r="K15" s="1" t="n">
        <v>1</v>
      </c>
      <c r="L15" s="1" t="n">
        <f aca="false">B15</f>
        <v>12.9394175745875</v>
      </c>
      <c r="M15" s="1" t="n">
        <f aca="false">B15</f>
        <v>12.9394175745875</v>
      </c>
      <c r="N15" s="1" t="n">
        <f aca="false">B15</f>
        <v>12.9394175745875</v>
      </c>
      <c r="O15" s="1" t="n">
        <f aca="false">B15</f>
        <v>12.9394175745875</v>
      </c>
      <c r="P15" s="1" t="n">
        <f aca="false">B15</f>
        <v>12.9394175745875</v>
      </c>
      <c r="Q15" s="1" t="n">
        <f aca="false">F15</f>
        <v>1</v>
      </c>
      <c r="R15" s="1" t="n">
        <f aca="false">F15</f>
        <v>1</v>
      </c>
      <c r="S15" s="1" t="n">
        <f aca="false">F15</f>
        <v>1</v>
      </c>
      <c r="T15" s="1" t="n">
        <v>1</v>
      </c>
      <c r="U15" s="1" t="n">
        <v>1</v>
      </c>
      <c r="V15" s="1" t="n">
        <f aca="false">F15</f>
        <v>1</v>
      </c>
      <c r="W15" s="1" t="n">
        <f aca="false">F15</f>
        <v>1</v>
      </c>
      <c r="X15" s="1" t="n">
        <f aca="false">F15</f>
        <v>1</v>
      </c>
      <c r="Y15" s="1" t="n">
        <f aca="false">F15</f>
        <v>1</v>
      </c>
      <c r="Z15" s="1" t="n">
        <f aca="false">F15</f>
        <v>1</v>
      </c>
      <c r="AA15" s="1" t="n">
        <f aca="false">F15</f>
        <v>1</v>
      </c>
      <c r="AB15" s="1" t="n">
        <f aca="false">F15</f>
        <v>1</v>
      </c>
      <c r="AC15" s="1" t="n">
        <f aca="false">F15</f>
        <v>1</v>
      </c>
      <c r="AD15" s="1" t="n">
        <f aca="false">F15</f>
        <v>1</v>
      </c>
      <c r="AE15" s="1" t="n">
        <f aca="false">B15</f>
        <v>12.9394175745875</v>
      </c>
      <c r="AF15" s="1" t="n">
        <f aca="false">B15</f>
        <v>12.9394175745875</v>
      </c>
      <c r="AG15" s="1" t="n">
        <f aca="false">B15</f>
        <v>12.9394175745875</v>
      </c>
      <c r="AH15" s="1" t="n">
        <f aca="false">B15</f>
        <v>12.9394175745875</v>
      </c>
      <c r="AI15" s="1" t="n">
        <f aca="false">B15</f>
        <v>12.9394175745875</v>
      </c>
      <c r="AJ15" s="1" t="n">
        <f aca="false">B15</f>
        <v>12.9394175745875</v>
      </c>
      <c r="AK15" s="1" t="n">
        <f aca="false">B15</f>
        <v>12.9394175745875</v>
      </c>
      <c r="AL15" s="1" t="n">
        <f aca="false">B15</f>
        <v>12.9394175745875</v>
      </c>
      <c r="AM15" s="1" t="n">
        <f aca="false">B15</f>
        <v>12.9394175745875</v>
      </c>
      <c r="AN15" s="1" t="n">
        <f aca="false">F15</f>
        <v>1</v>
      </c>
      <c r="AO15" s="1" t="n">
        <f aca="false">F15</f>
        <v>1</v>
      </c>
      <c r="AP15" s="1" t="n">
        <f aca="false">F15</f>
        <v>1</v>
      </c>
      <c r="AQ15" s="1" t="n">
        <f aca="false">F15</f>
        <v>1</v>
      </c>
      <c r="AR15" s="1" t="n">
        <f aca="false">F15</f>
        <v>1</v>
      </c>
      <c r="AS15" s="1" t="n">
        <f aca="false">F15</f>
        <v>1</v>
      </c>
      <c r="AT15" s="1" t="n">
        <v>1</v>
      </c>
      <c r="AU15" s="1" t="n">
        <f aca="false">F15</f>
        <v>1</v>
      </c>
      <c r="AV15" s="1" t="n">
        <f aca="false">F15</f>
        <v>1</v>
      </c>
      <c r="AW15" s="1" t="n">
        <f aca="false">F15</f>
        <v>1</v>
      </c>
      <c r="AX15" s="1" t="n">
        <f aca="false">B15</f>
        <v>12.9394175745875</v>
      </c>
      <c r="AY15" s="1" t="n">
        <f aca="false">B15</f>
        <v>12.9394175745875</v>
      </c>
      <c r="AZ15" s="1" t="n">
        <f aca="false">B15</f>
        <v>12.9394175745875</v>
      </c>
      <c r="BA15" s="1" t="n">
        <f aca="false">F15</f>
        <v>1</v>
      </c>
      <c r="BB15" s="1" t="n">
        <f aca="false">F15</f>
        <v>1</v>
      </c>
      <c r="BC15" s="1" t="n">
        <f aca="false">B15</f>
        <v>12.9394175745875</v>
      </c>
      <c r="BD15" s="1" t="n">
        <f aca="false">B15</f>
        <v>12.9394175745875</v>
      </c>
      <c r="BE15" s="1" t="n">
        <v>1</v>
      </c>
      <c r="BF15" s="1" t="n">
        <v>1</v>
      </c>
      <c r="BG15" s="1" t="n">
        <f aca="false">B15</f>
        <v>12.9394175745875</v>
      </c>
      <c r="BH15" s="1" t="n">
        <f aca="false">B15</f>
        <v>12.9394175745875</v>
      </c>
      <c r="BI15" s="1" t="n">
        <f aca="false">B15</f>
        <v>12.9394175745875</v>
      </c>
      <c r="BJ15" s="1" t="n">
        <f aca="false">B15</f>
        <v>12.9394175745875</v>
      </c>
      <c r="BK15" s="1" t="n">
        <v>1</v>
      </c>
    </row>
    <row r="16" customFormat="false" ht="12.75" hidden="false" customHeight="false" outlineLevel="0" collapsed="false">
      <c r="A16" s="1" t="n">
        <f aca="false">A15-1</f>
        <v>2011</v>
      </c>
      <c r="B16" s="1" t="n">
        <f aca="false">im!F16/im!E16</f>
        <v>13.0743272194816</v>
      </c>
      <c r="C16" s="1" t="n">
        <f aca="false">B16</f>
        <v>13.0743272194816</v>
      </c>
      <c r="D16" s="1" t="n">
        <f aca="false">B16</f>
        <v>13.0743272194816</v>
      </c>
      <c r="E16" s="1" t="n">
        <f aca="false">B16</f>
        <v>13.0743272194816</v>
      </c>
      <c r="F16" s="1" t="n">
        <v>1</v>
      </c>
      <c r="G16" s="1" t="n">
        <f aca="false">F16</f>
        <v>1</v>
      </c>
      <c r="H16" s="1" t="n">
        <f aca="false">F16</f>
        <v>1</v>
      </c>
      <c r="I16" s="1" t="n">
        <f aca="false">F16</f>
        <v>1</v>
      </c>
      <c r="J16" s="1" t="n">
        <v>1</v>
      </c>
      <c r="K16" s="1" t="n">
        <v>1</v>
      </c>
      <c r="L16" s="1" t="n">
        <f aca="false">B16</f>
        <v>13.0743272194816</v>
      </c>
      <c r="M16" s="1" t="n">
        <f aca="false">B16</f>
        <v>13.0743272194816</v>
      </c>
      <c r="N16" s="1" t="n">
        <f aca="false">B16</f>
        <v>13.0743272194816</v>
      </c>
      <c r="O16" s="1" t="n">
        <f aca="false">B16</f>
        <v>13.0743272194816</v>
      </c>
      <c r="P16" s="1" t="n">
        <f aca="false">B16</f>
        <v>13.0743272194816</v>
      </c>
      <c r="Q16" s="1" t="n">
        <f aca="false">F16</f>
        <v>1</v>
      </c>
      <c r="R16" s="1" t="n">
        <f aca="false">F16</f>
        <v>1</v>
      </c>
      <c r="S16" s="1" t="n">
        <f aca="false">F16</f>
        <v>1</v>
      </c>
      <c r="T16" s="1" t="n">
        <v>1</v>
      </c>
      <c r="U16" s="1" t="n">
        <v>1</v>
      </c>
      <c r="V16" s="1" t="n">
        <f aca="false">F16</f>
        <v>1</v>
      </c>
      <c r="W16" s="1" t="n">
        <f aca="false">F16</f>
        <v>1</v>
      </c>
      <c r="X16" s="1" t="n">
        <f aca="false">F16</f>
        <v>1</v>
      </c>
      <c r="Y16" s="1" t="n">
        <f aca="false">F16</f>
        <v>1</v>
      </c>
      <c r="Z16" s="1" t="n">
        <f aca="false">F16</f>
        <v>1</v>
      </c>
      <c r="AA16" s="1" t="n">
        <f aca="false">F16</f>
        <v>1</v>
      </c>
      <c r="AB16" s="1" t="n">
        <f aca="false">F16</f>
        <v>1</v>
      </c>
      <c r="AC16" s="1" t="n">
        <f aca="false">F16</f>
        <v>1</v>
      </c>
      <c r="AD16" s="1" t="n">
        <f aca="false">F16</f>
        <v>1</v>
      </c>
      <c r="AE16" s="1" t="n">
        <f aca="false">B16</f>
        <v>13.0743272194816</v>
      </c>
      <c r="AF16" s="1" t="n">
        <f aca="false">B16</f>
        <v>13.0743272194816</v>
      </c>
      <c r="AG16" s="1" t="n">
        <f aca="false">B16</f>
        <v>13.0743272194816</v>
      </c>
      <c r="AH16" s="1" t="n">
        <f aca="false">B16</f>
        <v>13.0743272194816</v>
      </c>
      <c r="AI16" s="1" t="n">
        <f aca="false">B16</f>
        <v>13.0743272194816</v>
      </c>
      <c r="AJ16" s="1" t="n">
        <f aca="false">B16</f>
        <v>13.0743272194816</v>
      </c>
      <c r="AK16" s="1" t="n">
        <f aca="false">B16</f>
        <v>13.0743272194816</v>
      </c>
      <c r="AL16" s="1" t="n">
        <f aca="false">B16</f>
        <v>13.0743272194816</v>
      </c>
      <c r="AM16" s="1" t="n">
        <f aca="false">B16</f>
        <v>13.0743272194816</v>
      </c>
      <c r="AN16" s="1" t="n">
        <f aca="false">F16</f>
        <v>1</v>
      </c>
      <c r="AO16" s="1" t="n">
        <f aca="false">F16</f>
        <v>1</v>
      </c>
      <c r="AP16" s="1" t="n">
        <f aca="false">F16</f>
        <v>1</v>
      </c>
      <c r="AQ16" s="1" t="n">
        <f aca="false">F16</f>
        <v>1</v>
      </c>
      <c r="AR16" s="1" t="n">
        <f aca="false">F16</f>
        <v>1</v>
      </c>
      <c r="AS16" s="1" t="n">
        <f aca="false">F16</f>
        <v>1</v>
      </c>
      <c r="AT16" s="1" t="n">
        <v>1</v>
      </c>
      <c r="AU16" s="1" t="n">
        <f aca="false">F16</f>
        <v>1</v>
      </c>
      <c r="AV16" s="1" t="n">
        <f aca="false">F16</f>
        <v>1</v>
      </c>
      <c r="AW16" s="1" t="n">
        <f aca="false">F16</f>
        <v>1</v>
      </c>
      <c r="AX16" s="1" t="n">
        <f aca="false">B16</f>
        <v>13.0743272194816</v>
      </c>
      <c r="AY16" s="1" t="n">
        <f aca="false">B16</f>
        <v>13.0743272194816</v>
      </c>
      <c r="AZ16" s="1" t="n">
        <f aca="false">B16</f>
        <v>13.0743272194816</v>
      </c>
      <c r="BA16" s="1" t="n">
        <f aca="false">F16</f>
        <v>1</v>
      </c>
      <c r="BB16" s="1" t="n">
        <f aca="false">F16</f>
        <v>1</v>
      </c>
      <c r="BC16" s="1" t="n">
        <f aca="false">B16</f>
        <v>13.0743272194816</v>
      </c>
      <c r="BD16" s="1" t="n">
        <f aca="false">B16</f>
        <v>13.0743272194816</v>
      </c>
      <c r="BE16" s="1" t="n">
        <v>1</v>
      </c>
      <c r="BF16" s="1" t="n">
        <v>1</v>
      </c>
      <c r="BG16" s="1" t="n">
        <f aca="false">B16</f>
        <v>13.0743272194816</v>
      </c>
      <c r="BH16" s="1" t="n">
        <f aca="false">B16</f>
        <v>13.0743272194816</v>
      </c>
      <c r="BI16" s="1" t="n">
        <f aca="false">B16</f>
        <v>13.0743272194816</v>
      </c>
      <c r="BJ16" s="1" t="n">
        <f aca="false">B16</f>
        <v>13.0743272194816</v>
      </c>
      <c r="BK16" s="1" t="n">
        <v>1</v>
      </c>
    </row>
    <row r="17" customFormat="false" ht="12.75" hidden="false" customHeight="false" outlineLevel="0" collapsed="false">
      <c r="A17" s="1" t="n">
        <f aca="false">A16-1</f>
        <v>2010</v>
      </c>
      <c r="B17" s="1" t="n">
        <f aca="false">im!F17/im!E17</f>
        <v>13.4279168489014</v>
      </c>
      <c r="C17" s="1" t="n">
        <f aca="false">B17</f>
        <v>13.4279168489014</v>
      </c>
      <c r="D17" s="1" t="n">
        <f aca="false">B17</f>
        <v>13.4279168489014</v>
      </c>
      <c r="E17" s="1" t="n">
        <f aca="false">B17</f>
        <v>13.4279168489014</v>
      </c>
      <c r="F17" s="1" t="n">
        <v>1</v>
      </c>
      <c r="G17" s="1" t="n">
        <f aca="false">F17</f>
        <v>1</v>
      </c>
      <c r="H17" s="1" t="n">
        <f aca="false">F17</f>
        <v>1</v>
      </c>
      <c r="I17" s="1" t="n">
        <f aca="false">F17</f>
        <v>1</v>
      </c>
      <c r="J17" s="1" t="n">
        <v>1</v>
      </c>
      <c r="K17" s="1" t="n">
        <v>1</v>
      </c>
      <c r="L17" s="1" t="n">
        <f aca="false">B17</f>
        <v>13.4279168489014</v>
      </c>
      <c r="M17" s="1" t="n">
        <f aca="false">B17</f>
        <v>13.4279168489014</v>
      </c>
      <c r="N17" s="1" t="n">
        <f aca="false">B17</f>
        <v>13.4279168489014</v>
      </c>
      <c r="O17" s="1" t="n">
        <f aca="false">B17</f>
        <v>13.4279168489014</v>
      </c>
      <c r="P17" s="1" t="n">
        <f aca="false">B17</f>
        <v>13.4279168489014</v>
      </c>
      <c r="Q17" s="1" t="n">
        <f aca="false">F17</f>
        <v>1</v>
      </c>
      <c r="R17" s="1" t="n">
        <f aca="false">F17</f>
        <v>1</v>
      </c>
      <c r="S17" s="1" t="n">
        <f aca="false">F17</f>
        <v>1</v>
      </c>
      <c r="T17" s="1" t="n">
        <v>1</v>
      </c>
      <c r="U17" s="1" t="n">
        <v>1</v>
      </c>
      <c r="V17" s="1" t="n">
        <f aca="false">F17</f>
        <v>1</v>
      </c>
      <c r="W17" s="1" t="n">
        <f aca="false">F17</f>
        <v>1</v>
      </c>
      <c r="X17" s="1" t="n">
        <f aca="false">F17</f>
        <v>1</v>
      </c>
      <c r="Y17" s="1" t="n">
        <f aca="false">F17</f>
        <v>1</v>
      </c>
      <c r="Z17" s="1" t="n">
        <f aca="false">F17</f>
        <v>1</v>
      </c>
      <c r="AA17" s="1" t="n">
        <f aca="false">F17</f>
        <v>1</v>
      </c>
      <c r="AB17" s="1" t="n">
        <f aca="false">F17</f>
        <v>1</v>
      </c>
      <c r="AC17" s="1" t="n">
        <f aca="false">F17</f>
        <v>1</v>
      </c>
      <c r="AD17" s="1" t="n">
        <f aca="false">F17</f>
        <v>1</v>
      </c>
      <c r="AE17" s="1" t="n">
        <f aca="false">B17</f>
        <v>13.4279168489014</v>
      </c>
      <c r="AF17" s="1" t="n">
        <f aca="false">B17</f>
        <v>13.4279168489014</v>
      </c>
      <c r="AG17" s="1" t="n">
        <f aca="false">B17</f>
        <v>13.4279168489014</v>
      </c>
      <c r="AH17" s="1" t="n">
        <f aca="false">B17</f>
        <v>13.4279168489014</v>
      </c>
      <c r="AI17" s="1" t="n">
        <f aca="false">B17</f>
        <v>13.4279168489014</v>
      </c>
      <c r="AJ17" s="1" t="n">
        <f aca="false">B17</f>
        <v>13.4279168489014</v>
      </c>
      <c r="AK17" s="1" t="n">
        <f aca="false">B17</f>
        <v>13.4279168489014</v>
      </c>
      <c r="AL17" s="1" t="n">
        <f aca="false">B17</f>
        <v>13.4279168489014</v>
      </c>
      <c r="AM17" s="1" t="n">
        <f aca="false">B17</f>
        <v>13.4279168489014</v>
      </c>
      <c r="AN17" s="1" t="n">
        <f aca="false">F17</f>
        <v>1</v>
      </c>
      <c r="AO17" s="1" t="n">
        <f aca="false">F17</f>
        <v>1</v>
      </c>
      <c r="AP17" s="1" t="n">
        <f aca="false">F17</f>
        <v>1</v>
      </c>
      <c r="AQ17" s="1" t="n">
        <f aca="false">F17</f>
        <v>1</v>
      </c>
      <c r="AR17" s="1" t="n">
        <f aca="false">F17</f>
        <v>1</v>
      </c>
      <c r="AS17" s="1" t="n">
        <f aca="false">F17</f>
        <v>1</v>
      </c>
      <c r="AT17" s="1" t="n">
        <v>1</v>
      </c>
      <c r="AU17" s="1" t="n">
        <f aca="false">F17</f>
        <v>1</v>
      </c>
      <c r="AV17" s="1" t="n">
        <f aca="false">F17</f>
        <v>1</v>
      </c>
      <c r="AW17" s="1" t="n">
        <f aca="false">F17</f>
        <v>1</v>
      </c>
      <c r="AX17" s="1" t="n">
        <f aca="false">B17</f>
        <v>13.4279168489014</v>
      </c>
      <c r="AY17" s="1" t="n">
        <f aca="false">B17</f>
        <v>13.4279168489014</v>
      </c>
      <c r="AZ17" s="1" t="n">
        <f aca="false">B17</f>
        <v>13.4279168489014</v>
      </c>
      <c r="BA17" s="1" t="n">
        <f aca="false">F17</f>
        <v>1</v>
      </c>
      <c r="BB17" s="1" t="n">
        <f aca="false">F17</f>
        <v>1</v>
      </c>
      <c r="BC17" s="1" t="n">
        <f aca="false">B17</f>
        <v>13.4279168489014</v>
      </c>
      <c r="BD17" s="1" t="n">
        <f aca="false">B17</f>
        <v>13.4279168489014</v>
      </c>
      <c r="BE17" s="1" t="n">
        <v>1</v>
      </c>
      <c r="BF17" s="1" t="n">
        <v>1</v>
      </c>
      <c r="BG17" s="1" t="n">
        <f aca="false">B17</f>
        <v>13.4279168489014</v>
      </c>
      <c r="BH17" s="1" t="n">
        <f aca="false">B17</f>
        <v>13.4279168489014</v>
      </c>
      <c r="BI17" s="1" t="n">
        <f aca="false">B17</f>
        <v>13.4279168489014</v>
      </c>
      <c r="BJ17" s="1" t="n">
        <f aca="false">B17</f>
        <v>13.4279168489014</v>
      </c>
      <c r="BK17" s="1" t="n">
        <v>1</v>
      </c>
    </row>
    <row r="18" customFormat="false" ht="12.75" hidden="false" customHeight="false" outlineLevel="0" collapsed="false">
      <c r="A18" s="1" t="n">
        <f aca="false">A17-1</f>
        <v>2009</v>
      </c>
      <c r="B18" s="1" t="n">
        <f aca="false">im!F18/im!E18</f>
        <v>11.9116891625585</v>
      </c>
      <c r="C18" s="1" t="n">
        <f aca="false">B18</f>
        <v>11.9116891625585</v>
      </c>
      <c r="D18" s="1" t="n">
        <f aca="false">B18</f>
        <v>11.9116891625585</v>
      </c>
      <c r="E18" s="1" t="n">
        <f aca="false">B18</f>
        <v>11.9116891625585</v>
      </c>
      <c r="F18" s="1" t="n">
        <v>1</v>
      </c>
      <c r="G18" s="1" t="n">
        <f aca="false">F18</f>
        <v>1</v>
      </c>
      <c r="H18" s="1" t="n">
        <f aca="false">F18</f>
        <v>1</v>
      </c>
      <c r="I18" s="1" t="n">
        <f aca="false">F18</f>
        <v>1</v>
      </c>
      <c r="J18" s="1" t="n">
        <v>1</v>
      </c>
      <c r="K18" s="1" t="n">
        <v>1</v>
      </c>
      <c r="L18" s="1" t="n">
        <f aca="false">B18</f>
        <v>11.9116891625585</v>
      </c>
      <c r="M18" s="1" t="n">
        <f aca="false">B18</f>
        <v>11.9116891625585</v>
      </c>
      <c r="N18" s="1" t="n">
        <f aca="false">B18</f>
        <v>11.9116891625585</v>
      </c>
      <c r="O18" s="1" t="n">
        <f aca="false">B18</f>
        <v>11.9116891625585</v>
      </c>
      <c r="P18" s="1" t="n">
        <f aca="false">B18</f>
        <v>11.9116891625585</v>
      </c>
      <c r="Q18" s="1" t="n">
        <f aca="false">F18</f>
        <v>1</v>
      </c>
      <c r="R18" s="1" t="n">
        <f aca="false">F18</f>
        <v>1</v>
      </c>
      <c r="S18" s="1" t="n">
        <f aca="false">F18</f>
        <v>1</v>
      </c>
      <c r="T18" s="1" t="n">
        <v>1</v>
      </c>
      <c r="U18" s="1" t="n">
        <v>1</v>
      </c>
      <c r="V18" s="1" t="n">
        <f aca="false">F18</f>
        <v>1</v>
      </c>
      <c r="W18" s="1" t="n">
        <f aca="false">F18</f>
        <v>1</v>
      </c>
      <c r="X18" s="1" t="n">
        <f aca="false">F18</f>
        <v>1</v>
      </c>
      <c r="Y18" s="1" t="n">
        <f aca="false">F18</f>
        <v>1</v>
      </c>
      <c r="Z18" s="1" t="n">
        <f aca="false">F18</f>
        <v>1</v>
      </c>
      <c r="AA18" s="1" t="n">
        <f aca="false">F18</f>
        <v>1</v>
      </c>
      <c r="AB18" s="1" t="n">
        <f aca="false">F18</f>
        <v>1</v>
      </c>
      <c r="AC18" s="1" t="n">
        <f aca="false">F18</f>
        <v>1</v>
      </c>
      <c r="AD18" s="1" t="n">
        <f aca="false">F18</f>
        <v>1</v>
      </c>
      <c r="AE18" s="1" t="n">
        <f aca="false">B18</f>
        <v>11.9116891625585</v>
      </c>
      <c r="AF18" s="1" t="n">
        <f aca="false">B18</f>
        <v>11.9116891625585</v>
      </c>
      <c r="AG18" s="1" t="n">
        <f aca="false">B18</f>
        <v>11.9116891625585</v>
      </c>
      <c r="AH18" s="1" t="n">
        <f aca="false">B18</f>
        <v>11.9116891625585</v>
      </c>
      <c r="AI18" s="1" t="n">
        <f aca="false">B18</f>
        <v>11.9116891625585</v>
      </c>
      <c r="AJ18" s="1" t="n">
        <f aca="false">B18</f>
        <v>11.9116891625585</v>
      </c>
      <c r="AK18" s="1" t="n">
        <f aca="false">B18</f>
        <v>11.9116891625585</v>
      </c>
      <c r="AL18" s="1" t="n">
        <f aca="false">B18</f>
        <v>11.9116891625585</v>
      </c>
      <c r="AM18" s="1" t="n">
        <f aca="false">B18</f>
        <v>11.9116891625585</v>
      </c>
      <c r="AN18" s="1" t="n">
        <f aca="false">F18</f>
        <v>1</v>
      </c>
      <c r="AO18" s="1" t="n">
        <f aca="false">F18</f>
        <v>1</v>
      </c>
      <c r="AP18" s="1" t="n">
        <f aca="false">F18</f>
        <v>1</v>
      </c>
      <c r="AQ18" s="1" t="n">
        <f aca="false">F18</f>
        <v>1</v>
      </c>
      <c r="AR18" s="1" t="n">
        <f aca="false">F18</f>
        <v>1</v>
      </c>
      <c r="AS18" s="1" t="n">
        <f aca="false">F18</f>
        <v>1</v>
      </c>
      <c r="AT18" s="1" t="n">
        <v>1</v>
      </c>
      <c r="AU18" s="1" t="n">
        <f aca="false">F18</f>
        <v>1</v>
      </c>
      <c r="AV18" s="1" t="n">
        <f aca="false">F18</f>
        <v>1</v>
      </c>
      <c r="AW18" s="1" t="n">
        <f aca="false">F18</f>
        <v>1</v>
      </c>
      <c r="AX18" s="1" t="n">
        <f aca="false">B18</f>
        <v>11.9116891625585</v>
      </c>
      <c r="AY18" s="1" t="n">
        <f aca="false">B18</f>
        <v>11.9116891625585</v>
      </c>
      <c r="AZ18" s="1" t="n">
        <f aca="false">B18</f>
        <v>11.9116891625585</v>
      </c>
      <c r="BA18" s="1" t="n">
        <f aca="false">F18</f>
        <v>1</v>
      </c>
      <c r="BB18" s="1" t="n">
        <f aca="false">F18</f>
        <v>1</v>
      </c>
      <c r="BC18" s="1" t="n">
        <f aca="false">B18</f>
        <v>11.9116891625585</v>
      </c>
      <c r="BD18" s="1" t="n">
        <f aca="false">B18</f>
        <v>11.9116891625585</v>
      </c>
      <c r="BE18" s="1" t="n">
        <v>1</v>
      </c>
      <c r="BF18" s="1" t="n">
        <v>1</v>
      </c>
      <c r="BG18" s="1" t="n">
        <f aca="false">B18</f>
        <v>11.9116891625585</v>
      </c>
      <c r="BH18" s="1" t="n">
        <f aca="false">B18</f>
        <v>11.9116891625585</v>
      </c>
      <c r="BI18" s="1" t="n">
        <f aca="false">B18</f>
        <v>11.9116891625585</v>
      </c>
      <c r="BJ18" s="1" t="n">
        <f aca="false">B18</f>
        <v>11.9116891625585</v>
      </c>
      <c r="BK18" s="1" t="n">
        <v>1</v>
      </c>
    </row>
    <row r="19" customFormat="false" ht="12.75" hidden="false" customHeight="false" outlineLevel="0" collapsed="false">
      <c r="A19" s="1" t="n">
        <f aca="false">A18-1</f>
        <v>2008</v>
      </c>
      <c r="B19" s="1" t="n">
        <f aca="false">im!F19/im!E19</f>
        <v>12.5006841333121</v>
      </c>
      <c r="C19" s="1" t="n">
        <f aca="false">B19</f>
        <v>12.5006841333121</v>
      </c>
      <c r="D19" s="1" t="n">
        <f aca="false">B19</f>
        <v>12.5006841333121</v>
      </c>
      <c r="E19" s="1" t="n">
        <f aca="false">B19</f>
        <v>12.5006841333121</v>
      </c>
      <c r="F19" s="1" t="n">
        <v>1</v>
      </c>
      <c r="G19" s="1" t="n">
        <f aca="false">F19</f>
        <v>1</v>
      </c>
      <c r="H19" s="1" t="n">
        <f aca="false">F19</f>
        <v>1</v>
      </c>
      <c r="I19" s="1" t="n">
        <f aca="false">F19</f>
        <v>1</v>
      </c>
      <c r="J19" s="1" t="n">
        <v>1</v>
      </c>
      <c r="K19" s="1" t="n">
        <v>1</v>
      </c>
      <c r="L19" s="1" t="n">
        <f aca="false">B19</f>
        <v>12.5006841333121</v>
      </c>
      <c r="M19" s="1" t="n">
        <f aca="false">B19</f>
        <v>12.5006841333121</v>
      </c>
      <c r="N19" s="1" t="n">
        <f aca="false">B19</f>
        <v>12.5006841333121</v>
      </c>
      <c r="O19" s="1" t="n">
        <f aca="false">B19</f>
        <v>12.5006841333121</v>
      </c>
      <c r="P19" s="1" t="n">
        <f aca="false">B19</f>
        <v>12.5006841333121</v>
      </c>
      <c r="Q19" s="1" t="n">
        <f aca="false">F19</f>
        <v>1</v>
      </c>
      <c r="R19" s="1" t="n">
        <f aca="false">F19</f>
        <v>1</v>
      </c>
      <c r="S19" s="1" t="n">
        <f aca="false">F19</f>
        <v>1</v>
      </c>
      <c r="T19" s="1" t="n">
        <v>1</v>
      </c>
      <c r="U19" s="1" t="n">
        <v>1</v>
      </c>
      <c r="V19" s="1" t="n">
        <f aca="false">F19</f>
        <v>1</v>
      </c>
      <c r="W19" s="1" t="n">
        <f aca="false">F19</f>
        <v>1</v>
      </c>
      <c r="X19" s="1" t="n">
        <f aca="false">F19</f>
        <v>1</v>
      </c>
      <c r="Y19" s="1" t="n">
        <f aca="false">F19</f>
        <v>1</v>
      </c>
      <c r="Z19" s="1" t="n">
        <f aca="false">F19</f>
        <v>1</v>
      </c>
      <c r="AA19" s="1" t="n">
        <f aca="false">F19</f>
        <v>1</v>
      </c>
      <c r="AB19" s="1" t="n">
        <f aca="false">F19</f>
        <v>1</v>
      </c>
      <c r="AC19" s="1" t="n">
        <f aca="false">F19</f>
        <v>1</v>
      </c>
      <c r="AD19" s="1" t="n">
        <f aca="false">F19</f>
        <v>1</v>
      </c>
      <c r="AE19" s="1" t="n">
        <f aca="false">B19</f>
        <v>12.5006841333121</v>
      </c>
      <c r="AF19" s="1" t="n">
        <f aca="false">B19</f>
        <v>12.5006841333121</v>
      </c>
      <c r="AG19" s="1" t="n">
        <f aca="false">B19</f>
        <v>12.5006841333121</v>
      </c>
      <c r="AH19" s="1" t="n">
        <f aca="false">B19</f>
        <v>12.5006841333121</v>
      </c>
      <c r="AI19" s="1" t="n">
        <f aca="false">B19</f>
        <v>12.5006841333121</v>
      </c>
      <c r="AJ19" s="1" t="n">
        <f aca="false">B19</f>
        <v>12.5006841333121</v>
      </c>
      <c r="AK19" s="1" t="n">
        <f aca="false">B19</f>
        <v>12.5006841333121</v>
      </c>
      <c r="AL19" s="1" t="n">
        <f aca="false">B19</f>
        <v>12.5006841333121</v>
      </c>
      <c r="AM19" s="1" t="n">
        <f aca="false">B19</f>
        <v>12.5006841333121</v>
      </c>
      <c r="AN19" s="1" t="n">
        <f aca="false">F19</f>
        <v>1</v>
      </c>
      <c r="AO19" s="1" t="n">
        <f aca="false">F19</f>
        <v>1</v>
      </c>
      <c r="AP19" s="1" t="n">
        <f aca="false">F19</f>
        <v>1</v>
      </c>
      <c r="AQ19" s="1" t="n">
        <f aca="false">F19</f>
        <v>1</v>
      </c>
      <c r="AR19" s="1" t="n">
        <f aca="false">F19</f>
        <v>1</v>
      </c>
      <c r="AS19" s="1" t="n">
        <f aca="false">F19</f>
        <v>1</v>
      </c>
      <c r="AT19" s="1" t="n">
        <v>1</v>
      </c>
      <c r="AU19" s="1" t="n">
        <f aca="false">F19</f>
        <v>1</v>
      </c>
      <c r="AV19" s="1" t="n">
        <f aca="false">F19</f>
        <v>1</v>
      </c>
      <c r="AW19" s="1" t="n">
        <f aca="false">F19</f>
        <v>1</v>
      </c>
      <c r="AX19" s="1" t="n">
        <f aca="false">B19</f>
        <v>12.5006841333121</v>
      </c>
      <c r="AY19" s="1" t="n">
        <f aca="false">B19</f>
        <v>12.5006841333121</v>
      </c>
      <c r="AZ19" s="1" t="n">
        <f aca="false">B19</f>
        <v>12.5006841333121</v>
      </c>
      <c r="BA19" s="1" t="n">
        <f aca="false">F19</f>
        <v>1</v>
      </c>
      <c r="BB19" s="1" t="n">
        <f aca="false">F19</f>
        <v>1</v>
      </c>
      <c r="BC19" s="1" t="n">
        <f aca="false">B19</f>
        <v>12.5006841333121</v>
      </c>
      <c r="BD19" s="1" t="n">
        <f aca="false">B19</f>
        <v>12.5006841333121</v>
      </c>
      <c r="BE19" s="1" t="n">
        <v>1</v>
      </c>
      <c r="BF19" s="1" t="n">
        <v>1</v>
      </c>
      <c r="BG19" s="1" t="n">
        <f aca="false">B19</f>
        <v>12.5006841333121</v>
      </c>
      <c r="BH19" s="1" t="n">
        <f aca="false">B19</f>
        <v>12.5006841333121</v>
      </c>
      <c r="BI19" s="1" t="n">
        <f aca="false">B19</f>
        <v>12.5006841333121</v>
      </c>
      <c r="BJ19" s="1" t="n">
        <f aca="false">B19</f>
        <v>12.5006841333121</v>
      </c>
      <c r="BK19" s="1" t="n">
        <v>1</v>
      </c>
    </row>
    <row r="20" customFormat="false" ht="12.75" hidden="false" customHeight="false" outlineLevel="0" collapsed="false">
      <c r="A20" s="1" t="n">
        <f aca="false">A19-1</f>
        <v>2007</v>
      </c>
      <c r="B20" s="1" t="n">
        <f aca="false">im!F20/im!E20</f>
        <v>12.1423137478337</v>
      </c>
      <c r="C20" s="1" t="n">
        <f aca="false">B20</f>
        <v>12.1423137478337</v>
      </c>
      <c r="D20" s="1" t="n">
        <f aca="false">B20</f>
        <v>12.1423137478337</v>
      </c>
      <c r="E20" s="1" t="n">
        <f aca="false">B20</f>
        <v>12.1423137478337</v>
      </c>
      <c r="F20" s="1" t="n">
        <v>1</v>
      </c>
      <c r="G20" s="1" t="n">
        <f aca="false">F20</f>
        <v>1</v>
      </c>
      <c r="H20" s="1" t="n">
        <f aca="false">F20</f>
        <v>1</v>
      </c>
      <c r="I20" s="1" t="n">
        <f aca="false">F20</f>
        <v>1</v>
      </c>
      <c r="J20" s="1" t="n">
        <v>1</v>
      </c>
      <c r="K20" s="1" t="n">
        <v>1</v>
      </c>
      <c r="L20" s="1" t="n">
        <f aca="false">B20</f>
        <v>12.1423137478337</v>
      </c>
      <c r="M20" s="1" t="n">
        <f aca="false">B20</f>
        <v>12.1423137478337</v>
      </c>
      <c r="N20" s="1" t="n">
        <f aca="false">B20</f>
        <v>12.1423137478337</v>
      </c>
      <c r="O20" s="1" t="n">
        <f aca="false">B20</f>
        <v>12.1423137478337</v>
      </c>
      <c r="P20" s="1" t="n">
        <f aca="false">B20</f>
        <v>12.1423137478337</v>
      </c>
      <c r="Q20" s="1" t="n">
        <f aca="false">F20</f>
        <v>1</v>
      </c>
      <c r="R20" s="1" t="n">
        <f aca="false">F20</f>
        <v>1</v>
      </c>
      <c r="S20" s="1" t="n">
        <f aca="false">F20</f>
        <v>1</v>
      </c>
      <c r="T20" s="1" t="n">
        <v>1</v>
      </c>
      <c r="U20" s="1" t="n">
        <v>1</v>
      </c>
      <c r="V20" s="1" t="n">
        <f aca="false">F20</f>
        <v>1</v>
      </c>
      <c r="W20" s="1" t="n">
        <f aca="false">F20</f>
        <v>1</v>
      </c>
      <c r="X20" s="1" t="n">
        <f aca="false">F20</f>
        <v>1</v>
      </c>
      <c r="Y20" s="1" t="n">
        <f aca="false">F20</f>
        <v>1</v>
      </c>
      <c r="Z20" s="1" t="n">
        <f aca="false">F20</f>
        <v>1</v>
      </c>
      <c r="AA20" s="1" t="n">
        <f aca="false">F20</f>
        <v>1</v>
      </c>
      <c r="AB20" s="1" t="n">
        <f aca="false">F20</f>
        <v>1</v>
      </c>
      <c r="AC20" s="1" t="n">
        <f aca="false">F20</f>
        <v>1</v>
      </c>
      <c r="AD20" s="1" t="n">
        <f aca="false">F20</f>
        <v>1</v>
      </c>
      <c r="AE20" s="1" t="n">
        <f aca="false">B20</f>
        <v>12.1423137478337</v>
      </c>
      <c r="AF20" s="1" t="n">
        <f aca="false">B20</f>
        <v>12.1423137478337</v>
      </c>
      <c r="AG20" s="1" t="n">
        <f aca="false">B20</f>
        <v>12.1423137478337</v>
      </c>
      <c r="AH20" s="1" t="n">
        <f aca="false">B20</f>
        <v>12.1423137478337</v>
      </c>
      <c r="AI20" s="1" t="n">
        <f aca="false">B20</f>
        <v>12.1423137478337</v>
      </c>
      <c r="AJ20" s="1" t="n">
        <f aca="false">B20</f>
        <v>12.1423137478337</v>
      </c>
      <c r="AK20" s="1" t="n">
        <f aca="false">B20</f>
        <v>12.1423137478337</v>
      </c>
      <c r="AL20" s="1" t="n">
        <f aca="false">B20</f>
        <v>12.1423137478337</v>
      </c>
      <c r="AM20" s="1" t="n">
        <f aca="false">B20</f>
        <v>12.1423137478337</v>
      </c>
      <c r="AN20" s="1" t="n">
        <f aca="false">F20</f>
        <v>1</v>
      </c>
      <c r="AO20" s="1" t="n">
        <f aca="false">F20</f>
        <v>1</v>
      </c>
      <c r="AP20" s="1" t="n">
        <f aca="false">F20</f>
        <v>1</v>
      </c>
      <c r="AQ20" s="1" t="n">
        <f aca="false">F20</f>
        <v>1</v>
      </c>
      <c r="AR20" s="1" t="n">
        <f aca="false">F20</f>
        <v>1</v>
      </c>
      <c r="AS20" s="1" t="n">
        <f aca="false">F20</f>
        <v>1</v>
      </c>
      <c r="AT20" s="1" t="n">
        <v>1</v>
      </c>
      <c r="AU20" s="1" t="n">
        <f aca="false">F20</f>
        <v>1</v>
      </c>
      <c r="AV20" s="1" t="n">
        <f aca="false">F20</f>
        <v>1</v>
      </c>
      <c r="AW20" s="1" t="n">
        <f aca="false">F20</f>
        <v>1</v>
      </c>
      <c r="AX20" s="1" t="n">
        <f aca="false">B20</f>
        <v>12.1423137478337</v>
      </c>
      <c r="AY20" s="1" t="n">
        <f aca="false">B20</f>
        <v>12.1423137478337</v>
      </c>
      <c r="AZ20" s="1" t="n">
        <f aca="false">B20</f>
        <v>12.1423137478337</v>
      </c>
      <c r="BA20" s="1" t="n">
        <f aca="false">F20</f>
        <v>1</v>
      </c>
      <c r="BB20" s="1" t="n">
        <f aca="false">F20</f>
        <v>1</v>
      </c>
      <c r="BC20" s="1" t="n">
        <f aca="false">B20</f>
        <v>12.1423137478337</v>
      </c>
      <c r="BD20" s="1" t="n">
        <f aca="false">B20</f>
        <v>12.1423137478337</v>
      </c>
      <c r="BE20" s="1" t="n">
        <v>1</v>
      </c>
      <c r="BF20" s="1" t="n">
        <v>1</v>
      </c>
      <c r="BG20" s="1" t="n">
        <f aca="false">B20</f>
        <v>12.1423137478337</v>
      </c>
      <c r="BH20" s="1" t="n">
        <f aca="false">B20</f>
        <v>12.1423137478337</v>
      </c>
      <c r="BI20" s="1" t="n">
        <f aca="false">B20</f>
        <v>12.1423137478337</v>
      </c>
      <c r="BJ20" s="1" t="n">
        <f aca="false">B20</f>
        <v>12.1423137478337</v>
      </c>
      <c r="BK20" s="1" t="n">
        <v>1</v>
      </c>
    </row>
    <row r="21" customFormat="false" ht="12.75" hidden="false" customHeight="false" outlineLevel="0" collapsed="false">
      <c r="A21" s="1" t="n">
        <f aca="false">A20-1</f>
        <v>2006</v>
      </c>
      <c r="B21" s="1" t="n">
        <f aca="false">im!F21/im!E21</f>
        <v>10.4723587577274</v>
      </c>
      <c r="C21" s="1" t="n">
        <f aca="false">B21</f>
        <v>10.4723587577274</v>
      </c>
      <c r="D21" s="1" t="n">
        <f aca="false">B21</f>
        <v>10.4723587577274</v>
      </c>
      <c r="E21" s="1" t="n">
        <f aca="false">B21</f>
        <v>10.4723587577274</v>
      </c>
      <c r="F21" s="1" t="n">
        <v>1</v>
      </c>
      <c r="G21" s="1" t="n">
        <f aca="false">F21</f>
        <v>1</v>
      </c>
      <c r="H21" s="1" t="n">
        <f aca="false">F21</f>
        <v>1</v>
      </c>
      <c r="I21" s="1" t="n">
        <f aca="false">F21</f>
        <v>1</v>
      </c>
      <c r="J21" s="1" t="n">
        <v>1</v>
      </c>
      <c r="K21" s="1" t="n">
        <v>1</v>
      </c>
      <c r="L21" s="1" t="n">
        <f aca="false">B21</f>
        <v>10.4723587577274</v>
      </c>
      <c r="M21" s="1" t="n">
        <f aca="false">B21</f>
        <v>10.4723587577274</v>
      </c>
      <c r="N21" s="1" t="n">
        <f aca="false">B21</f>
        <v>10.4723587577274</v>
      </c>
      <c r="O21" s="1" t="n">
        <f aca="false">B21</f>
        <v>10.4723587577274</v>
      </c>
      <c r="P21" s="1" t="n">
        <f aca="false">B21</f>
        <v>10.4723587577274</v>
      </c>
      <c r="Q21" s="1" t="n">
        <f aca="false">F21</f>
        <v>1</v>
      </c>
      <c r="R21" s="1" t="n">
        <f aca="false">F21</f>
        <v>1</v>
      </c>
      <c r="S21" s="1" t="n">
        <f aca="false">F21</f>
        <v>1</v>
      </c>
      <c r="T21" s="1" t="n">
        <v>1</v>
      </c>
      <c r="U21" s="1" t="n">
        <v>1</v>
      </c>
      <c r="V21" s="1" t="n">
        <f aca="false">F21</f>
        <v>1</v>
      </c>
      <c r="W21" s="1" t="n">
        <f aca="false">F21</f>
        <v>1</v>
      </c>
      <c r="X21" s="1" t="n">
        <f aca="false">F21</f>
        <v>1</v>
      </c>
      <c r="Y21" s="1" t="n">
        <f aca="false">F21</f>
        <v>1</v>
      </c>
      <c r="Z21" s="1" t="n">
        <f aca="false">F21</f>
        <v>1</v>
      </c>
      <c r="AA21" s="1" t="n">
        <f aca="false">F21</f>
        <v>1</v>
      </c>
      <c r="AB21" s="1" t="n">
        <f aca="false">F21</f>
        <v>1</v>
      </c>
      <c r="AC21" s="1" t="n">
        <f aca="false">F21</f>
        <v>1</v>
      </c>
      <c r="AD21" s="1" t="n">
        <f aca="false">F21</f>
        <v>1</v>
      </c>
      <c r="AE21" s="1" t="n">
        <f aca="false">B21</f>
        <v>10.4723587577274</v>
      </c>
      <c r="AF21" s="1" t="n">
        <f aca="false">B21</f>
        <v>10.4723587577274</v>
      </c>
      <c r="AG21" s="1" t="n">
        <f aca="false">B21</f>
        <v>10.4723587577274</v>
      </c>
      <c r="AH21" s="1" t="n">
        <f aca="false">B21</f>
        <v>10.4723587577274</v>
      </c>
      <c r="AI21" s="1" t="n">
        <f aca="false">B21</f>
        <v>10.4723587577274</v>
      </c>
      <c r="AJ21" s="1" t="n">
        <f aca="false">B21</f>
        <v>10.4723587577274</v>
      </c>
      <c r="AK21" s="1" t="n">
        <f aca="false">B21</f>
        <v>10.4723587577274</v>
      </c>
      <c r="AL21" s="1" t="n">
        <f aca="false">B21</f>
        <v>10.4723587577274</v>
      </c>
      <c r="AM21" s="1" t="n">
        <f aca="false">B21</f>
        <v>10.4723587577274</v>
      </c>
      <c r="AN21" s="1" t="n">
        <f aca="false">F21</f>
        <v>1</v>
      </c>
      <c r="AO21" s="1" t="n">
        <f aca="false">F21</f>
        <v>1</v>
      </c>
      <c r="AP21" s="1" t="n">
        <f aca="false">F21</f>
        <v>1</v>
      </c>
      <c r="AQ21" s="1" t="n">
        <f aca="false">F21</f>
        <v>1</v>
      </c>
      <c r="AR21" s="1" t="n">
        <f aca="false">F21</f>
        <v>1</v>
      </c>
      <c r="AS21" s="1" t="n">
        <f aca="false">F21</f>
        <v>1</v>
      </c>
      <c r="AT21" s="1" t="n">
        <v>1</v>
      </c>
      <c r="AU21" s="1" t="n">
        <f aca="false">F21</f>
        <v>1</v>
      </c>
      <c r="AV21" s="1" t="n">
        <f aca="false">F21</f>
        <v>1</v>
      </c>
      <c r="AW21" s="1" t="n">
        <f aca="false">F21</f>
        <v>1</v>
      </c>
      <c r="AX21" s="1" t="n">
        <f aca="false">B21</f>
        <v>10.4723587577274</v>
      </c>
      <c r="AY21" s="1" t="n">
        <f aca="false">B21</f>
        <v>10.4723587577274</v>
      </c>
      <c r="AZ21" s="1" t="n">
        <f aca="false">B21</f>
        <v>10.4723587577274</v>
      </c>
      <c r="BA21" s="1" t="n">
        <f aca="false">F21</f>
        <v>1</v>
      </c>
      <c r="BB21" s="1" t="n">
        <f aca="false">F21</f>
        <v>1</v>
      </c>
      <c r="BC21" s="1" t="n">
        <f aca="false">B21</f>
        <v>10.4723587577274</v>
      </c>
      <c r="BD21" s="1" t="n">
        <f aca="false">B21</f>
        <v>10.4723587577274</v>
      </c>
      <c r="BE21" s="1" t="n">
        <v>1</v>
      </c>
      <c r="BF21" s="1" t="n">
        <v>1</v>
      </c>
      <c r="BG21" s="1" t="n">
        <f aca="false">B21</f>
        <v>10.4723587577274</v>
      </c>
      <c r="BH21" s="1" t="n">
        <f aca="false">B21</f>
        <v>10.4723587577274</v>
      </c>
      <c r="BI21" s="1" t="n">
        <f aca="false">B21</f>
        <v>10.4723587577274</v>
      </c>
      <c r="BJ21" s="1" t="n">
        <f aca="false">B21</f>
        <v>10.4723587577274</v>
      </c>
      <c r="BK21" s="1" t="n">
        <v>1</v>
      </c>
    </row>
    <row r="22" customFormat="false" ht="12.75" hidden="false" customHeight="false" outlineLevel="0" collapsed="false">
      <c r="A22" s="1" t="n">
        <f aca="false">A21-1</f>
        <v>2005</v>
      </c>
      <c r="B22" s="1" t="n">
        <f aca="false">im!F22/im!E22</f>
        <v>9.46621906537883</v>
      </c>
      <c r="C22" s="1" t="n">
        <f aca="false">B22</f>
        <v>9.46621906537883</v>
      </c>
      <c r="D22" s="1" t="n">
        <f aca="false">B22</f>
        <v>9.46621906537883</v>
      </c>
      <c r="E22" s="1" t="n">
        <f aca="false">B22</f>
        <v>9.46621906537883</v>
      </c>
      <c r="F22" s="1" t="n">
        <v>1</v>
      </c>
      <c r="G22" s="1" t="n">
        <f aca="false">F22</f>
        <v>1</v>
      </c>
      <c r="H22" s="1" t="n">
        <f aca="false">F22</f>
        <v>1</v>
      </c>
      <c r="I22" s="1" t="n">
        <f aca="false">F22</f>
        <v>1</v>
      </c>
      <c r="J22" s="1" t="n">
        <v>1</v>
      </c>
      <c r="K22" s="1" t="n">
        <v>1</v>
      </c>
      <c r="L22" s="1" t="n">
        <f aca="false">B22</f>
        <v>9.46621906537883</v>
      </c>
      <c r="M22" s="1" t="n">
        <f aca="false">B22</f>
        <v>9.46621906537883</v>
      </c>
      <c r="N22" s="1" t="n">
        <f aca="false">B22</f>
        <v>9.46621906537883</v>
      </c>
      <c r="O22" s="1" t="n">
        <f aca="false">B22</f>
        <v>9.46621906537883</v>
      </c>
      <c r="P22" s="1" t="n">
        <f aca="false">B22</f>
        <v>9.46621906537883</v>
      </c>
      <c r="Q22" s="1" t="n">
        <f aca="false">F22</f>
        <v>1</v>
      </c>
      <c r="R22" s="1" t="n">
        <f aca="false">F22</f>
        <v>1</v>
      </c>
      <c r="S22" s="1" t="n">
        <f aca="false">F22</f>
        <v>1</v>
      </c>
      <c r="T22" s="1" t="n">
        <v>1</v>
      </c>
      <c r="U22" s="1" t="n">
        <v>1</v>
      </c>
      <c r="V22" s="1" t="n">
        <f aca="false">F22</f>
        <v>1</v>
      </c>
      <c r="W22" s="1" t="n">
        <f aca="false">F22</f>
        <v>1</v>
      </c>
      <c r="X22" s="1" t="n">
        <f aca="false">F22</f>
        <v>1</v>
      </c>
      <c r="Y22" s="1" t="n">
        <f aca="false">F22</f>
        <v>1</v>
      </c>
      <c r="Z22" s="1" t="n">
        <f aca="false">F22</f>
        <v>1</v>
      </c>
      <c r="AA22" s="1" t="n">
        <f aca="false">F22</f>
        <v>1</v>
      </c>
      <c r="AB22" s="1" t="n">
        <f aca="false">F22</f>
        <v>1</v>
      </c>
      <c r="AC22" s="1" t="n">
        <f aca="false">F22</f>
        <v>1</v>
      </c>
      <c r="AD22" s="1" t="n">
        <f aca="false">F22</f>
        <v>1</v>
      </c>
      <c r="AE22" s="1" t="n">
        <f aca="false">B22</f>
        <v>9.46621906537883</v>
      </c>
      <c r="AF22" s="1" t="n">
        <f aca="false">B22</f>
        <v>9.46621906537883</v>
      </c>
      <c r="AG22" s="1" t="n">
        <f aca="false">B22</f>
        <v>9.46621906537883</v>
      </c>
      <c r="AH22" s="1" t="n">
        <f aca="false">B22</f>
        <v>9.46621906537883</v>
      </c>
      <c r="AI22" s="1" t="n">
        <f aca="false">B22</f>
        <v>9.46621906537883</v>
      </c>
      <c r="AJ22" s="1" t="n">
        <f aca="false">B22</f>
        <v>9.46621906537883</v>
      </c>
      <c r="AK22" s="1" t="n">
        <f aca="false">B22</f>
        <v>9.46621906537883</v>
      </c>
      <c r="AL22" s="1" t="n">
        <f aca="false">B22</f>
        <v>9.46621906537883</v>
      </c>
      <c r="AM22" s="1" t="n">
        <f aca="false">B22</f>
        <v>9.46621906537883</v>
      </c>
      <c r="AN22" s="1" t="n">
        <f aca="false">F22</f>
        <v>1</v>
      </c>
      <c r="AO22" s="1" t="n">
        <f aca="false">F22</f>
        <v>1</v>
      </c>
      <c r="AP22" s="1" t="n">
        <f aca="false">F22</f>
        <v>1</v>
      </c>
      <c r="AQ22" s="1" t="n">
        <f aca="false">F22</f>
        <v>1</v>
      </c>
      <c r="AR22" s="1" t="n">
        <f aca="false">F22</f>
        <v>1</v>
      </c>
      <c r="AS22" s="1" t="n">
        <f aca="false">F22</f>
        <v>1</v>
      </c>
      <c r="AT22" s="1" t="n">
        <v>1</v>
      </c>
      <c r="AU22" s="1" t="n">
        <f aca="false">F22</f>
        <v>1</v>
      </c>
      <c r="AV22" s="1" t="n">
        <f aca="false">F22</f>
        <v>1</v>
      </c>
      <c r="AW22" s="1" t="n">
        <f aca="false">F22</f>
        <v>1</v>
      </c>
      <c r="AX22" s="1" t="n">
        <f aca="false">B22</f>
        <v>9.46621906537883</v>
      </c>
      <c r="AY22" s="1" t="n">
        <f aca="false">B22</f>
        <v>9.46621906537883</v>
      </c>
      <c r="AZ22" s="1" t="n">
        <f aca="false">B22</f>
        <v>9.46621906537883</v>
      </c>
      <c r="BA22" s="1" t="n">
        <f aca="false">F22</f>
        <v>1</v>
      </c>
      <c r="BB22" s="1" t="n">
        <f aca="false">F22</f>
        <v>1</v>
      </c>
      <c r="BC22" s="1" t="n">
        <f aca="false">B22</f>
        <v>9.46621906537883</v>
      </c>
      <c r="BD22" s="1" t="n">
        <f aca="false">B22</f>
        <v>9.46621906537883</v>
      </c>
      <c r="BE22" s="1" t="n">
        <v>1</v>
      </c>
      <c r="BF22" s="1" t="n">
        <v>1</v>
      </c>
      <c r="BG22" s="1" t="n">
        <f aca="false">B22</f>
        <v>9.46621906537883</v>
      </c>
      <c r="BH22" s="1" t="n">
        <f aca="false">B22</f>
        <v>9.46621906537883</v>
      </c>
      <c r="BI22" s="1" t="n">
        <f aca="false">B22</f>
        <v>9.46621906537883</v>
      </c>
      <c r="BJ22" s="1" t="n">
        <f aca="false">B22</f>
        <v>9.46621906537883</v>
      </c>
      <c r="BK22" s="1" t="n">
        <v>1</v>
      </c>
    </row>
    <row r="23" customFormat="false" ht="12.75" hidden="false" customHeight="false" outlineLevel="0" collapsed="false">
      <c r="A23" s="1" t="n">
        <f aca="false">A22-1</f>
        <v>2004</v>
      </c>
      <c r="B23" s="1" t="n">
        <f aca="false">im!F23/im!E23</f>
        <v>9.97756784414698</v>
      </c>
      <c r="C23" s="1" t="n">
        <f aca="false">B23</f>
        <v>9.97756784414698</v>
      </c>
      <c r="D23" s="1" t="n">
        <f aca="false">B23</f>
        <v>9.97756784414698</v>
      </c>
      <c r="E23" s="1" t="n">
        <f aca="false">B23</f>
        <v>9.97756784414698</v>
      </c>
      <c r="F23" s="1" t="n">
        <v>1</v>
      </c>
      <c r="G23" s="1" t="n">
        <f aca="false">F23</f>
        <v>1</v>
      </c>
      <c r="H23" s="1" t="n">
        <f aca="false">F23</f>
        <v>1</v>
      </c>
      <c r="I23" s="1" t="n">
        <f aca="false">F23</f>
        <v>1</v>
      </c>
      <c r="J23" s="1" t="n">
        <v>1</v>
      </c>
      <c r="K23" s="1" t="n">
        <v>1</v>
      </c>
      <c r="L23" s="1" t="n">
        <f aca="false">B23</f>
        <v>9.97756784414698</v>
      </c>
      <c r="M23" s="1" t="n">
        <f aca="false">B23</f>
        <v>9.97756784414698</v>
      </c>
      <c r="N23" s="1" t="n">
        <f aca="false">B23</f>
        <v>9.97756784414698</v>
      </c>
      <c r="O23" s="1" t="n">
        <f aca="false">B23</f>
        <v>9.97756784414698</v>
      </c>
      <c r="P23" s="1" t="n">
        <f aca="false">B23</f>
        <v>9.97756784414698</v>
      </c>
      <c r="Q23" s="1" t="n">
        <f aca="false">F23</f>
        <v>1</v>
      </c>
      <c r="R23" s="1" t="n">
        <f aca="false">F23</f>
        <v>1</v>
      </c>
      <c r="S23" s="1" t="n">
        <f aca="false">F23</f>
        <v>1</v>
      </c>
      <c r="T23" s="1" t="n">
        <v>1</v>
      </c>
      <c r="U23" s="1" t="n">
        <v>1</v>
      </c>
      <c r="V23" s="1" t="n">
        <f aca="false">F23</f>
        <v>1</v>
      </c>
      <c r="W23" s="1" t="n">
        <f aca="false">F23</f>
        <v>1</v>
      </c>
      <c r="X23" s="1" t="n">
        <f aca="false">F23</f>
        <v>1</v>
      </c>
      <c r="Y23" s="1" t="n">
        <f aca="false">F23</f>
        <v>1</v>
      </c>
      <c r="Z23" s="1" t="n">
        <f aca="false">F23</f>
        <v>1</v>
      </c>
      <c r="AA23" s="1" t="n">
        <f aca="false">F23</f>
        <v>1</v>
      </c>
      <c r="AB23" s="1" t="n">
        <f aca="false">F23</f>
        <v>1</v>
      </c>
      <c r="AC23" s="1" t="n">
        <f aca="false">F23</f>
        <v>1</v>
      </c>
      <c r="AD23" s="1" t="n">
        <f aca="false">F23</f>
        <v>1</v>
      </c>
      <c r="AE23" s="1" t="n">
        <f aca="false">B23</f>
        <v>9.97756784414698</v>
      </c>
      <c r="AF23" s="1" t="n">
        <f aca="false">B23</f>
        <v>9.97756784414698</v>
      </c>
      <c r="AG23" s="1" t="n">
        <f aca="false">B23</f>
        <v>9.97756784414698</v>
      </c>
      <c r="AH23" s="1" t="n">
        <f aca="false">B23</f>
        <v>9.97756784414698</v>
      </c>
      <c r="AI23" s="1" t="n">
        <f aca="false">B23</f>
        <v>9.97756784414698</v>
      </c>
      <c r="AJ23" s="1" t="n">
        <f aca="false">B23</f>
        <v>9.97756784414698</v>
      </c>
      <c r="AK23" s="1" t="n">
        <f aca="false">B23</f>
        <v>9.97756784414698</v>
      </c>
      <c r="AL23" s="1" t="n">
        <f aca="false">B23</f>
        <v>9.97756784414698</v>
      </c>
      <c r="AM23" s="1" t="n">
        <f aca="false">B23</f>
        <v>9.97756784414698</v>
      </c>
      <c r="AN23" s="1" t="n">
        <f aca="false">F23</f>
        <v>1</v>
      </c>
      <c r="AO23" s="1" t="n">
        <f aca="false">F23</f>
        <v>1</v>
      </c>
      <c r="AP23" s="1" t="n">
        <f aca="false">F23</f>
        <v>1</v>
      </c>
      <c r="AQ23" s="1" t="n">
        <f aca="false">F23</f>
        <v>1</v>
      </c>
      <c r="AR23" s="1" t="n">
        <f aca="false">F23</f>
        <v>1</v>
      </c>
      <c r="AS23" s="1" t="n">
        <f aca="false">F23</f>
        <v>1</v>
      </c>
      <c r="AT23" s="1" t="n">
        <v>1</v>
      </c>
      <c r="AU23" s="1" t="n">
        <f aca="false">F23</f>
        <v>1</v>
      </c>
      <c r="AV23" s="1" t="n">
        <f aca="false">F23</f>
        <v>1</v>
      </c>
      <c r="AW23" s="1" t="n">
        <f aca="false">F23</f>
        <v>1</v>
      </c>
      <c r="AX23" s="1" t="n">
        <f aca="false">B23</f>
        <v>9.97756784414698</v>
      </c>
      <c r="AY23" s="1" t="n">
        <f aca="false">B23</f>
        <v>9.97756784414698</v>
      </c>
      <c r="AZ23" s="1" t="n">
        <f aca="false">B23</f>
        <v>9.97756784414698</v>
      </c>
      <c r="BA23" s="1" t="n">
        <f aca="false">F23</f>
        <v>1</v>
      </c>
      <c r="BB23" s="1" t="n">
        <f aca="false">F23</f>
        <v>1</v>
      </c>
      <c r="BC23" s="1" t="n">
        <f aca="false">B23</f>
        <v>9.97756784414698</v>
      </c>
      <c r="BD23" s="1" t="n">
        <f aca="false">B23</f>
        <v>9.97756784414698</v>
      </c>
      <c r="BE23" s="1" t="n">
        <v>1</v>
      </c>
      <c r="BF23" s="1" t="n">
        <v>1</v>
      </c>
      <c r="BG23" s="1" t="n">
        <f aca="false">B23</f>
        <v>9.97756784414698</v>
      </c>
      <c r="BH23" s="1" t="n">
        <f aca="false">B23</f>
        <v>9.97756784414698</v>
      </c>
      <c r="BI23" s="1" t="n">
        <f aca="false">B23</f>
        <v>9.97756784414698</v>
      </c>
      <c r="BJ23" s="1" t="n">
        <f aca="false">B23</f>
        <v>9.97756784414698</v>
      </c>
      <c r="BK23" s="1" t="n">
        <v>1</v>
      </c>
    </row>
    <row r="24" customFormat="false" ht="12.75" hidden="false" customHeight="false" outlineLevel="0" collapsed="false">
      <c r="A24" s="1" t="n">
        <f aca="false">A23-1</f>
        <v>2003</v>
      </c>
      <c r="B24" s="1" t="n">
        <f aca="false">im!F24/im!E24</f>
        <v>9.97809847668287</v>
      </c>
      <c r="C24" s="1" t="n">
        <f aca="false">B24</f>
        <v>9.97809847668287</v>
      </c>
      <c r="D24" s="1" t="n">
        <f aca="false">B24</f>
        <v>9.97809847668287</v>
      </c>
      <c r="E24" s="1" t="n">
        <f aca="false">B24</f>
        <v>9.97809847668287</v>
      </c>
      <c r="F24" s="1" t="n">
        <v>1</v>
      </c>
      <c r="G24" s="1" t="n">
        <f aca="false">F24</f>
        <v>1</v>
      </c>
      <c r="H24" s="1" t="n">
        <f aca="false">F24</f>
        <v>1</v>
      </c>
      <c r="I24" s="1" t="n">
        <f aca="false">F24</f>
        <v>1</v>
      </c>
      <c r="J24" s="1" t="n">
        <v>1</v>
      </c>
      <c r="K24" s="1" t="n">
        <v>1</v>
      </c>
      <c r="L24" s="1" t="n">
        <f aca="false">B24</f>
        <v>9.97809847668287</v>
      </c>
      <c r="M24" s="1" t="n">
        <f aca="false">B24</f>
        <v>9.97809847668287</v>
      </c>
      <c r="N24" s="1" t="n">
        <f aca="false">B24</f>
        <v>9.97809847668287</v>
      </c>
      <c r="O24" s="1" t="n">
        <f aca="false">B24</f>
        <v>9.97809847668287</v>
      </c>
      <c r="P24" s="1" t="n">
        <f aca="false">B24</f>
        <v>9.97809847668287</v>
      </c>
      <c r="Q24" s="1" t="n">
        <f aca="false">F24</f>
        <v>1</v>
      </c>
      <c r="R24" s="1" t="n">
        <f aca="false">F24</f>
        <v>1</v>
      </c>
      <c r="S24" s="1" t="n">
        <f aca="false">F24</f>
        <v>1</v>
      </c>
      <c r="T24" s="1" t="n">
        <v>1</v>
      </c>
      <c r="U24" s="1" t="n">
        <v>1</v>
      </c>
      <c r="V24" s="1" t="n">
        <f aca="false">F24</f>
        <v>1</v>
      </c>
      <c r="W24" s="1" t="n">
        <f aca="false">F24</f>
        <v>1</v>
      </c>
      <c r="X24" s="1" t="n">
        <f aca="false">F24</f>
        <v>1</v>
      </c>
      <c r="Y24" s="1" t="n">
        <f aca="false">F24</f>
        <v>1</v>
      </c>
      <c r="Z24" s="1" t="n">
        <f aca="false">F24</f>
        <v>1</v>
      </c>
      <c r="AA24" s="1" t="n">
        <f aca="false">F24</f>
        <v>1</v>
      </c>
      <c r="AB24" s="1" t="n">
        <f aca="false">F24</f>
        <v>1</v>
      </c>
      <c r="AC24" s="1" t="n">
        <f aca="false">F24</f>
        <v>1</v>
      </c>
      <c r="AD24" s="1" t="n">
        <f aca="false">F24</f>
        <v>1</v>
      </c>
      <c r="AE24" s="1" t="n">
        <f aca="false">B24</f>
        <v>9.97809847668287</v>
      </c>
      <c r="AF24" s="1" t="n">
        <f aca="false">B24</f>
        <v>9.97809847668287</v>
      </c>
      <c r="AG24" s="1" t="n">
        <f aca="false">B24</f>
        <v>9.97809847668287</v>
      </c>
      <c r="AH24" s="1" t="n">
        <f aca="false">B24</f>
        <v>9.97809847668287</v>
      </c>
      <c r="AI24" s="1" t="n">
        <f aca="false">B24</f>
        <v>9.97809847668287</v>
      </c>
      <c r="AJ24" s="1" t="n">
        <f aca="false">B24</f>
        <v>9.97809847668287</v>
      </c>
      <c r="AK24" s="1" t="n">
        <f aca="false">B24</f>
        <v>9.97809847668287</v>
      </c>
      <c r="AL24" s="1" t="n">
        <f aca="false">B24</f>
        <v>9.97809847668287</v>
      </c>
      <c r="AM24" s="1" t="n">
        <f aca="false">B24</f>
        <v>9.97809847668287</v>
      </c>
      <c r="AN24" s="1" t="n">
        <f aca="false">F24</f>
        <v>1</v>
      </c>
      <c r="AO24" s="1" t="n">
        <f aca="false">F24</f>
        <v>1</v>
      </c>
      <c r="AP24" s="1" t="n">
        <f aca="false">F24</f>
        <v>1</v>
      </c>
      <c r="AQ24" s="1" t="n">
        <f aca="false">F24</f>
        <v>1</v>
      </c>
      <c r="AR24" s="1" t="n">
        <f aca="false">F24</f>
        <v>1</v>
      </c>
      <c r="AS24" s="1" t="n">
        <f aca="false">F24</f>
        <v>1</v>
      </c>
      <c r="AT24" s="1" t="n">
        <v>1</v>
      </c>
      <c r="AU24" s="1" t="n">
        <f aca="false">F24</f>
        <v>1</v>
      </c>
      <c r="AV24" s="1" t="n">
        <f aca="false">F24</f>
        <v>1</v>
      </c>
      <c r="AW24" s="1" t="n">
        <f aca="false">F24</f>
        <v>1</v>
      </c>
      <c r="AX24" s="1" t="n">
        <f aca="false">B24</f>
        <v>9.97809847668287</v>
      </c>
      <c r="AY24" s="1" t="n">
        <f aca="false">B24</f>
        <v>9.97809847668287</v>
      </c>
      <c r="AZ24" s="1" t="n">
        <f aca="false">B24</f>
        <v>9.97809847668287</v>
      </c>
      <c r="BA24" s="1" t="n">
        <f aca="false">F24</f>
        <v>1</v>
      </c>
      <c r="BB24" s="1" t="n">
        <f aca="false">F24</f>
        <v>1</v>
      </c>
      <c r="BC24" s="1" t="n">
        <f aca="false">B24</f>
        <v>9.97809847668287</v>
      </c>
      <c r="BD24" s="1" t="n">
        <f aca="false">B24</f>
        <v>9.97809847668287</v>
      </c>
      <c r="BE24" s="1" t="n">
        <v>1</v>
      </c>
      <c r="BF24" s="1" t="n">
        <v>1</v>
      </c>
      <c r="BG24" s="1" t="n">
        <f aca="false">B24</f>
        <v>9.97809847668287</v>
      </c>
      <c r="BH24" s="1" t="n">
        <f aca="false">B24</f>
        <v>9.97809847668287</v>
      </c>
      <c r="BI24" s="1" t="n">
        <f aca="false">B24</f>
        <v>9.97809847668287</v>
      </c>
      <c r="BJ24" s="1" t="n">
        <f aca="false">B24</f>
        <v>9.97809847668287</v>
      </c>
      <c r="BK24" s="1" t="n">
        <v>1</v>
      </c>
    </row>
    <row r="25" customFormat="false" ht="12.75" hidden="false" customHeight="false" outlineLevel="0" collapsed="false">
      <c r="A25" s="1" t="n">
        <f aca="false">A24-1</f>
        <v>2002</v>
      </c>
      <c r="B25" s="1" t="n">
        <f aca="false">im!F25/im!E25</f>
        <v>10.046689997522</v>
      </c>
      <c r="C25" s="1" t="n">
        <f aca="false">B25</f>
        <v>10.046689997522</v>
      </c>
      <c r="D25" s="1" t="n">
        <f aca="false">B25</f>
        <v>10.046689997522</v>
      </c>
      <c r="E25" s="1" t="n">
        <f aca="false">B25</f>
        <v>10.046689997522</v>
      </c>
      <c r="F25" s="1" t="n">
        <v>1</v>
      </c>
      <c r="G25" s="1" t="n">
        <f aca="false">F25</f>
        <v>1</v>
      </c>
      <c r="H25" s="1" t="n">
        <f aca="false">F25</f>
        <v>1</v>
      </c>
      <c r="I25" s="1" t="n">
        <f aca="false">F25</f>
        <v>1</v>
      </c>
      <c r="J25" s="1" t="n">
        <v>1</v>
      </c>
      <c r="K25" s="1" t="n">
        <v>1</v>
      </c>
      <c r="L25" s="1" t="n">
        <f aca="false">B25</f>
        <v>10.046689997522</v>
      </c>
      <c r="M25" s="1" t="n">
        <f aca="false">B25</f>
        <v>10.046689997522</v>
      </c>
      <c r="N25" s="1" t="n">
        <f aca="false">B25</f>
        <v>10.046689997522</v>
      </c>
      <c r="O25" s="1" t="n">
        <f aca="false">B25</f>
        <v>10.046689997522</v>
      </c>
      <c r="P25" s="1" t="n">
        <f aca="false">B25</f>
        <v>10.046689997522</v>
      </c>
      <c r="Q25" s="1" t="n">
        <f aca="false">F25</f>
        <v>1</v>
      </c>
      <c r="R25" s="1" t="n">
        <f aca="false">F25</f>
        <v>1</v>
      </c>
      <c r="S25" s="1" t="n">
        <f aca="false">F25</f>
        <v>1</v>
      </c>
      <c r="T25" s="1" t="n">
        <v>1</v>
      </c>
      <c r="U25" s="1" t="n">
        <v>1</v>
      </c>
      <c r="V25" s="1" t="n">
        <f aca="false">F25</f>
        <v>1</v>
      </c>
      <c r="W25" s="1" t="n">
        <f aca="false">F25</f>
        <v>1</v>
      </c>
      <c r="X25" s="1" t="n">
        <f aca="false">F25</f>
        <v>1</v>
      </c>
      <c r="Y25" s="1" t="n">
        <f aca="false">F25</f>
        <v>1</v>
      </c>
      <c r="Z25" s="1" t="n">
        <f aca="false">F25</f>
        <v>1</v>
      </c>
      <c r="AA25" s="1" t="n">
        <f aca="false">F25</f>
        <v>1</v>
      </c>
      <c r="AB25" s="1" t="n">
        <f aca="false">F25</f>
        <v>1</v>
      </c>
      <c r="AC25" s="1" t="n">
        <f aca="false">F25</f>
        <v>1</v>
      </c>
      <c r="AD25" s="1" t="n">
        <f aca="false">F25</f>
        <v>1</v>
      </c>
      <c r="AE25" s="1" t="n">
        <f aca="false">B25</f>
        <v>10.046689997522</v>
      </c>
      <c r="AF25" s="1" t="n">
        <f aca="false">B25</f>
        <v>10.046689997522</v>
      </c>
      <c r="AG25" s="1" t="n">
        <f aca="false">B25</f>
        <v>10.046689997522</v>
      </c>
      <c r="AH25" s="1" t="n">
        <f aca="false">B25</f>
        <v>10.046689997522</v>
      </c>
      <c r="AI25" s="1" t="n">
        <f aca="false">B25</f>
        <v>10.046689997522</v>
      </c>
      <c r="AJ25" s="1" t="n">
        <f aca="false">B25</f>
        <v>10.046689997522</v>
      </c>
      <c r="AK25" s="1" t="n">
        <f aca="false">B25</f>
        <v>10.046689997522</v>
      </c>
      <c r="AL25" s="1" t="n">
        <f aca="false">B25</f>
        <v>10.046689997522</v>
      </c>
      <c r="AM25" s="1" t="n">
        <f aca="false">B25</f>
        <v>10.046689997522</v>
      </c>
      <c r="AN25" s="1" t="n">
        <f aca="false">F25</f>
        <v>1</v>
      </c>
      <c r="AO25" s="1" t="n">
        <f aca="false">F25</f>
        <v>1</v>
      </c>
      <c r="AP25" s="1" t="n">
        <f aca="false">F25</f>
        <v>1</v>
      </c>
      <c r="AQ25" s="1" t="n">
        <f aca="false">F25</f>
        <v>1</v>
      </c>
      <c r="AR25" s="1" t="n">
        <f aca="false">F25</f>
        <v>1</v>
      </c>
      <c r="AS25" s="1" t="n">
        <f aca="false">F25</f>
        <v>1</v>
      </c>
      <c r="AT25" s="1" t="n">
        <v>1</v>
      </c>
      <c r="AU25" s="1" t="n">
        <f aca="false">F25</f>
        <v>1</v>
      </c>
      <c r="AV25" s="1" t="n">
        <f aca="false">F25</f>
        <v>1</v>
      </c>
      <c r="AW25" s="1" t="n">
        <f aca="false">F25</f>
        <v>1</v>
      </c>
      <c r="AX25" s="1" t="n">
        <f aca="false">B25</f>
        <v>10.046689997522</v>
      </c>
      <c r="AY25" s="1" t="n">
        <f aca="false">B25</f>
        <v>10.046689997522</v>
      </c>
      <c r="AZ25" s="1" t="n">
        <f aca="false">B25</f>
        <v>10.046689997522</v>
      </c>
      <c r="BA25" s="1" t="n">
        <f aca="false">F25</f>
        <v>1</v>
      </c>
      <c r="BB25" s="1" t="n">
        <f aca="false">F25</f>
        <v>1</v>
      </c>
      <c r="BC25" s="1" t="n">
        <f aca="false">B25</f>
        <v>10.046689997522</v>
      </c>
      <c r="BD25" s="1" t="n">
        <f aca="false">B25</f>
        <v>10.046689997522</v>
      </c>
      <c r="BE25" s="1" t="n">
        <v>1</v>
      </c>
      <c r="BF25" s="1" t="n">
        <v>1</v>
      </c>
      <c r="BG25" s="1" t="n">
        <f aca="false">B25</f>
        <v>10.046689997522</v>
      </c>
      <c r="BH25" s="1" t="n">
        <f aca="false">B25</f>
        <v>10.046689997522</v>
      </c>
      <c r="BI25" s="1" t="n">
        <f aca="false">B25</f>
        <v>10.046689997522</v>
      </c>
      <c r="BJ25" s="1" t="n">
        <f aca="false">B25</f>
        <v>10.046689997522</v>
      </c>
      <c r="BK25" s="1" t="n">
        <v>1</v>
      </c>
    </row>
    <row r="26" customFormat="false" ht="12.75" hidden="false" customHeight="false" outlineLevel="0" collapsed="false">
      <c r="A26" s="1" t="n">
        <f aca="false">A25-1</f>
        <v>2001</v>
      </c>
      <c r="B26" s="1" t="n">
        <f aca="false">im!F26/im!E26</f>
        <v>9.56920915440425</v>
      </c>
      <c r="C26" s="1" t="n">
        <f aca="false">B26</f>
        <v>9.56920915440425</v>
      </c>
      <c r="D26" s="1" t="n">
        <f aca="false">B26</f>
        <v>9.56920915440425</v>
      </c>
      <c r="E26" s="1" t="n">
        <f aca="false">B26</f>
        <v>9.56920915440425</v>
      </c>
      <c r="F26" s="1" t="n">
        <v>1</v>
      </c>
      <c r="G26" s="1" t="n">
        <f aca="false">F26</f>
        <v>1</v>
      </c>
      <c r="H26" s="1" t="n">
        <f aca="false">F26</f>
        <v>1</v>
      </c>
      <c r="I26" s="1" t="n">
        <f aca="false">F26</f>
        <v>1</v>
      </c>
      <c r="J26" s="1" t="n">
        <v>1</v>
      </c>
      <c r="K26" s="1" t="n">
        <v>1</v>
      </c>
      <c r="L26" s="1" t="n">
        <f aca="false">B26</f>
        <v>9.56920915440425</v>
      </c>
      <c r="M26" s="1" t="n">
        <f aca="false">B26</f>
        <v>9.56920915440425</v>
      </c>
      <c r="N26" s="1" t="n">
        <f aca="false">B26</f>
        <v>9.56920915440425</v>
      </c>
      <c r="O26" s="1" t="n">
        <f aca="false">B26</f>
        <v>9.56920915440425</v>
      </c>
      <c r="P26" s="1" t="n">
        <f aca="false">B26</f>
        <v>9.56920915440425</v>
      </c>
      <c r="Q26" s="1" t="n">
        <f aca="false">F26</f>
        <v>1</v>
      </c>
      <c r="R26" s="1" t="n">
        <f aca="false">F26</f>
        <v>1</v>
      </c>
      <c r="S26" s="1" t="n">
        <f aca="false">F26</f>
        <v>1</v>
      </c>
      <c r="T26" s="1" t="n">
        <v>1</v>
      </c>
      <c r="U26" s="1" t="n">
        <v>1</v>
      </c>
      <c r="V26" s="1" t="n">
        <f aca="false">F26</f>
        <v>1</v>
      </c>
      <c r="W26" s="1" t="n">
        <f aca="false">F26</f>
        <v>1</v>
      </c>
      <c r="X26" s="1" t="n">
        <f aca="false">F26</f>
        <v>1</v>
      </c>
      <c r="Y26" s="1" t="n">
        <f aca="false">F26</f>
        <v>1</v>
      </c>
      <c r="Z26" s="1" t="n">
        <f aca="false">F26</f>
        <v>1</v>
      </c>
      <c r="AA26" s="1" t="n">
        <f aca="false">F26</f>
        <v>1</v>
      </c>
      <c r="AB26" s="1" t="n">
        <f aca="false">F26</f>
        <v>1</v>
      </c>
      <c r="AC26" s="1" t="n">
        <f aca="false">F26</f>
        <v>1</v>
      </c>
      <c r="AD26" s="1" t="n">
        <f aca="false">F26</f>
        <v>1</v>
      </c>
      <c r="AE26" s="1" t="n">
        <f aca="false">B26</f>
        <v>9.56920915440425</v>
      </c>
      <c r="AF26" s="1" t="n">
        <f aca="false">B26</f>
        <v>9.56920915440425</v>
      </c>
      <c r="AG26" s="1" t="n">
        <f aca="false">B26</f>
        <v>9.56920915440425</v>
      </c>
      <c r="AH26" s="1" t="n">
        <f aca="false">B26</f>
        <v>9.56920915440425</v>
      </c>
      <c r="AI26" s="1" t="n">
        <f aca="false">B26</f>
        <v>9.56920915440425</v>
      </c>
      <c r="AJ26" s="1" t="n">
        <f aca="false">B26</f>
        <v>9.56920915440425</v>
      </c>
      <c r="AK26" s="1" t="n">
        <f aca="false">B26</f>
        <v>9.56920915440425</v>
      </c>
      <c r="AL26" s="1" t="n">
        <f aca="false">B26</f>
        <v>9.56920915440425</v>
      </c>
      <c r="AM26" s="1" t="n">
        <f aca="false">B26</f>
        <v>9.56920915440425</v>
      </c>
      <c r="AN26" s="1" t="n">
        <f aca="false">F26</f>
        <v>1</v>
      </c>
      <c r="AO26" s="1" t="n">
        <f aca="false">F26</f>
        <v>1</v>
      </c>
      <c r="AP26" s="1" t="n">
        <f aca="false">F26</f>
        <v>1</v>
      </c>
      <c r="AQ26" s="1" t="n">
        <f aca="false">F26</f>
        <v>1</v>
      </c>
      <c r="AR26" s="1" t="n">
        <f aca="false">F26</f>
        <v>1</v>
      </c>
      <c r="AS26" s="1" t="n">
        <f aca="false">F26</f>
        <v>1</v>
      </c>
      <c r="AT26" s="1" t="n">
        <v>1</v>
      </c>
      <c r="AU26" s="1" t="n">
        <f aca="false">F26</f>
        <v>1</v>
      </c>
      <c r="AV26" s="1" t="n">
        <f aca="false">F26</f>
        <v>1</v>
      </c>
      <c r="AW26" s="1" t="n">
        <f aca="false">F26</f>
        <v>1</v>
      </c>
      <c r="AX26" s="1" t="n">
        <f aca="false">B26</f>
        <v>9.56920915440425</v>
      </c>
      <c r="AY26" s="1" t="n">
        <f aca="false">B26</f>
        <v>9.56920915440425</v>
      </c>
      <c r="AZ26" s="1" t="n">
        <f aca="false">B26</f>
        <v>9.56920915440425</v>
      </c>
      <c r="BA26" s="1" t="n">
        <f aca="false">F26</f>
        <v>1</v>
      </c>
      <c r="BB26" s="1" t="n">
        <f aca="false">F26</f>
        <v>1</v>
      </c>
      <c r="BC26" s="1" t="n">
        <f aca="false">B26</f>
        <v>9.56920915440425</v>
      </c>
      <c r="BD26" s="1" t="n">
        <f aca="false">B26</f>
        <v>9.56920915440425</v>
      </c>
      <c r="BE26" s="1" t="n">
        <v>1</v>
      </c>
      <c r="BF26" s="1" t="n">
        <v>1</v>
      </c>
      <c r="BG26" s="1" t="n">
        <f aca="false">B26</f>
        <v>9.56920915440425</v>
      </c>
      <c r="BH26" s="1" t="n">
        <f aca="false">B26</f>
        <v>9.56920915440425</v>
      </c>
      <c r="BI26" s="1" t="n">
        <f aca="false">B26</f>
        <v>9.56920915440425</v>
      </c>
      <c r="BJ26" s="1" t="n">
        <f aca="false">B26</f>
        <v>9.56920915440425</v>
      </c>
      <c r="BK26" s="1" t="n">
        <v>1</v>
      </c>
    </row>
    <row r="27" customFormat="false" ht="12.75" hidden="false" customHeight="false" outlineLevel="0" collapsed="false">
      <c r="A27" s="1" t="n">
        <f aca="false">A26-1</f>
        <v>2000</v>
      </c>
      <c r="B27" s="1" t="n">
        <f aca="false">im!F27/im!E27</f>
        <v>9.55998567463515</v>
      </c>
      <c r="C27" s="1" t="n">
        <f aca="false">B27</f>
        <v>9.55998567463515</v>
      </c>
      <c r="D27" s="1" t="n">
        <f aca="false">B27</f>
        <v>9.55998567463515</v>
      </c>
      <c r="E27" s="1" t="n">
        <f aca="false">B27</f>
        <v>9.55998567463515</v>
      </c>
      <c r="F27" s="1" t="n">
        <v>1</v>
      </c>
      <c r="G27" s="1" t="n">
        <f aca="false">F27</f>
        <v>1</v>
      </c>
      <c r="H27" s="1" t="n">
        <f aca="false">F27</f>
        <v>1</v>
      </c>
      <c r="I27" s="1" t="n">
        <f aca="false">F27</f>
        <v>1</v>
      </c>
      <c r="J27" s="1" t="n">
        <v>1</v>
      </c>
      <c r="K27" s="1" t="n">
        <v>1</v>
      </c>
      <c r="L27" s="1" t="n">
        <f aca="false">B27</f>
        <v>9.55998567463515</v>
      </c>
      <c r="M27" s="1" t="n">
        <f aca="false">B27</f>
        <v>9.55998567463515</v>
      </c>
      <c r="N27" s="1" t="n">
        <f aca="false">B27</f>
        <v>9.55998567463515</v>
      </c>
      <c r="O27" s="1" t="n">
        <f aca="false">B27</f>
        <v>9.55998567463515</v>
      </c>
      <c r="P27" s="1" t="n">
        <f aca="false">B27</f>
        <v>9.55998567463515</v>
      </c>
      <c r="Q27" s="1" t="n">
        <f aca="false">F27</f>
        <v>1</v>
      </c>
      <c r="R27" s="1" t="n">
        <f aca="false">F27</f>
        <v>1</v>
      </c>
      <c r="S27" s="1" t="n">
        <f aca="false">F27</f>
        <v>1</v>
      </c>
      <c r="T27" s="1" t="n">
        <v>1</v>
      </c>
      <c r="U27" s="1" t="n">
        <v>1</v>
      </c>
      <c r="V27" s="1" t="n">
        <f aca="false">F27</f>
        <v>1</v>
      </c>
      <c r="W27" s="1" t="n">
        <f aca="false">F27</f>
        <v>1</v>
      </c>
      <c r="X27" s="1" t="n">
        <f aca="false">F27</f>
        <v>1</v>
      </c>
      <c r="Y27" s="1" t="n">
        <f aca="false">F27</f>
        <v>1</v>
      </c>
      <c r="Z27" s="1" t="n">
        <f aca="false">F27</f>
        <v>1</v>
      </c>
      <c r="AA27" s="1" t="n">
        <f aca="false">F27</f>
        <v>1</v>
      </c>
      <c r="AB27" s="1" t="n">
        <f aca="false">F27</f>
        <v>1</v>
      </c>
      <c r="AC27" s="1" t="n">
        <f aca="false">F27</f>
        <v>1</v>
      </c>
      <c r="AD27" s="1" t="n">
        <f aca="false">F27</f>
        <v>1</v>
      </c>
      <c r="AE27" s="1" t="n">
        <f aca="false">B27</f>
        <v>9.55998567463515</v>
      </c>
      <c r="AF27" s="1" t="n">
        <f aca="false">B27</f>
        <v>9.55998567463515</v>
      </c>
      <c r="AG27" s="1" t="n">
        <f aca="false">B27</f>
        <v>9.55998567463515</v>
      </c>
      <c r="AH27" s="1" t="n">
        <f aca="false">B27</f>
        <v>9.55998567463515</v>
      </c>
      <c r="AI27" s="1" t="n">
        <f aca="false">B27</f>
        <v>9.55998567463515</v>
      </c>
      <c r="AJ27" s="1" t="n">
        <f aca="false">B27</f>
        <v>9.55998567463515</v>
      </c>
      <c r="AK27" s="1" t="n">
        <f aca="false">B27</f>
        <v>9.55998567463515</v>
      </c>
      <c r="AL27" s="1" t="n">
        <f aca="false">B27</f>
        <v>9.55998567463515</v>
      </c>
      <c r="AM27" s="1" t="n">
        <f aca="false">B27</f>
        <v>9.55998567463515</v>
      </c>
      <c r="AN27" s="1" t="n">
        <f aca="false">F27</f>
        <v>1</v>
      </c>
      <c r="AO27" s="1" t="n">
        <f aca="false">F27</f>
        <v>1</v>
      </c>
      <c r="AP27" s="1" t="n">
        <f aca="false">F27</f>
        <v>1</v>
      </c>
      <c r="AQ27" s="1" t="n">
        <f aca="false">F27</f>
        <v>1</v>
      </c>
      <c r="AR27" s="1" t="n">
        <f aca="false">F27</f>
        <v>1</v>
      </c>
      <c r="AS27" s="1" t="n">
        <f aca="false">F27</f>
        <v>1</v>
      </c>
      <c r="AT27" s="1" t="n">
        <v>1</v>
      </c>
      <c r="AU27" s="1" t="n">
        <f aca="false">F27</f>
        <v>1</v>
      </c>
      <c r="AV27" s="1" t="n">
        <f aca="false">F27</f>
        <v>1</v>
      </c>
      <c r="AW27" s="1" t="n">
        <f aca="false">F27</f>
        <v>1</v>
      </c>
      <c r="AX27" s="1" t="n">
        <f aca="false">B27</f>
        <v>9.55998567463515</v>
      </c>
      <c r="AY27" s="1" t="n">
        <f aca="false">B27</f>
        <v>9.55998567463515</v>
      </c>
      <c r="AZ27" s="1" t="n">
        <f aca="false">B27</f>
        <v>9.55998567463515</v>
      </c>
      <c r="BA27" s="1" t="n">
        <f aca="false">F27</f>
        <v>1</v>
      </c>
      <c r="BB27" s="1" t="n">
        <f aca="false">F27</f>
        <v>1</v>
      </c>
      <c r="BC27" s="1" t="n">
        <f aca="false">B27</f>
        <v>9.55998567463515</v>
      </c>
      <c r="BD27" s="1" t="n">
        <f aca="false">B27</f>
        <v>9.55998567463515</v>
      </c>
      <c r="BE27" s="1" t="n">
        <v>1</v>
      </c>
      <c r="BF27" s="1" t="n">
        <v>1</v>
      </c>
      <c r="BG27" s="1" t="n">
        <f aca="false">B27</f>
        <v>9.55998567463515</v>
      </c>
      <c r="BH27" s="1" t="n">
        <f aca="false">B27</f>
        <v>9.55998567463515</v>
      </c>
      <c r="BI27" s="1" t="n">
        <f aca="false">B27</f>
        <v>9.55998567463515</v>
      </c>
      <c r="BJ27" s="1" t="n">
        <f aca="false">B27</f>
        <v>9.55998567463515</v>
      </c>
      <c r="BK27" s="1" t="n">
        <v>1</v>
      </c>
    </row>
    <row r="28" customFormat="false" ht="12.75" hidden="false" customHeight="false" outlineLevel="0" collapsed="false">
      <c r="A28" s="1" t="n">
        <f aca="false">A27-1</f>
        <v>1999</v>
      </c>
      <c r="B28" s="1" t="n">
        <f aca="false">im!F28/im!E28</f>
        <v>5.47133470683568</v>
      </c>
      <c r="C28" s="1" t="n">
        <f aca="false">B28</f>
        <v>5.47133470683568</v>
      </c>
      <c r="D28" s="1" t="n">
        <f aca="false">B28</f>
        <v>5.47133470683568</v>
      </c>
      <c r="E28" s="1" t="n">
        <f aca="false">B28</f>
        <v>5.47133470683568</v>
      </c>
      <c r="F28" s="1" t="n">
        <v>1</v>
      </c>
      <c r="G28" s="1" t="n">
        <f aca="false">F28</f>
        <v>1</v>
      </c>
      <c r="H28" s="1" t="n">
        <f aca="false">F28</f>
        <v>1</v>
      </c>
      <c r="I28" s="1" t="n">
        <f aca="false">F28</f>
        <v>1</v>
      </c>
      <c r="J28" s="1" t="n">
        <v>1</v>
      </c>
      <c r="K28" s="1" t="n">
        <v>1</v>
      </c>
      <c r="L28" s="1" t="n">
        <f aca="false">B28</f>
        <v>5.47133470683568</v>
      </c>
      <c r="M28" s="1" t="n">
        <f aca="false">B28</f>
        <v>5.47133470683568</v>
      </c>
      <c r="N28" s="1" t="n">
        <f aca="false">B28</f>
        <v>5.47133470683568</v>
      </c>
      <c r="O28" s="1" t="n">
        <f aca="false">B28</f>
        <v>5.47133470683568</v>
      </c>
      <c r="P28" s="1" t="n">
        <f aca="false">B28</f>
        <v>5.47133470683568</v>
      </c>
      <c r="Q28" s="1" t="n">
        <f aca="false">F28</f>
        <v>1</v>
      </c>
      <c r="R28" s="1" t="n">
        <f aca="false">F28</f>
        <v>1</v>
      </c>
      <c r="S28" s="1" t="n">
        <f aca="false">F28</f>
        <v>1</v>
      </c>
      <c r="T28" s="1" t="n">
        <v>1</v>
      </c>
      <c r="U28" s="1" t="n">
        <v>1</v>
      </c>
      <c r="V28" s="1" t="n">
        <f aca="false">F28</f>
        <v>1</v>
      </c>
      <c r="W28" s="1" t="n">
        <f aca="false">F28</f>
        <v>1</v>
      </c>
      <c r="X28" s="1" t="n">
        <f aca="false">F28</f>
        <v>1</v>
      </c>
      <c r="Y28" s="1" t="n">
        <f aca="false">F28</f>
        <v>1</v>
      </c>
      <c r="Z28" s="1" t="n">
        <f aca="false">F28</f>
        <v>1</v>
      </c>
      <c r="AA28" s="1" t="n">
        <f aca="false">F28</f>
        <v>1</v>
      </c>
      <c r="AB28" s="1" t="n">
        <f aca="false">F28</f>
        <v>1</v>
      </c>
      <c r="AC28" s="1" t="n">
        <f aca="false">F28</f>
        <v>1</v>
      </c>
      <c r="AD28" s="1" t="n">
        <f aca="false">F28</f>
        <v>1</v>
      </c>
      <c r="AE28" s="1" t="n">
        <f aca="false">B28</f>
        <v>5.47133470683568</v>
      </c>
      <c r="AF28" s="1" t="n">
        <f aca="false">B28</f>
        <v>5.47133470683568</v>
      </c>
      <c r="AG28" s="1" t="n">
        <f aca="false">B28</f>
        <v>5.47133470683568</v>
      </c>
      <c r="AH28" s="1" t="n">
        <f aca="false">B28</f>
        <v>5.47133470683568</v>
      </c>
      <c r="AI28" s="1" t="n">
        <f aca="false">B28</f>
        <v>5.47133470683568</v>
      </c>
      <c r="AJ28" s="1" t="n">
        <f aca="false">B28</f>
        <v>5.47133470683568</v>
      </c>
      <c r="AK28" s="1" t="n">
        <f aca="false">B28</f>
        <v>5.47133470683568</v>
      </c>
      <c r="AL28" s="1" t="n">
        <f aca="false">B28</f>
        <v>5.47133470683568</v>
      </c>
      <c r="AM28" s="1" t="n">
        <f aca="false">B28</f>
        <v>5.47133470683568</v>
      </c>
      <c r="AN28" s="1" t="n">
        <f aca="false">F28</f>
        <v>1</v>
      </c>
      <c r="AO28" s="1" t="n">
        <f aca="false">F28</f>
        <v>1</v>
      </c>
      <c r="AP28" s="1" t="n">
        <f aca="false">F28</f>
        <v>1</v>
      </c>
      <c r="AQ28" s="1" t="n">
        <f aca="false">F28</f>
        <v>1</v>
      </c>
      <c r="AR28" s="1" t="n">
        <f aca="false">F28</f>
        <v>1</v>
      </c>
      <c r="AS28" s="1" t="n">
        <f aca="false">F28</f>
        <v>1</v>
      </c>
      <c r="AT28" s="1" t="n">
        <v>1</v>
      </c>
      <c r="AU28" s="1" t="n">
        <f aca="false">F28</f>
        <v>1</v>
      </c>
      <c r="AV28" s="1" t="n">
        <f aca="false">F28</f>
        <v>1</v>
      </c>
      <c r="AW28" s="1" t="n">
        <f aca="false">F28</f>
        <v>1</v>
      </c>
      <c r="AX28" s="1" t="n">
        <f aca="false">B28</f>
        <v>5.47133470683568</v>
      </c>
      <c r="AY28" s="1" t="n">
        <f aca="false">B28</f>
        <v>5.47133470683568</v>
      </c>
      <c r="AZ28" s="1" t="n">
        <f aca="false">B28</f>
        <v>5.47133470683568</v>
      </c>
      <c r="BA28" s="1" t="n">
        <f aca="false">F28</f>
        <v>1</v>
      </c>
      <c r="BB28" s="1" t="n">
        <f aca="false">F28</f>
        <v>1</v>
      </c>
      <c r="BC28" s="1" t="n">
        <f aca="false">B28</f>
        <v>5.47133470683568</v>
      </c>
      <c r="BD28" s="1" t="n">
        <f aca="false">B28</f>
        <v>5.47133470683568</v>
      </c>
      <c r="BE28" s="1" t="n">
        <v>1</v>
      </c>
      <c r="BF28" s="1" t="n">
        <v>1</v>
      </c>
      <c r="BG28" s="1" t="n">
        <f aca="false">B28</f>
        <v>5.47133470683568</v>
      </c>
      <c r="BH28" s="1" t="n">
        <f aca="false">B28</f>
        <v>5.47133470683568</v>
      </c>
      <c r="BI28" s="1" t="n">
        <f aca="false">B28</f>
        <v>5.47133470683568</v>
      </c>
      <c r="BJ28" s="1" t="n">
        <f aca="false">B28</f>
        <v>5.47133470683568</v>
      </c>
      <c r="BK28" s="1" t="n">
        <v>1</v>
      </c>
    </row>
    <row r="29" customFormat="false" ht="12.75" hidden="false" customHeight="false" outlineLevel="0" collapsed="false">
      <c r="A29" s="1" t="n">
        <f aca="false">A28-1</f>
        <v>1998</v>
      </c>
      <c r="B29" s="1" t="n">
        <f aca="false">im!F29/im!E29</f>
        <v>5.55464962165476</v>
      </c>
      <c r="C29" s="1" t="n">
        <f aca="false">B29</f>
        <v>5.55464962165476</v>
      </c>
      <c r="D29" s="1" t="n">
        <f aca="false">B29</f>
        <v>5.55464962165476</v>
      </c>
      <c r="E29" s="1" t="n">
        <f aca="false">B29</f>
        <v>5.55464962165476</v>
      </c>
      <c r="F29" s="1" t="n">
        <v>1</v>
      </c>
      <c r="G29" s="1" t="n">
        <f aca="false">F29</f>
        <v>1</v>
      </c>
      <c r="H29" s="1" t="n">
        <f aca="false">F29</f>
        <v>1</v>
      </c>
      <c r="I29" s="1" t="n">
        <f aca="false">F29</f>
        <v>1</v>
      </c>
      <c r="J29" s="1" t="n">
        <v>1</v>
      </c>
      <c r="K29" s="1" t="n">
        <v>1</v>
      </c>
      <c r="L29" s="1" t="n">
        <f aca="false">B29</f>
        <v>5.55464962165476</v>
      </c>
      <c r="M29" s="1" t="n">
        <f aca="false">B29</f>
        <v>5.55464962165476</v>
      </c>
      <c r="N29" s="1" t="n">
        <f aca="false">B29</f>
        <v>5.55464962165476</v>
      </c>
      <c r="O29" s="1" t="n">
        <f aca="false">B29</f>
        <v>5.55464962165476</v>
      </c>
      <c r="P29" s="1" t="n">
        <f aca="false">B29</f>
        <v>5.55464962165476</v>
      </c>
      <c r="Q29" s="1" t="n">
        <f aca="false">F29</f>
        <v>1</v>
      </c>
      <c r="R29" s="1" t="n">
        <f aca="false">F29</f>
        <v>1</v>
      </c>
      <c r="S29" s="1" t="n">
        <f aca="false">F29</f>
        <v>1</v>
      </c>
      <c r="T29" s="1" t="n">
        <v>1</v>
      </c>
      <c r="U29" s="1" t="n">
        <v>1</v>
      </c>
      <c r="V29" s="1" t="n">
        <f aca="false">F29</f>
        <v>1</v>
      </c>
      <c r="W29" s="1" t="n">
        <f aca="false">F29</f>
        <v>1</v>
      </c>
      <c r="X29" s="1" t="n">
        <f aca="false">F29</f>
        <v>1</v>
      </c>
      <c r="Y29" s="1" t="n">
        <f aca="false">F29</f>
        <v>1</v>
      </c>
      <c r="Z29" s="1" t="n">
        <f aca="false">F29</f>
        <v>1</v>
      </c>
      <c r="AA29" s="1" t="n">
        <f aca="false">F29</f>
        <v>1</v>
      </c>
      <c r="AB29" s="1" t="n">
        <f aca="false">F29</f>
        <v>1</v>
      </c>
      <c r="AC29" s="1" t="n">
        <f aca="false">F29</f>
        <v>1</v>
      </c>
      <c r="AD29" s="1" t="n">
        <f aca="false">F29</f>
        <v>1</v>
      </c>
      <c r="AE29" s="1" t="n">
        <f aca="false">B29</f>
        <v>5.55464962165476</v>
      </c>
      <c r="AF29" s="1" t="n">
        <f aca="false">B29</f>
        <v>5.55464962165476</v>
      </c>
      <c r="AG29" s="1" t="n">
        <f aca="false">B29</f>
        <v>5.55464962165476</v>
      </c>
      <c r="AH29" s="1" t="n">
        <f aca="false">B29</f>
        <v>5.55464962165476</v>
      </c>
      <c r="AI29" s="1" t="n">
        <f aca="false">B29</f>
        <v>5.55464962165476</v>
      </c>
      <c r="AJ29" s="1" t="n">
        <f aca="false">B29</f>
        <v>5.55464962165476</v>
      </c>
      <c r="AK29" s="1" t="n">
        <f aca="false">B29</f>
        <v>5.55464962165476</v>
      </c>
      <c r="AL29" s="1" t="n">
        <f aca="false">B29</f>
        <v>5.55464962165476</v>
      </c>
      <c r="AM29" s="1" t="n">
        <f aca="false">B29</f>
        <v>5.55464962165476</v>
      </c>
      <c r="AN29" s="1" t="n">
        <f aca="false">F29</f>
        <v>1</v>
      </c>
      <c r="AO29" s="1" t="n">
        <f aca="false">F29</f>
        <v>1</v>
      </c>
      <c r="AP29" s="1" t="n">
        <f aca="false">F29</f>
        <v>1</v>
      </c>
      <c r="AQ29" s="1" t="n">
        <f aca="false">F29</f>
        <v>1</v>
      </c>
      <c r="AR29" s="1" t="n">
        <f aca="false">F29</f>
        <v>1</v>
      </c>
      <c r="AS29" s="1" t="n">
        <f aca="false">F29</f>
        <v>1</v>
      </c>
      <c r="AT29" s="1" t="n">
        <v>1</v>
      </c>
      <c r="AU29" s="1" t="n">
        <f aca="false">F29</f>
        <v>1</v>
      </c>
      <c r="AV29" s="1" t="n">
        <f aca="false">F29</f>
        <v>1</v>
      </c>
      <c r="AW29" s="1" t="n">
        <f aca="false">F29</f>
        <v>1</v>
      </c>
      <c r="AX29" s="1" t="n">
        <f aca="false">B29</f>
        <v>5.55464962165476</v>
      </c>
      <c r="AY29" s="1" t="n">
        <f aca="false">B29</f>
        <v>5.55464962165476</v>
      </c>
      <c r="AZ29" s="1" t="n">
        <f aca="false">B29</f>
        <v>5.55464962165476</v>
      </c>
      <c r="BA29" s="1" t="n">
        <f aca="false">F29</f>
        <v>1</v>
      </c>
      <c r="BB29" s="1" t="n">
        <f aca="false">F29</f>
        <v>1</v>
      </c>
      <c r="BC29" s="1" t="n">
        <f aca="false">B29</f>
        <v>5.55464962165476</v>
      </c>
      <c r="BD29" s="1" t="n">
        <f aca="false">B29</f>
        <v>5.55464962165476</v>
      </c>
      <c r="BE29" s="1" t="n">
        <v>1</v>
      </c>
      <c r="BF29" s="1" t="n">
        <v>1</v>
      </c>
      <c r="BG29" s="1" t="n">
        <f aca="false">B29</f>
        <v>5.55464962165476</v>
      </c>
      <c r="BH29" s="1" t="n">
        <f aca="false">B29</f>
        <v>5.55464962165476</v>
      </c>
      <c r="BI29" s="1" t="n">
        <f aca="false">B29</f>
        <v>5.55464962165476</v>
      </c>
      <c r="BJ29" s="1" t="n">
        <f aca="false">B29</f>
        <v>5.55464962165476</v>
      </c>
      <c r="BK29" s="1" t="n">
        <v>1</v>
      </c>
    </row>
    <row r="30" customFormat="false" ht="12.75" hidden="false" customHeight="false" outlineLevel="0" collapsed="false">
      <c r="A30" s="1" t="n">
        <f aca="false">A29-1</f>
        <v>1997</v>
      </c>
      <c r="B30" s="1" t="n">
        <f aca="false">im!F30/im!E30</f>
        <v>5.21948676851157</v>
      </c>
      <c r="C30" s="1" t="n">
        <f aca="false">B30</f>
        <v>5.21948676851157</v>
      </c>
      <c r="D30" s="1" t="n">
        <f aca="false">B30</f>
        <v>5.21948676851157</v>
      </c>
      <c r="E30" s="1" t="n">
        <f aca="false">B30</f>
        <v>5.21948676851157</v>
      </c>
      <c r="F30" s="1" t="n">
        <v>1</v>
      </c>
      <c r="G30" s="1" t="n">
        <f aca="false">F30</f>
        <v>1</v>
      </c>
      <c r="H30" s="1" t="n">
        <f aca="false">F30</f>
        <v>1</v>
      </c>
      <c r="I30" s="1" t="n">
        <f aca="false">F30</f>
        <v>1</v>
      </c>
      <c r="J30" s="1" t="n">
        <v>1</v>
      </c>
      <c r="K30" s="1" t="n">
        <v>1</v>
      </c>
      <c r="L30" s="1" t="n">
        <f aca="false">B30</f>
        <v>5.21948676851157</v>
      </c>
      <c r="M30" s="1" t="n">
        <f aca="false">B30</f>
        <v>5.21948676851157</v>
      </c>
      <c r="N30" s="1" t="n">
        <f aca="false">B30</f>
        <v>5.21948676851157</v>
      </c>
      <c r="O30" s="1" t="n">
        <f aca="false">B30</f>
        <v>5.21948676851157</v>
      </c>
      <c r="P30" s="1" t="n">
        <f aca="false">B30</f>
        <v>5.21948676851157</v>
      </c>
      <c r="Q30" s="1" t="n">
        <f aca="false">F30</f>
        <v>1</v>
      </c>
      <c r="R30" s="1" t="n">
        <f aca="false">F30</f>
        <v>1</v>
      </c>
      <c r="S30" s="1" t="n">
        <f aca="false">F30</f>
        <v>1</v>
      </c>
      <c r="T30" s="1" t="n">
        <v>1</v>
      </c>
      <c r="U30" s="1" t="n">
        <v>1</v>
      </c>
      <c r="V30" s="1" t="n">
        <f aca="false">F30</f>
        <v>1</v>
      </c>
      <c r="W30" s="1" t="n">
        <f aca="false">F30</f>
        <v>1</v>
      </c>
      <c r="X30" s="1" t="n">
        <f aca="false">F30</f>
        <v>1</v>
      </c>
      <c r="Y30" s="1" t="n">
        <f aca="false">F30</f>
        <v>1</v>
      </c>
      <c r="Z30" s="1" t="n">
        <f aca="false">F30</f>
        <v>1</v>
      </c>
      <c r="AA30" s="1" t="n">
        <f aca="false">F30</f>
        <v>1</v>
      </c>
      <c r="AB30" s="1" t="n">
        <f aca="false">F30</f>
        <v>1</v>
      </c>
      <c r="AC30" s="1" t="n">
        <f aca="false">F30</f>
        <v>1</v>
      </c>
      <c r="AD30" s="1" t="n">
        <f aca="false">F30</f>
        <v>1</v>
      </c>
      <c r="AE30" s="1" t="n">
        <f aca="false">B30</f>
        <v>5.21948676851157</v>
      </c>
      <c r="AF30" s="1" t="n">
        <f aca="false">B30</f>
        <v>5.21948676851157</v>
      </c>
      <c r="AG30" s="1" t="n">
        <f aca="false">B30</f>
        <v>5.21948676851157</v>
      </c>
      <c r="AH30" s="1" t="n">
        <f aca="false">B30</f>
        <v>5.21948676851157</v>
      </c>
      <c r="AI30" s="1" t="n">
        <f aca="false">B30</f>
        <v>5.21948676851157</v>
      </c>
      <c r="AJ30" s="1" t="n">
        <f aca="false">B30</f>
        <v>5.21948676851157</v>
      </c>
      <c r="AK30" s="1" t="n">
        <f aca="false">B30</f>
        <v>5.21948676851157</v>
      </c>
      <c r="AL30" s="1" t="n">
        <f aca="false">B30</f>
        <v>5.21948676851157</v>
      </c>
      <c r="AM30" s="1" t="n">
        <f aca="false">B30</f>
        <v>5.21948676851157</v>
      </c>
      <c r="AN30" s="1" t="n">
        <f aca="false">F30</f>
        <v>1</v>
      </c>
      <c r="AO30" s="1" t="n">
        <f aca="false">F30</f>
        <v>1</v>
      </c>
      <c r="AP30" s="1" t="n">
        <f aca="false">F30</f>
        <v>1</v>
      </c>
      <c r="AQ30" s="1" t="n">
        <f aca="false">F30</f>
        <v>1</v>
      </c>
      <c r="AR30" s="1" t="n">
        <f aca="false">F30</f>
        <v>1</v>
      </c>
      <c r="AS30" s="1" t="n">
        <f aca="false">F30</f>
        <v>1</v>
      </c>
      <c r="AT30" s="1" t="n">
        <v>1</v>
      </c>
      <c r="AU30" s="1" t="n">
        <f aca="false">F30</f>
        <v>1</v>
      </c>
      <c r="AV30" s="1" t="n">
        <f aca="false">F30</f>
        <v>1</v>
      </c>
      <c r="AW30" s="1" t="n">
        <f aca="false">F30</f>
        <v>1</v>
      </c>
      <c r="AX30" s="1" t="n">
        <f aca="false">B30</f>
        <v>5.21948676851157</v>
      </c>
      <c r="AY30" s="1" t="n">
        <f aca="false">B30</f>
        <v>5.21948676851157</v>
      </c>
      <c r="AZ30" s="1" t="n">
        <f aca="false">B30</f>
        <v>5.21948676851157</v>
      </c>
      <c r="BA30" s="1" t="n">
        <f aca="false">F30</f>
        <v>1</v>
      </c>
      <c r="BB30" s="1" t="n">
        <f aca="false">F30</f>
        <v>1</v>
      </c>
      <c r="BC30" s="1" t="n">
        <f aca="false">B30</f>
        <v>5.21948676851157</v>
      </c>
      <c r="BD30" s="1" t="n">
        <f aca="false">B30</f>
        <v>5.21948676851157</v>
      </c>
      <c r="BE30" s="1" t="n">
        <v>1</v>
      </c>
      <c r="BF30" s="1" t="n">
        <v>1</v>
      </c>
      <c r="BG30" s="1" t="n">
        <f aca="false">B30</f>
        <v>5.21948676851157</v>
      </c>
      <c r="BH30" s="1" t="n">
        <f aca="false">B30</f>
        <v>5.21948676851157</v>
      </c>
      <c r="BI30" s="1" t="n">
        <f aca="false">B30</f>
        <v>5.21948676851157</v>
      </c>
      <c r="BJ30" s="1" t="n">
        <f aca="false">B30</f>
        <v>5.21948676851157</v>
      </c>
      <c r="BK30" s="1" t="n">
        <v>1</v>
      </c>
    </row>
    <row r="31" customFormat="false" ht="12.75" hidden="false" customHeight="false" outlineLevel="0" collapsed="false">
      <c r="A31" s="1" t="n">
        <f aca="false">A30-1</f>
        <v>1996</v>
      </c>
      <c r="B31" s="1" t="n">
        <f aca="false">im!F31/im!E31</f>
        <v>5.30125751508265</v>
      </c>
      <c r="C31" s="1" t="n">
        <f aca="false">B31</f>
        <v>5.30125751508265</v>
      </c>
      <c r="D31" s="1" t="n">
        <f aca="false">B31</f>
        <v>5.30125751508265</v>
      </c>
      <c r="E31" s="1" t="n">
        <f aca="false">B31</f>
        <v>5.30125751508265</v>
      </c>
      <c r="F31" s="1" t="n">
        <v>1</v>
      </c>
      <c r="G31" s="1" t="n">
        <f aca="false">F31</f>
        <v>1</v>
      </c>
      <c r="H31" s="1" t="n">
        <f aca="false">F31</f>
        <v>1</v>
      </c>
      <c r="I31" s="1" t="n">
        <f aca="false">F31</f>
        <v>1</v>
      </c>
      <c r="J31" s="1" t="n">
        <v>1</v>
      </c>
      <c r="K31" s="1" t="n">
        <v>1</v>
      </c>
      <c r="L31" s="1" t="n">
        <f aca="false">B31</f>
        <v>5.30125751508265</v>
      </c>
      <c r="M31" s="1" t="n">
        <f aca="false">B31</f>
        <v>5.30125751508265</v>
      </c>
      <c r="N31" s="1" t="n">
        <f aca="false">B31</f>
        <v>5.30125751508265</v>
      </c>
      <c r="O31" s="1" t="n">
        <f aca="false">B31</f>
        <v>5.30125751508265</v>
      </c>
      <c r="P31" s="1" t="n">
        <f aca="false">B31</f>
        <v>5.30125751508265</v>
      </c>
      <c r="Q31" s="1" t="n">
        <f aca="false">F31</f>
        <v>1</v>
      </c>
      <c r="R31" s="1" t="n">
        <f aca="false">F31</f>
        <v>1</v>
      </c>
      <c r="S31" s="1" t="n">
        <f aca="false">F31</f>
        <v>1</v>
      </c>
      <c r="T31" s="1" t="n">
        <v>1</v>
      </c>
      <c r="U31" s="1" t="n">
        <v>1</v>
      </c>
      <c r="V31" s="1" t="n">
        <f aca="false">F31</f>
        <v>1</v>
      </c>
      <c r="W31" s="1" t="n">
        <f aca="false">F31</f>
        <v>1</v>
      </c>
      <c r="X31" s="1" t="n">
        <f aca="false">F31</f>
        <v>1</v>
      </c>
      <c r="Y31" s="1" t="n">
        <f aca="false">F31</f>
        <v>1</v>
      </c>
      <c r="Z31" s="1" t="n">
        <f aca="false">F31</f>
        <v>1</v>
      </c>
      <c r="AA31" s="1" t="n">
        <f aca="false">F31</f>
        <v>1</v>
      </c>
      <c r="AB31" s="1" t="n">
        <f aca="false">F31</f>
        <v>1</v>
      </c>
      <c r="AC31" s="1" t="n">
        <f aca="false">F31</f>
        <v>1</v>
      </c>
      <c r="AD31" s="1" t="n">
        <f aca="false">F31</f>
        <v>1</v>
      </c>
      <c r="AE31" s="1" t="n">
        <f aca="false">B31</f>
        <v>5.30125751508265</v>
      </c>
      <c r="AF31" s="1" t="n">
        <f aca="false">B31</f>
        <v>5.30125751508265</v>
      </c>
      <c r="AG31" s="1" t="n">
        <f aca="false">B31</f>
        <v>5.30125751508265</v>
      </c>
      <c r="AH31" s="1" t="n">
        <f aca="false">B31</f>
        <v>5.30125751508265</v>
      </c>
      <c r="AI31" s="1" t="n">
        <f aca="false">B31</f>
        <v>5.30125751508265</v>
      </c>
      <c r="AJ31" s="1" t="n">
        <f aca="false">B31</f>
        <v>5.30125751508265</v>
      </c>
      <c r="AK31" s="1" t="n">
        <f aca="false">B31</f>
        <v>5.30125751508265</v>
      </c>
      <c r="AL31" s="1" t="n">
        <f aca="false">B31</f>
        <v>5.30125751508265</v>
      </c>
      <c r="AM31" s="1" t="n">
        <f aca="false">B31</f>
        <v>5.30125751508265</v>
      </c>
      <c r="AN31" s="1" t="n">
        <f aca="false">F31</f>
        <v>1</v>
      </c>
      <c r="AO31" s="1" t="n">
        <f aca="false">F31</f>
        <v>1</v>
      </c>
      <c r="AP31" s="1" t="n">
        <f aca="false">F31</f>
        <v>1</v>
      </c>
      <c r="AQ31" s="1" t="n">
        <f aca="false">F31</f>
        <v>1</v>
      </c>
      <c r="AR31" s="1" t="n">
        <f aca="false">F31</f>
        <v>1</v>
      </c>
      <c r="AS31" s="1" t="n">
        <f aca="false">F31</f>
        <v>1</v>
      </c>
      <c r="AT31" s="1" t="n">
        <v>1</v>
      </c>
      <c r="AU31" s="1" t="n">
        <f aca="false">F31</f>
        <v>1</v>
      </c>
      <c r="AV31" s="1" t="n">
        <f aca="false">F31</f>
        <v>1</v>
      </c>
      <c r="AW31" s="1" t="n">
        <f aca="false">F31</f>
        <v>1</v>
      </c>
      <c r="AX31" s="1" t="n">
        <f aca="false">B31</f>
        <v>5.30125751508265</v>
      </c>
      <c r="AY31" s="1" t="n">
        <f aca="false">B31</f>
        <v>5.30125751508265</v>
      </c>
      <c r="AZ31" s="1" t="n">
        <f aca="false">B31</f>
        <v>5.30125751508265</v>
      </c>
      <c r="BA31" s="1" t="n">
        <f aca="false">F31</f>
        <v>1</v>
      </c>
      <c r="BB31" s="1" t="n">
        <f aca="false">F31</f>
        <v>1</v>
      </c>
      <c r="BC31" s="1" t="n">
        <f aca="false">B31</f>
        <v>5.30125751508265</v>
      </c>
      <c r="BD31" s="1" t="n">
        <f aca="false">B31</f>
        <v>5.30125751508265</v>
      </c>
      <c r="BE31" s="1" t="n">
        <v>1</v>
      </c>
      <c r="BF31" s="1" t="n">
        <v>1</v>
      </c>
      <c r="BG31" s="1" t="n">
        <f aca="false">B31</f>
        <v>5.30125751508265</v>
      </c>
      <c r="BH31" s="1" t="n">
        <f aca="false">B31</f>
        <v>5.30125751508265</v>
      </c>
      <c r="BI31" s="1" t="n">
        <f aca="false">B31</f>
        <v>5.30125751508265</v>
      </c>
      <c r="BJ31" s="1" t="n">
        <f aca="false">B31</f>
        <v>5.30125751508265</v>
      </c>
      <c r="BK31" s="1" t="n">
        <v>1</v>
      </c>
    </row>
    <row r="32" customFormat="false" ht="12.75" hidden="false" customHeight="false" outlineLevel="0" collapsed="false">
      <c r="A32" s="1" t="n">
        <f aca="false">A31-1</f>
        <v>1995</v>
      </c>
      <c r="B32" s="1" t="n">
        <f aca="false">im!F32/im!E32</f>
        <v>5.0797980687402</v>
      </c>
      <c r="C32" s="1" t="n">
        <f aca="false">B32</f>
        <v>5.0797980687402</v>
      </c>
      <c r="D32" s="1" t="n">
        <f aca="false">B32</f>
        <v>5.0797980687402</v>
      </c>
      <c r="E32" s="1" t="n">
        <f aca="false">B32</f>
        <v>5.0797980687402</v>
      </c>
      <c r="F32" s="1" t="n">
        <v>1</v>
      </c>
      <c r="G32" s="1" t="n">
        <f aca="false">F32</f>
        <v>1</v>
      </c>
      <c r="H32" s="1" t="n">
        <f aca="false">F32</f>
        <v>1</v>
      </c>
      <c r="I32" s="1" t="n">
        <f aca="false">F32</f>
        <v>1</v>
      </c>
      <c r="J32" s="1" t="n">
        <v>1</v>
      </c>
      <c r="K32" s="1" t="n">
        <v>1</v>
      </c>
      <c r="L32" s="1" t="n">
        <f aca="false">B32</f>
        <v>5.0797980687402</v>
      </c>
      <c r="M32" s="1" t="n">
        <f aca="false">B32</f>
        <v>5.0797980687402</v>
      </c>
      <c r="N32" s="1" t="n">
        <f aca="false">B32</f>
        <v>5.0797980687402</v>
      </c>
      <c r="O32" s="1" t="n">
        <f aca="false">B32</f>
        <v>5.0797980687402</v>
      </c>
      <c r="P32" s="1" t="n">
        <f aca="false">B32</f>
        <v>5.0797980687402</v>
      </c>
      <c r="Q32" s="1" t="n">
        <f aca="false">F32</f>
        <v>1</v>
      </c>
      <c r="R32" s="1" t="n">
        <f aca="false">F32</f>
        <v>1</v>
      </c>
      <c r="S32" s="1" t="n">
        <f aca="false">F32</f>
        <v>1</v>
      </c>
      <c r="T32" s="1" t="n">
        <v>1</v>
      </c>
      <c r="U32" s="1" t="n">
        <v>1</v>
      </c>
      <c r="V32" s="1" t="n">
        <f aca="false">F32</f>
        <v>1</v>
      </c>
      <c r="W32" s="1" t="n">
        <f aca="false">F32</f>
        <v>1</v>
      </c>
      <c r="X32" s="1" t="n">
        <f aca="false">F32</f>
        <v>1</v>
      </c>
      <c r="Y32" s="1" t="n">
        <f aca="false">F32</f>
        <v>1</v>
      </c>
      <c r="Z32" s="1" t="n">
        <f aca="false">F32</f>
        <v>1</v>
      </c>
      <c r="AA32" s="1" t="n">
        <f aca="false">F32</f>
        <v>1</v>
      </c>
      <c r="AB32" s="1" t="n">
        <f aca="false">F32</f>
        <v>1</v>
      </c>
      <c r="AC32" s="1" t="n">
        <f aca="false">F32</f>
        <v>1</v>
      </c>
      <c r="AD32" s="1" t="n">
        <f aca="false">F32</f>
        <v>1</v>
      </c>
      <c r="AE32" s="1" t="n">
        <f aca="false">B32</f>
        <v>5.0797980687402</v>
      </c>
      <c r="AF32" s="1" t="n">
        <f aca="false">B32</f>
        <v>5.0797980687402</v>
      </c>
      <c r="AG32" s="1" t="n">
        <f aca="false">B32</f>
        <v>5.0797980687402</v>
      </c>
      <c r="AH32" s="1" t="n">
        <f aca="false">B32</f>
        <v>5.0797980687402</v>
      </c>
      <c r="AI32" s="1" t="n">
        <f aca="false">B32</f>
        <v>5.0797980687402</v>
      </c>
      <c r="AJ32" s="1" t="n">
        <f aca="false">B32</f>
        <v>5.0797980687402</v>
      </c>
      <c r="AK32" s="1" t="n">
        <f aca="false">B32</f>
        <v>5.0797980687402</v>
      </c>
      <c r="AL32" s="1" t="n">
        <f aca="false">B32</f>
        <v>5.0797980687402</v>
      </c>
      <c r="AM32" s="1" t="n">
        <f aca="false">B32</f>
        <v>5.0797980687402</v>
      </c>
      <c r="AN32" s="1" t="n">
        <f aca="false">F32</f>
        <v>1</v>
      </c>
      <c r="AO32" s="1" t="n">
        <f aca="false">F32</f>
        <v>1</v>
      </c>
      <c r="AP32" s="1" t="n">
        <f aca="false">F32</f>
        <v>1</v>
      </c>
      <c r="AQ32" s="1" t="n">
        <f aca="false">F32</f>
        <v>1</v>
      </c>
      <c r="AR32" s="1" t="n">
        <f aca="false">F32</f>
        <v>1</v>
      </c>
      <c r="AS32" s="1" t="n">
        <f aca="false">F32</f>
        <v>1</v>
      </c>
      <c r="AT32" s="1" t="n">
        <v>1</v>
      </c>
      <c r="AU32" s="1" t="n">
        <f aca="false">F32</f>
        <v>1</v>
      </c>
      <c r="AV32" s="1" t="n">
        <f aca="false">F32</f>
        <v>1</v>
      </c>
      <c r="AW32" s="1" t="n">
        <f aca="false">F32</f>
        <v>1</v>
      </c>
      <c r="AX32" s="1" t="n">
        <f aca="false">B32</f>
        <v>5.0797980687402</v>
      </c>
      <c r="AY32" s="1" t="n">
        <f aca="false">B32</f>
        <v>5.0797980687402</v>
      </c>
      <c r="AZ32" s="1" t="n">
        <f aca="false">B32</f>
        <v>5.0797980687402</v>
      </c>
      <c r="BA32" s="1" t="n">
        <f aca="false">F32</f>
        <v>1</v>
      </c>
      <c r="BB32" s="1" t="n">
        <f aca="false">F32</f>
        <v>1</v>
      </c>
      <c r="BC32" s="1" t="n">
        <f aca="false">B32</f>
        <v>5.0797980687402</v>
      </c>
      <c r="BD32" s="1" t="n">
        <f aca="false">B32</f>
        <v>5.0797980687402</v>
      </c>
      <c r="BE32" s="1" t="n">
        <v>1</v>
      </c>
      <c r="BF32" s="1" t="n">
        <v>1</v>
      </c>
      <c r="BG32" s="1" t="n">
        <f aca="false">B32</f>
        <v>5.0797980687402</v>
      </c>
      <c r="BH32" s="1" t="n">
        <f aca="false">B32</f>
        <v>5.0797980687402</v>
      </c>
      <c r="BI32" s="1" t="n">
        <f aca="false">B32</f>
        <v>5.0797980687402</v>
      </c>
      <c r="BJ32" s="1" t="n">
        <f aca="false">B32</f>
        <v>5.0797980687402</v>
      </c>
      <c r="BK32" s="1" t="n">
        <v>1</v>
      </c>
    </row>
    <row r="33" customFormat="false" ht="12.75" hidden="false" customHeight="false" outlineLevel="0" collapsed="false">
      <c r="A33" s="1" t="n">
        <f aca="false">A32-1</f>
        <v>1994</v>
      </c>
      <c r="B33" s="1" t="n">
        <f aca="false">im!F33/im!E33</f>
        <v>4.78732422654313</v>
      </c>
      <c r="C33" s="1" t="n">
        <f aca="false">B33</f>
        <v>4.78732422654313</v>
      </c>
      <c r="D33" s="1" t="n">
        <f aca="false">B33</f>
        <v>4.78732422654313</v>
      </c>
      <c r="E33" s="1" t="n">
        <f aca="false">B33</f>
        <v>4.78732422654313</v>
      </c>
      <c r="F33" s="1" t="n">
        <v>1</v>
      </c>
      <c r="G33" s="1" t="n">
        <f aca="false">F33</f>
        <v>1</v>
      </c>
      <c r="H33" s="1" t="n">
        <f aca="false">F33</f>
        <v>1</v>
      </c>
      <c r="I33" s="1" t="n">
        <f aca="false">F33</f>
        <v>1</v>
      </c>
      <c r="J33" s="1" t="n">
        <v>1</v>
      </c>
      <c r="K33" s="1" t="n">
        <v>1</v>
      </c>
      <c r="L33" s="1" t="n">
        <f aca="false">B33</f>
        <v>4.78732422654313</v>
      </c>
      <c r="M33" s="1" t="n">
        <f aca="false">B33</f>
        <v>4.78732422654313</v>
      </c>
      <c r="N33" s="1" t="n">
        <f aca="false">B33</f>
        <v>4.78732422654313</v>
      </c>
      <c r="O33" s="1" t="n">
        <f aca="false">B33</f>
        <v>4.78732422654313</v>
      </c>
      <c r="P33" s="1" t="n">
        <f aca="false">B33</f>
        <v>4.78732422654313</v>
      </c>
      <c r="Q33" s="1" t="n">
        <f aca="false">F33</f>
        <v>1</v>
      </c>
      <c r="R33" s="1" t="n">
        <f aca="false">F33</f>
        <v>1</v>
      </c>
      <c r="S33" s="1" t="n">
        <f aca="false">F33</f>
        <v>1</v>
      </c>
      <c r="T33" s="1" t="n">
        <v>1</v>
      </c>
      <c r="U33" s="1" t="n">
        <v>1</v>
      </c>
      <c r="V33" s="1" t="n">
        <f aca="false">F33</f>
        <v>1</v>
      </c>
      <c r="W33" s="1" t="n">
        <f aca="false">F33</f>
        <v>1</v>
      </c>
      <c r="X33" s="1" t="n">
        <f aca="false">F33</f>
        <v>1</v>
      </c>
      <c r="Y33" s="1" t="n">
        <f aca="false">F33</f>
        <v>1</v>
      </c>
      <c r="Z33" s="1" t="n">
        <f aca="false">F33</f>
        <v>1</v>
      </c>
      <c r="AA33" s="1" t="n">
        <f aca="false">F33</f>
        <v>1</v>
      </c>
      <c r="AB33" s="1" t="n">
        <f aca="false">F33</f>
        <v>1</v>
      </c>
      <c r="AC33" s="1" t="n">
        <f aca="false">F33</f>
        <v>1</v>
      </c>
      <c r="AD33" s="1" t="n">
        <f aca="false">F33</f>
        <v>1</v>
      </c>
      <c r="AE33" s="1" t="n">
        <f aca="false">B33</f>
        <v>4.78732422654313</v>
      </c>
      <c r="AF33" s="1" t="n">
        <f aca="false">B33</f>
        <v>4.78732422654313</v>
      </c>
      <c r="AG33" s="1" t="n">
        <f aca="false">B33</f>
        <v>4.78732422654313</v>
      </c>
      <c r="AH33" s="1" t="n">
        <f aca="false">B33</f>
        <v>4.78732422654313</v>
      </c>
      <c r="AI33" s="1" t="n">
        <f aca="false">B33</f>
        <v>4.78732422654313</v>
      </c>
      <c r="AJ33" s="1" t="n">
        <f aca="false">B33</f>
        <v>4.78732422654313</v>
      </c>
      <c r="AK33" s="1" t="n">
        <f aca="false">B33</f>
        <v>4.78732422654313</v>
      </c>
      <c r="AL33" s="1" t="n">
        <f aca="false">B33</f>
        <v>4.78732422654313</v>
      </c>
      <c r="AM33" s="1" t="n">
        <f aca="false">B33</f>
        <v>4.78732422654313</v>
      </c>
      <c r="AN33" s="1" t="n">
        <f aca="false">F33</f>
        <v>1</v>
      </c>
      <c r="AO33" s="1" t="n">
        <f aca="false">F33</f>
        <v>1</v>
      </c>
      <c r="AP33" s="1" t="n">
        <f aca="false">F33</f>
        <v>1</v>
      </c>
      <c r="AQ33" s="1" t="n">
        <f aca="false">F33</f>
        <v>1</v>
      </c>
      <c r="AR33" s="1" t="n">
        <f aca="false">F33</f>
        <v>1</v>
      </c>
      <c r="AS33" s="1" t="n">
        <f aca="false">F33</f>
        <v>1</v>
      </c>
      <c r="AT33" s="1" t="n">
        <v>1</v>
      </c>
      <c r="AU33" s="1" t="n">
        <f aca="false">F33</f>
        <v>1</v>
      </c>
      <c r="AV33" s="1" t="n">
        <f aca="false">F33</f>
        <v>1</v>
      </c>
      <c r="AW33" s="1" t="n">
        <f aca="false">F33</f>
        <v>1</v>
      </c>
      <c r="AX33" s="1" t="n">
        <f aca="false">B33</f>
        <v>4.78732422654313</v>
      </c>
      <c r="AY33" s="1" t="n">
        <f aca="false">B33</f>
        <v>4.78732422654313</v>
      </c>
      <c r="AZ33" s="1" t="n">
        <f aca="false">B33</f>
        <v>4.78732422654313</v>
      </c>
      <c r="BA33" s="1" t="n">
        <f aca="false">F33</f>
        <v>1</v>
      </c>
      <c r="BB33" s="1" t="n">
        <f aca="false">F33</f>
        <v>1</v>
      </c>
      <c r="BC33" s="1" t="n">
        <f aca="false">B33</f>
        <v>4.78732422654313</v>
      </c>
      <c r="BD33" s="1" t="n">
        <f aca="false">B33</f>
        <v>4.78732422654313</v>
      </c>
      <c r="BE33" s="1" t="n">
        <v>1</v>
      </c>
      <c r="BF33" s="1" t="n">
        <v>1</v>
      </c>
      <c r="BG33" s="1" t="n">
        <f aca="false">B33</f>
        <v>4.78732422654313</v>
      </c>
      <c r="BH33" s="1" t="n">
        <f aca="false">B33</f>
        <v>4.78732422654313</v>
      </c>
      <c r="BI33" s="1" t="n">
        <f aca="false">B33</f>
        <v>4.78732422654313</v>
      </c>
      <c r="BJ33" s="1" t="n">
        <f aca="false">B33</f>
        <v>4.78732422654313</v>
      </c>
      <c r="BK33" s="1" t="n">
        <v>1</v>
      </c>
    </row>
    <row r="34" customFormat="false" ht="12.75" hidden="false" customHeight="false" outlineLevel="0" collapsed="false">
      <c r="A34" s="1" t="n">
        <f aca="false">A33-1</f>
        <v>1993</v>
      </c>
      <c r="B34" s="1" t="n">
        <f aca="false">im!F34/im!E34</f>
        <v>4.7363864240575</v>
      </c>
      <c r="C34" s="1" t="n">
        <f aca="false">B34</f>
        <v>4.7363864240575</v>
      </c>
      <c r="D34" s="1" t="n">
        <f aca="false">B34</f>
        <v>4.7363864240575</v>
      </c>
      <c r="E34" s="1" t="n">
        <f aca="false">B34</f>
        <v>4.7363864240575</v>
      </c>
      <c r="F34" s="1" t="n">
        <v>1</v>
      </c>
      <c r="G34" s="1" t="n">
        <f aca="false">F34</f>
        <v>1</v>
      </c>
      <c r="H34" s="1" t="n">
        <f aca="false">F34</f>
        <v>1</v>
      </c>
      <c r="I34" s="1" t="n">
        <f aca="false">F34</f>
        <v>1</v>
      </c>
      <c r="J34" s="1" t="n">
        <v>1</v>
      </c>
      <c r="K34" s="1" t="n">
        <v>1</v>
      </c>
      <c r="L34" s="1" t="n">
        <f aca="false">B34</f>
        <v>4.7363864240575</v>
      </c>
      <c r="M34" s="1" t="n">
        <f aca="false">B34</f>
        <v>4.7363864240575</v>
      </c>
      <c r="N34" s="1" t="n">
        <f aca="false">B34</f>
        <v>4.7363864240575</v>
      </c>
      <c r="O34" s="1" t="n">
        <f aca="false">B34</f>
        <v>4.7363864240575</v>
      </c>
      <c r="P34" s="1" t="n">
        <f aca="false">B34</f>
        <v>4.7363864240575</v>
      </c>
      <c r="Q34" s="1" t="n">
        <f aca="false">F34</f>
        <v>1</v>
      </c>
      <c r="R34" s="1" t="n">
        <f aca="false">F34</f>
        <v>1</v>
      </c>
      <c r="S34" s="1" t="n">
        <f aca="false">F34</f>
        <v>1</v>
      </c>
      <c r="T34" s="1" t="n">
        <v>1</v>
      </c>
      <c r="U34" s="1" t="n">
        <v>1</v>
      </c>
      <c r="V34" s="1" t="n">
        <f aca="false">F34</f>
        <v>1</v>
      </c>
      <c r="W34" s="1" t="n">
        <f aca="false">F34</f>
        <v>1</v>
      </c>
      <c r="X34" s="1" t="n">
        <f aca="false">F34</f>
        <v>1</v>
      </c>
      <c r="Y34" s="1" t="n">
        <f aca="false">F34</f>
        <v>1</v>
      </c>
      <c r="Z34" s="1" t="n">
        <f aca="false">F34</f>
        <v>1</v>
      </c>
      <c r="AA34" s="1" t="n">
        <f aca="false">F34</f>
        <v>1</v>
      </c>
      <c r="AB34" s="1" t="n">
        <f aca="false">F34</f>
        <v>1</v>
      </c>
      <c r="AC34" s="1" t="n">
        <f aca="false">F34</f>
        <v>1</v>
      </c>
      <c r="AD34" s="1" t="n">
        <f aca="false">F34</f>
        <v>1</v>
      </c>
      <c r="AE34" s="1" t="n">
        <f aca="false">B34</f>
        <v>4.7363864240575</v>
      </c>
      <c r="AF34" s="1" t="n">
        <f aca="false">B34</f>
        <v>4.7363864240575</v>
      </c>
      <c r="AG34" s="1" t="n">
        <f aca="false">B34</f>
        <v>4.7363864240575</v>
      </c>
      <c r="AH34" s="1" t="n">
        <f aca="false">B34</f>
        <v>4.7363864240575</v>
      </c>
      <c r="AI34" s="1" t="n">
        <f aca="false">B34</f>
        <v>4.7363864240575</v>
      </c>
      <c r="AJ34" s="1" t="n">
        <f aca="false">B34</f>
        <v>4.7363864240575</v>
      </c>
      <c r="AK34" s="1" t="n">
        <f aca="false">B34</f>
        <v>4.7363864240575</v>
      </c>
      <c r="AL34" s="1" t="n">
        <f aca="false">B34</f>
        <v>4.7363864240575</v>
      </c>
      <c r="AM34" s="1" t="n">
        <f aca="false">B34</f>
        <v>4.7363864240575</v>
      </c>
      <c r="AN34" s="1" t="n">
        <f aca="false">F34</f>
        <v>1</v>
      </c>
      <c r="AO34" s="1" t="n">
        <f aca="false">F34</f>
        <v>1</v>
      </c>
      <c r="AP34" s="1" t="n">
        <f aca="false">F34</f>
        <v>1</v>
      </c>
      <c r="AQ34" s="1" t="n">
        <f aca="false">F34</f>
        <v>1</v>
      </c>
      <c r="AR34" s="1" t="n">
        <f aca="false">F34</f>
        <v>1</v>
      </c>
      <c r="AS34" s="1" t="n">
        <f aca="false">F34</f>
        <v>1</v>
      </c>
      <c r="AT34" s="1" t="n">
        <v>1</v>
      </c>
      <c r="AU34" s="1" t="n">
        <f aca="false">F34</f>
        <v>1</v>
      </c>
      <c r="AV34" s="1" t="n">
        <f aca="false">F34</f>
        <v>1</v>
      </c>
      <c r="AW34" s="1" t="n">
        <f aca="false">F34</f>
        <v>1</v>
      </c>
      <c r="AX34" s="1" t="n">
        <f aca="false">B34</f>
        <v>4.7363864240575</v>
      </c>
      <c r="AY34" s="1" t="n">
        <f aca="false">B34</f>
        <v>4.7363864240575</v>
      </c>
      <c r="AZ34" s="1" t="n">
        <f aca="false">B34</f>
        <v>4.7363864240575</v>
      </c>
      <c r="BA34" s="1" t="n">
        <f aca="false">F34</f>
        <v>1</v>
      </c>
      <c r="BB34" s="1" t="n">
        <f aca="false">F34</f>
        <v>1</v>
      </c>
      <c r="BC34" s="1" t="n">
        <f aca="false">B34</f>
        <v>4.7363864240575</v>
      </c>
      <c r="BD34" s="1" t="n">
        <f aca="false">B34</f>
        <v>4.7363864240575</v>
      </c>
      <c r="BE34" s="1" t="n">
        <v>1</v>
      </c>
      <c r="BF34" s="1" t="n">
        <v>1</v>
      </c>
      <c r="BG34" s="1" t="n">
        <f aca="false">B34</f>
        <v>4.7363864240575</v>
      </c>
      <c r="BH34" s="1" t="n">
        <f aca="false">B34</f>
        <v>4.7363864240575</v>
      </c>
      <c r="BI34" s="1" t="n">
        <f aca="false">B34</f>
        <v>4.7363864240575</v>
      </c>
      <c r="BJ34" s="1" t="n">
        <f aca="false">B34</f>
        <v>4.7363864240575</v>
      </c>
      <c r="BK34" s="1" t="n">
        <v>1</v>
      </c>
    </row>
    <row r="35" customFormat="false" ht="12.75" hidden="false" customHeight="false" outlineLevel="0" collapsed="false">
      <c r="A35" s="1" t="n">
        <f aca="false">A34-1</f>
        <v>1992</v>
      </c>
      <c r="B35" s="1" t="n">
        <f aca="false">im!F35/im!E35</f>
        <v>4.92646777400961</v>
      </c>
      <c r="C35" s="1" t="n">
        <f aca="false">B35</f>
        <v>4.92646777400961</v>
      </c>
      <c r="D35" s="1" t="n">
        <f aca="false">B35</f>
        <v>4.92646777400961</v>
      </c>
      <c r="E35" s="1" t="n">
        <f aca="false">B35</f>
        <v>4.92646777400961</v>
      </c>
      <c r="F35" s="1" t="n">
        <v>1</v>
      </c>
      <c r="G35" s="1" t="n">
        <f aca="false">F35</f>
        <v>1</v>
      </c>
      <c r="H35" s="1" t="n">
        <f aca="false">F35</f>
        <v>1</v>
      </c>
      <c r="I35" s="1" t="n">
        <f aca="false">F35</f>
        <v>1</v>
      </c>
      <c r="J35" s="1" t="n">
        <v>1</v>
      </c>
      <c r="K35" s="1" t="n">
        <v>1</v>
      </c>
      <c r="L35" s="1" t="n">
        <f aca="false">B35</f>
        <v>4.92646777400961</v>
      </c>
      <c r="M35" s="1" t="n">
        <f aca="false">B35</f>
        <v>4.92646777400961</v>
      </c>
      <c r="N35" s="1" t="n">
        <f aca="false">B35</f>
        <v>4.92646777400961</v>
      </c>
      <c r="O35" s="1" t="n">
        <f aca="false">B35</f>
        <v>4.92646777400961</v>
      </c>
      <c r="P35" s="1" t="n">
        <f aca="false">B35</f>
        <v>4.92646777400961</v>
      </c>
      <c r="Q35" s="1" t="n">
        <f aca="false">F35</f>
        <v>1</v>
      </c>
      <c r="R35" s="1" t="n">
        <f aca="false">F35</f>
        <v>1</v>
      </c>
      <c r="S35" s="1" t="n">
        <f aca="false">F35</f>
        <v>1</v>
      </c>
      <c r="T35" s="1" t="n">
        <v>1</v>
      </c>
      <c r="U35" s="1" t="n">
        <v>1</v>
      </c>
      <c r="V35" s="1" t="n">
        <f aca="false">F35</f>
        <v>1</v>
      </c>
      <c r="W35" s="1" t="n">
        <f aca="false">F35</f>
        <v>1</v>
      </c>
      <c r="X35" s="1" t="n">
        <f aca="false">F35</f>
        <v>1</v>
      </c>
      <c r="Y35" s="1" t="n">
        <f aca="false">F35</f>
        <v>1</v>
      </c>
      <c r="Z35" s="1" t="n">
        <f aca="false">F35</f>
        <v>1</v>
      </c>
      <c r="AA35" s="1" t="n">
        <f aca="false">F35</f>
        <v>1</v>
      </c>
      <c r="AB35" s="1" t="n">
        <f aca="false">F35</f>
        <v>1</v>
      </c>
      <c r="AC35" s="1" t="n">
        <f aca="false">F35</f>
        <v>1</v>
      </c>
      <c r="AD35" s="1" t="n">
        <f aca="false">F35</f>
        <v>1</v>
      </c>
      <c r="AE35" s="1" t="n">
        <f aca="false">B35</f>
        <v>4.92646777400961</v>
      </c>
      <c r="AF35" s="1" t="n">
        <f aca="false">B35</f>
        <v>4.92646777400961</v>
      </c>
      <c r="AG35" s="1" t="n">
        <f aca="false">B35</f>
        <v>4.92646777400961</v>
      </c>
      <c r="AH35" s="1" t="n">
        <f aca="false">B35</f>
        <v>4.92646777400961</v>
      </c>
      <c r="AI35" s="1" t="n">
        <f aca="false">B35</f>
        <v>4.92646777400961</v>
      </c>
      <c r="AJ35" s="1" t="n">
        <f aca="false">B35</f>
        <v>4.92646777400961</v>
      </c>
      <c r="AK35" s="1" t="n">
        <f aca="false">B35</f>
        <v>4.92646777400961</v>
      </c>
      <c r="AL35" s="1" t="n">
        <f aca="false">B35</f>
        <v>4.92646777400961</v>
      </c>
      <c r="AM35" s="1" t="n">
        <f aca="false">B35</f>
        <v>4.92646777400961</v>
      </c>
      <c r="AN35" s="1" t="n">
        <f aca="false">F35</f>
        <v>1</v>
      </c>
      <c r="AO35" s="1" t="n">
        <f aca="false">F35</f>
        <v>1</v>
      </c>
      <c r="AP35" s="1" t="n">
        <f aca="false">F35</f>
        <v>1</v>
      </c>
      <c r="AQ35" s="1" t="n">
        <f aca="false">F35</f>
        <v>1</v>
      </c>
      <c r="AR35" s="1" t="n">
        <f aca="false">F35</f>
        <v>1</v>
      </c>
      <c r="AS35" s="1" t="n">
        <f aca="false">F35</f>
        <v>1</v>
      </c>
      <c r="AT35" s="1" t="n">
        <v>1</v>
      </c>
      <c r="AU35" s="1" t="n">
        <f aca="false">F35</f>
        <v>1</v>
      </c>
      <c r="AV35" s="1" t="n">
        <f aca="false">F35</f>
        <v>1</v>
      </c>
      <c r="AW35" s="1" t="n">
        <f aca="false">F35</f>
        <v>1</v>
      </c>
      <c r="AX35" s="1" t="n">
        <f aca="false">B35</f>
        <v>4.92646777400961</v>
      </c>
      <c r="AY35" s="1" t="n">
        <f aca="false">B35</f>
        <v>4.92646777400961</v>
      </c>
      <c r="AZ35" s="1" t="n">
        <f aca="false">B35</f>
        <v>4.92646777400961</v>
      </c>
      <c r="BA35" s="1" t="n">
        <f aca="false">F35</f>
        <v>1</v>
      </c>
      <c r="BB35" s="1" t="n">
        <f aca="false">F35</f>
        <v>1</v>
      </c>
      <c r="BC35" s="1" t="n">
        <f aca="false">B35</f>
        <v>4.92646777400961</v>
      </c>
      <c r="BD35" s="1" t="n">
        <f aca="false">B35</f>
        <v>4.92646777400961</v>
      </c>
      <c r="BE35" s="1" t="n">
        <v>1</v>
      </c>
      <c r="BF35" s="1" t="n">
        <v>1</v>
      </c>
      <c r="BG35" s="1" t="n">
        <f aca="false">B35</f>
        <v>4.92646777400961</v>
      </c>
      <c r="BH35" s="1" t="n">
        <f aca="false">B35</f>
        <v>4.92646777400961</v>
      </c>
      <c r="BI35" s="1" t="n">
        <f aca="false">B35</f>
        <v>4.92646777400961</v>
      </c>
      <c r="BJ35" s="1" t="n">
        <f aca="false">B35</f>
        <v>4.92646777400961</v>
      </c>
      <c r="BK35" s="1" t="n">
        <v>1</v>
      </c>
    </row>
    <row r="36" customFormat="false" ht="12.75" hidden="false" customHeight="false" outlineLevel="0" collapsed="false">
      <c r="A36" s="1" t="n">
        <f aca="false">A35-1</f>
        <v>1991</v>
      </c>
      <c r="B36" s="1" t="n">
        <f aca="false">im!F36/im!E36</f>
        <v>4.2756442805082</v>
      </c>
      <c r="C36" s="1" t="n">
        <f aca="false">B36</f>
        <v>4.2756442805082</v>
      </c>
      <c r="D36" s="1" t="n">
        <f aca="false">B36</f>
        <v>4.2756442805082</v>
      </c>
      <c r="E36" s="1" t="n">
        <f aca="false">B36</f>
        <v>4.2756442805082</v>
      </c>
      <c r="F36" s="1" t="n">
        <v>1</v>
      </c>
      <c r="G36" s="1" t="n">
        <f aca="false">F36</f>
        <v>1</v>
      </c>
      <c r="H36" s="1" t="n">
        <f aca="false">F36</f>
        <v>1</v>
      </c>
      <c r="I36" s="1" t="n">
        <f aca="false">F36</f>
        <v>1</v>
      </c>
      <c r="J36" s="1" t="n">
        <v>1</v>
      </c>
      <c r="K36" s="1" t="n">
        <v>1</v>
      </c>
      <c r="L36" s="1" t="n">
        <f aca="false">B36</f>
        <v>4.2756442805082</v>
      </c>
      <c r="M36" s="1" t="n">
        <f aca="false">B36</f>
        <v>4.2756442805082</v>
      </c>
      <c r="N36" s="1" t="n">
        <f aca="false">B36</f>
        <v>4.2756442805082</v>
      </c>
      <c r="O36" s="1" t="n">
        <f aca="false">B36</f>
        <v>4.2756442805082</v>
      </c>
      <c r="P36" s="1" t="n">
        <f aca="false">B36</f>
        <v>4.2756442805082</v>
      </c>
      <c r="Q36" s="1" t="n">
        <f aca="false">F36</f>
        <v>1</v>
      </c>
      <c r="R36" s="1" t="n">
        <f aca="false">F36</f>
        <v>1</v>
      </c>
      <c r="S36" s="1" t="n">
        <f aca="false">F36</f>
        <v>1</v>
      </c>
      <c r="T36" s="1" t="n">
        <v>1</v>
      </c>
      <c r="U36" s="1" t="n">
        <v>1</v>
      </c>
      <c r="V36" s="1" t="n">
        <f aca="false">F36</f>
        <v>1</v>
      </c>
      <c r="W36" s="1" t="n">
        <f aca="false">F36</f>
        <v>1</v>
      </c>
      <c r="X36" s="1" t="n">
        <f aca="false">F36</f>
        <v>1</v>
      </c>
      <c r="Y36" s="1" t="n">
        <f aca="false">F36</f>
        <v>1</v>
      </c>
      <c r="Z36" s="1" t="n">
        <f aca="false">F36</f>
        <v>1</v>
      </c>
      <c r="AA36" s="1" t="n">
        <f aca="false">F36</f>
        <v>1</v>
      </c>
      <c r="AB36" s="1" t="n">
        <f aca="false">F36</f>
        <v>1</v>
      </c>
      <c r="AC36" s="1" t="n">
        <f aca="false">F36</f>
        <v>1</v>
      </c>
      <c r="AD36" s="1" t="n">
        <f aca="false">F36</f>
        <v>1</v>
      </c>
      <c r="AE36" s="1" t="n">
        <f aca="false">B36</f>
        <v>4.2756442805082</v>
      </c>
      <c r="AF36" s="1" t="n">
        <f aca="false">B36</f>
        <v>4.2756442805082</v>
      </c>
      <c r="AG36" s="1" t="n">
        <f aca="false">B36</f>
        <v>4.2756442805082</v>
      </c>
      <c r="AH36" s="1" t="n">
        <f aca="false">B36</f>
        <v>4.2756442805082</v>
      </c>
      <c r="AI36" s="1" t="n">
        <f aca="false">B36</f>
        <v>4.2756442805082</v>
      </c>
      <c r="AJ36" s="1" t="n">
        <f aca="false">B36</f>
        <v>4.2756442805082</v>
      </c>
      <c r="AK36" s="1" t="n">
        <f aca="false">B36</f>
        <v>4.2756442805082</v>
      </c>
      <c r="AL36" s="1" t="n">
        <f aca="false">B36</f>
        <v>4.2756442805082</v>
      </c>
      <c r="AM36" s="1" t="n">
        <f aca="false">B36</f>
        <v>4.2756442805082</v>
      </c>
      <c r="AN36" s="1" t="n">
        <f aca="false">F36</f>
        <v>1</v>
      </c>
      <c r="AO36" s="1" t="n">
        <f aca="false">F36</f>
        <v>1</v>
      </c>
      <c r="AP36" s="1" t="n">
        <f aca="false">F36</f>
        <v>1</v>
      </c>
      <c r="AQ36" s="1" t="n">
        <f aca="false">F36</f>
        <v>1</v>
      </c>
      <c r="AR36" s="1" t="n">
        <f aca="false">F36</f>
        <v>1</v>
      </c>
      <c r="AS36" s="1" t="n">
        <f aca="false">F36</f>
        <v>1</v>
      </c>
      <c r="AT36" s="1" t="n">
        <v>1</v>
      </c>
      <c r="AU36" s="1" t="n">
        <f aca="false">F36</f>
        <v>1</v>
      </c>
      <c r="AV36" s="1" t="n">
        <f aca="false">F36</f>
        <v>1</v>
      </c>
      <c r="AW36" s="1" t="n">
        <f aca="false">F36</f>
        <v>1</v>
      </c>
      <c r="AX36" s="1" t="n">
        <f aca="false">B36</f>
        <v>4.2756442805082</v>
      </c>
      <c r="AY36" s="1" t="n">
        <f aca="false">B36</f>
        <v>4.2756442805082</v>
      </c>
      <c r="AZ36" s="1" t="n">
        <f aca="false">B36</f>
        <v>4.2756442805082</v>
      </c>
      <c r="BA36" s="1" t="n">
        <f aca="false">F36</f>
        <v>1</v>
      </c>
      <c r="BB36" s="1" t="n">
        <f aca="false">F36</f>
        <v>1</v>
      </c>
      <c r="BC36" s="1" t="n">
        <f aca="false">B36</f>
        <v>4.2756442805082</v>
      </c>
      <c r="BD36" s="1" t="n">
        <f aca="false">B36</f>
        <v>4.2756442805082</v>
      </c>
      <c r="BE36" s="1" t="n">
        <v>1</v>
      </c>
      <c r="BF36" s="1" t="n">
        <v>1</v>
      </c>
      <c r="BG36" s="1" t="n">
        <f aca="false">B36</f>
        <v>4.2756442805082</v>
      </c>
      <c r="BH36" s="1" t="n">
        <f aca="false">B36</f>
        <v>4.2756442805082</v>
      </c>
      <c r="BI36" s="1" t="n">
        <f aca="false">B36</f>
        <v>4.2756442805082</v>
      </c>
      <c r="BJ36" s="1" t="n">
        <f aca="false">B36</f>
        <v>4.2756442805082</v>
      </c>
      <c r="BK36" s="1" t="n">
        <v>1</v>
      </c>
    </row>
    <row r="37" customFormat="false" ht="12.75" hidden="false" customHeight="false" outlineLevel="0" collapsed="false">
      <c r="A37" s="1" t="n">
        <f aca="false">A36-1</f>
        <v>1990</v>
      </c>
      <c r="B37" s="1" t="n">
        <f aca="false">im!F37/im!E37</f>
        <v>4.18066877903221</v>
      </c>
      <c r="C37" s="1" t="n">
        <f aca="false">B37</f>
        <v>4.18066877903221</v>
      </c>
      <c r="D37" s="1" t="n">
        <f aca="false">B37</f>
        <v>4.18066877903221</v>
      </c>
      <c r="E37" s="1" t="n">
        <f aca="false">B37</f>
        <v>4.18066877903221</v>
      </c>
      <c r="F37" s="1" t="n">
        <v>1</v>
      </c>
      <c r="G37" s="1" t="n">
        <f aca="false">F37</f>
        <v>1</v>
      </c>
      <c r="H37" s="1" t="n">
        <f aca="false">F37</f>
        <v>1</v>
      </c>
      <c r="I37" s="1" t="n">
        <f aca="false">F37</f>
        <v>1</v>
      </c>
      <c r="J37" s="1" t="n">
        <v>1</v>
      </c>
      <c r="K37" s="1" t="n">
        <v>1</v>
      </c>
      <c r="L37" s="1" t="n">
        <f aca="false">B37</f>
        <v>4.18066877903221</v>
      </c>
      <c r="M37" s="1" t="n">
        <f aca="false">B37</f>
        <v>4.18066877903221</v>
      </c>
      <c r="N37" s="1" t="n">
        <f aca="false">B37</f>
        <v>4.18066877903221</v>
      </c>
      <c r="O37" s="1" t="n">
        <f aca="false">B37</f>
        <v>4.18066877903221</v>
      </c>
      <c r="P37" s="1" t="n">
        <f aca="false">B37</f>
        <v>4.18066877903221</v>
      </c>
      <c r="Q37" s="1" t="n">
        <f aca="false">F37</f>
        <v>1</v>
      </c>
      <c r="R37" s="1" t="n">
        <f aca="false">F37</f>
        <v>1</v>
      </c>
      <c r="S37" s="1" t="n">
        <f aca="false">F37</f>
        <v>1</v>
      </c>
      <c r="T37" s="1" t="n">
        <v>1</v>
      </c>
      <c r="U37" s="1" t="n">
        <v>1</v>
      </c>
      <c r="V37" s="1" t="n">
        <f aca="false">F37</f>
        <v>1</v>
      </c>
      <c r="W37" s="1" t="n">
        <f aca="false">F37</f>
        <v>1</v>
      </c>
      <c r="X37" s="1" t="n">
        <f aca="false">F37</f>
        <v>1</v>
      </c>
      <c r="Y37" s="1" t="n">
        <f aca="false">F37</f>
        <v>1</v>
      </c>
      <c r="Z37" s="1" t="n">
        <f aca="false">F37</f>
        <v>1</v>
      </c>
      <c r="AA37" s="1" t="n">
        <f aca="false">F37</f>
        <v>1</v>
      </c>
      <c r="AB37" s="1" t="n">
        <f aca="false">F37</f>
        <v>1</v>
      </c>
      <c r="AC37" s="1" t="n">
        <f aca="false">F37</f>
        <v>1</v>
      </c>
      <c r="AD37" s="1" t="n">
        <f aca="false">F37</f>
        <v>1</v>
      </c>
      <c r="AE37" s="1" t="n">
        <f aca="false">B37</f>
        <v>4.18066877903221</v>
      </c>
      <c r="AF37" s="1" t="n">
        <f aca="false">B37</f>
        <v>4.18066877903221</v>
      </c>
      <c r="AG37" s="1" t="n">
        <f aca="false">B37</f>
        <v>4.18066877903221</v>
      </c>
      <c r="AH37" s="1" t="n">
        <f aca="false">B37</f>
        <v>4.18066877903221</v>
      </c>
      <c r="AI37" s="1" t="n">
        <f aca="false">B37</f>
        <v>4.18066877903221</v>
      </c>
      <c r="AJ37" s="1" t="n">
        <f aca="false">B37</f>
        <v>4.18066877903221</v>
      </c>
      <c r="AK37" s="1" t="n">
        <f aca="false">B37</f>
        <v>4.18066877903221</v>
      </c>
      <c r="AL37" s="1" t="n">
        <f aca="false">B37</f>
        <v>4.18066877903221</v>
      </c>
      <c r="AM37" s="1" t="n">
        <f aca="false">B37</f>
        <v>4.18066877903221</v>
      </c>
      <c r="AN37" s="1" t="n">
        <f aca="false">F37</f>
        <v>1</v>
      </c>
      <c r="AO37" s="1" t="n">
        <f aca="false">F37</f>
        <v>1</v>
      </c>
      <c r="AP37" s="1" t="n">
        <f aca="false">F37</f>
        <v>1</v>
      </c>
      <c r="AQ37" s="1" t="n">
        <f aca="false">F37</f>
        <v>1</v>
      </c>
      <c r="AR37" s="1" t="n">
        <f aca="false">F37</f>
        <v>1</v>
      </c>
      <c r="AS37" s="1" t="n">
        <f aca="false">F37</f>
        <v>1</v>
      </c>
      <c r="AT37" s="1" t="n">
        <v>1</v>
      </c>
      <c r="AU37" s="1" t="n">
        <f aca="false">F37</f>
        <v>1</v>
      </c>
      <c r="AV37" s="1" t="n">
        <f aca="false">F37</f>
        <v>1</v>
      </c>
      <c r="AW37" s="1" t="n">
        <f aca="false">F37</f>
        <v>1</v>
      </c>
      <c r="AX37" s="1" t="n">
        <f aca="false">B37</f>
        <v>4.18066877903221</v>
      </c>
      <c r="AY37" s="1" t="n">
        <f aca="false">B37</f>
        <v>4.18066877903221</v>
      </c>
      <c r="AZ37" s="1" t="n">
        <f aca="false">B37</f>
        <v>4.18066877903221</v>
      </c>
      <c r="BA37" s="1" t="n">
        <f aca="false">F37</f>
        <v>1</v>
      </c>
      <c r="BB37" s="1" t="n">
        <f aca="false">F37</f>
        <v>1</v>
      </c>
      <c r="BC37" s="1" t="n">
        <f aca="false">B37</f>
        <v>4.18066877903221</v>
      </c>
      <c r="BD37" s="1" t="n">
        <f aca="false">B37</f>
        <v>4.18066877903221</v>
      </c>
      <c r="BE37" s="1" t="n">
        <v>1</v>
      </c>
      <c r="BF37" s="1" t="n">
        <v>1</v>
      </c>
      <c r="BG37" s="1" t="n">
        <f aca="false">B37</f>
        <v>4.18066877903221</v>
      </c>
      <c r="BH37" s="1" t="n">
        <f aca="false">B37</f>
        <v>4.18066877903221</v>
      </c>
      <c r="BI37" s="1" t="n">
        <f aca="false">B37</f>
        <v>4.18066877903221</v>
      </c>
      <c r="BJ37" s="1" t="n">
        <f aca="false">B37</f>
        <v>4.18066877903221</v>
      </c>
      <c r="BK37" s="1" t="n">
        <v>1</v>
      </c>
    </row>
    <row r="38" customFormat="false" ht="12.75" hidden="false" customHeight="false" outlineLevel="0" collapsed="false">
      <c r="A38" s="1" t="n">
        <f aca="false">A37-1</f>
        <v>1989</v>
      </c>
      <c r="B38" s="1" t="n">
        <f aca="false">im!F38/im!E38</f>
        <v>3.24928295598391</v>
      </c>
      <c r="C38" s="1" t="n">
        <f aca="false">B38</f>
        <v>3.24928295598391</v>
      </c>
      <c r="D38" s="1" t="n">
        <f aca="false">B38</f>
        <v>3.24928295598391</v>
      </c>
      <c r="E38" s="1" t="n">
        <f aca="false">B38</f>
        <v>3.24928295598391</v>
      </c>
      <c r="F38" s="1" t="n">
        <v>1</v>
      </c>
      <c r="G38" s="1" t="n">
        <f aca="false">F38</f>
        <v>1</v>
      </c>
      <c r="H38" s="1" t="n">
        <f aca="false">F38</f>
        <v>1</v>
      </c>
      <c r="I38" s="1" t="n">
        <f aca="false">F38</f>
        <v>1</v>
      </c>
      <c r="J38" s="1" t="n">
        <v>1</v>
      </c>
      <c r="K38" s="1" t="n">
        <v>1</v>
      </c>
      <c r="L38" s="1" t="n">
        <f aca="false">B38</f>
        <v>3.24928295598391</v>
      </c>
      <c r="M38" s="1" t="n">
        <f aca="false">B38</f>
        <v>3.24928295598391</v>
      </c>
      <c r="N38" s="1" t="n">
        <f aca="false">B38</f>
        <v>3.24928295598391</v>
      </c>
      <c r="O38" s="1" t="n">
        <f aca="false">B38</f>
        <v>3.24928295598391</v>
      </c>
      <c r="P38" s="1" t="n">
        <f aca="false">B38</f>
        <v>3.24928295598391</v>
      </c>
      <c r="Q38" s="1" t="n">
        <f aca="false">F38</f>
        <v>1</v>
      </c>
      <c r="R38" s="1" t="n">
        <f aca="false">F38</f>
        <v>1</v>
      </c>
      <c r="S38" s="1" t="n">
        <f aca="false">F38</f>
        <v>1</v>
      </c>
      <c r="T38" s="1" t="n">
        <v>1</v>
      </c>
      <c r="U38" s="1" t="n">
        <v>1</v>
      </c>
      <c r="V38" s="1" t="n">
        <f aca="false">F38</f>
        <v>1</v>
      </c>
      <c r="W38" s="1" t="n">
        <f aca="false">F38</f>
        <v>1</v>
      </c>
      <c r="X38" s="1" t="n">
        <f aca="false">F38</f>
        <v>1</v>
      </c>
      <c r="Y38" s="1" t="n">
        <f aca="false">F38</f>
        <v>1</v>
      </c>
      <c r="Z38" s="1" t="n">
        <f aca="false">F38</f>
        <v>1</v>
      </c>
      <c r="AA38" s="1" t="n">
        <f aca="false">F38</f>
        <v>1</v>
      </c>
      <c r="AB38" s="1" t="n">
        <f aca="false">F38</f>
        <v>1</v>
      </c>
      <c r="AC38" s="1" t="n">
        <f aca="false">F38</f>
        <v>1</v>
      </c>
      <c r="AD38" s="1" t="n">
        <f aca="false">F38</f>
        <v>1</v>
      </c>
      <c r="AE38" s="1" t="n">
        <f aca="false">B38</f>
        <v>3.24928295598391</v>
      </c>
      <c r="AF38" s="1" t="n">
        <f aca="false">B38</f>
        <v>3.24928295598391</v>
      </c>
      <c r="AG38" s="1" t="n">
        <f aca="false">B38</f>
        <v>3.24928295598391</v>
      </c>
      <c r="AH38" s="1" t="n">
        <f aca="false">B38</f>
        <v>3.24928295598391</v>
      </c>
      <c r="AI38" s="1" t="n">
        <f aca="false">B38</f>
        <v>3.24928295598391</v>
      </c>
      <c r="AJ38" s="1" t="n">
        <f aca="false">B38</f>
        <v>3.24928295598391</v>
      </c>
      <c r="AK38" s="1" t="n">
        <f aca="false">B38</f>
        <v>3.24928295598391</v>
      </c>
      <c r="AL38" s="1" t="n">
        <f aca="false">B38</f>
        <v>3.24928295598391</v>
      </c>
      <c r="AM38" s="1" t="n">
        <f aca="false">B38</f>
        <v>3.24928295598391</v>
      </c>
      <c r="AN38" s="1" t="n">
        <f aca="false">F38</f>
        <v>1</v>
      </c>
      <c r="AO38" s="1" t="n">
        <f aca="false">F38</f>
        <v>1</v>
      </c>
      <c r="AP38" s="1" t="n">
        <f aca="false">F38</f>
        <v>1</v>
      </c>
      <c r="AQ38" s="1" t="n">
        <f aca="false">F38</f>
        <v>1</v>
      </c>
      <c r="AR38" s="1" t="n">
        <f aca="false">F38</f>
        <v>1</v>
      </c>
      <c r="AS38" s="1" t="n">
        <f aca="false">F38</f>
        <v>1</v>
      </c>
      <c r="AT38" s="1" t="n">
        <v>1</v>
      </c>
      <c r="AU38" s="1" t="n">
        <f aca="false">F38</f>
        <v>1</v>
      </c>
      <c r="AV38" s="1" t="n">
        <f aca="false">F38</f>
        <v>1</v>
      </c>
      <c r="AW38" s="1" t="n">
        <f aca="false">F38</f>
        <v>1</v>
      </c>
      <c r="AX38" s="1" t="n">
        <f aca="false">B38</f>
        <v>3.24928295598391</v>
      </c>
      <c r="AY38" s="1" t="n">
        <f aca="false">B38</f>
        <v>3.24928295598391</v>
      </c>
      <c r="AZ38" s="1" t="n">
        <f aca="false">B38</f>
        <v>3.24928295598391</v>
      </c>
      <c r="BA38" s="1" t="n">
        <f aca="false">F38</f>
        <v>1</v>
      </c>
      <c r="BB38" s="1" t="n">
        <f aca="false">F38</f>
        <v>1</v>
      </c>
      <c r="BC38" s="1" t="n">
        <f aca="false">B38</f>
        <v>3.24928295598391</v>
      </c>
      <c r="BD38" s="1" t="n">
        <f aca="false">B38</f>
        <v>3.24928295598391</v>
      </c>
      <c r="BE38" s="1" t="n">
        <v>1</v>
      </c>
      <c r="BF38" s="1" t="n">
        <v>1</v>
      </c>
      <c r="BG38" s="1" t="n">
        <f aca="false">B38</f>
        <v>3.24928295598391</v>
      </c>
      <c r="BH38" s="1" t="n">
        <f aca="false">B38</f>
        <v>3.24928295598391</v>
      </c>
      <c r="BI38" s="1" t="n">
        <f aca="false">B38</f>
        <v>3.24928295598391</v>
      </c>
      <c r="BJ38" s="1" t="n">
        <f aca="false">B38</f>
        <v>3.24928295598391</v>
      </c>
      <c r="BK38" s="1" t="n">
        <v>1</v>
      </c>
    </row>
    <row r="39" customFormat="false" ht="12.75" hidden="false" customHeight="false" outlineLevel="0" collapsed="false">
      <c r="A39" s="1" t="n">
        <f aca="false">A38-1</f>
        <v>1988</v>
      </c>
      <c r="B39" s="1" t="n">
        <f aca="false">im!F39/im!E39</f>
        <v>3.45034228580865</v>
      </c>
      <c r="C39" s="1" t="n">
        <f aca="false">B39</f>
        <v>3.45034228580865</v>
      </c>
      <c r="D39" s="1" t="n">
        <f aca="false">B39</f>
        <v>3.45034228580865</v>
      </c>
      <c r="E39" s="1" t="n">
        <f aca="false">B39</f>
        <v>3.45034228580865</v>
      </c>
      <c r="F39" s="1" t="n">
        <v>1</v>
      </c>
      <c r="G39" s="1" t="n">
        <f aca="false">F39</f>
        <v>1</v>
      </c>
      <c r="H39" s="1" t="n">
        <f aca="false">F39</f>
        <v>1</v>
      </c>
      <c r="I39" s="1" t="n">
        <f aca="false">F39</f>
        <v>1</v>
      </c>
      <c r="J39" s="1" t="n">
        <v>1</v>
      </c>
      <c r="K39" s="1" t="n">
        <v>1</v>
      </c>
      <c r="L39" s="1" t="n">
        <f aca="false">B39</f>
        <v>3.45034228580865</v>
      </c>
      <c r="M39" s="1" t="n">
        <f aca="false">B39</f>
        <v>3.45034228580865</v>
      </c>
      <c r="N39" s="1" t="n">
        <f aca="false">B39</f>
        <v>3.45034228580865</v>
      </c>
      <c r="O39" s="1" t="n">
        <f aca="false">B39</f>
        <v>3.45034228580865</v>
      </c>
      <c r="P39" s="1" t="n">
        <f aca="false">B39</f>
        <v>3.45034228580865</v>
      </c>
      <c r="Q39" s="1" t="n">
        <f aca="false">F39</f>
        <v>1</v>
      </c>
      <c r="R39" s="1" t="n">
        <f aca="false">F39</f>
        <v>1</v>
      </c>
      <c r="S39" s="1" t="n">
        <f aca="false">F39</f>
        <v>1</v>
      </c>
      <c r="T39" s="1" t="n">
        <v>1</v>
      </c>
      <c r="U39" s="1" t="n">
        <v>1</v>
      </c>
      <c r="V39" s="1" t="n">
        <f aca="false">F39</f>
        <v>1</v>
      </c>
      <c r="W39" s="1" t="n">
        <f aca="false">F39</f>
        <v>1</v>
      </c>
      <c r="X39" s="1" t="n">
        <f aca="false">F39</f>
        <v>1</v>
      </c>
      <c r="Y39" s="1" t="n">
        <f aca="false">F39</f>
        <v>1</v>
      </c>
      <c r="Z39" s="1" t="n">
        <f aca="false">F39</f>
        <v>1</v>
      </c>
      <c r="AA39" s="1" t="n">
        <f aca="false">F39</f>
        <v>1</v>
      </c>
      <c r="AB39" s="1" t="n">
        <f aca="false">F39</f>
        <v>1</v>
      </c>
      <c r="AC39" s="1" t="n">
        <f aca="false">F39</f>
        <v>1</v>
      </c>
      <c r="AD39" s="1" t="n">
        <f aca="false">F39</f>
        <v>1</v>
      </c>
      <c r="AE39" s="1" t="n">
        <f aca="false">B39</f>
        <v>3.45034228580865</v>
      </c>
      <c r="AF39" s="1" t="n">
        <f aca="false">B39</f>
        <v>3.45034228580865</v>
      </c>
      <c r="AG39" s="1" t="n">
        <f aca="false">B39</f>
        <v>3.45034228580865</v>
      </c>
      <c r="AH39" s="1" t="n">
        <f aca="false">B39</f>
        <v>3.45034228580865</v>
      </c>
      <c r="AI39" s="1" t="n">
        <f aca="false">B39</f>
        <v>3.45034228580865</v>
      </c>
      <c r="AJ39" s="1" t="n">
        <f aca="false">B39</f>
        <v>3.45034228580865</v>
      </c>
      <c r="AK39" s="1" t="n">
        <f aca="false">B39</f>
        <v>3.45034228580865</v>
      </c>
      <c r="AL39" s="1" t="n">
        <f aca="false">B39</f>
        <v>3.45034228580865</v>
      </c>
      <c r="AM39" s="1" t="n">
        <f aca="false">B39</f>
        <v>3.45034228580865</v>
      </c>
      <c r="AN39" s="1" t="n">
        <f aca="false">F39</f>
        <v>1</v>
      </c>
      <c r="AO39" s="1" t="n">
        <f aca="false">F39</f>
        <v>1</v>
      </c>
      <c r="AP39" s="1" t="n">
        <f aca="false">F39</f>
        <v>1</v>
      </c>
      <c r="AQ39" s="1" t="n">
        <f aca="false">F39</f>
        <v>1</v>
      </c>
      <c r="AR39" s="1" t="n">
        <f aca="false">F39</f>
        <v>1</v>
      </c>
      <c r="AS39" s="1" t="n">
        <f aca="false">F39</f>
        <v>1</v>
      </c>
      <c r="AT39" s="1" t="n">
        <v>1</v>
      </c>
      <c r="AU39" s="1" t="n">
        <f aca="false">F39</f>
        <v>1</v>
      </c>
      <c r="AV39" s="1" t="n">
        <f aca="false">F39</f>
        <v>1</v>
      </c>
      <c r="AW39" s="1" t="n">
        <f aca="false">F39</f>
        <v>1</v>
      </c>
      <c r="AX39" s="1" t="n">
        <f aca="false">B39</f>
        <v>3.45034228580865</v>
      </c>
      <c r="AY39" s="1" t="n">
        <f aca="false">B39</f>
        <v>3.45034228580865</v>
      </c>
      <c r="AZ39" s="1" t="n">
        <f aca="false">B39</f>
        <v>3.45034228580865</v>
      </c>
      <c r="BA39" s="1" t="n">
        <f aca="false">F39</f>
        <v>1</v>
      </c>
      <c r="BB39" s="1" t="n">
        <f aca="false">F39</f>
        <v>1</v>
      </c>
      <c r="BC39" s="1" t="n">
        <f aca="false">B39</f>
        <v>3.45034228580865</v>
      </c>
      <c r="BD39" s="1" t="n">
        <f aca="false">B39</f>
        <v>3.45034228580865</v>
      </c>
      <c r="BE39" s="1" t="n">
        <v>1</v>
      </c>
      <c r="BF39" s="1" t="n">
        <v>1</v>
      </c>
      <c r="BG39" s="1" t="n">
        <f aca="false">B39</f>
        <v>3.45034228580865</v>
      </c>
      <c r="BH39" s="1" t="n">
        <f aca="false">B39</f>
        <v>3.45034228580865</v>
      </c>
      <c r="BI39" s="1" t="n">
        <f aca="false">B39</f>
        <v>3.45034228580865</v>
      </c>
      <c r="BJ39" s="1" t="n">
        <f aca="false">B39</f>
        <v>3.45034228580865</v>
      </c>
      <c r="BK39" s="1" t="n">
        <v>1</v>
      </c>
    </row>
    <row r="40" customFormat="false" ht="12.75" hidden="false" customHeight="false" outlineLevel="0" collapsed="false">
      <c r="A40" s="1" t="n">
        <f aca="false">A39-1</f>
        <v>1987</v>
      </c>
      <c r="B40" s="1" t="n">
        <f aca="false">im!F40/im!E40</f>
        <v>3.21998245197781</v>
      </c>
      <c r="C40" s="1" t="n">
        <f aca="false">B40</f>
        <v>3.21998245197781</v>
      </c>
      <c r="D40" s="1" t="n">
        <f aca="false">B40</f>
        <v>3.21998245197781</v>
      </c>
      <c r="E40" s="1" t="n">
        <f aca="false">B40</f>
        <v>3.21998245197781</v>
      </c>
      <c r="F40" s="1" t="n">
        <v>1</v>
      </c>
      <c r="G40" s="1" t="n">
        <f aca="false">F40</f>
        <v>1</v>
      </c>
      <c r="H40" s="1" t="n">
        <f aca="false">F40</f>
        <v>1</v>
      </c>
      <c r="I40" s="1" t="n">
        <f aca="false">F40</f>
        <v>1</v>
      </c>
      <c r="J40" s="1" t="n">
        <v>1</v>
      </c>
      <c r="K40" s="1" t="n">
        <v>1</v>
      </c>
      <c r="L40" s="1" t="n">
        <f aca="false">B40</f>
        <v>3.21998245197781</v>
      </c>
      <c r="M40" s="1" t="n">
        <f aca="false">B40</f>
        <v>3.21998245197781</v>
      </c>
      <c r="N40" s="1" t="n">
        <f aca="false">B40</f>
        <v>3.21998245197781</v>
      </c>
      <c r="O40" s="1" t="n">
        <f aca="false">B40</f>
        <v>3.21998245197781</v>
      </c>
      <c r="P40" s="1" t="n">
        <f aca="false">B40</f>
        <v>3.21998245197781</v>
      </c>
      <c r="Q40" s="1" t="n">
        <f aca="false">F40</f>
        <v>1</v>
      </c>
      <c r="R40" s="1" t="n">
        <f aca="false">F40</f>
        <v>1</v>
      </c>
      <c r="S40" s="1" t="n">
        <f aca="false">F40</f>
        <v>1</v>
      </c>
      <c r="T40" s="1" t="n">
        <v>1</v>
      </c>
      <c r="U40" s="1" t="n">
        <v>1</v>
      </c>
      <c r="V40" s="1" t="n">
        <f aca="false">F40</f>
        <v>1</v>
      </c>
      <c r="W40" s="1" t="n">
        <f aca="false">F40</f>
        <v>1</v>
      </c>
      <c r="X40" s="1" t="n">
        <f aca="false">F40</f>
        <v>1</v>
      </c>
      <c r="Y40" s="1" t="n">
        <f aca="false">F40</f>
        <v>1</v>
      </c>
      <c r="Z40" s="1" t="n">
        <f aca="false">F40</f>
        <v>1</v>
      </c>
      <c r="AA40" s="1" t="n">
        <f aca="false">F40</f>
        <v>1</v>
      </c>
      <c r="AB40" s="1" t="n">
        <f aca="false">F40</f>
        <v>1</v>
      </c>
      <c r="AC40" s="1" t="n">
        <f aca="false">F40</f>
        <v>1</v>
      </c>
      <c r="AD40" s="1" t="n">
        <f aca="false">F40</f>
        <v>1</v>
      </c>
      <c r="AE40" s="1" t="n">
        <f aca="false">B40</f>
        <v>3.21998245197781</v>
      </c>
      <c r="AF40" s="1" t="n">
        <f aca="false">B40</f>
        <v>3.21998245197781</v>
      </c>
      <c r="AG40" s="1" t="n">
        <f aca="false">B40</f>
        <v>3.21998245197781</v>
      </c>
      <c r="AH40" s="1" t="n">
        <f aca="false">B40</f>
        <v>3.21998245197781</v>
      </c>
      <c r="AI40" s="1" t="n">
        <f aca="false">B40</f>
        <v>3.21998245197781</v>
      </c>
      <c r="AJ40" s="1" t="n">
        <f aca="false">B40</f>
        <v>3.21998245197781</v>
      </c>
      <c r="AK40" s="1" t="n">
        <f aca="false">B40</f>
        <v>3.21998245197781</v>
      </c>
      <c r="AL40" s="1" t="n">
        <f aca="false">B40</f>
        <v>3.21998245197781</v>
      </c>
      <c r="AM40" s="1" t="n">
        <f aca="false">B40</f>
        <v>3.21998245197781</v>
      </c>
      <c r="AN40" s="1" t="n">
        <f aca="false">F40</f>
        <v>1</v>
      </c>
      <c r="AO40" s="1" t="n">
        <f aca="false">F40</f>
        <v>1</v>
      </c>
      <c r="AP40" s="1" t="n">
        <f aca="false">F40</f>
        <v>1</v>
      </c>
      <c r="AQ40" s="1" t="n">
        <f aca="false">F40</f>
        <v>1</v>
      </c>
      <c r="AR40" s="1" t="n">
        <f aca="false">F40</f>
        <v>1</v>
      </c>
      <c r="AS40" s="1" t="n">
        <f aca="false">F40</f>
        <v>1</v>
      </c>
      <c r="AT40" s="1" t="n">
        <v>1</v>
      </c>
      <c r="AU40" s="1" t="n">
        <f aca="false">F40</f>
        <v>1</v>
      </c>
      <c r="AV40" s="1" t="n">
        <f aca="false">F40</f>
        <v>1</v>
      </c>
      <c r="AW40" s="1" t="n">
        <f aca="false">F40</f>
        <v>1</v>
      </c>
      <c r="AX40" s="1" t="n">
        <f aca="false">B40</f>
        <v>3.21998245197781</v>
      </c>
      <c r="AY40" s="1" t="n">
        <f aca="false">B40</f>
        <v>3.21998245197781</v>
      </c>
      <c r="AZ40" s="1" t="n">
        <f aca="false">B40</f>
        <v>3.21998245197781</v>
      </c>
      <c r="BA40" s="1" t="n">
        <f aca="false">F40</f>
        <v>1</v>
      </c>
      <c r="BB40" s="1" t="n">
        <f aca="false">F40</f>
        <v>1</v>
      </c>
      <c r="BC40" s="1" t="n">
        <f aca="false">B40</f>
        <v>3.21998245197781</v>
      </c>
      <c r="BD40" s="1" t="n">
        <f aca="false">B40</f>
        <v>3.21998245197781</v>
      </c>
      <c r="BE40" s="1" t="n">
        <v>1</v>
      </c>
      <c r="BF40" s="1" t="n">
        <v>1</v>
      </c>
      <c r="BG40" s="1" t="n">
        <f aca="false">B40</f>
        <v>3.21998245197781</v>
      </c>
      <c r="BH40" s="1" t="n">
        <f aca="false">B40</f>
        <v>3.21998245197781</v>
      </c>
      <c r="BI40" s="1" t="n">
        <f aca="false">B40</f>
        <v>3.21998245197781</v>
      </c>
      <c r="BJ40" s="1" t="n">
        <f aca="false">B40</f>
        <v>3.21998245197781</v>
      </c>
      <c r="BK40" s="1" t="n">
        <v>1</v>
      </c>
    </row>
    <row r="41" customFormat="false" ht="12.75" hidden="false" customHeight="false" outlineLevel="0" collapsed="false">
      <c r="A41" s="1" t="n">
        <f aca="false">A40-1</f>
        <v>1986</v>
      </c>
      <c r="B41" s="1" t="n">
        <f aca="false">im!F41/im!E41</f>
        <v>3.1369427347244</v>
      </c>
      <c r="C41" s="1" t="n">
        <f aca="false">B41</f>
        <v>3.1369427347244</v>
      </c>
      <c r="D41" s="1" t="n">
        <f aca="false">B41</f>
        <v>3.1369427347244</v>
      </c>
      <c r="E41" s="1" t="n">
        <f aca="false">B41</f>
        <v>3.1369427347244</v>
      </c>
      <c r="F41" s="1" t="n">
        <v>1</v>
      </c>
      <c r="G41" s="1" t="n">
        <f aca="false">F41</f>
        <v>1</v>
      </c>
      <c r="H41" s="1" t="n">
        <f aca="false">F41</f>
        <v>1</v>
      </c>
      <c r="I41" s="1" t="n">
        <f aca="false">F41</f>
        <v>1</v>
      </c>
      <c r="J41" s="1" t="n">
        <v>1</v>
      </c>
      <c r="K41" s="1" t="n">
        <v>1</v>
      </c>
      <c r="L41" s="1" t="n">
        <f aca="false">B41</f>
        <v>3.1369427347244</v>
      </c>
      <c r="M41" s="1" t="n">
        <f aca="false">B41</f>
        <v>3.1369427347244</v>
      </c>
      <c r="N41" s="1" t="n">
        <f aca="false">B41</f>
        <v>3.1369427347244</v>
      </c>
      <c r="O41" s="1" t="n">
        <f aca="false">B41</f>
        <v>3.1369427347244</v>
      </c>
      <c r="P41" s="1" t="n">
        <f aca="false">B41</f>
        <v>3.1369427347244</v>
      </c>
      <c r="Q41" s="1" t="n">
        <f aca="false">F41</f>
        <v>1</v>
      </c>
      <c r="R41" s="1" t="n">
        <f aca="false">F41</f>
        <v>1</v>
      </c>
      <c r="S41" s="1" t="n">
        <f aca="false">F41</f>
        <v>1</v>
      </c>
      <c r="T41" s="1" t="n">
        <v>1</v>
      </c>
      <c r="U41" s="1" t="n">
        <v>1</v>
      </c>
      <c r="V41" s="1" t="n">
        <f aca="false">F41</f>
        <v>1</v>
      </c>
      <c r="W41" s="1" t="n">
        <f aca="false">F41</f>
        <v>1</v>
      </c>
      <c r="X41" s="1" t="n">
        <f aca="false">F41</f>
        <v>1</v>
      </c>
      <c r="Y41" s="1" t="n">
        <f aca="false">F41</f>
        <v>1</v>
      </c>
      <c r="Z41" s="1" t="n">
        <f aca="false">F41</f>
        <v>1</v>
      </c>
      <c r="AA41" s="1" t="n">
        <f aca="false">F41</f>
        <v>1</v>
      </c>
      <c r="AB41" s="1" t="n">
        <f aca="false">F41</f>
        <v>1</v>
      </c>
      <c r="AC41" s="1" t="n">
        <f aca="false">F41</f>
        <v>1</v>
      </c>
      <c r="AD41" s="1" t="n">
        <f aca="false">F41</f>
        <v>1</v>
      </c>
      <c r="AE41" s="1" t="n">
        <f aca="false">B41</f>
        <v>3.1369427347244</v>
      </c>
      <c r="AF41" s="1" t="n">
        <f aca="false">B41</f>
        <v>3.1369427347244</v>
      </c>
      <c r="AG41" s="1" t="n">
        <f aca="false">B41</f>
        <v>3.1369427347244</v>
      </c>
      <c r="AH41" s="1" t="n">
        <f aca="false">B41</f>
        <v>3.1369427347244</v>
      </c>
      <c r="AI41" s="1" t="n">
        <f aca="false">B41</f>
        <v>3.1369427347244</v>
      </c>
      <c r="AJ41" s="1" t="n">
        <f aca="false">B41</f>
        <v>3.1369427347244</v>
      </c>
      <c r="AK41" s="1" t="n">
        <f aca="false">B41</f>
        <v>3.1369427347244</v>
      </c>
      <c r="AL41" s="1" t="n">
        <f aca="false">B41</f>
        <v>3.1369427347244</v>
      </c>
      <c r="AM41" s="1" t="n">
        <f aca="false">B41</f>
        <v>3.1369427347244</v>
      </c>
      <c r="AN41" s="1" t="n">
        <f aca="false">F41</f>
        <v>1</v>
      </c>
      <c r="AO41" s="1" t="n">
        <f aca="false">F41</f>
        <v>1</v>
      </c>
      <c r="AP41" s="1" t="n">
        <f aca="false">F41</f>
        <v>1</v>
      </c>
      <c r="AQ41" s="1" t="n">
        <f aca="false">F41</f>
        <v>1</v>
      </c>
      <c r="AR41" s="1" t="n">
        <f aca="false">F41</f>
        <v>1</v>
      </c>
      <c r="AS41" s="1" t="n">
        <f aca="false">F41</f>
        <v>1</v>
      </c>
      <c r="AT41" s="1" t="n">
        <v>1</v>
      </c>
      <c r="AU41" s="1" t="n">
        <f aca="false">F41</f>
        <v>1</v>
      </c>
      <c r="AV41" s="1" t="n">
        <f aca="false">F41</f>
        <v>1</v>
      </c>
      <c r="AW41" s="1" t="n">
        <f aca="false">F41</f>
        <v>1</v>
      </c>
      <c r="AX41" s="1" t="n">
        <f aca="false">B41</f>
        <v>3.1369427347244</v>
      </c>
      <c r="AY41" s="1" t="n">
        <f aca="false">B41</f>
        <v>3.1369427347244</v>
      </c>
      <c r="AZ41" s="1" t="n">
        <f aca="false">B41</f>
        <v>3.1369427347244</v>
      </c>
      <c r="BA41" s="1" t="n">
        <f aca="false">F41</f>
        <v>1</v>
      </c>
      <c r="BB41" s="1" t="n">
        <f aca="false">F41</f>
        <v>1</v>
      </c>
      <c r="BC41" s="1" t="n">
        <f aca="false">B41</f>
        <v>3.1369427347244</v>
      </c>
      <c r="BD41" s="1" t="n">
        <f aca="false">B41</f>
        <v>3.1369427347244</v>
      </c>
      <c r="BE41" s="1" t="n">
        <v>1</v>
      </c>
      <c r="BF41" s="1" t="n">
        <v>1</v>
      </c>
      <c r="BG41" s="1" t="n">
        <f aca="false">B41</f>
        <v>3.1369427347244</v>
      </c>
      <c r="BH41" s="1" t="n">
        <f aca="false">B41</f>
        <v>3.1369427347244</v>
      </c>
      <c r="BI41" s="1" t="n">
        <f aca="false">B41</f>
        <v>3.1369427347244</v>
      </c>
      <c r="BJ41" s="1" t="n">
        <f aca="false">B41</f>
        <v>3.1369427347244</v>
      </c>
      <c r="BK41" s="1" t="n">
        <v>1</v>
      </c>
    </row>
    <row r="42" customFormat="false" ht="12.75" hidden="false" customHeight="false" outlineLevel="0" collapsed="false">
      <c r="A42" s="1" t="n">
        <f aca="false">A41-1</f>
        <v>1985</v>
      </c>
      <c r="B42" s="1" t="n">
        <f aca="false">im!F42/im!E42</f>
        <v>3.04862745681095</v>
      </c>
      <c r="C42" s="1" t="n">
        <f aca="false">B42</f>
        <v>3.04862745681095</v>
      </c>
      <c r="D42" s="1" t="n">
        <f aca="false">B42</f>
        <v>3.04862745681095</v>
      </c>
      <c r="E42" s="1" t="n">
        <f aca="false">B42</f>
        <v>3.04862745681095</v>
      </c>
      <c r="F42" s="1" t="n">
        <v>1</v>
      </c>
      <c r="G42" s="1" t="n">
        <f aca="false">F42</f>
        <v>1</v>
      </c>
      <c r="H42" s="1" t="n">
        <f aca="false">F42</f>
        <v>1</v>
      </c>
      <c r="I42" s="1" t="n">
        <f aca="false">F42</f>
        <v>1</v>
      </c>
      <c r="J42" s="1" t="n">
        <v>1</v>
      </c>
      <c r="K42" s="1" t="n">
        <v>1</v>
      </c>
      <c r="L42" s="1" t="n">
        <f aca="false">B42</f>
        <v>3.04862745681095</v>
      </c>
      <c r="M42" s="1" t="n">
        <f aca="false">B42</f>
        <v>3.04862745681095</v>
      </c>
      <c r="N42" s="1" t="n">
        <f aca="false">B42</f>
        <v>3.04862745681095</v>
      </c>
      <c r="O42" s="1" t="n">
        <f aca="false">B42</f>
        <v>3.04862745681095</v>
      </c>
      <c r="P42" s="1" t="n">
        <f aca="false">B42</f>
        <v>3.04862745681095</v>
      </c>
      <c r="Q42" s="1" t="n">
        <f aca="false">F42</f>
        <v>1</v>
      </c>
      <c r="R42" s="1" t="n">
        <f aca="false">F42</f>
        <v>1</v>
      </c>
      <c r="S42" s="1" t="n">
        <f aca="false">F42</f>
        <v>1</v>
      </c>
      <c r="T42" s="1" t="n">
        <v>1</v>
      </c>
      <c r="U42" s="1" t="n">
        <v>1</v>
      </c>
      <c r="V42" s="1" t="n">
        <f aca="false">F42</f>
        <v>1</v>
      </c>
      <c r="W42" s="1" t="n">
        <f aca="false">F42</f>
        <v>1</v>
      </c>
      <c r="X42" s="1" t="n">
        <f aca="false">F42</f>
        <v>1</v>
      </c>
      <c r="Y42" s="1" t="n">
        <f aca="false">F42</f>
        <v>1</v>
      </c>
      <c r="Z42" s="1" t="n">
        <f aca="false">F42</f>
        <v>1</v>
      </c>
      <c r="AA42" s="1" t="n">
        <f aca="false">F42</f>
        <v>1</v>
      </c>
      <c r="AB42" s="1" t="n">
        <f aca="false">F42</f>
        <v>1</v>
      </c>
      <c r="AC42" s="1" t="n">
        <f aca="false">F42</f>
        <v>1</v>
      </c>
      <c r="AD42" s="1" t="n">
        <f aca="false">F42</f>
        <v>1</v>
      </c>
      <c r="AE42" s="1" t="n">
        <f aca="false">B42</f>
        <v>3.04862745681095</v>
      </c>
      <c r="AF42" s="1" t="n">
        <f aca="false">B42</f>
        <v>3.04862745681095</v>
      </c>
      <c r="AG42" s="1" t="n">
        <f aca="false">B42</f>
        <v>3.04862745681095</v>
      </c>
      <c r="AH42" s="1" t="n">
        <f aca="false">B42</f>
        <v>3.04862745681095</v>
      </c>
      <c r="AI42" s="1" t="n">
        <f aca="false">B42</f>
        <v>3.04862745681095</v>
      </c>
      <c r="AJ42" s="1" t="n">
        <f aca="false">B42</f>
        <v>3.04862745681095</v>
      </c>
      <c r="AK42" s="1" t="n">
        <f aca="false">B42</f>
        <v>3.04862745681095</v>
      </c>
      <c r="AL42" s="1" t="n">
        <f aca="false">B42</f>
        <v>3.04862745681095</v>
      </c>
      <c r="AM42" s="1" t="n">
        <f aca="false">B42</f>
        <v>3.04862745681095</v>
      </c>
      <c r="AN42" s="1" t="n">
        <f aca="false">F42</f>
        <v>1</v>
      </c>
      <c r="AO42" s="1" t="n">
        <f aca="false">F42</f>
        <v>1</v>
      </c>
      <c r="AP42" s="1" t="n">
        <f aca="false">F42</f>
        <v>1</v>
      </c>
      <c r="AQ42" s="1" t="n">
        <f aca="false">F42</f>
        <v>1</v>
      </c>
      <c r="AR42" s="1" t="n">
        <f aca="false">F42</f>
        <v>1</v>
      </c>
      <c r="AS42" s="1" t="n">
        <f aca="false">F42</f>
        <v>1</v>
      </c>
      <c r="AT42" s="1" t="n">
        <v>1</v>
      </c>
      <c r="AU42" s="1" t="n">
        <f aca="false">F42</f>
        <v>1</v>
      </c>
      <c r="AV42" s="1" t="n">
        <f aca="false">F42</f>
        <v>1</v>
      </c>
      <c r="AW42" s="1" t="n">
        <f aca="false">F42</f>
        <v>1</v>
      </c>
      <c r="AX42" s="1" t="n">
        <f aca="false">B42</f>
        <v>3.04862745681095</v>
      </c>
      <c r="AY42" s="1" t="n">
        <f aca="false">B42</f>
        <v>3.04862745681095</v>
      </c>
      <c r="AZ42" s="1" t="n">
        <f aca="false">B42</f>
        <v>3.04862745681095</v>
      </c>
      <c r="BA42" s="1" t="n">
        <f aca="false">F42</f>
        <v>1</v>
      </c>
      <c r="BB42" s="1" t="n">
        <f aca="false">F42</f>
        <v>1</v>
      </c>
      <c r="BC42" s="1" t="n">
        <f aca="false">B42</f>
        <v>3.04862745681095</v>
      </c>
      <c r="BD42" s="1" t="n">
        <f aca="false">B42</f>
        <v>3.04862745681095</v>
      </c>
      <c r="BE42" s="1" t="n">
        <v>1</v>
      </c>
      <c r="BF42" s="1" t="n">
        <v>1</v>
      </c>
      <c r="BG42" s="1" t="n">
        <f aca="false">B42</f>
        <v>3.04862745681095</v>
      </c>
      <c r="BH42" s="1" t="n">
        <f aca="false">B42</f>
        <v>3.04862745681095</v>
      </c>
      <c r="BI42" s="1" t="n">
        <f aca="false">B42</f>
        <v>3.04862745681095</v>
      </c>
      <c r="BJ42" s="1" t="n">
        <f aca="false">B42</f>
        <v>3.04862745681095</v>
      </c>
      <c r="BK42" s="1" t="n">
        <v>1</v>
      </c>
    </row>
    <row r="43" customFormat="false" ht="12.75" hidden="false" customHeight="false" outlineLevel="0" collapsed="false">
      <c r="A43" s="1" t="n">
        <f aca="false">A42-1</f>
        <v>1984</v>
      </c>
      <c r="B43" s="1" t="n">
        <f aca="false">im!F43/im!E43</f>
        <v>3.02327499658274</v>
      </c>
      <c r="C43" s="1" t="n">
        <f aca="false">B43</f>
        <v>3.02327499658274</v>
      </c>
      <c r="D43" s="1" t="n">
        <f aca="false">B43</f>
        <v>3.02327499658274</v>
      </c>
      <c r="E43" s="1" t="n">
        <f aca="false">B43</f>
        <v>3.02327499658274</v>
      </c>
      <c r="F43" s="1" t="n">
        <v>1</v>
      </c>
      <c r="G43" s="1" t="n">
        <f aca="false">F43</f>
        <v>1</v>
      </c>
      <c r="H43" s="1" t="n">
        <f aca="false">F43</f>
        <v>1</v>
      </c>
      <c r="I43" s="1" t="n">
        <f aca="false">F43</f>
        <v>1</v>
      </c>
      <c r="J43" s="1" t="n">
        <v>1</v>
      </c>
      <c r="K43" s="1" t="n">
        <v>1</v>
      </c>
      <c r="L43" s="1" t="n">
        <f aca="false">B43</f>
        <v>3.02327499658274</v>
      </c>
      <c r="M43" s="1" t="n">
        <f aca="false">B43</f>
        <v>3.02327499658274</v>
      </c>
      <c r="N43" s="1" t="n">
        <f aca="false">B43</f>
        <v>3.02327499658274</v>
      </c>
      <c r="O43" s="1" t="n">
        <f aca="false">B43</f>
        <v>3.02327499658274</v>
      </c>
      <c r="P43" s="1" t="n">
        <f aca="false">B43</f>
        <v>3.02327499658274</v>
      </c>
      <c r="Q43" s="1" t="n">
        <f aca="false">F43</f>
        <v>1</v>
      </c>
      <c r="R43" s="1" t="n">
        <f aca="false">F43</f>
        <v>1</v>
      </c>
      <c r="S43" s="1" t="n">
        <f aca="false">F43</f>
        <v>1</v>
      </c>
      <c r="T43" s="1" t="n">
        <v>1</v>
      </c>
      <c r="U43" s="1" t="n">
        <v>1</v>
      </c>
      <c r="V43" s="1" t="n">
        <f aca="false">F43</f>
        <v>1</v>
      </c>
      <c r="W43" s="1" t="n">
        <f aca="false">F43</f>
        <v>1</v>
      </c>
      <c r="X43" s="1" t="n">
        <f aca="false">F43</f>
        <v>1</v>
      </c>
      <c r="Y43" s="1" t="n">
        <f aca="false">F43</f>
        <v>1</v>
      </c>
      <c r="Z43" s="1" t="n">
        <f aca="false">F43</f>
        <v>1</v>
      </c>
      <c r="AA43" s="1" t="n">
        <f aca="false">F43</f>
        <v>1</v>
      </c>
      <c r="AB43" s="1" t="n">
        <f aca="false">F43</f>
        <v>1</v>
      </c>
      <c r="AC43" s="1" t="n">
        <f aca="false">F43</f>
        <v>1</v>
      </c>
      <c r="AD43" s="1" t="n">
        <f aca="false">F43</f>
        <v>1</v>
      </c>
      <c r="AE43" s="1" t="n">
        <f aca="false">B43</f>
        <v>3.02327499658274</v>
      </c>
      <c r="AF43" s="1" t="n">
        <f aca="false">B43</f>
        <v>3.02327499658274</v>
      </c>
      <c r="AG43" s="1" t="n">
        <f aca="false">B43</f>
        <v>3.02327499658274</v>
      </c>
      <c r="AH43" s="1" t="n">
        <f aca="false">B43</f>
        <v>3.02327499658274</v>
      </c>
      <c r="AI43" s="1" t="n">
        <f aca="false">B43</f>
        <v>3.02327499658274</v>
      </c>
      <c r="AJ43" s="1" t="n">
        <f aca="false">B43</f>
        <v>3.02327499658274</v>
      </c>
      <c r="AK43" s="1" t="n">
        <f aca="false">B43</f>
        <v>3.02327499658274</v>
      </c>
      <c r="AL43" s="1" t="n">
        <f aca="false">B43</f>
        <v>3.02327499658274</v>
      </c>
      <c r="AM43" s="1" t="n">
        <f aca="false">B43</f>
        <v>3.02327499658274</v>
      </c>
      <c r="AN43" s="1" t="n">
        <f aca="false">F43</f>
        <v>1</v>
      </c>
      <c r="AO43" s="1" t="n">
        <f aca="false">F43</f>
        <v>1</v>
      </c>
      <c r="AP43" s="1" t="n">
        <f aca="false">F43</f>
        <v>1</v>
      </c>
      <c r="AQ43" s="1" t="n">
        <f aca="false">F43</f>
        <v>1</v>
      </c>
      <c r="AR43" s="1" t="n">
        <f aca="false">F43</f>
        <v>1</v>
      </c>
      <c r="AS43" s="1" t="n">
        <f aca="false">F43</f>
        <v>1</v>
      </c>
      <c r="AT43" s="1" t="n">
        <v>1</v>
      </c>
      <c r="AU43" s="1" t="n">
        <f aca="false">F43</f>
        <v>1</v>
      </c>
      <c r="AV43" s="1" t="n">
        <f aca="false">F43</f>
        <v>1</v>
      </c>
      <c r="AW43" s="1" t="n">
        <f aca="false">F43</f>
        <v>1</v>
      </c>
      <c r="AX43" s="1" t="n">
        <f aca="false">B43</f>
        <v>3.02327499658274</v>
      </c>
      <c r="AY43" s="1" t="n">
        <f aca="false">B43</f>
        <v>3.02327499658274</v>
      </c>
      <c r="AZ43" s="1" t="n">
        <f aca="false">B43</f>
        <v>3.02327499658274</v>
      </c>
      <c r="BA43" s="1" t="n">
        <f aca="false">F43</f>
        <v>1</v>
      </c>
      <c r="BB43" s="1" t="n">
        <f aca="false">F43</f>
        <v>1</v>
      </c>
      <c r="BC43" s="1" t="n">
        <f aca="false">B43</f>
        <v>3.02327499658274</v>
      </c>
      <c r="BD43" s="1" t="n">
        <f aca="false">B43</f>
        <v>3.02327499658274</v>
      </c>
      <c r="BE43" s="1" t="n">
        <v>1</v>
      </c>
      <c r="BF43" s="1" t="n">
        <v>1</v>
      </c>
      <c r="BG43" s="1" t="n">
        <f aca="false">B43</f>
        <v>3.02327499658274</v>
      </c>
      <c r="BH43" s="1" t="n">
        <f aca="false">B43</f>
        <v>3.02327499658274</v>
      </c>
      <c r="BI43" s="1" t="n">
        <f aca="false">B43</f>
        <v>3.02327499658274</v>
      </c>
      <c r="BJ43" s="1" t="n">
        <f aca="false">B43</f>
        <v>3.02327499658274</v>
      </c>
      <c r="BK43" s="1" t="n">
        <v>1</v>
      </c>
    </row>
    <row r="44" customFormat="false" ht="12.75" hidden="false" customHeight="false" outlineLevel="0" collapsed="false">
      <c r="A44" s="1" t="n">
        <f aca="false">A43-1</f>
        <v>1983</v>
      </c>
      <c r="B44" s="1" t="n">
        <f aca="false">im!F44/im!E44</f>
        <v>2.71046314925964</v>
      </c>
      <c r="C44" s="1" t="n">
        <f aca="false">B44</f>
        <v>2.71046314925964</v>
      </c>
      <c r="D44" s="1" t="n">
        <f aca="false">B44</f>
        <v>2.71046314925964</v>
      </c>
      <c r="E44" s="1" t="n">
        <f aca="false">B44</f>
        <v>2.71046314925964</v>
      </c>
      <c r="F44" s="1" t="n">
        <v>1</v>
      </c>
      <c r="G44" s="1" t="n">
        <f aca="false">F44</f>
        <v>1</v>
      </c>
      <c r="H44" s="1" t="n">
        <f aca="false">F44</f>
        <v>1</v>
      </c>
      <c r="I44" s="1" t="n">
        <f aca="false">F44</f>
        <v>1</v>
      </c>
      <c r="J44" s="1" t="n">
        <v>1</v>
      </c>
      <c r="K44" s="1" t="n">
        <v>1</v>
      </c>
      <c r="L44" s="1" t="n">
        <f aca="false">B44</f>
        <v>2.71046314925964</v>
      </c>
      <c r="M44" s="1" t="n">
        <f aca="false">B44</f>
        <v>2.71046314925964</v>
      </c>
      <c r="N44" s="1" t="n">
        <f aca="false">B44</f>
        <v>2.71046314925964</v>
      </c>
      <c r="O44" s="1" t="n">
        <f aca="false">B44</f>
        <v>2.71046314925964</v>
      </c>
      <c r="P44" s="1" t="n">
        <f aca="false">B44</f>
        <v>2.71046314925964</v>
      </c>
      <c r="Q44" s="1" t="n">
        <f aca="false">F44</f>
        <v>1</v>
      </c>
      <c r="R44" s="1" t="n">
        <f aca="false">F44</f>
        <v>1</v>
      </c>
      <c r="S44" s="1" t="n">
        <f aca="false">F44</f>
        <v>1</v>
      </c>
      <c r="T44" s="1" t="n">
        <v>1</v>
      </c>
      <c r="U44" s="1" t="n">
        <v>1</v>
      </c>
      <c r="V44" s="1" t="n">
        <f aca="false">F44</f>
        <v>1</v>
      </c>
      <c r="W44" s="1" t="n">
        <f aca="false">F44</f>
        <v>1</v>
      </c>
      <c r="X44" s="1" t="n">
        <f aca="false">F44</f>
        <v>1</v>
      </c>
      <c r="Y44" s="1" t="n">
        <f aca="false">F44</f>
        <v>1</v>
      </c>
      <c r="Z44" s="1" t="n">
        <f aca="false">F44</f>
        <v>1</v>
      </c>
      <c r="AA44" s="1" t="n">
        <f aca="false">F44</f>
        <v>1</v>
      </c>
      <c r="AB44" s="1" t="n">
        <f aca="false">F44</f>
        <v>1</v>
      </c>
      <c r="AC44" s="1" t="n">
        <f aca="false">F44</f>
        <v>1</v>
      </c>
      <c r="AD44" s="1" t="n">
        <f aca="false">F44</f>
        <v>1</v>
      </c>
      <c r="AE44" s="1" t="n">
        <f aca="false">B44</f>
        <v>2.71046314925964</v>
      </c>
      <c r="AF44" s="1" t="n">
        <f aca="false">B44</f>
        <v>2.71046314925964</v>
      </c>
      <c r="AG44" s="1" t="n">
        <f aca="false">B44</f>
        <v>2.71046314925964</v>
      </c>
      <c r="AH44" s="1" t="n">
        <f aca="false">B44</f>
        <v>2.71046314925964</v>
      </c>
      <c r="AI44" s="1" t="n">
        <f aca="false">B44</f>
        <v>2.71046314925964</v>
      </c>
      <c r="AJ44" s="1" t="n">
        <f aca="false">B44</f>
        <v>2.71046314925964</v>
      </c>
      <c r="AK44" s="1" t="n">
        <f aca="false">B44</f>
        <v>2.71046314925964</v>
      </c>
      <c r="AL44" s="1" t="n">
        <f aca="false">B44</f>
        <v>2.71046314925964</v>
      </c>
      <c r="AM44" s="1" t="n">
        <f aca="false">B44</f>
        <v>2.71046314925964</v>
      </c>
      <c r="AN44" s="1" t="n">
        <f aca="false">F44</f>
        <v>1</v>
      </c>
      <c r="AO44" s="1" t="n">
        <f aca="false">F44</f>
        <v>1</v>
      </c>
      <c r="AP44" s="1" t="n">
        <f aca="false">F44</f>
        <v>1</v>
      </c>
      <c r="AQ44" s="1" t="n">
        <f aca="false">F44</f>
        <v>1</v>
      </c>
      <c r="AR44" s="1" t="n">
        <f aca="false">F44</f>
        <v>1</v>
      </c>
      <c r="AS44" s="1" t="n">
        <f aca="false">F44</f>
        <v>1</v>
      </c>
      <c r="AT44" s="1" t="n">
        <v>1</v>
      </c>
      <c r="AU44" s="1" t="n">
        <f aca="false">F44</f>
        <v>1</v>
      </c>
      <c r="AV44" s="1" t="n">
        <f aca="false">F44</f>
        <v>1</v>
      </c>
      <c r="AW44" s="1" t="n">
        <f aca="false">F44</f>
        <v>1</v>
      </c>
      <c r="AX44" s="1" t="n">
        <f aca="false">B44</f>
        <v>2.71046314925964</v>
      </c>
      <c r="AY44" s="1" t="n">
        <f aca="false">B44</f>
        <v>2.71046314925964</v>
      </c>
      <c r="AZ44" s="1" t="n">
        <f aca="false">B44</f>
        <v>2.71046314925964</v>
      </c>
      <c r="BA44" s="1" t="n">
        <f aca="false">F44</f>
        <v>1</v>
      </c>
      <c r="BB44" s="1" t="n">
        <f aca="false">F44</f>
        <v>1</v>
      </c>
      <c r="BC44" s="1" t="n">
        <f aca="false">B44</f>
        <v>2.71046314925964</v>
      </c>
      <c r="BD44" s="1" t="n">
        <f aca="false">B44</f>
        <v>2.71046314925964</v>
      </c>
      <c r="BE44" s="1" t="n">
        <v>1</v>
      </c>
      <c r="BF44" s="1" t="n">
        <v>1</v>
      </c>
      <c r="BG44" s="1" t="n">
        <f aca="false">B44</f>
        <v>2.71046314925964</v>
      </c>
      <c r="BH44" s="1" t="n">
        <f aca="false">B44</f>
        <v>2.71046314925964</v>
      </c>
      <c r="BI44" s="1" t="n">
        <f aca="false">B44</f>
        <v>2.71046314925964</v>
      </c>
      <c r="BJ44" s="1" t="n">
        <f aca="false">B44</f>
        <v>2.71046314925964</v>
      </c>
      <c r="BK44" s="1" t="n">
        <v>1</v>
      </c>
    </row>
    <row r="45" customFormat="false" ht="12.75" hidden="false" customHeight="false" outlineLevel="0" collapsed="false">
      <c r="A45" s="1" t="n">
        <f aca="false">A44-1</f>
        <v>1982</v>
      </c>
      <c r="B45" s="1" t="n">
        <f aca="false">im!F45/im!E45</f>
        <v>3.1147266813326</v>
      </c>
      <c r="C45" s="1" t="n">
        <f aca="false">B45</f>
        <v>3.1147266813326</v>
      </c>
      <c r="D45" s="1" t="n">
        <f aca="false">B45</f>
        <v>3.1147266813326</v>
      </c>
      <c r="E45" s="1" t="n">
        <f aca="false">B45</f>
        <v>3.1147266813326</v>
      </c>
      <c r="F45" s="1" t="n">
        <v>1</v>
      </c>
      <c r="G45" s="1" t="n">
        <f aca="false">F45</f>
        <v>1</v>
      </c>
      <c r="H45" s="1" t="n">
        <f aca="false">F45</f>
        <v>1</v>
      </c>
      <c r="I45" s="1" t="n">
        <f aca="false">F45</f>
        <v>1</v>
      </c>
      <c r="J45" s="1" t="n">
        <v>1</v>
      </c>
      <c r="K45" s="1" t="n">
        <v>1</v>
      </c>
      <c r="L45" s="1" t="n">
        <f aca="false">B45</f>
        <v>3.1147266813326</v>
      </c>
      <c r="M45" s="1" t="n">
        <f aca="false">B45</f>
        <v>3.1147266813326</v>
      </c>
      <c r="N45" s="1" t="n">
        <f aca="false">B45</f>
        <v>3.1147266813326</v>
      </c>
      <c r="O45" s="1" t="n">
        <f aca="false">B45</f>
        <v>3.1147266813326</v>
      </c>
      <c r="P45" s="1" t="n">
        <f aca="false">B45</f>
        <v>3.1147266813326</v>
      </c>
      <c r="Q45" s="1" t="n">
        <f aca="false">F45</f>
        <v>1</v>
      </c>
      <c r="R45" s="1" t="n">
        <f aca="false">F45</f>
        <v>1</v>
      </c>
      <c r="S45" s="1" t="n">
        <f aca="false">F45</f>
        <v>1</v>
      </c>
      <c r="T45" s="1" t="n">
        <v>1</v>
      </c>
      <c r="U45" s="1" t="n">
        <v>1</v>
      </c>
      <c r="V45" s="1" t="n">
        <f aca="false">F45</f>
        <v>1</v>
      </c>
      <c r="W45" s="1" t="n">
        <f aca="false">F45</f>
        <v>1</v>
      </c>
      <c r="X45" s="1" t="n">
        <f aca="false">F45</f>
        <v>1</v>
      </c>
      <c r="Y45" s="1" t="n">
        <f aca="false">F45</f>
        <v>1</v>
      </c>
      <c r="Z45" s="1" t="n">
        <f aca="false">F45</f>
        <v>1</v>
      </c>
      <c r="AA45" s="1" t="n">
        <f aca="false">F45</f>
        <v>1</v>
      </c>
      <c r="AB45" s="1" t="n">
        <f aca="false">F45</f>
        <v>1</v>
      </c>
      <c r="AC45" s="1" t="n">
        <f aca="false">F45</f>
        <v>1</v>
      </c>
      <c r="AD45" s="1" t="n">
        <f aca="false">F45</f>
        <v>1</v>
      </c>
      <c r="AE45" s="1" t="n">
        <f aca="false">B45</f>
        <v>3.1147266813326</v>
      </c>
      <c r="AF45" s="1" t="n">
        <f aca="false">B45</f>
        <v>3.1147266813326</v>
      </c>
      <c r="AG45" s="1" t="n">
        <f aca="false">B45</f>
        <v>3.1147266813326</v>
      </c>
      <c r="AH45" s="1" t="n">
        <f aca="false">B45</f>
        <v>3.1147266813326</v>
      </c>
      <c r="AI45" s="1" t="n">
        <f aca="false">B45</f>
        <v>3.1147266813326</v>
      </c>
      <c r="AJ45" s="1" t="n">
        <f aca="false">B45</f>
        <v>3.1147266813326</v>
      </c>
      <c r="AK45" s="1" t="n">
        <f aca="false">B45</f>
        <v>3.1147266813326</v>
      </c>
      <c r="AL45" s="1" t="n">
        <f aca="false">B45</f>
        <v>3.1147266813326</v>
      </c>
      <c r="AM45" s="1" t="n">
        <f aca="false">B45</f>
        <v>3.1147266813326</v>
      </c>
      <c r="AN45" s="1" t="n">
        <f aca="false">F45</f>
        <v>1</v>
      </c>
      <c r="AO45" s="1" t="n">
        <f aca="false">F45</f>
        <v>1</v>
      </c>
      <c r="AP45" s="1" t="n">
        <f aca="false">F45</f>
        <v>1</v>
      </c>
      <c r="AQ45" s="1" t="n">
        <f aca="false">F45</f>
        <v>1</v>
      </c>
      <c r="AR45" s="1" t="n">
        <f aca="false">F45</f>
        <v>1</v>
      </c>
      <c r="AS45" s="1" t="n">
        <f aca="false">F45</f>
        <v>1</v>
      </c>
      <c r="AT45" s="1" t="n">
        <v>1</v>
      </c>
      <c r="AU45" s="1" t="n">
        <f aca="false">F45</f>
        <v>1</v>
      </c>
      <c r="AV45" s="1" t="n">
        <f aca="false">F45</f>
        <v>1</v>
      </c>
      <c r="AW45" s="1" t="n">
        <f aca="false">F45</f>
        <v>1</v>
      </c>
      <c r="AX45" s="1" t="n">
        <f aca="false">B45</f>
        <v>3.1147266813326</v>
      </c>
      <c r="AY45" s="1" t="n">
        <f aca="false">B45</f>
        <v>3.1147266813326</v>
      </c>
      <c r="AZ45" s="1" t="n">
        <f aca="false">B45</f>
        <v>3.1147266813326</v>
      </c>
      <c r="BA45" s="1" t="n">
        <f aca="false">F45</f>
        <v>1</v>
      </c>
      <c r="BB45" s="1" t="n">
        <f aca="false">F45</f>
        <v>1</v>
      </c>
      <c r="BC45" s="1" t="n">
        <f aca="false">B45</f>
        <v>3.1147266813326</v>
      </c>
      <c r="BD45" s="1" t="n">
        <f aca="false">B45</f>
        <v>3.1147266813326</v>
      </c>
      <c r="BE45" s="1" t="n">
        <v>1</v>
      </c>
      <c r="BF45" s="1" t="n">
        <v>1</v>
      </c>
      <c r="BG45" s="1" t="n">
        <f aca="false">B45</f>
        <v>3.1147266813326</v>
      </c>
      <c r="BH45" s="1" t="n">
        <f aca="false">B45</f>
        <v>3.1147266813326</v>
      </c>
      <c r="BI45" s="1" t="n">
        <f aca="false">B45</f>
        <v>3.1147266813326</v>
      </c>
      <c r="BJ45" s="1" t="n">
        <f aca="false">B45</f>
        <v>3.1147266813326</v>
      </c>
      <c r="BK45" s="1" t="n">
        <v>1</v>
      </c>
    </row>
    <row r="46" customFormat="false" ht="12.75" hidden="false" customHeight="false" outlineLevel="0" collapsed="false">
      <c r="A46" s="1" t="n">
        <f aca="false">A45-1</f>
        <v>1981</v>
      </c>
      <c r="B46" s="1" t="n">
        <f aca="false">im!F46/im!E46</f>
        <v>2.90909657027693</v>
      </c>
      <c r="C46" s="1" t="n">
        <f aca="false">B46</f>
        <v>2.90909657027693</v>
      </c>
      <c r="D46" s="1" t="n">
        <f aca="false">B46</f>
        <v>2.90909657027693</v>
      </c>
      <c r="E46" s="1" t="n">
        <f aca="false">B46</f>
        <v>2.90909657027693</v>
      </c>
      <c r="F46" s="1" t="n">
        <v>1</v>
      </c>
      <c r="G46" s="1" t="n">
        <f aca="false">F46</f>
        <v>1</v>
      </c>
      <c r="H46" s="1" t="n">
        <f aca="false">F46</f>
        <v>1</v>
      </c>
      <c r="I46" s="1" t="n">
        <f aca="false">F46</f>
        <v>1</v>
      </c>
      <c r="J46" s="1" t="n">
        <v>1</v>
      </c>
      <c r="K46" s="1" t="n">
        <v>1</v>
      </c>
      <c r="L46" s="1" t="n">
        <f aca="false">B46</f>
        <v>2.90909657027693</v>
      </c>
      <c r="M46" s="1" t="n">
        <f aca="false">B46</f>
        <v>2.90909657027693</v>
      </c>
      <c r="N46" s="1" t="n">
        <f aca="false">B46</f>
        <v>2.90909657027693</v>
      </c>
      <c r="O46" s="1" t="n">
        <f aca="false">B46</f>
        <v>2.90909657027693</v>
      </c>
      <c r="P46" s="1" t="n">
        <f aca="false">B46</f>
        <v>2.90909657027693</v>
      </c>
      <c r="Q46" s="1" t="n">
        <f aca="false">F46</f>
        <v>1</v>
      </c>
      <c r="R46" s="1" t="n">
        <f aca="false">F46</f>
        <v>1</v>
      </c>
      <c r="S46" s="1" t="n">
        <f aca="false">F46</f>
        <v>1</v>
      </c>
      <c r="T46" s="1" t="n">
        <v>1</v>
      </c>
      <c r="U46" s="1" t="n">
        <v>1</v>
      </c>
      <c r="V46" s="1" t="n">
        <f aca="false">F46</f>
        <v>1</v>
      </c>
      <c r="W46" s="1" t="n">
        <f aca="false">F46</f>
        <v>1</v>
      </c>
      <c r="X46" s="1" t="n">
        <f aca="false">F46</f>
        <v>1</v>
      </c>
      <c r="Y46" s="1" t="n">
        <f aca="false">F46</f>
        <v>1</v>
      </c>
      <c r="Z46" s="1" t="n">
        <f aca="false">F46</f>
        <v>1</v>
      </c>
      <c r="AA46" s="1" t="n">
        <f aca="false">F46</f>
        <v>1</v>
      </c>
      <c r="AB46" s="1" t="n">
        <f aca="false">F46</f>
        <v>1</v>
      </c>
      <c r="AC46" s="1" t="n">
        <f aca="false">F46</f>
        <v>1</v>
      </c>
      <c r="AD46" s="1" t="n">
        <f aca="false">F46</f>
        <v>1</v>
      </c>
      <c r="AE46" s="1" t="n">
        <f aca="false">B46</f>
        <v>2.90909657027693</v>
      </c>
      <c r="AF46" s="1" t="n">
        <f aca="false">B46</f>
        <v>2.90909657027693</v>
      </c>
      <c r="AG46" s="1" t="n">
        <f aca="false">B46</f>
        <v>2.90909657027693</v>
      </c>
      <c r="AH46" s="1" t="n">
        <f aca="false">B46</f>
        <v>2.90909657027693</v>
      </c>
      <c r="AI46" s="1" t="n">
        <f aca="false">B46</f>
        <v>2.90909657027693</v>
      </c>
      <c r="AJ46" s="1" t="n">
        <f aca="false">B46</f>
        <v>2.90909657027693</v>
      </c>
      <c r="AK46" s="1" t="n">
        <f aca="false">B46</f>
        <v>2.90909657027693</v>
      </c>
      <c r="AL46" s="1" t="n">
        <f aca="false">B46</f>
        <v>2.90909657027693</v>
      </c>
      <c r="AM46" s="1" t="n">
        <f aca="false">B46</f>
        <v>2.90909657027693</v>
      </c>
      <c r="AN46" s="1" t="n">
        <f aca="false">F46</f>
        <v>1</v>
      </c>
      <c r="AO46" s="1" t="n">
        <f aca="false">F46</f>
        <v>1</v>
      </c>
      <c r="AP46" s="1" t="n">
        <f aca="false">F46</f>
        <v>1</v>
      </c>
      <c r="AQ46" s="1" t="n">
        <f aca="false">F46</f>
        <v>1</v>
      </c>
      <c r="AR46" s="1" t="n">
        <f aca="false">F46</f>
        <v>1</v>
      </c>
      <c r="AS46" s="1" t="n">
        <f aca="false">F46</f>
        <v>1</v>
      </c>
      <c r="AT46" s="1" t="n">
        <v>1</v>
      </c>
      <c r="AU46" s="1" t="n">
        <f aca="false">F46</f>
        <v>1</v>
      </c>
      <c r="AV46" s="1" t="n">
        <f aca="false">F46</f>
        <v>1</v>
      </c>
      <c r="AW46" s="1" t="n">
        <f aca="false">F46</f>
        <v>1</v>
      </c>
      <c r="AX46" s="1" t="n">
        <f aca="false">B46</f>
        <v>2.90909657027693</v>
      </c>
      <c r="AY46" s="1" t="n">
        <f aca="false">B46</f>
        <v>2.90909657027693</v>
      </c>
      <c r="AZ46" s="1" t="n">
        <f aca="false">B46</f>
        <v>2.90909657027693</v>
      </c>
      <c r="BA46" s="1" t="n">
        <f aca="false">F46</f>
        <v>1</v>
      </c>
      <c r="BB46" s="1" t="n">
        <f aca="false">F46</f>
        <v>1</v>
      </c>
      <c r="BC46" s="1" t="n">
        <f aca="false">B46</f>
        <v>2.90909657027693</v>
      </c>
      <c r="BD46" s="1" t="n">
        <f aca="false">B46</f>
        <v>2.90909657027693</v>
      </c>
      <c r="BE46" s="1" t="n">
        <v>1</v>
      </c>
      <c r="BF46" s="1" t="n">
        <v>1</v>
      </c>
      <c r="BG46" s="1" t="n">
        <f aca="false">B46</f>
        <v>2.90909657027693</v>
      </c>
      <c r="BH46" s="1" t="n">
        <f aca="false">B46</f>
        <v>2.90909657027693</v>
      </c>
      <c r="BI46" s="1" t="n">
        <f aca="false">B46</f>
        <v>2.90909657027693</v>
      </c>
      <c r="BJ46" s="1" t="n">
        <f aca="false">B46</f>
        <v>2.90909657027693</v>
      </c>
      <c r="BK46" s="1" t="n">
        <v>1</v>
      </c>
    </row>
    <row r="47" customFormat="false" ht="12.75" hidden="false" customHeight="false" outlineLevel="0" collapsed="false">
      <c r="A47" s="1" t="n">
        <f aca="false">A46-1</f>
        <v>1980</v>
      </c>
      <c r="B47" s="1" t="n">
        <f aca="false">im!F47/im!E47</f>
        <v>2.89523843400977</v>
      </c>
      <c r="C47" s="1" t="n">
        <f aca="false">B47</f>
        <v>2.89523843400977</v>
      </c>
      <c r="D47" s="1" t="n">
        <f aca="false">B47</f>
        <v>2.89523843400977</v>
      </c>
      <c r="E47" s="1" t="n">
        <f aca="false">B47</f>
        <v>2.89523843400977</v>
      </c>
      <c r="F47" s="1" t="n">
        <v>1</v>
      </c>
      <c r="G47" s="1" t="n">
        <f aca="false">F47</f>
        <v>1</v>
      </c>
      <c r="H47" s="1" t="n">
        <f aca="false">F47</f>
        <v>1</v>
      </c>
      <c r="I47" s="1" t="n">
        <f aca="false">F47</f>
        <v>1</v>
      </c>
      <c r="J47" s="1" t="n">
        <v>1</v>
      </c>
      <c r="K47" s="1" t="n">
        <v>1</v>
      </c>
      <c r="L47" s="1" t="n">
        <f aca="false">B47</f>
        <v>2.89523843400977</v>
      </c>
      <c r="M47" s="1" t="n">
        <f aca="false">B47</f>
        <v>2.89523843400977</v>
      </c>
      <c r="N47" s="1" t="n">
        <f aca="false">B47</f>
        <v>2.89523843400977</v>
      </c>
      <c r="O47" s="1" t="n">
        <f aca="false">B47</f>
        <v>2.89523843400977</v>
      </c>
      <c r="P47" s="1" t="n">
        <f aca="false">B47</f>
        <v>2.89523843400977</v>
      </c>
      <c r="Q47" s="1" t="n">
        <f aca="false">F47</f>
        <v>1</v>
      </c>
      <c r="R47" s="1" t="n">
        <f aca="false">F47</f>
        <v>1</v>
      </c>
      <c r="S47" s="1" t="n">
        <f aca="false">F47</f>
        <v>1</v>
      </c>
      <c r="T47" s="1" t="n">
        <v>1</v>
      </c>
      <c r="U47" s="1" t="n">
        <v>1</v>
      </c>
      <c r="V47" s="1" t="n">
        <f aca="false">F47</f>
        <v>1</v>
      </c>
      <c r="W47" s="1" t="n">
        <f aca="false">F47</f>
        <v>1</v>
      </c>
      <c r="X47" s="1" t="n">
        <f aca="false">F47</f>
        <v>1</v>
      </c>
      <c r="Y47" s="1" t="n">
        <f aca="false">F47</f>
        <v>1</v>
      </c>
      <c r="Z47" s="1" t="n">
        <f aca="false">F47</f>
        <v>1</v>
      </c>
      <c r="AA47" s="1" t="n">
        <f aca="false">F47</f>
        <v>1</v>
      </c>
      <c r="AB47" s="1" t="n">
        <f aca="false">F47</f>
        <v>1</v>
      </c>
      <c r="AC47" s="1" t="n">
        <f aca="false">F47</f>
        <v>1</v>
      </c>
      <c r="AD47" s="1" t="n">
        <f aca="false">F47</f>
        <v>1</v>
      </c>
      <c r="AE47" s="1" t="n">
        <f aca="false">B47</f>
        <v>2.89523843400977</v>
      </c>
      <c r="AF47" s="1" t="n">
        <f aca="false">B47</f>
        <v>2.89523843400977</v>
      </c>
      <c r="AG47" s="1" t="n">
        <f aca="false">B47</f>
        <v>2.89523843400977</v>
      </c>
      <c r="AH47" s="1" t="n">
        <f aca="false">B47</f>
        <v>2.89523843400977</v>
      </c>
      <c r="AI47" s="1" t="n">
        <f aca="false">B47</f>
        <v>2.89523843400977</v>
      </c>
      <c r="AJ47" s="1" t="n">
        <f aca="false">B47</f>
        <v>2.89523843400977</v>
      </c>
      <c r="AK47" s="1" t="n">
        <f aca="false">B47</f>
        <v>2.89523843400977</v>
      </c>
      <c r="AL47" s="1" t="n">
        <f aca="false">B47</f>
        <v>2.89523843400977</v>
      </c>
      <c r="AM47" s="1" t="n">
        <f aca="false">B47</f>
        <v>2.89523843400977</v>
      </c>
      <c r="AN47" s="1" t="n">
        <f aca="false">F47</f>
        <v>1</v>
      </c>
      <c r="AO47" s="1" t="n">
        <f aca="false">F47</f>
        <v>1</v>
      </c>
      <c r="AP47" s="1" t="n">
        <f aca="false">F47</f>
        <v>1</v>
      </c>
      <c r="AQ47" s="1" t="n">
        <f aca="false">F47</f>
        <v>1</v>
      </c>
      <c r="AR47" s="1" t="n">
        <f aca="false">F47</f>
        <v>1</v>
      </c>
      <c r="AS47" s="1" t="n">
        <f aca="false">F47</f>
        <v>1</v>
      </c>
      <c r="AT47" s="1" t="n">
        <v>1</v>
      </c>
      <c r="AU47" s="1" t="n">
        <f aca="false">F47</f>
        <v>1</v>
      </c>
      <c r="AV47" s="1" t="n">
        <f aca="false">F47</f>
        <v>1</v>
      </c>
      <c r="AW47" s="1" t="n">
        <f aca="false">F47</f>
        <v>1</v>
      </c>
      <c r="AX47" s="1" t="n">
        <f aca="false">B47</f>
        <v>2.89523843400977</v>
      </c>
      <c r="AY47" s="1" t="n">
        <f aca="false">B47</f>
        <v>2.89523843400977</v>
      </c>
      <c r="AZ47" s="1" t="n">
        <f aca="false">B47</f>
        <v>2.89523843400977</v>
      </c>
      <c r="BA47" s="1" t="n">
        <f aca="false">F47</f>
        <v>1</v>
      </c>
      <c r="BB47" s="1" t="n">
        <f aca="false">F47</f>
        <v>1</v>
      </c>
      <c r="BC47" s="1" t="n">
        <f aca="false">B47</f>
        <v>2.89523843400977</v>
      </c>
      <c r="BD47" s="1" t="n">
        <f aca="false">B47</f>
        <v>2.89523843400977</v>
      </c>
      <c r="BE47" s="1" t="n">
        <v>1</v>
      </c>
      <c r="BF47" s="1" t="n">
        <v>1</v>
      </c>
      <c r="BG47" s="1" t="n">
        <f aca="false">B47</f>
        <v>2.89523843400977</v>
      </c>
      <c r="BH47" s="1" t="n">
        <f aca="false">B47</f>
        <v>2.89523843400977</v>
      </c>
      <c r="BI47" s="1" t="n">
        <f aca="false">B47</f>
        <v>2.89523843400977</v>
      </c>
      <c r="BJ47" s="1" t="n">
        <f aca="false">B47</f>
        <v>2.89523843400977</v>
      </c>
      <c r="BK47" s="1" t="n">
        <v>1</v>
      </c>
    </row>
    <row r="48" customFormat="false" ht="12.75" hidden="false" customHeight="false" outlineLevel="0" collapsed="false">
      <c r="A48" s="1" t="n">
        <f aca="false">A47-1</f>
        <v>1979</v>
      </c>
      <c r="B48" s="1" t="n">
        <f aca="false">im!F48/im!E48</f>
        <v>2.8239712964263</v>
      </c>
      <c r="C48" s="1" t="n">
        <f aca="false">B48</f>
        <v>2.8239712964263</v>
      </c>
      <c r="D48" s="1" t="n">
        <f aca="false">B48</f>
        <v>2.8239712964263</v>
      </c>
      <c r="E48" s="1" t="n">
        <f aca="false">B48</f>
        <v>2.8239712964263</v>
      </c>
      <c r="F48" s="1" t="n">
        <v>1</v>
      </c>
      <c r="G48" s="1" t="n">
        <f aca="false">F48</f>
        <v>1</v>
      </c>
      <c r="H48" s="1" t="n">
        <f aca="false">F48</f>
        <v>1</v>
      </c>
      <c r="I48" s="1" t="n">
        <f aca="false">F48</f>
        <v>1</v>
      </c>
      <c r="J48" s="1" t="n">
        <v>1</v>
      </c>
      <c r="K48" s="1" t="n">
        <v>1</v>
      </c>
      <c r="L48" s="1" t="n">
        <f aca="false">B48</f>
        <v>2.8239712964263</v>
      </c>
      <c r="M48" s="1" t="n">
        <f aca="false">B48</f>
        <v>2.8239712964263</v>
      </c>
      <c r="N48" s="1" t="n">
        <f aca="false">B48</f>
        <v>2.8239712964263</v>
      </c>
      <c r="O48" s="1" t="n">
        <f aca="false">B48</f>
        <v>2.8239712964263</v>
      </c>
      <c r="P48" s="1" t="n">
        <f aca="false">B48</f>
        <v>2.8239712964263</v>
      </c>
      <c r="Q48" s="1" t="n">
        <f aca="false">F48</f>
        <v>1</v>
      </c>
      <c r="R48" s="1" t="n">
        <f aca="false">F48</f>
        <v>1</v>
      </c>
      <c r="S48" s="1" t="n">
        <f aca="false">F48</f>
        <v>1</v>
      </c>
      <c r="T48" s="1" t="n">
        <v>1</v>
      </c>
      <c r="U48" s="1" t="n">
        <v>1</v>
      </c>
      <c r="V48" s="1" t="n">
        <f aca="false">F48</f>
        <v>1</v>
      </c>
      <c r="W48" s="1" t="n">
        <f aca="false">F48</f>
        <v>1</v>
      </c>
      <c r="X48" s="1" t="n">
        <f aca="false">F48</f>
        <v>1</v>
      </c>
      <c r="Y48" s="1" t="n">
        <f aca="false">F48</f>
        <v>1</v>
      </c>
      <c r="Z48" s="1" t="n">
        <f aca="false">F48</f>
        <v>1</v>
      </c>
      <c r="AA48" s="1" t="n">
        <f aca="false">F48</f>
        <v>1</v>
      </c>
      <c r="AB48" s="1" t="n">
        <f aca="false">F48</f>
        <v>1</v>
      </c>
      <c r="AC48" s="1" t="n">
        <f aca="false">F48</f>
        <v>1</v>
      </c>
      <c r="AD48" s="1" t="n">
        <f aca="false">F48</f>
        <v>1</v>
      </c>
      <c r="AE48" s="1" t="n">
        <f aca="false">B48</f>
        <v>2.8239712964263</v>
      </c>
      <c r="AF48" s="1" t="n">
        <f aca="false">B48</f>
        <v>2.8239712964263</v>
      </c>
      <c r="AG48" s="1" t="n">
        <f aca="false">B48</f>
        <v>2.8239712964263</v>
      </c>
      <c r="AH48" s="1" t="n">
        <f aca="false">B48</f>
        <v>2.8239712964263</v>
      </c>
      <c r="AI48" s="1" t="n">
        <f aca="false">B48</f>
        <v>2.8239712964263</v>
      </c>
      <c r="AJ48" s="1" t="n">
        <f aca="false">B48</f>
        <v>2.8239712964263</v>
      </c>
      <c r="AK48" s="1" t="n">
        <f aca="false">B48</f>
        <v>2.8239712964263</v>
      </c>
      <c r="AL48" s="1" t="n">
        <f aca="false">B48</f>
        <v>2.8239712964263</v>
      </c>
      <c r="AM48" s="1" t="n">
        <f aca="false">B48</f>
        <v>2.8239712964263</v>
      </c>
      <c r="AN48" s="1" t="n">
        <f aca="false">F48</f>
        <v>1</v>
      </c>
      <c r="AO48" s="1" t="n">
        <f aca="false">F48</f>
        <v>1</v>
      </c>
      <c r="AP48" s="1" t="n">
        <f aca="false">F48</f>
        <v>1</v>
      </c>
      <c r="AQ48" s="1" t="n">
        <f aca="false">F48</f>
        <v>1</v>
      </c>
      <c r="AR48" s="1" t="n">
        <f aca="false">F48</f>
        <v>1</v>
      </c>
      <c r="AS48" s="1" t="n">
        <f aca="false">F48</f>
        <v>1</v>
      </c>
      <c r="AT48" s="1" t="n">
        <v>1</v>
      </c>
      <c r="AU48" s="1" t="n">
        <f aca="false">F48</f>
        <v>1</v>
      </c>
      <c r="AV48" s="1" t="n">
        <f aca="false">F48</f>
        <v>1</v>
      </c>
      <c r="AW48" s="1" t="n">
        <f aca="false">F48</f>
        <v>1</v>
      </c>
      <c r="AX48" s="1" t="n">
        <f aca="false">B48</f>
        <v>2.8239712964263</v>
      </c>
      <c r="AY48" s="1" t="n">
        <f aca="false">B48</f>
        <v>2.8239712964263</v>
      </c>
      <c r="AZ48" s="1" t="n">
        <f aca="false">B48</f>
        <v>2.8239712964263</v>
      </c>
      <c r="BA48" s="1" t="n">
        <f aca="false">F48</f>
        <v>1</v>
      </c>
      <c r="BB48" s="1" t="n">
        <f aca="false">F48</f>
        <v>1</v>
      </c>
      <c r="BC48" s="1" t="n">
        <f aca="false">B48</f>
        <v>2.8239712964263</v>
      </c>
      <c r="BD48" s="1" t="n">
        <f aca="false">B48</f>
        <v>2.8239712964263</v>
      </c>
      <c r="BE48" s="1" t="n">
        <v>1</v>
      </c>
      <c r="BF48" s="1" t="n">
        <v>1</v>
      </c>
      <c r="BG48" s="1" t="n">
        <f aca="false">B48</f>
        <v>2.8239712964263</v>
      </c>
      <c r="BH48" s="1" t="n">
        <f aca="false">B48</f>
        <v>2.8239712964263</v>
      </c>
      <c r="BI48" s="1" t="n">
        <f aca="false">B48</f>
        <v>2.8239712964263</v>
      </c>
      <c r="BJ48" s="1" t="n">
        <f aca="false">B48</f>
        <v>2.8239712964263</v>
      </c>
      <c r="BK48" s="1" t="n">
        <v>1</v>
      </c>
    </row>
    <row r="49" customFormat="false" ht="12.75" hidden="false" customHeight="false" outlineLevel="0" collapsed="false">
      <c r="A49" s="1" t="n">
        <f aca="false">A48-1</f>
        <v>1978</v>
      </c>
      <c r="B49" s="1" t="n">
        <f aca="false">im!F49/im!E49</f>
        <v>2.94399643333071</v>
      </c>
      <c r="C49" s="1" t="n">
        <f aca="false">B49</f>
        <v>2.94399643333071</v>
      </c>
      <c r="D49" s="1" t="n">
        <f aca="false">B49</f>
        <v>2.94399643333071</v>
      </c>
      <c r="E49" s="1" t="n">
        <f aca="false">B49</f>
        <v>2.94399643333071</v>
      </c>
      <c r="F49" s="1" t="n">
        <v>1</v>
      </c>
      <c r="G49" s="1" t="n">
        <f aca="false">F49</f>
        <v>1</v>
      </c>
      <c r="H49" s="1" t="n">
        <f aca="false">F49</f>
        <v>1</v>
      </c>
      <c r="I49" s="1" t="n">
        <f aca="false">F49</f>
        <v>1</v>
      </c>
      <c r="J49" s="1" t="n">
        <v>1</v>
      </c>
      <c r="K49" s="1" t="n">
        <v>1</v>
      </c>
      <c r="L49" s="1" t="n">
        <f aca="false">B49</f>
        <v>2.94399643333071</v>
      </c>
      <c r="M49" s="1" t="n">
        <f aca="false">B49</f>
        <v>2.94399643333071</v>
      </c>
      <c r="N49" s="1" t="n">
        <f aca="false">B49</f>
        <v>2.94399643333071</v>
      </c>
      <c r="O49" s="1" t="n">
        <f aca="false">B49</f>
        <v>2.94399643333071</v>
      </c>
      <c r="P49" s="1" t="n">
        <f aca="false">B49</f>
        <v>2.94399643333071</v>
      </c>
      <c r="Q49" s="1" t="n">
        <f aca="false">F49</f>
        <v>1</v>
      </c>
      <c r="R49" s="1" t="n">
        <f aca="false">F49</f>
        <v>1</v>
      </c>
      <c r="S49" s="1" t="n">
        <f aca="false">F49</f>
        <v>1</v>
      </c>
      <c r="T49" s="1" t="n">
        <v>1</v>
      </c>
      <c r="U49" s="1" t="n">
        <v>1</v>
      </c>
      <c r="V49" s="1" t="n">
        <f aca="false">F49</f>
        <v>1</v>
      </c>
      <c r="W49" s="1" t="n">
        <f aca="false">F49</f>
        <v>1</v>
      </c>
      <c r="X49" s="1" t="n">
        <f aca="false">F49</f>
        <v>1</v>
      </c>
      <c r="Y49" s="1" t="n">
        <f aca="false">F49</f>
        <v>1</v>
      </c>
      <c r="Z49" s="1" t="n">
        <f aca="false">F49</f>
        <v>1</v>
      </c>
      <c r="AA49" s="1" t="n">
        <f aca="false">F49</f>
        <v>1</v>
      </c>
      <c r="AB49" s="1" t="n">
        <f aca="false">F49</f>
        <v>1</v>
      </c>
      <c r="AC49" s="1" t="n">
        <f aca="false">F49</f>
        <v>1</v>
      </c>
      <c r="AD49" s="1" t="n">
        <f aca="false">F49</f>
        <v>1</v>
      </c>
      <c r="AE49" s="1" t="n">
        <f aca="false">B49</f>
        <v>2.94399643333071</v>
      </c>
      <c r="AF49" s="1" t="n">
        <f aca="false">B49</f>
        <v>2.94399643333071</v>
      </c>
      <c r="AG49" s="1" t="n">
        <f aca="false">B49</f>
        <v>2.94399643333071</v>
      </c>
      <c r="AH49" s="1" t="n">
        <f aca="false">B49</f>
        <v>2.94399643333071</v>
      </c>
      <c r="AI49" s="1" t="n">
        <f aca="false">B49</f>
        <v>2.94399643333071</v>
      </c>
      <c r="AJ49" s="1" t="n">
        <f aca="false">B49</f>
        <v>2.94399643333071</v>
      </c>
      <c r="AK49" s="1" t="n">
        <f aca="false">B49</f>
        <v>2.94399643333071</v>
      </c>
      <c r="AL49" s="1" t="n">
        <f aca="false">B49</f>
        <v>2.94399643333071</v>
      </c>
      <c r="AM49" s="1" t="n">
        <f aca="false">B49</f>
        <v>2.94399643333071</v>
      </c>
      <c r="AN49" s="1" t="n">
        <f aca="false">F49</f>
        <v>1</v>
      </c>
      <c r="AO49" s="1" t="n">
        <f aca="false">F49</f>
        <v>1</v>
      </c>
      <c r="AP49" s="1" t="n">
        <f aca="false">F49</f>
        <v>1</v>
      </c>
      <c r="AQ49" s="1" t="n">
        <f aca="false">F49</f>
        <v>1</v>
      </c>
      <c r="AR49" s="1" t="n">
        <f aca="false">F49</f>
        <v>1</v>
      </c>
      <c r="AS49" s="1" t="n">
        <f aca="false">F49</f>
        <v>1</v>
      </c>
      <c r="AT49" s="1" t="n">
        <v>1</v>
      </c>
      <c r="AU49" s="1" t="n">
        <f aca="false">F49</f>
        <v>1</v>
      </c>
      <c r="AV49" s="1" t="n">
        <f aca="false">F49</f>
        <v>1</v>
      </c>
      <c r="AW49" s="1" t="n">
        <f aca="false">F49</f>
        <v>1</v>
      </c>
      <c r="AX49" s="1" t="n">
        <f aca="false">B49</f>
        <v>2.94399643333071</v>
      </c>
      <c r="AY49" s="1" t="n">
        <f aca="false">B49</f>
        <v>2.94399643333071</v>
      </c>
      <c r="AZ49" s="1" t="n">
        <f aca="false">B49</f>
        <v>2.94399643333071</v>
      </c>
      <c r="BA49" s="1" t="n">
        <f aca="false">F49</f>
        <v>1</v>
      </c>
      <c r="BB49" s="1" t="n">
        <f aca="false">F49</f>
        <v>1</v>
      </c>
      <c r="BC49" s="1" t="n">
        <f aca="false">B49</f>
        <v>2.94399643333071</v>
      </c>
      <c r="BD49" s="1" t="n">
        <f aca="false">B49</f>
        <v>2.94399643333071</v>
      </c>
      <c r="BE49" s="1" t="n">
        <v>1</v>
      </c>
      <c r="BF49" s="1" t="n">
        <v>1</v>
      </c>
      <c r="BG49" s="1" t="n">
        <f aca="false">B49</f>
        <v>2.94399643333071</v>
      </c>
      <c r="BH49" s="1" t="n">
        <f aca="false">B49</f>
        <v>2.94399643333071</v>
      </c>
      <c r="BI49" s="1" t="n">
        <f aca="false">B49</f>
        <v>2.94399643333071</v>
      </c>
      <c r="BJ49" s="1" t="n">
        <f aca="false">B49</f>
        <v>2.94399643333071</v>
      </c>
      <c r="BK49" s="1" t="n">
        <v>1</v>
      </c>
    </row>
    <row r="50" customFormat="false" ht="12.75" hidden="false" customHeight="false" outlineLevel="0" collapsed="false">
      <c r="A50" s="1" t="n">
        <f aca="false">A49-1</f>
        <v>1977</v>
      </c>
      <c r="B50" s="1" t="n">
        <f aca="false">im!F50/im!E50</f>
        <v>3.00675971238372</v>
      </c>
      <c r="C50" s="1" t="n">
        <f aca="false">B50</f>
        <v>3.00675971238372</v>
      </c>
      <c r="D50" s="1" t="n">
        <f aca="false">B50</f>
        <v>3.00675971238372</v>
      </c>
      <c r="E50" s="1" t="n">
        <f aca="false">B50</f>
        <v>3.00675971238372</v>
      </c>
      <c r="F50" s="1" t="n">
        <v>1</v>
      </c>
      <c r="G50" s="1" t="n">
        <f aca="false">F50</f>
        <v>1</v>
      </c>
      <c r="H50" s="1" t="n">
        <f aca="false">F50</f>
        <v>1</v>
      </c>
      <c r="I50" s="1" t="n">
        <f aca="false">F50</f>
        <v>1</v>
      </c>
      <c r="J50" s="1" t="n">
        <v>1</v>
      </c>
      <c r="K50" s="1" t="n">
        <v>1</v>
      </c>
      <c r="L50" s="1" t="n">
        <f aca="false">B50</f>
        <v>3.00675971238372</v>
      </c>
      <c r="M50" s="1" t="n">
        <f aca="false">B50</f>
        <v>3.00675971238372</v>
      </c>
      <c r="N50" s="1" t="n">
        <f aca="false">B50</f>
        <v>3.00675971238372</v>
      </c>
      <c r="O50" s="1" t="n">
        <f aca="false">B50</f>
        <v>3.00675971238372</v>
      </c>
      <c r="P50" s="1" t="n">
        <f aca="false">B50</f>
        <v>3.00675971238372</v>
      </c>
      <c r="Q50" s="1" t="n">
        <f aca="false">F50</f>
        <v>1</v>
      </c>
      <c r="R50" s="1" t="n">
        <f aca="false">F50</f>
        <v>1</v>
      </c>
      <c r="S50" s="1" t="n">
        <f aca="false">F50</f>
        <v>1</v>
      </c>
      <c r="T50" s="1" t="n">
        <v>1</v>
      </c>
      <c r="U50" s="1" t="n">
        <v>1</v>
      </c>
      <c r="V50" s="1" t="n">
        <f aca="false">F50</f>
        <v>1</v>
      </c>
      <c r="W50" s="1" t="n">
        <f aca="false">F50</f>
        <v>1</v>
      </c>
      <c r="X50" s="1" t="n">
        <f aca="false">F50</f>
        <v>1</v>
      </c>
      <c r="Y50" s="1" t="n">
        <f aca="false">F50</f>
        <v>1</v>
      </c>
      <c r="Z50" s="1" t="n">
        <f aca="false">F50</f>
        <v>1</v>
      </c>
      <c r="AA50" s="1" t="n">
        <f aca="false">F50</f>
        <v>1</v>
      </c>
      <c r="AB50" s="1" t="n">
        <f aca="false">F50</f>
        <v>1</v>
      </c>
      <c r="AC50" s="1" t="n">
        <f aca="false">F50</f>
        <v>1</v>
      </c>
      <c r="AD50" s="1" t="n">
        <f aca="false">F50</f>
        <v>1</v>
      </c>
      <c r="AE50" s="1" t="n">
        <f aca="false">B50</f>
        <v>3.00675971238372</v>
      </c>
      <c r="AF50" s="1" t="n">
        <f aca="false">B50</f>
        <v>3.00675971238372</v>
      </c>
      <c r="AG50" s="1" t="n">
        <f aca="false">B50</f>
        <v>3.00675971238372</v>
      </c>
      <c r="AH50" s="1" t="n">
        <f aca="false">B50</f>
        <v>3.00675971238372</v>
      </c>
      <c r="AI50" s="1" t="n">
        <f aca="false">B50</f>
        <v>3.00675971238372</v>
      </c>
      <c r="AJ50" s="1" t="n">
        <f aca="false">B50</f>
        <v>3.00675971238372</v>
      </c>
      <c r="AK50" s="1" t="n">
        <f aca="false">B50</f>
        <v>3.00675971238372</v>
      </c>
      <c r="AL50" s="1" t="n">
        <f aca="false">B50</f>
        <v>3.00675971238372</v>
      </c>
      <c r="AM50" s="1" t="n">
        <f aca="false">B50</f>
        <v>3.00675971238372</v>
      </c>
      <c r="AN50" s="1" t="n">
        <f aca="false">F50</f>
        <v>1</v>
      </c>
      <c r="AO50" s="1" t="n">
        <f aca="false">F50</f>
        <v>1</v>
      </c>
      <c r="AP50" s="1" t="n">
        <f aca="false">F50</f>
        <v>1</v>
      </c>
      <c r="AQ50" s="1" t="n">
        <f aca="false">F50</f>
        <v>1</v>
      </c>
      <c r="AR50" s="1" t="n">
        <f aca="false">F50</f>
        <v>1</v>
      </c>
      <c r="AS50" s="1" t="n">
        <f aca="false">F50</f>
        <v>1</v>
      </c>
      <c r="AT50" s="1" t="n">
        <v>1</v>
      </c>
      <c r="AU50" s="1" t="n">
        <f aca="false">F50</f>
        <v>1</v>
      </c>
      <c r="AV50" s="1" t="n">
        <f aca="false">F50</f>
        <v>1</v>
      </c>
      <c r="AW50" s="1" t="n">
        <f aca="false">F50</f>
        <v>1</v>
      </c>
      <c r="AX50" s="1" t="n">
        <f aca="false">B50</f>
        <v>3.00675971238372</v>
      </c>
      <c r="AY50" s="1" t="n">
        <f aca="false">B50</f>
        <v>3.00675971238372</v>
      </c>
      <c r="AZ50" s="1" t="n">
        <f aca="false">B50</f>
        <v>3.00675971238372</v>
      </c>
      <c r="BA50" s="1" t="n">
        <f aca="false">F50</f>
        <v>1</v>
      </c>
      <c r="BB50" s="1" t="n">
        <f aca="false">F50</f>
        <v>1</v>
      </c>
      <c r="BC50" s="1" t="n">
        <f aca="false">B50</f>
        <v>3.00675971238372</v>
      </c>
      <c r="BD50" s="1" t="n">
        <f aca="false">B50</f>
        <v>3.00675971238372</v>
      </c>
      <c r="BE50" s="1" t="n">
        <v>1</v>
      </c>
      <c r="BF50" s="1" t="n">
        <v>1</v>
      </c>
      <c r="BG50" s="1" t="n">
        <f aca="false">B50</f>
        <v>3.00675971238372</v>
      </c>
      <c r="BH50" s="1" t="n">
        <f aca="false">B50</f>
        <v>3.00675971238372</v>
      </c>
      <c r="BI50" s="1" t="n">
        <f aca="false">B50</f>
        <v>3.00675971238372</v>
      </c>
      <c r="BJ50" s="1" t="n">
        <f aca="false">B50</f>
        <v>3.00675971238372</v>
      </c>
      <c r="BK50" s="1" t="n">
        <v>1</v>
      </c>
    </row>
    <row r="51" customFormat="false" ht="12.75" hidden="false" customHeight="false" outlineLevel="0" collapsed="false">
      <c r="A51" s="1" t="n">
        <f aca="false">A50-1</f>
        <v>1976</v>
      </c>
      <c r="B51" s="1" t="n">
        <f aca="false">im!F51/im!E51</f>
        <v>3.23774220801461</v>
      </c>
      <c r="C51" s="1" t="n">
        <f aca="false">B51</f>
        <v>3.23774220801461</v>
      </c>
      <c r="D51" s="1" t="n">
        <f aca="false">B51</f>
        <v>3.23774220801461</v>
      </c>
      <c r="E51" s="1" t="n">
        <f aca="false">B51</f>
        <v>3.23774220801461</v>
      </c>
      <c r="F51" s="1" t="n">
        <v>1</v>
      </c>
      <c r="G51" s="1" t="n">
        <f aca="false">F51</f>
        <v>1</v>
      </c>
      <c r="H51" s="1" t="n">
        <f aca="false">F51</f>
        <v>1</v>
      </c>
      <c r="I51" s="1" t="n">
        <f aca="false">F51</f>
        <v>1</v>
      </c>
      <c r="J51" s="1" t="n">
        <v>1</v>
      </c>
      <c r="K51" s="1" t="n">
        <v>1</v>
      </c>
      <c r="L51" s="1" t="n">
        <f aca="false">B51</f>
        <v>3.23774220801461</v>
      </c>
      <c r="M51" s="1" t="n">
        <f aca="false">B51</f>
        <v>3.23774220801461</v>
      </c>
      <c r="N51" s="1" t="n">
        <f aca="false">B51</f>
        <v>3.23774220801461</v>
      </c>
      <c r="O51" s="1" t="n">
        <f aca="false">B51</f>
        <v>3.23774220801461</v>
      </c>
      <c r="P51" s="1" t="n">
        <f aca="false">B51</f>
        <v>3.23774220801461</v>
      </c>
      <c r="Q51" s="1" t="n">
        <f aca="false">F51</f>
        <v>1</v>
      </c>
      <c r="R51" s="1" t="n">
        <f aca="false">F51</f>
        <v>1</v>
      </c>
      <c r="S51" s="1" t="n">
        <f aca="false">F51</f>
        <v>1</v>
      </c>
      <c r="T51" s="1" t="n">
        <v>1</v>
      </c>
      <c r="U51" s="1" t="n">
        <v>1</v>
      </c>
      <c r="V51" s="1" t="n">
        <f aca="false">F51</f>
        <v>1</v>
      </c>
      <c r="W51" s="1" t="n">
        <f aca="false">F51</f>
        <v>1</v>
      </c>
      <c r="X51" s="1" t="n">
        <f aca="false">F51</f>
        <v>1</v>
      </c>
      <c r="Y51" s="1" t="n">
        <f aca="false">F51</f>
        <v>1</v>
      </c>
      <c r="Z51" s="1" t="n">
        <f aca="false">F51</f>
        <v>1</v>
      </c>
      <c r="AA51" s="1" t="n">
        <f aca="false">F51</f>
        <v>1</v>
      </c>
      <c r="AB51" s="1" t="n">
        <f aca="false">F51</f>
        <v>1</v>
      </c>
      <c r="AC51" s="1" t="n">
        <f aca="false">F51</f>
        <v>1</v>
      </c>
      <c r="AD51" s="1" t="n">
        <f aca="false">F51</f>
        <v>1</v>
      </c>
      <c r="AE51" s="1" t="n">
        <f aca="false">B51</f>
        <v>3.23774220801461</v>
      </c>
      <c r="AF51" s="1" t="n">
        <f aca="false">B51</f>
        <v>3.23774220801461</v>
      </c>
      <c r="AG51" s="1" t="n">
        <f aca="false">B51</f>
        <v>3.23774220801461</v>
      </c>
      <c r="AH51" s="1" t="n">
        <f aca="false">B51</f>
        <v>3.23774220801461</v>
      </c>
      <c r="AI51" s="1" t="n">
        <f aca="false">B51</f>
        <v>3.23774220801461</v>
      </c>
      <c r="AJ51" s="1" t="n">
        <f aca="false">B51</f>
        <v>3.23774220801461</v>
      </c>
      <c r="AK51" s="1" t="n">
        <f aca="false">B51</f>
        <v>3.23774220801461</v>
      </c>
      <c r="AL51" s="1" t="n">
        <f aca="false">B51</f>
        <v>3.23774220801461</v>
      </c>
      <c r="AM51" s="1" t="n">
        <f aca="false">B51</f>
        <v>3.23774220801461</v>
      </c>
      <c r="AN51" s="1" t="n">
        <f aca="false">F51</f>
        <v>1</v>
      </c>
      <c r="AO51" s="1" t="n">
        <f aca="false">F51</f>
        <v>1</v>
      </c>
      <c r="AP51" s="1" t="n">
        <f aca="false">F51</f>
        <v>1</v>
      </c>
      <c r="AQ51" s="1" t="n">
        <f aca="false">F51</f>
        <v>1</v>
      </c>
      <c r="AR51" s="1" t="n">
        <f aca="false">F51</f>
        <v>1</v>
      </c>
      <c r="AS51" s="1" t="n">
        <f aca="false">F51</f>
        <v>1</v>
      </c>
      <c r="AT51" s="1" t="n">
        <v>1</v>
      </c>
      <c r="AU51" s="1" t="n">
        <f aca="false">F51</f>
        <v>1</v>
      </c>
      <c r="AV51" s="1" t="n">
        <f aca="false">F51</f>
        <v>1</v>
      </c>
      <c r="AW51" s="1" t="n">
        <f aca="false">F51</f>
        <v>1</v>
      </c>
      <c r="AX51" s="1" t="n">
        <f aca="false">B51</f>
        <v>3.23774220801461</v>
      </c>
      <c r="AY51" s="1" t="n">
        <f aca="false">B51</f>
        <v>3.23774220801461</v>
      </c>
      <c r="AZ51" s="1" t="n">
        <f aca="false">B51</f>
        <v>3.23774220801461</v>
      </c>
      <c r="BA51" s="1" t="n">
        <f aca="false">F51</f>
        <v>1</v>
      </c>
      <c r="BB51" s="1" t="n">
        <f aca="false">F51</f>
        <v>1</v>
      </c>
      <c r="BC51" s="1" t="n">
        <f aca="false">B51</f>
        <v>3.23774220801461</v>
      </c>
      <c r="BD51" s="1" t="n">
        <f aca="false">B51</f>
        <v>3.23774220801461</v>
      </c>
      <c r="BE51" s="1" t="n">
        <v>1</v>
      </c>
      <c r="BF51" s="1" t="n">
        <v>1</v>
      </c>
      <c r="BG51" s="1" t="n">
        <f aca="false">B51</f>
        <v>3.23774220801461</v>
      </c>
      <c r="BH51" s="1" t="n">
        <f aca="false">B51</f>
        <v>3.23774220801461</v>
      </c>
      <c r="BI51" s="1" t="n">
        <f aca="false">B51</f>
        <v>3.23774220801461</v>
      </c>
      <c r="BJ51" s="1" t="n">
        <f aca="false">B51</f>
        <v>3.23774220801461</v>
      </c>
      <c r="BK51" s="1" t="n">
        <v>1</v>
      </c>
    </row>
    <row r="52" customFormat="false" ht="12.75" hidden="false" customHeight="false" outlineLevel="0" collapsed="false">
      <c r="A52" s="1" t="n">
        <f aca="false">A51-1</f>
        <v>1975</v>
      </c>
      <c r="B52" s="1" t="n">
        <f aca="false">im!F52/im!E52</f>
        <v>2.83229406858754</v>
      </c>
      <c r="C52" s="1" t="n">
        <f aca="false">B52</f>
        <v>2.83229406858754</v>
      </c>
      <c r="D52" s="1" t="n">
        <f aca="false">B52</f>
        <v>2.83229406858754</v>
      </c>
      <c r="E52" s="1" t="n">
        <f aca="false">B52</f>
        <v>2.83229406858754</v>
      </c>
      <c r="F52" s="1" t="n">
        <v>1</v>
      </c>
      <c r="G52" s="1" t="n">
        <f aca="false">F52</f>
        <v>1</v>
      </c>
      <c r="H52" s="1" t="n">
        <f aca="false">F52</f>
        <v>1</v>
      </c>
      <c r="I52" s="1" t="n">
        <f aca="false">F52</f>
        <v>1</v>
      </c>
      <c r="J52" s="1" t="n">
        <v>1</v>
      </c>
      <c r="K52" s="1" t="n">
        <v>1</v>
      </c>
      <c r="L52" s="1" t="n">
        <f aca="false">B52</f>
        <v>2.83229406858754</v>
      </c>
      <c r="M52" s="1" t="n">
        <f aca="false">B52</f>
        <v>2.83229406858754</v>
      </c>
      <c r="N52" s="1" t="n">
        <f aca="false">B52</f>
        <v>2.83229406858754</v>
      </c>
      <c r="O52" s="1" t="n">
        <f aca="false">B52</f>
        <v>2.83229406858754</v>
      </c>
      <c r="P52" s="1" t="n">
        <f aca="false">B52</f>
        <v>2.83229406858754</v>
      </c>
      <c r="Q52" s="1" t="n">
        <f aca="false">F52</f>
        <v>1</v>
      </c>
      <c r="R52" s="1" t="n">
        <f aca="false">F52</f>
        <v>1</v>
      </c>
      <c r="S52" s="1" t="n">
        <f aca="false">F52</f>
        <v>1</v>
      </c>
      <c r="T52" s="1" t="n">
        <v>1</v>
      </c>
      <c r="U52" s="1" t="n">
        <v>1</v>
      </c>
      <c r="V52" s="1" t="n">
        <f aca="false">F52</f>
        <v>1</v>
      </c>
      <c r="W52" s="1" t="n">
        <f aca="false">F52</f>
        <v>1</v>
      </c>
      <c r="X52" s="1" t="n">
        <f aca="false">F52</f>
        <v>1</v>
      </c>
      <c r="Y52" s="1" t="n">
        <f aca="false">F52</f>
        <v>1</v>
      </c>
      <c r="Z52" s="1" t="n">
        <f aca="false">F52</f>
        <v>1</v>
      </c>
      <c r="AA52" s="1" t="n">
        <f aca="false">F52</f>
        <v>1</v>
      </c>
      <c r="AB52" s="1" t="n">
        <f aca="false">F52</f>
        <v>1</v>
      </c>
      <c r="AC52" s="1" t="n">
        <f aca="false">F52</f>
        <v>1</v>
      </c>
      <c r="AD52" s="1" t="n">
        <f aca="false">F52</f>
        <v>1</v>
      </c>
      <c r="AE52" s="1" t="n">
        <f aca="false">B52</f>
        <v>2.83229406858754</v>
      </c>
      <c r="AF52" s="1" t="n">
        <f aca="false">B52</f>
        <v>2.83229406858754</v>
      </c>
      <c r="AG52" s="1" t="n">
        <f aca="false">B52</f>
        <v>2.83229406858754</v>
      </c>
      <c r="AH52" s="1" t="n">
        <f aca="false">B52</f>
        <v>2.83229406858754</v>
      </c>
      <c r="AI52" s="1" t="n">
        <f aca="false">B52</f>
        <v>2.83229406858754</v>
      </c>
      <c r="AJ52" s="1" t="n">
        <f aca="false">B52</f>
        <v>2.83229406858754</v>
      </c>
      <c r="AK52" s="1" t="n">
        <f aca="false">B52</f>
        <v>2.83229406858754</v>
      </c>
      <c r="AL52" s="1" t="n">
        <f aca="false">B52</f>
        <v>2.83229406858754</v>
      </c>
      <c r="AM52" s="1" t="n">
        <f aca="false">B52</f>
        <v>2.83229406858754</v>
      </c>
      <c r="AN52" s="1" t="n">
        <f aca="false">F52</f>
        <v>1</v>
      </c>
      <c r="AO52" s="1" t="n">
        <f aca="false">F52</f>
        <v>1</v>
      </c>
      <c r="AP52" s="1" t="n">
        <f aca="false">F52</f>
        <v>1</v>
      </c>
      <c r="AQ52" s="1" t="n">
        <f aca="false">F52</f>
        <v>1</v>
      </c>
      <c r="AR52" s="1" t="n">
        <f aca="false">F52</f>
        <v>1</v>
      </c>
      <c r="AS52" s="1" t="n">
        <f aca="false">F52</f>
        <v>1</v>
      </c>
      <c r="AT52" s="1" t="n">
        <v>1</v>
      </c>
      <c r="AU52" s="1" t="n">
        <f aca="false">F52</f>
        <v>1</v>
      </c>
      <c r="AV52" s="1" t="n">
        <f aca="false">F52</f>
        <v>1</v>
      </c>
      <c r="AW52" s="1" t="n">
        <f aca="false">F52</f>
        <v>1</v>
      </c>
      <c r="AX52" s="1" t="n">
        <f aca="false">B52</f>
        <v>2.83229406858754</v>
      </c>
      <c r="AY52" s="1" t="n">
        <f aca="false">B52</f>
        <v>2.83229406858754</v>
      </c>
      <c r="AZ52" s="1" t="n">
        <f aca="false">B52</f>
        <v>2.83229406858754</v>
      </c>
      <c r="BA52" s="1" t="n">
        <f aca="false">F52</f>
        <v>1</v>
      </c>
      <c r="BB52" s="1" t="n">
        <f aca="false">F52</f>
        <v>1</v>
      </c>
      <c r="BC52" s="1" t="n">
        <f aca="false">B52</f>
        <v>2.83229406858754</v>
      </c>
      <c r="BD52" s="1" t="n">
        <f aca="false">B52</f>
        <v>2.83229406858754</v>
      </c>
      <c r="BE52" s="1" t="n">
        <v>1</v>
      </c>
      <c r="BF52" s="1" t="n">
        <v>1</v>
      </c>
      <c r="BG52" s="1" t="n">
        <f aca="false">B52</f>
        <v>2.83229406858754</v>
      </c>
      <c r="BH52" s="1" t="n">
        <f aca="false">B52</f>
        <v>2.83229406858754</v>
      </c>
      <c r="BI52" s="1" t="n">
        <f aca="false">B52</f>
        <v>2.83229406858754</v>
      </c>
      <c r="BJ52" s="1" t="n">
        <f aca="false">B52</f>
        <v>2.83229406858754</v>
      </c>
      <c r="BK52" s="1" t="n">
        <v>1</v>
      </c>
    </row>
    <row r="53" customFormat="false" ht="12.75" hidden="false" customHeight="false" outlineLevel="0" collapsed="false">
      <c r="A53" s="1" t="n">
        <f aca="false">A52-1</f>
        <v>1974</v>
      </c>
      <c r="B53" s="1" t="n">
        <f aca="false">im!F53/im!E53</f>
        <v>2.94849579186001</v>
      </c>
      <c r="C53" s="1" t="n">
        <f aca="false">B53</f>
        <v>2.94849579186001</v>
      </c>
      <c r="D53" s="1" t="n">
        <f aca="false">B53</f>
        <v>2.94849579186001</v>
      </c>
      <c r="E53" s="1" t="n">
        <f aca="false">B53</f>
        <v>2.94849579186001</v>
      </c>
      <c r="F53" s="1" t="n">
        <v>1</v>
      </c>
      <c r="G53" s="1" t="n">
        <f aca="false">F53</f>
        <v>1</v>
      </c>
      <c r="H53" s="1" t="n">
        <f aca="false">F53</f>
        <v>1</v>
      </c>
      <c r="I53" s="1" t="n">
        <f aca="false">F53</f>
        <v>1</v>
      </c>
      <c r="J53" s="1" t="n">
        <v>1</v>
      </c>
      <c r="K53" s="1" t="n">
        <v>1</v>
      </c>
      <c r="L53" s="1" t="n">
        <f aca="false">B53</f>
        <v>2.94849579186001</v>
      </c>
      <c r="M53" s="1" t="n">
        <f aca="false">B53</f>
        <v>2.94849579186001</v>
      </c>
      <c r="N53" s="1" t="n">
        <f aca="false">B53</f>
        <v>2.94849579186001</v>
      </c>
      <c r="O53" s="1" t="n">
        <f aca="false">B53</f>
        <v>2.94849579186001</v>
      </c>
      <c r="P53" s="1" t="n">
        <f aca="false">B53</f>
        <v>2.94849579186001</v>
      </c>
      <c r="Q53" s="1" t="n">
        <f aca="false">F53</f>
        <v>1</v>
      </c>
      <c r="R53" s="1" t="n">
        <f aca="false">F53</f>
        <v>1</v>
      </c>
      <c r="S53" s="1" t="n">
        <f aca="false">F53</f>
        <v>1</v>
      </c>
      <c r="T53" s="1" t="n">
        <v>1</v>
      </c>
      <c r="U53" s="1" t="n">
        <v>1</v>
      </c>
      <c r="V53" s="1" t="n">
        <f aca="false">F53</f>
        <v>1</v>
      </c>
      <c r="W53" s="1" t="n">
        <f aca="false">F53</f>
        <v>1</v>
      </c>
      <c r="X53" s="1" t="n">
        <f aca="false">F53</f>
        <v>1</v>
      </c>
      <c r="Y53" s="1" t="n">
        <f aca="false">F53</f>
        <v>1</v>
      </c>
      <c r="Z53" s="1" t="n">
        <f aca="false">F53</f>
        <v>1</v>
      </c>
      <c r="AA53" s="1" t="n">
        <f aca="false">F53</f>
        <v>1</v>
      </c>
      <c r="AB53" s="1" t="n">
        <f aca="false">F53</f>
        <v>1</v>
      </c>
      <c r="AC53" s="1" t="n">
        <f aca="false">F53</f>
        <v>1</v>
      </c>
      <c r="AD53" s="1" t="n">
        <f aca="false">F53</f>
        <v>1</v>
      </c>
      <c r="AE53" s="1" t="n">
        <f aca="false">B53</f>
        <v>2.94849579186001</v>
      </c>
      <c r="AF53" s="1" t="n">
        <f aca="false">B53</f>
        <v>2.94849579186001</v>
      </c>
      <c r="AG53" s="1" t="n">
        <f aca="false">B53</f>
        <v>2.94849579186001</v>
      </c>
      <c r="AH53" s="1" t="n">
        <f aca="false">B53</f>
        <v>2.94849579186001</v>
      </c>
      <c r="AI53" s="1" t="n">
        <f aca="false">B53</f>
        <v>2.94849579186001</v>
      </c>
      <c r="AJ53" s="1" t="n">
        <f aca="false">B53</f>
        <v>2.94849579186001</v>
      </c>
      <c r="AK53" s="1" t="n">
        <f aca="false">B53</f>
        <v>2.94849579186001</v>
      </c>
      <c r="AL53" s="1" t="n">
        <f aca="false">B53</f>
        <v>2.94849579186001</v>
      </c>
      <c r="AM53" s="1" t="n">
        <f aca="false">B53</f>
        <v>2.94849579186001</v>
      </c>
      <c r="AN53" s="1" t="n">
        <f aca="false">F53</f>
        <v>1</v>
      </c>
      <c r="AO53" s="1" t="n">
        <f aca="false">F53</f>
        <v>1</v>
      </c>
      <c r="AP53" s="1" t="n">
        <f aca="false">F53</f>
        <v>1</v>
      </c>
      <c r="AQ53" s="1" t="n">
        <f aca="false">F53</f>
        <v>1</v>
      </c>
      <c r="AR53" s="1" t="n">
        <f aca="false">F53</f>
        <v>1</v>
      </c>
      <c r="AS53" s="1" t="n">
        <f aca="false">F53</f>
        <v>1</v>
      </c>
      <c r="AT53" s="1" t="n">
        <v>1</v>
      </c>
      <c r="AU53" s="1" t="n">
        <f aca="false">F53</f>
        <v>1</v>
      </c>
      <c r="AV53" s="1" t="n">
        <f aca="false">F53</f>
        <v>1</v>
      </c>
      <c r="AW53" s="1" t="n">
        <f aca="false">F53</f>
        <v>1</v>
      </c>
      <c r="AX53" s="1" t="n">
        <f aca="false">B53</f>
        <v>2.94849579186001</v>
      </c>
      <c r="AY53" s="1" t="n">
        <f aca="false">B53</f>
        <v>2.94849579186001</v>
      </c>
      <c r="AZ53" s="1" t="n">
        <f aca="false">B53</f>
        <v>2.94849579186001</v>
      </c>
      <c r="BA53" s="1" t="n">
        <f aca="false">F53</f>
        <v>1</v>
      </c>
      <c r="BB53" s="1" t="n">
        <f aca="false">F53</f>
        <v>1</v>
      </c>
      <c r="BC53" s="1" t="n">
        <f aca="false">B53</f>
        <v>2.94849579186001</v>
      </c>
      <c r="BD53" s="1" t="n">
        <f aca="false">B53</f>
        <v>2.94849579186001</v>
      </c>
      <c r="BE53" s="1" t="n">
        <v>1</v>
      </c>
      <c r="BF53" s="1" t="n">
        <v>1</v>
      </c>
      <c r="BG53" s="1" t="n">
        <f aca="false">B53</f>
        <v>2.94849579186001</v>
      </c>
      <c r="BH53" s="1" t="n">
        <f aca="false">B53</f>
        <v>2.94849579186001</v>
      </c>
      <c r="BI53" s="1" t="n">
        <f aca="false">B53</f>
        <v>2.94849579186001</v>
      </c>
      <c r="BJ53" s="1" t="n">
        <f aca="false">B53</f>
        <v>2.94849579186001</v>
      </c>
      <c r="BK53" s="1" t="n">
        <v>1</v>
      </c>
    </row>
    <row r="54" customFormat="false" ht="12.75" hidden="false" customHeight="false" outlineLevel="0" collapsed="false">
      <c r="A54" s="1" t="n">
        <f aca="false">A53-1</f>
        <v>1973</v>
      </c>
      <c r="B54" s="1" t="n">
        <f aca="false">im!F54/im!E54</f>
        <v>2.78773149765881</v>
      </c>
      <c r="C54" s="1" t="n">
        <f aca="false">B54</f>
        <v>2.78773149765881</v>
      </c>
      <c r="D54" s="1" t="n">
        <f aca="false">B54</f>
        <v>2.78773149765881</v>
      </c>
      <c r="E54" s="1" t="n">
        <f aca="false">B54</f>
        <v>2.78773149765881</v>
      </c>
      <c r="F54" s="1" t="n">
        <v>1</v>
      </c>
      <c r="G54" s="1" t="n">
        <f aca="false">F54</f>
        <v>1</v>
      </c>
      <c r="H54" s="1" t="n">
        <f aca="false">F54</f>
        <v>1</v>
      </c>
      <c r="I54" s="1" t="n">
        <f aca="false">F54</f>
        <v>1</v>
      </c>
      <c r="J54" s="1" t="n">
        <v>1</v>
      </c>
      <c r="K54" s="1" t="n">
        <v>1</v>
      </c>
      <c r="L54" s="1" t="n">
        <f aca="false">B54</f>
        <v>2.78773149765881</v>
      </c>
      <c r="M54" s="1" t="n">
        <f aca="false">B54</f>
        <v>2.78773149765881</v>
      </c>
      <c r="N54" s="1" t="n">
        <f aca="false">B54</f>
        <v>2.78773149765881</v>
      </c>
      <c r="O54" s="1" t="n">
        <f aca="false">B54</f>
        <v>2.78773149765881</v>
      </c>
      <c r="P54" s="1" t="n">
        <f aca="false">B54</f>
        <v>2.78773149765881</v>
      </c>
      <c r="Q54" s="1" t="n">
        <f aca="false">F54</f>
        <v>1</v>
      </c>
      <c r="R54" s="1" t="n">
        <f aca="false">F54</f>
        <v>1</v>
      </c>
      <c r="S54" s="1" t="n">
        <f aca="false">F54</f>
        <v>1</v>
      </c>
      <c r="T54" s="1" t="n">
        <v>1</v>
      </c>
      <c r="U54" s="1" t="n">
        <v>1</v>
      </c>
      <c r="V54" s="1" t="n">
        <f aca="false">F54</f>
        <v>1</v>
      </c>
      <c r="W54" s="1" t="n">
        <f aca="false">F54</f>
        <v>1</v>
      </c>
      <c r="X54" s="1" t="n">
        <f aca="false">F54</f>
        <v>1</v>
      </c>
      <c r="Y54" s="1" t="n">
        <f aca="false">F54</f>
        <v>1</v>
      </c>
      <c r="Z54" s="1" t="n">
        <f aca="false">F54</f>
        <v>1</v>
      </c>
      <c r="AA54" s="1" t="n">
        <f aca="false">F54</f>
        <v>1</v>
      </c>
      <c r="AB54" s="1" t="n">
        <f aca="false">F54</f>
        <v>1</v>
      </c>
      <c r="AC54" s="1" t="n">
        <f aca="false">F54</f>
        <v>1</v>
      </c>
      <c r="AD54" s="1" t="n">
        <f aca="false">F54</f>
        <v>1</v>
      </c>
      <c r="AE54" s="1" t="n">
        <f aca="false">B54</f>
        <v>2.78773149765881</v>
      </c>
      <c r="AF54" s="1" t="n">
        <f aca="false">B54</f>
        <v>2.78773149765881</v>
      </c>
      <c r="AG54" s="1" t="n">
        <f aca="false">B54</f>
        <v>2.78773149765881</v>
      </c>
      <c r="AH54" s="1" t="n">
        <f aca="false">B54</f>
        <v>2.78773149765881</v>
      </c>
      <c r="AI54" s="1" t="n">
        <f aca="false">B54</f>
        <v>2.78773149765881</v>
      </c>
      <c r="AJ54" s="1" t="n">
        <f aca="false">B54</f>
        <v>2.78773149765881</v>
      </c>
      <c r="AK54" s="1" t="n">
        <f aca="false">B54</f>
        <v>2.78773149765881</v>
      </c>
      <c r="AL54" s="1" t="n">
        <f aca="false">B54</f>
        <v>2.78773149765881</v>
      </c>
      <c r="AM54" s="1" t="n">
        <f aca="false">B54</f>
        <v>2.78773149765881</v>
      </c>
      <c r="AN54" s="1" t="n">
        <f aca="false">F54</f>
        <v>1</v>
      </c>
      <c r="AO54" s="1" t="n">
        <f aca="false">F54</f>
        <v>1</v>
      </c>
      <c r="AP54" s="1" t="n">
        <f aca="false">F54</f>
        <v>1</v>
      </c>
      <c r="AQ54" s="1" t="n">
        <f aca="false">F54</f>
        <v>1</v>
      </c>
      <c r="AR54" s="1" t="n">
        <f aca="false">F54</f>
        <v>1</v>
      </c>
      <c r="AS54" s="1" t="n">
        <f aca="false">F54</f>
        <v>1</v>
      </c>
      <c r="AT54" s="1" t="n">
        <v>1</v>
      </c>
      <c r="AU54" s="1" t="n">
        <f aca="false">F54</f>
        <v>1</v>
      </c>
      <c r="AV54" s="1" t="n">
        <f aca="false">F54</f>
        <v>1</v>
      </c>
      <c r="AW54" s="1" t="n">
        <f aca="false">F54</f>
        <v>1</v>
      </c>
      <c r="AX54" s="1" t="n">
        <f aca="false">B54</f>
        <v>2.78773149765881</v>
      </c>
      <c r="AY54" s="1" t="n">
        <f aca="false">B54</f>
        <v>2.78773149765881</v>
      </c>
      <c r="AZ54" s="1" t="n">
        <f aca="false">B54</f>
        <v>2.78773149765881</v>
      </c>
      <c r="BA54" s="1" t="n">
        <f aca="false">F54</f>
        <v>1</v>
      </c>
      <c r="BB54" s="1" t="n">
        <f aca="false">F54</f>
        <v>1</v>
      </c>
      <c r="BC54" s="1" t="n">
        <f aca="false">B54</f>
        <v>2.78773149765881</v>
      </c>
      <c r="BD54" s="1" t="n">
        <f aca="false">B54</f>
        <v>2.78773149765881</v>
      </c>
      <c r="BE54" s="1" t="n">
        <v>1</v>
      </c>
      <c r="BF54" s="1" t="n">
        <v>1</v>
      </c>
      <c r="BG54" s="1" t="n">
        <f aca="false">B54</f>
        <v>2.78773149765881</v>
      </c>
      <c r="BH54" s="1" t="n">
        <f aca="false">B54</f>
        <v>2.78773149765881</v>
      </c>
      <c r="BI54" s="1" t="n">
        <f aca="false">B54</f>
        <v>2.78773149765881</v>
      </c>
      <c r="BJ54" s="1" t="n">
        <f aca="false">B54</f>
        <v>2.78773149765881</v>
      </c>
      <c r="BK54" s="1" t="n">
        <v>1</v>
      </c>
    </row>
    <row r="55" customFormat="false" ht="12.75" hidden="false" customHeight="false" outlineLevel="0" collapsed="false">
      <c r="A55" s="1" t="n">
        <f aca="false">A54-1</f>
        <v>1972</v>
      </c>
      <c r="B55" s="1" t="n">
        <f aca="false">im!F55/im!E55</f>
        <v>2.77445831057327</v>
      </c>
      <c r="C55" s="1" t="n">
        <f aca="false">B55</f>
        <v>2.77445831057327</v>
      </c>
      <c r="D55" s="1" t="n">
        <f aca="false">B55</f>
        <v>2.77445831057327</v>
      </c>
      <c r="E55" s="1" t="n">
        <f aca="false">B55</f>
        <v>2.77445831057327</v>
      </c>
      <c r="F55" s="1" t="n">
        <v>1</v>
      </c>
      <c r="G55" s="1" t="n">
        <f aca="false">F55</f>
        <v>1</v>
      </c>
      <c r="H55" s="1" t="n">
        <f aca="false">F55</f>
        <v>1</v>
      </c>
      <c r="I55" s="1" t="n">
        <f aca="false">F55</f>
        <v>1</v>
      </c>
      <c r="J55" s="1" t="n">
        <v>1</v>
      </c>
      <c r="K55" s="1" t="n">
        <v>1</v>
      </c>
      <c r="L55" s="1" t="n">
        <f aca="false">B55</f>
        <v>2.77445831057327</v>
      </c>
      <c r="M55" s="1" t="n">
        <f aca="false">B55</f>
        <v>2.77445831057327</v>
      </c>
      <c r="N55" s="1" t="n">
        <f aca="false">B55</f>
        <v>2.77445831057327</v>
      </c>
      <c r="O55" s="1" t="n">
        <f aca="false">B55</f>
        <v>2.77445831057327</v>
      </c>
      <c r="P55" s="1" t="n">
        <f aca="false">B55</f>
        <v>2.77445831057327</v>
      </c>
      <c r="Q55" s="1" t="n">
        <f aca="false">F55</f>
        <v>1</v>
      </c>
      <c r="R55" s="1" t="n">
        <f aca="false">F55</f>
        <v>1</v>
      </c>
      <c r="S55" s="1" t="n">
        <f aca="false">F55</f>
        <v>1</v>
      </c>
      <c r="T55" s="1" t="n">
        <v>1</v>
      </c>
      <c r="U55" s="1" t="n">
        <v>1</v>
      </c>
      <c r="V55" s="1" t="n">
        <f aca="false">F55</f>
        <v>1</v>
      </c>
      <c r="W55" s="1" t="n">
        <f aca="false">F55</f>
        <v>1</v>
      </c>
      <c r="X55" s="1" t="n">
        <f aca="false">F55</f>
        <v>1</v>
      </c>
      <c r="Y55" s="1" t="n">
        <f aca="false">F55</f>
        <v>1</v>
      </c>
      <c r="Z55" s="1" t="n">
        <f aca="false">F55</f>
        <v>1</v>
      </c>
      <c r="AA55" s="1" t="n">
        <f aca="false">F55</f>
        <v>1</v>
      </c>
      <c r="AB55" s="1" t="n">
        <f aca="false">F55</f>
        <v>1</v>
      </c>
      <c r="AC55" s="1" t="n">
        <f aca="false">F55</f>
        <v>1</v>
      </c>
      <c r="AD55" s="1" t="n">
        <f aca="false">F55</f>
        <v>1</v>
      </c>
      <c r="AE55" s="1" t="n">
        <f aca="false">B55</f>
        <v>2.77445831057327</v>
      </c>
      <c r="AF55" s="1" t="n">
        <f aca="false">B55</f>
        <v>2.77445831057327</v>
      </c>
      <c r="AG55" s="1" t="n">
        <f aca="false">B55</f>
        <v>2.77445831057327</v>
      </c>
      <c r="AH55" s="1" t="n">
        <f aca="false">B55</f>
        <v>2.77445831057327</v>
      </c>
      <c r="AI55" s="1" t="n">
        <f aca="false">B55</f>
        <v>2.77445831057327</v>
      </c>
      <c r="AJ55" s="1" t="n">
        <f aca="false">B55</f>
        <v>2.77445831057327</v>
      </c>
      <c r="AK55" s="1" t="n">
        <f aca="false">B55</f>
        <v>2.77445831057327</v>
      </c>
      <c r="AL55" s="1" t="n">
        <f aca="false">B55</f>
        <v>2.77445831057327</v>
      </c>
      <c r="AM55" s="1" t="n">
        <f aca="false">B55</f>
        <v>2.77445831057327</v>
      </c>
      <c r="AN55" s="1" t="n">
        <f aca="false">F55</f>
        <v>1</v>
      </c>
      <c r="AO55" s="1" t="n">
        <f aca="false">F55</f>
        <v>1</v>
      </c>
      <c r="AP55" s="1" t="n">
        <f aca="false">F55</f>
        <v>1</v>
      </c>
      <c r="AQ55" s="1" t="n">
        <f aca="false">F55</f>
        <v>1</v>
      </c>
      <c r="AR55" s="1" t="n">
        <f aca="false">F55</f>
        <v>1</v>
      </c>
      <c r="AS55" s="1" t="n">
        <f aca="false">F55</f>
        <v>1</v>
      </c>
      <c r="AT55" s="1" t="n">
        <v>1</v>
      </c>
      <c r="AU55" s="1" t="n">
        <f aca="false">F55</f>
        <v>1</v>
      </c>
      <c r="AV55" s="1" t="n">
        <f aca="false">F55</f>
        <v>1</v>
      </c>
      <c r="AW55" s="1" t="n">
        <f aca="false">F55</f>
        <v>1</v>
      </c>
      <c r="AX55" s="1" t="n">
        <f aca="false">B55</f>
        <v>2.77445831057327</v>
      </c>
      <c r="AY55" s="1" t="n">
        <f aca="false">B55</f>
        <v>2.77445831057327</v>
      </c>
      <c r="AZ55" s="1" t="n">
        <f aca="false">B55</f>
        <v>2.77445831057327</v>
      </c>
      <c r="BA55" s="1" t="n">
        <f aca="false">F55</f>
        <v>1</v>
      </c>
      <c r="BB55" s="1" t="n">
        <f aca="false">F55</f>
        <v>1</v>
      </c>
      <c r="BC55" s="1" t="n">
        <f aca="false">B55</f>
        <v>2.77445831057327</v>
      </c>
      <c r="BD55" s="1" t="n">
        <f aca="false">B55</f>
        <v>2.77445831057327</v>
      </c>
      <c r="BE55" s="1" t="n">
        <v>1</v>
      </c>
      <c r="BF55" s="1" t="n">
        <v>1</v>
      </c>
      <c r="BG55" s="1" t="n">
        <f aca="false">B55</f>
        <v>2.77445831057327</v>
      </c>
      <c r="BH55" s="1" t="n">
        <f aca="false">B55</f>
        <v>2.77445831057327</v>
      </c>
      <c r="BI55" s="1" t="n">
        <f aca="false">B55</f>
        <v>2.77445831057327</v>
      </c>
      <c r="BJ55" s="1" t="n">
        <f aca="false">B55</f>
        <v>2.77445831057327</v>
      </c>
      <c r="BK55" s="1" t="n">
        <v>1</v>
      </c>
    </row>
    <row r="56" customFormat="false" ht="12.75" hidden="false" customHeight="false" outlineLevel="0" collapsed="false">
      <c r="A56" s="1" t="n">
        <f aca="false">A55-1</f>
        <v>1971</v>
      </c>
      <c r="B56" s="1" t="n">
        <f aca="false">im!F56/im!E56</f>
        <v>2.97524827848714</v>
      </c>
      <c r="C56" s="1" t="n">
        <f aca="false">B56</f>
        <v>2.97524827848714</v>
      </c>
      <c r="D56" s="1" t="n">
        <f aca="false">B56</f>
        <v>2.97524827848714</v>
      </c>
      <c r="E56" s="1" t="n">
        <f aca="false">B56</f>
        <v>2.97524827848714</v>
      </c>
      <c r="F56" s="1" t="n">
        <v>1</v>
      </c>
      <c r="G56" s="1" t="n">
        <f aca="false">F56</f>
        <v>1</v>
      </c>
      <c r="H56" s="1" t="n">
        <f aca="false">F56</f>
        <v>1</v>
      </c>
      <c r="I56" s="1" t="n">
        <f aca="false">F56</f>
        <v>1</v>
      </c>
      <c r="J56" s="1" t="n">
        <v>1</v>
      </c>
      <c r="K56" s="1" t="n">
        <v>1</v>
      </c>
      <c r="L56" s="1" t="n">
        <f aca="false">B56</f>
        <v>2.97524827848714</v>
      </c>
      <c r="M56" s="1" t="n">
        <f aca="false">B56</f>
        <v>2.97524827848714</v>
      </c>
      <c r="N56" s="1" t="n">
        <f aca="false">B56</f>
        <v>2.97524827848714</v>
      </c>
      <c r="O56" s="1" t="n">
        <f aca="false">B56</f>
        <v>2.97524827848714</v>
      </c>
      <c r="P56" s="1" t="n">
        <f aca="false">B56</f>
        <v>2.97524827848714</v>
      </c>
      <c r="Q56" s="1" t="n">
        <f aca="false">F56</f>
        <v>1</v>
      </c>
      <c r="R56" s="1" t="n">
        <f aca="false">F56</f>
        <v>1</v>
      </c>
      <c r="S56" s="1" t="n">
        <f aca="false">F56</f>
        <v>1</v>
      </c>
      <c r="T56" s="1" t="n">
        <v>1</v>
      </c>
      <c r="U56" s="1" t="n">
        <v>1</v>
      </c>
      <c r="V56" s="1" t="n">
        <f aca="false">F56</f>
        <v>1</v>
      </c>
      <c r="W56" s="1" t="n">
        <f aca="false">F56</f>
        <v>1</v>
      </c>
      <c r="X56" s="1" t="n">
        <f aca="false">F56</f>
        <v>1</v>
      </c>
      <c r="Y56" s="1" t="n">
        <f aca="false">F56</f>
        <v>1</v>
      </c>
      <c r="Z56" s="1" t="n">
        <f aca="false">F56</f>
        <v>1</v>
      </c>
      <c r="AA56" s="1" t="n">
        <f aca="false">F56</f>
        <v>1</v>
      </c>
      <c r="AB56" s="1" t="n">
        <f aca="false">F56</f>
        <v>1</v>
      </c>
      <c r="AC56" s="1" t="n">
        <f aca="false">F56</f>
        <v>1</v>
      </c>
      <c r="AD56" s="1" t="n">
        <f aca="false">F56</f>
        <v>1</v>
      </c>
      <c r="AE56" s="1" t="n">
        <f aca="false">B56</f>
        <v>2.97524827848714</v>
      </c>
      <c r="AF56" s="1" t="n">
        <f aca="false">B56</f>
        <v>2.97524827848714</v>
      </c>
      <c r="AG56" s="1" t="n">
        <f aca="false">B56</f>
        <v>2.97524827848714</v>
      </c>
      <c r="AH56" s="1" t="n">
        <f aca="false">B56</f>
        <v>2.97524827848714</v>
      </c>
      <c r="AI56" s="1" t="n">
        <f aca="false">B56</f>
        <v>2.97524827848714</v>
      </c>
      <c r="AJ56" s="1" t="n">
        <f aca="false">B56</f>
        <v>2.97524827848714</v>
      </c>
      <c r="AK56" s="1" t="n">
        <f aca="false">B56</f>
        <v>2.97524827848714</v>
      </c>
      <c r="AL56" s="1" t="n">
        <f aca="false">B56</f>
        <v>2.97524827848714</v>
      </c>
      <c r="AM56" s="1" t="n">
        <f aca="false">B56</f>
        <v>2.97524827848714</v>
      </c>
      <c r="AN56" s="1" t="n">
        <f aca="false">F56</f>
        <v>1</v>
      </c>
      <c r="AO56" s="1" t="n">
        <f aca="false">F56</f>
        <v>1</v>
      </c>
      <c r="AP56" s="1" t="n">
        <f aca="false">F56</f>
        <v>1</v>
      </c>
      <c r="AQ56" s="1" t="n">
        <f aca="false">F56</f>
        <v>1</v>
      </c>
      <c r="AR56" s="1" t="n">
        <f aca="false">F56</f>
        <v>1</v>
      </c>
      <c r="AS56" s="1" t="n">
        <f aca="false">F56</f>
        <v>1</v>
      </c>
      <c r="AT56" s="1" t="n">
        <v>1</v>
      </c>
      <c r="AU56" s="1" t="n">
        <f aca="false">F56</f>
        <v>1</v>
      </c>
      <c r="AV56" s="1" t="n">
        <f aca="false">F56</f>
        <v>1</v>
      </c>
      <c r="AW56" s="1" t="n">
        <f aca="false">F56</f>
        <v>1</v>
      </c>
      <c r="AX56" s="1" t="n">
        <f aca="false">B56</f>
        <v>2.97524827848714</v>
      </c>
      <c r="AY56" s="1" t="n">
        <f aca="false">B56</f>
        <v>2.97524827848714</v>
      </c>
      <c r="AZ56" s="1" t="n">
        <f aca="false">B56</f>
        <v>2.97524827848714</v>
      </c>
      <c r="BA56" s="1" t="n">
        <f aca="false">F56</f>
        <v>1</v>
      </c>
      <c r="BB56" s="1" t="n">
        <f aca="false">F56</f>
        <v>1</v>
      </c>
      <c r="BC56" s="1" t="n">
        <f aca="false">B56</f>
        <v>2.97524827848714</v>
      </c>
      <c r="BD56" s="1" t="n">
        <f aca="false">B56</f>
        <v>2.97524827848714</v>
      </c>
      <c r="BE56" s="1" t="n">
        <v>1</v>
      </c>
      <c r="BF56" s="1" t="n">
        <v>1</v>
      </c>
      <c r="BG56" s="1" t="n">
        <f aca="false">B56</f>
        <v>2.97524827848714</v>
      </c>
      <c r="BH56" s="1" t="n">
        <f aca="false">B56</f>
        <v>2.97524827848714</v>
      </c>
      <c r="BI56" s="1" t="n">
        <f aca="false">B56</f>
        <v>2.97524827848714</v>
      </c>
      <c r="BJ56" s="1" t="n">
        <f aca="false">B56</f>
        <v>2.97524827848714</v>
      </c>
      <c r="BK56" s="1" t="n">
        <v>1</v>
      </c>
    </row>
    <row r="57" customFormat="false" ht="12.75" hidden="false" customHeight="false" outlineLevel="0" collapsed="false">
      <c r="A57" s="1" t="n">
        <f aca="false">A56-1</f>
        <v>1970</v>
      </c>
      <c r="B57" s="1" t="n">
        <f aca="false">im!F57/im!E57</f>
        <v>2.79278800272665</v>
      </c>
      <c r="C57" s="1" t="n">
        <f aca="false">B57</f>
        <v>2.79278800272665</v>
      </c>
      <c r="D57" s="1" t="n">
        <f aca="false">B57</f>
        <v>2.79278800272665</v>
      </c>
      <c r="E57" s="1" t="n">
        <f aca="false">B57</f>
        <v>2.79278800272665</v>
      </c>
      <c r="F57" s="1" t="n">
        <v>1</v>
      </c>
      <c r="G57" s="1" t="n">
        <f aca="false">F57</f>
        <v>1</v>
      </c>
      <c r="H57" s="1" t="n">
        <f aca="false">F57</f>
        <v>1</v>
      </c>
      <c r="I57" s="1" t="n">
        <f aca="false">F57</f>
        <v>1</v>
      </c>
      <c r="J57" s="1" t="n">
        <v>1</v>
      </c>
      <c r="K57" s="1" t="n">
        <v>1</v>
      </c>
      <c r="L57" s="1" t="n">
        <f aca="false">B57</f>
        <v>2.79278800272665</v>
      </c>
      <c r="M57" s="1" t="n">
        <f aca="false">B57</f>
        <v>2.79278800272665</v>
      </c>
      <c r="N57" s="1" t="n">
        <f aca="false">B57</f>
        <v>2.79278800272665</v>
      </c>
      <c r="O57" s="1" t="n">
        <f aca="false">B57</f>
        <v>2.79278800272665</v>
      </c>
      <c r="P57" s="1" t="n">
        <f aca="false">B57</f>
        <v>2.79278800272665</v>
      </c>
      <c r="Q57" s="1" t="n">
        <f aca="false">F57</f>
        <v>1</v>
      </c>
      <c r="R57" s="1" t="n">
        <f aca="false">F57</f>
        <v>1</v>
      </c>
      <c r="S57" s="1" t="n">
        <f aca="false">F57</f>
        <v>1</v>
      </c>
      <c r="T57" s="1" t="n">
        <v>1</v>
      </c>
      <c r="U57" s="1" t="n">
        <v>1</v>
      </c>
      <c r="V57" s="1" t="n">
        <f aca="false">F57</f>
        <v>1</v>
      </c>
      <c r="W57" s="1" t="n">
        <f aca="false">F57</f>
        <v>1</v>
      </c>
      <c r="X57" s="1" t="n">
        <f aca="false">F57</f>
        <v>1</v>
      </c>
      <c r="Y57" s="1" t="n">
        <f aca="false">F57</f>
        <v>1</v>
      </c>
      <c r="Z57" s="1" t="n">
        <f aca="false">F57</f>
        <v>1</v>
      </c>
      <c r="AA57" s="1" t="n">
        <f aca="false">F57</f>
        <v>1</v>
      </c>
      <c r="AB57" s="1" t="n">
        <f aca="false">F57</f>
        <v>1</v>
      </c>
      <c r="AC57" s="1" t="n">
        <f aca="false">F57</f>
        <v>1</v>
      </c>
      <c r="AD57" s="1" t="n">
        <f aca="false">F57</f>
        <v>1</v>
      </c>
      <c r="AE57" s="1" t="n">
        <f aca="false">B57</f>
        <v>2.79278800272665</v>
      </c>
      <c r="AF57" s="1" t="n">
        <f aca="false">B57</f>
        <v>2.79278800272665</v>
      </c>
      <c r="AG57" s="1" t="n">
        <f aca="false">B57</f>
        <v>2.79278800272665</v>
      </c>
      <c r="AH57" s="1" t="n">
        <f aca="false">B57</f>
        <v>2.79278800272665</v>
      </c>
      <c r="AI57" s="1" t="n">
        <f aca="false">B57</f>
        <v>2.79278800272665</v>
      </c>
      <c r="AJ57" s="1" t="n">
        <f aca="false">B57</f>
        <v>2.79278800272665</v>
      </c>
      <c r="AK57" s="1" t="n">
        <f aca="false">B57</f>
        <v>2.79278800272665</v>
      </c>
      <c r="AL57" s="1" t="n">
        <f aca="false">B57</f>
        <v>2.79278800272665</v>
      </c>
      <c r="AM57" s="1" t="n">
        <f aca="false">B57</f>
        <v>2.79278800272665</v>
      </c>
      <c r="AN57" s="1" t="n">
        <f aca="false">F57</f>
        <v>1</v>
      </c>
      <c r="AO57" s="1" t="n">
        <f aca="false">F57</f>
        <v>1</v>
      </c>
      <c r="AP57" s="1" t="n">
        <f aca="false">F57</f>
        <v>1</v>
      </c>
      <c r="AQ57" s="1" t="n">
        <f aca="false">F57</f>
        <v>1</v>
      </c>
      <c r="AR57" s="1" t="n">
        <f aca="false">F57</f>
        <v>1</v>
      </c>
      <c r="AS57" s="1" t="n">
        <f aca="false">F57</f>
        <v>1</v>
      </c>
      <c r="AT57" s="1" t="n">
        <v>1</v>
      </c>
      <c r="AU57" s="1" t="n">
        <f aca="false">F57</f>
        <v>1</v>
      </c>
      <c r="AV57" s="1" t="n">
        <f aca="false">F57</f>
        <v>1</v>
      </c>
      <c r="AW57" s="1" t="n">
        <f aca="false">F57</f>
        <v>1</v>
      </c>
      <c r="AX57" s="1" t="n">
        <f aca="false">B57</f>
        <v>2.79278800272665</v>
      </c>
      <c r="AY57" s="1" t="n">
        <f aca="false">B57</f>
        <v>2.79278800272665</v>
      </c>
      <c r="AZ57" s="1" t="n">
        <f aca="false">B57</f>
        <v>2.79278800272665</v>
      </c>
      <c r="BA57" s="1" t="n">
        <f aca="false">F57</f>
        <v>1</v>
      </c>
      <c r="BB57" s="1" t="n">
        <f aca="false">F57</f>
        <v>1</v>
      </c>
      <c r="BC57" s="1" t="n">
        <f aca="false">B57</f>
        <v>2.79278800272665</v>
      </c>
      <c r="BD57" s="1" t="n">
        <f aca="false">B57</f>
        <v>2.79278800272665</v>
      </c>
      <c r="BE57" s="1" t="n">
        <v>1</v>
      </c>
      <c r="BF57" s="1" t="n">
        <v>1</v>
      </c>
      <c r="BG57" s="1" t="n">
        <f aca="false">B57</f>
        <v>2.79278800272665</v>
      </c>
      <c r="BH57" s="1" t="n">
        <f aca="false">B57</f>
        <v>2.79278800272665</v>
      </c>
      <c r="BI57" s="1" t="n">
        <f aca="false">B57</f>
        <v>2.79278800272665</v>
      </c>
      <c r="BJ57" s="1" t="n">
        <f aca="false">B57</f>
        <v>2.79278800272665</v>
      </c>
      <c r="BK57" s="1" t="n">
        <v>1</v>
      </c>
    </row>
    <row r="58" customFormat="false" ht="12.75" hidden="false" customHeight="false" outlineLevel="0" collapsed="false">
      <c r="A58" s="1" t="n">
        <f aca="false">A57-1</f>
        <v>1969</v>
      </c>
      <c r="B58" s="1" t="n">
        <f aca="false">im!F58/im!E58</f>
        <v>2.57086954019682</v>
      </c>
      <c r="C58" s="1" t="n">
        <f aca="false">B58</f>
        <v>2.57086954019682</v>
      </c>
      <c r="D58" s="1" t="n">
        <f aca="false">B58</f>
        <v>2.57086954019682</v>
      </c>
      <c r="E58" s="1" t="n">
        <f aca="false">B58</f>
        <v>2.57086954019682</v>
      </c>
      <c r="F58" s="1" t="n">
        <v>1</v>
      </c>
      <c r="G58" s="1" t="n">
        <f aca="false">F58</f>
        <v>1</v>
      </c>
      <c r="H58" s="1" t="n">
        <f aca="false">F58</f>
        <v>1</v>
      </c>
      <c r="I58" s="1" t="n">
        <f aca="false">F58</f>
        <v>1</v>
      </c>
      <c r="J58" s="1" t="n">
        <v>1</v>
      </c>
      <c r="K58" s="1" t="n">
        <v>1</v>
      </c>
      <c r="L58" s="1" t="n">
        <f aca="false">B58</f>
        <v>2.57086954019682</v>
      </c>
      <c r="M58" s="1" t="n">
        <f aca="false">B58</f>
        <v>2.57086954019682</v>
      </c>
      <c r="N58" s="1" t="n">
        <f aca="false">B58</f>
        <v>2.57086954019682</v>
      </c>
      <c r="O58" s="1" t="n">
        <f aca="false">B58</f>
        <v>2.57086954019682</v>
      </c>
      <c r="P58" s="1" t="n">
        <f aca="false">B58</f>
        <v>2.57086954019682</v>
      </c>
      <c r="Q58" s="1" t="n">
        <f aca="false">F58</f>
        <v>1</v>
      </c>
      <c r="R58" s="1" t="n">
        <f aca="false">F58</f>
        <v>1</v>
      </c>
      <c r="S58" s="1" t="n">
        <f aca="false">F58</f>
        <v>1</v>
      </c>
      <c r="T58" s="1" t="n">
        <v>1</v>
      </c>
      <c r="U58" s="1" t="n">
        <v>1</v>
      </c>
      <c r="V58" s="1" t="n">
        <f aca="false">F58</f>
        <v>1</v>
      </c>
      <c r="W58" s="1" t="n">
        <f aca="false">F58</f>
        <v>1</v>
      </c>
      <c r="X58" s="1" t="n">
        <f aca="false">F58</f>
        <v>1</v>
      </c>
      <c r="Y58" s="1" t="n">
        <f aca="false">F58</f>
        <v>1</v>
      </c>
      <c r="Z58" s="1" t="n">
        <f aca="false">F58</f>
        <v>1</v>
      </c>
      <c r="AA58" s="1" t="n">
        <f aca="false">F58</f>
        <v>1</v>
      </c>
      <c r="AB58" s="1" t="n">
        <f aca="false">F58</f>
        <v>1</v>
      </c>
      <c r="AC58" s="1" t="n">
        <f aca="false">F58</f>
        <v>1</v>
      </c>
      <c r="AD58" s="1" t="n">
        <f aca="false">F58</f>
        <v>1</v>
      </c>
      <c r="AE58" s="1" t="n">
        <f aca="false">B58</f>
        <v>2.57086954019682</v>
      </c>
      <c r="AF58" s="1" t="n">
        <f aca="false">B58</f>
        <v>2.57086954019682</v>
      </c>
      <c r="AG58" s="1" t="n">
        <f aca="false">B58</f>
        <v>2.57086954019682</v>
      </c>
      <c r="AH58" s="1" t="n">
        <f aca="false">B58</f>
        <v>2.57086954019682</v>
      </c>
      <c r="AI58" s="1" t="n">
        <f aca="false">B58</f>
        <v>2.57086954019682</v>
      </c>
      <c r="AJ58" s="1" t="n">
        <f aca="false">B58</f>
        <v>2.57086954019682</v>
      </c>
      <c r="AK58" s="1" t="n">
        <f aca="false">B58</f>
        <v>2.57086954019682</v>
      </c>
      <c r="AL58" s="1" t="n">
        <f aca="false">B58</f>
        <v>2.57086954019682</v>
      </c>
      <c r="AM58" s="1" t="n">
        <f aca="false">B58</f>
        <v>2.57086954019682</v>
      </c>
      <c r="AN58" s="1" t="n">
        <f aca="false">F58</f>
        <v>1</v>
      </c>
      <c r="AO58" s="1" t="n">
        <f aca="false">F58</f>
        <v>1</v>
      </c>
      <c r="AP58" s="1" t="n">
        <f aca="false">F58</f>
        <v>1</v>
      </c>
      <c r="AQ58" s="1" t="n">
        <f aca="false">F58</f>
        <v>1</v>
      </c>
      <c r="AR58" s="1" t="n">
        <f aca="false">F58</f>
        <v>1</v>
      </c>
      <c r="AS58" s="1" t="n">
        <f aca="false">F58</f>
        <v>1</v>
      </c>
      <c r="AT58" s="1" t="n">
        <v>1</v>
      </c>
      <c r="AU58" s="1" t="n">
        <f aca="false">F58</f>
        <v>1</v>
      </c>
      <c r="AV58" s="1" t="n">
        <f aca="false">F58</f>
        <v>1</v>
      </c>
      <c r="AW58" s="1" t="n">
        <f aca="false">F58</f>
        <v>1</v>
      </c>
      <c r="AX58" s="1" t="n">
        <f aca="false">B58</f>
        <v>2.57086954019682</v>
      </c>
      <c r="AY58" s="1" t="n">
        <f aca="false">B58</f>
        <v>2.57086954019682</v>
      </c>
      <c r="AZ58" s="1" t="n">
        <f aca="false">B58</f>
        <v>2.57086954019682</v>
      </c>
      <c r="BA58" s="1" t="n">
        <f aca="false">F58</f>
        <v>1</v>
      </c>
      <c r="BB58" s="1" t="n">
        <f aca="false">F58</f>
        <v>1</v>
      </c>
      <c r="BC58" s="1" t="n">
        <f aca="false">B58</f>
        <v>2.57086954019682</v>
      </c>
      <c r="BD58" s="1" t="n">
        <f aca="false">B58</f>
        <v>2.57086954019682</v>
      </c>
      <c r="BE58" s="1" t="n">
        <v>1</v>
      </c>
      <c r="BF58" s="1" t="n">
        <v>1</v>
      </c>
      <c r="BG58" s="1" t="n">
        <f aca="false">B58</f>
        <v>2.57086954019682</v>
      </c>
      <c r="BH58" s="1" t="n">
        <f aca="false">B58</f>
        <v>2.57086954019682</v>
      </c>
      <c r="BI58" s="1" t="n">
        <f aca="false">B58</f>
        <v>2.57086954019682</v>
      </c>
      <c r="BJ58" s="1" t="n">
        <f aca="false">B58</f>
        <v>2.57086954019682</v>
      </c>
      <c r="BK58" s="1" t="n">
        <v>1</v>
      </c>
    </row>
    <row r="59" customFormat="false" ht="12.75" hidden="false" customHeight="false" outlineLevel="0" collapsed="false">
      <c r="A59" s="1" t="n">
        <f aca="false">A58-1</f>
        <v>1968</v>
      </c>
      <c r="B59" s="1" t="n">
        <f aca="false">im!F59/im!E59</f>
        <v>3.1330028913672</v>
      </c>
      <c r="C59" s="1" t="n">
        <f aca="false">B59</f>
        <v>3.1330028913672</v>
      </c>
      <c r="D59" s="1" t="n">
        <f aca="false">B59</f>
        <v>3.1330028913672</v>
      </c>
      <c r="E59" s="1" t="n">
        <f aca="false">B59</f>
        <v>3.1330028913672</v>
      </c>
      <c r="F59" s="1" t="n">
        <v>1</v>
      </c>
      <c r="G59" s="1" t="n">
        <f aca="false">F59</f>
        <v>1</v>
      </c>
      <c r="H59" s="1" t="n">
        <f aca="false">F59</f>
        <v>1</v>
      </c>
      <c r="I59" s="1" t="n">
        <f aca="false">F59</f>
        <v>1</v>
      </c>
      <c r="J59" s="1" t="n">
        <v>1</v>
      </c>
      <c r="K59" s="1" t="n">
        <v>1</v>
      </c>
      <c r="L59" s="1" t="n">
        <f aca="false">B59</f>
        <v>3.1330028913672</v>
      </c>
      <c r="M59" s="1" t="n">
        <f aca="false">B59</f>
        <v>3.1330028913672</v>
      </c>
      <c r="N59" s="1" t="n">
        <f aca="false">B59</f>
        <v>3.1330028913672</v>
      </c>
      <c r="O59" s="1" t="n">
        <f aca="false">B59</f>
        <v>3.1330028913672</v>
      </c>
      <c r="P59" s="1" t="n">
        <f aca="false">B59</f>
        <v>3.1330028913672</v>
      </c>
      <c r="Q59" s="1" t="n">
        <f aca="false">F59</f>
        <v>1</v>
      </c>
      <c r="R59" s="1" t="n">
        <f aca="false">F59</f>
        <v>1</v>
      </c>
      <c r="S59" s="1" t="n">
        <f aca="false">F59</f>
        <v>1</v>
      </c>
      <c r="T59" s="1" t="n">
        <v>1</v>
      </c>
      <c r="U59" s="1" t="n">
        <v>1</v>
      </c>
      <c r="V59" s="1" t="n">
        <f aca="false">F59</f>
        <v>1</v>
      </c>
      <c r="W59" s="1" t="n">
        <f aca="false">F59</f>
        <v>1</v>
      </c>
      <c r="X59" s="1" t="n">
        <f aca="false">F59</f>
        <v>1</v>
      </c>
      <c r="Y59" s="1" t="n">
        <f aca="false">F59</f>
        <v>1</v>
      </c>
      <c r="Z59" s="1" t="n">
        <f aca="false">F59</f>
        <v>1</v>
      </c>
      <c r="AA59" s="1" t="n">
        <f aca="false">F59</f>
        <v>1</v>
      </c>
      <c r="AB59" s="1" t="n">
        <f aca="false">F59</f>
        <v>1</v>
      </c>
      <c r="AC59" s="1" t="n">
        <f aca="false">F59</f>
        <v>1</v>
      </c>
      <c r="AD59" s="1" t="n">
        <f aca="false">F59</f>
        <v>1</v>
      </c>
      <c r="AE59" s="1" t="n">
        <f aca="false">B59</f>
        <v>3.1330028913672</v>
      </c>
      <c r="AF59" s="1" t="n">
        <f aca="false">B59</f>
        <v>3.1330028913672</v>
      </c>
      <c r="AG59" s="1" t="n">
        <f aca="false">B59</f>
        <v>3.1330028913672</v>
      </c>
      <c r="AH59" s="1" t="n">
        <f aca="false">B59</f>
        <v>3.1330028913672</v>
      </c>
      <c r="AI59" s="1" t="n">
        <f aca="false">B59</f>
        <v>3.1330028913672</v>
      </c>
      <c r="AJ59" s="1" t="n">
        <f aca="false">B59</f>
        <v>3.1330028913672</v>
      </c>
      <c r="AK59" s="1" t="n">
        <f aca="false">B59</f>
        <v>3.1330028913672</v>
      </c>
      <c r="AL59" s="1" t="n">
        <f aca="false">B59</f>
        <v>3.1330028913672</v>
      </c>
      <c r="AM59" s="1" t="n">
        <f aca="false">B59</f>
        <v>3.1330028913672</v>
      </c>
      <c r="AN59" s="1" t="n">
        <f aca="false">F59</f>
        <v>1</v>
      </c>
      <c r="AO59" s="1" t="n">
        <f aca="false">F59</f>
        <v>1</v>
      </c>
      <c r="AP59" s="1" t="n">
        <f aca="false">F59</f>
        <v>1</v>
      </c>
      <c r="AQ59" s="1" t="n">
        <f aca="false">F59</f>
        <v>1</v>
      </c>
      <c r="AR59" s="1" t="n">
        <f aca="false">F59</f>
        <v>1</v>
      </c>
      <c r="AS59" s="1" t="n">
        <f aca="false">F59</f>
        <v>1</v>
      </c>
      <c r="AT59" s="1" t="n">
        <v>1</v>
      </c>
      <c r="AU59" s="1" t="n">
        <f aca="false">F59</f>
        <v>1</v>
      </c>
      <c r="AV59" s="1" t="n">
        <f aca="false">F59</f>
        <v>1</v>
      </c>
      <c r="AW59" s="1" t="n">
        <f aca="false">F59</f>
        <v>1</v>
      </c>
      <c r="AX59" s="1" t="n">
        <f aca="false">B59</f>
        <v>3.1330028913672</v>
      </c>
      <c r="AY59" s="1" t="n">
        <f aca="false">B59</f>
        <v>3.1330028913672</v>
      </c>
      <c r="AZ59" s="1" t="n">
        <f aca="false">B59</f>
        <v>3.1330028913672</v>
      </c>
      <c r="BA59" s="1" t="n">
        <f aca="false">F59</f>
        <v>1</v>
      </c>
      <c r="BB59" s="1" t="n">
        <f aca="false">F59</f>
        <v>1</v>
      </c>
      <c r="BC59" s="1" t="n">
        <f aca="false">B59</f>
        <v>3.1330028913672</v>
      </c>
      <c r="BD59" s="1" t="n">
        <f aca="false">B59</f>
        <v>3.1330028913672</v>
      </c>
      <c r="BE59" s="1" t="n">
        <v>1</v>
      </c>
      <c r="BF59" s="1" t="n">
        <v>1</v>
      </c>
      <c r="BG59" s="1" t="n">
        <f aca="false">B59</f>
        <v>3.1330028913672</v>
      </c>
      <c r="BH59" s="1" t="n">
        <f aca="false">B59</f>
        <v>3.1330028913672</v>
      </c>
      <c r="BI59" s="1" t="n">
        <f aca="false">B59</f>
        <v>3.1330028913672</v>
      </c>
      <c r="BJ59" s="1" t="n">
        <f aca="false">B59</f>
        <v>3.1330028913672</v>
      </c>
      <c r="BK59" s="1" t="n">
        <v>1</v>
      </c>
    </row>
    <row r="60" customFormat="false" ht="12.75" hidden="false" customHeight="false" outlineLevel="0" collapsed="false">
      <c r="A60" s="1" t="n">
        <f aca="false">A59-1</f>
        <v>1967</v>
      </c>
      <c r="B60" s="1" t="n">
        <f aca="false">im!F60/im!E60</f>
        <v>2.71748565028699</v>
      </c>
      <c r="C60" s="1" t="n">
        <f aca="false">B60</f>
        <v>2.71748565028699</v>
      </c>
      <c r="D60" s="1" t="n">
        <f aca="false">B60</f>
        <v>2.71748565028699</v>
      </c>
      <c r="E60" s="1" t="n">
        <f aca="false">B60</f>
        <v>2.71748565028699</v>
      </c>
      <c r="F60" s="1" t="n">
        <v>1</v>
      </c>
      <c r="G60" s="1" t="n">
        <f aca="false">F60</f>
        <v>1</v>
      </c>
      <c r="H60" s="1" t="n">
        <f aca="false">F60</f>
        <v>1</v>
      </c>
      <c r="I60" s="1" t="n">
        <f aca="false">F60</f>
        <v>1</v>
      </c>
      <c r="J60" s="1" t="n">
        <v>1</v>
      </c>
      <c r="K60" s="1" t="n">
        <v>1</v>
      </c>
      <c r="L60" s="1" t="n">
        <f aca="false">B60</f>
        <v>2.71748565028699</v>
      </c>
      <c r="M60" s="1" t="n">
        <f aca="false">B60</f>
        <v>2.71748565028699</v>
      </c>
      <c r="N60" s="1" t="n">
        <f aca="false">B60</f>
        <v>2.71748565028699</v>
      </c>
      <c r="O60" s="1" t="n">
        <f aca="false">B60</f>
        <v>2.71748565028699</v>
      </c>
      <c r="P60" s="1" t="n">
        <f aca="false">B60</f>
        <v>2.71748565028699</v>
      </c>
      <c r="Q60" s="1" t="n">
        <f aca="false">F60</f>
        <v>1</v>
      </c>
      <c r="R60" s="1" t="n">
        <f aca="false">F60</f>
        <v>1</v>
      </c>
      <c r="S60" s="1" t="n">
        <f aca="false">F60</f>
        <v>1</v>
      </c>
      <c r="T60" s="1" t="n">
        <v>1</v>
      </c>
      <c r="U60" s="1" t="n">
        <v>1</v>
      </c>
      <c r="V60" s="1" t="n">
        <f aca="false">F60</f>
        <v>1</v>
      </c>
      <c r="W60" s="1" t="n">
        <f aca="false">F60</f>
        <v>1</v>
      </c>
      <c r="X60" s="1" t="n">
        <f aca="false">F60</f>
        <v>1</v>
      </c>
      <c r="Y60" s="1" t="n">
        <f aca="false">F60</f>
        <v>1</v>
      </c>
      <c r="Z60" s="1" t="n">
        <f aca="false">F60</f>
        <v>1</v>
      </c>
      <c r="AA60" s="1" t="n">
        <f aca="false">F60</f>
        <v>1</v>
      </c>
      <c r="AB60" s="1" t="n">
        <f aca="false">F60</f>
        <v>1</v>
      </c>
      <c r="AC60" s="1" t="n">
        <f aca="false">F60</f>
        <v>1</v>
      </c>
      <c r="AD60" s="1" t="n">
        <f aca="false">F60</f>
        <v>1</v>
      </c>
      <c r="AE60" s="1" t="n">
        <f aca="false">B60</f>
        <v>2.71748565028699</v>
      </c>
      <c r="AF60" s="1" t="n">
        <f aca="false">B60</f>
        <v>2.71748565028699</v>
      </c>
      <c r="AG60" s="1" t="n">
        <f aca="false">B60</f>
        <v>2.71748565028699</v>
      </c>
      <c r="AH60" s="1" t="n">
        <f aca="false">B60</f>
        <v>2.71748565028699</v>
      </c>
      <c r="AI60" s="1" t="n">
        <f aca="false">B60</f>
        <v>2.71748565028699</v>
      </c>
      <c r="AJ60" s="1" t="n">
        <f aca="false">B60</f>
        <v>2.71748565028699</v>
      </c>
      <c r="AK60" s="1" t="n">
        <f aca="false">B60</f>
        <v>2.71748565028699</v>
      </c>
      <c r="AL60" s="1" t="n">
        <f aca="false">B60</f>
        <v>2.71748565028699</v>
      </c>
      <c r="AM60" s="1" t="n">
        <f aca="false">B60</f>
        <v>2.71748565028699</v>
      </c>
      <c r="AN60" s="1" t="n">
        <f aca="false">F60</f>
        <v>1</v>
      </c>
      <c r="AO60" s="1" t="n">
        <f aca="false">F60</f>
        <v>1</v>
      </c>
      <c r="AP60" s="1" t="n">
        <f aca="false">F60</f>
        <v>1</v>
      </c>
      <c r="AQ60" s="1" t="n">
        <f aca="false">F60</f>
        <v>1</v>
      </c>
      <c r="AR60" s="1" t="n">
        <f aca="false">F60</f>
        <v>1</v>
      </c>
      <c r="AS60" s="1" t="n">
        <f aca="false">F60</f>
        <v>1</v>
      </c>
      <c r="AT60" s="1" t="n">
        <v>1</v>
      </c>
      <c r="AU60" s="1" t="n">
        <f aca="false">F60</f>
        <v>1</v>
      </c>
      <c r="AV60" s="1" t="n">
        <f aca="false">F60</f>
        <v>1</v>
      </c>
      <c r="AW60" s="1" t="n">
        <f aca="false">F60</f>
        <v>1</v>
      </c>
      <c r="AX60" s="1" t="n">
        <f aca="false">B60</f>
        <v>2.71748565028699</v>
      </c>
      <c r="AY60" s="1" t="n">
        <f aca="false">B60</f>
        <v>2.71748565028699</v>
      </c>
      <c r="AZ60" s="1" t="n">
        <f aca="false">B60</f>
        <v>2.71748565028699</v>
      </c>
      <c r="BA60" s="1" t="n">
        <f aca="false">F60</f>
        <v>1</v>
      </c>
      <c r="BB60" s="1" t="n">
        <f aca="false">F60</f>
        <v>1</v>
      </c>
      <c r="BC60" s="1" t="n">
        <f aca="false">B60</f>
        <v>2.71748565028699</v>
      </c>
      <c r="BD60" s="1" t="n">
        <f aca="false">B60</f>
        <v>2.71748565028699</v>
      </c>
      <c r="BE60" s="1" t="n">
        <v>1</v>
      </c>
      <c r="BF60" s="1" t="n">
        <v>1</v>
      </c>
      <c r="BG60" s="1" t="n">
        <f aca="false">B60</f>
        <v>2.71748565028699</v>
      </c>
      <c r="BH60" s="1" t="n">
        <f aca="false">B60</f>
        <v>2.71748565028699</v>
      </c>
      <c r="BI60" s="1" t="n">
        <f aca="false">B60</f>
        <v>2.71748565028699</v>
      </c>
      <c r="BJ60" s="1" t="n">
        <f aca="false">B60</f>
        <v>2.71748565028699</v>
      </c>
      <c r="BK60" s="1" t="n">
        <v>1</v>
      </c>
    </row>
    <row r="61" customFormat="false" ht="12.75" hidden="false" customHeight="false" outlineLevel="0" collapsed="false">
      <c r="A61" s="1" t="n">
        <f aca="false">A60-1</f>
        <v>1966</v>
      </c>
      <c r="B61" s="1" t="n">
        <f aca="false">im!F61/im!E61</f>
        <v>2.50575690828995</v>
      </c>
      <c r="C61" s="1" t="n">
        <f aca="false">B61</f>
        <v>2.50575690828995</v>
      </c>
      <c r="D61" s="1" t="n">
        <f aca="false">B61</f>
        <v>2.50575690828995</v>
      </c>
      <c r="E61" s="1" t="n">
        <f aca="false">B61</f>
        <v>2.50575690828995</v>
      </c>
      <c r="F61" s="1" t="n">
        <v>1</v>
      </c>
      <c r="G61" s="1" t="n">
        <f aca="false">F61</f>
        <v>1</v>
      </c>
      <c r="H61" s="1" t="n">
        <f aca="false">F61</f>
        <v>1</v>
      </c>
      <c r="I61" s="1" t="n">
        <f aca="false">F61</f>
        <v>1</v>
      </c>
      <c r="J61" s="1" t="n">
        <v>1</v>
      </c>
      <c r="K61" s="1" t="n">
        <v>1</v>
      </c>
      <c r="L61" s="1" t="n">
        <f aca="false">B61</f>
        <v>2.50575690828995</v>
      </c>
      <c r="M61" s="1" t="n">
        <f aca="false">B61</f>
        <v>2.50575690828995</v>
      </c>
      <c r="N61" s="1" t="n">
        <f aca="false">B61</f>
        <v>2.50575690828995</v>
      </c>
      <c r="O61" s="1" t="n">
        <f aca="false">B61</f>
        <v>2.50575690828995</v>
      </c>
      <c r="P61" s="1" t="n">
        <f aca="false">B61</f>
        <v>2.50575690828995</v>
      </c>
      <c r="Q61" s="1" t="n">
        <f aca="false">F61</f>
        <v>1</v>
      </c>
      <c r="R61" s="1" t="n">
        <f aca="false">F61</f>
        <v>1</v>
      </c>
      <c r="S61" s="1" t="n">
        <f aca="false">F61</f>
        <v>1</v>
      </c>
      <c r="T61" s="1" t="n">
        <v>1</v>
      </c>
      <c r="U61" s="1" t="n">
        <v>1</v>
      </c>
      <c r="V61" s="1" t="n">
        <f aca="false">F61</f>
        <v>1</v>
      </c>
      <c r="W61" s="1" t="n">
        <f aca="false">F61</f>
        <v>1</v>
      </c>
      <c r="X61" s="1" t="n">
        <f aca="false">F61</f>
        <v>1</v>
      </c>
      <c r="Y61" s="1" t="n">
        <f aca="false">F61</f>
        <v>1</v>
      </c>
      <c r="Z61" s="1" t="n">
        <f aca="false">F61</f>
        <v>1</v>
      </c>
      <c r="AA61" s="1" t="n">
        <f aca="false">F61</f>
        <v>1</v>
      </c>
      <c r="AB61" s="1" t="n">
        <f aca="false">F61</f>
        <v>1</v>
      </c>
      <c r="AC61" s="1" t="n">
        <f aca="false">F61</f>
        <v>1</v>
      </c>
      <c r="AD61" s="1" t="n">
        <f aca="false">F61</f>
        <v>1</v>
      </c>
      <c r="AE61" s="1" t="n">
        <f aca="false">B61</f>
        <v>2.50575690828995</v>
      </c>
      <c r="AF61" s="1" t="n">
        <f aca="false">B61</f>
        <v>2.50575690828995</v>
      </c>
      <c r="AG61" s="1" t="n">
        <f aca="false">B61</f>
        <v>2.50575690828995</v>
      </c>
      <c r="AH61" s="1" t="n">
        <f aca="false">B61</f>
        <v>2.50575690828995</v>
      </c>
      <c r="AI61" s="1" t="n">
        <f aca="false">B61</f>
        <v>2.50575690828995</v>
      </c>
      <c r="AJ61" s="1" t="n">
        <f aca="false">B61</f>
        <v>2.50575690828995</v>
      </c>
      <c r="AK61" s="1" t="n">
        <f aca="false">B61</f>
        <v>2.50575690828995</v>
      </c>
      <c r="AL61" s="1" t="n">
        <f aca="false">B61</f>
        <v>2.50575690828995</v>
      </c>
      <c r="AM61" s="1" t="n">
        <f aca="false">B61</f>
        <v>2.50575690828995</v>
      </c>
      <c r="AN61" s="1" t="n">
        <f aca="false">F61</f>
        <v>1</v>
      </c>
      <c r="AO61" s="1" t="n">
        <f aca="false">F61</f>
        <v>1</v>
      </c>
      <c r="AP61" s="1" t="n">
        <f aca="false">F61</f>
        <v>1</v>
      </c>
      <c r="AQ61" s="1" t="n">
        <f aca="false">F61</f>
        <v>1</v>
      </c>
      <c r="AR61" s="1" t="n">
        <f aca="false">F61</f>
        <v>1</v>
      </c>
      <c r="AS61" s="1" t="n">
        <f aca="false">F61</f>
        <v>1</v>
      </c>
      <c r="AT61" s="1" t="n">
        <v>1</v>
      </c>
      <c r="AU61" s="1" t="n">
        <f aca="false">F61</f>
        <v>1</v>
      </c>
      <c r="AV61" s="1" t="n">
        <f aca="false">F61</f>
        <v>1</v>
      </c>
      <c r="AW61" s="1" t="n">
        <f aca="false">F61</f>
        <v>1</v>
      </c>
      <c r="AX61" s="1" t="n">
        <f aca="false">B61</f>
        <v>2.50575690828995</v>
      </c>
      <c r="AY61" s="1" t="n">
        <f aca="false">B61</f>
        <v>2.50575690828995</v>
      </c>
      <c r="AZ61" s="1" t="n">
        <f aca="false">B61</f>
        <v>2.50575690828995</v>
      </c>
      <c r="BA61" s="1" t="n">
        <f aca="false">F61</f>
        <v>1</v>
      </c>
      <c r="BB61" s="1" t="n">
        <f aca="false">F61</f>
        <v>1</v>
      </c>
      <c r="BC61" s="1" t="n">
        <f aca="false">B61</f>
        <v>2.50575690828995</v>
      </c>
      <c r="BD61" s="1" t="n">
        <f aca="false">B61</f>
        <v>2.50575690828995</v>
      </c>
      <c r="BE61" s="1" t="n">
        <v>1</v>
      </c>
      <c r="BF61" s="1" t="n">
        <v>1</v>
      </c>
      <c r="BG61" s="1" t="n">
        <f aca="false">B61</f>
        <v>2.50575690828995</v>
      </c>
      <c r="BH61" s="1" t="n">
        <f aca="false">B61</f>
        <v>2.50575690828995</v>
      </c>
      <c r="BI61" s="1" t="n">
        <f aca="false">B61</f>
        <v>2.50575690828995</v>
      </c>
      <c r="BJ61" s="1" t="n">
        <f aca="false">B61</f>
        <v>2.50575690828995</v>
      </c>
      <c r="BK61" s="1" t="n">
        <v>1</v>
      </c>
    </row>
    <row r="62" customFormat="false" ht="12.75" hidden="false" customHeight="false" outlineLevel="0" collapsed="false">
      <c r="A62" s="1" t="n">
        <f aca="false">A61-1</f>
        <v>1965</v>
      </c>
      <c r="B62" s="1" t="n">
        <f aca="false">im!F62/im!E62</f>
        <v>2.78205427688079</v>
      </c>
      <c r="C62" s="1" t="n">
        <f aca="false">B62</f>
        <v>2.78205427688079</v>
      </c>
      <c r="D62" s="1" t="n">
        <f aca="false">B62</f>
        <v>2.78205427688079</v>
      </c>
      <c r="E62" s="1" t="n">
        <f aca="false">B62</f>
        <v>2.78205427688079</v>
      </c>
      <c r="F62" s="1" t="n">
        <v>1</v>
      </c>
      <c r="G62" s="1" t="n">
        <f aca="false">F62</f>
        <v>1</v>
      </c>
      <c r="H62" s="1" t="n">
        <f aca="false">F62</f>
        <v>1</v>
      </c>
      <c r="I62" s="1" t="n">
        <f aca="false">F62</f>
        <v>1</v>
      </c>
      <c r="J62" s="1" t="n">
        <v>1</v>
      </c>
      <c r="K62" s="1" t="n">
        <v>1</v>
      </c>
      <c r="L62" s="1" t="n">
        <f aca="false">B62</f>
        <v>2.78205427688079</v>
      </c>
      <c r="M62" s="1" t="n">
        <f aca="false">B62</f>
        <v>2.78205427688079</v>
      </c>
      <c r="N62" s="1" t="n">
        <f aca="false">B62</f>
        <v>2.78205427688079</v>
      </c>
      <c r="O62" s="1" t="n">
        <f aca="false">B62</f>
        <v>2.78205427688079</v>
      </c>
      <c r="P62" s="1" t="n">
        <f aca="false">B62</f>
        <v>2.78205427688079</v>
      </c>
      <c r="Q62" s="1" t="n">
        <f aca="false">F62</f>
        <v>1</v>
      </c>
      <c r="R62" s="1" t="n">
        <f aca="false">F62</f>
        <v>1</v>
      </c>
      <c r="S62" s="1" t="n">
        <f aca="false">F62</f>
        <v>1</v>
      </c>
      <c r="T62" s="1" t="n">
        <v>1</v>
      </c>
      <c r="U62" s="1" t="n">
        <v>1</v>
      </c>
      <c r="V62" s="1" t="n">
        <f aca="false">F62</f>
        <v>1</v>
      </c>
      <c r="W62" s="1" t="n">
        <f aca="false">F62</f>
        <v>1</v>
      </c>
      <c r="X62" s="1" t="n">
        <f aca="false">F62</f>
        <v>1</v>
      </c>
      <c r="Y62" s="1" t="n">
        <f aca="false">F62</f>
        <v>1</v>
      </c>
      <c r="Z62" s="1" t="n">
        <f aca="false">F62</f>
        <v>1</v>
      </c>
      <c r="AA62" s="1" t="n">
        <f aca="false">F62</f>
        <v>1</v>
      </c>
      <c r="AB62" s="1" t="n">
        <f aca="false">F62</f>
        <v>1</v>
      </c>
      <c r="AC62" s="1" t="n">
        <f aca="false">F62</f>
        <v>1</v>
      </c>
      <c r="AD62" s="1" t="n">
        <f aca="false">F62</f>
        <v>1</v>
      </c>
      <c r="AE62" s="1" t="n">
        <f aca="false">B62</f>
        <v>2.78205427688079</v>
      </c>
      <c r="AF62" s="1" t="n">
        <f aca="false">B62</f>
        <v>2.78205427688079</v>
      </c>
      <c r="AG62" s="1" t="n">
        <f aca="false">B62</f>
        <v>2.78205427688079</v>
      </c>
      <c r="AH62" s="1" t="n">
        <f aca="false">B62</f>
        <v>2.78205427688079</v>
      </c>
      <c r="AI62" s="1" t="n">
        <f aca="false">B62</f>
        <v>2.78205427688079</v>
      </c>
      <c r="AJ62" s="1" t="n">
        <f aca="false">B62</f>
        <v>2.78205427688079</v>
      </c>
      <c r="AK62" s="1" t="n">
        <f aca="false">B62</f>
        <v>2.78205427688079</v>
      </c>
      <c r="AL62" s="1" t="n">
        <f aca="false">B62</f>
        <v>2.78205427688079</v>
      </c>
      <c r="AM62" s="1" t="n">
        <f aca="false">B62</f>
        <v>2.78205427688079</v>
      </c>
      <c r="AN62" s="1" t="n">
        <f aca="false">F62</f>
        <v>1</v>
      </c>
      <c r="AO62" s="1" t="n">
        <f aca="false">F62</f>
        <v>1</v>
      </c>
      <c r="AP62" s="1" t="n">
        <f aca="false">F62</f>
        <v>1</v>
      </c>
      <c r="AQ62" s="1" t="n">
        <f aca="false">F62</f>
        <v>1</v>
      </c>
      <c r="AR62" s="1" t="n">
        <f aca="false">F62</f>
        <v>1</v>
      </c>
      <c r="AS62" s="1" t="n">
        <f aca="false">F62</f>
        <v>1</v>
      </c>
      <c r="AT62" s="1" t="n">
        <v>1</v>
      </c>
      <c r="AU62" s="1" t="n">
        <f aca="false">F62</f>
        <v>1</v>
      </c>
      <c r="AV62" s="1" t="n">
        <f aca="false">F62</f>
        <v>1</v>
      </c>
      <c r="AW62" s="1" t="n">
        <f aca="false">F62</f>
        <v>1</v>
      </c>
      <c r="AX62" s="1" t="n">
        <f aca="false">B62</f>
        <v>2.78205427688079</v>
      </c>
      <c r="AY62" s="1" t="n">
        <f aca="false">B62</f>
        <v>2.78205427688079</v>
      </c>
      <c r="AZ62" s="1" t="n">
        <f aca="false">B62</f>
        <v>2.78205427688079</v>
      </c>
      <c r="BA62" s="1" t="n">
        <f aca="false">F62</f>
        <v>1</v>
      </c>
      <c r="BB62" s="1" t="n">
        <f aca="false">F62</f>
        <v>1</v>
      </c>
      <c r="BC62" s="1" t="n">
        <f aca="false">B62</f>
        <v>2.78205427688079</v>
      </c>
      <c r="BD62" s="1" t="n">
        <f aca="false">B62</f>
        <v>2.78205427688079</v>
      </c>
      <c r="BE62" s="1" t="n">
        <v>1</v>
      </c>
      <c r="BF62" s="1" t="n">
        <v>1</v>
      </c>
      <c r="BG62" s="1" t="n">
        <f aca="false">B62</f>
        <v>2.78205427688079</v>
      </c>
      <c r="BH62" s="1" t="n">
        <f aca="false">B62</f>
        <v>2.78205427688079</v>
      </c>
      <c r="BI62" s="1" t="n">
        <f aca="false">B62</f>
        <v>2.78205427688079</v>
      </c>
      <c r="BJ62" s="1" t="n">
        <f aca="false">B62</f>
        <v>2.78205427688079</v>
      </c>
      <c r="BK62" s="1" t="n">
        <v>1</v>
      </c>
    </row>
    <row r="63" customFormat="false" ht="12.75" hidden="false" customHeight="false" outlineLevel="0" collapsed="false">
      <c r="A63" s="1" t="n">
        <f aca="false">A62-1</f>
        <v>1964</v>
      </c>
      <c r="B63" s="1" t="n">
        <f aca="false">im!F63/im!E63</f>
        <v>2.39429082952059</v>
      </c>
      <c r="C63" s="1" t="n">
        <f aca="false">B63</f>
        <v>2.39429082952059</v>
      </c>
      <c r="D63" s="1" t="n">
        <f aca="false">B63</f>
        <v>2.39429082952059</v>
      </c>
      <c r="E63" s="1" t="n">
        <f aca="false">B63</f>
        <v>2.39429082952059</v>
      </c>
      <c r="F63" s="1" t="n">
        <v>1</v>
      </c>
      <c r="G63" s="1" t="n">
        <f aca="false">F63</f>
        <v>1</v>
      </c>
      <c r="H63" s="1" t="n">
        <f aca="false">F63</f>
        <v>1</v>
      </c>
      <c r="I63" s="1" t="n">
        <f aca="false">F63</f>
        <v>1</v>
      </c>
      <c r="J63" s="1" t="n">
        <v>1</v>
      </c>
      <c r="K63" s="1" t="n">
        <v>1</v>
      </c>
      <c r="L63" s="1" t="n">
        <f aca="false">B63</f>
        <v>2.39429082952059</v>
      </c>
      <c r="M63" s="1" t="n">
        <f aca="false">B63</f>
        <v>2.39429082952059</v>
      </c>
      <c r="N63" s="1" t="n">
        <f aca="false">B63</f>
        <v>2.39429082952059</v>
      </c>
      <c r="O63" s="1" t="n">
        <f aca="false">B63</f>
        <v>2.39429082952059</v>
      </c>
      <c r="P63" s="1" t="n">
        <f aca="false">B63</f>
        <v>2.39429082952059</v>
      </c>
      <c r="Q63" s="1" t="n">
        <f aca="false">F63</f>
        <v>1</v>
      </c>
      <c r="R63" s="1" t="n">
        <f aca="false">F63</f>
        <v>1</v>
      </c>
      <c r="S63" s="1" t="n">
        <f aca="false">F63</f>
        <v>1</v>
      </c>
      <c r="T63" s="1" t="n">
        <v>1</v>
      </c>
      <c r="U63" s="1" t="n">
        <v>1</v>
      </c>
      <c r="V63" s="1" t="n">
        <f aca="false">F63</f>
        <v>1</v>
      </c>
      <c r="W63" s="1" t="n">
        <f aca="false">F63</f>
        <v>1</v>
      </c>
      <c r="X63" s="1" t="n">
        <f aca="false">F63</f>
        <v>1</v>
      </c>
      <c r="Y63" s="1" t="n">
        <f aca="false">F63</f>
        <v>1</v>
      </c>
      <c r="Z63" s="1" t="n">
        <f aca="false">F63</f>
        <v>1</v>
      </c>
      <c r="AA63" s="1" t="n">
        <f aca="false">F63</f>
        <v>1</v>
      </c>
      <c r="AB63" s="1" t="n">
        <f aca="false">F63</f>
        <v>1</v>
      </c>
      <c r="AC63" s="1" t="n">
        <f aca="false">F63</f>
        <v>1</v>
      </c>
      <c r="AD63" s="1" t="n">
        <f aca="false">F63</f>
        <v>1</v>
      </c>
      <c r="AE63" s="1" t="n">
        <f aca="false">B63</f>
        <v>2.39429082952059</v>
      </c>
      <c r="AF63" s="1" t="n">
        <f aca="false">B63</f>
        <v>2.39429082952059</v>
      </c>
      <c r="AG63" s="1" t="n">
        <f aca="false">B63</f>
        <v>2.39429082952059</v>
      </c>
      <c r="AH63" s="1" t="n">
        <f aca="false">B63</f>
        <v>2.39429082952059</v>
      </c>
      <c r="AI63" s="1" t="n">
        <f aca="false">B63</f>
        <v>2.39429082952059</v>
      </c>
      <c r="AJ63" s="1" t="n">
        <f aca="false">B63</f>
        <v>2.39429082952059</v>
      </c>
      <c r="AK63" s="1" t="n">
        <f aca="false">B63</f>
        <v>2.39429082952059</v>
      </c>
      <c r="AL63" s="1" t="n">
        <f aca="false">B63</f>
        <v>2.39429082952059</v>
      </c>
      <c r="AM63" s="1" t="n">
        <f aca="false">B63</f>
        <v>2.39429082952059</v>
      </c>
      <c r="AN63" s="1" t="n">
        <f aca="false">F63</f>
        <v>1</v>
      </c>
      <c r="AO63" s="1" t="n">
        <f aca="false">F63</f>
        <v>1</v>
      </c>
      <c r="AP63" s="1" t="n">
        <f aca="false">F63</f>
        <v>1</v>
      </c>
      <c r="AQ63" s="1" t="n">
        <f aca="false">F63</f>
        <v>1</v>
      </c>
      <c r="AR63" s="1" t="n">
        <f aca="false">F63</f>
        <v>1</v>
      </c>
      <c r="AS63" s="1" t="n">
        <f aca="false">F63</f>
        <v>1</v>
      </c>
      <c r="AT63" s="1" t="n">
        <v>1</v>
      </c>
      <c r="AU63" s="1" t="n">
        <f aca="false">F63</f>
        <v>1</v>
      </c>
      <c r="AV63" s="1" t="n">
        <f aca="false">F63</f>
        <v>1</v>
      </c>
      <c r="AW63" s="1" t="n">
        <f aca="false">F63</f>
        <v>1</v>
      </c>
      <c r="AX63" s="1" t="n">
        <f aca="false">B63</f>
        <v>2.39429082952059</v>
      </c>
      <c r="AY63" s="1" t="n">
        <f aca="false">B63</f>
        <v>2.39429082952059</v>
      </c>
      <c r="AZ63" s="1" t="n">
        <f aca="false">B63</f>
        <v>2.39429082952059</v>
      </c>
      <c r="BA63" s="1" t="n">
        <f aca="false">F63</f>
        <v>1</v>
      </c>
      <c r="BB63" s="1" t="n">
        <f aca="false">F63</f>
        <v>1</v>
      </c>
      <c r="BC63" s="1" t="n">
        <f aca="false">B63</f>
        <v>2.39429082952059</v>
      </c>
      <c r="BD63" s="1" t="n">
        <f aca="false">B63</f>
        <v>2.39429082952059</v>
      </c>
      <c r="BE63" s="1" t="n">
        <v>1</v>
      </c>
      <c r="BF63" s="1" t="n">
        <v>1</v>
      </c>
      <c r="BG63" s="1" t="n">
        <f aca="false">B63</f>
        <v>2.39429082952059</v>
      </c>
      <c r="BH63" s="1" t="n">
        <f aca="false">B63</f>
        <v>2.39429082952059</v>
      </c>
      <c r="BI63" s="1" t="n">
        <f aca="false">B63</f>
        <v>2.39429082952059</v>
      </c>
      <c r="BJ63" s="1" t="n">
        <f aca="false">B63</f>
        <v>2.39429082952059</v>
      </c>
      <c r="BK63" s="1" t="n">
        <v>1</v>
      </c>
    </row>
    <row r="64" customFormat="false" ht="12.75" hidden="false" customHeight="false" outlineLevel="0" collapsed="false">
      <c r="A64" s="1" t="n">
        <f aca="false">A63-1</f>
        <v>1963</v>
      </c>
      <c r="B64" s="1" t="n">
        <f aca="false">im!F66/im!E66</f>
        <v>2.74934952298352</v>
      </c>
      <c r="C64" s="1" t="n">
        <f aca="false">B64</f>
        <v>2.74934952298352</v>
      </c>
      <c r="D64" s="1" t="n">
        <f aca="false">B64</f>
        <v>2.74934952298352</v>
      </c>
      <c r="E64" s="1" t="n">
        <f aca="false">B64</f>
        <v>2.74934952298352</v>
      </c>
      <c r="F64" s="1" t="n">
        <v>1</v>
      </c>
      <c r="G64" s="1" t="n">
        <f aca="false">F64</f>
        <v>1</v>
      </c>
      <c r="H64" s="1" t="n">
        <f aca="false">F64</f>
        <v>1</v>
      </c>
      <c r="I64" s="1" t="n">
        <f aca="false">F64</f>
        <v>1</v>
      </c>
      <c r="J64" s="1" t="n">
        <v>1</v>
      </c>
      <c r="K64" s="1" t="n">
        <v>1</v>
      </c>
      <c r="L64" s="1" t="n">
        <f aca="false">B64</f>
        <v>2.74934952298352</v>
      </c>
      <c r="M64" s="1" t="n">
        <f aca="false">B64</f>
        <v>2.74934952298352</v>
      </c>
      <c r="N64" s="1" t="n">
        <f aca="false">B64</f>
        <v>2.74934952298352</v>
      </c>
      <c r="O64" s="1" t="n">
        <f aca="false">B64</f>
        <v>2.74934952298352</v>
      </c>
      <c r="P64" s="1" t="n">
        <f aca="false">B64</f>
        <v>2.74934952298352</v>
      </c>
      <c r="Q64" s="1" t="n">
        <f aca="false">F64</f>
        <v>1</v>
      </c>
      <c r="R64" s="1" t="n">
        <f aca="false">F64</f>
        <v>1</v>
      </c>
      <c r="S64" s="1" t="n">
        <f aca="false">F64</f>
        <v>1</v>
      </c>
      <c r="T64" s="1" t="n">
        <v>1</v>
      </c>
      <c r="U64" s="1" t="n">
        <v>1</v>
      </c>
      <c r="V64" s="1" t="n">
        <f aca="false">F64</f>
        <v>1</v>
      </c>
      <c r="W64" s="1" t="n">
        <f aca="false">F64</f>
        <v>1</v>
      </c>
      <c r="X64" s="1" t="n">
        <f aca="false">F64</f>
        <v>1</v>
      </c>
      <c r="Y64" s="1" t="n">
        <f aca="false">F64</f>
        <v>1</v>
      </c>
      <c r="Z64" s="1" t="n">
        <f aca="false">F64</f>
        <v>1</v>
      </c>
      <c r="AA64" s="1" t="n">
        <f aca="false">F64</f>
        <v>1</v>
      </c>
      <c r="AB64" s="1" t="n">
        <f aca="false">F64</f>
        <v>1</v>
      </c>
      <c r="AC64" s="1" t="n">
        <f aca="false">F64</f>
        <v>1</v>
      </c>
      <c r="AD64" s="1" t="n">
        <f aca="false">F64</f>
        <v>1</v>
      </c>
      <c r="AE64" s="1" t="n">
        <f aca="false">B64</f>
        <v>2.74934952298352</v>
      </c>
      <c r="AF64" s="1" t="n">
        <f aca="false">B64</f>
        <v>2.74934952298352</v>
      </c>
      <c r="AG64" s="1" t="n">
        <f aca="false">B64</f>
        <v>2.74934952298352</v>
      </c>
      <c r="AH64" s="1" t="n">
        <f aca="false">B64</f>
        <v>2.74934952298352</v>
      </c>
      <c r="AI64" s="1" t="n">
        <f aca="false">B64</f>
        <v>2.74934952298352</v>
      </c>
      <c r="AJ64" s="1" t="n">
        <f aca="false">B64</f>
        <v>2.74934952298352</v>
      </c>
      <c r="AK64" s="1" t="n">
        <f aca="false">B64</f>
        <v>2.74934952298352</v>
      </c>
      <c r="AL64" s="1" t="n">
        <f aca="false">B64</f>
        <v>2.74934952298352</v>
      </c>
      <c r="AM64" s="1" t="n">
        <f aca="false">B64</f>
        <v>2.74934952298352</v>
      </c>
      <c r="AN64" s="1" t="n">
        <f aca="false">F64</f>
        <v>1</v>
      </c>
      <c r="AO64" s="1" t="n">
        <f aca="false">F64</f>
        <v>1</v>
      </c>
      <c r="AP64" s="1" t="n">
        <f aca="false">F64</f>
        <v>1</v>
      </c>
      <c r="AQ64" s="1" t="n">
        <f aca="false">F64</f>
        <v>1</v>
      </c>
      <c r="AR64" s="1" t="n">
        <f aca="false">F64</f>
        <v>1</v>
      </c>
      <c r="AS64" s="1" t="n">
        <f aca="false">F64</f>
        <v>1</v>
      </c>
      <c r="AT64" s="1" t="n">
        <v>1</v>
      </c>
      <c r="AU64" s="1" t="n">
        <f aca="false">F64</f>
        <v>1</v>
      </c>
      <c r="AV64" s="1" t="n">
        <f aca="false">F64</f>
        <v>1</v>
      </c>
      <c r="AW64" s="1" t="n">
        <f aca="false">F64</f>
        <v>1</v>
      </c>
      <c r="AX64" s="1" t="n">
        <f aca="false">B64</f>
        <v>2.74934952298352</v>
      </c>
      <c r="AY64" s="1" t="n">
        <f aca="false">B64</f>
        <v>2.74934952298352</v>
      </c>
      <c r="AZ64" s="1" t="n">
        <f aca="false">B64</f>
        <v>2.74934952298352</v>
      </c>
      <c r="BA64" s="1" t="n">
        <f aca="false">F64</f>
        <v>1</v>
      </c>
      <c r="BB64" s="1" t="n">
        <f aca="false">F64</f>
        <v>1</v>
      </c>
      <c r="BC64" s="1" t="n">
        <f aca="false">B64</f>
        <v>2.74934952298352</v>
      </c>
      <c r="BD64" s="1" t="n">
        <f aca="false">B64</f>
        <v>2.74934952298352</v>
      </c>
      <c r="BE64" s="1" t="n">
        <v>1</v>
      </c>
      <c r="BF64" s="1" t="n">
        <v>1</v>
      </c>
      <c r="BG64" s="1" t="n">
        <f aca="false">B64</f>
        <v>2.74934952298352</v>
      </c>
      <c r="BH64" s="1" t="n">
        <f aca="false">B64</f>
        <v>2.74934952298352</v>
      </c>
      <c r="BI64" s="1" t="n">
        <f aca="false">B64</f>
        <v>2.74934952298352</v>
      </c>
      <c r="BJ64" s="1" t="n">
        <f aca="false">B64</f>
        <v>2.74934952298352</v>
      </c>
      <c r="BK64" s="1" t="n">
        <v>1</v>
      </c>
    </row>
    <row r="65" customFormat="false" ht="12.75" hidden="false" customHeight="false" outlineLevel="0" collapsed="false">
      <c r="A65" s="1" t="n">
        <f aca="false">A64-1</f>
        <v>1962</v>
      </c>
      <c r="B65" s="1" t="n">
        <f aca="false">B64</f>
        <v>2.74934952298352</v>
      </c>
      <c r="C65" s="1" t="n">
        <f aca="false">B65</f>
        <v>2.74934952298352</v>
      </c>
      <c r="D65" s="1" t="n">
        <f aca="false">B65</f>
        <v>2.74934952298352</v>
      </c>
      <c r="E65" s="1" t="n">
        <f aca="false">B65</f>
        <v>2.74934952298352</v>
      </c>
      <c r="F65" s="1" t="n">
        <v>1</v>
      </c>
      <c r="G65" s="1" t="n">
        <f aca="false">F65</f>
        <v>1</v>
      </c>
      <c r="H65" s="1" t="n">
        <f aca="false">F65</f>
        <v>1</v>
      </c>
      <c r="I65" s="1" t="n">
        <f aca="false">F65</f>
        <v>1</v>
      </c>
      <c r="J65" s="1" t="n">
        <v>1</v>
      </c>
      <c r="K65" s="1" t="n">
        <v>1</v>
      </c>
      <c r="L65" s="1" t="n">
        <f aca="false">B65</f>
        <v>2.74934952298352</v>
      </c>
      <c r="M65" s="1" t="n">
        <f aca="false">B65</f>
        <v>2.74934952298352</v>
      </c>
      <c r="N65" s="1" t="n">
        <f aca="false">B65</f>
        <v>2.74934952298352</v>
      </c>
      <c r="O65" s="1" t="n">
        <f aca="false">B65</f>
        <v>2.74934952298352</v>
      </c>
      <c r="P65" s="1" t="n">
        <f aca="false">B65</f>
        <v>2.74934952298352</v>
      </c>
      <c r="Q65" s="1" t="n">
        <f aca="false">F65</f>
        <v>1</v>
      </c>
      <c r="R65" s="1" t="n">
        <f aca="false">F65</f>
        <v>1</v>
      </c>
      <c r="S65" s="1" t="n">
        <f aca="false">F65</f>
        <v>1</v>
      </c>
      <c r="T65" s="1" t="n">
        <v>1</v>
      </c>
      <c r="U65" s="1" t="n">
        <v>1</v>
      </c>
      <c r="V65" s="1" t="n">
        <f aca="false">F65</f>
        <v>1</v>
      </c>
      <c r="W65" s="1" t="n">
        <f aca="false">F65</f>
        <v>1</v>
      </c>
      <c r="X65" s="1" t="n">
        <f aca="false">F65</f>
        <v>1</v>
      </c>
      <c r="Y65" s="1" t="n">
        <f aca="false">F65</f>
        <v>1</v>
      </c>
      <c r="Z65" s="1" t="n">
        <f aca="false">F65</f>
        <v>1</v>
      </c>
      <c r="AA65" s="1" t="n">
        <f aca="false">F65</f>
        <v>1</v>
      </c>
      <c r="AB65" s="1" t="n">
        <f aca="false">F65</f>
        <v>1</v>
      </c>
      <c r="AC65" s="1" t="n">
        <f aca="false">F65</f>
        <v>1</v>
      </c>
      <c r="AD65" s="1" t="n">
        <f aca="false">F65</f>
        <v>1</v>
      </c>
      <c r="AE65" s="1" t="n">
        <f aca="false">B65</f>
        <v>2.74934952298352</v>
      </c>
      <c r="AF65" s="1" t="n">
        <f aca="false">B65</f>
        <v>2.74934952298352</v>
      </c>
      <c r="AG65" s="1" t="n">
        <f aca="false">B65</f>
        <v>2.74934952298352</v>
      </c>
      <c r="AH65" s="1" t="n">
        <f aca="false">B65</f>
        <v>2.74934952298352</v>
      </c>
      <c r="AI65" s="1" t="n">
        <f aca="false">B65</f>
        <v>2.74934952298352</v>
      </c>
      <c r="AJ65" s="1" t="n">
        <f aca="false">B65</f>
        <v>2.74934952298352</v>
      </c>
      <c r="AK65" s="1" t="n">
        <f aca="false">B65</f>
        <v>2.74934952298352</v>
      </c>
      <c r="AL65" s="1" t="n">
        <f aca="false">B65</f>
        <v>2.74934952298352</v>
      </c>
      <c r="AM65" s="1" t="n">
        <f aca="false">B65</f>
        <v>2.74934952298352</v>
      </c>
      <c r="AN65" s="1" t="n">
        <f aca="false">F65</f>
        <v>1</v>
      </c>
      <c r="AO65" s="1" t="n">
        <f aca="false">F65</f>
        <v>1</v>
      </c>
      <c r="AP65" s="1" t="n">
        <f aca="false">F65</f>
        <v>1</v>
      </c>
      <c r="AQ65" s="1" t="n">
        <f aca="false">F65</f>
        <v>1</v>
      </c>
      <c r="AR65" s="1" t="n">
        <f aca="false">F65</f>
        <v>1</v>
      </c>
      <c r="AS65" s="1" t="n">
        <f aca="false">F65</f>
        <v>1</v>
      </c>
      <c r="AT65" s="1" t="n">
        <v>1</v>
      </c>
      <c r="AU65" s="1" t="n">
        <f aca="false">F65</f>
        <v>1</v>
      </c>
      <c r="AV65" s="1" t="n">
        <f aca="false">F65</f>
        <v>1</v>
      </c>
      <c r="AW65" s="1" t="n">
        <f aca="false">F65</f>
        <v>1</v>
      </c>
      <c r="AX65" s="1" t="n">
        <f aca="false">B65</f>
        <v>2.74934952298352</v>
      </c>
      <c r="AY65" s="1" t="n">
        <f aca="false">B65</f>
        <v>2.74934952298352</v>
      </c>
      <c r="AZ65" s="1" t="n">
        <f aca="false">B65</f>
        <v>2.74934952298352</v>
      </c>
      <c r="BA65" s="1" t="n">
        <f aca="false">F65</f>
        <v>1</v>
      </c>
      <c r="BB65" s="1" t="n">
        <f aca="false">F65</f>
        <v>1</v>
      </c>
      <c r="BC65" s="1" t="n">
        <f aca="false">B65</f>
        <v>2.74934952298352</v>
      </c>
      <c r="BD65" s="1" t="n">
        <f aca="false">B65</f>
        <v>2.74934952298352</v>
      </c>
      <c r="BE65" s="1" t="n">
        <v>1</v>
      </c>
      <c r="BF65" s="1" t="n">
        <v>1</v>
      </c>
      <c r="BG65" s="1" t="n">
        <f aca="false">B65</f>
        <v>2.74934952298352</v>
      </c>
      <c r="BH65" s="1" t="n">
        <f aca="false">B65</f>
        <v>2.74934952298352</v>
      </c>
      <c r="BI65" s="1" t="n">
        <f aca="false">B65</f>
        <v>2.74934952298352</v>
      </c>
      <c r="BJ65" s="1" t="n">
        <f aca="false">B65</f>
        <v>2.74934952298352</v>
      </c>
      <c r="BK65" s="1" t="n">
        <v>1</v>
      </c>
    </row>
    <row r="66" customFormat="false" ht="12.75" hidden="false" customHeight="false" outlineLevel="0" collapsed="false">
      <c r="A66" s="1" t="n">
        <f aca="false">A65-1</f>
        <v>1961</v>
      </c>
      <c r="B66" s="1" t="n">
        <f aca="false">im!F65/im!E65</f>
        <v>2.58323563892146</v>
      </c>
      <c r="C66" s="1" t="n">
        <f aca="false">B66</f>
        <v>2.58323563892146</v>
      </c>
      <c r="D66" s="1" t="n">
        <f aca="false">B66</f>
        <v>2.58323563892146</v>
      </c>
      <c r="E66" s="1" t="n">
        <f aca="false">B66</f>
        <v>2.58323563892146</v>
      </c>
      <c r="F66" s="1" t="n">
        <v>1</v>
      </c>
      <c r="G66" s="1" t="n">
        <f aca="false">F66</f>
        <v>1</v>
      </c>
      <c r="H66" s="1" t="n">
        <f aca="false">F66</f>
        <v>1</v>
      </c>
      <c r="I66" s="1" t="n">
        <f aca="false">F66</f>
        <v>1</v>
      </c>
      <c r="J66" s="1" t="n">
        <v>1</v>
      </c>
      <c r="K66" s="1" t="n">
        <v>1</v>
      </c>
      <c r="L66" s="1" t="n">
        <f aca="false">B66</f>
        <v>2.58323563892146</v>
      </c>
      <c r="M66" s="1" t="n">
        <f aca="false">B66</f>
        <v>2.58323563892146</v>
      </c>
      <c r="N66" s="1" t="n">
        <f aca="false">B66</f>
        <v>2.58323563892146</v>
      </c>
      <c r="O66" s="1" t="n">
        <f aca="false">B66</f>
        <v>2.58323563892146</v>
      </c>
      <c r="P66" s="1" t="n">
        <f aca="false">B66</f>
        <v>2.58323563892146</v>
      </c>
      <c r="Q66" s="1" t="n">
        <f aca="false">F66</f>
        <v>1</v>
      </c>
      <c r="R66" s="1" t="n">
        <f aca="false">F66</f>
        <v>1</v>
      </c>
      <c r="S66" s="1" t="n">
        <f aca="false">F66</f>
        <v>1</v>
      </c>
      <c r="T66" s="1" t="n">
        <v>1</v>
      </c>
      <c r="U66" s="1" t="n">
        <v>1</v>
      </c>
      <c r="V66" s="1" t="n">
        <f aca="false">F66</f>
        <v>1</v>
      </c>
      <c r="W66" s="1" t="n">
        <f aca="false">F66</f>
        <v>1</v>
      </c>
      <c r="X66" s="1" t="n">
        <f aca="false">F66</f>
        <v>1</v>
      </c>
      <c r="Y66" s="1" t="n">
        <f aca="false">F66</f>
        <v>1</v>
      </c>
      <c r="Z66" s="1" t="n">
        <f aca="false">F66</f>
        <v>1</v>
      </c>
      <c r="AA66" s="1" t="n">
        <f aca="false">F66</f>
        <v>1</v>
      </c>
      <c r="AB66" s="1" t="n">
        <f aca="false">F66</f>
        <v>1</v>
      </c>
      <c r="AC66" s="1" t="n">
        <f aca="false">F66</f>
        <v>1</v>
      </c>
      <c r="AD66" s="1" t="n">
        <f aca="false">F66</f>
        <v>1</v>
      </c>
      <c r="AE66" s="1" t="n">
        <f aca="false">B66</f>
        <v>2.58323563892146</v>
      </c>
      <c r="AF66" s="1" t="n">
        <f aca="false">B66</f>
        <v>2.58323563892146</v>
      </c>
      <c r="AG66" s="1" t="n">
        <f aca="false">B66</f>
        <v>2.58323563892146</v>
      </c>
      <c r="AH66" s="1" t="n">
        <f aca="false">B66</f>
        <v>2.58323563892146</v>
      </c>
      <c r="AI66" s="1" t="n">
        <f aca="false">B66</f>
        <v>2.58323563892146</v>
      </c>
      <c r="AJ66" s="1" t="n">
        <f aca="false">B66</f>
        <v>2.58323563892146</v>
      </c>
      <c r="AK66" s="1" t="n">
        <f aca="false">B66</f>
        <v>2.58323563892146</v>
      </c>
      <c r="AL66" s="1" t="n">
        <f aca="false">B66</f>
        <v>2.58323563892146</v>
      </c>
      <c r="AM66" s="1" t="n">
        <f aca="false">B66</f>
        <v>2.58323563892146</v>
      </c>
      <c r="AN66" s="1" t="n">
        <f aca="false">F66</f>
        <v>1</v>
      </c>
      <c r="AO66" s="1" t="n">
        <f aca="false">F66</f>
        <v>1</v>
      </c>
      <c r="AP66" s="1" t="n">
        <f aca="false">F66</f>
        <v>1</v>
      </c>
      <c r="AQ66" s="1" t="n">
        <f aca="false">F66</f>
        <v>1</v>
      </c>
      <c r="AR66" s="1" t="n">
        <f aca="false">F66</f>
        <v>1</v>
      </c>
      <c r="AS66" s="1" t="n">
        <f aca="false">F66</f>
        <v>1</v>
      </c>
      <c r="AT66" s="1" t="n">
        <v>1</v>
      </c>
      <c r="AU66" s="1" t="n">
        <f aca="false">F66</f>
        <v>1</v>
      </c>
      <c r="AV66" s="1" t="n">
        <f aca="false">F66</f>
        <v>1</v>
      </c>
      <c r="AW66" s="1" t="n">
        <f aca="false">F66</f>
        <v>1</v>
      </c>
      <c r="AX66" s="1" t="n">
        <f aca="false">B66</f>
        <v>2.58323563892146</v>
      </c>
      <c r="AY66" s="1" t="n">
        <f aca="false">B66</f>
        <v>2.58323563892146</v>
      </c>
      <c r="AZ66" s="1" t="n">
        <f aca="false">B66</f>
        <v>2.58323563892146</v>
      </c>
      <c r="BA66" s="1" t="n">
        <f aca="false">F66</f>
        <v>1</v>
      </c>
      <c r="BB66" s="1" t="n">
        <f aca="false">F66</f>
        <v>1</v>
      </c>
      <c r="BC66" s="1" t="n">
        <f aca="false">B66</f>
        <v>2.58323563892146</v>
      </c>
      <c r="BD66" s="1" t="n">
        <f aca="false">B66</f>
        <v>2.58323563892146</v>
      </c>
      <c r="BE66" s="1" t="n">
        <v>1</v>
      </c>
      <c r="BF66" s="1" t="n">
        <v>1</v>
      </c>
      <c r="BG66" s="1" t="n">
        <f aca="false">B66</f>
        <v>2.58323563892146</v>
      </c>
      <c r="BH66" s="1" t="n">
        <f aca="false">B66</f>
        <v>2.58323563892146</v>
      </c>
      <c r="BI66" s="1" t="n">
        <f aca="false">B66</f>
        <v>2.58323563892146</v>
      </c>
      <c r="BJ66" s="1" t="n">
        <f aca="false">B66</f>
        <v>2.58323563892146</v>
      </c>
      <c r="BK66" s="1" t="n">
        <v>1</v>
      </c>
    </row>
    <row r="67" customFormat="false" ht="12.75" hidden="false" customHeight="false" outlineLevel="0" collapsed="false">
      <c r="A67" s="1" t="n">
        <f aca="false">A66-1</f>
        <v>1960</v>
      </c>
      <c r="B67" s="1" t="n">
        <f aca="false">im!F66/im!E66</f>
        <v>2.74934952298352</v>
      </c>
      <c r="C67" s="1" t="n">
        <f aca="false">B67</f>
        <v>2.74934952298352</v>
      </c>
      <c r="D67" s="1" t="n">
        <f aca="false">B67</f>
        <v>2.74934952298352</v>
      </c>
      <c r="E67" s="1" t="n">
        <f aca="false">B67</f>
        <v>2.74934952298352</v>
      </c>
      <c r="F67" s="1" t="n">
        <v>1</v>
      </c>
      <c r="G67" s="1" t="n">
        <f aca="false">F67</f>
        <v>1</v>
      </c>
      <c r="H67" s="1" t="n">
        <f aca="false">F67</f>
        <v>1</v>
      </c>
      <c r="I67" s="1" t="n">
        <f aca="false">F67</f>
        <v>1</v>
      </c>
      <c r="J67" s="1" t="n">
        <v>1</v>
      </c>
      <c r="K67" s="1" t="n">
        <v>1</v>
      </c>
      <c r="L67" s="1" t="n">
        <f aca="false">B67</f>
        <v>2.74934952298352</v>
      </c>
      <c r="M67" s="1" t="n">
        <f aca="false">B67</f>
        <v>2.74934952298352</v>
      </c>
      <c r="N67" s="1" t="n">
        <f aca="false">B67</f>
        <v>2.74934952298352</v>
      </c>
      <c r="O67" s="1" t="n">
        <f aca="false">B67</f>
        <v>2.74934952298352</v>
      </c>
      <c r="P67" s="1" t="n">
        <f aca="false">B67</f>
        <v>2.74934952298352</v>
      </c>
      <c r="Q67" s="1" t="n">
        <f aca="false">F67</f>
        <v>1</v>
      </c>
      <c r="R67" s="1" t="n">
        <f aca="false">F67</f>
        <v>1</v>
      </c>
      <c r="S67" s="1" t="n">
        <f aca="false">F67</f>
        <v>1</v>
      </c>
      <c r="T67" s="1" t="n">
        <v>1</v>
      </c>
      <c r="U67" s="1" t="n">
        <v>1</v>
      </c>
      <c r="V67" s="1" t="n">
        <f aca="false">F67</f>
        <v>1</v>
      </c>
      <c r="W67" s="1" t="n">
        <f aca="false">F67</f>
        <v>1</v>
      </c>
      <c r="X67" s="1" t="n">
        <f aca="false">F67</f>
        <v>1</v>
      </c>
      <c r="Y67" s="1" t="n">
        <f aca="false">F67</f>
        <v>1</v>
      </c>
      <c r="Z67" s="1" t="n">
        <f aca="false">F67</f>
        <v>1</v>
      </c>
      <c r="AA67" s="1" t="n">
        <f aca="false">F67</f>
        <v>1</v>
      </c>
      <c r="AB67" s="1" t="n">
        <f aca="false">F67</f>
        <v>1</v>
      </c>
      <c r="AC67" s="1" t="n">
        <f aca="false">F67</f>
        <v>1</v>
      </c>
      <c r="AD67" s="1" t="n">
        <f aca="false">F67</f>
        <v>1</v>
      </c>
      <c r="AE67" s="1" t="n">
        <f aca="false">B67</f>
        <v>2.74934952298352</v>
      </c>
      <c r="AF67" s="1" t="n">
        <f aca="false">B67</f>
        <v>2.74934952298352</v>
      </c>
      <c r="AG67" s="1" t="n">
        <f aca="false">B67</f>
        <v>2.74934952298352</v>
      </c>
      <c r="AH67" s="1" t="n">
        <f aca="false">B67</f>
        <v>2.74934952298352</v>
      </c>
      <c r="AI67" s="1" t="n">
        <f aca="false">B67</f>
        <v>2.74934952298352</v>
      </c>
      <c r="AJ67" s="1" t="n">
        <f aca="false">B67</f>
        <v>2.74934952298352</v>
      </c>
      <c r="AK67" s="1" t="n">
        <f aca="false">B67</f>
        <v>2.74934952298352</v>
      </c>
      <c r="AL67" s="1" t="n">
        <f aca="false">B67</f>
        <v>2.74934952298352</v>
      </c>
      <c r="AM67" s="1" t="n">
        <f aca="false">B67</f>
        <v>2.74934952298352</v>
      </c>
      <c r="AN67" s="1" t="n">
        <f aca="false">F67</f>
        <v>1</v>
      </c>
      <c r="AO67" s="1" t="n">
        <f aca="false">F67</f>
        <v>1</v>
      </c>
      <c r="AP67" s="1" t="n">
        <f aca="false">F67</f>
        <v>1</v>
      </c>
      <c r="AQ67" s="1" t="n">
        <f aca="false">F67</f>
        <v>1</v>
      </c>
      <c r="AR67" s="1" t="n">
        <f aca="false">F67</f>
        <v>1</v>
      </c>
      <c r="AS67" s="1" t="n">
        <f aca="false">F67</f>
        <v>1</v>
      </c>
      <c r="AT67" s="1" t="n">
        <v>1</v>
      </c>
      <c r="AU67" s="1" t="n">
        <f aca="false">F67</f>
        <v>1</v>
      </c>
      <c r="AV67" s="1" t="n">
        <f aca="false">F67</f>
        <v>1</v>
      </c>
      <c r="AW67" s="1" t="n">
        <f aca="false">F67</f>
        <v>1</v>
      </c>
      <c r="AX67" s="1" t="n">
        <f aca="false">B67</f>
        <v>2.74934952298352</v>
      </c>
      <c r="AY67" s="1" t="n">
        <f aca="false">B67</f>
        <v>2.74934952298352</v>
      </c>
      <c r="AZ67" s="1" t="n">
        <f aca="false">B67</f>
        <v>2.74934952298352</v>
      </c>
      <c r="BA67" s="1" t="n">
        <f aca="false">F67</f>
        <v>1</v>
      </c>
      <c r="BB67" s="1" t="n">
        <f aca="false">F67</f>
        <v>1</v>
      </c>
      <c r="BC67" s="1" t="n">
        <f aca="false">B67</f>
        <v>2.74934952298352</v>
      </c>
      <c r="BD67" s="1" t="n">
        <f aca="false">B67</f>
        <v>2.74934952298352</v>
      </c>
      <c r="BE67" s="1" t="n">
        <v>1</v>
      </c>
      <c r="BF67" s="1" t="n">
        <v>1</v>
      </c>
      <c r="BG67" s="1" t="n">
        <f aca="false">B67</f>
        <v>2.74934952298352</v>
      </c>
      <c r="BH67" s="1" t="n">
        <f aca="false">B67</f>
        <v>2.74934952298352</v>
      </c>
      <c r="BI67" s="1" t="n">
        <f aca="false">B67</f>
        <v>2.74934952298352</v>
      </c>
      <c r="BJ67" s="1" t="n">
        <f aca="false">B67</f>
        <v>2.74934952298352</v>
      </c>
      <c r="BK67" s="1" t="n">
        <v>1</v>
      </c>
    </row>
    <row r="68" customFormat="false" ht="12.75" hidden="false" customHeight="false" outlineLevel="0" collapsed="false">
      <c r="A68" s="1" t="n">
        <f aca="false">A67-1</f>
        <v>1959</v>
      </c>
      <c r="B68" s="1" t="n">
        <f aca="false">im!F67/im!E67</f>
        <v>2.44803967879074</v>
      </c>
      <c r="C68" s="1" t="n">
        <f aca="false">B68</f>
        <v>2.44803967879074</v>
      </c>
      <c r="D68" s="1" t="n">
        <f aca="false">B68</f>
        <v>2.44803967879074</v>
      </c>
      <c r="E68" s="1" t="n">
        <f aca="false">B68</f>
        <v>2.44803967879074</v>
      </c>
      <c r="F68" s="1" t="n">
        <v>1</v>
      </c>
      <c r="G68" s="1" t="n">
        <f aca="false">F68</f>
        <v>1</v>
      </c>
      <c r="H68" s="1" t="n">
        <f aca="false">F68</f>
        <v>1</v>
      </c>
      <c r="I68" s="1" t="n">
        <f aca="false">F68</f>
        <v>1</v>
      </c>
      <c r="J68" s="1" t="n">
        <v>1</v>
      </c>
      <c r="K68" s="1" t="n">
        <v>1</v>
      </c>
      <c r="L68" s="1" t="n">
        <f aca="false">B68</f>
        <v>2.44803967879074</v>
      </c>
      <c r="M68" s="1" t="n">
        <f aca="false">B68</f>
        <v>2.44803967879074</v>
      </c>
      <c r="N68" s="1" t="n">
        <f aca="false">B68</f>
        <v>2.44803967879074</v>
      </c>
      <c r="O68" s="1" t="n">
        <f aca="false">B68</f>
        <v>2.44803967879074</v>
      </c>
      <c r="P68" s="1" t="n">
        <f aca="false">B68</f>
        <v>2.44803967879074</v>
      </c>
      <c r="Q68" s="1" t="n">
        <f aca="false">F68</f>
        <v>1</v>
      </c>
      <c r="R68" s="1" t="n">
        <f aca="false">F68</f>
        <v>1</v>
      </c>
      <c r="S68" s="1" t="n">
        <f aca="false">F68</f>
        <v>1</v>
      </c>
      <c r="T68" s="1" t="n">
        <v>1</v>
      </c>
      <c r="U68" s="1" t="n">
        <v>1</v>
      </c>
      <c r="V68" s="1" t="n">
        <f aca="false">F68</f>
        <v>1</v>
      </c>
      <c r="W68" s="1" t="n">
        <f aca="false">F68</f>
        <v>1</v>
      </c>
      <c r="X68" s="1" t="n">
        <f aca="false">F68</f>
        <v>1</v>
      </c>
      <c r="Y68" s="1" t="n">
        <f aca="false">F68</f>
        <v>1</v>
      </c>
      <c r="Z68" s="1" t="n">
        <f aca="false">F68</f>
        <v>1</v>
      </c>
      <c r="AA68" s="1" t="n">
        <f aca="false">F68</f>
        <v>1</v>
      </c>
      <c r="AB68" s="1" t="n">
        <f aca="false">F68</f>
        <v>1</v>
      </c>
      <c r="AC68" s="1" t="n">
        <f aca="false">F68</f>
        <v>1</v>
      </c>
      <c r="AD68" s="1" t="n">
        <f aca="false">F68</f>
        <v>1</v>
      </c>
      <c r="AE68" s="1" t="n">
        <f aca="false">B68</f>
        <v>2.44803967879074</v>
      </c>
      <c r="AF68" s="1" t="n">
        <f aca="false">B68</f>
        <v>2.44803967879074</v>
      </c>
      <c r="AG68" s="1" t="n">
        <f aca="false">B68</f>
        <v>2.44803967879074</v>
      </c>
      <c r="AH68" s="1" t="n">
        <f aca="false">B68</f>
        <v>2.44803967879074</v>
      </c>
      <c r="AI68" s="1" t="n">
        <f aca="false">B68</f>
        <v>2.44803967879074</v>
      </c>
      <c r="AJ68" s="1" t="n">
        <f aca="false">B68</f>
        <v>2.44803967879074</v>
      </c>
      <c r="AK68" s="1" t="n">
        <f aca="false">B68</f>
        <v>2.44803967879074</v>
      </c>
      <c r="AL68" s="1" t="n">
        <f aca="false">B68</f>
        <v>2.44803967879074</v>
      </c>
      <c r="AM68" s="1" t="n">
        <f aca="false">B68</f>
        <v>2.44803967879074</v>
      </c>
      <c r="AN68" s="1" t="n">
        <f aca="false">F68</f>
        <v>1</v>
      </c>
      <c r="AO68" s="1" t="n">
        <f aca="false">F68</f>
        <v>1</v>
      </c>
      <c r="AP68" s="1" t="n">
        <f aca="false">F68</f>
        <v>1</v>
      </c>
      <c r="AQ68" s="1" t="n">
        <f aca="false">F68</f>
        <v>1</v>
      </c>
      <c r="AR68" s="1" t="n">
        <f aca="false">F68</f>
        <v>1</v>
      </c>
      <c r="AS68" s="1" t="n">
        <f aca="false">F68</f>
        <v>1</v>
      </c>
      <c r="AT68" s="1" t="n">
        <v>1</v>
      </c>
      <c r="AU68" s="1" t="n">
        <f aca="false">F68</f>
        <v>1</v>
      </c>
      <c r="AV68" s="1" t="n">
        <f aca="false">F68</f>
        <v>1</v>
      </c>
      <c r="AW68" s="1" t="n">
        <f aca="false">F68</f>
        <v>1</v>
      </c>
      <c r="AX68" s="1" t="n">
        <f aca="false">B68</f>
        <v>2.44803967879074</v>
      </c>
      <c r="AY68" s="1" t="n">
        <f aca="false">B68</f>
        <v>2.44803967879074</v>
      </c>
      <c r="AZ68" s="1" t="n">
        <f aca="false">B68</f>
        <v>2.44803967879074</v>
      </c>
      <c r="BA68" s="1" t="n">
        <f aca="false">F68</f>
        <v>1</v>
      </c>
      <c r="BB68" s="1" t="n">
        <f aca="false">F68</f>
        <v>1</v>
      </c>
      <c r="BC68" s="1" t="n">
        <f aca="false">B68</f>
        <v>2.44803967879074</v>
      </c>
      <c r="BD68" s="1" t="n">
        <f aca="false">B68</f>
        <v>2.44803967879074</v>
      </c>
      <c r="BE68" s="1" t="n">
        <v>1</v>
      </c>
      <c r="BF68" s="1" t="n">
        <v>1</v>
      </c>
      <c r="BG68" s="1" t="n">
        <f aca="false">B68</f>
        <v>2.44803967879074</v>
      </c>
      <c r="BH68" s="1" t="n">
        <f aca="false">B68</f>
        <v>2.44803967879074</v>
      </c>
      <c r="BI68" s="1" t="n">
        <f aca="false">B68</f>
        <v>2.44803967879074</v>
      </c>
      <c r="BJ68" s="1" t="n">
        <f aca="false">B68</f>
        <v>2.44803967879074</v>
      </c>
      <c r="BK68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16.71"/>
    <col collapsed="false" customWidth="true" hidden="false" outlineLevel="0" max="3" min="3" style="1" width="13.42"/>
    <col collapsed="false" customWidth="true" hidden="false" outlineLevel="0" max="4" min="4" style="1" width="14.86"/>
    <col collapsed="false" customWidth="true" hidden="false" outlineLevel="0" max="6" min="5" style="1" width="11.14"/>
    <col collapsed="false" customWidth="true" hidden="false" outlineLevel="0" max="7" min="7" style="1" width="13.29"/>
    <col collapsed="false" customWidth="true" hidden="false" outlineLevel="0" max="8" min="8" style="1" width="14.71"/>
    <col collapsed="false" customWidth="true" hidden="false" outlineLevel="0" max="9" min="9" style="1" width="11"/>
    <col collapsed="false" customWidth="true" hidden="false" outlineLevel="0" max="10" min="10" style="1" width="9.86"/>
    <col collapsed="false" customWidth="true" hidden="false" outlineLevel="0" max="11" min="11" style="1" width="14.57"/>
    <col collapsed="false" customWidth="true" hidden="false" outlineLevel="0" max="12" min="12" style="1" width="15"/>
    <col collapsed="false" customWidth="true" hidden="false" outlineLevel="0" max="13" min="13" style="1" width="17.29"/>
    <col collapsed="false" customWidth="true" hidden="false" outlineLevel="0" max="14" min="14" style="1" width="10.14"/>
    <col collapsed="false" customWidth="true" hidden="false" outlineLevel="0" max="15" min="15" style="1" width="10.71"/>
    <col collapsed="false" customWidth="true" hidden="false" outlineLevel="0" max="16" min="16" style="1" width="11.29"/>
    <col collapsed="false" customWidth="true" hidden="false" outlineLevel="0" max="17" min="17" style="1" width="10"/>
    <col collapsed="false" customWidth="true" hidden="false" outlineLevel="0" max="18" min="18" style="1" width="10.57"/>
    <col collapsed="false" customWidth="true" hidden="false" outlineLevel="0" max="19" min="19" style="1" width="11.14"/>
    <col collapsed="false" customWidth="true" hidden="false" outlineLevel="0" max="20" min="20" style="1" width="10.71"/>
    <col collapsed="false" customWidth="true" hidden="false" outlineLevel="0" max="21" min="21" style="1" width="8.57"/>
    <col collapsed="false" customWidth="true" hidden="false" outlineLevel="0" max="22" min="22" style="1" width="16.43"/>
    <col collapsed="false" customWidth="true" hidden="false" outlineLevel="0" max="23" min="23" style="1" width="19.42"/>
    <col collapsed="false" customWidth="true" hidden="false" outlineLevel="0" max="29" min="24" style="1" width="20.29"/>
    <col collapsed="false" customWidth="true" hidden="false" outlineLevel="0" max="30" min="30" style="1" width="17.42"/>
    <col collapsed="false" customWidth="true" hidden="false" outlineLevel="0" max="31" min="31" style="1" width="16.57"/>
    <col collapsed="false" customWidth="true" hidden="false" outlineLevel="0" max="32" min="32" style="1" width="19.57"/>
    <col collapsed="false" customWidth="true" hidden="false" outlineLevel="0" max="38" min="33" style="1" width="20.42"/>
    <col collapsed="false" customWidth="true" hidden="false" outlineLevel="0" max="39" min="39" style="1" width="17.57"/>
    <col collapsed="false" customWidth="true" hidden="false" outlineLevel="0" max="45" min="40" style="1" width="20.29"/>
    <col collapsed="false" customWidth="true" hidden="false" outlineLevel="0" max="46" min="46" style="1" width="14.71"/>
    <col collapsed="false" customWidth="true" hidden="false" outlineLevel="0" max="47" min="47" style="1" width="14"/>
    <col collapsed="false" customWidth="true" hidden="false" outlineLevel="0" max="48" min="48" style="1" width="16.84"/>
    <col collapsed="false" customWidth="true" hidden="false" outlineLevel="0" max="49" min="49" style="1" width="14"/>
    <col collapsed="false" customWidth="true" hidden="false" outlineLevel="0" max="50" min="50" style="1" width="14.14"/>
    <col collapsed="false" customWidth="true" hidden="false" outlineLevel="0" max="51" min="51" style="1" width="17"/>
    <col collapsed="false" customWidth="true" hidden="false" outlineLevel="0" max="52" min="52" style="1" width="14.14"/>
    <col collapsed="false" customWidth="true" hidden="false" outlineLevel="0" max="54" min="53" style="1" width="17.86"/>
    <col collapsed="false" customWidth="true" hidden="false" outlineLevel="0" max="56" min="55" style="1" width="18"/>
    <col collapsed="false" customWidth="true" hidden="false" outlineLevel="0" max="57" min="57" style="1" width="15.14"/>
    <col collapsed="false" customWidth="true" hidden="false" outlineLevel="0" max="58" min="58" style="1" width="11"/>
    <col collapsed="false" customWidth="true" hidden="false" outlineLevel="0" max="59" min="59" style="1" width="12.86"/>
    <col collapsed="false" customWidth="true" hidden="false" outlineLevel="0" max="60" min="60" style="1" width="16.71"/>
    <col collapsed="false" customWidth="true" hidden="false" outlineLevel="0" max="61" min="61" style="1" width="17.71"/>
    <col collapsed="false" customWidth="true" hidden="false" outlineLevel="0" max="62" min="62" style="1" width="13.86"/>
    <col collapsed="false" customWidth="true" hidden="false" outlineLevel="0" max="63" min="63" style="1" width="10"/>
  </cols>
  <sheetData>
    <row r="1" customFormat="false" ht="12.75" hidden="false" customHeight="false" outlineLevel="0" collapsed="false">
      <c r="A1" s="6" t="s">
        <v>232</v>
      </c>
      <c r="B1" s="6" t="s">
        <v>25</v>
      </c>
      <c r="C1" s="6" t="s">
        <v>35</v>
      </c>
      <c r="D1" s="6" t="s">
        <v>38</v>
      </c>
      <c r="E1" s="6" t="s">
        <v>43</v>
      </c>
      <c r="F1" s="6" t="s">
        <v>48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57</v>
      </c>
      <c r="L1" s="6" t="s">
        <v>60</v>
      </c>
      <c r="M1" s="6" t="s">
        <v>62</v>
      </c>
      <c r="N1" s="6" t="s">
        <v>67</v>
      </c>
      <c r="O1" s="6" t="s">
        <v>73</v>
      </c>
      <c r="P1" s="6" t="s">
        <v>77</v>
      </c>
      <c r="Q1" s="6" t="s">
        <v>81</v>
      </c>
      <c r="R1" s="6" t="s">
        <v>84</v>
      </c>
      <c r="S1" s="6" t="s">
        <v>86</v>
      </c>
      <c r="T1" s="6" t="s">
        <v>88</v>
      </c>
      <c r="U1" s="6" t="s">
        <v>90</v>
      </c>
      <c r="V1" s="6" t="s">
        <v>92</v>
      </c>
      <c r="W1" s="6" t="s">
        <v>100</v>
      </c>
      <c r="X1" s="6" t="s">
        <v>104</v>
      </c>
      <c r="Y1" s="6" t="s">
        <v>108</v>
      </c>
      <c r="Z1" s="6" t="s">
        <v>112</v>
      </c>
      <c r="AA1" s="6" t="s">
        <v>114</v>
      </c>
      <c r="AB1" s="6" t="s">
        <v>118</v>
      </c>
      <c r="AC1" s="6" t="s">
        <v>122</v>
      </c>
      <c r="AD1" s="1" t="s">
        <v>126</v>
      </c>
      <c r="AE1" s="1" t="s">
        <v>130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6" t="s">
        <v>144</v>
      </c>
      <c r="AP1" s="6" t="s">
        <v>147</v>
      </c>
      <c r="AQ1" s="1" t="s">
        <v>151</v>
      </c>
      <c r="AR1" s="1" t="s">
        <v>155</v>
      </c>
      <c r="AS1" s="1" t="s">
        <v>159</v>
      </c>
      <c r="AT1" s="1" t="s">
        <v>163</v>
      </c>
      <c r="AU1" s="1" t="s">
        <v>167</v>
      </c>
      <c r="AV1" s="1" t="s">
        <v>174</v>
      </c>
      <c r="AW1" s="1" t="s">
        <v>179</v>
      </c>
      <c r="AX1" s="1" t="s">
        <v>184</v>
      </c>
      <c r="AY1" s="1" t="s">
        <v>186</v>
      </c>
      <c r="AZ1" s="1" t="s">
        <v>187</v>
      </c>
      <c r="BA1" s="1" t="s">
        <v>188</v>
      </c>
      <c r="BB1" s="1" t="s">
        <v>192</v>
      </c>
      <c r="BC1" s="1" t="s">
        <v>196</v>
      </c>
      <c r="BD1" s="1" t="s">
        <v>197</v>
      </c>
      <c r="BE1" s="1" t="s">
        <v>198</v>
      </c>
      <c r="BF1" s="1" t="s">
        <v>201</v>
      </c>
      <c r="BG1" s="1" t="s">
        <v>205</v>
      </c>
      <c r="BH1" s="1" t="s">
        <v>215</v>
      </c>
      <c r="BI1" s="1" t="s">
        <v>220</v>
      </c>
      <c r="BJ1" s="1" t="s">
        <v>225</v>
      </c>
      <c r="BK1" s="1" t="s">
        <v>230</v>
      </c>
    </row>
    <row r="2" customFormat="false" ht="12.75" hidden="false" customHeight="false" outlineLevel="0" collapsed="false">
      <c r="A2" s="6" t="n">
        <v>2025</v>
      </c>
      <c r="B2" s="1" t="n">
        <f aca="false">im!H2/im!G2</f>
        <v>60.5286857867225</v>
      </c>
      <c r="C2" s="1" t="n">
        <f aca="false">B2</f>
        <v>60.5286857867225</v>
      </c>
      <c r="D2" s="1" t="n">
        <f aca="false">B2</f>
        <v>60.5286857867225</v>
      </c>
      <c r="E2" s="1" t="n">
        <f aca="false">B2</f>
        <v>60.5286857867225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f aca="false">B2</f>
        <v>60.5286857867225</v>
      </c>
      <c r="M2" s="1" t="n">
        <f aca="false">B2</f>
        <v>60.5286857867225</v>
      </c>
      <c r="N2" s="1" t="n">
        <f aca="false">B2</f>
        <v>60.5286857867225</v>
      </c>
      <c r="O2" s="1" t="n">
        <f aca="false">B2</f>
        <v>60.5286857867225</v>
      </c>
      <c r="P2" s="1" t="n">
        <f aca="false">B2</f>
        <v>60.5286857867225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f aca="false">B2</f>
        <v>60.5286857867225</v>
      </c>
      <c r="AF2" s="1" t="n">
        <f aca="false">B2</f>
        <v>60.5286857867225</v>
      </c>
      <c r="AG2" s="1" t="n">
        <f aca="false">B2</f>
        <v>60.5286857867225</v>
      </c>
      <c r="AH2" s="1" t="n">
        <f aca="false">B2</f>
        <v>60.5286857867225</v>
      </c>
      <c r="AI2" s="1" t="n">
        <f aca="false">B2</f>
        <v>60.5286857867225</v>
      </c>
      <c r="AJ2" s="1" t="n">
        <f aca="false">B2</f>
        <v>60.5286857867225</v>
      </c>
      <c r="AK2" s="1" t="n">
        <f aca="false">B2</f>
        <v>60.5286857867225</v>
      </c>
      <c r="AL2" s="1" t="n">
        <f aca="false">B2</f>
        <v>60.5286857867225</v>
      </c>
      <c r="AM2" s="1" t="n">
        <f aca="false">B2</f>
        <v>60.5286857867225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f aca="false">B2</f>
        <v>60.5286857867225</v>
      </c>
      <c r="AY2" s="1" t="n">
        <f aca="false">B2</f>
        <v>60.5286857867225</v>
      </c>
      <c r="AZ2" s="1" t="n">
        <f aca="false">B2</f>
        <v>60.5286857867225</v>
      </c>
      <c r="BA2" s="1" t="n">
        <v>1</v>
      </c>
      <c r="BB2" s="1" t="n">
        <v>1</v>
      </c>
      <c r="BC2" s="1" t="n">
        <f aca="false">B2</f>
        <v>60.5286857867225</v>
      </c>
      <c r="BD2" s="1" t="n">
        <f aca="false">B2</f>
        <v>60.5286857867225</v>
      </c>
      <c r="BE2" s="1" t="n">
        <v>1</v>
      </c>
      <c r="BF2" s="1" t="n">
        <v>1</v>
      </c>
      <c r="BG2" s="1" t="n">
        <f aca="false">B2</f>
        <v>60.5286857867225</v>
      </c>
      <c r="BH2" s="1" t="n">
        <f aca="false">B2</f>
        <v>60.5286857867225</v>
      </c>
      <c r="BI2" s="1" t="n">
        <f aca="false">B2</f>
        <v>60.5286857867225</v>
      </c>
      <c r="BJ2" s="1" t="n">
        <f aca="false">B2</f>
        <v>60.5286857867225</v>
      </c>
      <c r="BK2" s="1" t="n">
        <v>1</v>
      </c>
    </row>
    <row r="3" customFormat="false" ht="12.75" hidden="false" customHeight="false" outlineLevel="0" collapsed="false">
      <c r="A3" s="6" t="n">
        <v>2024</v>
      </c>
      <c r="B3" s="1" t="n">
        <f aca="false">im!H3/im!G3</f>
        <v>60.5286857867225</v>
      </c>
      <c r="C3" s="1" t="n">
        <f aca="false">B3</f>
        <v>60.5286857867225</v>
      </c>
      <c r="D3" s="1" t="n">
        <f aca="false">B3</f>
        <v>60.5286857867225</v>
      </c>
      <c r="E3" s="1" t="n">
        <f aca="false">B3</f>
        <v>60.5286857867225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f aca="false">B3</f>
        <v>60.5286857867225</v>
      </c>
      <c r="M3" s="1" t="n">
        <f aca="false">B3</f>
        <v>60.5286857867225</v>
      </c>
      <c r="N3" s="1" t="n">
        <f aca="false">B3</f>
        <v>60.5286857867225</v>
      </c>
      <c r="O3" s="1" t="n">
        <f aca="false">B3</f>
        <v>60.5286857867225</v>
      </c>
      <c r="P3" s="1" t="n">
        <f aca="false">B3</f>
        <v>60.5286857867225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f aca="false">B3</f>
        <v>60.5286857867225</v>
      </c>
      <c r="AF3" s="1" t="n">
        <f aca="false">B3</f>
        <v>60.5286857867225</v>
      </c>
      <c r="AG3" s="1" t="n">
        <f aca="false">B3</f>
        <v>60.5286857867225</v>
      </c>
      <c r="AH3" s="1" t="n">
        <f aca="false">B3</f>
        <v>60.5286857867225</v>
      </c>
      <c r="AI3" s="1" t="n">
        <f aca="false">B3</f>
        <v>60.5286857867225</v>
      </c>
      <c r="AJ3" s="1" t="n">
        <f aca="false">B3</f>
        <v>60.5286857867225</v>
      </c>
      <c r="AK3" s="1" t="n">
        <f aca="false">B3</f>
        <v>60.5286857867225</v>
      </c>
      <c r="AL3" s="1" t="n">
        <f aca="false">B3</f>
        <v>60.5286857867225</v>
      </c>
      <c r="AM3" s="1" t="n">
        <f aca="false">B3</f>
        <v>60.5286857867225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f aca="false">B3</f>
        <v>60.5286857867225</v>
      </c>
      <c r="AY3" s="1" t="n">
        <f aca="false">B3</f>
        <v>60.5286857867225</v>
      </c>
      <c r="AZ3" s="1" t="n">
        <f aca="false">B3</f>
        <v>60.5286857867225</v>
      </c>
      <c r="BA3" s="1" t="n">
        <v>1</v>
      </c>
      <c r="BB3" s="1" t="n">
        <v>1</v>
      </c>
      <c r="BC3" s="1" t="n">
        <f aca="false">B3</f>
        <v>60.5286857867225</v>
      </c>
      <c r="BD3" s="1" t="n">
        <f aca="false">B3</f>
        <v>60.5286857867225</v>
      </c>
      <c r="BE3" s="1" t="n">
        <v>1</v>
      </c>
      <c r="BF3" s="1" t="n">
        <v>1</v>
      </c>
      <c r="BG3" s="1" t="n">
        <f aca="false">B3</f>
        <v>60.5286857867225</v>
      </c>
      <c r="BH3" s="1" t="n">
        <f aca="false">B3</f>
        <v>60.5286857867225</v>
      </c>
      <c r="BI3" s="1" t="n">
        <f aca="false">B3</f>
        <v>60.5286857867225</v>
      </c>
      <c r="BJ3" s="1" t="n">
        <f aca="false">B3</f>
        <v>60.5286857867225</v>
      </c>
      <c r="BK3" s="1" t="n">
        <v>1</v>
      </c>
    </row>
    <row r="4" customFormat="false" ht="12.75" hidden="false" customHeight="false" outlineLevel="0" collapsed="false">
      <c r="A4" s="6" t="n">
        <v>2023</v>
      </c>
      <c r="B4" s="1" t="n">
        <f aca="false">im!H4/im!G4</f>
        <v>60.5286857867225</v>
      </c>
      <c r="C4" s="1" t="n">
        <f aca="false">B4</f>
        <v>60.5286857867225</v>
      </c>
      <c r="D4" s="1" t="n">
        <f aca="false">B4</f>
        <v>60.5286857867225</v>
      </c>
      <c r="E4" s="1" t="n">
        <f aca="false">B4</f>
        <v>60.5286857867225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  <c r="K4" s="1" t="n">
        <v>1</v>
      </c>
      <c r="L4" s="1" t="n">
        <f aca="false">B4</f>
        <v>60.5286857867225</v>
      </c>
      <c r="M4" s="1" t="n">
        <f aca="false">B4</f>
        <v>60.5286857867225</v>
      </c>
      <c r="N4" s="1" t="n">
        <f aca="false">B4</f>
        <v>60.5286857867225</v>
      </c>
      <c r="O4" s="1" t="n">
        <f aca="false">B4</f>
        <v>60.5286857867225</v>
      </c>
      <c r="P4" s="1" t="n">
        <f aca="false">B4</f>
        <v>60.5286857867225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f aca="false">B4</f>
        <v>60.5286857867225</v>
      </c>
      <c r="AF4" s="1" t="n">
        <f aca="false">B4</f>
        <v>60.5286857867225</v>
      </c>
      <c r="AG4" s="1" t="n">
        <f aca="false">B4</f>
        <v>60.5286857867225</v>
      </c>
      <c r="AH4" s="1" t="n">
        <f aca="false">B4</f>
        <v>60.5286857867225</v>
      </c>
      <c r="AI4" s="1" t="n">
        <f aca="false">B4</f>
        <v>60.5286857867225</v>
      </c>
      <c r="AJ4" s="1" t="n">
        <f aca="false">B4</f>
        <v>60.5286857867225</v>
      </c>
      <c r="AK4" s="1" t="n">
        <f aca="false">B4</f>
        <v>60.5286857867225</v>
      </c>
      <c r="AL4" s="1" t="n">
        <f aca="false">B4</f>
        <v>60.5286857867225</v>
      </c>
      <c r="AM4" s="1" t="n">
        <f aca="false">B4</f>
        <v>60.5286857867225</v>
      </c>
      <c r="AN4" s="1" t="n">
        <v>1</v>
      </c>
      <c r="AO4" s="1" t="n">
        <v>1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1</v>
      </c>
      <c r="AW4" s="1" t="n">
        <v>1</v>
      </c>
      <c r="AX4" s="1" t="n">
        <f aca="false">B4</f>
        <v>60.5286857867225</v>
      </c>
      <c r="AY4" s="1" t="n">
        <f aca="false">B4</f>
        <v>60.5286857867225</v>
      </c>
      <c r="AZ4" s="1" t="n">
        <f aca="false">B4</f>
        <v>60.5286857867225</v>
      </c>
      <c r="BA4" s="1" t="n">
        <v>1</v>
      </c>
      <c r="BB4" s="1" t="n">
        <v>1</v>
      </c>
      <c r="BC4" s="1" t="n">
        <f aca="false">B4</f>
        <v>60.5286857867225</v>
      </c>
      <c r="BD4" s="1" t="n">
        <f aca="false">B4</f>
        <v>60.5286857867225</v>
      </c>
      <c r="BE4" s="1" t="n">
        <v>1</v>
      </c>
      <c r="BF4" s="1" t="n">
        <v>1</v>
      </c>
      <c r="BG4" s="1" t="n">
        <f aca="false">B4</f>
        <v>60.5286857867225</v>
      </c>
      <c r="BH4" s="1" t="n">
        <f aca="false">B4</f>
        <v>60.5286857867225</v>
      </c>
      <c r="BI4" s="1" t="n">
        <f aca="false">B4</f>
        <v>60.5286857867225</v>
      </c>
      <c r="BJ4" s="1" t="n">
        <f aca="false">B4</f>
        <v>60.5286857867225</v>
      </c>
      <c r="BK4" s="1" t="n">
        <v>1</v>
      </c>
    </row>
    <row r="5" customFormat="false" ht="12.75" hidden="false" customHeight="false" outlineLevel="0" collapsed="false">
      <c r="A5" s="6" t="n">
        <v>2022</v>
      </c>
      <c r="B5" s="1" t="n">
        <f aca="false">im!H5/im!G5</f>
        <v>60.5286857867225</v>
      </c>
      <c r="C5" s="1" t="n">
        <f aca="false">B5</f>
        <v>60.5286857867225</v>
      </c>
      <c r="D5" s="1" t="n">
        <f aca="false">B5</f>
        <v>60.5286857867225</v>
      </c>
      <c r="E5" s="1" t="n">
        <f aca="false">B5</f>
        <v>60.5286857867225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1</v>
      </c>
      <c r="K5" s="1" t="n">
        <v>1</v>
      </c>
      <c r="L5" s="1" t="n">
        <f aca="false">B5</f>
        <v>60.5286857867225</v>
      </c>
      <c r="M5" s="1" t="n">
        <f aca="false">B5</f>
        <v>60.5286857867225</v>
      </c>
      <c r="N5" s="1" t="n">
        <f aca="false">B5</f>
        <v>60.5286857867225</v>
      </c>
      <c r="O5" s="1" t="n">
        <f aca="false">B5</f>
        <v>60.5286857867225</v>
      </c>
      <c r="P5" s="1" t="n">
        <f aca="false">B5</f>
        <v>60.5286857867225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  <c r="W5" s="1" t="n">
        <v>1</v>
      </c>
      <c r="X5" s="1" t="n">
        <v>1</v>
      </c>
      <c r="Y5" s="1" t="n">
        <v>1</v>
      </c>
      <c r="Z5" s="1" t="n">
        <v>1</v>
      </c>
      <c r="AA5" s="1" t="n">
        <v>1</v>
      </c>
      <c r="AB5" s="1" t="n">
        <v>1</v>
      </c>
      <c r="AC5" s="1" t="n">
        <v>1</v>
      </c>
      <c r="AD5" s="1" t="n">
        <v>1</v>
      </c>
      <c r="AE5" s="1" t="n">
        <f aca="false">B5</f>
        <v>60.5286857867225</v>
      </c>
      <c r="AF5" s="1" t="n">
        <f aca="false">B5</f>
        <v>60.5286857867225</v>
      </c>
      <c r="AG5" s="1" t="n">
        <f aca="false">B5</f>
        <v>60.5286857867225</v>
      </c>
      <c r="AH5" s="1" t="n">
        <f aca="false">B5</f>
        <v>60.5286857867225</v>
      </c>
      <c r="AI5" s="1" t="n">
        <f aca="false">B5</f>
        <v>60.5286857867225</v>
      </c>
      <c r="AJ5" s="1" t="n">
        <f aca="false">B5</f>
        <v>60.5286857867225</v>
      </c>
      <c r="AK5" s="1" t="n">
        <f aca="false">B5</f>
        <v>60.5286857867225</v>
      </c>
      <c r="AL5" s="1" t="n">
        <f aca="false">B5</f>
        <v>60.5286857867225</v>
      </c>
      <c r="AM5" s="1" t="n">
        <f aca="false">B5</f>
        <v>60.5286857867225</v>
      </c>
      <c r="AN5" s="1" t="n">
        <v>1</v>
      </c>
      <c r="AO5" s="1" t="n">
        <v>1</v>
      </c>
      <c r="AP5" s="1" t="n">
        <v>1</v>
      </c>
      <c r="AQ5" s="1" t="n">
        <v>1</v>
      </c>
      <c r="AR5" s="1" t="n">
        <v>1</v>
      </c>
      <c r="AS5" s="1" t="n">
        <v>1</v>
      </c>
      <c r="AT5" s="1" t="n">
        <v>1</v>
      </c>
      <c r="AU5" s="1" t="n">
        <v>1</v>
      </c>
      <c r="AV5" s="1" t="n">
        <v>1</v>
      </c>
      <c r="AW5" s="1" t="n">
        <v>1</v>
      </c>
      <c r="AX5" s="1" t="n">
        <f aca="false">B5</f>
        <v>60.5286857867225</v>
      </c>
      <c r="AY5" s="1" t="n">
        <f aca="false">B5</f>
        <v>60.5286857867225</v>
      </c>
      <c r="AZ5" s="1" t="n">
        <f aca="false">B5</f>
        <v>60.5286857867225</v>
      </c>
      <c r="BA5" s="1" t="n">
        <v>1</v>
      </c>
      <c r="BB5" s="1" t="n">
        <v>1</v>
      </c>
      <c r="BC5" s="1" t="n">
        <f aca="false">B5</f>
        <v>60.5286857867225</v>
      </c>
      <c r="BD5" s="1" t="n">
        <f aca="false">B5</f>
        <v>60.5286857867225</v>
      </c>
      <c r="BE5" s="1" t="n">
        <v>1</v>
      </c>
      <c r="BF5" s="1" t="n">
        <v>1</v>
      </c>
      <c r="BG5" s="1" t="n">
        <f aca="false">B5</f>
        <v>60.5286857867225</v>
      </c>
      <c r="BH5" s="1" t="n">
        <f aca="false">B5</f>
        <v>60.5286857867225</v>
      </c>
      <c r="BI5" s="1" t="n">
        <f aca="false">B5</f>
        <v>60.5286857867225</v>
      </c>
      <c r="BJ5" s="1" t="n">
        <f aca="false">B5</f>
        <v>60.5286857867225</v>
      </c>
      <c r="BK5" s="1" t="n">
        <v>1</v>
      </c>
    </row>
    <row r="6" customFormat="false" ht="12.75" hidden="false" customHeight="false" outlineLevel="0" collapsed="false">
      <c r="A6" s="6" t="n">
        <v>2021</v>
      </c>
      <c r="B6" s="1" t="n">
        <f aca="false">im!H6/im!G6</f>
        <v>60.5286857867225</v>
      </c>
      <c r="C6" s="1" t="n">
        <f aca="false">B6</f>
        <v>60.5286857867225</v>
      </c>
      <c r="D6" s="1" t="n">
        <f aca="false">B6</f>
        <v>60.5286857867225</v>
      </c>
      <c r="E6" s="1" t="n">
        <f aca="false">B6</f>
        <v>60.5286857867225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  <c r="K6" s="1" t="n">
        <v>1</v>
      </c>
      <c r="L6" s="1" t="n">
        <f aca="false">B6</f>
        <v>60.5286857867225</v>
      </c>
      <c r="M6" s="1" t="n">
        <f aca="false">B6</f>
        <v>60.5286857867225</v>
      </c>
      <c r="N6" s="1" t="n">
        <f aca="false">B6</f>
        <v>60.5286857867225</v>
      </c>
      <c r="O6" s="1" t="n">
        <f aca="false">B6</f>
        <v>60.5286857867225</v>
      </c>
      <c r="P6" s="1" t="n">
        <f aca="false">B6</f>
        <v>60.5286857867225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  <c r="W6" s="1" t="n">
        <v>1</v>
      </c>
      <c r="X6" s="1" t="n">
        <v>1</v>
      </c>
      <c r="Y6" s="1" t="n">
        <v>1</v>
      </c>
      <c r="Z6" s="1" t="n">
        <v>1</v>
      </c>
      <c r="AA6" s="1" t="n">
        <v>1</v>
      </c>
      <c r="AB6" s="1" t="n">
        <v>1</v>
      </c>
      <c r="AC6" s="1" t="n">
        <v>1</v>
      </c>
      <c r="AD6" s="1" t="n">
        <v>1</v>
      </c>
      <c r="AE6" s="1" t="n">
        <f aca="false">B6</f>
        <v>60.5286857867225</v>
      </c>
      <c r="AF6" s="1" t="n">
        <f aca="false">B6</f>
        <v>60.5286857867225</v>
      </c>
      <c r="AG6" s="1" t="n">
        <f aca="false">B6</f>
        <v>60.5286857867225</v>
      </c>
      <c r="AH6" s="1" t="n">
        <f aca="false">B6</f>
        <v>60.5286857867225</v>
      </c>
      <c r="AI6" s="1" t="n">
        <f aca="false">B6</f>
        <v>60.5286857867225</v>
      </c>
      <c r="AJ6" s="1" t="n">
        <f aca="false">B6</f>
        <v>60.5286857867225</v>
      </c>
      <c r="AK6" s="1" t="n">
        <f aca="false">B6</f>
        <v>60.5286857867225</v>
      </c>
      <c r="AL6" s="1" t="n">
        <f aca="false">B6</f>
        <v>60.5286857867225</v>
      </c>
      <c r="AM6" s="1" t="n">
        <f aca="false">B6</f>
        <v>60.5286857867225</v>
      </c>
      <c r="AN6" s="1" t="n">
        <v>1</v>
      </c>
      <c r="AO6" s="1" t="n">
        <v>1</v>
      </c>
      <c r="AP6" s="1" t="n">
        <v>1</v>
      </c>
      <c r="AQ6" s="1" t="n">
        <v>1</v>
      </c>
      <c r="AR6" s="1" t="n">
        <v>1</v>
      </c>
      <c r="AS6" s="1" t="n">
        <v>1</v>
      </c>
      <c r="AT6" s="1" t="n">
        <v>1</v>
      </c>
      <c r="AU6" s="1" t="n">
        <v>1</v>
      </c>
      <c r="AV6" s="1" t="n">
        <v>1</v>
      </c>
      <c r="AW6" s="1" t="n">
        <v>1</v>
      </c>
      <c r="AX6" s="1" t="n">
        <f aca="false">B6</f>
        <v>60.5286857867225</v>
      </c>
      <c r="AY6" s="1" t="n">
        <f aca="false">B6</f>
        <v>60.5286857867225</v>
      </c>
      <c r="AZ6" s="1" t="n">
        <f aca="false">B6</f>
        <v>60.5286857867225</v>
      </c>
      <c r="BA6" s="1" t="n">
        <v>1</v>
      </c>
      <c r="BB6" s="1" t="n">
        <v>1</v>
      </c>
      <c r="BC6" s="1" t="n">
        <f aca="false">B6</f>
        <v>60.5286857867225</v>
      </c>
      <c r="BD6" s="1" t="n">
        <f aca="false">B6</f>
        <v>60.5286857867225</v>
      </c>
      <c r="BE6" s="1" t="n">
        <v>1</v>
      </c>
      <c r="BF6" s="1" t="n">
        <v>1</v>
      </c>
      <c r="BG6" s="1" t="n">
        <f aca="false">B6</f>
        <v>60.5286857867225</v>
      </c>
      <c r="BH6" s="1" t="n">
        <f aca="false">B6</f>
        <v>60.5286857867225</v>
      </c>
      <c r="BI6" s="1" t="n">
        <f aca="false">B6</f>
        <v>60.5286857867225</v>
      </c>
      <c r="BJ6" s="1" t="n">
        <f aca="false">B6</f>
        <v>60.5286857867225</v>
      </c>
      <c r="BK6" s="1" t="n">
        <v>1</v>
      </c>
    </row>
    <row r="7" customFormat="false" ht="12.75" hidden="false" customHeight="false" outlineLevel="0" collapsed="false">
      <c r="A7" s="6" t="n">
        <v>2020</v>
      </c>
      <c r="B7" s="1" t="n">
        <f aca="false">im!H7/im!G7</f>
        <v>60.5286857867225</v>
      </c>
      <c r="C7" s="1" t="n">
        <f aca="false">B7</f>
        <v>60.5286857867225</v>
      </c>
      <c r="D7" s="1" t="n">
        <f aca="false">B7</f>
        <v>60.5286857867225</v>
      </c>
      <c r="E7" s="1" t="n">
        <f aca="false">B7</f>
        <v>60.5286857867225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  <c r="K7" s="1" t="n">
        <v>1</v>
      </c>
      <c r="L7" s="1" t="n">
        <f aca="false">B7</f>
        <v>60.5286857867225</v>
      </c>
      <c r="M7" s="1" t="n">
        <f aca="false">B7</f>
        <v>60.5286857867225</v>
      </c>
      <c r="N7" s="1" t="n">
        <f aca="false">B7</f>
        <v>60.5286857867225</v>
      </c>
      <c r="O7" s="1" t="n">
        <f aca="false">B7</f>
        <v>60.5286857867225</v>
      </c>
      <c r="P7" s="1" t="n">
        <f aca="false">B7</f>
        <v>60.5286857867225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f aca="false">B7</f>
        <v>60.5286857867225</v>
      </c>
      <c r="AF7" s="1" t="n">
        <f aca="false">B7</f>
        <v>60.5286857867225</v>
      </c>
      <c r="AG7" s="1" t="n">
        <f aca="false">B7</f>
        <v>60.5286857867225</v>
      </c>
      <c r="AH7" s="1" t="n">
        <f aca="false">B7</f>
        <v>60.5286857867225</v>
      </c>
      <c r="AI7" s="1" t="n">
        <f aca="false">B7</f>
        <v>60.5286857867225</v>
      </c>
      <c r="AJ7" s="1" t="n">
        <f aca="false">B7</f>
        <v>60.5286857867225</v>
      </c>
      <c r="AK7" s="1" t="n">
        <f aca="false">B7</f>
        <v>60.5286857867225</v>
      </c>
      <c r="AL7" s="1" t="n">
        <f aca="false">B7</f>
        <v>60.5286857867225</v>
      </c>
      <c r="AM7" s="1" t="n">
        <f aca="false">B7</f>
        <v>60.5286857867225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f aca="false">B7</f>
        <v>60.5286857867225</v>
      </c>
      <c r="AY7" s="1" t="n">
        <f aca="false">B7</f>
        <v>60.5286857867225</v>
      </c>
      <c r="AZ7" s="1" t="n">
        <f aca="false">B7</f>
        <v>60.5286857867225</v>
      </c>
      <c r="BA7" s="1" t="n">
        <v>1</v>
      </c>
      <c r="BB7" s="1" t="n">
        <v>1</v>
      </c>
      <c r="BC7" s="1" t="n">
        <f aca="false">B7</f>
        <v>60.5286857867225</v>
      </c>
      <c r="BD7" s="1" t="n">
        <f aca="false">B7</f>
        <v>60.5286857867225</v>
      </c>
      <c r="BE7" s="1" t="n">
        <v>1</v>
      </c>
      <c r="BF7" s="1" t="n">
        <v>1</v>
      </c>
      <c r="BG7" s="1" t="n">
        <f aca="false">B7</f>
        <v>60.5286857867225</v>
      </c>
      <c r="BH7" s="1" t="n">
        <f aca="false">B7</f>
        <v>60.5286857867225</v>
      </c>
      <c r="BI7" s="1" t="n">
        <f aca="false">B7</f>
        <v>60.5286857867225</v>
      </c>
      <c r="BJ7" s="1" t="n">
        <f aca="false">B7</f>
        <v>60.5286857867225</v>
      </c>
      <c r="BK7" s="1" t="n">
        <v>1</v>
      </c>
    </row>
    <row r="8" customFormat="false" ht="12.75" hidden="false" customHeight="false" outlineLevel="0" collapsed="false">
      <c r="A8" s="1" t="n">
        <v>2019</v>
      </c>
      <c r="B8" s="1" t="n">
        <f aca="false">im!H8/im!G8</f>
        <v>52.120810703405</v>
      </c>
      <c r="C8" s="1" t="n">
        <f aca="false">B8</f>
        <v>52.120810703405</v>
      </c>
      <c r="D8" s="1" t="n">
        <f aca="false">B8</f>
        <v>52.120810703405</v>
      </c>
      <c r="E8" s="1" t="n">
        <f aca="false">B8</f>
        <v>52.120810703405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  <c r="K8" s="1" t="n">
        <v>1</v>
      </c>
      <c r="L8" s="1" t="n">
        <f aca="false">B8</f>
        <v>52.120810703405</v>
      </c>
      <c r="M8" s="1" t="n">
        <f aca="false">B8</f>
        <v>52.120810703405</v>
      </c>
      <c r="N8" s="1" t="n">
        <f aca="false">B8</f>
        <v>52.120810703405</v>
      </c>
      <c r="O8" s="1" t="n">
        <f aca="false">B8</f>
        <v>52.120810703405</v>
      </c>
      <c r="P8" s="1" t="n">
        <f aca="false">B8</f>
        <v>52.120810703405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  <c r="W8" s="1" t="n">
        <v>1</v>
      </c>
      <c r="X8" s="1" t="n">
        <v>1</v>
      </c>
      <c r="Y8" s="1" t="n">
        <v>1</v>
      </c>
      <c r="Z8" s="1" t="n">
        <v>1</v>
      </c>
      <c r="AA8" s="1" t="n">
        <v>1</v>
      </c>
      <c r="AB8" s="1" t="n">
        <v>1</v>
      </c>
      <c r="AC8" s="1" t="n">
        <v>1</v>
      </c>
      <c r="AD8" s="1" t="n">
        <v>1</v>
      </c>
      <c r="AE8" s="1" t="n">
        <f aca="false">B8</f>
        <v>52.120810703405</v>
      </c>
      <c r="AF8" s="1" t="n">
        <f aca="false">B8</f>
        <v>52.120810703405</v>
      </c>
      <c r="AG8" s="1" t="n">
        <f aca="false">B8</f>
        <v>52.120810703405</v>
      </c>
      <c r="AH8" s="1" t="n">
        <f aca="false">B8</f>
        <v>52.120810703405</v>
      </c>
      <c r="AI8" s="1" t="n">
        <f aca="false">B8</f>
        <v>52.120810703405</v>
      </c>
      <c r="AJ8" s="1" t="n">
        <f aca="false">B8</f>
        <v>52.120810703405</v>
      </c>
      <c r="AK8" s="1" t="n">
        <f aca="false">B8</f>
        <v>52.120810703405</v>
      </c>
      <c r="AL8" s="1" t="n">
        <f aca="false">B8</f>
        <v>52.120810703405</v>
      </c>
      <c r="AM8" s="1" t="n">
        <f aca="false">B8</f>
        <v>52.120810703405</v>
      </c>
      <c r="AN8" s="1" t="n">
        <v>1</v>
      </c>
      <c r="AO8" s="1" t="n">
        <v>1</v>
      </c>
      <c r="AP8" s="1" t="n">
        <v>1</v>
      </c>
      <c r="AQ8" s="1" t="n">
        <v>1</v>
      </c>
      <c r="AR8" s="1" t="n">
        <v>1</v>
      </c>
      <c r="AS8" s="1" t="n">
        <v>1</v>
      </c>
      <c r="AT8" s="1" t="n">
        <v>1</v>
      </c>
      <c r="AU8" s="1" t="n">
        <v>1</v>
      </c>
      <c r="AV8" s="1" t="n">
        <v>1</v>
      </c>
      <c r="AW8" s="1" t="n">
        <v>1</v>
      </c>
      <c r="AX8" s="1" t="n">
        <f aca="false">B8</f>
        <v>52.120810703405</v>
      </c>
      <c r="AY8" s="1" t="n">
        <f aca="false">B8</f>
        <v>52.120810703405</v>
      </c>
      <c r="AZ8" s="1" t="n">
        <f aca="false">B8</f>
        <v>52.120810703405</v>
      </c>
      <c r="BA8" s="1" t="n">
        <v>1</v>
      </c>
      <c r="BB8" s="1" t="n">
        <v>1</v>
      </c>
      <c r="BC8" s="1" t="n">
        <f aca="false">B8</f>
        <v>52.120810703405</v>
      </c>
      <c r="BD8" s="1" t="n">
        <f aca="false">B8</f>
        <v>52.120810703405</v>
      </c>
      <c r="BE8" s="1" t="n">
        <v>1</v>
      </c>
      <c r="BF8" s="1" t="n">
        <v>1</v>
      </c>
      <c r="BG8" s="1" t="n">
        <f aca="false">B8</f>
        <v>52.120810703405</v>
      </c>
      <c r="BH8" s="1" t="n">
        <f aca="false">B8</f>
        <v>52.120810703405</v>
      </c>
      <c r="BI8" s="1" t="n">
        <f aca="false">B8</f>
        <v>52.120810703405</v>
      </c>
      <c r="BJ8" s="1" t="n">
        <f aca="false">B8</f>
        <v>52.120810703405</v>
      </c>
      <c r="BK8" s="1" t="n">
        <v>1</v>
      </c>
    </row>
    <row r="9" customFormat="false" ht="12.75" hidden="false" customHeight="false" outlineLevel="0" collapsed="false">
      <c r="A9" s="1" t="n">
        <f aca="false">A8-1</f>
        <v>2018</v>
      </c>
      <c r="B9" s="1" t="n">
        <f aca="false">im!H9/im!G9</f>
        <v>26.0857693320582</v>
      </c>
      <c r="C9" s="1" t="n">
        <f aca="false">B9</f>
        <v>26.0857693320582</v>
      </c>
      <c r="D9" s="1" t="n">
        <f aca="false">B9</f>
        <v>26.0857693320582</v>
      </c>
      <c r="E9" s="1" t="n">
        <f aca="false">B9</f>
        <v>26.0857693320582</v>
      </c>
      <c r="F9" s="1" t="n">
        <v>1</v>
      </c>
      <c r="G9" s="1" t="n">
        <v>1</v>
      </c>
      <c r="H9" s="1" t="n">
        <v>1</v>
      </c>
      <c r="I9" s="1" t="n">
        <v>1</v>
      </c>
      <c r="J9" s="1" t="n">
        <v>1</v>
      </c>
      <c r="K9" s="1" t="n">
        <v>1</v>
      </c>
      <c r="L9" s="1" t="n">
        <f aca="false">B9</f>
        <v>26.0857693320582</v>
      </c>
      <c r="M9" s="1" t="n">
        <f aca="false">B9</f>
        <v>26.0857693320582</v>
      </c>
      <c r="N9" s="1" t="n">
        <f aca="false">B9</f>
        <v>26.0857693320582</v>
      </c>
      <c r="O9" s="1" t="n">
        <f aca="false">B9</f>
        <v>26.0857693320582</v>
      </c>
      <c r="P9" s="1" t="n">
        <f aca="false">B9</f>
        <v>26.0857693320582</v>
      </c>
      <c r="Q9" s="1" t="n">
        <v>1</v>
      </c>
      <c r="R9" s="1" t="n">
        <v>1</v>
      </c>
      <c r="S9" s="1" t="n">
        <v>1</v>
      </c>
      <c r="T9" s="1" t="n">
        <v>1</v>
      </c>
      <c r="U9" s="1" t="n">
        <v>1</v>
      </c>
      <c r="V9" s="1" t="n">
        <v>1</v>
      </c>
      <c r="W9" s="1" t="n">
        <v>1</v>
      </c>
      <c r="X9" s="1" t="n">
        <v>1</v>
      </c>
      <c r="Y9" s="1" t="n">
        <v>1</v>
      </c>
      <c r="Z9" s="1" t="n">
        <v>1</v>
      </c>
      <c r="AA9" s="1" t="n">
        <v>1</v>
      </c>
      <c r="AB9" s="1" t="n">
        <v>1</v>
      </c>
      <c r="AC9" s="1" t="n">
        <v>1</v>
      </c>
      <c r="AD9" s="1" t="n">
        <v>1</v>
      </c>
      <c r="AE9" s="1" t="n">
        <f aca="false">B9</f>
        <v>26.0857693320582</v>
      </c>
      <c r="AF9" s="1" t="n">
        <f aca="false">B9</f>
        <v>26.0857693320582</v>
      </c>
      <c r="AG9" s="1" t="n">
        <f aca="false">B9</f>
        <v>26.0857693320582</v>
      </c>
      <c r="AH9" s="1" t="n">
        <f aca="false">B9</f>
        <v>26.0857693320582</v>
      </c>
      <c r="AI9" s="1" t="n">
        <f aca="false">B9</f>
        <v>26.0857693320582</v>
      </c>
      <c r="AJ9" s="1" t="n">
        <f aca="false">B9</f>
        <v>26.0857693320582</v>
      </c>
      <c r="AK9" s="1" t="n">
        <f aca="false">B9</f>
        <v>26.0857693320582</v>
      </c>
      <c r="AL9" s="1" t="n">
        <f aca="false">B9</f>
        <v>26.0857693320582</v>
      </c>
      <c r="AM9" s="1" t="n">
        <f aca="false">B9</f>
        <v>26.0857693320582</v>
      </c>
      <c r="AN9" s="1" t="n">
        <v>1</v>
      </c>
      <c r="AO9" s="1" t="n">
        <v>1</v>
      </c>
      <c r="AP9" s="1" t="n">
        <v>1</v>
      </c>
      <c r="AQ9" s="1" t="n">
        <v>1</v>
      </c>
      <c r="AR9" s="1" t="n">
        <v>1</v>
      </c>
      <c r="AS9" s="1" t="n">
        <v>1</v>
      </c>
      <c r="AT9" s="1" t="n">
        <v>1</v>
      </c>
      <c r="AU9" s="1" t="n">
        <v>1</v>
      </c>
      <c r="AV9" s="1" t="n">
        <v>1</v>
      </c>
      <c r="AW9" s="1" t="n">
        <v>1</v>
      </c>
      <c r="AX9" s="1" t="n">
        <f aca="false">B9</f>
        <v>26.0857693320582</v>
      </c>
      <c r="AY9" s="1" t="n">
        <f aca="false">B9</f>
        <v>26.0857693320582</v>
      </c>
      <c r="AZ9" s="1" t="n">
        <f aca="false">B9</f>
        <v>26.0857693320582</v>
      </c>
      <c r="BA9" s="1" t="n">
        <v>1</v>
      </c>
      <c r="BB9" s="1" t="n">
        <v>1</v>
      </c>
      <c r="BC9" s="1" t="n">
        <f aca="false">B9</f>
        <v>26.0857693320582</v>
      </c>
      <c r="BD9" s="1" t="n">
        <f aca="false">B9</f>
        <v>26.0857693320582</v>
      </c>
      <c r="BE9" s="1" t="n">
        <v>1</v>
      </c>
      <c r="BF9" s="1" t="n">
        <v>1</v>
      </c>
      <c r="BG9" s="1" t="n">
        <f aca="false">B9</f>
        <v>26.0857693320582</v>
      </c>
      <c r="BH9" s="1" t="n">
        <f aca="false">B9</f>
        <v>26.0857693320582</v>
      </c>
      <c r="BI9" s="1" t="n">
        <f aca="false">B9</f>
        <v>26.0857693320582</v>
      </c>
      <c r="BJ9" s="1" t="n">
        <f aca="false">B9</f>
        <v>26.0857693320582</v>
      </c>
      <c r="BK9" s="1" t="n">
        <v>1</v>
      </c>
    </row>
    <row r="10" customFormat="false" ht="12.75" hidden="false" customHeight="false" outlineLevel="0" collapsed="false">
      <c r="A10" s="1" t="n">
        <f aca="false">A9-1</f>
        <v>2017</v>
      </c>
      <c r="B10" s="1" t="n">
        <f aca="false">im!H10/im!G10</f>
        <v>20.7661620444889</v>
      </c>
      <c r="C10" s="1" t="n">
        <f aca="false">B10</f>
        <v>20.7661620444889</v>
      </c>
      <c r="D10" s="1" t="n">
        <f aca="false">B10</f>
        <v>20.7661620444889</v>
      </c>
      <c r="E10" s="1" t="n">
        <f aca="false">B10</f>
        <v>20.7661620444889</v>
      </c>
      <c r="F10" s="1" t="n">
        <v>1</v>
      </c>
      <c r="G10" s="1" t="n">
        <v>1</v>
      </c>
      <c r="H10" s="1" t="n">
        <v>1</v>
      </c>
      <c r="I10" s="1" t="n">
        <v>1</v>
      </c>
      <c r="J10" s="1" t="n">
        <v>1</v>
      </c>
      <c r="K10" s="1" t="n">
        <v>1</v>
      </c>
      <c r="L10" s="1" t="n">
        <f aca="false">B10</f>
        <v>20.7661620444889</v>
      </c>
      <c r="M10" s="1" t="n">
        <f aca="false">B10</f>
        <v>20.7661620444889</v>
      </c>
      <c r="N10" s="1" t="n">
        <f aca="false">B10</f>
        <v>20.7661620444889</v>
      </c>
      <c r="O10" s="1" t="n">
        <f aca="false">B10</f>
        <v>20.7661620444889</v>
      </c>
      <c r="P10" s="1" t="n">
        <f aca="false">B10</f>
        <v>20.7661620444889</v>
      </c>
      <c r="Q10" s="1" t="n">
        <v>1</v>
      </c>
      <c r="R10" s="1" t="n">
        <v>1</v>
      </c>
      <c r="S10" s="1" t="n">
        <v>1</v>
      </c>
      <c r="T10" s="1" t="n">
        <v>1</v>
      </c>
      <c r="U10" s="1" t="n">
        <v>1</v>
      </c>
      <c r="V10" s="1" t="n">
        <v>1</v>
      </c>
      <c r="W10" s="1" t="n">
        <v>1</v>
      </c>
      <c r="X10" s="1" t="n">
        <v>1</v>
      </c>
      <c r="Y10" s="1" t="n">
        <v>1</v>
      </c>
      <c r="Z10" s="1" t="n">
        <v>1</v>
      </c>
      <c r="AA10" s="1" t="n">
        <v>1</v>
      </c>
      <c r="AB10" s="1" t="n">
        <v>1</v>
      </c>
      <c r="AC10" s="1" t="n">
        <v>1</v>
      </c>
      <c r="AD10" s="1" t="n">
        <v>1</v>
      </c>
      <c r="AE10" s="1" t="n">
        <f aca="false">B10</f>
        <v>20.7661620444889</v>
      </c>
      <c r="AF10" s="1" t="n">
        <f aca="false">B10</f>
        <v>20.7661620444889</v>
      </c>
      <c r="AG10" s="1" t="n">
        <f aca="false">B10</f>
        <v>20.7661620444889</v>
      </c>
      <c r="AH10" s="1" t="n">
        <f aca="false">B10</f>
        <v>20.7661620444889</v>
      </c>
      <c r="AI10" s="1" t="n">
        <f aca="false">B10</f>
        <v>20.7661620444889</v>
      </c>
      <c r="AJ10" s="1" t="n">
        <f aca="false">B10</f>
        <v>20.7661620444889</v>
      </c>
      <c r="AK10" s="1" t="n">
        <f aca="false">B10</f>
        <v>20.7661620444889</v>
      </c>
      <c r="AL10" s="1" t="n">
        <f aca="false">B10</f>
        <v>20.7661620444889</v>
      </c>
      <c r="AM10" s="1" t="n">
        <f aca="false">B10</f>
        <v>20.7661620444889</v>
      </c>
      <c r="AN10" s="1" t="n">
        <v>1</v>
      </c>
      <c r="AO10" s="1" t="n">
        <v>1</v>
      </c>
      <c r="AP10" s="1" t="n">
        <v>1</v>
      </c>
      <c r="AQ10" s="1" t="n">
        <v>1</v>
      </c>
      <c r="AR10" s="1" t="n">
        <v>1</v>
      </c>
      <c r="AS10" s="1" t="n">
        <v>1</v>
      </c>
      <c r="AT10" s="1" t="n">
        <v>1</v>
      </c>
      <c r="AU10" s="1" t="n">
        <v>1</v>
      </c>
      <c r="AV10" s="1" t="n">
        <v>1</v>
      </c>
      <c r="AW10" s="1" t="n">
        <v>1</v>
      </c>
      <c r="AX10" s="1" t="n">
        <f aca="false">B10</f>
        <v>20.7661620444889</v>
      </c>
      <c r="AY10" s="1" t="n">
        <f aca="false">B10</f>
        <v>20.7661620444889</v>
      </c>
      <c r="AZ10" s="1" t="n">
        <f aca="false">B10</f>
        <v>20.7661620444889</v>
      </c>
      <c r="BA10" s="1" t="n">
        <v>1</v>
      </c>
      <c r="BB10" s="1" t="n">
        <v>1</v>
      </c>
      <c r="BC10" s="1" t="n">
        <f aca="false">B10</f>
        <v>20.7661620444889</v>
      </c>
      <c r="BD10" s="1" t="n">
        <f aca="false">B10</f>
        <v>20.7661620444889</v>
      </c>
      <c r="BE10" s="1" t="n">
        <v>1</v>
      </c>
      <c r="BF10" s="1" t="n">
        <v>1</v>
      </c>
      <c r="BG10" s="1" t="n">
        <f aca="false">B10</f>
        <v>20.7661620444889</v>
      </c>
      <c r="BH10" s="1" t="n">
        <f aca="false">B10</f>
        <v>20.7661620444889</v>
      </c>
      <c r="BI10" s="1" t="n">
        <f aca="false">B10</f>
        <v>20.7661620444889</v>
      </c>
      <c r="BJ10" s="1" t="n">
        <f aca="false">B10</f>
        <v>20.7661620444889</v>
      </c>
      <c r="BK10" s="1" t="n">
        <v>1</v>
      </c>
    </row>
    <row r="11" customFormat="false" ht="12.75" hidden="false" customHeight="false" outlineLevel="0" collapsed="false">
      <c r="A11" s="1" t="n">
        <f aca="false">A10-1</f>
        <v>2016</v>
      </c>
      <c r="B11" s="1" t="n">
        <f aca="false">im!H11/im!G11</f>
        <v>19.70069775271</v>
      </c>
      <c r="C11" s="1" t="n">
        <f aca="false">B11</f>
        <v>19.70069775271</v>
      </c>
      <c r="D11" s="1" t="n">
        <f aca="false">B11</f>
        <v>19.70069775271</v>
      </c>
      <c r="E11" s="1" t="n">
        <f aca="false">B11</f>
        <v>19.70069775271</v>
      </c>
      <c r="F11" s="1" t="n">
        <v>1</v>
      </c>
      <c r="G11" s="1" t="n">
        <v>1</v>
      </c>
      <c r="H11" s="1" t="n">
        <v>1</v>
      </c>
      <c r="I11" s="1" t="n">
        <v>1</v>
      </c>
      <c r="J11" s="1" t="n">
        <v>1</v>
      </c>
      <c r="K11" s="1" t="n">
        <v>1</v>
      </c>
      <c r="L11" s="1" t="n">
        <f aca="false">B11</f>
        <v>19.70069775271</v>
      </c>
      <c r="M11" s="1" t="n">
        <f aca="false">B11</f>
        <v>19.70069775271</v>
      </c>
      <c r="N11" s="1" t="n">
        <f aca="false">B11</f>
        <v>19.70069775271</v>
      </c>
      <c r="O11" s="1" t="n">
        <f aca="false">B11</f>
        <v>19.70069775271</v>
      </c>
      <c r="P11" s="1" t="n">
        <f aca="false">B11</f>
        <v>19.70069775271</v>
      </c>
      <c r="Q11" s="1" t="n">
        <v>1</v>
      </c>
      <c r="R11" s="1" t="n">
        <v>1</v>
      </c>
      <c r="S11" s="1" t="n">
        <v>1</v>
      </c>
      <c r="T11" s="1" t="n">
        <v>1</v>
      </c>
      <c r="U11" s="1" t="n">
        <v>1</v>
      </c>
      <c r="V11" s="1" t="n">
        <v>1</v>
      </c>
      <c r="W11" s="1" t="n">
        <v>1</v>
      </c>
      <c r="X11" s="1" t="n">
        <v>1</v>
      </c>
      <c r="Y11" s="1" t="n">
        <v>1</v>
      </c>
      <c r="Z11" s="1" t="n">
        <v>1</v>
      </c>
      <c r="AA11" s="1" t="n">
        <v>1</v>
      </c>
      <c r="AB11" s="1" t="n">
        <v>1</v>
      </c>
      <c r="AC11" s="1" t="n">
        <v>1</v>
      </c>
      <c r="AD11" s="1" t="n">
        <v>1</v>
      </c>
      <c r="AE11" s="1" t="n">
        <f aca="false">B11</f>
        <v>19.70069775271</v>
      </c>
      <c r="AF11" s="1" t="n">
        <f aca="false">B11</f>
        <v>19.70069775271</v>
      </c>
      <c r="AG11" s="1" t="n">
        <f aca="false">B11</f>
        <v>19.70069775271</v>
      </c>
      <c r="AH11" s="1" t="n">
        <f aca="false">B11</f>
        <v>19.70069775271</v>
      </c>
      <c r="AI11" s="1" t="n">
        <f aca="false">B11</f>
        <v>19.70069775271</v>
      </c>
      <c r="AJ11" s="1" t="n">
        <f aca="false">B11</f>
        <v>19.70069775271</v>
      </c>
      <c r="AK11" s="1" t="n">
        <f aca="false">B11</f>
        <v>19.70069775271</v>
      </c>
      <c r="AL11" s="1" t="n">
        <f aca="false">B11</f>
        <v>19.70069775271</v>
      </c>
      <c r="AM11" s="1" t="n">
        <f aca="false">B11</f>
        <v>19.70069775271</v>
      </c>
      <c r="AN11" s="1" t="n">
        <v>1</v>
      </c>
      <c r="AO11" s="1" t="n">
        <v>1</v>
      </c>
      <c r="AP11" s="1" t="n">
        <v>1</v>
      </c>
      <c r="AQ11" s="1" t="n">
        <v>1</v>
      </c>
      <c r="AR11" s="1" t="n">
        <v>1</v>
      </c>
      <c r="AS11" s="1" t="n">
        <v>1</v>
      </c>
      <c r="AT11" s="1" t="n">
        <v>1</v>
      </c>
      <c r="AU11" s="1" t="n">
        <v>1</v>
      </c>
      <c r="AV11" s="1" t="n">
        <v>1</v>
      </c>
      <c r="AW11" s="1" t="n">
        <v>1</v>
      </c>
      <c r="AX11" s="1" t="n">
        <f aca="false">B11</f>
        <v>19.70069775271</v>
      </c>
      <c r="AY11" s="1" t="n">
        <f aca="false">B11</f>
        <v>19.70069775271</v>
      </c>
      <c r="AZ11" s="1" t="n">
        <f aca="false">B11</f>
        <v>19.70069775271</v>
      </c>
      <c r="BA11" s="1" t="n">
        <v>1</v>
      </c>
      <c r="BB11" s="1" t="n">
        <v>1</v>
      </c>
      <c r="BC11" s="1" t="n">
        <f aca="false">B11</f>
        <v>19.70069775271</v>
      </c>
      <c r="BD11" s="1" t="n">
        <f aca="false">B11</f>
        <v>19.70069775271</v>
      </c>
      <c r="BE11" s="1" t="n">
        <v>1</v>
      </c>
      <c r="BF11" s="1" t="n">
        <v>1</v>
      </c>
      <c r="BG11" s="1" t="n">
        <f aca="false">B11</f>
        <v>19.70069775271</v>
      </c>
      <c r="BH11" s="1" t="n">
        <f aca="false">B11</f>
        <v>19.70069775271</v>
      </c>
      <c r="BI11" s="1" t="n">
        <f aca="false">B11</f>
        <v>19.70069775271</v>
      </c>
      <c r="BJ11" s="1" t="n">
        <f aca="false">B11</f>
        <v>19.70069775271</v>
      </c>
      <c r="BK11" s="1" t="n">
        <v>1</v>
      </c>
    </row>
    <row r="12" customFormat="false" ht="12.75" hidden="false" customHeight="false" outlineLevel="0" collapsed="false">
      <c r="A12" s="1" t="n">
        <f aca="false">A11-1</f>
        <v>2015</v>
      </c>
      <c r="B12" s="1" t="n">
        <f aca="false">im!H12/im!G12</f>
        <v>14.6539847214599</v>
      </c>
      <c r="C12" s="1" t="n">
        <f aca="false">B12</f>
        <v>14.6539847214599</v>
      </c>
      <c r="D12" s="1" t="n">
        <f aca="false">B12</f>
        <v>14.6539847214599</v>
      </c>
      <c r="E12" s="1" t="n">
        <f aca="false">B12</f>
        <v>14.6539847214599</v>
      </c>
      <c r="F12" s="1" t="n">
        <v>1</v>
      </c>
      <c r="G12" s="1" t="n">
        <v>1</v>
      </c>
      <c r="H12" s="1" t="n">
        <v>1</v>
      </c>
      <c r="I12" s="1" t="n">
        <v>1</v>
      </c>
      <c r="J12" s="1" t="n">
        <v>1</v>
      </c>
      <c r="K12" s="1" t="n">
        <v>1</v>
      </c>
      <c r="L12" s="1" t="n">
        <f aca="false">B12</f>
        <v>14.6539847214599</v>
      </c>
      <c r="M12" s="1" t="n">
        <f aca="false">B12</f>
        <v>14.6539847214599</v>
      </c>
      <c r="N12" s="1" t="n">
        <f aca="false">B12</f>
        <v>14.6539847214599</v>
      </c>
      <c r="O12" s="1" t="n">
        <f aca="false">B12</f>
        <v>14.6539847214599</v>
      </c>
      <c r="P12" s="1" t="n">
        <f aca="false">B12</f>
        <v>14.6539847214599</v>
      </c>
      <c r="Q12" s="1" t="n">
        <v>1</v>
      </c>
      <c r="R12" s="1" t="n">
        <v>1</v>
      </c>
      <c r="S12" s="1" t="n">
        <v>1</v>
      </c>
      <c r="T12" s="1" t="n">
        <v>1</v>
      </c>
      <c r="U12" s="1" t="n">
        <v>1</v>
      </c>
      <c r="V12" s="1" t="n">
        <v>1</v>
      </c>
      <c r="W12" s="1" t="n">
        <v>1</v>
      </c>
      <c r="X12" s="1" t="n">
        <v>1</v>
      </c>
      <c r="Y12" s="1" t="n">
        <v>1</v>
      </c>
      <c r="Z12" s="1" t="n">
        <v>1</v>
      </c>
      <c r="AA12" s="1" t="n">
        <v>1</v>
      </c>
      <c r="AB12" s="1" t="n">
        <v>1</v>
      </c>
      <c r="AC12" s="1" t="n">
        <v>1</v>
      </c>
      <c r="AD12" s="1" t="n">
        <v>1</v>
      </c>
      <c r="AE12" s="1" t="n">
        <f aca="false">B12</f>
        <v>14.6539847214599</v>
      </c>
      <c r="AF12" s="1" t="n">
        <f aca="false">B12</f>
        <v>14.6539847214599</v>
      </c>
      <c r="AG12" s="1" t="n">
        <f aca="false">B12</f>
        <v>14.6539847214599</v>
      </c>
      <c r="AH12" s="1" t="n">
        <f aca="false">B12</f>
        <v>14.6539847214599</v>
      </c>
      <c r="AI12" s="1" t="n">
        <f aca="false">B12</f>
        <v>14.6539847214599</v>
      </c>
      <c r="AJ12" s="1" t="n">
        <f aca="false">B12</f>
        <v>14.6539847214599</v>
      </c>
      <c r="AK12" s="1" t="n">
        <f aca="false">B12</f>
        <v>14.6539847214599</v>
      </c>
      <c r="AL12" s="1" t="n">
        <f aca="false">B12</f>
        <v>14.6539847214599</v>
      </c>
      <c r="AM12" s="1" t="n">
        <f aca="false">B12</f>
        <v>14.6539847214599</v>
      </c>
      <c r="AN12" s="1" t="n">
        <v>1</v>
      </c>
      <c r="AO12" s="1" t="n">
        <v>1</v>
      </c>
      <c r="AP12" s="1" t="n">
        <v>1</v>
      </c>
      <c r="AQ12" s="1" t="n">
        <v>1</v>
      </c>
      <c r="AR12" s="1" t="n">
        <v>1</v>
      </c>
      <c r="AS12" s="1" t="n">
        <v>1</v>
      </c>
      <c r="AT12" s="1" t="n">
        <v>1</v>
      </c>
      <c r="AU12" s="1" t="n">
        <v>1</v>
      </c>
      <c r="AV12" s="1" t="n">
        <v>1</v>
      </c>
      <c r="AW12" s="1" t="n">
        <v>1</v>
      </c>
      <c r="AX12" s="1" t="n">
        <f aca="false">B12</f>
        <v>14.6539847214599</v>
      </c>
      <c r="AY12" s="1" t="n">
        <f aca="false">B12</f>
        <v>14.6539847214599</v>
      </c>
      <c r="AZ12" s="1" t="n">
        <f aca="false">B12</f>
        <v>14.6539847214599</v>
      </c>
      <c r="BA12" s="1" t="n">
        <v>1</v>
      </c>
      <c r="BB12" s="1" t="n">
        <v>1</v>
      </c>
      <c r="BC12" s="1" t="n">
        <f aca="false">B12</f>
        <v>14.6539847214599</v>
      </c>
      <c r="BD12" s="1" t="n">
        <f aca="false">B12</f>
        <v>14.6539847214599</v>
      </c>
      <c r="BE12" s="1" t="n">
        <v>1</v>
      </c>
      <c r="BF12" s="1" t="n">
        <v>1</v>
      </c>
      <c r="BG12" s="1" t="n">
        <f aca="false">B12</f>
        <v>14.6539847214599</v>
      </c>
      <c r="BH12" s="1" t="n">
        <f aca="false">B12</f>
        <v>14.6539847214599</v>
      </c>
      <c r="BI12" s="1" t="n">
        <f aca="false">B12</f>
        <v>14.6539847214599</v>
      </c>
      <c r="BJ12" s="1" t="n">
        <f aca="false">B12</f>
        <v>14.6539847214599</v>
      </c>
      <c r="BK12" s="1" t="n">
        <v>1</v>
      </c>
    </row>
    <row r="13" customFormat="false" ht="12.75" hidden="false" customHeight="false" outlineLevel="0" collapsed="false">
      <c r="A13" s="1" t="n">
        <f aca="false">A12-1</f>
        <v>2014</v>
      </c>
      <c r="B13" s="1" t="n">
        <f aca="false">im!H13/im!G13</f>
        <v>12.6600844851432</v>
      </c>
      <c r="C13" s="1" t="n">
        <f aca="false">B13</f>
        <v>12.6600844851432</v>
      </c>
      <c r="D13" s="1" t="n">
        <f aca="false">B13</f>
        <v>12.6600844851432</v>
      </c>
      <c r="E13" s="1" t="n">
        <f aca="false">B13</f>
        <v>12.6600844851432</v>
      </c>
      <c r="F13" s="1" t="n">
        <v>1</v>
      </c>
      <c r="G13" s="1" t="n">
        <v>1</v>
      </c>
      <c r="H13" s="1" t="n">
        <v>1</v>
      </c>
      <c r="I13" s="1" t="n">
        <v>1</v>
      </c>
      <c r="J13" s="1" t="n">
        <v>1</v>
      </c>
      <c r="K13" s="1" t="n">
        <v>1</v>
      </c>
      <c r="L13" s="1" t="n">
        <f aca="false">B13</f>
        <v>12.6600844851432</v>
      </c>
      <c r="M13" s="1" t="n">
        <f aca="false">B13</f>
        <v>12.6600844851432</v>
      </c>
      <c r="N13" s="1" t="n">
        <f aca="false">B13</f>
        <v>12.6600844851432</v>
      </c>
      <c r="O13" s="1" t="n">
        <f aca="false">B13</f>
        <v>12.6600844851432</v>
      </c>
      <c r="P13" s="1" t="n">
        <f aca="false">B13</f>
        <v>12.6600844851432</v>
      </c>
      <c r="Q13" s="1" t="n">
        <v>1</v>
      </c>
      <c r="R13" s="1" t="n">
        <v>1</v>
      </c>
      <c r="S13" s="1" t="n">
        <v>1</v>
      </c>
      <c r="T13" s="1" t="n">
        <v>1</v>
      </c>
      <c r="U13" s="1" t="n">
        <v>1</v>
      </c>
      <c r="V13" s="1" t="n">
        <v>1</v>
      </c>
      <c r="W13" s="1" t="n">
        <v>1</v>
      </c>
      <c r="X13" s="1" t="n">
        <v>1</v>
      </c>
      <c r="Y13" s="1" t="n">
        <v>1</v>
      </c>
      <c r="Z13" s="1" t="n">
        <v>1</v>
      </c>
      <c r="AA13" s="1" t="n">
        <v>1</v>
      </c>
      <c r="AB13" s="1" t="n">
        <v>1</v>
      </c>
      <c r="AC13" s="1" t="n">
        <v>1</v>
      </c>
      <c r="AD13" s="1" t="n">
        <v>1</v>
      </c>
      <c r="AE13" s="1" t="n">
        <f aca="false">B13</f>
        <v>12.6600844851432</v>
      </c>
      <c r="AF13" s="1" t="n">
        <f aca="false">B13</f>
        <v>12.6600844851432</v>
      </c>
      <c r="AG13" s="1" t="n">
        <f aca="false">B13</f>
        <v>12.6600844851432</v>
      </c>
      <c r="AH13" s="1" t="n">
        <f aca="false">B13</f>
        <v>12.6600844851432</v>
      </c>
      <c r="AI13" s="1" t="n">
        <f aca="false">B13</f>
        <v>12.6600844851432</v>
      </c>
      <c r="AJ13" s="1" t="n">
        <f aca="false">B13</f>
        <v>12.6600844851432</v>
      </c>
      <c r="AK13" s="1" t="n">
        <f aca="false">B13</f>
        <v>12.6600844851432</v>
      </c>
      <c r="AL13" s="1" t="n">
        <f aca="false">B13</f>
        <v>12.6600844851432</v>
      </c>
      <c r="AM13" s="1" t="n">
        <f aca="false">B13</f>
        <v>12.6600844851432</v>
      </c>
      <c r="AN13" s="1" t="n">
        <v>1</v>
      </c>
      <c r="AO13" s="1" t="n">
        <v>1</v>
      </c>
      <c r="AP13" s="1" t="n">
        <v>1</v>
      </c>
      <c r="AQ13" s="1" t="n">
        <v>1</v>
      </c>
      <c r="AR13" s="1" t="n">
        <v>1</v>
      </c>
      <c r="AS13" s="1" t="n">
        <v>1</v>
      </c>
      <c r="AT13" s="1" t="n">
        <v>1</v>
      </c>
      <c r="AU13" s="1" t="n">
        <v>1</v>
      </c>
      <c r="AV13" s="1" t="n">
        <v>1</v>
      </c>
      <c r="AW13" s="1" t="n">
        <v>1</v>
      </c>
      <c r="AX13" s="1" t="n">
        <f aca="false">B13</f>
        <v>12.6600844851432</v>
      </c>
      <c r="AY13" s="1" t="n">
        <f aca="false">B13</f>
        <v>12.6600844851432</v>
      </c>
      <c r="AZ13" s="1" t="n">
        <f aca="false">B13</f>
        <v>12.6600844851432</v>
      </c>
      <c r="BA13" s="1" t="n">
        <v>1</v>
      </c>
      <c r="BB13" s="1" t="n">
        <v>1</v>
      </c>
      <c r="BC13" s="1" t="n">
        <f aca="false">B13</f>
        <v>12.6600844851432</v>
      </c>
      <c r="BD13" s="1" t="n">
        <f aca="false">B13</f>
        <v>12.6600844851432</v>
      </c>
      <c r="BE13" s="1" t="n">
        <v>1</v>
      </c>
      <c r="BF13" s="1" t="n">
        <v>1</v>
      </c>
      <c r="BG13" s="1" t="n">
        <f aca="false">B13</f>
        <v>12.6600844851432</v>
      </c>
      <c r="BH13" s="1" t="n">
        <f aca="false">B13</f>
        <v>12.6600844851432</v>
      </c>
      <c r="BI13" s="1" t="n">
        <f aca="false">B13</f>
        <v>12.6600844851432</v>
      </c>
      <c r="BJ13" s="1" t="n">
        <f aca="false">B13</f>
        <v>12.6600844851432</v>
      </c>
      <c r="BK13" s="1" t="n">
        <v>1</v>
      </c>
    </row>
    <row r="14" customFormat="false" ht="12.75" hidden="false" customHeight="false" outlineLevel="0" collapsed="false">
      <c r="A14" s="1" t="n">
        <f aca="false">A13-1</f>
        <v>2013</v>
      </c>
      <c r="B14" s="1" t="n">
        <f aca="false">im!H14/im!G14</f>
        <v>9.75099196229002</v>
      </c>
      <c r="C14" s="1" t="n">
        <f aca="false">B14</f>
        <v>9.75099196229002</v>
      </c>
      <c r="D14" s="1" t="n">
        <f aca="false">B14</f>
        <v>9.75099196229002</v>
      </c>
      <c r="E14" s="1" t="n">
        <f aca="false">B14</f>
        <v>9.75099196229002</v>
      </c>
      <c r="F14" s="1" t="n">
        <v>1</v>
      </c>
      <c r="G14" s="1" t="n">
        <v>1</v>
      </c>
      <c r="H14" s="1" t="n">
        <v>1</v>
      </c>
      <c r="I14" s="1" t="n">
        <v>1</v>
      </c>
      <c r="J14" s="1" t="n">
        <v>1</v>
      </c>
      <c r="K14" s="1" t="n">
        <v>1</v>
      </c>
      <c r="L14" s="1" t="n">
        <f aca="false">B14</f>
        <v>9.75099196229002</v>
      </c>
      <c r="M14" s="1" t="n">
        <f aca="false">B14</f>
        <v>9.75099196229002</v>
      </c>
      <c r="N14" s="1" t="n">
        <f aca="false">B14</f>
        <v>9.75099196229002</v>
      </c>
      <c r="O14" s="1" t="n">
        <f aca="false">B14</f>
        <v>9.75099196229002</v>
      </c>
      <c r="P14" s="1" t="n">
        <f aca="false">B14</f>
        <v>9.75099196229002</v>
      </c>
      <c r="Q14" s="1" t="n">
        <v>1</v>
      </c>
      <c r="R14" s="1" t="n">
        <v>1</v>
      </c>
      <c r="S14" s="1" t="n">
        <v>1</v>
      </c>
      <c r="T14" s="1" t="n">
        <v>1</v>
      </c>
      <c r="U14" s="1" t="n">
        <v>1</v>
      </c>
      <c r="V14" s="1" t="n">
        <v>1</v>
      </c>
      <c r="W14" s="1" t="n">
        <v>1</v>
      </c>
      <c r="X14" s="1" t="n">
        <v>1</v>
      </c>
      <c r="Y14" s="1" t="n">
        <v>1</v>
      </c>
      <c r="Z14" s="1" t="n">
        <v>1</v>
      </c>
      <c r="AA14" s="1" t="n">
        <v>1</v>
      </c>
      <c r="AB14" s="1" t="n">
        <v>1</v>
      </c>
      <c r="AC14" s="1" t="n">
        <v>1</v>
      </c>
      <c r="AD14" s="1" t="n">
        <v>1</v>
      </c>
      <c r="AE14" s="1" t="n">
        <f aca="false">B14</f>
        <v>9.75099196229002</v>
      </c>
      <c r="AF14" s="1" t="n">
        <f aca="false">B14</f>
        <v>9.75099196229002</v>
      </c>
      <c r="AG14" s="1" t="n">
        <f aca="false">B14</f>
        <v>9.75099196229002</v>
      </c>
      <c r="AH14" s="1" t="n">
        <f aca="false">B14</f>
        <v>9.75099196229002</v>
      </c>
      <c r="AI14" s="1" t="n">
        <f aca="false">B14</f>
        <v>9.75099196229002</v>
      </c>
      <c r="AJ14" s="1" t="n">
        <f aca="false">B14</f>
        <v>9.75099196229002</v>
      </c>
      <c r="AK14" s="1" t="n">
        <f aca="false">B14</f>
        <v>9.75099196229002</v>
      </c>
      <c r="AL14" s="1" t="n">
        <f aca="false">B14</f>
        <v>9.75099196229002</v>
      </c>
      <c r="AM14" s="1" t="n">
        <f aca="false">B14</f>
        <v>9.75099196229002</v>
      </c>
      <c r="AN14" s="1" t="n">
        <v>1</v>
      </c>
      <c r="AO14" s="1" t="n">
        <v>1</v>
      </c>
      <c r="AP14" s="1" t="n">
        <v>1</v>
      </c>
      <c r="AQ14" s="1" t="n">
        <v>1</v>
      </c>
      <c r="AR14" s="1" t="n">
        <v>1</v>
      </c>
      <c r="AS14" s="1" t="n">
        <v>1</v>
      </c>
      <c r="AT14" s="1" t="n">
        <v>1</v>
      </c>
      <c r="AU14" s="1" t="n">
        <v>1</v>
      </c>
      <c r="AV14" s="1" t="n">
        <v>1</v>
      </c>
      <c r="AW14" s="1" t="n">
        <v>1</v>
      </c>
      <c r="AX14" s="1" t="n">
        <f aca="false">B14</f>
        <v>9.75099196229002</v>
      </c>
      <c r="AY14" s="1" t="n">
        <f aca="false">B14</f>
        <v>9.75099196229002</v>
      </c>
      <c r="AZ14" s="1" t="n">
        <f aca="false">B14</f>
        <v>9.75099196229002</v>
      </c>
      <c r="BA14" s="1" t="n">
        <v>1</v>
      </c>
      <c r="BB14" s="1" t="n">
        <v>1</v>
      </c>
      <c r="BC14" s="1" t="n">
        <f aca="false">B14</f>
        <v>9.75099196229002</v>
      </c>
      <c r="BD14" s="1" t="n">
        <f aca="false">B14</f>
        <v>9.75099196229002</v>
      </c>
      <c r="BE14" s="1" t="n">
        <v>1</v>
      </c>
      <c r="BF14" s="1" t="n">
        <v>1</v>
      </c>
      <c r="BG14" s="1" t="n">
        <f aca="false">B14</f>
        <v>9.75099196229002</v>
      </c>
      <c r="BH14" s="1" t="n">
        <f aca="false">B14</f>
        <v>9.75099196229002</v>
      </c>
      <c r="BI14" s="1" t="n">
        <f aca="false">B14</f>
        <v>9.75099196229002</v>
      </c>
      <c r="BJ14" s="1" t="n">
        <f aca="false">B14</f>
        <v>9.75099196229002</v>
      </c>
      <c r="BK14" s="1" t="n">
        <v>1</v>
      </c>
    </row>
    <row r="15" customFormat="false" ht="12.75" hidden="false" customHeight="false" outlineLevel="0" collapsed="false">
      <c r="A15" s="1" t="n">
        <f aca="false">A14-1</f>
        <v>2012</v>
      </c>
      <c r="B15" s="1" t="n">
        <f aca="false">im!H15/im!G15</f>
        <v>7.99904480192435</v>
      </c>
      <c r="C15" s="1" t="n">
        <f aca="false">B15</f>
        <v>7.99904480192435</v>
      </c>
      <c r="D15" s="1" t="n">
        <f aca="false">B15</f>
        <v>7.99904480192435</v>
      </c>
      <c r="E15" s="1" t="n">
        <f aca="false">B15</f>
        <v>7.99904480192435</v>
      </c>
      <c r="F15" s="1" t="n">
        <v>1</v>
      </c>
      <c r="G15" s="1" t="n">
        <v>1</v>
      </c>
      <c r="H15" s="1" t="n">
        <v>1</v>
      </c>
      <c r="I15" s="1" t="n">
        <v>1</v>
      </c>
      <c r="J15" s="1" t="n">
        <v>1</v>
      </c>
      <c r="K15" s="1" t="n">
        <v>1</v>
      </c>
      <c r="L15" s="1" t="n">
        <f aca="false">B15</f>
        <v>7.99904480192435</v>
      </c>
      <c r="M15" s="1" t="n">
        <f aca="false">B15</f>
        <v>7.99904480192435</v>
      </c>
      <c r="N15" s="1" t="n">
        <f aca="false">B15</f>
        <v>7.99904480192435</v>
      </c>
      <c r="O15" s="1" t="n">
        <f aca="false">B15</f>
        <v>7.99904480192435</v>
      </c>
      <c r="P15" s="1" t="n">
        <f aca="false">B15</f>
        <v>7.99904480192435</v>
      </c>
      <c r="Q15" s="1" t="n">
        <v>1</v>
      </c>
      <c r="R15" s="1" t="n">
        <v>1</v>
      </c>
      <c r="S15" s="1" t="n">
        <v>1</v>
      </c>
      <c r="T15" s="1" t="n">
        <v>1</v>
      </c>
      <c r="U15" s="1" t="n">
        <v>1</v>
      </c>
      <c r="V15" s="1" t="n">
        <v>1</v>
      </c>
      <c r="W15" s="1" t="n">
        <v>1</v>
      </c>
      <c r="X15" s="1" t="n">
        <v>1</v>
      </c>
      <c r="Y15" s="1" t="n">
        <v>1</v>
      </c>
      <c r="Z15" s="1" t="n">
        <v>1</v>
      </c>
      <c r="AA15" s="1" t="n">
        <v>1</v>
      </c>
      <c r="AB15" s="1" t="n">
        <v>1</v>
      </c>
      <c r="AC15" s="1" t="n">
        <v>1</v>
      </c>
      <c r="AD15" s="1" t="n">
        <v>1</v>
      </c>
      <c r="AE15" s="1" t="n">
        <f aca="false">B15</f>
        <v>7.99904480192435</v>
      </c>
      <c r="AF15" s="1" t="n">
        <f aca="false">B15</f>
        <v>7.99904480192435</v>
      </c>
      <c r="AG15" s="1" t="n">
        <f aca="false">B15</f>
        <v>7.99904480192435</v>
      </c>
      <c r="AH15" s="1" t="n">
        <f aca="false">B15</f>
        <v>7.99904480192435</v>
      </c>
      <c r="AI15" s="1" t="n">
        <f aca="false">B15</f>
        <v>7.99904480192435</v>
      </c>
      <c r="AJ15" s="1" t="n">
        <f aca="false">B15</f>
        <v>7.99904480192435</v>
      </c>
      <c r="AK15" s="1" t="n">
        <f aca="false">B15</f>
        <v>7.99904480192435</v>
      </c>
      <c r="AL15" s="1" t="n">
        <f aca="false">B15</f>
        <v>7.99904480192435</v>
      </c>
      <c r="AM15" s="1" t="n">
        <f aca="false">B15</f>
        <v>7.99904480192435</v>
      </c>
      <c r="AN15" s="1" t="n">
        <v>1</v>
      </c>
      <c r="AO15" s="1" t="n">
        <v>1</v>
      </c>
      <c r="AP15" s="1" t="n">
        <v>1</v>
      </c>
      <c r="AQ15" s="1" t="n">
        <v>1</v>
      </c>
      <c r="AR15" s="1" t="n">
        <v>1</v>
      </c>
      <c r="AS15" s="1" t="n">
        <v>1</v>
      </c>
      <c r="AT15" s="1" t="n">
        <v>1</v>
      </c>
      <c r="AU15" s="1" t="n">
        <v>1</v>
      </c>
      <c r="AV15" s="1" t="n">
        <v>1</v>
      </c>
      <c r="AW15" s="1" t="n">
        <v>1</v>
      </c>
      <c r="AX15" s="1" t="n">
        <f aca="false">B15</f>
        <v>7.99904480192435</v>
      </c>
      <c r="AY15" s="1" t="n">
        <f aca="false">B15</f>
        <v>7.99904480192435</v>
      </c>
      <c r="AZ15" s="1" t="n">
        <f aca="false">B15</f>
        <v>7.99904480192435</v>
      </c>
      <c r="BA15" s="1" t="n">
        <v>1</v>
      </c>
      <c r="BB15" s="1" t="n">
        <v>1</v>
      </c>
      <c r="BC15" s="1" t="n">
        <f aca="false">B15</f>
        <v>7.99904480192435</v>
      </c>
      <c r="BD15" s="1" t="n">
        <f aca="false">B15</f>
        <v>7.99904480192435</v>
      </c>
      <c r="BE15" s="1" t="n">
        <v>1</v>
      </c>
      <c r="BF15" s="1" t="n">
        <v>1</v>
      </c>
      <c r="BG15" s="1" t="n">
        <f aca="false">B15</f>
        <v>7.99904480192435</v>
      </c>
      <c r="BH15" s="1" t="n">
        <f aca="false">B15</f>
        <v>7.99904480192435</v>
      </c>
      <c r="BI15" s="1" t="n">
        <f aca="false">B15</f>
        <v>7.99904480192435</v>
      </c>
      <c r="BJ15" s="1" t="n">
        <f aca="false">B15</f>
        <v>7.99904480192435</v>
      </c>
      <c r="BK15" s="1" t="n">
        <v>1</v>
      </c>
    </row>
    <row r="16" customFormat="false" ht="12.75" hidden="false" customHeight="false" outlineLevel="0" collapsed="false">
      <c r="A16" s="1" t="n">
        <f aca="false">A15-1</f>
        <v>2011</v>
      </c>
      <c r="B16" s="1" t="n">
        <f aca="false">im!H16/im!G16</f>
        <v>8.0762405285231</v>
      </c>
      <c r="C16" s="1" t="n">
        <f aca="false">B16</f>
        <v>8.0762405285231</v>
      </c>
      <c r="D16" s="1" t="n">
        <f aca="false">B16</f>
        <v>8.0762405285231</v>
      </c>
      <c r="E16" s="1" t="n">
        <f aca="false">B16</f>
        <v>8.0762405285231</v>
      </c>
      <c r="F16" s="1" t="n">
        <v>1</v>
      </c>
      <c r="G16" s="1" t="n">
        <v>1</v>
      </c>
      <c r="H16" s="1" t="n">
        <v>1</v>
      </c>
      <c r="I16" s="1" t="n">
        <v>1</v>
      </c>
      <c r="J16" s="1" t="n">
        <v>1</v>
      </c>
      <c r="K16" s="1" t="n">
        <v>1</v>
      </c>
      <c r="L16" s="1" t="n">
        <f aca="false">B16</f>
        <v>8.0762405285231</v>
      </c>
      <c r="M16" s="1" t="n">
        <f aca="false">B16</f>
        <v>8.0762405285231</v>
      </c>
      <c r="N16" s="1" t="n">
        <f aca="false">B16</f>
        <v>8.0762405285231</v>
      </c>
      <c r="O16" s="1" t="n">
        <f aca="false">B16</f>
        <v>8.0762405285231</v>
      </c>
      <c r="P16" s="1" t="n">
        <f aca="false">B16</f>
        <v>8.0762405285231</v>
      </c>
      <c r="Q16" s="1" t="n">
        <v>1</v>
      </c>
      <c r="R16" s="1" t="n">
        <v>1</v>
      </c>
      <c r="S16" s="1" t="n">
        <v>1</v>
      </c>
      <c r="T16" s="1" t="n">
        <v>1</v>
      </c>
      <c r="U16" s="1" t="n">
        <v>1</v>
      </c>
      <c r="V16" s="1" t="n">
        <v>1</v>
      </c>
      <c r="W16" s="1" t="n">
        <v>1</v>
      </c>
      <c r="X16" s="1" t="n">
        <v>1</v>
      </c>
      <c r="Y16" s="1" t="n">
        <v>1</v>
      </c>
      <c r="Z16" s="1" t="n">
        <v>1</v>
      </c>
      <c r="AA16" s="1" t="n">
        <v>1</v>
      </c>
      <c r="AB16" s="1" t="n">
        <v>1</v>
      </c>
      <c r="AC16" s="1" t="n">
        <v>1</v>
      </c>
      <c r="AD16" s="1" t="n">
        <v>1</v>
      </c>
      <c r="AE16" s="1" t="n">
        <f aca="false">B16</f>
        <v>8.0762405285231</v>
      </c>
      <c r="AF16" s="1" t="n">
        <f aca="false">B16</f>
        <v>8.0762405285231</v>
      </c>
      <c r="AG16" s="1" t="n">
        <f aca="false">B16</f>
        <v>8.0762405285231</v>
      </c>
      <c r="AH16" s="1" t="n">
        <f aca="false">B16</f>
        <v>8.0762405285231</v>
      </c>
      <c r="AI16" s="1" t="n">
        <f aca="false">B16</f>
        <v>8.0762405285231</v>
      </c>
      <c r="AJ16" s="1" t="n">
        <f aca="false">B16</f>
        <v>8.0762405285231</v>
      </c>
      <c r="AK16" s="1" t="n">
        <f aca="false">B16</f>
        <v>8.0762405285231</v>
      </c>
      <c r="AL16" s="1" t="n">
        <f aca="false">B16</f>
        <v>8.0762405285231</v>
      </c>
      <c r="AM16" s="1" t="n">
        <f aca="false">B16</f>
        <v>8.0762405285231</v>
      </c>
      <c r="AN16" s="1" t="n">
        <v>1</v>
      </c>
      <c r="AO16" s="1" t="n">
        <v>1</v>
      </c>
      <c r="AP16" s="1" t="n">
        <v>1</v>
      </c>
      <c r="AQ16" s="1" t="n">
        <v>1</v>
      </c>
      <c r="AR16" s="1" t="n">
        <v>1</v>
      </c>
      <c r="AS16" s="1" t="n">
        <v>1</v>
      </c>
      <c r="AT16" s="1" t="n">
        <v>1</v>
      </c>
      <c r="AU16" s="1" t="n">
        <v>1</v>
      </c>
      <c r="AV16" s="1" t="n">
        <v>1</v>
      </c>
      <c r="AW16" s="1" t="n">
        <v>1</v>
      </c>
      <c r="AX16" s="1" t="n">
        <f aca="false">B16</f>
        <v>8.0762405285231</v>
      </c>
      <c r="AY16" s="1" t="n">
        <f aca="false">B16</f>
        <v>8.0762405285231</v>
      </c>
      <c r="AZ16" s="1" t="n">
        <f aca="false">B16</f>
        <v>8.0762405285231</v>
      </c>
      <c r="BA16" s="1" t="n">
        <v>1</v>
      </c>
      <c r="BB16" s="1" t="n">
        <v>1</v>
      </c>
      <c r="BC16" s="1" t="n">
        <f aca="false">B16</f>
        <v>8.0762405285231</v>
      </c>
      <c r="BD16" s="1" t="n">
        <f aca="false">B16</f>
        <v>8.0762405285231</v>
      </c>
      <c r="BE16" s="1" t="n">
        <v>1</v>
      </c>
      <c r="BF16" s="1" t="n">
        <v>1</v>
      </c>
      <c r="BG16" s="1" t="n">
        <f aca="false">B16</f>
        <v>8.0762405285231</v>
      </c>
      <c r="BH16" s="1" t="n">
        <f aca="false">B16</f>
        <v>8.0762405285231</v>
      </c>
      <c r="BI16" s="1" t="n">
        <f aca="false">B16</f>
        <v>8.0762405285231</v>
      </c>
      <c r="BJ16" s="1" t="n">
        <f aca="false">B16</f>
        <v>8.0762405285231</v>
      </c>
      <c r="BK16" s="1" t="n">
        <v>1</v>
      </c>
    </row>
    <row r="17" customFormat="false" ht="12.75" hidden="false" customHeight="false" outlineLevel="0" collapsed="false">
      <c r="A17" s="1" t="n">
        <f aca="false">A16-1</f>
        <v>2010</v>
      </c>
      <c r="B17" s="1" t="n">
        <f aca="false">im!H17/im!G17</f>
        <v>7.77094776940136</v>
      </c>
      <c r="C17" s="1" t="n">
        <f aca="false">B17</f>
        <v>7.77094776940136</v>
      </c>
      <c r="D17" s="1" t="n">
        <f aca="false">B17</f>
        <v>7.77094776940136</v>
      </c>
      <c r="E17" s="1" t="n">
        <f aca="false">B17</f>
        <v>7.77094776940136</v>
      </c>
      <c r="F17" s="1" t="n">
        <v>1</v>
      </c>
      <c r="G17" s="1" t="n">
        <v>1</v>
      </c>
      <c r="H17" s="1" t="n">
        <v>1</v>
      </c>
      <c r="I17" s="1" t="n">
        <v>1</v>
      </c>
      <c r="J17" s="1" t="n">
        <v>1</v>
      </c>
      <c r="K17" s="1" t="n">
        <v>1</v>
      </c>
      <c r="L17" s="1" t="n">
        <f aca="false">B17</f>
        <v>7.77094776940136</v>
      </c>
      <c r="M17" s="1" t="n">
        <f aca="false">B17</f>
        <v>7.77094776940136</v>
      </c>
      <c r="N17" s="1" t="n">
        <f aca="false">B17</f>
        <v>7.77094776940136</v>
      </c>
      <c r="O17" s="1" t="n">
        <f aca="false">B17</f>
        <v>7.77094776940136</v>
      </c>
      <c r="P17" s="1" t="n">
        <f aca="false">B17</f>
        <v>7.77094776940136</v>
      </c>
      <c r="Q17" s="1" t="n">
        <v>1</v>
      </c>
      <c r="R17" s="1" t="n">
        <v>1</v>
      </c>
      <c r="S17" s="1" t="n">
        <v>1</v>
      </c>
      <c r="T17" s="1" t="n">
        <v>1</v>
      </c>
      <c r="U17" s="1" t="n">
        <v>1</v>
      </c>
      <c r="V17" s="1" t="n">
        <v>1</v>
      </c>
      <c r="W17" s="1" t="n">
        <v>1</v>
      </c>
      <c r="X17" s="1" t="n">
        <v>1</v>
      </c>
      <c r="Y17" s="1" t="n">
        <v>1</v>
      </c>
      <c r="Z17" s="1" t="n">
        <v>1</v>
      </c>
      <c r="AA17" s="1" t="n">
        <v>1</v>
      </c>
      <c r="AB17" s="1" t="n">
        <v>1</v>
      </c>
      <c r="AC17" s="1" t="n">
        <v>1</v>
      </c>
      <c r="AD17" s="1" t="n">
        <v>1</v>
      </c>
      <c r="AE17" s="1" t="n">
        <f aca="false">B17</f>
        <v>7.77094776940136</v>
      </c>
      <c r="AF17" s="1" t="n">
        <f aca="false">B17</f>
        <v>7.77094776940136</v>
      </c>
      <c r="AG17" s="1" t="n">
        <f aca="false">B17</f>
        <v>7.77094776940136</v>
      </c>
      <c r="AH17" s="1" t="n">
        <f aca="false">B17</f>
        <v>7.77094776940136</v>
      </c>
      <c r="AI17" s="1" t="n">
        <f aca="false">B17</f>
        <v>7.77094776940136</v>
      </c>
      <c r="AJ17" s="1" t="n">
        <f aca="false">B17</f>
        <v>7.77094776940136</v>
      </c>
      <c r="AK17" s="1" t="n">
        <f aca="false">B17</f>
        <v>7.77094776940136</v>
      </c>
      <c r="AL17" s="1" t="n">
        <f aca="false">B17</f>
        <v>7.77094776940136</v>
      </c>
      <c r="AM17" s="1" t="n">
        <f aca="false">B17</f>
        <v>7.77094776940136</v>
      </c>
      <c r="AN17" s="1" t="n">
        <v>1</v>
      </c>
      <c r="AO17" s="1" t="n">
        <v>1</v>
      </c>
      <c r="AP17" s="1" t="n">
        <v>1</v>
      </c>
      <c r="AQ17" s="1" t="n">
        <v>1</v>
      </c>
      <c r="AR17" s="1" t="n">
        <v>1</v>
      </c>
      <c r="AS17" s="1" t="n">
        <v>1</v>
      </c>
      <c r="AT17" s="1" t="n">
        <v>1</v>
      </c>
      <c r="AU17" s="1" t="n">
        <v>1</v>
      </c>
      <c r="AV17" s="1" t="n">
        <v>1</v>
      </c>
      <c r="AW17" s="1" t="n">
        <v>1</v>
      </c>
      <c r="AX17" s="1" t="n">
        <f aca="false">B17</f>
        <v>7.77094776940136</v>
      </c>
      <c r="AY17" s="1" t="n">
        <f aca="false">B17</f>
        <v>7.77094776940136</v>
      </c>
      <c r="AZ17" s="1" t="n">
        <f aca="false">B17</f>
        <v>7.77094776940136</v>
      </c>
      <c r="BA17" s="1" t="n">
        <v>1</v>
      </c>
      <c r="BB17" s="1" t="n">
        <v>1</v>
      </c>
      <c r="BC17" s="1" t="n">
        <f aca="false">B17</f>
        <v>7.77094776940136</v>
      </c>
      <c r="BD17" s="1" t="n">
        <f aca="false">B17</f>
        <v>7.77094776940136</v>
      </c>
      <c r="BE17" s="1" t="n">
        <v>1</v>
      </c>
      <c r="BF17" s="1" t="n">
        <v>1</v>
      </c>
      <c r="BG17" s="1" t="n">
        <f aca="false">B17</f>
        <v>7.77094776940136</v>
      </c>
      <c r="BH17" s="1" t="n">
        <f aca="false">B17</f>
        <v>7.77094776940136</v>
      </c>
      <c r="BI17" s="1" t="n">
        <f aca="false">B17</f>
        <v>7.77094776940136</v>
      </c>
      <c r="BJ17" s="1" t="n">
        <f aca="false">B17</f>
        <v>7.77094776940136</v>
      </c>
      <c r="BK17" s="1" t="n">
        <v>1</v>
      </c>
    </row>
    <row r="18" customFormat="false" ht="12.75" hidden="false" customHeight="false" outlineLevel="0" collapsed="false">
      <c r="A18" s="1" t="n">
        <f aca="false">A17-1</f>
        <v>2009</v>
      </c>
      <c r="B18" s="1" t="n">
        <f aca="false">im!H18/im!G18</f>
        <v>7.98203014962134</v>
      </c>
      <c r="C18" s="1" t="n">
        <f aca="false">B18</f>
        <v>7.98203014962134</v>
      </c>
      <c r="D18" s="1" t="n">
        <f aca="false">B18</f>
        <v>7.98203014962134</v>
      </c>
      <c r="E18" s="1" t="n">
        <f aca="false">B18</f>
        <v>7.98203014962134</v>
      </c>
      <c r="F18" s="1" t="n">
        <v>1</v>
      </c>
      <c r="G18" s="1" t="n">
        <v>1</v>
      </c>
      <c r="H18" s="1" t="n">
        <v>1</v>
      </c>
      <c r="I18" s="1" t="n">
        <v>1</v>
      </c>
      <c r="J18" s="1" t="n">
        <v>1</v>
      </c>
      <c r="K18" s="1" t="n">
        <v>1</v>
      </c>
      <c r="L18" s="1" t="n">
        <f aca="false">B18</f>
        <v>7.98203014962134</v>
      </c>
      <c r="M18" s="1" t="n">
        <f aca="false">B18</f>
        <v>7.98203014962134</v>
      </c>
      <c r="N18" s="1" t="n">
        <f aca="false">B18</f>
        <v>7.98203014962134</v>
      </c>
      <c r="O18" s="1" t="n">
        <f aca="false">B18</f>
        <v>7.98203014962134</v>
      </c>
      <c r="P18" s="1" t="n">
        <f aca="false">B18</f>
        <v>7.98203014962134</v>
      </c>
      <c r="Q18" s="1" t="n">
        <v>1</v>
      </c>
      <c r="R18" s="1" t="n">
        <v>1</v>
      </c>
      <c r="S18" s="1" t="n">
        <v>1</v>
      </c>
      <c r="T18" s="1" t="n">
        <v>1</v>
      </c>
      <c r="U18" s="1" t="n">
        <v>1</v>
      </c>
      <c r="V18" s="1" t="n">
        <v>1</v>
      </c>
      <c r="W18" s="1" t="n">
        <v>1</v>
      </c>
      <c r="X18" s="1" t="n">
        <v>1</v>
      </c>
      <c r="Y18" s="1" t="n">
        <v>1</v>
      </c>
      <c r="Z18" s="1" t="n">
        <v>1</v>
      </c>
      <c r="AA18" s="1" t="n">
        <v>1</v>
      </c>
      <c r="AB18" s="1" t="n">
        <v>1</v>
      </c>
      <c r="AC18" s="1" t="n">
        <v>1</v>
      </c>
      <c r="AD18" s="1" t="n">
        <v>1</v>
      </c>
      <c r="AE18" s="1" t="n">
        <f aca="false">B18</f>
        <v>7.98203014962134</v>
      </c>
      <c r="AF18" s="1" t="n">
        <f aca="false">B18</f>
        <v>7.98203014962134</v>
      </c>
      <c r="AG18" s="1" t="n">
        <f aca="false">B18</f>
        <v>7.98203014962134</v>
      </c>
      <c r="AH18" s="1" t="n">
        <f aca="false">B18</f>
        <v>7.98203014962134</v>
      </c>
      <c r="AI18" s="1" t="n">
        <f aca="false">B18</f>
        <v>7.98203014962134</v>
      </c>
      <c r="AJ18" s="1" t="n">
        <f aca="false">B18</f>
        <v>7.98203014962134</v>
      </c>
      <c r="AK18" s="1" t="n">
        <f aca="false">B18</f>
        <v>7.98203014962134</v>
      </c>
      <c r="AL18" s="1" t="n">
        <f aca="false">B18</f>
        <v>7.98203014962134</v>
      </c>
      <c r="AM18" s="1" t="n">
        <f aca="false">B18</f>
        <v>7.98203014962134</v>
      </c>
      <c r="AN18" s="1" t="n">
        <v>1</v>
      </c>
      <c r="AO18" s="1" t="n">
        <v>1</v>
      </c>
      <c r="AP18" s="1" t="n">
        <v>1</v>
      </c>
      <c r="AQ18" s="1" t="n">
        <v>1</v>
      </c>
      <c r="AR18" s="1" t="n">
        <v>1</v>
      </c>
      <c r="AS18" s="1" t="n">
        <v>1</v>
      </c>
      <c r="AT18" s="1" t="n">
        <v>1</v>
      </c>
      <c r="AU18" s="1" t="n">
        <v>1</v>
      </c>
      <c r="AV18" s="1" t="n">
        <v>1</v>
      </c>
      <c r="AW18" s="1" t="n">
        <v>1</v>
      </c>
      <c r="AX18" s="1" t="n">
        <f aca="false">B18</f>
        <v>7.98203014962134</v>
      </c>
      <c r="AY18" s="1" t="n">
        <f aca="false">B18</f>
        <v>7.98203014962134</v>
      </c>
      <c r="AZ18" s="1" t="n">
        <f aca="false">B18</f>
        <v>7.98203014962134</v>
      </c>
      <c r="BA18" s="1" t="n">
        <v>1</v>
      </c>
      <c r="BB18" s="1" t="n">
        <v>1</v>
      </c>
      <c r="BC18" s="1" t="n">
        <f aca="false">B18</f>
        <v>7.98203014962134</v>
      </c>
      <c r="BD18" s="1" t="n">
        <f aca="false">B18</f>
        <v>7.98203014962134</v>
      </c>
      <c r="BE18" s="1" t="n">
        <v>1</v>
      </c>
      <c r="BF18" s="1" t="n">
        <v>1</v>
      </c>
      <c r="BG18" s="1" t="n">
        <f aca="false">B18</f>
        <v>7.98203014962134</v>
      </c>
      <c r="BH18" s="1" t="n">
        <f aca="false">B18</f>
        <v>7.98203014962134</v>
      </c>
      <c r="BI18" s="1" t="n">
        <f aca="false">B18</f>
        <v>7.98203014962134</v>
      </c>
      <c r="BJ18" s="1" t="n">
        <f aca="false">B18</f>
        <v>7.98203014962134</v>
      </c>
      <c r="BK18" s="1" t="n">
        <v>1</v>
      </c>
    </row>
    <row r="19" customFormat="false" ht="12.75" hidden="false" customHeight="false" outlineLevel="0" collapsed="false">
      <c r="A19" s="1" t="n">
        <f aca="false">A18-1</f>
        <v>2008</v>
      </c>
      <c r="B19" s="1" t="n">
        <f aca="false">im!H19/im!G19</f>
        <v>8.56337877313599</v>
      </c>
      <c r="C19" s="1" t="n">
        <f aca="false">B19</f>
        <v>8.56337877313599</v>
      </c>
      <c r="D19" s="1" t="n">
        <f aca="false">B19</f>
        <v>8.56337877313599</v>
      </c>
      <c r="E19" s="1" t="n">
        <f aca="false">B19</f>
        <v>8.56337877313599</v>
      </c>
      <c r="F19" s="1" t="n">
        <v>1</v>
      </c>
      <c r="G19" s="1" t="n">
        <v>1</v>
      </c>
      <c r="H19" s="1" t="n">
        <v>1</v>
      </c>
      <c r="I19" s="1" t="n">
        <v>1</v>
      </c>
      <c r="J19" s="1" t="n">
        <v>1</v>
      </c>
      <c r="K19" s="1" t="n">
        <v>1</v>
      </c>
      <c r="L19" s="1" t="n">
        <f aca="false">B19</f>
        <v>8.56337877313599</v>
      </c>
      <c r="M19" s="1" t="n">
        <f aca="false">B19</f>
        <v>8.56337877313599</v>
      </c>
      <c r="N19" s="1" t="n">
        <f aca="false">B19</f>
        <v>8.56337877313599</v>
      </c>
      <c r="O19" s="1" t="n">
        <f aca="false">B19</f>
        <v>8.56337877313599</v>
      </c>
      <c r="P19" s="1" t="n">
        <f aca="false">B19</f>
        <v>8.56337877313599</v>
      </c>
      <c r="Q19" s="1" t="n">
        <v>1</v>
      </c>
      <c r="R19" s="1" t="n">
        <v>1</v>
      </c>
      <c r="S19" s="1" t="n">
        <v>1</v>
      </c>
      <c r="T19" s="1" t="n">
        <v>1</v>
      </c>
      <c r="U19" s="1" t="n">
        <v>1</v>
      </c>
      <c r="V19" s="1" t="n">
        <v>1</v>
      </c>
      <c r="W19" s="1" t="n">
        <v>1</v>
      </c>
      <c r="X19" s="1" t="n">
        <v>1</v>
      </c>
      <c r="Y19" s="1" t="n">
        <v>1</v>
      </c>
      <c r="Z19" s="1" t="n">
        <v>1</v>
      </c>
      <c r="AA19" s="1" t="n">
        <v>1</v>
      </c>
      <c r="AB19" s="1" t="n">
        <v>1</v>
      </c>
      <c r="AC19" s="1" t="n">
        <v>1</v>
      </c>
      <c r="AD19" s="1" t="n">
        <v>1</v>
      </c>
      <c r="AE19" s="1" t="n">
        <f aca="false">B19</f>
        <v>8.56337877313599</v>
      </c>
      <c r="AF19" s="1" t="n">
        <f aca="false">B19</f>
        <v>8.56337877313599</v>
      </c>
      <c r="AG19" s="1" t="n">
        <f aca="false">B19</f>
        <v>8.56337877313599</v>
      </c>
      <c r="AH19" s="1" t="n">
        <f aca="false">B19</f>
        <v>8.56337877313599</v>
      </c>
      <c r="AI19" s="1" t="n">
        <f aca="false">B19</f>
        <v>8.56337877313599</v>
      </c>
      <c r="AJ19" s="1" t="n">
        <f aca="false">B19</f>
        <v>8.56337877313599</v>
      </c>
      <c r="AK19" s="1" t="n">
        <f aca="false">B19</f>
        <v>8.56337877313599</v>
      </c>
      <c r="AL19" s="1" t="n">
        <f aca="false">B19</f>
        <v>8.56337877313599</v>
      </c>
      <c r="AM19" s="1" t="n">
        <f aca="false">B19</f>
        <v>8.56337877313599</v>
      </c>
      <c r="AN19" s="1" t="n">
        <v>1</v>
      </c>
      <c r="AO19" s="1" t="n">
        <v>1</v>
      </c>
      <c r="AP19" s="1" t="n">
        <v>1</v>
      </c>
      <c r="AQ19" s="1" t="n">
        <v>1</v>
      </c>
      <c r="AR19" s="1" t="n">
        <v>1</v>
      </c>
      <c r="AS19" s="1" t="n">
        <v>1</v>
      </c>
      <c r="AT19" s="1" t="n">
        <v>1</v>
      </c>
      <c r="AU19" s="1" t="n">
        <v>1</v>
      </c>
      <c r="AV19" s="1" t="n">
        <v>1</v>
      </c>
      <c r="AW19" s="1" t="n">
        <v>1</v>
      </c>
      <c r="AX19" s="1" t="n">
        <f aca="false">B19</f>
        <v>8.56337877313599</v>
      </c>
      <c r="AY19" s="1" t="n">
        <f aca="false">B19</f>
        <v>8.56337877313599</v>
      </c>
      <c r="AZ19" s="1" t="n">
        <f aca="false">B19</f>
        <v>8.56337877313599</v>
      </c>
      <c r="BA19" s="1" t="n">
        <v>1</v>
      </c>
      <c r="BB19" s="1" t="n">
        <v>1</v>
      </c>
      <c r="BC19" s="1" t="n">
        <f aca="false">B19</f>
        <v>8.56337877313599</v>
      </c>
      <c r="BD19" s="1" t="n">
        <f aca="false">B19</f>
        <v>8.56337877313599</v>
      </c>
      <c r="BE19" s="1" t="n">
        <v>1</v>
      </c>
      <c r="BF19" s="1" t="n">
        <v>1</v>
      </c>
      <c r="BG19" s="1" t="n">
        <f aca="false">B19</f>
        <v>8.56337877313599</v>
      </c>
      <c r="BH19" s="1" t="n">
        <f aca="false">B19</f>
        <v>8.56337877313599</v>
      </c>
      <c r="BI19" s="1" t="n">
        <f aca="false">B19</f>
        <v>8.56337877313599</v>
      </c>
      <c r="BJ19" s="1" t="n">
        <f aca="false">B19</f>
        <v>8.56337877313599</v>
      </c>
      <c r="BK19" s="1" t="n">
        <v>1</v>
      </c>
    </row>
    <row r="20" customFormat="false" ht="12.75" hidden="false" customHeight="false" outlineLevel="0" collapsed="false">
      <c r="A20" s="1" t="n">
        <f aca="false">A19-1</f>
        <v>2007</v>
      </c>
      <c r="B20" s="1" t="n">
        <f aca="false">im!H20/im!G20</f>
        <v>7.80212458863736</v>
      </c>
      <c r="C20" s="1" t="n">
        <f aca="false">B20</f>
        <v>7.80212458863736</v>
      </c>
      <c r="D20" s="1" t="n">
        <f aca="false">B20</f>
        <v>7.80212458863736</v>
      </c>
      <c r="E20" s="1" t="n">
        <f aca="false">B20</f>
        <v>7.80212458863736</v>
      </c>
      <c r="F20" s="1" t="n">
        <v>1</v>
      </c>
      <c r="G20" s="1" t="n">
        <v>1</v>
      </c>
      <c r="H20" s="1" t="n">
        <v>1</v>
      </c>
      <c r="I20" s="1" t="n">
        <v>1</v>
      </c>
      <c r="J20" s="1" t="n">
        <v>1</v>
      </c>
      <c r="K20" s="1" t="n">
        <v>1</v>
      </c>
      <c r="L20" s="1" t="n">
        <f aca="false">B20</f>
        <v>7.80212458863736</v>
      </c>
      <c r="M20" s="1" t="n">
        <f aca="false">B20</f>
        <v>7.80212458863736</v>
      </c>
      <c r="N20" s="1" t="n">
        <f aca="false">B20</f>
        <v>7.80212458863736</v>
      </c>
      <c r="O20" s="1" t="n">
        <f aca="false">B20</f>
        <v>7.80212458863736</v>
      </c>
      <c r="P20" s="1" t="n">
        <f aca="false">B20</f>
        <v>7.80212458863736</v>
      </c>
      <c r="Q20" s="1" t="n">
        <v>1</v>
      </c>
      <c r="R20" s="1" t="n">
        <v>1</v>
      </c>
      <c r="S20" s="1" t="n">
        <v>1</v>
      </c>
      <c r="T20" s="1" t="n">
        <v>1</v>
      </c>
      <c r="U20" s="1" t="n">
        <v>1</v>
      </c>
      <c r="V20" s="1" t="n">
        <v>1</v>
      </c>
      <c r="W20" s="1" t="n">
        <v>1</v>
      </c>
      <c r="X20" s="1" t="n">
        <v>1</v>
      </c>
      <c r="Y20" s="1" t="n">
        <v>1</v>
      </c>
      <c r="Z20" s="1" t="n">
        <v>1</v>
      </c>
      <c r="AA20" s="1" t="n">
        <v>1</v>
      </c>
      <c r="AB20" s="1" t="n">
        <v>1</v>
      </c>
      <c r="AC20" s="1" t="n">
        <v>1</v>
      </c>
      <c r="AD20" s="1" t="n">
        <v>1</v>
      </c>
      <c r="AE20" s="1" t="n">
        <f aca="false">B20</f>
        <v>7.80212458863736</v>
      </c>
      <c r="AF20" s="1" t="n">
        <f aca="false">B20</f>
        <v>7.80212458863736</v>
      </c>
      <c r="AG20" s="1" t="n">
        <f aca="false">B20</f>
        <v>7.80212458863736</v>
      </c>
      <c r="AH20" s="1" t="n">
        <f aca="false">B20</f>
        <v>7.80212458863736</v>
      </c>
      <c r="AI20" s="1" t="n">
        <f aca="false">B20</f>
        <v>7.80212458863736</v>
      </c>
      <c r="AJ20" s="1" t="n">
        <f aca="false">B20</f>
        <v>7.80212458863736</v>
      </c>
      <c r="AK20" s="1" t="n">
        <f aca="false">B20</f>
        <v>7.80212458863736</v>
      </c>
      <c r="AL20" s="1" t="n">
        <f aca="false">B20</f>
        <v>7.80212458863736</v>
      </c>
      <c r="AM20" s="1" t="n">
        <f aca="false">B20</f>
        <v>7.80212458863736</v>
      </c>
      <c r="AN20" s="1" t="n">
        <v>1</v>
      </c>
      <c r="AO20" s="1" t="n">
        <v>1</v>
      </c>
      <c r="AP20" s="1" t="n">
        <v>1</v>
      </c>
      <c r="AQ20" s="1" t="n">
        <v>1</v>
      </c>
      <c r="AR20" s="1" t="n">
        <v>1</v>
      </c>
      <c r="AS20" s="1" t="n">
        <v>1</v>
      </c>
      <c r="AT20" s="1" t="n">
        <v>1</v>
      </c>
      <c r="AU20" s="1" t="n">
        <v>1</v>
      </c>
      <c r="AV20" s="1" t="n">
        <v>1</v>
      </c>
      <c r="AW20" s="1" t="n">
        <v>1</v>
      </c>
      <c r="AX20" s="1" t="n">
        <f aca="false">B20</f>
        <v>7.80212458863736</v>
      </c>
      <c r="AY20" s="1" t="n">
        <f aca="false">B20</f>
        <v>7.80212458863736</v>
      </c>
      <c r="AZ20" s="1" t="n">
        <f aca="false">B20</f>
        <v>7.80212458863736</v>
      </c>
      <c r="BA20" s="1" t="n">
        <v>1</v>
      </c>
      <c r="BB20" s="1" t="n">
        <v>1</v>
      </c>
      <c r="BC20" s="1" t="n">
        <f aca="false">B20</f>
        <v>7.80212458863736</v>
      </c>
      <c r="BD20" s="1" t="n">
        <f aca="false">B20</f>
        <v>7.80212458863736</v>
      </c>
      <c r="BE20" s="1" t="n">
        <v>1</v>
      </c>
      <c r="BF20" s="1" t="n">
        <v>1</v>
      </c>
      <c r="BG20" s="1" t="n">
        <f aca="false">B20</f>
        <v>7.80212458863736</v>
      </c>
      <c r="BH20" s="1" t="n">
        <f aca="false">B20</f>
        <v>7.80212458863736</v>
      </c>
      <c r="BI20" s="1" t="n">
        <f aca="false">B20</f>
        <v>7.80212458863736</v>
      </c>
      <c r="BJ20" s="1" t="n">
        <f aca="false">B20</f>
        <v>7.80212458863736</v>
      </c>
      <c r="BK20" s="1" t="n">
        <v>1</v>
      </c>
    </row>
    <row r="21" customFormat="false" ht="12.75" hidden="false" customHeight="false" outlineLevel="0" collapsed="false">
      <c r="A21" s="1" t="n">
        <f aca="false">A20-1</f>
        <v>2006</v>
      </c>
      <c r="B21" s="1" t="n">
        <f aca="false">im!H21/im!G21</f>
        <v>7.31230153749454</v>
      </c>
      <c r="C21" s="1" t="n">
        <f aca="false">B21</f>
        <v>7.31230153749454</v>
      </c>
      <c r="D21" s="1" t="n">
        <f aca="false">B21</f>
        <v>7.31230153749454</v>
      </c>
      <c r="E21" s="1" t="n">
        <f aca="false">B21</f>
        <v>7.31230153749454</v>
      </c>
      <c r="F21" s="1" t="n">
        <v>1</v>
      </c>
      <c r="G21" s="1" t="n">
        <v>1</v>
      </c>
      <c r="H21" s="1" t="n">
        <v>1</v>
      </c>
      <c r="I21" s="1" t="n">
        <v>1</v>
      </c>
      <c r="J21" s="1" t="n">
        <v>1</v>
      </c>
      <c r="K21" s="1" t="n">
        <v>1</v>
      </c>
      <c r="L21" s="1" t="n">
        <f aca="false">B21</f>
        <v>7.31230153749454</v>
      </c>
      <c r="M21" s="1" t="n">
        <f aca="false">B21</f>
        <v>7.31230153749454</v>
      </c>
      <c r="N21" s="1" t="n">
        <f aca="false">B21</f>
        <v>7.31230153749454</v>
      </c>
      <c r="O21" s="1" t="n">
        <f aca="false">B21</f>
        <v>7.31230153749454</v>
      </c>
      <c r="P21" s="1" t="n">
        <f aca="false">B21</f>
        <v>7.31230153749454</v>
      </c>
      <c r="Q21" s="1" t="n">
        <v>1</v>
      </c>
      <c r="R21" s="1" t="n">
        <v>1</v>
      </c>
      <c r="S21" s="1" t="n">
        <v>1</v>
      </c>
      <c r="T21" s="1" t="n">
        <v>1</v>
      </c>
      <c r="U21" s="1" t="n">
        <v>1</v>
      </c>
      <c r="V21" s="1" t="n">
        <v>1</v>
      </c>
      <c r="W21" s="1" t="n">
        <v>1</v>
      </c>
      <c r="X21" s="1" t="n">
        <v>1</v>
      </c>
      <c r="Y21" s="1" t="n">
        <v>1</v>
      </c>
      <c r="Z21" s="1" t="n">
        <v>1</v>
      </c>
      <c r="AA21" s="1" t="n">
        <v>1</v>
      </c>
      <c r="AB21" s="1" t="n">
        <v>1</v>
      </c>
      <c r="AC21" s="1" t="n">
        <v>1</v>
      </c>
      <c r="AD21" s="1" t="n">
        <v>1</v>
      </c>
      <c r="AE21" s="1" t="n">
        <f aca="false">B21</f>
        <v>7.31230153749454</v>
      </c>
      <c r="AF21" s="1" t="n">
        <f aca="false">B21</f>
        <v>7.31230153749454</v>
      </c>
      <c r="AG21" s="1" t="n">
        <f aca="false">B21</f>
        <v>7.31230153749454</v>
      </c>
      <c r="AH21" s="1" t="n">
        <f aca="false">B21</f>
        <v>7.31230153749454</v>
      </c>
      <c r="AI21" s="1" t="n">
        <f aca="false">B21</f>
        <v>7.31230153749454</v>
      </c>
      <c r="AJ21" s="1" t="n">
        <f aca="false">B21</f>
        <v>7.31230153749454</v>
      </c>
      <c r="AK21" s="1" t="n">
        <f aca="false">B21</f>
        <v>7.31230153749454</v>
      </c>
      <c r="AL21" s="1" t="n">
        <f aca="false">B21</f>
        <v>7.31230153749454</v>
      </c>
      <c r="AM21" s="1" t="n">
        <f aca="false">B21</f>
        <v>7.31230153749454</v>
      </c>
      <c r="AN21" s="1" t="n">
        <v>1</v>
      </c>
      <c r="AO21" s="1" t="n">
        <v>1</v>
      </c>
      <c r="AP21" s="1" t="n">
        <v>1</v>
      </c>
      <c r="AQ21" s="1" t="n">
        <v>1</v>
      </c>
      <c r="AR21" s="1" t="n">
        <v>1</v>
      </c>
      <c r="AS21" s="1" t="n">
        <v>1</v>
      </c>
      <c r="AT21" s="1" t="n">
        <v>1</v>
      </c>
      <c r="AU21" s="1" t="n">
        <v>1</v>
      </c>
      <c r="AV21" s="1" t="n">
        <v>1</v>
      </c>
      <c r="AW21" s="1" t="n">
        <v>1</v>
      </c>
      <c r="AX21" s="1" t="n">
        <f aca="false">B21</f>
        <v>7.31230153749454</v>
      </c>
      <c r="AY21" s="1" t="n">
        <f aca="false">B21</f>
        <v>7.31230153749454</v>
      </c>
      <c r="AZ21" s="1" t="n">
        <f aca="false">B21</f>
        <v>7.31230153749454</v>
      </c>
      <c r="BA21" s="1" t="n">
        <v>1</v>
      </c>
      <c r="BB21" s="1" t="n">
        <v>1</v>
      </c>
      <c r="BC21" s="1" t="n">
        <f aca="false">B21</f>
        <v>7.31230153749454</v>
      </c>
      <c r="BD21" s="1" t="n">
        <f aca="false">B21</f>
        <v>7.31230153749454</v>
      </c>
      <c r="BE21" s="1" t="n">
        <v>1</v>
      </c>
      <c r="BF21" s="1" t="n">
        <v>1</v>
      </c>
      <c r="BG21" s="1" t="n">
        <f aca="false">B21</f>
        <v>7.31230153749454</v>
      </c>
      <c r="BH21" s="1" t="n">
        <f aca="false">B21</f>
        <v>7.31230153749454</v>
      </c>
      <c r="BI21" s="1" t="n">
        <f aca="false">B21</f>
        <v>7.31230153749454</v>
      </c>
      <c r="BJ21" s="1" t="n">
        <f aca="false">B21</f>
        <v>7.31230153749454</v>
      </c>
      <c r="BK21" s="1" t="n">
        <v>1</v>
      </c>
    </row>
    <row r="22" customFormat="false" ht="12.75" hidden="false" customHeight="false" outlineLevel="0" collapsed="false">
      <c r="A22" s="1" t="n">
        <f aca="false">A21-1</f>
        <v>2005</v>
      </c>
      <c r="B22" s="1" t="n">
        <f aca="false">im!H22/im!G22</f>
        <v>6.42282647319194</v>
      </c>
      <c r="C22" s="1" t="n">
        <f aca="false">B22</f>
        <v>6.42282647319194</v>
      </c>
      <c r="D22" s="1" t="n">
        <f aca="false">B22</f>
        <v>6.42282647319194</v>
      </c>
      <c r="E22" s="1" t="n">
        <f aca="false">B22</f>
        <v>6.42282647319194</v>
      </c>
      <c r="F22" s="1" t="n">
        <v>1</v>
      </c>
      <c r="G22" s="1" t="n">
        <v>1</v>
      </c>
      <c r="H22" s="1" t="n">
        <v>1</v>
      </c>
      <c r="I22" s="1" t="n">
        <v>1</v>
      </c>
      <c r="J22" s="1" t="n">
        <v>1</v>
      </c>
      <c r="K22" s="1" t="n">
        <v>1</v>
      </c>
      <c r="L22" s="1" t="n">
        <f aca="false">B22</f>
        <v>6.42282647319194</v>
      </c>
      <c r="M22" s="1" t="n">
        <f aca="false">B22</f>
        <v>6.42282647319194</v>
      </c>
      <c r="N22" s="1" t="n">
        <f aca="false">B22</f>
        <v>6.42282647319194</v>
      </c>
      <c r="O22" s="1" t="n">
        <f aca="false">B22</f>
        <v>6.42282647319194</v>
      </c>
      <c r="P22" s="1" t="n">
        <f aca="false">B22</f>
        <v>6.42282647319194</v>
      </c>
      <c r="Q22" s="1" t="n">
        <v>1</v>
      </c>
      <c r="R22" s="1" t="n">
        <v>1</v>
      </c>
      <c r="S22" s="1" t="n">
        <v>1</v>
      </c>
      <c r="T22" s="1" t="n">
        <v>1</v>
      </c>
      <c r="U22" s="1" t="n">
        <v>1</v>
      </c>
      <c r="V22" s="1" t="n">
        <v>1</v>
      </c>
      <c r="W22" s="1" t="n">
        <v>1</v>
      </c>
      <c r="X22" s="1" t="n">
        <v>1</v>
      </c>
      <c r="Y22" s="1" t="n">
        <v>1</v>
      </c>
      <c r="Z22" s="1" t="n">
        <v>1</v>
      </c>
      <c r="AA22" s="1" t="n">
        <v>1</v>
      </c>
      <c r="AB22" s="1" t="n">
        <v>1</v>
      </c>
      <c r="AC22" s="1" t="n">
        <v>1</v>
      </c>
      <c r="AD22" s="1" t="n">
        <v>1</v>
      </c>
      <c r="AE22" s="1" t="n">
        <f aca="false">B22</f>
        <v>6.42282647319194</v>
      </c>
      <c r="AF22" s="1" t="n">
        <f aca="false">B22</f>
        <v>6.42282647319194</v>
      </c>
      <c r="AG22" s="1" t="n">
        <f aca="false">B22</f>
        <v>6.42282647319194</v>
      </c>
      <c r="AH22" s="1" t="n">
        <f aca="false">B22</f>
        <v>6.42282647319194</v>
      </c>
      <c r="AI22" s="1" t="n">
        <f aca="false">B22</f>
        <v>6.42282647319194</v>
      </c>
      <c r="AJ22" s="1" t="n">
        <f aca="false">B22</f>
        <v>6.42282647319194</v>
      </c>
      <c r="AK22" s="1" t="n">
        <f aca="false">B22</f>
        <v>6.42282647319194</v>
      </c>
      <c r="AL22" s="1" t="n">
        <f aca="false">B22</f>
        <v>6.42282647319194</v>
      </c>
      <c r="AM22" s="1" t="n">
        <f aca="false">B22</f>
        <v>6.42282647319194</v>
      </c>
      <c r="AN22" s="1" t="n">
        <v>1</v>
      </c>
      <c r="AO22" s="1" t="n">
        <v>1</v>
      </c>
      <c r="AP22" s="1" t="n">
        <v>1</v>
      </c>
      <c r="AQ22" s="1" t="n">
        <v>1</v>
      </c>
      <c r="AR22" s="1" t="n">
        <v>1</v>
      </c>
      <c r="AS22" s="1" t="n">
        <v>1</v>
      </c>
      <c r="AT22" s="1" t="n">
        <v>1</v>
      </c>
      <c r="AU22" s="1" t="n">
        <v>1</v>
      </c>
      <c r="AV22" s="1" t="n">
        <v>1</v>
      </c>
      <c r="AW22" s="1" t="n">
        <v>1</v>
      </c>
      <c r="AX22" s="1" t="n">
        <f aca="false">B22</f>
        <v>6.42282647319194</v>
      </c>
      <c r="AY22" s="1" t="n">
        <f aca="false">B22</f>
        <v>6.42282647319194</v>
      </c>
      <c r="AZ22" s="1" t="n">
        <f aca="false">B22</f>
        <v>6.42282647319194</v>
      </c>
      <c r="BA22" s="1" t="n">
        <v>1</v>
      </c>
      <c r="BB22" s="1" t="n">
        <v>1</v>
      </c>
      <c r="BC22" s="1" t="n">
        <f aca="false">B22</f>
        <v>6.42282647319194</v>
      </c>
      <c r="BD22" s="1" t="n">
        <f aca="false">B22</f>
        <v>6.42282647319194</v>
      </c>
      <c r="BE22" s="1" t="n">
        <v>1</v>
      </c>
      <c r="BF22" s="1" t="n">
        <v>1</v>
      </c>
      <c r="BG22" s="1" t="n">
        <f aca="false">B22</f>
        <v>6.42282647319194</v>
      </c>
      <c r="BH22" s="1" t="n">
        <f aca="false">B22</f>
        <v>6.42282647319194</v>
      </c>
      <c r="BI22" s="1" t="n">
        <f aca="false">B22</f>
        <v>6.42282647319194</v>
      </c>
      <c r="BJ22" s="1" t="n">
        <f aca="false">B22</f>
        <v>6.42282647319194</v>
      </c>
      <c r="BK22" s="1" t="n">
        <v>1</v>
      </c>
    </row>
    <row r="23" customFormat="false" ht="12.75" hidden="false" customHeight="false" outlineLevel="0" collapsed="false">
      <c r="A23" s="1" t="n">
        <f aca="false">A22-1</f>
        <v>2004</v>
      </c>
      <c r="B23" s="1" t="n">
        <f aca="false">im!H23/im!G23</f>
        <v>6.4849335877935</v>
      </c>
      <c r="C23" s="1" t="n">
        <f aca="false">B23</f>
        <v>6.4849335877935</v>
      </c>
      <c r="D23" s="1" t="n">
        <f aca="false">B23</f>
        <v>6.4849335877935</v>
      </c>
      <c r="E23" s="1" t="n">
        <f aca="false">B23</f>
        <v>6.4849335877935</v>
      </c>
      <c r="F23" s="1" t="n">
        <v>1</v>
      </c>
      <c r="G23" s="1" t="n">
        <v>1</v>
      </c>
      <c r="H23" s="1" t="n">
        <v>1</v>
      </c>
      <c r="I23" s="1" t="n">
        <v>1</v>
      </c>
      <c r="J23" s="1" t="n">
        <v>1</v>
      </c>
      <c r="K23" s="1" t="n">
        <v>1</v>
      </c>
      <c r="L23" s="1" t="n">
        <f aca="false">B23</f>
        <v>6.4849335877935</v>
      </c>
      <c r="M23" s="1" t="n">
        <f aca="false">B23</f>
        <v>6.4849335877935</v>
      </c>
      <c r="N23" s="1" t="n">
        <f aca="false">B23</f>
        <v>6.4849335877935</v>
      </c>
      <c r="O23" s="1" t="n">
        <f aca="false">B23</f>
        <v>6.4849335877935</v>
      </c>
      <c r="P23" s="1" t="n">
        <f aca="false">B23</f>
        <v>6.4849335877935</v>
      </c>
      <c r="Q23" s="1" t="n">
        <v>1</v>
      </c>
      <c r="R23" s="1" t="n">
        <v>1</v>
      </c>
      <c r="S23" s="1" t="n">
        <v>1</v>
      </c>
      <c r="T23" s="1" t="n">
        <v>1</v>
      </c>
      <c r="U23" s="1" t="n">
        <v>1</v>
      </c>
      <c r="V23" s="1" t="n">
        <v>1</v>
      </c>
      <c r="W23" s="1" t="n">
        <v>1</v>
      </c>
      <c r="X23" s="1" t="n">
        <v>1</v>
      </c>
      <c r="Y23" s="1" t="n">
        <v>1</v>
      </c>
      <c r="Z23" s="1" t="n">
        <v>1</v>
      </c>
      <c r="AA23" s="1" t="n">
        <v>1</v>
      </c>
      <c r="AB23" s="1" t="n">
        <v>1</v>
      </c>
      <c r="AC23" s="1" t="n">
        <v>1</v>
      </c>
      <c r="AD23" s="1" t="n">
        <v>1</v>
      </c>
      <c r="AE23" s="1" t="n">
        <f aca="false">B23</f>
        <v>6.4849335877935</v>
      </c>
      <c r="AF23" s="1" t="n">
        <f aca="false">B23</f>
        <v>6.4849335877935</v>
      </c>
      <c r="AG23" s="1" t="n">
        <f aca="false">B23</f>
        <v>6.4849335877935</v>
      </c>
      <c r="AH23" s="1" t="n">
        <f aca="false">B23</f>
        <v>6.4849335877935</v>
      </c>
      <c r="AI23" s="1" t="n">
        <f aca="false">B23</f>
        <v>6.4849335877935</v>
      </c>
      <c r="AJ23" s="1" t="n">
        <f aca="false">B23</f>
        <v>6.4849335877935</v>
      </c>
      <c r="AK23" s="1" t="n">
        <f aca="false">B23</f>
        <v>6.4849335877935</v>
      </c>
      <c r="AL23" s="1" t="n">
        <f aca="false">B23</f>
        <v>6.4849335877935</v>
      </c>
      <c r="AM23" s="1" t="n">
        <f aca="false">B23</f>
        <v>6.4849335877935</v>
      </c>
      <c r="AN23" s="1" t="n">
        <v>1</v>
      </c>
      <c r="AO23" s="1" t="n">
        <v>1</v>
      </c>
      <c r="AP23" s="1" t="n">
        <v>1</v>
      </c>
      <c r="AQ23" s="1" t="n">
        <v>1</v>
      </c>
      <c r="AR23" s="1" t="n">
        <v>1</v>
      </c>
      <c r="AS23" s="1" t="n">
        <v>1</v>
      </c>
      <c r="AT23" s="1" t="n">
        <v>1</v>
      </c>
      <c r="AU23" s="1" t="n">
        <v>1</v>
      </c>
      <c r="AV23" s="1" t="n">
        <v>1</v>
      </c>
      <c r="AW23" s="1" t="n">
        <v>1</v>
      </c>
      <c r="AX23" s="1" t="n">
        <f aca="false">B23</f>
        <v>6.4849335877935</v>
      </c>
      <c r="AY23" s="1" t="n">
        <f aca="false">B23</f>
        <v>6.4849335877935</v>
      </c>
      <c r="AZ23" s="1" t="n">
        <f aca="false">B23</f>
        <v>6.4849335877935</v>
      </c>
      <c r="BA23" s="1" t="n">
        <v>1</v>
      </c>
      <c r="BB23" s="1" t="n">
        <v>1</v>
      </c>
      <c r="BC23" s="1" t="n">
        <f aca="false">B23</f>
        <v>6.4849335877935</v>
      </c>
      <c r="BD23" s="1" t="n">
        <f aca="false">B23</f>
        <v>6.4849335877935</v>
      </c>
      <c r="BE23" s="1" t="n">
        <v>1</v>
      </c>
      <c r="BF23" s="1" t="n">
        <v>1</v>
      </c>
      <c r="BG23" s="1" t="n">
        <f aca="false">B23</f>
        <v>6.4849335877935</v>
      </c>
      <c r="BH23" s="1" t="n">
        <f aca="false">B23</f>
        <v>6.4849335877935</v>
      </c>
      <c r="BI23" s="1" t="n">
        <f aca="false">B23</f>
        <v>6.4849335877935</v>
      </c>
      <c r="BJ23" s="1" t="n">
        <f aca="false">B23</f>
        <v>6.4849335877935</v>
      </c>
      <c r="BK23" s="1" t="n">
        <v>1</v>
      </c>
    </row>
    <row r="24" customFormat="false" ht="12.75" hidden="false" customHeight="false" outlineLevel="0" collapsed="false">
      <c r="A24" s="1" t="n">
        <f aca="false">A23-1</f>
        <v>2003</v>
      </c>
      <c r="B24" s="1" t="n">
        <f aca="false">im!H24/im!G24</f>
        <v>6.17811380119251</v>
      </c>
      <c r="C24" s="1" t="n">
        <f aca="false">B24</f>
        <v>6.17811380119251</v>
      </c>
      <c r="D24" s="1" t="n">
        <f aca="false">B24</f>
        <v>6.17811380119251</v>
      </c>
      <c r="E24" s="1" t="n">
        <f aca="false">B24</f>
        <v>6.17811380119251</v>
      </c>
      <c r="F24" s="1" t="n">
        <v>1</v>
      </c>
      <c r="G24" s="1" t="n">
        <v>1</v>
      </c>
      <c r="H24" s="1" t="n">
        <v>1</v>
      </c>
      <c r="I24" s="1" t="n">
        <v>1</v>
      </c>
      <c r="J24" s="1" t="n">
        <v>1</v>
      </c>
      <c r="K24" s="1" t="n">
        <v>1</v>
      </c>
      <c r="L24" s="1" t="n">
        <f aca="false">B24</f>
        <v>6.17811380119251</v>
      </c>
      <c r="M24" s="1" t="n">
        <f aca="false">B24</f>
        <v>6.17811380119251</v>
      </c>
      <c r="N24" s="1" t="n">
        <f aca="false">B24</f>
        <v>6.17811380119251</v>
      </c>
      <c r="O24" s="1" t="n">
        <f aca="false">B24</f>
        <v>6.17811380119251</v>
      </c>
      <c r="P24" s="1" t="n">
        <f aca="false">B24</f>
        <v>6.17811380119251</v>
      </c>
      <c r="Q24" s="1" t="n">
        <v>1</v>
      </c>
      <c r="R24" s="1" t="n">
        <v>1</v>
      </c>
      <c r="S24" s="1" t="n">
        <v>1</v>
      </c>
      <c r="T24" s="1" t="n">
        <v>1</v>
      </c>
      <c r="U24" s="1" t="n">
        <v>1</v>
      </c>
      <c r="V24" s="1" t="n">
        <v>1</v>
      </c>
      <c r="W24" s="1" t="n">
        <v>1</v>
      </c>
      <c r="X24" s="1" t="n">
        <v>1</v>
      </c>
      <c r="Y24" s="1" t="n">
        <v>1</v>
      </c>
      <c r="Z24" s="1" t="n">
        <v>1</v>
      </c>
      <c r="AA24" s="1" t="n">
        <v>1</v>
      </c>
      <c r="AB24" s="1" t="n">
        <v>1</v>
      </c>
      <c r="AC24" s="1" t="n">
        <v>1</v>
      </c>
      <c r="AD24" s="1" t="n">
        <v>1</v>
      </c>
      <c r="AE24" s="1" t="n">
        <f aca="false">B24</f>
        <v>6.17811380119251</v>
      </c>
      <c r="AF24" s="1" t="n">
        <f aca="false">B24</f>
        <v>6.17811380119251</v>
      </c>
      <c r="AG24" s="1" t="n">
        <f aca="false">B24</f>
        <v>6.17811380119251</v>
      </c>
      <c r="AH24" s="1" t="n">
        <f aca="false">B24</f>
        <v>6.17811380119251</v>
      </c>
      <c r="AI24" s="1" t="n">
        <f aca="false">B24</f>
        <v>6.17811380119251</v>
      </c>
      <c r="AJ24" s="1" t="n">
        <f aca="false">B24</f>
        <v>6.17811380119251</v>
      </c>
      <c r="AK24" s="1" t="n">
        <f aca="false">B24</f>
        <v>6.17811380119251</v>
      </c>
      <c r="AL24" s="1" t="n">
        <f aca="false">B24</f>
        <v>6.17811380119251</v>
      </c>
      <c r="AM24" s="1" t="n">
        <f aca="false">B24</f>
        <v>6.17811380119251</v>
      </c>
      <c r="AN24" s="1" t="n">
        <v>1</v>
      </c>
      <c r="AO24" s="1" t="n">
        <v>1</v>
      </c>
      <c r="AP24" s="1" t="n">
        <v>1</v>
      </c>
      <c r="AQ24" s="1" t="n">
        <v>1</v>
      </c>
      <c r="AR24" s="1" t="n">
        <v>1</v>
      </c>
      <c r="AS24" s="1" t="n">
        <v>1</v>
      </c>
      <c r="AT24" s="1" t="n">
        <v>1</v>
      </c>
      <c r="AU24" s="1" t="n">
        <v>1</v>
      </c>
      <c r="AV24" s="1" t="n">
        <v>1</v>
      </c>
      <c r="AW24" s="1" t="n">
        <v>1</v>
      </c>
      <c r="AX24" s="1" t="n">
        <f aca="false">B24</f>
        <v>6.17811380119251</v>
      </c>
      <c r="AY24" s="1" t="n">
        <f aca="false">B24</f>
        <v>6.17811380119251</v>
      </c>
      <c r="AZ24" s="1" t="n">
        <f aca="false">B24</f>
        <v>6.17811380119251</v>
      </c>
      <c r="BA24" s="1" t="n">
        <v>1</v>
      </c>
      <c r="BB24" s="1" t="n">
        <v>1</v>
      </c>
      <c r="BC24" s="1" t="n">
        <f aca="false">B24</f>
        <v>6.17811380119251</v>
      </c>
      <c r="BD24" s="1" t="n">
        <f aca="false">B24</f>
        <v>6.17811380119251</v>
      </c>
      <c r="BE24" s="1" t="n">
        <v>1</v>
      </c>
      <c r="BF24" s="1" t="n">
        <v>1</v>
      </c>
      <c r="BG24" s="1" t="n">
        <f aca="false">B24</f>
        <v>6.17811380119251</v>
      </c>
      <c r="BH24" s="1" t="n">
        <f aca="false">B24</f>
        <v>6.17811380119251</v>
      </c>
      <c r="BI24" s="1" t="n">
        <f aca="false">B24</f>
        <v>6.17811380119251</v>
      </c>
      <c r="BJ24" s="1" t="n">
        <f aca="false">B24</f>
        <v>6.17811380119251</v>
      </c>
      <c r="BK24" s="1" t="n">
        <v>1</v>
      </c>
    </row>
    <row r="25" customFormat="false" ht="12.75" hidden="false" customHeight="false" outlineLevel="0" collapsed="false">
      <c r="A25" s="1" t="n">
        <f aca="false">A24-1</f>
        <v>2002</v>
      </c>
      <c r="B25" s="1" t="n">
        <f aca="false">im!H25/im!G25</f>
        <v>6.19292248627598</v>
      </c>
      <c r="C25" s="1" t="n">
        <f aca="false">B25</f>
        <v>6.19292248627598</v>
      </c>
      <c r="D25" s="1" t="n">
        <f aca="false">B25</f>
        <v>6.19292248627598</v>
      </c>
      <c r="E25" s="1" t="n">
        <f aca="false">B25</f>
        <v>6.19292248627598</v>
      </c>
      <c r="F25" s="1" t="n">
        <v>1</v>
      </c>
      <c r="G25" s="1" t="n">
        <v>1</v>
      </c>
      <c r="H25" s="1" t="n">
        <v>1</v>
      </c>
      <c r="I25" s="1" t="n">
        <v>1</v>
      </c>
      <c r="J25" s="1" t="n">
        <v>1</v>
      </c>
      <c r="K25" s="1" t="n">
        <v>1</v>
      </c>
      <c r="L25" s="1" t="n">
        <f aca="false">B25</f>
        <v>6.19292248627598</v>
      </c>
      <c r="M25" s="1" t="n">
        <f aca="false">B25</f>
        <v>6.19292248627598</v>
      </c>
      <c r="N25" s="1" t="n">
        <f aca="false">B25</f>
        <v>6.19292248627598</v>
      </c>
      <c r="O25" s="1" t="n">
        <f aca="false">B25</f>
        <v>6.19292248627598</v>
      </c>
      <c r="P25" s="1" t="n">
        <f aca="false">B25</f>
        <v>6.19292248627598</v>
      </c>
      <c r="Q25" s="1" t="n">
        <v>1</v>
      </c>
      <c r="R25" s="1" t="n">
        <v>1</v>
      </c>
      <c r="S25" s="1" t="n">
        <v>1</v>
      </c>
      <c r="T25" s="1" t="n">
        <v>1</v>
      </c>
      <c r="U25" s="1" t="n">
        <v>1</v>
      </c>
      <c r="V25" s="1" t="n">
        <v>1</v>
      </c>
      <c r="W25" s="1" t="n">
        <v>1</v>
      </c>
      <c r="X25" s="1" t="n">
        <v>1</v>
      </c>
      <c r="Y25" s="1" t="n">
        <v>1</v>
      </c>
      <c r="Z25" s="1" t="n">
        <v>1</v>
      </c>
      <c r="AA25" s="1" t="n">
        <v>1</v>
      </c>
      <c r="AB25" s="1" t="n">
        <v>1</v>
      </c>
      <c r="AC25" s="1" t="n">
        <v>1</v>
      </c>
      <c r="AD25" s="1" t="n">
        <v>1</v>
      </c>
      <c r="AE25" s="1" t="n">
        <f aca="false">B25</f>
        <v>6.19292248627598</v>
      </c>
      <c r="AF25" s="1" t="n">
        <f aca="false">B25</f>
        <v>6.19292248627598</v>
      </c>
      <c r="AG25" s="1" t="n">
        <f aca="false">B25</f>
        <v>6.19292248627598</v>
      </c>
      <c r="AH25" s="1" t="n">
        <f aca="false">B25</f>
        <v>6.19292248627598</v>
      </c>
      <c r="AI25" s="1" t="n">
        <f aca="false">B25</f>
        <v>6.19292248627598</v>
      </c>
      <c r="AJ25" s="1" t="n">
        <f aca="false">B25</f>
        <v>6.19292248627598</v>
      </c>
      <c r="AK25" s="1" t="n">
        <f aca="false">B25</f>
        <v>6.19292248627598</v>
      </c>
      <c r="AL25" s="1" t="n">
        <f aca="false">B25</f>
        <v>6.19292248627598</v>
      </c>
      <c r="AM25" s="1" t="n">
        <f aca="false">B25</f>
        <v>6.19292248627598</v>
      </c>
      <c r="AN25" s="1" t="n">
        <v>1</v>
      </c>
      <c r="AO25" s="1" t="n">
        <v>1</v>
      </c>
      <c r="AP25" s="1" t="n">
        <v>1</v>
      </c>
      <c r="AQ25" s="1" t="n">
        <v>1</v>
      </c>
      <c r="AR25" s="1" t="n">
        <v>1</v>
      </c>
      <c r="AS25" s="1" t="n">
        <v>1</v>
      </c>
      <c r="AT25" s="1" t="n">
        <v>1</v>
      </c>
      <c r="AU25" s="1" t="n">
        <v>1</v>
      </c>
      <c r="AV25" s="1" t="n">
        <v>1</v>
      </c>
      <c r="AW25" s="1" t="n">
        <v>1</v>
      </c>
      <c r="AX25" s="1" t="n">
        <f aca="false">B25</f>
        <v>6.19292248627598</v>
      </c>
      <c r="AY25" s="1" t="n">
        <f aca="false">B25</f>
        <v>6.19292248627598</v>
      </c>
      <c r="AZ25" s="1" t="n">
        <f aca="false">B25</f>
        <v>6.19292248627598</v>
      </c>
      <c r="BA25" s="1" t="n">
        <v>1</v>
      </c>
      <c r="BB25" s="1" t="n">
        <v>1</v>
      </c>
      <c r="BC25" s="1" t="n">
        <f aca="false">B25</f>
        <v>6.19292248627598</v>
      </c>
      <c r="BD25" s="1" t="n">
        <f aca="false">B25</f>
        <v>6.19292248627598</v>
      </c>
      <c r="BE25" s="1" t="n">
        <v>1</v>
      </c>
      <c r="BF25" s="1" t="n">
        <v>1</v>
      </c>
      <c r="BG25" s="1" t="n">
        <f aca="false">B25</f>
        <v>6.19292248627598</v>
      </c>
      <c r="BH25" s="1" t="n">
        <f aca="false">B25</f>
        <v>6.19292248627598</v>
      </c>
      <c r="BI25" s="1" t="n">
        <f aca="false">B25</f>
        <v>6.19292248627598</v>
      </c>
      <c r="BJ25" s="1" t="n">
        <f aca="false">B25</f>
        <v>6.19292248627598</v>
      </c>
      <c r="BK25" s="1" t="n">
        <v>1</v>
      </c>
    </row>
    <row r="26" customFormat="false" ht="12.75" hidden="false" customHeight="false" outlineLevel="0" collapsed="false">
      <c r="A26" s="1" t="n">
        <f aca="false">A25-1</f>
        <v>2001</v>
      </c>
      <c r="B26" s="1" t="n">
        <f aca="false">im!H26/im!G26</f>
        <v>6.0751727928565</v>
      </c>
      <c r="C26" s="1" t="n">
        <f aca="false">B26</f>
        <v>6.0751727928565</v>
      </c>
      <c r="D26" s="1" t="n">
        <f aca="false">B26</f>
        <v>6.0751727928565</v>
      </c>
      <c r="E26" s="1" t="n">
        <f aca="false">B26</f>
        <v>6.0751727928565</v>
      </c>
      <c r="F26" s="1" t="n">
        <v>1</v>
      </c>
      <c r="G26" s="1" t="n">
        <v>1</v>
      </c>
      <c r="H26" s="1" t="n">
        <v>1</v>
      </c>
      <c r="I26" s="1" t="n">
        <v>1</v>
      </c>
      <c r="J26" s="1" t="n">
        <v>1</v>
      </c>
      <c r="K26" s="1" t="n">
        <v>1</v>
      </c>
      <c r="L26" s="1" t="n">
        <f aca="false">B26</f>
        <v>6.0751727928565</v>
      </c>
      <c r="M26" s="1" t="n">
        <f aca="false">B26</f>
        <v>6.0751727928565</v>
      </c>
      <c r="N26" s="1" t="n">
        <f aca="false">B26</f>
        <v>6.0751727928565</v>
      </c>
      <c r="O26" s="1" t="n">
        <f aca="false">B26</f>
        <v>6.0751727928565</v>
      </c>
      <c r="P26" s="1" t="n">
        <f aca="false">B26</f>
        <v>6.0751727928565</v>
      </c>
      <c r="Q26" s="1" t="n">
        <v>1</v>
      </c>
      <c r="R26" s="1" t="n">
        <v>1</v>
      </c>
      <c r="S26" s="1" t="n">
        <v>1</v>
      </c>
      <c r="T26" s="1" t="n">
        <v>1</v>
      </c>
      <c r="U26" s="1" t="n">
        <v>1</v>
      </c>
      <c r="V26" s="1" t="n">
        <v>1</v>
      </c>
      <c r="W26" s="1" t="n">
        <v>1</v>
      </c>
      <c r="X26" s="1" t="n">
        <v>1</v>
      </c>
      <c r="Y26" s="1" t="n">
        <v>1</v>
      </c>
      <c r="Z26" s="1" t="n">
        <v>1</v>
      </c>
      <c r="AA26" s="1" t="n">
        <v>1</v>
      </c>
      <c r="AB26" s="1" t="n">
        <v>1</v>
      </c>
      <c r="AC26" s="1" t="n">
        <v>1</v>
      </c>
      <c r="AD26" s="1" t="n">
        <v>1</v>
      </c>
      <c r="AE26" s="1" t="n">
        <f aca="false">B26</f>
        <v>6.0751727928565</v>
      </c>
      <c r="AF26" s="1" t="n">
        <f aca="false">B26</f>
        <v>6.0751727928565</v>
      </c>
      <c r="AG26" s="1" t="n">
        <f aca="false">B26</f>
        <v>6.0751727928565</v>
      </c>
      <c r="AH26" s="1" t="n">
        <f aca="false">B26</f>
        <v>6.0751727928565</v>
      </c>
      <c r="AI26" s="1" t="n">
        <f aca="false">B26</f>
        <v>6.0751727928565</v>
      </c>
      <c r="AJ26" s="1" t="n">
        <f aca="false">B26</f>
        <v>6.0751727928565</v>
      </c>
      <c r="AK26" s="1" t="n">
        <f aca="false">B26</f>
        <v>6.0751727928565</v>
      </c>
      <c r="AL26" s="1" t="n">
        <f aca="false">B26</f>
        <v>6.0751727928565</v>
      </c>
      <c r="AM26" s="1" t="n">
        <f aca="false">B26</f>
        <v>6.0751727928565</v>
      </c>
      <c r="AN26" s="1" t="n">
        <v>1</v>
      </c>
      <c r="AO26" s="1" t="n">
        <v>1</v>
      </c>
      <c r="AP26" s="1" t="n">
        <v>1</v>
      </c>
      <c r="AQ26" s="1" t="n">
        <v>1</v>
      </c>
      <c r="AR26" s="1" t="n">
        <v>1</v>
      </c>
      <c r="AS26" s="1" t="n">
        <v>1</v>
      </c>
      <c r="AT26" s="1" t="n">
        <v>1</v>
      </c>
      <c r="AU26" s="1" t="n">
        <v>1</v>
      </c>
      <c r="AV26" s="1" t="n">
        <v>1</v>
      </c>
      <c r="AW26" s="1" t="n">
        <v>1</v>
      </c>
      <c r="AX26" s="1" t="n">
        <f aca="false">B26</f>
        <v>6.0751727928565</v>
      </c>
      <c r="AY26" s="1" t="n">
        <f aca="false">B26</f>
        <v>6.0751727928565</v>
      </c>
      <c r="AZ26" s="1" t="n">
        <f aca="false">B26</f>
        <v>6.0751727928565</v>
      </c>
      <c r="BA26" s="1" t="n">
        <v>1</v>
      </c>
      <c r="BB26" s="1" t="n">
        <v>1</v>
      </c>
      <c r="BC26" s="1" t="n">
        <f aca="false">B26</f>
        <v>6.0751727928565</v>
      </c>
      <c r="BD26" s="1" t="n">
        <f aca="false">B26</f>
        <v>6.0751727928565</v>
      </c>
      <c r="BE26" s="1" t="n">
        <v>1</v>
      </c>
      <c r="BF26" s="1" t="n">
        <v>1</v>
      </c>
      <c r="BG26" s="1" t="n">
        <f aca="false">B26</f>
        <v>6.0751727928565</v>
      </c>
      <c r="BH26" s="1" t="n">
        <f aca="false">B26</f>
        <v>6.0751727928565</v>
      </c>
      <c r="BI26" s="1" t="n">
        <f aca="false">B26</f>
        <v>6.0751727928565</v>
      </c>
      <c r="BJ26" s="1" t="n">
        <f aca="false">B26</f>
        <v>6.0751727928565</v>
      </c>
      <c r="BK26" s="1" t="n">
        <v>1</v>
      </c>
    </row>
    <row r="27" customFormat="false" ht="12.75" hidden="false" customHeight="false" outlineLevel="0" collapsed="false">
      <c r="A27" s="1" t="n">
        <f aca="false">A26-1</f>
        <v>2000</v>
      </c>
      <c r="B27" s="1" t="n">
        <f aca="false">im!H27/im!G27</f>
        <v>7.18120826328662</v>
      </c>
      <c r="C27" s="1" t="n">
        <f aca="false">B27</f>
        <v>7.18120826328662</v>
      </c>
      <c r="D27" s="1" t="n">
        <f aca="false">B27</f>
        <v>7.18120826328662</v>
      </c>
      <c r="E27" s="1" t="n">
        <f aca="false">B27</f>
        <v>7.18120826328662</v>
      </c>
      <c r="F27" s="1" t="n">
        <v>1</v>
      </c>
      <c r="G27" s="1" t="n">
        <v>1</v>
      </c>
      <c r="H27" s="1" t="n">
        <v>1</v>
      </c>
      <c r="I27" s="1" t="n">
        <v>1</v>
      </c>
      <c r="J27" s="1" t="n">
        <v>1</v>
      </c>
      <c r="K27" s="1" t="n">
        <v>1</v>
      </c>
      <c r="L27" s="1" t="n">
        <f aca="false">B27</f>
        <v>7.18120826328662</v>
      </c>
      <c r="M27" s="1" t="n">
        <f aca="false">B27</f>
        <v>7.18120826328662</v>
      </c>
      <c r="N27" s="1" t="n">
        <f aca="false">B27</f>
        <v>7.18120826328662</v>
      </c>
      <c r="O27" s="1" t="n">
        <f aca="false">B27</f>
        <v>7.18120826328662</v>
      </c>
      <c r="P27" s="1" t="n">
        <f aca="false">B27</f>
        <v>7.18120826328662</v>
      </c>
      <c r="Q27" s="1" t="n">
        <v>1</v>
      </c>
      <c r="R27" s="1" t="n">
        <v>1</v>
      </c>
      <c r="S27" s="1" t="n">
        <v>1</v>
      </c>
      <c r="T27" s="1" t="n">
        <v>1</v>
      </c>
      <c r="U27" s="1" t="n">
        <v>1</v>
      </c>
      <c r="V27" s="1" t="n">
        <v>1</v>
      </c>
      <c r="W27" s="1" t="n">
        <v>1</v>
      </c>
      <c r="X27" s="1" t="n">
        <v>1</v>
      </c>
      <c r="Y27" s="1" t="n">
        <v>1</v>
      </c>
      <c r="Z27" s="1" t="n">
        <v>1</v>
      </c>
      <c r="AA27" s="1" t="n">
        <v>1</v>
      </c>
      <c r="AB27" s="1" t="n">
        <v>1</v>
      </c>
      <c r="AC27" s="1" t="n">
        <v>1</v>
      </c>
      <c r="AD27" s="1" t="n">
        <v>1</v>
      </c>
      <c r="AE27" s="1" t="n">
        <f aca="false">B27</f>
        <v>7.18120826328662</v>
      </c>
      <c r="AF27" s="1" t="n">
        <f aca="false">B27</f>
        <v>7.18120826328662</v>
      </c>
      <c r="AG27" s="1" t="n">
        <f aca="false">B27</f>
        <v>7.18120826328662</v>
      </c>
      <c r="AH27" s="1" t="n">
        <f aca="false">B27</f>
        <v>7.18120826328662</v>
      </c>
      <c r="AI27" s="1" t="n">
        <f aca="false">B27</f>
        <v>7.18120826328662</v>
      </c>
      <c r="AJ27" s="1" t="n">
        <f aca="false">B27</f>
        <v>7.18120826328662</v>
      </c>
      <c r="AK27" s="1" t="n">
        <f aca="false">B27</f>
        <v>7.18120826328662</v>
      </c>
      <c r="AL27" s="1" t="n">
        <f aca="false">B27</f>
        <v>7.18120826328662</v>
      </c>
      <c r="AM27" s="1" t="n">
        <f aca="false">B27</f>
        <v>7.18120826328662</v>
      </c>
      <c r="AN27" s="1" t="n">
        <v>1</v>
      </c>
      <c r="AO27" s="1" t="n">
        <v>1</v>
      </c>
      <c r="AP27" s="1" t="n">
        <v>1</v>
      </c>
      <c r="AQ27" s="1" t="n">
        <v>1</v>
      </c>
      <c r="AR27" s="1" t="n">
        <v>1</v>
      </c>
      <c r="AS27" s="1" t="n">
        <v>1</v>
      </c>
      <c r="AT27" s="1" t="n">
        <v>1</v>
      </c>
      <c r="AU27" s="1" t="n">
        <v>1</v>
      </c>
      <c r="AV27" s="1" t="n">
        <v>1</v>
      </c>
      <c r="AW27" s="1" t="n">
        <v>1</v>
      </c>
      <c r="AX27" s="1" t="n">
        <f aca="false">B27</f>
        <v>7.18120826328662</v>
      </c>
      <c r="AY27" s="1" t="n">
        <f aca="false">B27</f>
        <v>7.18120826328662</v>
      </c>
      <c r="AZ27" s="1" t="n">
        <f aca="false">B27</f>
        <v>7.18120826328662</v>
      </c>
      <c r="BA27" s="1" t="n">
        <v>1</v>
      </c>
      <c r="BB27" s="1" t="n">
        <v>1</v>
      </c>
      <c r="BC27" s="1" t="n">
        <f aca="false">B27</f>
        <v>7.18120826328662</v>
      </c>
      <c r="BD27" s="1" t="n">
        <f aca="false">B27</f>
        <v>7.18120826328662</v>
      </c>
      <c r="BE27" s="1" t="n">
        <v>1</v>
      </c>
      <c r="BF27" s="1" t="n">
        <v>1</v>
      </c>
      <c r="BG27" s="1" t="n">
        <f aca="false">B27</f>
        <v>7.18120826328662</v>
      </c>
      <c r="BH27" s="1" t="n">
        <f aca="false">B27</f>
        <v>7.18120826328662</v>
      </c>
      <c r="BI27" s="1" t="n">
        <f aca="false">B27</f>
        <v>7.18120826328662</v>
      </c>
      <c r="BJ27" s="1" t="n">
        <f aca="false">B27</f>
        <v>7.18120826328662</v>
      </c>
      <c r="BK27" s="1" t="n">
        <v>1</v>
      </c>
    </row>
    <row r="28" customFormat="false" ht="12.75" hidden="false" customHeight="false" outlineLevel="0" collapsed="false">
      <c r="A28" s="1" t="n">
        <f aca="false">A27-1</f>
        <v>1999</v>
      </c>
      <c r="B28" s="1" t="n">
        <f aca="false">im!H28/im!G28</f>
        <v>6.76534150134931</v>
      </c>
      <c r="C28" s="1" t="n">
        <f aca="false">B28</f>
        <v>6.76534150134931</v>
      </c>
      <c r="D28" s="1" t="n">
        <f aca="false">B28</f>
        <v>6.76534150134931</v>
      </c>
      <c r="E28" s="1" t="n">
        <f aca="false">B28</f>
        <v>6.76534150134931</v>
      </c>
      <c r="F28" s="1" t="n">
        <v>1</v>
      </c>
      <c r="G28" s="1" t="n">
        <v>1</v>
      </c>
      <c r="H28" s="1" t="n">
        <v>1</v>
      </c>
      <c r="I28" s="1" t="n">
        <v>1</v>
      </c>
      <c r="J28" s="1" t="n">
        <v>1</v>
      </c>
      <c r="K28" s="1" t="n">
        <v>1</v>
      </c>
      <c r="L28" s="1" t="n">
        <f aca="false">B28</f>
        <v>6.76534150134931</v>
      </c>
      <c r="M28" s="1" t="n">
        <f aca="false">B28</f>
        <v>6.76534150134931</v>
      </c>
      <c r="N28" s="1" t="n">
        <f aca="false">B28</f>
        <v>6.76534150134931</v>
      </c>
      <c r="O28" s="1" t="n">
        <f aca="false">B28</f>
        <v>6.76534150134931</v>
      </c>
      <c r="P28" s="1" t="n">
        <f aca="false">B28</f>
        <v>6.76534150134931</v>
      </c>
      <c r="Q28" s="1" t="n">
        <v>1</v>
      </c>
      <c r="R28" s="1" t="n">
        <v>1</v>
      </c>
      <c r="S28" s="1" t="n">
        <v>1</v>
      </c>
      <c r="T28" s="1" t="n">
        <v>1</v>
      </c>
      <c r="U28" s="1" t="n">
        <v>1</v>
      </c>
      <c r="V28" s="1" t="n">
        <v>1</v>
      </c>
      <c r="W28" s="1" t="n">
        <v>1</v>
      </c>
      <c r="X28" s="1" t="n">
        <v>1</v>
      </c>
      <c r="Y28" s="1" t="n">
        <v>1</v>
      </c>
      <c r="Z28" s="1" t="n">
        <v>1</v>
      </c>
      <c r="AA28" s="1" t="n">
        <v>1</v>
      </c>
      <c r="AB28" s="1" t="n">
        <v>1</v>
      </c>
      <c r="AC28" s="1" t="n">
        <v>1</v>
      </c>
      <c r="AD28" s="1" t="n">
        <v>1</v>
      </c>
      <c r="AE28" s="1" t="n">
        <f aca="false">B28</f>
        <v>6.76534150134931</v>
      </c>
      <c r="AF28" s="1" t="n">
        <f aca="false">B28</f>
        <v>6.76534150134931</v>
      </c>
      <c r="AG28" s="1" t="n">
        <f aca="false">B28</f>
        <v>6.76534150134931</v>
      </c>
      <c r="AH28" s="1" t="n">
        <f aca="false">B28</f>
        <v>6.76534150134931</v>
      </c>
      <c r="AI28" s="1" t="n">
        <f aca="false">B28</f>
        <v>6.76534150134931</v>
      </c>
      <c r="AJ28" s="1" t="n">
        <f aca="false">B28</f>
        <v>6.76534150134931</v>
      </c>
      <c r="AK28" s="1" t="n">
        <f aca="false">B28</f>
        <v>6.76534150134931</v>
      </c>
      <c r="AL28" s="1" t="n">
        <f aca="false">B28</f>
        <v>6.76534150134931</v>
      </c>
      <c r="AM28" s="1" t="n">
        <f aca="false">B28</f>
        <v>6.76534150134931</v>
      </c>
      <c r="AN28" s="1" t="n">
        <v>1</v>
      </c>
      <c r="AO28" s="1" t="n">
        <v>1</v>
      </c>
      <c r="AP28" s="1" t="n">
        <v>1</v>
      </c>
      <c r="AQ28" s="1" t="n">
        <v>1</v>
      </c>
      <c r="AR28" s="1" t="n">
        <v>1</v>
      </c>
      <c r="AS28" s="1" t="n">
        <v>1</v>
      </c>
      <c r="AT28" s="1" t="n">
        <v>1</v>
      </c>
      <c r="AU28" s="1" t="n">
        <v>1</v>
      </c>
      <c r="AV28" s="1" t="n">
        <v>1</v>
      </c>
      <c r="AW28" s="1" t="n">
        <v>1</v>
      </c>
      <c r="AX28" s="1" t="n">
        <f aca="false">B28</f>
        <v>6.76534150134931</v>
      </c>
      <c r="AY28" s="1" t="n">
        <f aca="false">B28</f>
        <v>6.76534150134931</v>
      </c>
      <c r="AZ28" s="1" t="n">
        <f aca="false">B28</f>
        <v>6.76534150134931</v>
      </c>
      <c r="BA28" s="1" t="n">
        <v>1</v>
      </c>
      <c r="BB28" s="1" t="n">
        <v>1</v>
      </c>
      <c r="BC28" s="1" t="n">
        <f aca="false">B28</f>
        <v>6.76534150134931</v>
      </c>
      <c r="BD28" s="1" t="n">
        <f aca="false">B28</f>
        <v>6.76534150134931</v>
      </c>
      <c r="BE28" s="1" t="n">
        <v>1</v>
      </c>
      <c r="BF28" s="1" t="n">
        <v>1</v>
      </c>
      <c r="BG28" s="1" t="n">
        <f aca="false">B28</f>
        <v>6.76534150134931</v>
      </c>
      <c r="BH28" s="1" t="n">
        <f aca="false">B28</f>
        <v>6.76534150134931</v>
      </c>
      <c r="BI28" s="1" t="n">
        <f aca="false">B28</f>
        <v>6.76534150134931</v>
      </c>
      <c r="BJ28" s="1" t="n">
        <f aca="false">B28</f>
        <v>6.76534150134931</v>
      </c>
      <c r="BK28" s="1" t="n">
        <v>1</v>
      </c>
    </row>
    <row r="29" customFormat="false" ht="12.75" hidden="false" customHeight="false" outlineLevel="0" collapsed="false">
      <c r="A29" s="1" t="n">
        <f aca="false">A28-1</f>
        <v>1998</v>
      </c>
      <c r="B29" s="1" t="n">
        <f aca="false">im!H29/im!G29</f>
        <v>6.15394499257563</v>
      </c>
      <c r="C29" s="1" t="n">
        <f aca="false">B29</f>
        <v>6.15394499257563</v>
      </c>
      <c r="D29" s="1" t="n">
        <f aca="false">B29</f>
        <v>6.15394499257563</v>
      </c>
      <c r="E29" s="1" t="n">
        <f aca="false">B29</f>
        <v>6.15394499257563</v>
      </c>
      <c r="F29" s="1" t="n">
        <v>1</v>
      </c>
      <c r="G29" s="1" t="n">
        <v>1</v>
      </c>
      <c r="H29" s="1" t="n">
        <v>1</v>
      </c>
      <c r="I29" s="1" t="n">
        <v>1</v>
      </c>
      <c r="J29" s="1" t="n">
        <v>1</v>
      </c>
      <c r="K29" s="1" t="n">
        <v>1</v>
      </c>
      <c r="L29" s="1" t="n">
        <f aca="false">B29</f>
        <v>6.15394499257563</v>
      </c>
      <c r="M29" s="1" t="n">
        <f aca="false">B29</f>
        <v>6.15394499257563</v>
      </c>
      <c r="N29" s="1" t="n">
        <f aca="false">B29</f>
        <v>6.15394499257563</v>
      </c>
      <c r="O29" s="1" t="n">
        <f aca="false">B29</f>
        <v>6.15394499257563</v>
      </c>
      <c r="P29" s="1" t="n">
        <f aca="false">B29</f>
        <v>6.15394499257563</v>
      </c>
      <c r="Q29" s="1" t="n">
        <v>1</v>
      </c>
      <c r="R29" s="1" t="n">
        <v>1</v>
      </c>
      <c r="S29" s="1" t="n">
        <v>1</v>
      </c>
      <c r="T29" s="1" t="n">
        <v>1</v>
      </c>
      <c r="U29" s="1" t="n">
        <v>1</v>
      </c>
      <c r="V29" s="1" t="n">
        <v>1</v>
      </c>
      <c r="W29" s="1" t="n">
        <v>1</v>
      </c>
      <c r="X29" s="1" t="n">
        <v>1</v>
      </c>
      <c r="Y29" s="1" t="n">
        <v>1</v>
      </c>
      <c r="Z29" s="1" t="n">
        <v>1</v>
      </c>
      <c r="AA29" s="1" t="n">
        <v>1</v>
      </c>
      <c r="AB29" s="1" t="n">
        <v>1</v>
      </c>
      <c r="AC29" s="1" t="n">
        <v>1</v>
      </c>
      <c r="AD29" s="1" t="n">
        <v>1</v>
      </c>
      <c r="AE29" s="1" t="n">
        <f aca="false">B29</f>
        <v>6.15394499257563</v>
      </c>
      <c r="AF29" s="1" t="n">
        <f aca="false">B29</f>
        <v>6.15394499257563</v>
      </c>
      <c r="AG29" s="1" t="n">
        <f aca="false">B29</f>
        <v>6.15394499257563</v>
      </c>
      <c r="AH29" s="1" t="n">
        <f aca="false">B29</f>
        <v>6.15394499257563</v>
      </c>
      <c r="AI29" s="1" t="n">
        <f aca="false">B29</f>
        <v>6.15394499257563</v>
      </c>
      <c r="AJ29" s="1" t="n">
        <f aca="false">B29</f>
        <v>6.15394499257563</v>
      </c>
      <c r="AK29" s="1" t="n">
        <f aca="false">B29</f>
        <v>6.15394499257563</v>
      </c>
      <c r="AL29" s="1" t="n">
        <f aca="false">B29</f>
        <v>6.15394499257563</v>
      </c>
      <c r="AM29" s="1" t="n">
        <f aca="false">B29</f>
        <v>6.15394499257563</v>
      </c>
      <c r="AN29" s="1" t="n">
        <v>1</v>
      </c>
      <c r="AO29" s="1" t="n">
        <v>1</v>
      </c>
      <c r="AP29" s="1" t="n">
        <v>1</v>
      </c>
      <c r="AQ29" s="1" t="n">
        <v>1</v>
      </c>
      <c r="AR29" s="1" t="n">
        <v>1</v>
      </c>
      <c r="AS29" s="1" t="n">
        <v>1</v>
      </c>
      <c r="AT29" s="1" t="n">
        <v>1</v>
      </c>
      <c r="AU29" s="1" t="n">
        <v>1</v>
      </c>
      <c r="AV29" s="1" t="n">
        <v>1</v>
      </c>
      <c r="AW29" s="1" t="n">
        <v>1</v>
      </c>
      <c r="AX29" s="1" t="n">
        <f aca="false">B29</f>
        <v>6.15394499257563</v>
      </c>
      <c r="AY29" s="1" t="n">
        <f aca="false">B29</f>
        <v>6.15394499257563</v>
      </c>
      <c r="AZ29" s="1" t="n">
        <f aca="false">B29</f>
        <v>6.15394499257563</v>
      </c>
      <c r="BA29" s="1" t="n">
        <v>1</v>
      </c>
      <c r="BB29" s="1" t="n">
        <v>1</v>
      </c>
      <c r="BC29" s="1" t="n">
        <f aca="false">B29</f>
        <v>6.15394499257563</v>
      </c>
      <c r="BD29" s="1" t="n">
        <f aca="false">B29</f>
        <v>6.15394499257563</v>
      </c>
      <c r="BE29" s="1" t="n">
        <v>1</v>
      </c>
      <c r="BF29" s="1" t="n">
        <v>1</v>
      </c>
      <c r="BG29" s="1" t="n">
        <f aca="false">B29</f>
        <v>6.15394499257563</v>
      </c>
      <c r="BH29" s="1" t="n">
        <f aca="false">B29</f>
        <v>6.15394499257563</v>
      </c>
      <c r="BI29" s="1" t="n">
        <f aca="false">B29</f>
        <v>6.15394499257563</v>
      </c>
      <c r="BJ29" s="1" t="n">
        <f aca="false">B29</f>
        <v>6.15394499257563</v>
      </c>
      <c r="BK29" s="1" t="n">
        <v>1</v>
      </c>
    </row>
    <row r="30" customFormat="false" ht="12.75" hidden="false" customHeight="false" outlineLevel="0" collapsed="false">
      <c r="A30" s="1" t="n">
        <f aca="false">A29-1</f>
        <v>1997</v>
      </c>
      <c r="B30" s="1" t="n">
        <f aca="false">im!H30/im!G30</f>
        <v>5.81387663271366</v>
      </c>
      <c r="C30" s="1" t="n">
        <f aca="false">B30</f>
        <v>5.81387663271366</v>
      </c>
      <c r="D30" s="1" t="n">
        <f aca="false">B30</f>
        <v>5.81387663271366</v>
      </c>
      <c r="E30" s="1" t="n">
        <f aca="false">B30</f>
        <v>5.81387663271366</v>
      </c>
      <c r="F30" s="1" t="n">
        <v>1</v>
      </c>
      <c r="G30" s="1" t="n">
        <v>1</v>
      </c>
      <c r="H30" s="1" t="n">
        <v>1</v>
      </c>
      <c r="I30" s="1" t="n">
        <v>1</v>
      </c>
      <c r="J30" s="1" t="n">
        <v>1</v>
      </c>
      <c r="K30" s="1" t="n">
        <v>1</v>
      </c>
      <c r="L30" s="1" t="n">
        <f aca="false">B30</f>
        <v>5.81387663271366</v>
      </c>
      <c r="M30" s="1" t="n">
        <f aca="false">B30</f>
        <v>5.81387663271366</v>
      </c>
      <c r="N30" s="1" t="n">
        <f aca="false">B30</f>
        <v>5.81387663271366</v>
      </c>
      <c r="O30" s="1" t="n">
        <f aca="false">B30</f>
        <v>5.81387663271366</v>
      </c>
      <c r="P30" s="1" t="n">
        <f aca="false">B30</f>
        <v>5.81387663271366</v>
      </c>
      <c r="Q30" s="1" t="n">
        <v>1</v>
      </c>
      <c r="R30" s="1" t="n">
        <v>1</v>
      </c>
      <c r="S30" s="1" t="n">
        <v>1</v>
      </c>
      <c r="T30" s="1" t="n">
        <v>1</v>
      </c>
      <c r="U30" s="1" t="n">
        <v>1</v>
      </c>
      <c r="V30" s="1" t="n">
        <v>1</v>
      </c>
      <c r="W30" s="1" t="n">
        <v>1</v>
      </c>
      <c r="X30" s="1" t="n">
        <v>1</v>
      </c>
      <c r="Y30" s="1" t="n">
        <v>1</v>
      </c>
      <c r="Z30" s="1" t="n">
        <v>1</v>
      </c>
      <c r="AA30" s="1" t="n">
        <v>1</v>
      </c>
      <c r="AB30" s="1" t="n">
        <v>1</v>
      </c>
      <c r="AC30" s="1" t="n">
        <v>1</v>
      </c>
      <c r="AD30" s="1" t="n">
        <v>1</v>
      </c>
      <c r="AE30" s="1" t="n">
        <f aca="false">B30</f>
        <v>5.81387663271366</v>
      </c>
      <c r="AF30" s="1" t="n">
        <f aca="false">B30</f>
        <v>5.81387663271366</v>
      </c>
      <c r="AG30" s="1" t="n">
        <f aca="false">B30</f>
        <v>5.81387663271366</v>
      </c>
      <c r="AH30" s="1" t="n">
        <f aca="false">B30</f>
        <v>5.81387663271366</v>
      </c>
      <c r="AI30" s="1" t="n">
        <f aca="false">B30</f>
        <v>5.81387663271366</v>
      </c>
      <c r="AJ30" s="1" t="n">
        <f aca="false">B30</f>
        <v>5.81387663271366</v>
      </c>
      <c r="AK30" s="1" t="n">
        <f aca="false">B30</f>
        <v>5.81387663271366</v>
      </c>
      <c r="AL30" s="1" t="n">
        <f aca="false">B30</f>
        <v>5.81387663271366</v>
      </c>
      <c r="AM30" s="1" t="n">
        <f aca="false">B30</f>
        <v>5.81387663271366</v>
      </c>
      <c r="AN30" s="1" t="n">
        <v>1</v>
      </c>
      <c r="AO30" s="1" t="n">
        <v>1</v>
      </c>
      <c r="AP30" s="1" t="n">
        <v>1</v>
      </c>
      <c r="AQ30" s="1" t="n">
        <v>1</v>
      </c>
      <c r="AR30" s="1" t="n">
        <v>1</v>
      </c>
      <c r="AS30" s="1" t="n">
        <v>1</v>
      </c>
      <c r="AT30" s="1" t="n">
        <v>1</v>
      </c>
      <c r="AU30" s="1" t="n">
        <v>1</v>
      </c>
      <c r="AV30" s="1" t="n">
        <v>1</v>
      </c>
      <c r="AW30" s="1" t="n">
        <v>1</v>
      </c>
      <c r="AX30" s="1" t="n">
        <f aca="false">B30</f>
        <v>5.81387663271366</v>
      </c>
      <c r="AY30" s="1" t="n">
        <f aca="false">B30</f>
        <v>5.81387663271366</v>
      </c>
      <c r="AZ30" s="1" t="n">
        <f aca="false">B30</f>
        <v>5.81387663271366</v>
      </c>
      <c r="BA30" s="1" t="n">
        <v>1</v>
      </c>
      <c r="BB30" s="1" t="n">
        <v>1</v>
      </c>
      <c r="BC30" s="1" t="n">
        <f aca="false">B30</f>
        <v>5.81387663271366</v>
      </c>
      <c r="BD30" s="1" t="n">
        <f aca="false">B30</f>
        <v>5.81387663271366</v>
      </c>
      <c r="BE30" s="1" t="n">
        <v>1</v>
      </c>
      <c r="BF30" s="1" t="n">
        <v>1</v>
      </c>
      <c r="BG30" s="1" t="n">
        <f aca="false">B30</f>
        <v>5.81387663271366</v>
      </c>
      <c r="BH30" s="1" t="n">
        <f aca="false">B30</f>
        <v>5.81387663271366</v>
      </c>
      <c r="BI30" s="1" t="n">
        <f aca="false">B30</f>
        <v>5.81387663271366</v>
      </c>
      <c r="BJ30" s="1" t="n">
        <f aca="false">B30</f>
        <v>5.81387663271366</v>
      </c>
      <c r="BK30" s="1" t="n">
        <v>1</v>
      </c>
    </row>
    <row r="31" customFormat="false" ht="12.75" hidden="false" customHeight="false" outlineLevel="0" collapsed="false">
      <c r="A31" s="1" t="n">
        <f aca="false">A30-1</f>
        <v>1996</v>
      </c>
      <c r="B31" s="1" t="n">
        <f aca="false">im!H31/im!G31</f>
        <v>5.54594417126195</v>
      </c>
      <c r="C31" s="1" t="n">
        <f aca="false">B31</f>
        <v>5.54594417126195</v>
      </c>
      <c r="D31" s="1" t="n">
        <f aca="false">B31</f>
        <v>5.54594417126195</v>
      </c>
      <c r="E31" s="1" t="n">
        <f aca="false">B31</f>
        <v>5.54594417126195</v>
      </c>
      <c r="F31" s="1" t="n">
        <v>1</v>
      </c>
      <c r="G31" s="1" t="n">
        <v>1</v>
      </c>
      <c r="H31" s="1" t="n">
        <v>1</v>
      </c>
      <c r="I31" s="1" t="n">
        <v>1</v>
      </c>
      <c r="J31" s="1" t="n">
        <v>1</v>
      </c>
      <c r="K31" s="1" t="n">
        <v>1</v>
      </c>
      <c r="L31" s="1" t="n">
        <f aca="false">B31</f>
        <v>5.54594417126195</v>
      </c>
      <c r="M31" s="1" t="n">
        <f aca="false">B31</f>
        <v>5.54594417126195</v>
      </c>
      <c r="N31" s="1" t="n">
        <f aca="false">B31</f>
        <v>5.54594417126195</v>
      </c>
      <c r="O31" s="1" t="n">
        <f aca="false">B31</f>
        <v>5.54594417126195</v>
      </c>
      <c r="P31" s="1" t="n">
        <f aca="false">B31</f>
        <v>5.54594417126195</v>
      </c>
      <c r="Q31" s="1" t="n">
        <v>1</v>
      </c>
      <c r="R31" s="1" t="n">
        <v>1</v>
      </c>
      <c r="S31" s="1" t="n">
        <v>1</v>
      </c>
      <c r="T31" s="1" t="n">
        <v>1</v>
      </c>
      <c r="U31" s="1" t="n">
        <v>1</v>
      </c>
      <c r="V31" s="1" t="n">
        <v>1</v>
      </c>
      <c r="W31" s="1" t="n">
        <v>1</v>
      </c>
      <c r="X31" s="1" t="n">
        <v>1</v>
      </c>
      <c r="Y31" s="1" t="n">
        <v>1</v>
      </c>
      <c r="Z31" s="1" t="n">
        <v>1</v>
      </c>
      <c r="AA31" s="1" t="n">
        <v>1</v>
      </c>
      <c r="AB31" s="1" t="n">
        <v>1</v>
      </c>
      <c r="AC31" s="1" t="n">
        <v>1</v>
      </c>
      <c r="AD31" s="1" t="n">
        <v>1</v>
      </c>
      <c r="AE31" s="1" t="n">
        <f aca="false">B31</f>
        <v>5.54594417126195</v>
      </c>
      <c r="AF31" s="1" t="n">
        <f aca="false">B31</f>
        <v>5.54594417126195</v>
      </c>
      <c r="AG31" s="1" t="n">
        <f aca="false">B31</f>
        <v>5.54594417126195</v>
      </c>
      <c r="AH31" s="1" t="n">
        <f aca="false">B31</f>
        <v>5.54594417126195</v>
      </c>
      <c r="AI31" s="1" t="n">
        <f aca="false">B31</f>
        <v>5.54594417126195</v>
      </c>
      <c r="AJ31" s="1" t="n">
        <f aca="false">B31</f>
        <v>5.54594417126195</v>
      </c>
      <c r="AK31" s="1" t="n">
        <f aca="false">B31</f>
        <v>5.54594417126195</v>
      </c>
      <c r="AL31" s="1" t="n">
        <f aca="false">B31</f>
        <v>5.54594417126195</v>
      </c>
      <c r="AM31" s="1" t="n">
        <f aca="false">B31</f>
        <v>5.54594417126195</v>
      </c>
      <c r="AN31" s="1" t="n">
        <v>1</v>
      </c>
      <c r="AO31" s="1" t="n">
        <v>1</v>
      </c>
      <c r="AP31" s="1" t="n">
        <v>1</v>
      </c>
      <c r="AQ31" s="1" t="n">
        <v>1</v>
      </c>
      <c r="AR31" s="1" t="n">
        <v>1</v>
      </c>
      <c r="AS31" s="1" t="n">
        <v>1</v>
      </c>
      <c r="AT31" s="1" t="n">
        <v>1</v>
      </c>
      <c r="AU31" s="1" t="n">
        <v>1</v>
      </c>
      <c r="AV31" s="1" t="n">
        <v>1</v>
      </c>
      <c r="AW31" s="1" t="n">
        <v>1</v>
      </c>
      <c r="AX31" s="1" t="n">
        <f aca="false">B31</f>
        <v>5.54594417126195</v>
      </c>
      <c r="AY31" s="1" t="n">
        <f aca="false">B31</f>
        <v>5.54594417126195</v>
      </c>
      <c r="AZ31" s="1" t="n">
        <f aca="false">B31</f>
        <v>5.54594417126195</v>
      </c>
      <c r="BA31" s="1" t="n">
        <v>1</v>
      </c>
      <c r="BB31" s="1" t="n">
        <v>1</v>
      </c>
      <c r="BC31" s="1" t="n">
        <f aca="false">B31</f>
        <v>5.54594417126195</v>
      </c>
      <c r="BD31" s="1" t="n">
        <f aca="false">B31</f>
        <v>5.54594417126195</v>
      </c>
      <c r="BE31" s="1" t="n">
        <v>1</v>
      </c>
      <c r="BF31" s="1" t="n">
        <v>1</v>
      </c>
      <c r="BG31" s="1" t="n">
        <f aca="false">B31</f>
        <v>5.54594417126195</v>
      </c>
      <c r="BH31" s="1" t="n">
        <f aca="false">B31</f>
        <v>5.54594417126195</v>
      </c>
      <c r="BI31" s="1" t="n">
        <f aca="false">B31</f>
        <v>5.54594417126195</v>
      </c>
      <c r="BJ31" s="1" t="n">
        <f aca="false">B31</f>
        <v>5.54594417126195</v>
      </c>
      <c r="BK31" s="1" t="n">
        <v>1</v>
      </c>
    </row>
    <row r="32" customFormat="false" ht="12.75" hidden="false" customHeight="false" outlineLevel="0" collapsed="false">
      <c r="A32" s="1" t="n">
        <f aca="false">A31-1</f>
        <v>1995</v>
      </c>
      <c r="B32" s="1" t="n">
        <f aca="false">im!H32/im!G32</f>
        <v>5.21531165425141</v>
      </c>
      <c r="C32" s="1" t="n">
        <f aca="false">B32</f>
        <v>5.21531165425141</v>
      </c>
      <c r="D32" s="1" t="n">
        <f aca="false">B32</f>
        <v>5.21531165425141</v>
      </c>
      <c r="E32" s="1" t="n">
        <f aca="false">B32</f>
        <v>5.21531165425141</v>
      </c>
      <c r="F32" s="1" t="n">
        <v>1</v>
      </c>
      <c r="G32" s="1" t="n">
        <v>1</v>
      </c>
      <c r="H32" s="1" t="n">
        <v>1</v>
      </c>
      <c r="I32" s="1" t="n">
        <v>1</v>
      </c>
      <c r="J32" s="1" t="n">
        <v>1</v>
      </c>
      <c r="K32" s="1" t="n">
        <v>1</v>
      </c>
      <c r="L32" s="1" t="n">
        <f aca="false">B32</f>
        <v>5.21531165425141</v>
      </c>
      <c r="M32" s="1" t="n">
        <f aca="false">B32</f>
        <v>5.21531165425141</v>
      </c>
      <c r="N32" s="1" t="n">
        <f aca="false">B32</f>
        <v>5.21531165425141</v>
      </c>
      <c r="O32" s="1" t="n">
        <f aca="false">B32</f>
        <v>5.21531165425141</v>
      </c>
      <c r="P32" s="1" t="n">
        <f aca="false">B32</f>
        <v>5.21531165425141</v>
      </c>
      <c r="Q32" s="1" t="n">
        <v>1</v>
      </c>
      <c r="R32" s="1" t="n">
        <v>1</v>
      </c>
      <c r="S32" s="1" t="n">
        <v>1</v>
      </c>
      <c r="T32" s="1" t="n">
        <v>1</v>
      </c>
      <c r="U32" s="1" t="n">
        <v>1</v>
      </c>
      <c r="V32" s="1" t="n">
        <v>1</v>
      </c>
      <c r="W32" s="1" t="n">
        <v>1</v>
      </c>
      <c r="X32" s="1" t="n">
        <v>1</v>
      </c>
      <c r="Y32" s="1" t="n">
        <v>1</v>
      </c>
      <c r="Z32" s="1" t="n">
        <v>1</v>
      </c>
      <c r="AA32" s="1" t="n">
        <v>1</v>
      </c>
      <c r="AB32" s="1" t="n">
        <v>1</v>
      </c>
      <c r="AC32" s="1" t="n">
        <v>1</v>
      </c>
      <c r="AD32" s="1" t="n">
        <v>1</v>
      </c>
      <c r="AE32" s="1" t="n">
        <f aca="false">B32</f>
        <v>5.21531165425141</v>
      </c>
      <c r="AF32" s="1" t="n">
        <f aca="false">B32</f>
        <v>5.21531165425141</v>
      </c>
      <c r="AG32" s="1" t="n">
        <f aca="false">B32</f>
        <v>5.21531165425141</v>
      </c>
      <c r="AH32" s="1" t="n">
        <f aca="false">B32</f>
        <v>5.21531165425141</v>
      </c>
      <c r="AI32" s="1" t="n">
        <f aca="false">B32</f>
        <v>5.21531165425141</v>
      </c>
      <c r="AJ32" s="1" t="n">
        <f aca="false">B32</f>
        <v>5.21531165425141</v>
      </c>
      <c r="AK32" s="1" t="n">
        <f aca="false">B32</f>
        <v>5.21531165425141</v>
      </c>
      <c r="AL32" s="1" t="n">
        <f aca="false">B32</f>
        <v>5.21531165425141</v>
      </c>
      <c r="AM32" s="1" t="n">
        <f aca="false">B32</f>
        <v>5.21531165425141</v>
      </c>
      <c r="AN32" s="1" t="n">
        <v>1</v>
      </c>
      <c r="AO32" s="1" t="n">
        <v>1</v>
      </c>
      <c r="AP32" s="1" t="n">
        <v>1</v>
      </c>
      <c r="AQ32" s="1" t="n">
        <v>1</v>
      </c>
      <c r="AR32" s="1" t="n">
        <v>1</v>
      </c>
      <c r="AS32" s="1" t="n">
        <v>1</v>
      </c>
      <c r="AT32" s="1" t="n">
        <v>1</v>
      </c>
      <c r="AU32" s="1" t="n">
        <v>1</v>
      </c>
      <c r="AV32" s="1" t="n">
        <v>1</v>
      </c>
      <c r="AW32" s="1" t="n">
        <v>1</v>
      </c>
      <c r="AX32" s="1" t="n">
        <f aca="false">B32</f>
        <v>5.21531165425141</v>
      </c>
      <c r="AY32" s="1" t="n">
        <f aca="false">B32</f>
        <v>5.21531165425141</v>
      </c>
      <c r="AZ32" s="1" t="n">
        <f aca="false">B32</f>
        <v>5.21531165425141</v>
      </c>
      <c r="BA32" s="1" t="n">
        <v>1</v>
      </c>
      <c r="BB32" s="1" t="n">
        <v>1</v>
      </c>
      <c r="BC32" s="1" t="n">
        <f aca="false">B32</f>
        <v>5.21531165425141</v>
      </c>
      <c r="BD32" s="1" t="n">
        <f aca="false">B32</f>
        <v>5.21531165425141</v>
      </c>
      <c r="BE32" s="1" t="n">
        <v>1</v>
      </c>
      <c r="BF32" s="1" t="n">
        <v>1</v>
      </c>
      <c r="BG32" s="1" t="n">
        <f aca="false">B32</f>
        <v>5.21531165425141</v>
      </c>
      <c r="BH32" s="1" t="n">
        <f aca="false">B32</f>
        <v>5.21531165425141</v>
      </c>
      <c r="BI32" s="1" t="n">
        <f aca="false">B32</f>
        <v>5.21531165425141</v>
      </c>
      <c r="BJ32" s="1" t="n">
        <f aca="false">B32</f>
        <v>5.21531165425141</v>
      </c>
      <c r="BK32" s="1" t="n">
        <v>1</v>
      </c>
    </row>
    <row r="33" customFormat="false" ht="12.75" hidden="false" customHeight="false" outlineLevel="0" collapsed="false">
      <c r="A33" s="1" t="n">
        <f aca="false">A32-1</f>
        <v>1994</v>
      </c>
      <c r="B33" s="1" t="n">
        <f aca="false">im!H33/im!G33</f>
        <v>5.64124904912194</v>
      </c>
      <c r="C33" s="1" t="n">
        <f aca="false">B33</f>
        <v>5.64124904912194</v>
      </c>
      <c r="D33" s="1" t="n">
        <f aca="false">B33</f>
        <v>5.64124904912194</v>
      </c>
      <c r="E33" s="1" t="n">
        <f aca="false">B33</f>
        <v>5.64124904912194</v>
      </c>
      <c r="F33" s="1" t="n">
        <v>1</v>
      </c>
      <c r="G33" s="1" t="n">
        <v>1</v>
      </c>
      <c r="H33" s="1" t="n">
        <v>1</v>
      </c>
      <c r="I33" s="1" t="n">
        <v>1</v>
      </c>
      <c r="J33" s="1" t="n">
        <v>1</v>
      </c>
      <c r="K33" s="1" t="n">
        <v>1</v>
      </c>
      <c r="L33" s="1" t="n">
        <f aca="false">B33</f>
        <v>5.64124904912194</v>
      </c>
      <c r="M33" s="1" t="n">
        <f aca="false">B33</f>
        <v>5.64124904912194</v>
      </c>
      <c r="N33" s="1" t="n">
        <f aca="false">B33</f>
        <v>5.64124904912194</v>
      </c>
      <c r="O33" s="1" t="n">
        <f aca="false">B33</f>
        <v>5.64124904912194</v>
      </c>
      <c r="P33" s="1" t="n">
        <f aca="false">B33</f>
        <v>5.64124904912194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  <c r="W33" s="1" t="n">
        <v>1</v>
      </c>
      <c r="X33" s="1" t="n">
        <v>1</v>
      </c>
      <c r="Y33" s="1" t="n">
        <v>1</v>
      </c>
      <c r="Z33" s="1" t="n">
        <v>1</v>
      </c>
      <c r="AA33" s="1" t="n">
        <v>1</v>
      </c>
      <c r="AB33" s="1" t="n">
        <v>1</v>
      </c>
      <c r="AC33" s="1" t="n">
        <v>1</v>
      </c>
      <c r="AD33" s="1" t="n">
        <v>1</v>
      </c>
      <c r="AE33" s="1" t="n">
        <f aca="false">B33</f>
        <v>5.64124904912194</v>
      </c>
      <c r="AF33" s="1" t="n">
        <f aca="false">B33</f>
        <v>5.64124904912194</v>
      </c>
      <c r="AG33" s="1" t="n">
        <f aca="false">B33</f>
        <v>5.64124904912194</v>
      </c>
      <c r="AH33" s="1" t="n">
        <f aca="false">B33</f>
        <v>5.64124904912194</v>
      </c>
      <c r="AI33" s="1" t="n">
        <f aca="false">B33</f>
        <v>5.64124904912194</v>
      </c>
      <c r="AJ33" s="1" t="n">
        <f aca="false">B33</f>
        <v>5.64124904912194</v>
      </c>
      <c r="AK33" s="1" t="n">
        <f aca="false">B33</f>
        <v>5.64124904912194</v>
      </c>
      <c r="AL33" s="1" t="n">
        <f aca="false">B33</f>
        <v>5.64124904912194</v>
      </c>
      <c r="AM33" s="1" t="n">
        <f aca="false">B33</f>
        <v>5.64124904912194</v>
      </c>
      <c r="AN33" s="1" t="n">
        <v>1</v>
      </c>
      <c r="AO33" s="1" t="n">
        <v>1</v>
      </c>
      <c r="AP33" s="1" t="n">
        <v>1</v>
      </c>
      <c r="AQ33" s="1" t="n">
        <v>1</v>
      </c>
      <c r="AR33" s="1" t="n">
        <v>1</v>
      </c>
      <c r="AS33" s="1" t="n">
        <v>1</v>
      </c>
      <c r="AT33" s="1" t="n">
        <v>1</v>
      </c>
      <c r="AU33" s="1" t="n">
        <v>1</v>
      </c>
      <c r="AV33" s="1" t="n">
        <v>1</v>
      </c>
      <c r="AW33" s="1" t="n">
        <v>1</v>
      </c>
      <c r="AX33" s="1" t="n">
        <f aca="false">B33</f>
        <v>5.64124904912194</v>
      </c>
      <c r="AY33" s="1" t="n">
        <f aca="false">B33</f>
        <v>5.64124904912194</v>
      </c>
      <c r="AZ33" s="1" t="n">
        <f aca="false">B33</f>
        <v>5.64124904912194</v>
      </c>
      <c r="BA33" s="1" t="n">
        <v>1</v>
      </c>
      <c r="BB33" s="1" t="n">
        <v>1</v>
      </c>
      <c r="BC33" s="1" t="n">
        <f aca="false">B33</f>
        <v>5.64124904912194</v>
      </c>
      <c r="BD33" s="1" t="n">
        <f aca="false">B33</f>
        <v>5.64124904912194</v>
      </c>
      <c r="BE33" s="1" t="n">
        <v>1</v>
      </c>
      <c r="BF33" s="1" t="n">
        <v>1</v>
      </c>
      <c r="BG33" s="1" t="n">
        <f aca="false">B33</f>
        <v>5.64124904912194</v>
      </c>
      <c r="BH33" s="1" t="n">
        <f aca="false">B33</f>
        <v>5.64124904912194</v>
      </c>
      <c r="BI33" s="1" t="n">
        <f aca="false">B33</f>
        <v>5.64124904912194</v>
      </c>
      <c r="BJ33" s="1" t="n">
        <f aca="false">B33</f>
        <v>5.64124904912194</v>
      </c>
      <c r="BK33" s="1" t="n">
        <v>1</v>
      </c>
    </row>
    <row r="34" customFormat="false" ht="12.75" hidden="false" customHeight="false" outlineLevel="0" collapsed="false">
      <c r="A34" s="1" t="n">
        <f aca="false">A33-1</f>
        <v>1993</v>
      </c>
      <c r="B34" s="1" t="n">
        <f aca="false">im!H34/im!G34</f>
        <v>5.87261780971703</v>
      </c>
      <c r="C34" s="1" t="n">
        <f aca="false">B34</f>
        <v>5.87261780971703</v>
      </c>
      <c r="D34" s="1" t="n">
        <f aca="false">B34</f>
        <v>5.87261780971703</v>
      </c>
      <c r="E34" s="1" t="n">
        <f aca="false">B34</f>
        <v>5.87261780971703</v>
      </c>
      <c r="F34" s="1" t="n">
        <v>1</v>
      </c>
      <c r="G34" s="1" t="n">
        <v>1</v>
      </c>
      <c r="H34" s="1" t="n">
        <v>1</v>
      </c>
      <c r="I34" s="1" t="n">
        <v>1</v>
      </c>
      <c r="J34" s="1" t="n">
        <v>1</v>
      </c>
      <c r="K34" s="1" t="n">
        <v>1</v>
      </c>
      <c r="L34" s="1" t="n">
        <f aca="false">B34</f>
        <v>5.87261780971703</v>
      </c>
      <c r="M34" s="1" t="n">
        <f aca="false">B34</f>
        <v>5.87261780971703</v>
      </c>
      <c r="N34" s="1" t="n">
        <f aca="false">B34</f>
        <v>5.87261780971703</v>
      </c>
      <c r="O34" s="1" t="n">
        <f aca="false">B34</f>
        <v>5.87261780971703</v>
      </c>
      <c r="P34" s="1" t="n">
        <f aca="false">B34</f>
        <v>5.87261780971703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  <c r="W34" s="1" t="n">
        <v>1</v>
      </c>
      <c r="X34" s="1" t="n">
        <v>1</v>
      </c>
      <c r="Y34" s="1" t="n">
        <v>1</v>
      </c>
      <c r="Z34" s="1" t="n">
        <v>1</v>
      </c>
      <c r="AA34" s="1" t="n">
        <v>1</v>
      </c>
      <c r="AB34" s="1" t="n">
        <v>1</v>
      </c>
      <c r="AC34" s="1" t="n">
        <v>1</v>
      </c>
      <c r="AD34" s="1" t="n">
        <v>1</v>
      </c>
      <c r="AE34" s="1" t="n">
        <f aca="false">B34</f>
        <v>5.87261780971703</v>
      </c>
      <c r="AF34" s="1" t="n">
        <f aca="false">B34</f>
        <v>5.87261780971703</v>
      </c>
      <c r="AG34" s="1" t="n">
        <f aca="false">B34</f>
        <v>5.87261780971703</v>
      </c>
      <c r="AH34" s="1" t="n">
        <f aca="false">B34</f>
        <v>5.87261780971703</v>
      </c>
      <c r="AI34" s="1" t="n">
        <f aca="false">B34</f>
        <v>5.87261780971703</v>
      </c>
      <c r="AJ34" s="1" t="n">
        <f aca="false">B34</f>
        <v>5.87261780971703</v>
      </c>
      <c r="AK34" s="1" t="n">
        <f aca="false">B34</f>
        <v>5.87261780971703</v>
      </c>
      <c r="AL34" s="1" t="n">
        <f aca="false">B34</f>
        <v>5.87261780971703</v>
      </c>
      <c r="AM34" s="1" t="n">
        <f aca="false">B34</f>
        <v>5.87261780971703</v>
      </c>
      <c r="AN34" s="1" t="n">
        <v>1</v>
      </c>
      <c r="AO34" s="1" t="n">
        <v>1</v>
      </c>
      <c r="AP34" s="1" t="n">
        <v>1</v>
      </c>
      <c r="AQ34" s="1" t="n">
        <v>1</v>
      </c>
      <c r="AR34" s="1" t="n">
        <v>1</v>
      </c>
      <c r="AS34" s="1" t="n">
        <v>1</v>
      </c>
      <c r="AT34" s="1" t="n">
        <v>1</v>
      </c>
      <c r="AU34" s="1" t="n">
        <v>1</v>
      </c>
      <c r="AV34" s="1" t="n">
        <v>1</v>
      </c>
      <c r="AW34" s="1" t="n">
        <v>1</v>
      </c>
      <c r="AX34" s="1" t="n">
        <f aca="false">B34</f>
        <v>5.87261780971703</v>
      </c>
      <c r="AY34" s="1" t="n">
        <f aca="false">B34</f>
        <v>5.87261780971703</v>
      </c>
      <c r="AZ34" s="1" t="n">
        <f aca="false">B34</f>
        <v>5.87261780971703</v>
      </c>
      <c r="BA34" s="1" t="n">
        <v>1</v>
      </c>
      <c r="BB34" s="1" t="n">
        <v>1</v>
      </c>
      <c r="BC34" s="1" t="n">
        <f aca="false">B34</f>
        <v>5.87261780971703</v>
      </c>
      <c r="BD34" s="1" t="n">
        <f aca="false">B34</f>
        <v>5.87261780971703</v>
      </c>
      <c r="BE34" s="1" t="n">
        <v>1</v>
      </c>
      <c r="BF34" s="1" t="n">
        <v>1</v>
      </c>
      <c r="BG34" s="1" t="n">
        <f aca="false">B34</f>
        <v>5.87261780971703</v>
      </c>
      <c r="BH34" s="1" t="n">
        <f aca="false">B34</f>
        <v>5.87261780971703</v>
      </c>
      <c r="BI34" s="1" t="n">
        <f aca="false">B34</f>
        <v>5.87261780971703</v>
      </c>
      <c r="BJ34" s="1" t="n">
        <f aca="false">B34</f>
        <v>5.87261780971703</v>
      </c>
      <c r="BK34" s="1" t="n">
        <v>1</v>
      </c>
    </row>
    <row r="35" customFormat="false" ht="12.75" hidden="false" customHeight="false" outlineLevel="0" collapsed="false">
      <c r="A35" s="1" t="n">
        <f aca="false">A34-1</f>
        <v>1992</v>
      </c>
      <c r="B35" s="1" t="n">
        <f aca="false">im!H35/im!G35</f>
        <v>5.49986888083871</v>
      </c>
      <c r="C35" s="1" t="n">
        <f aca="false">B35</f>
        <v>5.49986888083871</v>
      </c>
      <c r="D35" s="1" t="n">
        <f aca="false">B35</f>
        <v>5.49986888083871</v>
      </c>
      <c r="E35" s="1" t="n">
        <f aca="false">B35</f>
        <v>5.49986888083871</v>
      </c>
      <c r="F35" s="1" t="n">
        <v>1</v>
      </c>
      <c r="G35" s="1" t="n">
        <v>1</v>
      </c>
      <c r="H35" s="1" t="n">
        <v>1</v>
      </c>
      <c r="I35" s="1" t="n">
        <v>1</v>
      </c>
      <c r="J35" s="1" t="n">
        <v>1</v>
      </c>
      <c r="K35" s="1" t="n">
        <v>1</v>
      </c>
      <c r="L35" s="1" t="n">
        <f aca="false">B35</f>
        <v>5.49986888083871</v>
      </c>
      <c r="M35" s="1" t="n">
        <f aca="false">B35</f>
        <v>5.49986888083871</v>
      </c>
      <c r="N35" s="1" t="n">
        <f aca="false">B35</f>
        <v>5.49986888083871</v>
      </c>
      <c r="O35" s="1" t="n">
        <f aca="false">B35</f>
        <v>5.49986888083871</v>
      </c>
      <c r="P35" s="1" t="n">
        <f aca="false">B35</f>
        <v>5.49986888083871</v>
      </c>
      <c r="Q35" s="1" t="n">
        <v>1</v>
      </c>
      <c r="R35" s="1" t="n">
        <v>1</v>
      </c>
      <c r="S35" s="1" t="n">
        <v>1</v>
      </c>
      <c r="T35" s="1" t="n">
        <v>1</v>
      </c>
      <c r="U35" s="1" t="n">
        <v>1</v>
      </c>
      <c r="V35" s="1" t="n">
        <v>1</v>
      </c>
      <c r="W35" s="1" t="n">
        <v>1</v>
      </c>
      <c r="X35" s="1" t="n">
        <v>1</v>
      </c>
      <c r="Y35" s="1" t="n">
        <v>1</v>
      </c>
      <c r="Z35" s="1" t="n">
        <v>1</v>
      </c>
      <c r="AA35" s="1" t="n">
        <v>1</v>
      </c>
      <c r="AB35" s="1" t="n">
        <v>1</v>
      </c>
      <c r="AC35" s="1" t="n">
        <v>1</v>
      </c>
      <c r="AD35" s="1" t="n">
        <v>1</v>
      </c>
      <c r="AE35" s="1" t="n">
        <f aca="false">B35</f>
        <v>5.49986888083871</v>
      </c>
      <c r="AF35" s="1" t="n">
        <f aca="false">B35</f>
        <v>5.49986888083871</v>
      </c>
      <c r="AG35" s="1" t="n">
        <f aca="false">B35</f>
        <v>5.49986888083871</v>
      </c>
      <c r="AH35" s="1" t="n">
        <f aca="false">B35</f>
        <v>5.49986888083871</v>
      </c>
      <c r="AI35" s="1" t="n">
        <f aca="false">B35</f>
        <v>5.49986888083871</v>
      </c>
      <c r="AJ35" s="1" t="n">
        <f aca="false">B35</f>
        <v>5.49986888083871</v>
      </c>
      <c r="AK35" s="1" t="n">
        <f aca="false">B35</f>
        <v>5.49986888083871</v>
      </c>
      <c r="AL35" s="1" t="n">
        <f aca="false">B35</f>
        <v>5.49986888083871</v>
      </c>
      <c r="AM35" s="1" t="n">
        <f aca="false">B35</f>
        <v>5.49986888083871</v>
      </c>
      <c r="AN35" s="1" t="n">
        <v>1</v>
      </c>
      <c r="AO35" s="1" t="n">
        <v>1</v>
      </c>
      <c r="AP35" s="1" t="n">
        <v>1</v>
      </c>
      <c r="AQ35" s="1" t="n">
        <v>1</v>
      </c>
      <c r="AR35" s="1" t="n">
        <v>1</v>
      </c>
      <c r="AS35" s="1" t="n">
        <v>1</v>
      </c>
      <c r="AT35" s="1" t="n">
        <v>1</v>
      </c>
      <c r="AU35" s="1" t="n">
        <v>1</v>
      </c>
      <c r="AV35" s="1" t="n">
        <v>1</v>
      </c>
      <c r="AW35" s="1" t="n">
        <v>1</v>
      </c>
      <c r="AX35" s="1" t="n">
        <f aca="false">B35</f>
        <v>5.49986888083871</v>
      </c>
      <c r="AY35" s="1" t="n">
        <f aca="false">B35</f>
        <v>5.49986888083871</v>
      </c>
      <c r="AZ35" s="1" t="n">
        <f aca="false">B35</f>
        <v>5.49986888083871</v>
      </c>
      <c r="BA35" s="1" t="n">
        <v>1</v>
      </c>
      <c r="BB35" s="1" t="n">
        <v>1</v>
      </c>
      <c r="BC35" s="1" t="n">
        <f aca="false">B35</f>
        <v>5.49986888083871</v>
      </c>
      <c r="BD35" s="1" t="n">
        <f aca="false">B35</f>
        <v>5.49986888083871</v>
      </c>
      <c r="BE35" s="1" t="n">
        <v>1</v>
      </c>
      <c r="BF35" s="1" t="n">
        <v>1</v>
      </c>
      <c r="BG35" s="1" t="n">
        <f aca="false">B35</f>
        <v>5.49986888083871</v>
      </c>
      <c r="BH35" s="1" t="n">
        <f aca="false">B35</f>
        <v>5.49986888083871</v>
      </c>
      <c r="BI35" s="1" t="n">
        <f aca="false">B35</f>
        <v>5.49986888083871</v>
      </c>
      <c r="BJ35" s="1" t="n">
        <f aca="false">B35</f>
        <v>5.49986888083871</v>
      </c>
      <c r="BK35" s="1" t="n">
        <v>1</v>
      </c>
    </row>
    <row r="36" customFormat="false" ht="12.75" hidden="false" customHeight="false" outlineLevel="0" collapsed="false">
      <c r="A36" s="1" t="n">
        <f aca="false">A35-1</f>
        <v>1991</v>
      </c>
      <c r="B36" s="1" t="n">
        <f aca="false">im!H36/im!G36</f>
        <v>5.58704721354732</v>
      </c>
      <c r="C36" s="1" t="n">
        <f aca="false">B36</f>
        <v>5.58704721354732</v>
      </c>
      <c r="D36" s="1" t="n">
        <f aca="false">B36</f>
        <v>5.58704721354732</v>
      </c>
      <c r="E36" s="1" t="n">
        <f aca="false">B36</f>
        <v>5.58704721354732</v>
      </c>
      <c r="F36" s="1" t="n">
        <v>1</v>
      </c>
      <c r="G36" s="1" t="n">
        <v>1</v>
      </c>
      <c r="H36" s="1" t="n">
        <v>1</v>
      </c>
      <c r="I36" s="1" t="n">
        <v>1</v>
      </c>
      <c r="J36" s="1" t="n">
        <v>1</v>
      </c>
      <c r="K36" s="1" t="n">
        <v>1</v>
      </c>
      <c r="L36" s="1" t="n">
        <f aca="false">B36</f>
        <v>5.58704721354732</v>
      </c>
      <c r="M36" s="1" t="n">
        <f aca="false">B36</f>
        <v>5.58704721354732</v>
      </c>
      <c r="N36" s="1" t="n">
        <f aca="false">B36</f>
        <v>5.58704721354732</v>
      </c>
      <c r="O36" s="1" t="n">
        <f aca="false">B36</f>
        <v>5.58704721354732</v>
      </c>
      <c r="P36" s="1" t="n">
        <f aca="false">B36</f>
        <v>5.58704721354732</v>
      </c>
      <c r="Q36" s="1" t="n">
        <v>1</v>
      </c>
      <c r="R36" s="1" t="n">
        <v>1</v>
      </c>
      <c r="S36" s="1" t="n">
        <v>1</v>
      </c>
      <c r="T36" s="1" t="n">
        <v>1</v>
      </c>
      <c r="U36" s="1" t="n">
        <v>1</v>
      </c>
      <c r="V36" s="1" t="n">
        <v>1</v>
      </c>
      <c r="W36" s="1" t="n">
        <v>1</v>
      </c>
      <c r="X36" s="1" t="n">
        <v>1</v>
      </c>
      <c r="Y36" s="1" t="n">
        <v>1</v>
      </c>
      <c r="Z36" s="1" t="n">
        <v>1</v>
      </c>
      <c r="AA36" s="1" t="n">
        <v>1</v>
      </c>
      <c r="AB36" s="1" t="n">
        <v>1</v>
      </c>
      <c r="AC36" s="1" t="n">
        <v>1</v>
      </c>
      <c r="AD36" s="1" t="n">
        <v>1</v>
      </c>
      <c r="AE36" s="1" t="n">
        <f aca="false">B36</f>
        <v>5.58704721354732</v>
      </c>
      <c r="AF36" s="1" t="n">
        <f aca="false">B36</f>
        <v>5.58704721354732</v>
      </c>
      <c r="AG36" s="1" t="n">
        <f aca="false">B36</f>
        <v>5.58704721354732</v>
      </c>
      <c r="AH36" s="1" t="n">
        <f aca="false">B36</f>
        <v>5.58704721354732</v>
      </c>
      <c r="AI36" s="1" t="n">
        <f aca="false">B36</f>
        <v>5.58704721354732</v>
      </c>
      <c r="AJ36" s="1" t="n">
        <f aca="false">B36</f>
        <v>5.58704721354732</v>
      </c>
      <c r="AK36" s="1" t="n">
        <f aca="false">B36</f>
        <v>5.58704721354732</v>
      </c>
      <c r="AL36" s="1" t="n">
        <f aca="false">B36</f>
        <v>5.58704721354732</v>
      </c>
      <c r="AM36" s="1" t="n">
        <f aca="false">B36</f>
        <v>5.58704721354732</v>
      </c>
      <c r="AN36" s="1" t="n">
        <v>1</v>
      </c>
      <c r="AO36" s="1" t="n">
        <v>1</v>
      </c>
      <c r="AP36" s="1" t="n">
        <v>1</v>
      </c>
      <c r="AQ36" s="1" t="n">
        <v>1</v>
      </c>
      <c r="AR36" s="1" t="n">
        <v>1</v>
      </c>
      <c r="AS36" s="1" t="n">
        <v>1</v>
      </c>
      <c r="AT36" s="1" t="n">
        <v>1</v>
      </c>
      <c r="AU36" s="1" t="n">
        <v>1</v>
      </c>
      <c r="AV36" s="1" t="n">
        <v>1</v>
      </c>
      <c r="AW36" s="1" t="n">
        <v>1</v>
      </c>
      <c r="AX36" s="1" t="n">
        <f aca="false">B36</f>
        <v>5.58704721354732</v>
      </c>
      <c r="AY36" s="1" t="n">
        <f aca="false">B36</f>
        <v>5.58704721354732</v>
      </c>
      <c r="AZ36" s="1" t="n">
        <f aca="false">B36</f>
        <v>5.58704721354732</v>
      </c>
      <c r="BA36" s="1" t="n">
        <v>1</v>
      </c>
      <c r="BB36" s="1" t="n">
        <v>1</v>
      </c>
      <c r="BC36" s="1" t="n">
        <f aca="false">B36</f>
        <v>5.58704721354732</v>
      </c>
      <c r="BD36" s="1" t="n">
        <f aca="false">B36</f>
        <v>5.58704721354732</v>
      </c>
      <c r="BE36" s="1" t="n">
        <v>1</v>
      </c>
      <c r="BF36" s="1" t="n">
        <v>1</v>
      </c>
      <c r="BG36" s="1" t="n">
        <f aca="false">B36</f>
        <v>5.58704721354732</v>
      </c>
      <c r="BH36" s="1" t="n">
        <f aca="false">B36</f>
        <v>5.58704721354732</v>
      </c>
      <c r="BI36" s="1" t="n">
        <f aca="false">B36</f>
        <v>5.58704721354732</v>
      </c>
      <c r="BJ36" s="1" t="n">
        <f aca="false">B36</f>
        <v>5.58704721354732</v>
      </c>
      <c r="BK36" s="1" t="n">
        <v>1</v>
      </c>
    </row>
    <row r="37" customFormat="false" ht="12.75" hidden="false" customHeight="false" outlineLevel="0" collapsed="false">
      <c r="A37" s="1" t="n">
        <f aca="false">A36-1</f>
        <v>1990</v>
      </c>
      <c r="B37" s="1" t="n">
        <f aca="false">im!H37/im!G37</f>
        <v>5.26443490602356</v>
      </c>
      <c r="C37" s="1" t="n">
        <f aca="false">B37</f>
        <v>5.26443490602356</v>
      </c>
      <c r="D37" s="1" t="n">
        <f aca="false">B37</f>
        <v>5.26443490602356</v>
      </c>
      <c r="E37" s="1" t="n">
        <f aca="false">B37</f>
        <v>5.26443490602356</v>
      </c>
      <c r="F37" s="1" t="n">
        <v>1</v>
      </c>
      <c r="G37" s="1" t="n">
        <v>1</v>
      </c>
      <c r="H37" s="1" t="n">
        <v>1</v>
      </c>
      <c r="I37" s="1" t="n">
        <v>1</v>
      </c>
      <c r="J37" s="1" t="n">
        <v>1</v>
      </c>
      <c r="K37" s="1" t="n">
        <v>1</v>
      </c>
      <c r="L37" s="1" t="n">
        <f aca="false">B37</f>
        <v>5.26443490602356</v>
      </c>
      <c r="M37" s="1" t="n">
        <f aca="false">B37</f>
        <v>5.26443490602356</v>
      </c>
      <c r="N37" s="1" t="n">
        <f aca="false">B37</f>
        <v>5.26443490602356</v>
      </c>
      <c r="O37" s="1" t="n">
        <f aca="false">B37</f>
        <v>5.26443490602356</v>
      </c>
      <c r="P37" s="1" t="n">
        <f aca="false">B37</f>
        <v>5.26443490602356</v>
      </c>
      <c r="Q37" s="1" t="n">
        <v>1</v>
      </c>
      <c r="R37" s="1" t="n">
        <v>1</v>
      </c>
      <c r="S37" s="1" t="n">
        <v>1</v>
      </c>
      <c r="T37" s="1" t="n">
        <v>1</v>
      </c>
      <c r="U37" s="1" t="n">
        <v>1</v>
      </c>
      <c r="V37" s="1" t="n">
        <v>1</v>
      </c>
      <c r="W37" s="1" t="n">
        <v>1</v>
      </c>
      <c r="X37" s="1" t="n">
        <v>1</v>
      </c>
      <c r="Y37" s="1" t="n">
        <v>1</v>
      </c>
      <c r="Z37" s="1" t="n">
        <v>1</v>
      </c>
      <c r="AA37" s="1" t="n">
        <v>1</v>
      </c>
      <c r="AB37" s="1" t="n">
        <v>1</v>
      </c>
      <c r="AC37" s="1" t="n">
        <v>1</v>
      </c>
      <c r="AD37" s="1" t="n">
        <v>1</v>
      </c>
      <c r="AE37" s="1" t="n">
        <f aca="false">B37</f>
        <v>5.26443490602356</v>
      </c>
      <c r="AF37" s="1" t="n">
        <f aca="false">B37</f>
        <v>5.26443490602356</v>
      </c>
      <c r="AG37" s="1" t="n">
        <f aca="false">B37</f>
        <v>5.26443490602356</v>
      </c>
      <c r="AH37" s="1" t="n">
        <f aca="false">B37</f>
        <v>5.26443490602356</v>
      </c>
      <c r="AI37" s="1" t="n">
        <f aca="false">B37</f>
        <v>5.26443490602356</v>
      </c>
      <c r="AJ37" s="1" t="n">
        <f aca="false">B37</f>
        <v>5.26443490602356</v>
      </c>
      <c r="AK37" s="1" t="n">
        <f aca="false">B37</f>
        <v>5.26443490602356</v>
      </c>
      <c r="AL37" s="1" t="n">
        <f aca="false">B37</f>
        <v>5.26443490602356</v>
      </c>
      <c r="AM37" s="1" t="n">
        <f aca="false">B37</f>
        <v>5.26443490602356</v>
      </c>
      <c r="AN37" s="1" t="n">
        <v>1</v>
      </c>
      <c r="AO37" s="1" t="n">
        <v>1</v>
      </c>
      <c r="AP37" s="1" t="n">
        <v>1</v>
      </c>
      <c r="AQ37" s="1" t="n">
        <v>1</v>
      </c>
      <c r="AR37" s="1" t="n">
        <v>1</v>
      </c>
      <c r="AS37" s="1" t="n">
        <v>1</v>
      </c>
      <c r="AT37" s="1" t="n">
        <v>1</v>
      </c>
      <c r="AU37" s="1" t="n">
        <v>1</v>
      </c>
      <c r="AV37" s="1" t="n">
        <v>1</v>
      </c>
      <c r="AW37" s="1" t="n">
        <v>1</v>
      </c>
      <c r="AX37" s="1" t="n">
        <f aca="false">B37</f>
        <v>5.26443490602356</v>
      </c>
      <c r="AY37" s="1" t="n">
        <f aca="false">B37</f>
        <v>5.26443490602356</v>
      </c>
      <c r="AZ37" s="1" t="n">
        <f aca="false">B37</f>
        <v>5.26443490602356</v>
      </c>
      <c r="BA37" s="1" t="n">
        <v>1</v>
      </c>
      <c r="BB37" s="1" t="n">
        <v>1</v>
      </c>
      <c r="BC37" s="1" t="n">
        <f aca="false">B37</f>
        <v>5.26443490602356</v>
      </c>
      <c r="BD37" s="1" t="n">
        <f aca="false">B37</f>
        <v>5.26443490602356</v>
      </c>
      <c r="BE37" s="1" t="n">
        <v>1</v>
      </c>
      <c r="BF37" s="1" t="n">
        <v>1</v>
      </c>
      <c r="BG37" s="1" t="n">
        <f aca="false">B37</f>
        <v>5.26443490602356</v>
      </c>
      <c r="BH37" s="1" t="n">
        <f aca="false">B37</f>
        <v>5.26443490602356</v>
      </c>
      <c r="BI37" s="1" t="n">
        <f aca="false">B37</f>
        <v>5.26443490602356</v>
      </c>
      <c r="BJ37" s="1" t="n">
        <f aca="false">B37</f>
        <v>5.26443490602356</v>
      </c>
      <c r="BK37" s="1" t="n">
        <v>1</v>
      </c>
    </row>
    <row r="38" customFormat="false" ht="12.75" hidden="false" customHeight="false" outlineLevel="0" collapsed="false">
      <c r="A38" s="1" t="n">
        <f aca="false">A37-1</f>
        <v>1989</v>
      </c>
      <c r="B38" s="1" t="n">
        <f aca="false">im!H38/im!G38</f>
        <v>5.28165928192906</v>
      </c>
      <c r="C38" s="1" t="n">
        <f aca="false">B38</f>
        <v>5.28165928192906</v>
      </c>
      <c r="D38" s="1" t="n">
        <f aca="false">B38</f>
        <v>5.28165928192906</v>
      </c>
      <c r="E38" s="1" t="n">
        <f aca="false">B38</f>
        <v>5.28165928192906</v>
      </c>
      <c r="F38" s="1" t="n">
        <v>1</v>
      </c>
      <c r="G38" s="1" t="n">
        <v>1</v>
      </c>
      <c r="H38" s="1" t="n">
        <v>1</v>
      </c>
      <c r="I38" s="1" t="n">
        <v>1</v>
      </c>
      <c r="J38" s="1" t="n">
        <v>1</v>
      </c>
      <c r="K38" s="1" t="n">
        <v>1</v>
      </c>
      <c r="L38" s="1" t="n">
        <f aca="false">B38</f>
        <v>5.28165928192906</v>
      </c>
      <c r="M38" s="1" t="n">
        <f aca="false">B38</f>
        <v>5.28165928192906</v>
      </c>
      <c r="N38" s="1" t="n">
        <f aca="false">B38</f>
        <v>5.28165928192906</v>
      </c>
      <c r="O38" s="1" t="n">
        <f aca="false">B38</f>
        <v>5.28165928192906</v>
      </c>
      <c r="P38" s="1" t="n">
        <f aca="false">B38</f>
        <v>5.28165928192906</v>
      </c>
      <c r="Q38" s="1" t="n">
        <v>1</v>
      </c>
      <c r="R38" s="1" t="n">
        <v>1</v>
      </c>
      <c r="S38" s="1" t="n">
        <v>1</v>
      </c>
      <c r="T38" s="1" t="n">
        <v>1</v>
      </c>
      <c r="U38" s="1" t="n">
        <v>1</v>
      </c>
      <c r="V38" s="1" t="n">
        <v>1</v>
      </c>
      <c r="W38" s="1" t="n">
        <v>1</v>
      </c>
      <c r="X38" s="1" t="n">
        <v>1</v>
      </c>
      <c r="Y38" s="1" t="n">
        <v>1</v>
      </c>
      <c r="Z38" s="1" t="n">
        <v>1</v>
      </c>
      <c r="AA38" s="1" t="n">
        <v>1</v>
      </c>
      <c r="AB38" s="1" t="n">
        <v>1</v>
      </c>
      <c r="AC38" s="1" t="n">
        <v>1</v>
      </c>
      <c r="AD38" s="1" t="n">
        <v>1</v>
      </c>
      <c r="AE38" s="1" t="n">
        <f aca="false">B38</f>
        <v>5.28165928192906</v>
      </c>
      <c r="AF38" s="1" t="n">
        <f aca="false">B38</f>
        <v>5.28165928192906</v>
      </c>
      <c r="AG38" s="1" t="n">
        <f aca="false">B38</f>
        <v>5.28165928192906</v>
      </c>
      <c r="AH38" s="1" t="n">
        <f aca="false">B38</f>
        <v>5.28165928192906</v>
      </c>
      <c r="AI38" s="1" t="n">
        <f aca="false">B38</f>
        <v>5.28165928192906</v>
      </c>
      <c r="AJ38" s="1" t="n">
        <f aca="false">B38</f>
        <v>5.28165928192906</v>
      </c>
      <c r="AK38" s="1" t="n">
        <f aca="false">B38</f>
        <v>5.28165928192906</v>
      </c>
      <c r="AL38" s="1" t="n">
        <f aca="false">B38</f>
        <v>5.28165928192906</v>
      </c>
      <c r="AM38" s="1" t="n">
        <f aca="false">B38</f>
        <v>5.28165928192906</v>
      </c>
      <c r="AN38" s="1" t="n">
        <v>1</v>
      </c>
      <c r="AO38" s="1" t="n">
        <v>1</v>
      </c>
      <c r="AP38" s="1" t="n">
        <v>1</v>
      </c>
      <c r="AQ38" s="1" t="n">
        <v>1</v>
      </c>
      <c r="AR38" s="1" t="n">
        <v>1</v>
      </c>
      <c r="AS38" s="1" t="n">
        <v>1</v>
      </c>
      <c r="AT38" s="1" t="n">
        <v>1</v>
      </c>
      <c r="AU38" s="1" t="n">
        <v>1</v>
      </c>
      <c r="AV38" s="1" t="n">
        <v>1</v>
      </c>
      <c r="AW38" s="1" t="n">
        <v>1</v>
      </c>
      <c r="AX38" s="1" t="n">
        <f aca="false">B38</f>
        <v>5.28165928192906</v>
      </c>
      <c r="AY38" s="1" t="n">
        <f aca="false">B38</f>
        <v>5.28165928192906</v>
      </c>
      <c r="AZ38" s="1" t="n">
        <f aca="false">B38</f>
        <v>5.28165928192906</v>
      </c>
      <c r="BA38" s="1" t="n">
        <v>1</v>
      </c>
      <c r="BB38" s="1" t="n">
        <v>1</v>
      </c>
      <c r="BC38" s="1" t="n">
        <f aca="false">B38</f>
        <v>5.28165928192906</v>
      </c>
      <c r="BD38" s="1" t="n">
        <f aca="false">B38</f>
        <v>5.28165928192906</v>
      </c>
      <c r="BE38" s="1" t="n">
        <v>1</v>
      </c>
      <c r="BF38" s="1" t="n">
        <v>1</v>
      </c>
      <c r="BG38" s="1" t="n">
        <f aca="false">B38</f>
        <v>5.28165928192906</v>
      </c>
      <c r="BH38" s="1" t="n">
        <f aca="false">B38</f>
        <v>5.28165928192906</v>
      </c>
      <c r="BI38" s="1" t="n">
        <f aca="false">B38</f>
        <v>5.28165928192906</v>
      </c>
      <c r="BJ38" s="1" t="n">
        <f aca="false">B38</f>
        <v>5.28165928192906</v>
      </c>
      <c r="BK38" s="1" t="n">
        <v>1</v>
      </c>
    </row>
    <row r="39" customFormat="false" ht="12.75" hidden="false" customHeight="false" outlineLevel="0" collapsed="false">
      <c r="A39" s="1" t="n">
        <f aca="false">A38-1</f>
        <v>1988</v>
      </c>
      <c r="B39" s="1" t="n">
        <f aca="false">im!H39/im!G39</f>
        <v>4.90179993016571</v>
      </c>
      <c r="C39" s="1" t="n">
        <f aca="false">B39</f>
        <v>4.90179993016571</v>
      </c>
      <c r="D39" s="1" t="n">
        <f aca="false">B39</f>
        <v>4.90179993016571</v>
      </c>
      <c r="E39" s="1" t="n">
        <f aca="false">B39</f>
        <v>4.90179993016571</v>
      </c>
      <c r="F39" s="1" t="n">
        <v>1</v>
      </c>
      <c r="G39" s="1" t="n">
        <v>1</v>
      </c>
      <c r="H39" s="1" t="n">
        <v>1</v>
      </c>
      <c r="I39" s="1" t="n">
        <v>1</v>
      </c>
      <c r="J39" s="1" t="n">
        <v>1</v>
      </c>
      <c r="K39" s="1" t="n">
        <v>1</v>
      </c>
      <c r="L39" s="1" t="n">
        <f aca="false">B39</f>
        <v>4.90179993016571</v>
      </c>
      <c r="M39" s="1" t="n">
        <f aca="false">B39</f>
        <v>4.90179993016571</v>
      </c>
      <c r="N39" s="1" t="n">
        <f aca="false">B39</f>
        <v>4.90179993016571</v>
      </c>
      <c r="O39" s="1" t="n">
        <f aca="false">B39</f>
        <v>4.90179993016571</v>
      </c>
      <c r="P39" s="1" t="n">
        <f aca="false">B39</f>
        <v>4.90179993016571</v>
      </c>
      <c r="Q39" s="1" t="n">
        <v>1</v>
      </c>
      <c r="R39" s="1" t="n">
        <v>1</v>
      </c>
      <c r="S39" s="1" t="n">
        <v>1</v>
      </c>
      <c r="T39" s="1" t="n">
        <v>1</v>
      </c>
      <c r="U39" s="1" t="n">
        <v>1</v>
      </c>
      <c r="V39" s="1" t="n">
        <v>1</v>
      </c>
      <c r="W39" s="1" t="n">
        <v>1</v>
      </c>
      <c r="X39" s="1" t="n">
        <v>1</v>
      </c>
      <c r="Y39" s="1" t="n">
        <v>1</v>
      </c>
      <c r="Z39" s="1" t="n">
        <v>1</v>
      </c>
      <c r="AA39" s="1" t="n">
        <v>1</v>
      </c>
      <c r="AB39" s="1" t="n">
        <v>1</v>
      </c>
      <c r="AC39" s="1" t="n">
        <v>1</v>
      </c>
      <c r="AD39" s="1" t="n">
        <v>1</v>
      </c>
      <c r="AE39" s="1" t="n">
        <f aca="false">B39</f>
        <v>4.90179993016571</v>
      </c>
      <c r="AF39" s="1" t="n">
        <f aca="false">B39</f>
        <v>4.90179993016571</v>
      </c>
      <c r="AG39" s="1" t="n">
        <f aca="false">B39</f>
        <v>4.90179993016571</v>
      </c>
      <c r="AH39" s="1" t="n">
        <f aca="false">B39</f>
        <v>4.90179993016571</v>
      </c>
      <c r="AI39" s="1" t="n">
        <f aca="false">B39</f>
        <v>4.90179993016571</v>
      </c>
      <c r="AJ39" s="1" t="n">
        <f aca="false">B39</f>
        <v>4.90179993016571</v>
      </c>
      <c r="AK39" s="1" t="n">
        <f aca="false">B39</f>
        <v>4.90179993016571</v>
      </c>
      <c r="AL39" s="1" t="n">
        <f aca="false">B39</f>
        <v>4.90179993016571</v>
      </c>
      <c r="AM39" s="1" t="n">
        <f aca="false">B39</f>
        <v>4.90179993016571</v>
      </c>
      <c r="AN39" s="1" t="n">
        <v>1</v>
      </c>
      <c r="AO39" s="1" t="n">
        <v>1</v>
      </c>
      <c r="AP39" s="1" t="n">
        <v>1</v>
      </c>
      <c r="AQ39" s="1" t="n">
        <v>1</v>
      </c>
      <c r="AR39" s="1" t="n">
        <v>1</v>
      </c>
      <c r="AS39" s="1" t="n">
        <v>1</v>
      </c>
      <c r="AT39" s="1" t="n">
        <v>1</v>
      </c>
      <c r="AU39" s="1" t="n">
        <v>1</v>
      </c>
      <c r="AV39" s="1" t="n">
        <v>1</v>
      </c>
      <c r="AW39" s="1" t="n">
        <v>1</v>
      </c>
      <c r="AX39" s="1" t="n">
        <f aca="false">B39</f>
        <v>4.90179993016571</v>
      </c>
      <c r="AY39" s="1" t="n">
        <f aca="false">B39</f>
        <v>4.90179993016571</v>
      </c>
      <c r="AZ39" s="1" t="n">
        <f aca="false">B39</f>
        <v>4.90179993016571</v>
      </c>
      <c r="BA39" s="1" t="n">
        <v>1</v>
      </c>
      <c r="BB39" s="1" t="n">
        <v>1</v>
      </c>
      <c r="BC39" s="1" t="n">
        <f aca="false">B39</f>
        <v>4.90179993016571</v>
      </c>
      <c r="BD39" s="1" t="n">
        <f aca="false">B39</f>
        <v>4.90179993016571</v>
      </c>
      <c r="BE39" s="1" t="n">
        <v>1</v>
      </c>
      <c r="BF39" s="1" t="n">
        <v>1</v>
      </c>
      <c r="BG39" s="1" t="n">
        <f aca="false">B39</f>
        <v>4.90179993016571</v>
      </c>
      <c r="BH39" s="1" t="n">
        <f aca="false">B39</f>
        <v>4.90179993016571</v>
      </c>
      <c r="BI39" s="1" t="n">
        <f aca="false">B39</f>
        <v>4.90179993016571</v>
      </c>
      <c r="BJ39" s="1" t="n">
        <f aca="false">B39</f>
        <v>4.90179993016571</v>
      </c>
      <c r="BK39" s="1" t="n">
        <v>1</v>
      </c>
    </row>
    <row r="40" customFormat="false" ht="12.75" hidden="false" customHeight="false" outlineLevel="0" collapsed="false">
      <c r="A40" s="1" t="n">
        <f aca="false">A39-1</f>
        <v>1987</v>
      </c>
      <c r="B40" s="1" t="n">
        <f aca="false">im!H40/im!G40</f>
        <v>5.4530233268277</v>
      </c>
      <c r="C40" s="1" t="n">
        <f aca="false">B40</f>
        <v>5.4530233268277</v>
      </c>
      <c r="D40" s="1" t="n">
        <f aca="false">B40</f>
        <v>5.4530233268277</v>
      </c>
      <c r="E40" s="1" t="n">
        <f aca="false">B40</f>
        <v>5.4530233268277</v>
      </c>
      <c r="F40" s="1" t="n">
        <v>1</v>
      </c>
      <c r="G40" s="1" t="n">
        <v>1</v>
      </c>
      <c r="H40" s="1" t="n">
        <v>1</v>
      </c>
      <c r="I40" s="1" t="n">
        <v>1</v>
      </c>
      <c r="J40" s="1" t="n">
        <v>1</v>
      </c>
      <c r="K40" s="1" t="n">
        <v>1</v>
      </c>
      <c r="L40" s="1" t="n">
        <f aca="false">B40</f>
        <v>5.4530233268277</v>
      </c>
      <c r="M40" s="1" t="n">
        <f aca="false">B40</f>
        <v>5.4530233268277</v>
      </c>
      <c r="N40" s="1" t="n">
        <f aca="false">B40</f>
        <v>5.4530233268277</v>
      </c>
      <c r="O40" s="1" t="n">
        <f aca="false">B40</f>
        <v>5.4530233268277</v>
      </c>
      <c r="P40" s="1" t="n">
        <f aca="false">B40</f>
        <v>5.4530233268277</v>
      </c>
      <c r="Q40" s="1" t="n">
        <v>1</v>
      </c>
      <c r="R40" s="1" t="n">
        <v>1</v>
      </c>
      <c r="S40" s="1" t="n">
        <v>1</v>
      </c>
      <c r="T40" s="1" t="n">
        <v>1</v>
      </c>
      <c r="U40" s="1" t="n">
        <v>1</v>
      </c>
      <c r="V40" s="1" t="n">
        <v>1</v>
      </c>
      <c r="W40" s="1" t="n">
        <v>1</v>
      </c>
      <c r="X40" s="1" t="n">
        <v>1</v>
      </c>
      <c r="Y40" s="1" t="n">
        <v>1</v>
      </c>
      <c r="Z40" s="1" t="n">
        <v>1</v>
      </c>
      <c r="AA40" s="1" t="n">
        <v>1</v>
      </c>
      <c r="AB40" s="1" t="n">
        <v>1</v>
      </c>
      <c r="AC40" s="1" t="n">
        <v>1</v>
      </c>
      <c r="AD40" s="1" t="n">
        <v>1</v>
      </c>
      <c r="AE40" s="1" t="n">
        <f aca="false">B40</f>
        <v>5.4530233268277</v>
      </c>
      <c r="AF40" s="1" t="n">
        <f aca="false">B40</f>
        <v>5.4530233268277</v>
      </c>
      <c r="AG40" s="1" t="n">
        <f aca="false">B40</f>
        <v>5.4530233268277</v>
      </c>
      <c r="AH40" s="1" t="n">
        <f aca="false">B40</f>
        <v>5.4530233268277</v>
      </c>
      <c r="AI40" s="1" t="n">
        <f aca="false">B40</f>
        <v>5.4530233268277</v>
      </c>
      <c r="AJ40" s="1" t="n">
        <f aca="false">B40</f>
        <v>5.4530233268277</v>
      </c>
      <c r="AK40" s="1" t="n">
        <f aca="false">B40</f>
        <v>5.4530233268277</v>
      </c>
      <c r="AL40" s="1" t="n">
        <f aca="false">B40</f>
        <v>5.4530233268277</v>
      </c>
      <c r="AM40" s="1" t="n">
        <f aca="false">B40</f>
        <v>5.4530233268277</v>
      </c>
      <c r="AN40" s="1" t="n">
        <v>1</v>
      </c>
      <c r="AO40" s="1" t="n">
        <v>1</v>
      </c>
      <c r="AP40" s="1" t="n">
        <v>1</v>
      </c>
      <c r="AQ40" s="1" t="n">
        <v>1</v>
      </c>
      <c r="AR40" s="1" t="n">
        <v>1</v>
      </c>
      <c r="AS40" s="1" t="n">
        <v>1</v>
      </c>
      <c r="AT40" s="1" t="n">
        <v>1</v>
      </c>
      <c r="AU40" s="1" t="n">
        <v>1</v>
      </c>
      <c r="AV40" s="1" t="n">
        <v>1</v>
      </c>
      <c r="AW40" s="1" t="n">
        <v>1</v>
      </c>
      <c r="AX40" s="1" t="n">
        <f aca="false">B40</f>
        <v>5.4530233268277</v>
      </c>
      <c r="AY40" s="1" t="n">
        <f aca="false">B40</f>
        <v>5.4530233268277</v>
      </c>
      <c r="AZ40" s="1" t="n">
        <f aca="false">B40</f>
        <v>5.4530233268277</v>
      </c>
      <c r="BA40" s="1" t="n">
        <v>1</v>
      </c>
      <c r="BB40" s="1" t="n">
        <v>1</v>
      </c>
      <c r="BC40" s="1" t="n">
        <f aca="false">B40</f>
        <v>5.4530233268277</v>
      </c>
      <c r="BD40" s="1" t="n">
        <f aca="false">B40</f>
        <v>5.4530233268277</v>
      </c>
      <c r="BE40" s="1" t="n">
        <v>1</v>
      </c>
      <c r="BF40" s="1" t="n">
        <v>1</v>
      </c>
      <c r="BG40" s="1" t="n">
        <f aca="false">B40</f>
        <v>5.4530233268277</v>
      </c>
      <c r="BH40" s="1" t="n">
        <f aca="false">B40</f>
        <v>5.4530233268277</v>
      </c>
      <c r="BI40" s="1" t="n">
        <f aca="false">B40</f>
        <v>5.4530233268277</v>
      </c>
      <c r="BJ40" s="1" t="n">
        <f aca="false">B40</f>
        <v>5.4530233268277</v>
      </c>
      <c r="BK40" s="1" t="n">
        <v>1</v>
      </c>
    </row>
    <row r="41" customFormat="false" ht="12.75" hidden="false" customHeight="false" outlineLevel="0" collapsed="false">
      <c r="A41" s="1" t="n">
        <f aca="false">A40-1</f>
        <v>1986</v>
      </c>
      <c r="B41" s="1" t="n">
        <f aca="false">im!H41/im!G41</f>
        <v>5.67675134449923</v>
      </c>
      <c r="C41" s="1" t="n">
        <f aca="false">B41</f>
        <v>5.67675134449923</v>
      </c>
      <c r="D41" s="1" t="n">
        <f aca="false">B41</f>
        <v>5.67675134449923</v>
      </c>
      <c r="E41" s="1" t="n">
        <f aca="false">B41</f>
        <v>5.67675134449923</v>
      </c>
      <c r="F41" s="1" t="n">
        <v>1</v>
      </c>
      <c r="G41" s="1" t="n">
        <v>1</v>
      </c>
      <c r="H41" s="1" t="n">
        <v>1</v>
      </c>
      <c r="I41" s="1" t="n">
        <v>1</v>
      </c>
      <c r="J41" s="1" t="n">
        <v>1</v>
      </c>
      <c r="K41" s="1" t="n">
        <v>1</v>
      </c>
      <c r="L41" s="1" t="n">
        <f aca="false">B41</f>
        <v>5.67675134449923</v>
      </c>
      <c r="M41" s="1" t="n">
        <f aca="false">B41</f>
        <v>5.67675134449923</v>
      </c>
      <c r="N41" s="1" t="n">
        <f aca="false">B41</f>
        <v>5.67675134449923</v>
      </c>
      <c r="O41" s="1" t="n">
        <f aca="false">B41</f>
        <v>5.67675134449923</v>
      </c>
      <c r="P41" s="1" t="n">
        <f aca="false">B41</f>
        <v>5.67675134449923</v>
      </c>
      <c r="Q41" s="1" t="n">
        <v>1</v>
      </c>
      <c r="R41" s="1" t="n">
        <v>1</v>
      </c>
      <c r="S41" s="1" t="n">
        <v>1</v>
      </c>
      <c r="T41" s="1" t="n">
        <v>1</v>
      </c>
      <c r="U41" s="1" t="n">
        <v>1</v>
      </c>
      <c r="V41" s="1" t="n">
        <v>1</v>
      </c>
      <c r="W41" s="1" t="n">
        <v>1</v>
      </c>
      <c r="X41" s="1" t="n">
        <v>1</v>
      </c>
      <c r="Y41" s="1" t="n">
        <v>1</v>
      </c>
      <c r="Z41" s="1" t="n">
        <v>1</v>
      </c>
      <c r="AA41" s="1" t="n">
        <v>1</v>
      </c>
      <c r="AB41" s="1" t="n">
        <v>1</v>
      </c>
      <c r="AC41" s="1" t="n">
        <v>1</v>
      </c>
      <c r="AD41" s="1" t="n">
        <v>1</v>
      </c>
      <c r="AE41" s="1" t="n">
        <f aca="false">B41</f>
        <v>5.67675134449923</v>
      </c>
      <c r="AF41" s="1" t="n">
        <f aca="false">B41</f>
        <v>5.67675134449923</v>
      </c>
      <c r="AG41" s="1" t="n">
        <f aca="false">B41</f>
        <v>5.67675134449923</v>
      </c>
      <c r="AH41" s="1" t="n">
        <f aca="false">B41</f>
        <v>5.67675134449923</v>
      </c>
      <c r="AI41" s="1" t="n">
        <f aca="false">B41</f>
        <v>5.67675134449923</v>
      </c>
      <c r="AJ41" s="1" t="n">
        <f aca="false">B41</f>
        <v>5.67675134449923</v>
      </c>
      <c r="AK41" s="1" t="n">
        <f aca="false">B41</f>
        <v>5.67675134449923</v>
      </c>
      <c r="AL41" s="1" t="n">
        <f aca="false">B41</f>
        <v>5.67675134449923</v>
      </c>
      <c r="AM41" s="1" t="n">
        <f aca="false">B41</f>
        <v>5.67675134449923</v>
      </c>
      <c r="AN41" s="1" t="n">
        <v>1</v>
      </c>
      <c r="AO41" s="1" t="n">
        <v>1</v>
      </c>
      <c r="AP41" s="1" t="n">
        <v>1</v>
      </c>
      <c r="AQ41" s="1" t="n">
        <v>1</v>
      </c>
      <c r="AR41" s="1" t="n">
        <v>1</v>
      </c>
      <c r="AS41" s="1" t="n">
        <v>1</v>
      </c>
      <c r="AT41" s="1" t="n">
        <v>1</v>
      </c>
      <c r="AU41" s="1" t="n">
        <v>1</v>
      </c>
      <c r="AV41" s="1" t="n">
        <v>1</v>
      </c>
      <c r="AW41" s="1" t="n">
        <v>1</v>
      </c>
      <c r="AX41" s="1" t="n">
        <f aca="false">B41</f>
        <v>5.67675134449923</v>
      </c>
      <c r="AY41" s="1" t="n">
        <f aca="false">B41</f>
        <v>5.67675134449923</v>
      </c>
      <c r="AZ41" s="1" t="n">
        <f aca="false">B41</f>
        <v>5.67675134449923</v>
      </c>
      <c r="BA41" s="1" t="n">
        <v>1</v>
      </c>
      <c r="BB41" s="1" t="n">
        <v>1</v>
      </c>
      <c r="BC41" s="1" t="n">
        <f aca="false">B41</f>
        <v>5.67675134449923</v>
      </c>
      <c r="BD41" s="1" t="n">
        <f aca="false">B41</f>
        <v>5.67675134449923</v>
      </c>
      <c r="BE41" s="1" t="n">
        <v>1</v>
      </c>
      <c r="BF41" s="1" t="n">
        <v>1</v>
      </c>
      <c r="BG41" s="1" t="n">
        <f aca="false">B41</f>
        <v>5.67675134449923</v>
      </c>
      <c r="BH41" s="1" t="n">
        <f aca="false">B41</f>
        <v>5.67675134449923</v>
      </c>
      <c r="BI41" s="1" t="n">
        <f aca="false">B41</f>
        <v>5.67675134449923</v>
      </c>
      <c r="BJ41" s="1" t="n">
        <f aca="false">B41</f>
        <v>5.67675134449923</v>
      </c>
      <c r="BK41" s="1" t="n">
        <v>1</v>
      </c>
    </row>
    <row r="42" customFormat="false" ht="12.75" hidden="false" customHeight="false" outlineLevel="0" collapsed="false">
      <c r="A42" s="1" t="n">
        <f aca="false">A41-1</f>
        <v>1985</v>
      </c>
      <c r="B42" s="1" t="n">
        <f aca="false">im!H42/im!G42</f>
        <v>5.03437791401522</v>
      </c>
      <c r="C42" s="1" t="n">
        <f aca="false">B42</f>
        <v>5.03437791401522</v>
      </c>
      <c r="D42" s="1" t="n">
        <f aca="false">B42</f>
        <v>5.03437791401522</v>
      </c>
      <c r="E42" s="1" t="n">
        <f aca="false">B42</f>
        <v>5.03437791401522</v>
      </c>
      <c r="F42" s="1" t="n">
        <v>1</v>
      </c>
      <c r="G42" s="1" t="n">
        <v>1</v>
      </c>
      <c r="H42" s="1" t="n">
        <v>1</v>
      </c>
      <c r="I42" s="1" t="n">
        <v>1</v>
      </c>
      <c r="J42" s="1" t="n">
        <v>1</v>
      </c>
      <c r="K42" s="1" t="n">
        <v>1</v>
      </c>
      <c r="L42" s="1" t="n">
        <f aca="false">B42</f>
        <v>5.03437791401522</v>
      </c>
      <c r="M42" s="1" t="n">
        <f aca="false">B42</f>
        <v>5.03437791401522</v>
      </c>
      <c r="N42" s="1" t="n">
        <f aca="false">B42</f>
        <v>5.03437791401522</v>
      </c>
      <c r="O42" s="1" t="n">
        <f aca="false">B42</f>
        <v>5.03437791401522</v>
      </c>
      <c r="P42" s="1" t="n">
        <f aca="false">B42</f>
        <v>5.03437791401522</v>
      </c>
      <c r="Q42" s="1" t="n">
        <v>1</v>
      </c>
      <c r="R42" s="1" t="n">
        <v>1</v>
      </c>
      <c r="S42" s="1" t="n">
        <v>1</v>
      </c>
      <c r="T42" s="1" t="n">
        <v>1</v>
      </c>
      <c r="U42" s="1" t="n">
        <v>1</v>
      </c>
      <c r="V42" s="1" t="n">
        <v>1</v>
      </c>
      <c r="W42" s="1" t="n">
        <v>1</v>
      </c>
      <c r="X42" s="1" t="n">
        <v>1</v>
      </c>
      <c r="Y42" s="1" t="n">
        <v>1</v>
      </c>
      <c r="Z42" s="1" t="n">
        <v>1</v>
      </c>
      <c r="AA42" s="1" t="n">
        <v>1</v>
      </c>
      <c r="AB42" s="1" t="n">
        <v>1</v>
      </c>
      <c r="AC42" s="1" t="n">
        <v>1</v>
      </c>
      <c r="AD42" s="1" t="n">
        <v>1</v>
      </c>
      <c r="AE42" s="1" t="n">
        <f aca="false">B42</f>
        <v>5.03437791401522</v>
      </c>
      <c r="AF42" s="1" t="n">
        <f aca="false">B42</f>
        <v>5.03437791401522</v>
      </c>
      <c r="AG42" s="1" t="n">
        <f aca="false">B42</f>
        <v>5.03437791401522</v>
      </c>
      <c r="AH42" s="1" t="n">
        <f aca="false">B42</f>
        <v>5.03437791401522</v>
      </c>
      <c r="AI42" s="1" t="n">
        <f aca="false">B42</f>
        <v>5.03437791401522</v>
      </c>
      <c r="AJ42" s="1" t="n">
        <f aca="false">B42</f>
        <v>5.03437791401522</v>
      </c>
      <c r="AK42" s="1" t="n">
        <f aca="false">B42</f>
        <v>5.03437791401522</v>
      </c>
      <c r="AL42" s="1" t="n">
        <f aca="false">B42</f>
        <v>5.03437791401522</v>
      </c>
      <c r="AM42" s="1" t="n">
        <f aca="false">B42</f>
        <v>5.03437791401522</v>
      </c>
      <c r="AN42" s="1" t="n">
        <v>1</v>
      </c>
      <c r="AO42" s="1" t="n">
        <v>1</v>
      </c>
      <c r="AP42" s="1" t="n">
        <v>1</v>
      </c>
      <c r="AQ42" s="1" t="n">
        <v>1</v>
      </c>
      <c r="AR42" s="1" t="n">
        <v>1</v>
      </c>
      <c r="AS42" s="1" t="n">
        <v>1</v>
      </c>
      <c r="AT42" s="1" t="n">
        <v>1</v>
      </c>
      <c r="AU42" s="1" t="n">
        <v>1</v>
      </c>
      <c r="AV42" s="1" t="n">
        <v>1</v>
      </c>
      <c r="AW42" s="1" t="n">
        <v>1</v>
      </c>
      <c r="AX42" s="1" t="n">
        <f aca="false">B42</f>
        <v>5.03437791401522</v>
      </c>
      <c r="AY42" s="1" t="n">
        <f aca="false">B42</f>
        <v>5.03437791401522</v>
      </c>
      <c r="AZ42" s="1" t="n">
        <f aca="false">B42</f>
        <v>5.03437791401522</v>
      </c>
      <c r="BA42" s="1" t="n">
        <v>1</v>
      </c>
      <c r="BB42" s="1" t="n">
        <v>1</v>
      </c>
      <c r="BC42" s="1" t="n">
        <f aca="false">B42</f>
        <v>5.03437791401522</v>
      </c>
      <c r="BD42" s="1" t="n">
        <f aca="false">B42</f>
        <v>5.03437791401522</v>
      </c>
      <c r="BE42" s="1" t="n">
        <v>1</v>
      </c>
      <c r="BF42" s="1" t="n">
        <v>1</v>
      </c>
      <c r="BG42" s="1" t="n">
        <f aca="false">B42</f>
        <v>5.03437791401522</v>
      </c>
      <c r="BH42" s="1" t="n">
        <f aca="false">B42</f>
        <v>5.03437791401522</v>
      </c>
      <c r="BI42" s="1" t="n">
        <f aca="false">B42</f>
        <v>5.03437791401522</v>
      </c>
      <c r="BJ42" s="1" t="n">
        <f aca="false">B42</f>
        <v>5.03437791401522</v>
      </c>
      <c r="BK42" s="1" t="n">
        <v>1</v>
      </c>
    </row>
    <row r="43" customFormat="false" ht="12.75" hidden="false" customHeight="false" outlineLevel="0" collapsed="false">
      <c r="A43" s="1" t="n">
        <f aca="false">A42-1</f>
        <v>1984</v>
      </c>
      <c r="B43" s="1" t="n">
        <f aca="false">im!H43/im!G43</f>
        <v>4.86773844632011</v>
      </c>
      <c r="C43" s="1" t="n">
        <f aca="false">B43</f>
        <v>4.86773844632011</v>
      </c>
      <c r="D43" s="1" t="n">
        <f aca="false">B43</f>
        <v>4.86773844632011</v>
      </c>
      <c r="E43" s="1" t="n">
        <f aca="false">B43</f>
        <v>4.86773844632011</v>
      </c>
      <c r="F43" s="1" t="n">
        <v>1</v>
      </c>
      <c r="G43" s="1" t="n">
        <v>1</v>
      </c>
      <c r="H43" s="1" t="n">
        <v>1</v>
      </c>
      <c r="I43" s="1" t="n">
        <v>1</v>
      </c>
      <c r="J43" s="1" t="n">
        <v>1</v>
      </c>
      <c r="K43" s="1" t="n">
        <v>1</v>
      </c>
      <c r="L43" s="1" t="n">
        <f aca="false">B43</f>
        <v>4.86773844632011</v>
      </c>
      <c r="M43" s="1" t="n">
        <f aca="false">B43</f>
        <v>4.86773844632011</v>
      </c>
      <c r="N43" s="1" t="n">
        <f aca="false">B43</f>
        <v>4.86773844632011</v>
      </c>
      <c r="O43" s="1" t="n">
        <f aca="false">B43</f>
        <v>4.86773844632011</v>
      </c>
      <c r="P43" s="1" t="n">
        <f aca="false">B43</f>
        <v>4.86773844632011</v>
      </c>
      <c r="Q43" s="1" t="n">
        <v>1</v>
      </c>
      <c r="R43" s="1" t="n">
        <v>1</v>
      </c>
      <c r="S43" s="1" t="n">
        <v>1</v>
      </c>
      <c r="T43" s="1" t="n">
        <v>1</v>
      </c>
      <c r="U43" s="1" t="n">
        <v>1</v>
      </c>
      <c r="V43" s="1" t="n">
        <v>1</v>
      </c>
      <c r="W43" s="1" t="n">
        <v>1</v>
      </c>
      <c r="X43" s="1" t="n">
        <v>1</v>
      </c>
      <c r="Y43" s="1" t="n">
        <v>1</v>
      </c>
      <c r="Z43" s="1" t="n">
        <v>1</v>
      </c>
      <c r="AA43" s="1" t="n">
        <v>1</v>
      </c>
      <c r="AB43" s="1" t="n">
        <v>1</v>
      </c>
      <c r="AC43" s="1" t="n">
        <v>1</v>
      </c>
      <c r="AD43" s="1" t="n">
        <v>1</v>
      </c>
      <c r="AE43" s="1" t="n">
        <f aca="false">B43</f>
        <v>4.86773844632011</v>
      </c>
      <c r="AF43" s="1" t="n">
        <f aca="false">B43</f>
        <v>4.86773844632011</v>
      </c>
      <c r="AG43" s="1" t="n">
        <f aca="false">B43</f>
        <v>4.86773844632011</v>
      </c>
      <c r="AH43" s="1" t="n">
        <f aca="false">B43</f>
        <v>4.86773844632011</v>
      </c>
      <c r="AI43" s="1" t="n">
        <f aca="false">B43</f>
        <v>4.86773844632011</v>
      </c>
      <c r="AJ43" s="1" t="n">
        <f aca="false">B43</f>
        <v>4.86773844632011</v>
      </c>
      <c r="AK43" s="1" t="n">
        <f aca="false">B43</f>
        <v>4.86773844632011</v>
      </c>
      <c r="AL43" s="1" t="n">
        <f aca="false">B43</f>
        <v>4.86773844632011</v>
      </c>
      <c r="AM43" s="1" t="n">
        <f aca="false">B43</f>
        <v>4.86773844632011</v>
      </c>
      <c r="AN43" s="1" t="n">
        <v>1</v>
      </c>
      <c r="AO43" s="1" t="n">
        <v>1</v>
      </c>
      <c r="AP43" s="1" t="n">
        <v>1</v>
      </c>
      <c r="AQ43" s="1" t="n">
        <v>1</v>
      </c>
      <c r="AR43" s="1" t="n">
        <v>1</v>
      </c>
      <c r="AS43" s="1" t="n">
        <v>1</v>
      </c>
      <c r="AT43" s="1" t="n">
        <v>1</v>
      </c>
      <c r="AU43" s="1" t="n">
        <v>1</v>
      </c>
      <c r="AV43" s="1" t="n">
        <v>1</v>
      </c>
      <c r="AW43" s="1" t="n">
        <v>1</v>
      </c>
      <c r="AX43" s="1" t="n">
        <f aca="false">B43</f>
        <v>4.86773844632011</v>
      </c>
      <c r="AY43" s="1" t="n">
        <f aca="false">B43</f>
        <v>4.86773844632011</v>
      </c>
      <c r="AZ43" s="1" t="n">
        <f aca="false">B43</f>
        <v>4.86773844632011</v>
      </c>
      <c r="BA43" s="1" t="n">
        <v>1</v>
      </c>
      <c r="BB43" s="1" t="n">
        <v>1</v>
      </c>
      <c r="BC43" s="1" t="n">
        <f aca="false">B43</f>
        <v>4.86773844632011</v>
      </c>
      <c r="BD43" s="1" t="n">
        <f aca="false">B43</f>
        <v>4.86773844632011</v>
      </c>
      <c r="BE43" s="1" t="n">
        <v>1</v>
      </c>
      <c r="BF43" s="1" t="n">
        <v>1</v>
      </c>
      <c r="BG43" s="1" t="n">
        <f aca="false">B43</f>
        <v>4.86773844632011</v>
      </c>
      <c r="BH43" s="1" t="n">
        <f aca="false">B43</f>
        <v>4.86773844632011</v>
      </c>
      <c r="BI43" s="1" t="n">
        <f aca="false">B43</f>
        <v>4.86773844632011</v>
      </c>
      <c r="BJ43" s="1" t="n">
        <f aca="false">B43</f>
        <v>4.86773844632011</v>
      </c>
      <c r="BK43" s="1" t="n">
        <v>1</v>
      </c>
    </row>
    <row r="44" customFormat="false" ht="12.75" hidden="false" customHeight="false" outlineLevel="0" collapsed="false">
      <c r="A44" s="1" t="n">
        <f aca="false">A43-1</f>
        <v>1983</v>
      </c>
      <c r="B44" s="1" t="n">
        <f aca="false">im!H44/im!G44</f>
        <v>4.36060515848906</v>
      </c>
      <c r="C44" s="1" t="n">
        <f aca="false">B44</f>
        <v>4.36060515848906</v>
      </c>
      <c r="D44" s="1" t="n">
        <f aca="false">B44</f>
        <v>4.36060515848906</v>
      </c>
      <c r="E44" s="1" t="n">
        <f aca="false">B44</f>
        <v>4.36060515848906</v>
      </c>
      <c r="F44" s="1" t="n">
        <v>1</v>
      </c>
      <c r="G44" s="1" t="n">
        <v>1</v>
      </c>
      <c r="H44" s="1" t="n">
        <v>1</v>
      </c>
      <c r="I44" s="1" t="n">
        <v>1</v>
      </c>
      <c r="J44" s="1" t="n">
        <v>1</v>
      </c>
      <c r="K44" s="1" t="n">
        <v>1</v>
      </c>
      <c r="L44" s="1" t="n">
        <f aca="false">B44</f>
        <v>4.36060515848906</v>
      </c>
      <c r="M44" s="1" t="n">
        <f aca="false">B44</f>
        <v>4.36060515848906</v>
      </c>
      <c r="N44" s="1" t="n">
        <f aca="false">B44</f>
        <v>4.36060515848906</v>
      </c>
      <c r="O44" s="1" t="n">
        <f aca="false">B44</f>
        <v>4.36060515848906</v>
      </c>
      <c r="P44" s="1" t="n">
        <f aca="false">B44</f>
        <v>4.36060515848906</v>
      </c>
      <c r="Q44" s="1" t="n">
        <v>1</v>
      </c>
      <c r="R44" s="1" t="n">
        <v>1</v>
      </c>
      <c r="S44" s="1" t="n">
        <v>1</v>
      </c>
      <c r="T44" s="1" t="n">
        <v>1</v>
      </c>
      <c r="U44" s="1" t="n">
        <v>1</v>
      </c>
      <c r="V44" s="1" t="n">
        <v>1</v>
      </c>
      <c r="W44" s="1" t="n">
        <v>1</v>
      </c>
      <c r="X44" s="1" t="n">
        <v>1</v>
      </c>
      <c r="Y44" s="1" t="n">
        <v>1</v>
      </c>
      <c r="Z44" s="1" t="n">
        <v>1</v>
      </c>
      <c r="AA44" s="1" t="n">
        <v>1</v>
      </c>
      <c r="AB44" s="1" t="n">
        <v>1</v>
      </c>
      <c r="AC44" s="1" t="n">
        <v>1</v>
      </c>
      <c r="AD44" s="1" t="n">
        <v>1</v>
      </c>
      <c r="AE44" s="1" t="n">
        <f aca="false">B44</f>
        <v>4.36060515848906</v>
      </c>
      <c r="AF44" s="1" t="n">
        <f aca="false">B44</f>
        <v>4.36060515848906</v>
      </c>
      <c r="AG44" s="1" t="n">
        <f aca="false">B44</f>
        <v>4.36060515848906</v>
      </c>
      <c r="AH44" s="1" t="n">
        <f aca="false">B44</f>
        <v>4.36060515848906</v>
      </c>
      <c r="AI44" s="1" t="n">
        <f aca="false">B44</f>
        <v>4.36060515848906</v>
      </c>
      <c r="AJ44" s="1" t="n">
        <f aca="false">B44</f>
        <v>4.36060515848906</v>
      </c>
      <c r="AK44" s="1" t="n">
        <f aca="false">B44</f>
        <v>4.36060515848906</v>
      </c>
      <c r="AL44" s="1" t="n">
        <f aca="false">B44</f>
        <v>4.36060515848906</v>
      </c>
      <c r="AM44" s="1" t="n">
        <f aca="false">B44</f>
        <v>4.36060515848906</v>
      </c>
      <c r="AN44" s="1" t="n">
        <v>1</v>
      </c>
      <c r="AO44" s="1" t="n">
        <v>1</v>
      </c>
      <c r="AP44" s="1" t="n">
        <v>1</v>
      </c>
      <c r="AQ44" s="1" t="n">
        <v>1</v>
      </c>
      <c r="AR44" s="1" t="n">
        <v>1</v>
      </c>
      <c r="AS44" s="1" t="n">
        <v>1</v>
      </c>
      <c r="AT44" s="1" t="n">
        <v>1</v>
      </c>
      <c r="AU44" s="1" t="n">
        <v>1</v>
      </c>
      <c r="AV44" s="1" t="n">
        <v>1</v>
      </c>
      <c r="AW44" s="1" t="n">
        <v>1</v>
      </c>
      <c r="AX44" s="1" t="n">
        <f aca="false">B44</f>
        <v>4.36060515848906</v>
      </c>
      <c r="AY44" s="1" t="n">
        <f aca="false">B44</f>
        <v>4.36060515848906</v>
      </c>
      <c r="AZ44" s="1" t="n">
        <f aca="false">B44</f>
        <v>4.36060515848906</v>
      </c>
      <c r="BA44" s="1" t="n">
        <v>1</v>
      </c>
      <c r="BB44" s="1" t="n">
        <v>1</v>
      </c>
      <c r="BC44" s="1" t="n">
        <f aca="false">B44</f>
        <v>4.36060515848906</v>
      </c>
      <c r="BD44" s="1" t="n">
        <f aca="false">B44</f>
        <v>4.36060515848906</v>
      </c>
      <c r="BE44" s="1" t="n">
        <v>1</v>
      </c>
      <c r="BF44" s="1" t="n">
        <v>1</v>
      </c>
      <c r="BG44" s="1" t="n">
        <f aca="false">B44</f>
        <v>4.36060515848906</v>
      </c>
      <c r="BH44" s="1" t="n">
        <f aca="false">B44</f>
        <v>4.36060515848906</v>
      </c>
      <c r="BI44" s="1" t="n">
        <f aca="false">B44</f>
        <v>4.36060515848906</v>
      </c>
      <c r="BJ44" s="1" t="n">
        <f aca="false">B44</f>
        <v>4.36060515848906</v>
      </c>
      <c r="BK44" s="1" t="n">
        <v>1</v>
      </c>
    </row>
    <row r="45" customFormat="false" ht="12.75" hidden="false" customHeight="false" outlineLevel="0" collapsed="false">
      <c r="A45" s="1" t="n">
        <f aca="false">A44-1</f>
        <v>1982</v>
      </c>
      <c r="B45" s="1" t="n">
        <f aca="false">im!H45/im!G45</f>
        <v>5.8814343099555</v>
      </c>
      <c r="C45" s="1" t="n">
        <f aca="false">B45</f>
        <v>5.8814343099555</v>
      </c>
      <c r="D45" s="1" t="n">
        <f aca="false">B45</f>
        <v>5.8814343099555</v>
      </c>
      <c r="E45" s="1" t="n">
        <f aca="false">B45</f>
        <v>5.8814343099555</v>
      </c>
      <c r="F45" s="1" t="n">
        <v>1</v>
      </c>
      <c r="G45" s="1" t="n">
        <v>1</v>
      </c>
      <c r="H45" s="1" t="n">
        <v>1</v>
      </c>
      <c r="I45" s="1" t="n">
        <v>1</v>
      </c>
      <c r="J45" s="1" t="n">
        <v>1</v>
      </c>
      <c r="K45" s="1" t="n">
        <v>1</v>
      </c>
      <c r="L45" s="1" t="n">
        <f aca="false">B45</f>
        <v>5.8814343099555</v>
      </c>
      <c r="M45" s="1" t="n">
        <f aca="false">B45</f>
        <v>5.8814343099555</v>
      </c>
      <c r="N45" s="1" t="n">
        <f aca="false">B45</f>
        <v>5.8814343099555</v>
      </c>
      <c r="O45" s="1" t="n">
        <f aca="false">B45</f>
        <v>5.8814343099555</v>
      </c>
      <c r="P45" s="1" t="n">
        <f aca="false">B45</f>
        <v>5.8814343099555</v>
      </c>
      <c r="Q45" s="1" t="n">
        <v>1</v>
      </c>
      <c r="R45" s="1" t="n">
        <v>1</v>
      </c>
      <c r="S45" s="1" t="n">
        <v>1</v>
      </c>
      <c r="T45" s="1" t="n">
        <v>1</v>
      </c>
      <c r="U45" s="1" t="n">
        <v>1</v>
      </c>
      <c r="V45" s="1" t="n">
        <v>1</v>
      </c>
      <c r="W45" s="1" t="n">
        <v>1</v>
      </c>
      <c r="X45" s="1" t="n">
        <v>1</v>
      </c>
      <c r="Y45" s="1" t="n">
        <v>1</v>
      </c>
      <c r="Z45" s="1" t="n">
        <v>1</v>
      </c>
      <c r="AA45" s="1" t="n">
        <v>1</v>
      </c>
      <c r="AB45" s="1" t="n">
        <v>1</v>
      </c>
      <c r="AC45" s="1" t="n">
        <v>1</v>
      </c>
      <c r="AD45" s="1" t="n">
        <v>1</v>
      </c>
      <c r="AE45" s="1" t="n">
        <f aca="false">B45</f>
        <v>5.8814343099555</v>
      </c>
      <c r="AF45" s="1" t="n">
        <f aca="false">B45</f>
        <v>5.8814343099555</v>
      </c>
      <c r="AG45" s="1" t="n">
        <f aca="false">B45</f>
        <v>5.8814343099555</v>
      </c>
      <c r="AH45" s="1" t="n">
        <f aca="false">B45</f>
        <v>5.8814343099555</v>
      </c>
      <c r="AI45" s="1" t="n">
        <f aca="false">B45</f>
        <v>5.8814343099555</v>
      </c>
      <c r="AJ45" s="1" t="n">
        <f aca="false">B45</f>
        <v>5.8814343099555</v>
      </c>
      <c r="AK45" s="1" t="n">
        <f aca="false">B45</f>
        <v>5.8814343099555</v>
      </c>
      <c r="AL45" s="1" t="n">
        <f aca="false">B45</f>
        <v>5.8814343099555</v>
      </c>
      <c r="AM45" s="1" t="n">
        <f aca="false">B45</f>
        <v>5.8814343099555</v>
      </c>
      <c r="AN45" s="1" t="n">
        <v>1</v>
      </c>
      <c r="AO45" s="1" t="n">
        <v>1</v>
      </c>
      <c r="AP45" s="1" t="n">
        <v>1</v>
      </c>
      <c r="AQ45" s="1" t="n">
        <v>1</v>
      </c>
      <c r="AR45" s="1" t="n">
        <v>1</v>
      </c>
      <c r="AS45" s="1" t="n">
        <v>1</v>
      </c>
      <c r="AT45" s="1" t="n">
        <v>1</v>
      </c>
      <c r="AU45" s="1" t="n">
        <v>1</v>
      </c>
      <c r="AV45" s="1" t="n">
        <v>1</v>
      </c>
      <c r="AW45" s="1" t="n">
        <v>1</v>
      </c>
      <c r="AX45" s="1" t="n">
        <f aca="false">B45</f>
        <v>5.8814343099555</v>
      </c>
      <c r="AY45" s="1" t="n">
        <f aca="false">B45</f>
        <v>5.8814343099555</v>
      </c>
      <c r="AZ45" s="1" t="n">
        <f aca="false">B45</f>
        <v>5.8814343099555</v>
      </c>
      <c r="BA45" s="1" t="n">
        <v>1</v>
      </c>
      <c r="BB45" s="1" t="n">
        <v>1</v>
      </c>
      <c r="BC45" s="1" t="n">
        <f aca="false">B45</f>
        <v>5.8814343099555</v>
      </c>
      <c r="BD45" s="1" t="n">
        <f aca="false">B45</f>
        <v>5.8814343099555</v>
      </c>
      <c r="BE45" s="1" t="n">
        <v>1</v>
      </c>
      <c r="BF45" s="1" t="n">
        <v>1</v>
      </c>
      <c r="BG45" s="1" t="n">
        <f aca="false">B45</f>
        <v>5.8814343099555</v>
      </c>
      <c r="BH45" s="1" t="n">
        <f aca="false">B45</f>
        <v>5.8814343099555</v>
      </c>
      <c r="BI45" s="1" t="n">
        <f aca="false">B45</f>
        <v>5.8814343099555</v>
      </c>
      <c r="BJ45" s="1" t="n">
        <f aca="false">B45</f>
        <v>5.8814343099555</v>
      </c>
      <c r="BK45" s="1" t="n">
        <v>1</v>
      </c>
    </row>
    <row r="46" customFormat="false" ht="12.75" hidden="false" customHeight="false" outlineLevel="0" collapsed="false">
      <c r="A46" s="1" t="n">
        <f aca="false">A45-1</f>
        <v>1981</v>
      </c>
      <c r="B46" s="1" t="n">
        <f aca="false">im!H46/im!G46</f>
        <v>5.89389141476501</v>
      </c>
      <c r="C46" s="1" t="n">
        <f aca="false">B46</f>
        <v>5.89389141476501</v>
      </c>
      <c r="D46" s="1" t="n">
        <f aca="false">B46</f>
        <v>5.89389141476501</v>
      </c>
      <c r="E46" s="1" t="n">
        <f aca="false">B46</f>
        <v>5.89389141476501</v>
      </c>
      <c r="F46" s="1" t="n">
        <v>1</v>
      </c>
      <c r="G46" s="1" t="n">
        <v>1</v>
      </c>
      <c r="H46" s="1" t="n">
        <v>1</v>
      </c>
      <c r="I46" s="1" t="n">
        <v>1</v>
      </c>
      <c r="J46" s="1" t="n">
        <v>1</v>
      </c>
      <c r="K46" s="1" t="n">
        <v>1</v>
      </c>
      <c r="L46" s="1" t="n">
        <f aca="false">B46</f>
        <v>5.89389141476501</v>
      </c>
      <c r="M46" s="1" t="n">
        <f aca="false">B46</f>
        <v>5.89389141476501</v>
      </c>
      <c r="N46" s="1" t="n">
        <f aca="false">B46</f>
        <v>5.89389141476501</v>
      </c>
      <c r="O46" s="1" t="n">
        <f aca="false">B46</f>
        <v>5.89389141476501</v>
      </c>
      <c r="P46" s="1" t="n">
        <f aca="false">B46</f>
        <v>5.89389141476501</v>
      </c>
      <c r="Q46" s="1" t="n">
        <v>1</v>
      </c>
      <c r="R46" s="1" t="n">
        <v>1</v>
      </c>
      <c r="S46" s="1" t="n">
        <v>1</v>
      </c>
      <c r="T46" s="1" t="n">
        <v>1</v>
      </c>
      <c r="U46" s="1" t="n">
        <v>1</v>
      </c>
      <c r="V46" s="1" t="n">
        <v>1</v>
      </c>
      <c r="W46" s="1" t="n">
        <v>1</v>
      </c>
      <c r="X46" s="1" t="n">
        <v>1</v>
      </c>
      <c r="Y46" s="1" t="n">
        <v>1</v>
      </c>
      <c r="Z46" s="1" t="n">
        <v>1</v>
      </c>
      <c r="AA46" s="1" t="n">
        <v>1</v>
      </c>
      <c r="AB46" s="1" t="n">
        <v>1</v>
      </c>
      <c r="AC46" s="1" t="n">
        <v>1</v>
      </c>
      <c r="AD46" s="1" t="n">
        <v>1</v>
      </c>
      <c r="AE46" s="1" t="n">
        <f aca="false">B46</f>
        <v>5.89389141476501</v>
      </c>
      <c r="AF46" s="1" t="n">
        <f aca="false">B46</f>
        <v>5.89389141476501</v>
      </c>
      <c r="AG46" s="1" t="n">
        <f aca="false">B46</f>
        <v>5.89389141476501</v>
      </c>
      <c r="AH46" s="1" t="n">
        <f aca="false">B46</f>
        <v>5.89389141476501</v>
      </c>
      <c r="AI46" s="1" t="n">
        <f aca="false">B46</f>
        <v>5.89389141476501</v>
      </c>
      <c r="AJ46" s="1" t="n">
        <f aca="false">B46</f>
        <v>5.89389141476501</v>
      </c>
      <c r="AK46" s="1" t="n">
        <f aca="false">B46</f>
        <v>5.89389141476501</v>
      </c>
      <c r="AL46" s="1" t="n">
        <f aca="false">B46</f>
        <v>5.89389141476501</v>
      </c>
      <c r="AM46" s="1" t="n">
        <f aca="false">B46</f>
        <v>5.89389141476501</v>
      </c>
      <c r="AN46" s="1" t="n">
        <v>1</v>
      </c>
      <c r="AO46" s="1" t="n">
        <v>1</v>
      </c>
      <c r="AP46" s="1" t="n">
        <v>1</v>
      </c>
      <c r="AQ46" s="1" t="n">
        <v>1</v>
      </c>
      <c r="AR46" s="1" t="n">
        <v>1</v>
      </c>
      <c r="AS46" s="1" t="n">
        <v>1</v>
      </c>
      <c r="AT46" s="1" t="n">
        <v>1</v>
      </c>
      <c r="AU46" s="1" t="n">
        <v>1</v>
      </c>
      <c r="AV46" s="1" t="n">
        <v>1</v>
      </c>
      <c r="AW46" s="1" t="n">
        <v>1</v>
      </c>
      <c r="AX46" s="1" t="n">
        <f aca="false">B46</f>
        <v>5.89389141476501</v>
      </c>
      <c r="AY46" s="1" t="n">
        <f aca="false">B46</f>
        <v>5.89389141476501</v>
      </c>
      <c r="AZ46" s="1" t="n">
        <f aca="false">B46</f>
        <v>5.89389141476501</v>
      </c>
      <c r="BA46" s="1" t="n">
        <v>1</v>
      </c>
      <c r="BB46" s="1" t="n">
        <v>1</v>
      </c>
      <c r="BC46" s="1" t="n">
        <f aca="false">B46</f>
        <v>5.89389141476501</v>
      </c>
      <c r="BD46" s="1" t="n">
        <f aca="false">B46</f>
        <v>5.89389141476501</v>
      </c>
      <c r="BE46" s="1" t="n">
        <v>1</v>
      </c>
      <c r="BF46" s="1" t="n">
        <v>1</v>
      </c>
      <c r="BG46" s="1" t="n">
        <f aca="false">B46</f>
        <v>5.89389141476501</v>
      </c>
      <c r="BH46" s="1" t="n">
        <f aca="false">B46</f>
        <v>5.89389141476501</v>
      </c>
      <c r="BI46" s="1" t="n">
        <f aca="false">B46</f>
        <v>5.89389141476501</v>
      </c>
      <c r="BJ46" s="1" t="n">
        <f aca="false">B46</f>
        <v>5.89389141476501</v>
      </c>
      <c r="BK46" s="1" t="n">
        <v>1</v>
      </c>
    </row>
    <row r="47" customFormat="false" ht="12.75" hidden="false" customHeight="false" outlineLevel="0" collapsed="false">
      <c r="A47" s="1" t="n">
        <f aca="false">A46-1</f>
        <v>1980</v>
      </c>
      <c r="B47" s="1" t="n">
        <f aca="false">im!H47/im!G47</f>
        <v>5.01133518900401</v>
      </c>
      <c r="C47" s="1" t="n">
        <f aca="false">B47</f>
        <v>5.01133518900401</v>
      </c>
      <c r="D47" s="1" t="n">
        <f aca="false">B47</f>
        <v>5.01133518900401</v>
      </c>
      <c r="E47" s="1" t="n">
        <f aca="false">B47</f>
        <v>5.01133518900401</v>
      </c>
      <c r="F47" s="1" t="n">
        <v>1</v>
      </c>
      <c r="G47" s="1" t="n">
        <v>1</v>
      </c>
      <c r="H47" s="1" t="n">
        <v>1</v>
      </c>
      <c r="I47" s="1" t="n">
        <v>1</v>
      </c>
      <c r="J47" s="1" t="n">
        <v>1</v>
      </c>
      <c r="K47" s="1" t="n">
        <v>1</v>
      </c>
      <c r="L47" s="1" t="n">
        <f aca="false">B47</f>
        <v>5.01133518900401</v>
      </c>
      <c r="M47" s="1" t="n">
        <f aca="false">B47</f>
        <v>5.01133518900401</v>
      </c>
      <c r="N47" s="1" t="n">
        <f aca="false">B47</f>
        <v>5.01133518900401</v>
      </c>
      <c r="O47" s="1" t="n">
        <f aca="false">B47</f>
        <v>5.01133518900401</v>
      </c>
      <c r="P47" s="1" t="n">
        <f aca="false">B47</f>
        <v>5.01133518900401</v>
      </c>
      <c r="Q47" s="1" t="n">
        <v>1</v>
      </c>
      <c r="R47" s="1" t="n">
        <v>1</v>
      </c>
      <c r="S47" s="1" t="n">
        <v>1</v>
      </c>
      <c r="T47" s="1" t="n">
        <v>1</v>
      </c>
      <c r="U47" s="1" t="n">
        <v>1</v>
      </c>
      <c r="V47" s="1" t="n">
        <v>1</v>
      </c>
      <c r="W47" s="1" t="n">
        <v>1</v>
      </c>
      <c r="X47" s="1" t="n">
        <v>1</v>
      </c>
      <c r="Y47" s="1" t="n">
        <v>1</v>
      </c>
      <c r="Z47" s="1" t="n">
        <v>1</v>
      </c>
      <c r="AA47" s="1" t="n">
        <v>1</v>
      </c>
      <c r="AB47" s="1" t="n">
        <v>1</v>
      </c>
      <c r="AC47" s="1" t="n">
        <v>1</v>
      </c>
      <c r="AD47" s="1" t="n">
        <v>1</v>
      </c>
      <c r="AE47" s="1" t="n">
        <f aca="false">B47</f>
        <v>5.01133518900401</v>
      </c>
      <c r="AF47" s="1" t="n">
        <f aca="false">B47</f>
        <v>5.01133518900401</v>
      </c>
      <c r="AG47" s="1" t="n">
        <f aca="false">B47</f>
        <v>5.01133518900401</v>
      </c>
      <c r="AH47" s="1" t="n">
        <f aca="false">B47</f>
        <v>5.01133518900401</v>
      </c>
      <c r="AI47" s="1" t="n">
        <f aca="false">B47</f>
        <v>5.01133518900401</v>
      </c>
      <c r="AJ47" s="1" t="n">
        <f aca="false">B47</f>
        <v>5.01133518900401</v>
      </c>
      <c r="AK47" s="1" t="n">
        <f aca="false">B47</f>
        <v>5.01133518900401</v>
      </c>
      <c r="AL47" s="1" t="n">
        <f aca="false">B47</f>
        <v>5.01133518900401</v>
      </c>
      <c r="AM47" s="1" t="n">
        <f aca="false">B47</f>
        <v>5.01133518900401</v>
      </c>
      <c r="AN47" s="1" t="n">
        <v>1</v>
      </c>
      <c r="AO47" s="1" t="n">
        <v>1</v>
      </c>
      <c r="AP47" s="1" t="n">
        <v>1</v>
      </c>
      <c r="AQ47" s="1" t="n">
        <v>1</v>
      </c>
      <c r="AR47" s="1" t="n">
        <v>1</v>
      </c>
      <c r="AS47" s="1" t="n">
        <v>1</v>
      </c>
      <c r="AT47" s="1" t="n">
        <v>1</v>
      </c>
      <c r="AU47" s="1" t="n">
        <v>1</v>
      </c>
      <c r="AV47" s="1" t="n">
        <v>1</v>
      </c>
      <c r="AW47" s="1" t="n">
        <v>1</v>
      </c>
      <c r="AX47" s="1" t="n">
        <f aca="false">B47</f>
        <v>5.01133518900401</v>
      </c>
      <c r="AY47" s="1" t="n">
        <f aca="false">B47</f>
        <v>5.01133518900401</v>
      </c>
      <c r="AZ47" s="1" t="n">
        <f aca="false">B47</f>
        <v>5.01133518900401</v>
      </c>
      <c r="BA47" s="1" t="n">
        <v>1</v>
      </c>
      <c r="BB47" s="1" t="n">
        <v>1</v>
      </c>
      <c r="BC47" s="1" t="n">
        <f aca="false">B47</f>
        <v>5.01133518900401</v>
      </c>
      <c r="BD47" s="1" t="n">
        <f aca="false">B47</f>
        <v>5.01133518900401</v>
      </c>
      <c r="BE47" s="1" t="n">
        <v>1</v>
      </c>
      <c r="BF47" s="1" t="n">
        <v>1</v>
      </c>
      <c r="BG47" s="1" t="n">
        <f aca="false">B47</f>
        <v>5.01133518900401</v>
      </c>
      <c r="BH47" s="1" t="n">
        <f aca="false">B47</f>
        <v>5.01133518900401</v>
      </c>
      <c r="BI47" s="1" t="n">
        <f aca="false">B47</f>
        <v>5.01133518900401</v>
      </c>
      <c r="BJ47" s="1" t="n">
        <f aca="false">B47</f>
        <v>5.01133518900401</v>
      </c>
      <c r="BK47" s="1" t="n">
        <v>1</v>
      </c>
    </row>
    <row r="48" customFormat="false" ht="12.75" hidden="false" customHeight="false" outlineLevel="0" collapsed="false">
      <c r="A48" s="1" t="n">
        <f aca="false">A47-1</f>
        <v>1979</v>
      </c>
      <c r="B48" s="1" t="n">
        <f aca="false">im!H48/im!G48</f>
        <v>5.22099588185802</v>
      </c>
      <c r="C48" s="1" t="n">
        <f aca="false">B48</f>
        <v>5.22099588185802</v>
      </c>
      <c r="D48" s="1" t="n">
        <f aca="false">B48</f>
        <v>5.22099588185802</v>
      </c>
      <c r="E48" s="1" t="n">
        <f aca="false">B48</f>
        <v>5.22099588185802</v>
      </c>
      <c r="F48" s="1" t="n">
        <v>1</v>
      </c>
      <c r="G48" s="1" t="n">
        <v>1</v>
      </c>
      <c r="H48" s="1" t="n">
        <v>1</v>
      </c>
      <c r="I48" s="1" t="n">
        <v>1</v>
      </c>
      <c r="J48" s="1" t="n">
        <v>1</v>
      </c>
      <c r="K48" s="1" t="n">
        <v>1</v>
      </c>
      <c r="L48" s="1" t="n">
        <f aca="false">B48</f>
        <v>5.22099588185802</v>
      </c>
      <c r="M48" s="1" t="n">
        <f aca="false">B48</f>
        <v>5.22099588185802</v>
      </c>
      <c r="N48" s="1" t="n">
        <f aca="false">B48</f>
        <v>5.22099588185802</v>
      </c>
      <c r="O48" s="1" t="n">
        <f aca="false">B48</f>
        <v>5.22099588185802</v>
      </c>
      <c r="P48" s="1" t="n">
        <f aca="false">B48</f>
        <v>5.22099588185802</v>
      </c>
      <c r="Q48" s="1" t="n">
        <v>1</v>
      </c>
      <c r="R48" s="1" t="n">
        <v>1</v>
      </c>
      <c r="S48" s="1" t="n">
        <v>1</v>
      </c>
      <c r="T48" s="1" t="n">
        <v>1</v>
      </c>
      <c r="U48" s="1" t="n">
        <v>1</v>
      </c>
      <c r="V48" s="1" t="n">
        <v>1</v>
      </c>
      <c r="W48" s="1" t="n">
        <v>1</v>
      </c>
      <c r="X48" s="1" t="n">
        <v>1</v>
      </c>
      <c r="Y48" s="1" t="n">
        <v>1</v>
      </c>
      <c r="Z48" s="1" t="n">
        <v>1</v>
      </c>
      <c r="AA48" s="1" t="n">
        <v>1</v>
      </c>
      <c r="AB48" s="1" t="n">
        <v>1</v>
      </c>
      <c r="AC48" s="1" t="n">
        <v>1</v>
      </c>
      <c r="AD48" s="1" t="n">
        <v>1</v>
      </c>
      <c r="AE48" s="1" t="n">
        <f aca="false">B48</f>
        <v>5.22099588185802</v>
      </c>
      <c r="AF48" s="1" t="n">
        <f aca="false">B48</f>
        <v>5.22099588185802</v>
      </c>
      <c r="AG48" s="1" t="n">
        <f aca="false">B48</f>
        <v>5.22099588185802</v>
      </c>
      <c r="AH48" s="1" t="n">
        <f aca="false">B48</f>
        <v>5.22099588185802</v>
      </c>
      <c r="AI48" s="1" t="n">
        <f aca="false">B48</f>
        <v>5.22099588185802</v>
      </c>
      <c r="AJ48" s="1" t="n">
        <f aca="false">B48</f>
        <v>5.22099588185802</v>
      </c>
      <c r="AK48" s="1" t="n">
        <f aca="false">B48</f>
        <v>5.22099588185802</v>
      </c>
      <c r="AL48" s="1" t="n">
        <f aca="false">B48</f>
        <v>5.22099588185802</v>
      </c>
      <c r="AM48" s="1" t="n">
        <f aca="false">B48</f>
        <v>5.22099588185802</v>
      </c>
      <c r="AN48" s="1" t="n">
        <v>1</v>
      </c>
      <c r="AO48" s="1" t="n">
        <v>1</v>
      </c>
      <c r="AP48" s="1" t="n">
        <v>1</v>
      </c>
      <c r="AQ48" s="1" t="n">
        <v>1</v>
      </c>
      <c r="AR48" s="1" t="n">
        <v>1</v>
      </c>
      <c r="AS48" s="1" t="n">
        <v>1</v>
      </c>
      <c r="AT48" s="1" t="n">
        <v>1</v>
      </c>
      <c r="AU48" s="1" t="n">
        <v>1</v>
      </c>
      <c r="AV48" s="1" t="n">
        <v>1</v>
      </c>
      <c r="AW48" s="1" t="n">
        <v>1</v>
      </c>
      <c r="AX48" s="1" t="n">
        <f aca="false">B48</f>
        <v>5.22099588185802</v>
      </c>
      <c r="AY48" s="1" t="n">
        <f aca="false">B48</f>
        <v>5.22099588185802</v>
      </c>
      <c r="AZ48" s="1" t="n">
        <f aca="false">B48</f>
        <v>5.22099588185802</v>
      </c>
      <c r="BA48" s="1" t="n">
        <v>1</v>
      </c>
      <c r="BB48" s="1" t="n">
        <v>1</v>
      </c>
      <c r="BC48" s="1" t="n">
        <f aca="false">B48</f>
        <v>5.22099588185802</v>
      </c>
      <c r="BD48" s="1" t="n">
        <f aca="false">B48</f>
        <v>5.22099588185802</v>
      </c>
      <c r="BE48" s="1" t="n">
        <v>1</v>
      </c>
      <c r="BF48" s="1" t="n">
        <v>1</v>
      </c>
      <c r="BG48" s="1" t="n">
        <f aca="false">B48</f>
        <v>5.22099588185802</v>
      </c>
      <c r="BH48" s="1" t="n">
        <f aca="false">B48</f>
        <v>5.22099588185802</v>
      </c>
      <c r="BI48" s="1" t="n">
        <f aca="false">B48</f>
        <v>5.22099588185802</v>
      </c>
      <c r="BJ48" s="1" t="n">
        <f aca="false">B48</f>
        <v>5.22099588185802</v>
      </c>
      <c r="BK48" s="1" t="n">
        <v>1</v>
      </c>
    </row>
    <row r="49" customFormat="false" ht="12.75" hidden="false" customHeight="false" outlineLevel="0" collapsed="false">
      <c r="A49" s="1" t="n">
        <f aca="false">A48-1</f>
        <v>1978</v>
      </c>
      <c r="B49" s="1" t="n">
        <f aca="false">im!H49/im!G49</f>
        <v>5.36476528618522</v>
      </c>
      <c r="C49" s="1" t="n">
        <f aca="false">B49</f>
        <v>5.36476528618522</v>
      </c>
      <c r="D49" s="1" t="n">
        <f aca="false">B49</f>
        <v>5.36476528618522</v>
      </c>
      <c r="E49" s="1" t="n">
        <f aca="false">B49</f>
        <v>5.36476528618522</v>
      </c>
      <c r="F49" s="1" t="n">
        <v>1</v>
      </c>
      <c r="G49" s="1" t="n">
        <v>1</v>
      </c>
      <c r="H49" s="1" t="n">
        <v>1</v>
      </c>
      <c r="I49" s="1" t="n">
        <v>1</v>
      </c>
      <c r="J49" s="1" t="n">
        <v>1</v>
      </c>
      <c r="K49" s="1" t="n">
        <v>1</v>
      </c>
      <c r="L49" s="1" t="n">
        <f aca="false">B49</f>
        <v>5.36476528618522</v>
      </c>
      <c r="M49" s="1" t="n">
        <f aca="false">B49</f>
        <v>5.36476528618522</v>
      </c>
      <c r="N49" s="1" t="n">
        <f aca="false">B49</f>
        <v>5.36476528618522</v>
      </c>
      <c r="O49" s="1" t="n">
        <f aca="false">B49</f>
        <v>5.36476528618522</v>
      </c>
      <c r="P49" s="1" t="n">
        <f aca="false">B49</f>
        <v>5.36476528618522</v>
      </c>
      <c r="Q49" s="1" t="n">
        <v>1</v>
      </c>
      <c r="R49" s="1" t="n">
        <v>1</v>
      </c>
      <c r="S49" s="1" t="n">
        <v>1</v>
      </c>
      <c r="T49" s="1" t="n">
        <v>1</v>
      </c>
      <c r="U49" s="1" t="n">
        <v>1</v>
      </c>
      <c r="V49" s="1" t="n">
        <v>1</v>
      </c>
      <c r="W49" s="1" t="n">
        <v>1</v>
      </c>
      <c r="X49" s="1" t="n">
        <v>1</v>
      </c>
      <c r="Y49" s="1" t="n">
        <v>1</v>
      </c>
      <c r="Z49" s="1" t="n">
        <v>1</v>
      </c>
      <c r="AA49" s="1" t="n">
        <v>1</v>
      </c>
      <c r="AB49" s="1" t="n">
        <v>1</v>
      </c>
      <c r="AC49" s="1" t="n">
        <v>1</v>
      </c>
      <c r="AD49" s="1" t="n">
        <v>1</v>
      </c>
      <c r="AE49" s="1" t="n">
        <f aca="false">B49</f>
        <v>5.36476528618522</v>
      </c>
      <c r="AF49" s="1" t="n">
        <f aca="false">B49</f>
        <v>5.36476528618522</v>
      </c>
      <c r="AG49" s="1" t="n">
        <f aca="false">B49</f>
        <v>5.36476528618522</v>
      </c>
      <c r="AH49" s="1" t="n">
        <f aca="false">B49</f>
        <v>5.36476528618522</v>
      </c>
      <c r="AI49" s="1" t="n">
        <f aca="false">B49</f>
        <v>5.36476528618522</v>
      </c>
      <c r="AJ49" s="1" t="n">
        <f aca="false">B49</f>
        <v>5.36476528618522</v>
      </c>
      <c r="AK49" s="1" t="n">
        <f aca="false">B49</f>
        <v>5.36476528618522</v>
      </c>
      <c r="AL49" s="1" t="n">
        <f aca="false">B49</f>
        <v>5.36476528618522</v>
      </c>
      <c r="AM49" s="1" t="n">
        <f aca="false">B49</f>
        <v>5.36476528618522</v>
      </c>
      <c r="AN49" s="1" t="n">
        <v>1</v>
      </c>
      <c r="AO49" s="1" t="n">
        <v>1</v>
      </c>
      <c r="AP49" s="1" t="n">
        <v>1</v>
      </c>
      <c r="AQ49" s="1" t="n">
        <v>1</v>
      </c>
      <c r="AR49" s="1" t="n">
        <v>1</v>
      </c>
      <c r="AS49" s="1" t="n">
        <v>1</v>
      </c>
      <c r="AT49" s="1" t="n">
        <v>1</v>
      </c>
      <c r="AU49" s="1" t="n">
        <v>1</v>
      </c>
      <c r="AV49" s="1" t="n">
        <v>1</v>
      </c>
      <c r="AW49" s="1" t="n">
        <v>1</v>
      </c>
      <c r="AX49" s="1" t="n">
        <f aca="false">B49</f>
        <v>5.36476528618522</v>
      </c>
      <c r="AY49" s="1" t="n">
        <f aca="false">B49</f>
        <v>5.36476528618522</v>
      </c>
      <c r="AZ49" s="1" t="n">
        <f aca="false">B49</f>
        <v>5.36476528618522</v>
      </c>
      <c r="BA49" s="1" t="n">
        <v>1</v>
      </c>
      <c r="BB49" s="1" t="n">
        <v>1</v>
      </c>
      <c r="BC49" s="1" t="n">
        <f aca="false">B49</f>
        <v>5.36476528618522</v>
      </c>
      <c r="BD49" s="1" t="n">
        <f aca="false">B49</f>
        <v>5.36476528618522</v>
      </c>
      <c r="BE49" s="1" t="n">
        <v>1</v>
      </c>
      <c r="BF49" s="1" t="n">
        <v>1</v>
      </c>
      <c r="BG49" s="1" t="n">
        <f aca="false">B49</f>
        <v>5.36476528618522</v>
      </c>
      <c r="BH49" s="1" t="n">
        <f aca="false">B49</f>
        <v>5.36476528618522</v>
      </c>
      <c r="BI49" s="1" t="n">
        <f aca="false">B49</f>
        <v>5.36476528618522</v>
      </c>
      <c r="BJ49" s="1" t="n">
        <f aca="false">B49</f>
        <v>5.36476528618522</v>
      </c>
      <c r="BK49" s="1" t="n">
        <v>1</v>
      </c>
    </row>
    <row r="50" customFormat="false" ht="12.75" hidden="false" customHeight="false" outlineLevel="0" collapsed="false">
      <c r="A50" s="1" t="n">
        <f aca="false">A49-1</f>
        <v>1977</v>
      </c>
      <c r="B50" s="1" t="n">
        <f aca="false">im!H50/im!G50</f>
        <v>5.21582915729641</v>
      </c>
      <c r="C50" s="1" t="n">
        <f aca="false">B50</f>
        <v>5.21582915729641</v>
      </c>
      <c r="D50" s="1" t="n">
        <f aca="false">B50</f>
        <v>5.21582915729641</v>
      </c>
      <c r="E50" s="1" t="n">
        <f aca="false">B50</f>
        <v>5.21582915729641</v>
      </c>
      <c r="F50" s="1" t="n">
        <v>1</v>
      </c>
      <c r="G50" s="1" t="n">
        <v>1</v>
      </c>
      <c r="H50" s="1" t="n">
        <v>1</v>
      </c>
      <c r="I50" s="1" t="n">
        <v>1</v>
      </c>
      <c r="J50" s="1" t="n">
        <v>1</v>
      </c>
      <c r="K50" s="1" t="n">
        <v>1</v>
      </c>
      <c r="L50" s="1" t="n">
        <f aca="false">B50</f>
        <v>5.21582915729641</v>
      </c>
      <c r="M50" s="1" t="n">
        <f aca="false">B50</f>
        <v>5.21582915729641</v>
      </c>
      <c r="N50" s="1" t="n">
        <f aca="false">B50</f>
        <v>5.21582915729641</v>
      </c>
      <c r="O50" s="1" t="n">
        <f aca="false">B50</f>
        <v>5.21582915729641</v>
      </c>
      <c r="P50" s="1" t="n">
        <f aca="false">B50</f>
        <v>5.21582915729641</v>
      </c>
      <c r="Q50" s="1" t="n">
        <v>1</v>
      </c>
      <c r="R50" s="1" t="n">
        <v>1</v>
      </c>
      <c r="S50" s="1" t="n">
        <v>1</v>
      </c>
      <c r="T50" s="1" t="n">
        <v>1</v>
      </c>
      <c r="U50" s="1" t="n">
        <v>1</v>
      </c>
      <c r="V50" s="1" t="n">
        <v>1</v>
      </c>
      <c r="W50" s="1" t="n">
        <v>1</v>
      </c>
      <c r="X50" s="1" t="n">
        <v>1</v>
      </c>
      <c r="Y50" s="1" t="n">
        <v>1</v>
      </c>
      <c r="Z50" s="1" t="n">
        <v>1</v>
      </c>
      <c r="AA50" s="1" t="n">
        <v>1</v>
      </c>
      <c r="AB50" s="1" t="n">
        <v>1</v>
      </c>
      <c r="AC50" s="1" t="n">
        <v>1</v>
      </c>
      <c r="AD50" s="1" t="n">
        <v>1</v>
      </c>
      <c r="AE50" s="1" t="n">
        <f aca="false">B50</f>
        <v>5.21582915729641</v>
      </c>
      <c r="AF50" s="1" t="n">
        <f aca="false">B50</f>
        <v>5.21582915729641</v>
      </c>
      <c r="AG50" s="1" t="n">
        <f aca="false">B50</f>
        <v>5.21582915729641</v>
      </c>
      <c r="AH50" s="1" t="n">
        <f aca="false">B50</f>
        <v>5.21582915729641</v>
      </c>
      <c r="AI50" s="1" t="n">
        <f aca="false">B50</f>
        <v>5.21582915729641</v>
      </c>
      <c r="AJ50" s="1" t="n">
        <f aca="false">B50</f>
        <v>5.21582915729641</v>
      </c>
      <c r="AK50" s="1" t="n">
        <f aca="false">B50</f>
        <v>5.21582915729641</v>
      </c>
      <c r="AL50" s="1" t="n">
        <f aca="false">B50</f>
        <v>5.21582915729641</v>
      </c>
      <c r="AM50" s="1" t="n">
        <f aca="false">B50</f>
        <v>5.21582915729641</v>
      </c>
      <c r="AN50" s="1" t="n">
        <v>1</v>
      </c>
      <c r="AO50" s="1" t="n">
        <v>1</v>
      </c>
      <c r="AP50" s="1" t="n">
        <v>1</v>
      </c>
      <c r="AQ50" s="1" t="n">
        <v>1</v>
      </c>
      <c r="AR50" s="1" t="n">
        <v>1</v>
      </c>
      <c r="AS50" s="1" t="n">
        <v>1</v>
      </c>
      <c r="AT50" s="1" t="n">
        <v>1</v>
      </c>
      <c r="AU50" s="1" t="n">
        <v>1</v>
      </c>
      <c r="AV50" s="1" t="n">
        <v>1</v>
      </c>
      <c r="AW50" s="1" t="n">
        <v>1</v>
      </c>
      <c r="AX50" s="1" t="n">
        <f aca="false">B50</f>
        <v>5.21582915729641</v>
      </c>
      <c r="AY50" s="1" t="n">
        <f aca="false">B50</f>
        <v>5.21582915729641</v>
      </c>
      <c r="AZ50" s="1" t="n">
        <f aca="false">B50</f>
        <v>5.21582915729641</v>
      </c>
      <c r="BA50" s="1" t="n">
        <v>1</v>
      </c>
      <c r="BB50" s="1" t="n">
        <v>1</v>
      </c>
      <c r="BC50" s="1" t="n">
        <f aca="false">B50</f>
        <v>5.21582915729641</v>
      </c>
      <c r="BD50" s="1" t="n">
        <f aca="false">B50</f>
        <v>5.21582915729641</v>
      </c>
      <c r="BE50" s="1" t="n">
        <v>1</v>
      </c>
      <c r="BF50" s="1" t="n">
        <v>1</v>
      </c>
      <c r="BG50" s="1" t="n">
        <f aca="false">B50</f>
        <v>5.21582915729641</v>
      </c>
      <c r="BH50" s="1" t="n">
        <f aca="false">B50</f>
        <v>5.21582915729641</v>
      </c>
      <c r="BI50" s="1" t="n">
        <f aca="false">B50</f>
        <v>5.21582915729641</v>
      </c>
      <c r="BJ50" s="1" t="n">
        <f aca="false">B50</f>
        <v>5.21582915729641</v>
      </c>
      <c r="BK50" s="1" t="n">
        <v>1</v>
      </c>
    </row>
    <row r="51" customFormat="false" ht="12.75" hidden="false" customHeight="false" outlineLevel="0" collapsed="false">
      <c r="A51" s="1" t="n">
        <f aca="false">A50-1</f>
        <v>1976</v>
      </c>
      <c r="B51" s="1" t="n">
        <f aca="false">im!H51/im!G51</f>
        <v>5.62752850502562</v>
      </c>
      <c r="C51" s="1" t="n">
        <f aca="false">B51</f>
        <v>5.62752850502562</v>
      </c>
      <c r="D51" s="1" t="n">
        <f aca="false">B51</f>
        <v>5.62752850502562</v>
      </c>
      <c r="E51" s="1" t="n">
        <f aca="false">B51</f>
        <v>5.62752850502562</v>
      </c>
      <c r="F51" s="1" t="n">
        <v>1</v>
      </c>
      <c r="G51" s="1" t="n">
        <v>1</v>
      </c>
      <c r="H51" s="1" t="n">
        <v>1</v>
      </c>
      <c r="I51" s="1" t="n">
        <v>1</v>
      </c>
      <c r="J51" s="1" t="n">
        <v>1</v>
      </c>
      <c r="K51" s="1" t="n">
        <v>1</v>
      </c>
      <c r="L51" s="1" t="n">
        <f aca="false">B51</f>
        <v>5.62752850502562</v>
      </c>
      <c r="M51" s="1" t="n">
        <f aca="false">B51</f>
        <v>5.62752850502562</v>
      </c>
      <c r="N51" s="1" t="n">
        <f aca="false">B51</f>
        <v>5.62752850502562</v>
      </c>
      <c r="O51" s="1" t="n">
        <f aca="false">B51</f>
        <v>5.62752850502562</v>
      </c>
      <c r="P51" s="1" t="n">
        <f aca="false">B51</f>
        <v>5.62752850502562</v>
      </c>
      <c r="Q51" s="1" t="n">
        <v>1</v>
      </c>
      <c r="R51" s="1" t="n">
        <v>1</v>
      </c>
      <c r="S51" s="1" t="n">
        <v>1</v>
      </c>
      <c r="T51" s="1" t="n">
        <v>1</v>
      </c>
      <c r="U51" s="1" t="n">
        <v>1</v>
      </c>
      <c r="V51" s="1" t="n">
        <v>1</v>
      </c>
      <c r="W51" s="1" t="n">
        <v>1</v>
      </c>
      <c r="X51" s="1" t="n">
        <v>1</v>
      </c>
      <c r="Y51" s="1" t="n">
        <v>1</v>
      </c>
      <c r="Z51" s="1" t="n">
        <v>1</v>
      </c>
      <c r="AA51" s="1" t="n">
        <v>1</v>
      </c>
      <c r="AB51" s="1" t="n">
        <v>1</v>
      </c>
      <c r="AC51" s="1" t="n">
        <v>1</v>
      </c>
      <c r="AD51" s="1" t="n">
        <v>1</v>
      </c>
      <c r="AE51" s="1" t="n">
        <f aca="false">B51</f>
        <v>5.62752850502562</v>
      </c>
      <c r="AF51" s="1" t="n">
        <f aca="false">B51</f>
        <v>5.62752850502562</v>
      </c>
      <c r="AG51" s="1" t="n">
        <f aca="false">B51</f>
        <v>5.62752850502562</v>
      </c>
      <c r="AH51" s="1" t="n">
        <f aca="false">B51</f>
        <v>5.62752850502562</v>
      </c>
      <c r="AI51" s="1" t="n">
        <f aca="false">B51</f>
        <v>5.62752850502562</v>
      </c>
      <c r="AJ51" s="1" t="n">
        <f aca="false">B51</f>
        <v>5.62752850502562</v>
      </c>
      <c r="AK51" s="1" t="n">
        <f aca="false">B51</f>
        <v>5.62752850502562</v>
      </c>
      <c r="AL51" s="1" t="n">
        <f aca="false">B51</f>
        <v>5.62752850502562</v>
      </c>
      <c r="AM51" s="1" t="n">
        <f aca="false">B51</f>
        <v>5.62752850502562</v>
      </c>
      <c r="AN51" s="1" t="n">
        <v>1</v>
      </c>
      <c r="AO51" s="1" t="n">
        <v>1</v>
      </c>
      <c r="AP51" s="1" t="n">
        <v>1</v>
      </c>
      <c r="AQ51" s="1" t="n">
        <v>1</v>
      </c>
      <c r="AR51" s="1" t="n">
        <v>1</v>
      </c>
      <c r="AS51" s="1" t="n">
        <v>1</v>
      </c>
      <c r="AT51" s="1" t="n">
        <v>1</v>
      </c>
      <c r="AU51" s="1" t="n">
        <v>1</v>
      </c>
      <c r="AV51" s="1" t="n">
        <v>1</v>
      </c>
      <c r="AW51" s="1" t="n">
        <v>1</v>
      </c>
      <c r="AX51" s="1" t="n">
        <f aca="false">B51</f>
        <v>5.62752850502562</v>
      </c>
      <c r="AY51" s="1" t="n">
        <f aca="false">B51</f>
        <v>5.62752850502562</v>
      </c>
      <c r="AZ51" s="1" t="n">
        <f aca="false">B51</f>
        <v>5.62752850502562</v>
      </c>
      <c r="BA51" s="1" t="n">
        <v>1</v>
      </c>
      <c r="BB51" s="1" t="n">
        <v>1</v>
      </c>
      <c r="BC51" s="1" t="n">
        <f aca="false">B51</f>
        <v>5.62752850502562</v>
      </c>
      <c r="BD51" s="1" t="n">
        <f aca="false">B51</f>
        <v>5.62752850502562</v>
      </c>
      <c r="BE51" s="1" t="n">
        <v>1</v>
      </c>
      <c r="BF51" s="1" t="n">
        <v>1</v>
      </c>
      <c r="BG51" s="1" t="n">
        <f aca="false">B51</f>
        <v>5.62752850502562</v>
      </c>
      <c r="BH51" s="1" t="n">
        <f aca="false">B51</f>
        <v>5.62752850502562</v>
      </c>
      <c r="BI51" s="1" t="n">
        <f aca="false">B51</f>
        <v>5.62752850502562</v>
      </c>
      <c r="BJ51" s="1" t="n">
        <f aca="false">B51</f>
        <v>5.62752850502562</v>
      </c>
      <c r="BK51" s="1" t="n">
        <v>1</v>
      </c>
    </row>
    <row r="52" customFormat="false" ht="12.75" hidden="false" customHeight="false" outlineLevel="0" collapsed="false">
      <c r="A52" s="1" t="n">
        <f aca="false">A51-1</f>
        <v>1975</v>
      </c>
      <c r="B52" s="1" t="n">
        <f aca="false">im!H52/im!G52</f>
        <v>4.67910771526711</v>
      </c>
      <c r="C52" s="1" t="n">
        <f aca="false">B52</f>
        <v>4.67910771526711</v>
      </c>
      <c r="D52" s="1" t="n">
        <f aca="false">B52</f>
        <v>4.67910771526711</v>
      </c>
      <c r="E52" s="1" t="n">
        <f aca="false">B52</f>
        <v>4.67910771526711</v>
      </c>
      <c r="F52" s="1" t="n">
        <v>1</v>
      </c>
      <c r="G52" s="1" t="n">
        <v>1</v>
      </c>
      <c r="H52" s="1" t="n">
        <v>1</v>
      </c>
      <c r="I52" s="1" t="n">
        <v>1</v>
      </c>
      <c r="J52" s="1" t="n">
        <v>1</v>
      </c>
      <c r="K52" s="1" t="n">
        <v>1</v>
      </c>
      <c r="L52" s="1" t="n">
        <f aca="false">B52</f>
        <v>4.67910771526711</v>
      </c>
      <c r="M52" s="1" t="n">
        <f aca="false">B52</f>
        <v>4.67910771526711</v>
      </c>
      <c r="N52" s="1" t="n">
        <f aca="false">B52</f>
        <v>4.67910771526711</v>
      </c>
      <c r="O52" s="1" t="n">
        <f aca="false">B52</f>
        <v>4.67910771526711</v>
      </c>
      <c r="P52" s="1" t="n">
        <f aca="false">B52</f>
        <v>4.67910771526711</v>
      </c>
      <c r="Q52" s="1" t="n">
        <v>1</v>
      </c>
      <c r="R52" s="1" t="n">
        <v>1</v>
      </c>
      <c r="S52" s="1" t="n">
        <v>1</v>
      </c>
      <c r="T52" s="1" t="n">
        <v>1</v>
      </c>
      <c r="U52" s="1" t="n">
        <v>1</v>
      </c>
      <c r="V52" s="1" t="n">
        <v>1</v>
      </c>
      <c r="W52" s="1" t="n">
        <v>1</v>
      </c>
      <c r="X52" s="1" t="n">
        <v>1</v>
      </c>
      <c r="Y52" s="1" t="n">
        <v>1</v>
      </c>
      <c r="Z52" s="1" t="n">
        <v>1</v>
      </c>
      <c r="AA52" s="1" t="n">
        <v>1</v>
      </c>
      <c r="AB52" s="1" t="n">
        <v>1</v>
      </c>
      <c r="AC52" s="1" t="n">
        <v>1</v>
      </c>
      <c r="AD52" s="1" t="n">
        <v>1</v>
      </c>
      <c r="AE52" s="1" t="n">
        <f aca="false">B52</f>
        <v>4.67910771526711</v>
      </c>
      <c r="AF52" s="1" t="n">
        <f aca="false">B52</f>
        <v>4.67910771526711</v>
      </c>
      <c r="AG52" s="1" t="n">
        <f aca="false">B52</f>
        <v>4.67910771526711</v>
      </c>
      <c r="AH52" s="1" t="n">
        <f aca="false">B52</f>
        <v>4.67910771526711</v>
      </c>
      <c r="AI52" s="1" t="n">
        <f aca="false">B52</f>
        <v>4.67910771526711</v>
      </c>
      <c r="AJ52" s="1" t="n">
        <f aca="false">B52</f>
        <v>4.67910771526711</v>
      </c>
      <c r="AK52" s="1" t="n">
        <f aca="false">B52</f>
        <v>4.67910771526711</v>
      </c>
      <c r="AL52" s="1" t="n">
        <f aca="false">B52</f>
        <v>4.67910771526711</v>
      </c>
      <c r="AM52" s="1" t="n">
        <f aca="false">B52</f>
        <v>4.67910771526711</v>
      </c>
      <c r="AN52" s="1" t="n">
        <v>1</v>
      </c>
      <c r="AO52" s="1" t="n">
        <v>1</v>
      </c>
      <c r="AP52" s="1" t="n">
        <v>1</v>
      </c>
      <c r="AQ52" s="1" t="n">
        <v>1</v>
      </c>
      <c r="AR52" s="1" t="n">
        <v>1</v>
      </c>
      <c r="AS52" s="1" t="n">
        <v>1</v>
      </c>
      <c r="AT52" s="1" t="n">
        <v>1</v>
      </c>
      <c r="AU52" s="1" t="n">
        <v>1</v>
      </c>
      <c r="AV52" s="1" t="n">
        <v>1</v>
      </c>
      <c r="AW52" s="1" t="n">
        <v>1</v>
      </c>
      <c r="AX52" s="1" t="n">
        <f aca="false">B52</f>
        <v>4.67910771526711</v>
      </c>
      <c r="AY52" s="1" t="n">
        <f aca="false">B52</f>
        <v>4.67910771526711</v>
      </c>
      <c r="AZ52" s="1" t="n">
        <f aca="false">B52</f>
        <v>4.67910771526711</v>
      </c>
      <c r="BA52" s="1" t="n">
        <v>1</v>
      </c>
      <c r="BB52" s="1" t="n">
        <v>1</v>
      </c>
      <c r="BC52" s="1" t="n">
        <f aca="false">B52</f>
        <v>4.67910771526711</v>
      </c>
      <c r="BD52" s="1" t="n">
        <f aca="false">B52</f>
        <v>4.67910771526711</v>
      </c>
      <c r="BE52" s="1" t="n">
        <v>1</v>
      </c>
      <c r="BF52" s="1" t="n">
        <v>1</v>
      </c>
      <c r="BG52" s="1" t="n">
        <f aca="false">B52</f>
        <v>4.67910771526711</v>
      </c>
      <c r="BH52" s="1" t="n">
        <f aca="false">B52</f>
        <v>4.67910771526711</v>
      </c>
      <c r="BI52" s="1" t="n">
        <f aca="false">B52</f>
        <v>4.67910771526711</v>
      </c>
      <c r="BJ52" s="1" t="n">
        <f aca="false">B52</f>
        <v>4.67910771526711</v>
      </c>
      <c r="BK52" s="1" t="n">
        <v>1</v>
      </c>
    </row>
    <row r="53" customFormat="false" ht="12.75" hidden="false" customHeight="false" outlineLevel="0" collapsed="false">
      <c r="A53" s="1" t="n">
        <f aca="false">A52-1</f>
        <v>1974</v>
      </c>
      <c r="B53" s="1" t="n">
        <f aca="false">im!H53/im!G53</f>
        <v>4.83532512182055</v>
      </c>
      <c r="C53" s="1" t="n">
        <f aca="false">B53</f>
        <v>4.83532512182055</v>
      </c>
      <c r="D53" s="1" t="n">
        <f aca="false">B53</f>
        <v>4.83532512182055</v>
      </c>
      <c r="E53" s="1" t="n">
        <f aca="false">B53</f>
        <v>4.83532512182055</v>
      </c>
      <c r="F53" s="1" t="n">
        <v>1</v>
      </c>
      <c r="G53" s="1" t="n">
        <v>1</v>
      </c>
      <c r="H53" s="1" t="n">
        <v>1</v>
      </c>
      <c r="I53" s="1" t="n">
        <v>1</v>
      </c>
      <c r="J53" s="1" t="n">
        <v>1</v>
      </c>
      <c r="K53" s="1" t="n">
        <v>1</v>
      </c>
      <c r="L53" s="1" t="n">
        <f aca="false">B53</f>
        <v>4.83532512182055</v>
      </c>
      <c r="M53" s="1" t="n">
        <f aca="false">B53</f>
        <v>4.83532512182055</v>
      </c>
      <c r="N53" s="1" t="n">
        <f aca="false">B53</f>
        <v>4.83532512182055</v>
      </c>
      <c r="O53" s="1" t="n">
        <f aca="false">B53</f>
        <v>4.83532512182055</v>
      </c>
      <c r="P53" s="1" t="n">
        <f aca="false">B53</f>
        <v>4.83532512182055</v>
      </c>
      <c r="Q53" s="1" t="n">
        <v>1</v>
      </c>
      <c r="R53" s="1" t="n">
        <v>1</v>
      </c>
      <c r="S53" s="1" t="n">
        <v>1</v>
      </c>
      <c r="T53" s="1" t="n">
        <v>1</v>
      </c>
      <c r="U53" s="1" t="n">
        <v>1</v>
      </c>
      <c r="V53" s="1" t="n">
        <v>1</v>
      </c>
      <c r="W53" s="1" t="n">
        <v>1</v>
      </c>
      <c r="X53" s="1" t="n">
        <v>1</v>
      </c>
      <c r="Y53" s="1" t="n">
        <v>1</v>
      </c>
      <c r="Z53" s="1" t="n">
        <v>1</v>
      </c>
      <c r="AA53" s="1" t="n">
        <v>1</v>
      </c>
      <c r="AB53" s="1" t="n">
        <v>1</v>
      </c>
      <c r="AC53" s="1" t="n">
        <v>1</v>
      </c>
      <c r="AD53" s="1" t="n">
        <v>1</v>
      </c>
      <c r="AE53" s="1" t="n">
        <f aca="false">B53</f>
        <v>4.83532512182055</v>
      </c>
      <c r="AF53" s="1" t="n">
        <f aca="false">B53</f>
        <v>4.83532512182055</v>
      </c>
      <c r="AG53" s="1" t="n">
        <f aca="false">B53</f>
        <v>4.83532512182055</v>
      </c>
      <c r="AH53" s="1" t="n">
        <f aca="false">B53</f>
        <v>4.83532512182055</v>
      </c>
      <c r="AI53" s="1" t="n">
        <f aca="false">B53</f>
        <v>4.83532512182055</v>
      </c>
      <c r="AJ53" s="1" t="n">
        <f aca="false">B53</f>
        <v>4.83532512182055</v>
      </c>
      <c r="AK53" s="1" t="n">
        <f aca="false">B53</f>
        <v>4.83532512182055</v>
      </c>
      <c r="AL53" s="1" t="n">
        <f aca="false">B53</f>
        <v>4.83532512182055</v>
      </c>
      <c r="AM53" s="1" t="n">
        <f aca="false">B53</f>
        <v>4.83532512182055</v>
      </c>
      <c r="AN53" s="1" t="n">
        <v>1</v>
      </c>
      <c r="AO53" s="1" t="n">
        <v>1</v>
      </c>
      <c r="AP53" s="1" t="n">
        <v>1</v>
      </c>
      <c r="AQ53" s="1" t="n">
        <v>1</v>
      </c>
      <c r="AR53" s="1" t="n">
        <v>1</v>
      </c>
      <c r="AS53" s="1" t="n">
        <v>1</v>
      </c>
      <c r="AT53" s="1" t="n">
        <v>1</v>
      </c>
      <c r="AU53" s="1" t="n">
        <v>1</v>
      </c>
      <c r="AV53" s="1" t="n">
        <v>1</v>
      </c>
      <c r="AW53" s="1" t="n">
        <v>1</v>
      </c>
      <c r="AX53" s="1" t="n">
        <f aca="false">B53</f>
        <v>4.83532512182055</v>
      </c>
      <c r="AY53" s="1" t="n">
        <f aca="false">B53</f>
        <v>4.83532512182055</v>
      </c>
      <c r="AZ53" s="1" t="n">
        <f aca="false">B53</f>
        <v>4.83532512182055</v>
      </c>
      <c r="BA53" s="1" t="n">
        <v>1</v>
      </c>
      <c r="BB53" s="1" t="n">
        <v>1</v>
      </c>
      <c r="BC53" s="1" t="n">
        <f aca="false">B53</f>
        <v>4.83532512182055</v>
      </c>
      <c r="BD53" s="1" t="n">
        <f aca="false">B53</f>
        <v>4.83532512182055</v>
      </c>
      <c r="BE53" s="1" t="n">
        <v>1</v>
      </c>
      <c r="BF53" s="1" t="n">
        <v>1</v>
      </c>
      <c r="BG53" s="1" t="n">
        <f aca="false">B53</f>
        <v>4.83532512182055</v>
      </c>
      <c r="BH53" s="1" t="n">
        <f aca="false">B53</f>
        <v>4.83532512182055</v>
      </c>
      <c r="BI53" s="1" t="n">
        <f aca="false">B53</f>
        <v>4.83532512182055</v>
      </c>
      <c r="BJ53" s="1" t="n">
        <f aca="false">B53</f>
        <v>4.83532512182055</v>
      </c>
      <c r="BK53" s="1" t="n">
        <v>1</v>
      </c>
    </row>
    <row r="54" customFormat="false" ht="12.75" hidden="false" customHeight="false" outlineLevel="0" collapsed="false">
      <c r="A54" s="1" t="n">
        <f aca="false">A53-1</f>
        <v>1973</v>
      </c>
      <c r="B54" s="1" t="n">
        <f aca="false">im!H54/im!G54</f>
        <v>5.56089096089095</v>
      </c>
      <c r="C54" s="1" t="n">
        <f aca="false">B54</f>
        <v>5.56089096089095</v>
      </c>
      <c r="D54" s="1" t="n">
        <f aca="false">B54</f>
        <v>5.56089096089095</v>
      </c>
      <c r="E54" s="1" t="n">
        <f aca="false">B54</f>
        <v>5.56089096089095</v>
      </c>
      <c r="F54" s="1" t="n">
        <v>1</v>
      </c>
      <c r="G54" s="1" t="n">
        <v>1</v>
      </c>
      <c r="H54" s="1" t="n">
        <v>1</v>
      </c>
      <c r="I54" s="1" t="n">
        <v>1</v>
      </c>
      <c r="J54" s="1" t="n">
        <v>1</v>
      </c>
      <c r="K54" s="1" t="n">
        <v>1</v>
      </c>
      <c r="L54" s="1" t="n">
        <f aca="false">B54</f>
        <v>5.56089096089095</v>
      </c>
      <c r="M54" s="1" t="n">
        <f aca="false">B54</f>
        <v>5.56089096089095</v>
      </c>
      <c r="N54" s="1" t="n">
        <f aca="false">B54</f>
        <v>5.56089096089095</v>
      </c>
      <c r="O54" s="1" t="n">
        <f aca="false">B54</f>
        <v>5.56089096089095</v>
      </c>
      <c r="P54" s="1" t="n">
        <f aca="false">B54</f>
        <v>5.56089096089095</v>
      </c>
      <c r="Q54" s="1" t="n">
        <v>1</v>
      </c>
      <c r="R54" s="1" t="n">
        <v>1</v>
      </c>
      <c r="S54" s="1" t="n">
        <v>1</v>
      </c>
      <c r="T54" s="1" t="n">
        <v>1</v>
      </c>
      <c r="U54" s="1" t="n">
        <v>1</v>
      </c>
      <c r="V54" s="1" t="n">
        <v>1</v>
      </c>
      <c r="W54" s="1" t="n">
        <v>1</v>
      </c>
      <c r="X54" s="1" t="n">
        <v>1</v>
      </c>
      <c r="Y54" s="1" t="n">
        <v>1</v>
      </c>
      <c r="Z54" s="1" t="n">
        <v>1</v>
      </c>
      <c r="AA54" s="1" t="n">
        <v>1</v>
      </c>
      <c r="AB54" s="1" t="n">
        <v>1</v>
      </c>
      <c r="AC54" s="1" t="n">
        <v>1</v>
      </c>
      <c r="AD54" s="1" t="n">
        <v>1</v>
      </c>
      <c r="AE54" s="1" t="n">
        <f aca="false">B54</f>
        <v>5.56089096089095</v>
      </c>
      <c r="AF54" s="1" t="n">
        <f aca="false">B54</f>
        <v>5.56089096089095</v>
      </c>
      <c r="AG54" s="1" t="n">
        <f aca="false">B54</f>
        <v>5.56089096089095</v>
      </c>
      <c r="AH54" s="1" t="n">
        <f aca="false">B54</f>
        <v>5.56089096089095</v>
      </c>
      <c r="AI54" s="1" t="n">
        <f aca="false">B54</f>
        <v>5.56089096089095</v>
      </c>
      <c r="AJ54" s="1" t="n">
        <f aca="false">B54</f>
        <v>5.56089096089095</v>
      </c>
      <c r="AK54" s="1" t="n">
        <f aca="false">B54</f>
        <v>5.56089096089095</v>
      </c>
      <c r="AL54" s="1" t="n">
        <f aca="false">B54</f>
        <v>5.56089096089095</v>
      </c>
      <c r="AM54" s="1" t="n">
        <f aca="false">B54</f>
        <v>5.56089096089095</v>
      </c>
      <c r="AN54" s="1" t="n">
        <v>1</v>
      </c>
      <c r="AO54" s="1" t="n">
        <v>1</v>
      </c>
      <c r="AP54" s="1" t="n">
        <v>1</v>
      </c>
      <c r="AQ54" s="1" t="n">
        <v>1</v>
      </c>
      <c r="AR54" s="1" t="n">
        <v>1</v>
      </c>
      <c r="AS54" s="1" t="n">
        <v>1</v>
      </c>
      <c r="AT54" s="1" t="n">
        <v>1</v>
      </c>
      <c r="AU54" s="1" t="n">
        <v>1</v>
      </c>
      <c r="AV54" s="1" t="n">
        <v>1</v>
      </c>
      <c r="AW54" s="1" t="n">
        <v>1</v>
      </c>
      <c r="AX54" s="1" t="n">
        <f aca="false">B54</f>
        <v>5.56089096089095</v>
      </c>
      <c r="AY54" s="1" t="n">
        <f aca="false">B54</f>
        <v>5.56089096089095</v>
      </c>
      <c r="AZ54" s="1" t="n">
        <f aca="false">B54</f>
        <v>5.56089096089095</v>
      </c>
      <c r="BA54" s="1" t="n">
        <v>1</v>
      </c>
      <c r="BB54" s="1" t="n">
        <v>1</v>
      </c>
      <c r="BC54" s="1" t="n">
        <f aca="false">B54</f>
        <v>5.56089096089095</v>
      </c>
      <c r="BD54" s="1" t="n">
        <f aca="false">B54</f>
        <v>5.56089096089095</v>
      </c>
      <c r="BE54" s="1" t="n">
        <v>1</v>
      </c>
      <c r="BF54" s="1" t="n">
        <v>1</v>
      </c>
      <c r="BG54" s="1" t="n">
        <f aca="false">B54</f>
        <v>5.56089096089095</v>
      </c>
      <c r="BH54" s="1" t="n">
        <f aca="false">B54</f>
        <v>5.56089096089095</v>
      </c>
      <c r="BI54" s="1" t="n">
        <f aca="false">B54</f>
        <v>5.56089096089095</v>
      </c>
      <c r="BJ54" s="1" t="n">
        <f aca="false">B54</f>
        <v>5.56089096089095</v>
      </c>
      <c r="BK54" s="1" t="n">
        <v>1</v>
      </c>
    </row>
    <row r="55" customFormat="false" ht="12.75" hidden="false" customHeight="false" outlineLevel="0" collapsed="false">
      <c r="A55" s="1" t="n">
        <f aca="false">A54-1</f>
        <v>1972</v>
      </c>
      <c r="B55" s="1" t="n">
        <f aca="false">im!H55/im!G55</f>
        <v>4.59804267844003</v>
      </c>
      <c r="C55" s="1" t="n">
        <f aca="false">B55</f>
        <v>4.59804267844003</v>
      </c>
      <c r="D55" s="1" t="n">
        <f aca="false">B55</f>
        <v>4.59804267844003</v>
      </c>
      <c r="E55" s="1" t="n">
        <f aca="false">B55</f>
        <v>4.59804267844003</v>
      </c>
      <c r="F55" s="1" t="n">
        <v>1</v>
      </c>
      <c r="G55" s="1" t="n">
        <v>1</v>
      </c>
      <c r="H55" s="1" t="n">
        <v>1</v>
      </c>
      <c r="I55" s="1" t="n">
        <v>1</v>
      </c>
      <c r="J55" s="1" t="n">
        <v>1</v>
      </c>
      <c r="K55" s="1" t="n">
        <v>1</v>
      </c>
      <c r="L55" s="1" t="n">
        <f aca="false">B55</f>
        <v>4.59804267844003</v>
      </c>
      <c r="M55" s="1" t="n">
        <f aca="false">B55</f>
        <v>4.59804267844003</v>
      </c>
      <c r="N55" s="1" t="n">
        <f aca="false">B55</f>
        <v>4.59804267844003</v>
      </c>
      <c r="O55" s="1" t="n">
        <f aca="false">B55</f>
        <v>4.59804267844003</v>
      </c>
      <c r="P55" s="1" t="n">
        <f aca="false">B55</f>
        <v>4.59804267844003</v>
      </c>
      <c r="Q55" s="1" t="n">
        <v>1</v>
      </c>
      <c r="R55" s="1" t="n">
        <v>1</v>
      </c>
      <c r="S55" s="1" t="n">
        <v>1</v>
      </c>
      <c r="T55" s="1" t="n">
        <v>1</v>
      </c>
      <c r="U55" s="1" t="n">
        <v>1</v>
      </c>
      <c r="V55" s="1" t="n">
        <v>1</v>
      </c>
      <c r="W55" s="1" t="n">
        <v>1</v>
      </c>
      <c r="X55" s="1" t="n">
        <v>1</v>
      </c>
      <c r="Y55" s="1" t="n">
        <v>1</v>
      </c>
      <c r="Z55" s="1" t="n">
        <v>1</v>
      </c>
      <c r="AA55" s="1" t="n">
        <v>1</v>
      </c>
      <c r="AB55" s="1" t="n">
        <v>1</v>
      </c>
      <c r="AC55" s="1" t="n">
        <v>1</v>
      </c>
      <c r="AD55" s="1" t="n">
        <v>1</v>
      </c>
      <c r="AE55" s="1" t="n">
        <f aca="false">B55</f>
        <v>4.59804267844003</v>
      </c>
      <c r="AF55" s="1" t="n">
        <f aca="false">B55</f>
        <v>4.59804267844003</v>
      </c>
      <c r="AG55" s="1" t="n">
        <f aca="false">B55</f>
        <v>4.59804267844003</v>
      </c>
      <c r="AH55" s="1" t="n">
        <f aca="false">B55</f>
        <v>4.59804267844003</v>
      </c>
      <c r="AI55" s="1" t="n">
        <f aca="false">B55</f>
        <v>4.59804267844003</v>
      </c>
      <c r="AJ55" s="1" t="n">
        <f aca="false">B55</f>
        <v>4.59804267844003</v>
      </c>
      <c r="AK55" s="1" t="n">
        <f aca="false">B55</f>
        <v>4.59804267844003</v>
      </c>
      <c r="AL55" s="1" t="n">
        <f aca="false">B55</f>
        <v>4.59804267844003</v>
      </c>
      <c r="AM55" s="1" t="n">
        <f aca="false">B55</f>
        <v>4.59804267844003</v>
      </c>
      <c r="AN55" s="1" t="n">
        <v>1</v>
      </c>
      <c r="AO55" s="1" t="n">
        <v>1</v>
      </c>
      <c r="AP55" s="1" t="n">
        <v>1</v>
      </c>
      <c r="AQ55" s="1" t="n">
        <v>1</v>
      </c>
      <c r="AR55" s="1" t="n">
        <v>1</v>
      </c>
      <c r="AS55" s="1" t="n">
        <v>1</v>
      </c>
      <c r="AT55" s="1" t="n">
        <v>1</v>
      </c>
      <c r="AU55" s="1" t="n">
        <v>1</v>
      </c>
      <c r="AV55" s="1" t="n">
        <v>1</v>
      </c>
      <c r="AW55" s="1" t="n">
        <v>1</v>
      </c>
      <c r="AX55" s="1" t="n">
        <f aca="false">B55</f>
        <v>4.59804267844003</v>
      </c>
      <c r="AY55" s="1" t="n">
        <f aca="false">B55</f>
        <v>4.59804267844003</v>
      </c>
      <c r="AZ55" s="1" t="n">
        <f aca="false">B55</f>
        <v>4.59804267844003</v>
      </c>
      <c r="BA55" s="1" t="n">
        <v>1</v>
      </c>
      <c r="BB55" s="1" t="n">
        <v>1</v>
      </c>
      <c r="BC55" s="1" t="n">
        <f aca="false">B55</f>
        <v>4.59804267844003</v>
      </c>
      <c r="BD55" s="1" t="n">
        <f aca="false">B55</f>
        <v>4.59804267844003</v>
      </c>
      <c r="BE55" s="1" t="n">
        <v>1</v>
      </c>
      <c r="BF55" s="1" t="n">
        <v>1</v>
      </c>
      <c r="BG55" s="1" t="n">
        <f aca="false">B55</f>
        <v>4.59804267844003</v>
      </c>
      <c r="BH55" s="1" t="n">
        <f aca="false">B55</f>
        <v>4.59804267844003</v>
      </c>
      <c r="BI55" s="1" t="n">
        <f aca="false">B55</f>
        <v>4.59804267844003</v>
      </c>
      <c r="BJ55" s="1" t="n">
        <f aca="false">B55</f>
        <v>4.59804267844003</v>
      </c>
      <c r="BK55" s="1" t="n">
        <v>1</v>
      </c>
    </row>
    <row r="56" customFormat="false" ht="12.75" hidden="false" customHeight="false" outlineLevel="0" collapsed="false">
      <c r="A56" s="1" t="n">
        <f aca="false">A55-1</f>
        <v>1971</v>
      </c>
      <c r="B56" s="1" t="n">
        <f aca="false">im!H56/im!G56</f>
        <v>4.38626179688087</v>
      </c>
      <c r="C56" s="1" t="n">
        <f aca="false">B56</f>
        <v>4.38626179688087</v>
      </c>
      <c r="D56" s="1" t="n">
        <f aca="false">B56</f>
        <v>4.38626179688087</v>
      </c>
      <c r="E56" s="1" t="n">
        <f aca="false">B56</f>
        <v>4.38626179688087</v>
      </c>
      <c r="F56" s="1" t="n">
        <v>1</v>
      </c>
      <c r="G56" s="1" t="n">
        <v>1</v>
      </c>
      <c r="H56" s="1" t="n">
        <v>1</v>
      </c>
      <c r="I56" s="1" t="n">
        <v>1</v>
      </c>
      <c r="J56" s="1" t="n">
        <v>1</v>
      </c>
      <c r="K56" s="1" t="n">
        <v>1</v>
      </c>
      <c r="L56" s="1" t="n">
        <f aca="false">B56</f>
        <v>4.38626179688087</v>
      </c>
      <c r="M56" s="1" t="n">
        <f aca="false">B56</f>
        <v>4.38626179688087</v>
      </c>
      <c r="N56" s="1" t="n">
        <f aca="false">B56</f>
        <v>4.38626179688087</v>
      </c>
      <c r="O56" s="1" t="n">
        <f aca="false">B56</f>
        <v>4.38626179688087</v>
      </c>
      <c r="P56" s="1" t="n">
        <f aca="false">B56</f>
        <v>4.38626179688087</v>
      </c>
      <c r="Q56" s="1" t="n">
        <v>1</v>
      </c>
      <c r="R56" s="1" t="n">
        <v>1</v>
      </c>
      <c r="S56" s="1" t="n">
        <v>1</v>
      </c>
      <c r="T56" s="1" t="n">
        <v>1</v>
      </c>
      <c r="U56" s="1" t="n">
        <v>1</v>
      </c>
      <c r="V56" s="1" t="n">
        <v>1</v>
      </c>
      <c r="W56" s="1" t="n">
        <v>1</v>
      </c>
      <c r="X56" s="1" t="n">
        <v>1</v>
      </c>
      <c r="Y56" s="1" t="n">
        <v>1</v>
      </c>
      <c r="Z56" s="1" t="n">
        <v>1</v>
      </c>
      <c r="AA56" s="1" t="n">
        <v>1</v>
      </c>
      <c r="AB56" s="1" t="n">
        <v>1</v>
      </c>
      <c r="AC56" s="1" t="n">
        <v>1</v>
      </c>
      <c r="AD56" s="1" t="n">
        <v>1</v>
      </c>
      <c r="AE56" s="1" t="n">
        <f aca="false">B56</f>
        <v>4.38626179688087</v>
      </c>
      <c r="AF56" s="1" t="n">
        <f aca="false">B56</f>
        <v>4.38626179688087</v>
      </c>
      <c r="AG56" s="1" t="n">
        <f aca="false">B56</f>
        <v>4.38626179688087</v>
      </c>
      <c r="AH56" s="1" t="n">
        <f aca="false">B56</f>
        <v>4.38626179688087</v>
      </c>
      <c r="AI56" s="1" t="n">
        <f aca="false">B56</f>
        <v>4.38626179688087</v>
      </c>
      <c r="AJ56" s="1" t="n">
        <f aca="false">B56</f>
        <v>4.38626179688087</v>
      </c>
      <c r="AK56" s="1" t="n">
        <f aca="false">B56</f>
        <v>4.38626179688087</v>
      </c>
      <c r="AL56" s="1" t="n">
        <f aca="false">B56</f>
        <v>4.38626179688087</v>
      </c>
      <c r="AM56" s="1" t="n">
        <f aca="false">B56</f>
        <v>4.38626179688087</v>
      </c>
      <c r="AN56" s="1" t="n">
        <v>1</v>
      </c>
      <c r="AO56" s="1" t="n">
        <v>1</v>
      </c>
      <c r="AP56" s="1" t="n">
        <v>1</v>
      </c>
      <c r="AQ56" s="1" t="n">
        <v>1</v>
      </c>
      <c r="AR56" s="1" t="n">
        <v>1</v>
      </c>
      <c r="AS56" s="1" t="n">
        <v>1</v>
      </c>
      <c r="AT56" s="1" t="n">
        <v>1</v>
      </c>
      <c r="AU56" s="1" t="n">
        <v>1</v>
      </c>
      <c r="AV56" s="1" t="n">
        <v>1</v>
      </c>
      <c r="AW56" s="1" t="n">
        <v>1</v>
      </c>
      <c r="AX56" s="1" t="n">
        <f aca="false">B56</f>
        <v>4.38626179688087</v>
      </c>
      <c r="AY56" s="1" t="n">
        <f aca="false">B56</f>
        <v>4.38626179688087</v>
      </c>
      <c r="AZ56" s="1" t="n">
        <f aca="false">B56</f>
        <v>4.38626179688087</v>
      </c>
      <c r="BA56" s="1" t="n">
        <v>1</v>
      </c>
      <c r="BB56" s="1" t="n">
        <v>1</v>
      </c>
      <c r="BC56" s="1" t="n">
        <f aca="false">B56</f>
        <v>4.38626179688087</v>
      </c>
      <c r="BD56" s="1" t="n">
        <f aca="false">B56</f>
        <v>4.38626179688087</v>
      </c>
      <c r="BE56" s="1" t="n">
        <v>1</v>
      </c>
      <c r="BF56" s="1" t="n">
        <v>1</v>
      </c>
      <c r="BG56" s="1" t="n">
        <f aca="false">B56</f>
        <v>4.38626179688087</v>
      </c>
      <c r="BH56" s="1" t="n">
        <f aca="false">B56</f>
        <v>4.38626179688087</v>
      </c>
      <c r="BI56" s="1" t="n">
        <f aca="false">B56</f>
        <v>4.38626179688087</v>
      </c>
      <c r="BJ56" s="1" t="n">
        <f aca="false">B56</f>
        <v>4.38626179688087</v>
      </c>
      <c r="BK56" s="1" t="n">
        <v>1</v>
      </c>
    </row>
    <row r="57" customFormat="false" ht="12.75" hidden="false" customHeight="false" outlineLevel="0" collapsed="false">
      <c r="A57" s="1" t="n">
        <f aca="false">A56-1</f>
        <v>1970</v>
      </c>
      <c r="B57" s="1" t="n">
        <f aca="false">im!H57/im!G57</f>
        <v>5.10187378849882</v>
      </c>
      <c r="C57" s="1" t="n">
        <f aca="false">B57</f>
        <v>5.10187378849882</v>
      </c>
      <c r="D57" s="1" t="n">
        <f aca="false">B57</f>
        <v>5.10187378849882</v>
      </c>
      <c r="E57" s="1" t="n">
        <f aca="false">B57</f>
        <v>5.10187378849882</v>
      </c>
      <c r="F57" s="1" t="n">
        <v>1</v>
      </c>
      <c r="G57" s="1" t="n">
        <v>1</v>
      </c>
      <c r="H57" s="1" t="n">
        <v>1</v>
      </c>
      <c r="I57" s="1" t="n">
        <v>1</v>
      </c>
      <c r="J57" s="1" t="n">
        <v>1</v>
      </c>
      <c r="K57" s="1" t="n">
        <v>1</v>
      </c>
      <c r="L57" s="1" t="n">
        <f aca="false">B57</f>
        <v>5.10187378849882</v>
      </c>
      <c r="M57" s="1" t="n">
        <f aca="false">B57</f>
        <v>5.10187378849882</v>
      </c>
      <c r="N57" s="1" t="n">
        <f aca="false">B57</f>
        <v>5.10187378849882</v>
      </c>
      <c r="O57" s="1" t="n">
        <f aca="false">B57</f>
        <v>5.10187378849882</v>
      </c>
      <c r="P57" s="1" t="n">
        <f aca="false">B57</f>
        <v>5.10187378849882</v>
      </c>
      <c r="Q57" s="1" t="n">
        <v>1</v>
      </c>
      <c r="R57" s="1" t="n">
        <v>1</v>
      </c>
      <c r="S57" s="1" t="n">
        <v>1</v>
      </c>
      <c r="T57" s="1" t="n">
        <v>1</v>
      </c>
      <c r="U57" s="1" t="n">
        <v>1</v>
      </c>
      <c r="V57" s="1" t="n">
        <v>1</v>
      </c>
      <c r="W57" s="1" t="n">
        <v>1</v>
      </c>
      <c r="X57" s="1" t="n">
        <v>1</v>
      </c>
      <c r="Y57" s="1" t="n">
        <v>1</v>
      </c>
      <c r="Z57" s="1" t="n">
        <v>1</v>
      </c>
      <c r="AA57" s="1" t="n">
        <v>1</v>
      </c>
      <c r="AB57" s="1" t="n">
        <v>1</v>
      </c>
      <c r="AC57" s="1" t="n">
        <v>1</v>
      </c>
      <c r="AD57" s="1" t="n">
        <v>1</v>
      </c>
      <c r="AE57" s="1" t="n">
        <f aca="false">B57</f>
        <v>5.10187378849882</v>
      </c>
      <c r="AF57" s="1" t="n">
        <f aca="false">B57</f>
        <v>5.10187378849882</v>
      </c>
      <c r="AG57" s="1" t="n">
        <f aca="false">B57</f>
        <v>5.10187378849882</v>
      </c>
      <c r="AH57" s="1" t="n">
        <f aca="false">B57</f>
        <v>5.10187378849882</v>
      </c>
      <c r="AI57" s="1" t="n">
        <f aca="false">B57</f>
        <v>5.10187378849882</v>
      </c>
      <c r="AJ57" s="1" t="n">
        <f aca="false">B57</f>
        <v>5.10187378849882</v>
      </c>
      <c r="AK57" s="1" t="n">
        <f aca="false">B57</f>
        <v>5.10187378849882</v>
      </c>
      <c r="AL57" s="1" t="n">
        <f aca="false">B57</f>
        <v>5.10187378849882</v>
      </c>
      <c r="AM57" s="1" t="n">
        <f aca="false">B57</f>
        <v>5.10187378849882</v>
      </c>
      <c r="AN57" s="1" t="n">
        <v>1</v>
      </c>
      <c r="AO57" s="1" t="n">
        <v>1</v>
      </c>
      <c r="AP57" s="1" t="n">
        <v>1</v>
      </c>
      <c r="AQ57" s="1" t="n">
        <v>1</v>
      </c>
      <c r="AR57" s="1" t="n">
        <v>1</v>
      </c>
      <c r="AS57" s="1" t="n">
        <v>1</v>
      </c>
      <c r="AT57" s="1" t="n">
        <v>1</v>
      </c>
      <c r="AU57" s="1" t="n">
        <v>1</v>
      </c>
      <c r="AV57" s="1" t="n">
        <v>1</v>
      </c>
      <c r="AW57" s="1" t="n">
        <v>1</v>
      </c>
      <c r="AX57" s="1" t="n">
        <f aca="false">B57</f>
        <v>5.10187378849882</v>
      </c>
      <c r="AY57" s="1" t="n">
        <f aca="false">B57</f>
        <v>5.10187378849882</v>
      </c>
      <c r="AZ57" s="1" t="n">
        <f aca="false">B57</f>
        <v>5.10187378849882</v>
      </c>
      <c r="BA57" s="1" t="n">
        <v>1</v>
      </c>
      <c r="BB57" s="1" t="n">
        <v>1</v>
      </c>
      <c r="BC57" s="1" t="n">
        <f aca="false">B57</f>
        <v>5.10187378849882</v>
      </c>
      <c r="BD57" s="1" t="n">
        <f aca="false">B57</f>
        <v>5.10187378849882</v>
      </c>
      <c r="BE57" s="1" t="n">
        <v>1</v>
      </c>
      <c r="BF57" s="1" t="n">
        <v>1</v>
      </c>
      <c r="BG57" s="1" t="n">
        <f aca="false">B57</f>
        <v>5.10187378849882</v>
      </c>
      <c r="BH57" s="1" t="n">
        <f aca="false">B57</f>
        <v>5.10187378849882</v>
      </c>
      <c r="BI57" s="1" t="n">
        <f aca="false">B57</f>
        <v>5.10187378849882</v>
      </c>
      <c r="BJ57" s="1" t="n">
        <f aca="false">B57</f>
        <v>5.10187378849882</v>
      </c>
      <c r="BK57" s="1" t="n">
        <v>1</v>
      </c>
    </row>
    <row r="58" customFormat="false" ht="12.75" hidden="false" customHeight="false" outlineLevel="0" collapsed="false">
      <c r="A58" s="1" t="n">
        <f aca="false">A57-1</f>
        <v>1969</v>
      </c>
      <c r="B58" s="1" t="n">
        <f aca="false">im!H58/im!G58</f>
        <v>4.12108815812934</v>
      </c>
      <c r="C58" s="1" t="n">
        <f aca="false">B58</f>
        <v>4.12108815812934</v>
      </c>
      <c r="D58" s="1" t="n">
        <f aca="false">B58</f>
        <v>4.12108815812934</v>
      </c>
      <c r="E58" s="1" t="n">
        <f aca="false">B58</f>
        <v>4.12108815812934</v>
      </c>
      <c r="F58" s="1" t="n">
        <v>1</v>
      </c>
      <c r="G58" s="1" t="n">
        <v>1</v>
      </c>
      <c r="H58" s="1" t="n">
        <v>1</v>
      </c>
      <c r="I58" s="1" t="n">
        <v>1</v>
      </c>
      <c r="J58" s="1" t="n">
        <v>1</v>
      </c>
      <c r="K58" s="1" t="n">
        <v>1</v>
      </c>
      <c r="L58" s="1" t="n">
        <f aca="false">B58</f>
        <v>4.12108815812934</v>
      </c>
      <c r="M58" s="1" t="n">
        <f aca="false">B58</f>
        <v>4.12108815812934</v>
      </c>
      <c r="N58" s="1" t="n">
        <f aca="false">B58</f>
        <v>4.12108815812934</v>
      </c>
      <c r="O58" s="1" t="n">
        <f aca="false">B58</f>
        <v>4.12108815812934</v>
      </c>
      <c r="P58" s="1" t="n">
        <f aca="false">B58</f>
        <v>4.12108815812934</v>
      </c>
      <c r="Q58" s="1" t="n">
        <v>1</v>
      </c>
      <c r="R58" s="1" t="n">
        <v>1</v>
      </c>
      <c r="S58" s="1" t="n">
        <v>1</v>
      </c>
      <c r="T58" s="1" t="n">
        <v>1</v>
      </c>
      <c r="U58" s="1" t="n">
        <v>1</v>
      </c>
      <c r="V58" s="1" t="n">
        <v>1</v>
      </c>
      <c r="W58" s="1" t="n">
        <v>1</v>
      </c>
      <c r="X58" s="1" t="n">
        <v>1</v>
      </c>
      <c r="Y58" s="1" t="n">
        <v>1</v>
      </c>
      <c r="Z58" s="1" t="n">
        <v>1</v>
      </c>
      <c r="AA58" s="1" t="n">
        <v>1</v>
      </c>
      <c r="AB58" s="1" t="n">
        <v>1</v>
      </c>
      <c r="AC58" s="1" t="n">
        <v>1</v>
      </c>
      <c r="AD58" s="1" t="n">
        <v>1</v>
      </c>
      <c r="AE58" s="1" t="n">
        <f aca="false">B58</f>
        <v>4.12108815812934</v>
      </c>
      <c r="AF58" s="1" t="n">
        <f aca="false">B58</f>
        <v>4.12108815812934</v>
      </c>
      <c r="AG58" s="1" t="n">
        <f aca="false">B58</f>
        <v>4.12108815812934</v>
      </c>
      <c r="AH58" s="1" t="n">
        <f aca="false">B58</f>
        <v>4.12108815812934</v>
      </c>
      <c r="AI58" s="1" t="n">
        <f aca="false">B58</f>
        <v>4.12108815812934</v>
      </c>
      <c r="AJ58" s="1" t="n">
        <f aca="false">B58</f>
        <v>4.12108815812934</v>
      </c>
      <c r="AK58" s="1" t="n">
        <f aca="false">B58</f>
        <v>4.12108815812934</v>
      </c>
      <c r="AL58" s="1" t="n">
        <f aca="false">B58</f>
        <v>4.12108815812934</v>
      </c>
      <c r="AM58" s="1" t="n">
        <f aca="false">B58</f>
        <v>4.12108815812934</v>
      </c>
      <c r="AN58" s="1" t="n">
        <v>1</v>
      </c>
      <c r="AO58" s="1" t="n">
        <v>1</v>
      </c>
      <c r="AP58" s="1" t="n">
        <v>1</v>
      </c>
      <c r="AQ58" s="1" t="n">
        <v>1</v>
      </c>
      <c r="AR58" s="1" t="n">
        <v>1</v>
      </c>
      <c r="AS58" s="1" t="n">
        <v>1</v>
      </c>
      <c r="AT58" s="1" t="n">
        <v>1</v>
      </c>
      <c r="AU58" s="1" t="n">
        <v>1</v>
      </c>
      <c r="AV58" s="1" t="n">
        <v>1</v>
      </c>
      <c r="AW58" s="1" t="n">
        <v>1</v>
      </c>
      <c r="AX58" s="1" t="n">
        <f aca="false">B58</f>
        <v>4.12108815812934</v>
      </c>
      <c r="AY58" s="1" t="n">
        <f aca="false">B58</f>
        <v>4.12108815812934</v>
      </c>
      <c r="AZ58" s="1" t="n">
        <f aca="false">B58</f>
        <v>4.12108815812934</v>
      </c>
      <c r="BA58" s="1" t="n">
        <v>1</v>
      </c>
      <c r="BB58" s="1" t="n">
        <v>1</v>
      </c>
      <c r="BC58" s="1" t="n">
        <f aca="false">B58</f>
        <v>4.12108815812934</v>
      </c>
      <c r="BD58" s="1" t="n">
        <f aca="false">B58</f>
        <v>4.12108815812934</v>
      </c>
      <c r="BE58" s="1" t="n">
        <v>1</v>
      </c>
      <c r="BF58" s="1" t="n">
        <v>1</v>
      </c>
      <c r="BG58" s="1" t="n">
        <f aca="false">B58</f>
        <v>4.12108815812934</v>
      </c>
      <c r="BH58" s="1" t="n">
        <f aca="false">B58</f>
        <v>4.12108815812934</v>
      </c>
      <c r="BI58" s="1" t="n">
        <f aca="false">B58</f>
        <v>4.12108815812934</v>
      </c>
      <c r="BJ58" s="1" t="n">
        <f aca="false">B58</f>
        <v>4.12108815812934</v>
      </c>
      <c r="BK58" s="1" t="n">
        <v>1</v>
      </c>
    </row>
    <row r="59" customFormat="false" ht="12.75" hidden="false" customHeight="false" outlineLevel="0" collapsed="false">
      <c r="A59" s="1" t="n">
        <f aca="false">A58-1</f>
        <v>1968</v>
      </c>
      <c r="B59" s="1" t="n">
        <f aca="false">im!H59/im!G59</f>
        <v>5.46932984760568</v>
      </c>
      <c r="C59" s="1" t="n">
        <f aca="false">B59</f>
        <v>5.46932984760568</v>
      </c>
      <c r="D59" s="1" t="n">
        <f aca="false">B59</f>
        <v>5.46932984760568</v>
      </c>
      <c r="E59" s="1" t="n">
        <f aca="false">B59</f>
        <v>5.46932984760568</v>
      </c>
      <c r="F59" s="1" t="n">
        <v>1</v>
      </c>
      <c r="G59" s="1" t="n">
        <v>1</v>
      </c>
      <c r="H59" s="1" t="n">
        <v>1</v>
      </c>
      <c r="I59" s="1" t="n">
        <v>1</v>
      </c>
      <c r="J59" s="1" t="n">
        <v>1</v>
      </c>
      <c r="K59" s="1" t="n">
        <v>1</v>
      </c>
      <c r="L59" s="1" t="n">
        <f aca="false">B59</f>
        <v>5.46932984760568</v>
      </c>
      <c r="M59" s="1" t="n">
        <f aca="false">B59</f>
        <v>5.46932984760568</v>
      </c>
      <c r="N59" s="1" t="n">
        <f aca="false">B59</f>
        <v>5.46932984760568</v>
      </c>
      <c r="O59" s="1" t="n">
        <f aca="false">B59</f>
        <v>5.46932984760568</v>
      </c>
      <c r="P59" s="1" t="n">
        <f aca="false">B59</f>
        <v>5.46932984760568</v>
      </c>
      <c r="Q59" s="1" t="n">
        <v>1</v>
      </c>
      <c r="R59" s="1" t="n">
        <v>1</v>
      </c>
      <c r="S59" s="1" t="n">
        <v>1</v>
      </c>
      <c r="T59" s="1" t="n">
        <v>1</v>
      </c>
      <c r="U59" s="1" t="n">
        <v>1</v>
      </c>
      <c r="V59" s="1" t="n">
        <v>1</v>
      </c>
      <c r="W59" s="1" t="n">
        <v>1</v>
      </c>
      <c r="X59" s="1" t="n">
        <v>1</v>
      </c>
      <c r="Y59" s="1" t="n">
        <v>1</v>
      </c>
      <c r="Z59" s="1" t="n">
        <v>1</v>
      </c>
      <c r="AA59" s="1" t="n">
        <v>1</v>
      </c>
      <c r="AB59" s="1" t="n">
        <v>1</v>
      </c>
      <c r="AC59" s="1" t="n">
        <v>1</v>
      </c>
      <c r="AD59" s="1" t="n">
        <v>1</v>
      </c>
      <c r="AE59" s="1" t="n">
        <f aca="false">B59</f>
        <v>5.46932984760568</v>
      </c>
      <c r="AF59" s="1" t="n">
        <f aca="false">B59</f>
        <v>5.46932984760568</v>
      </c>
      <c r="AG59" s="1" t="n">
        <f aca="false">B59</f>
        <v>5.46932984760568</v>
      </c>
      <c r="AH59" s="1" t="n">
        <f aca="false">B59</f>
        <v>5.46932984760568</v>
      </c>
      <c r="AI59" s="1" t="n">
        <f aca="false">B59</f>
        <v>5.46932984760568</v>
      </c>
      <c r="AJ59" s="1" t="n">
        <f aca="false">B59</f>
        <v>5.46932984760568</v>
      </c>
      <c r="AK59" s="1" t="n">
        <f aca="false">B59</f>
        <v>5.46932984760568</v>
      </c>
      <c r="AL59" s="1" t="n">
        <f aca="false">B59</f>
        <v>5.46932984760568</v>
      </c>
      <c r="AM59" s="1" t="n">
        <f aca="false">B59</f>
        <v>5.46932984760568</v>
      </c>
      <c r="AN59" s="1" t="n">
        <v>1</v>
      </c>
      <c r="AO59" s="1" t="n">
        <v>1</v>
      </c>
      <c r="AP59" s="1" t="n">
        <v>1</v>
      </c>
      <c r="AQ59" s="1" t="n">
        <v>1</v>
      </c>
      <c r="AR59" s="1" t="n">
        <v>1</v>
      </c>
      <c r="AS59" s="1" t="n">
        <v>1</v>
      </c>
      <c r="AT59" s="1" t="n">
        <v>1</v>
      </c>
      <c r="AU59" s="1" t="n">
        <v>1</v>
      </c>
      <c r="AV59" s="1" t="n">
        <v>1</v>
      </c>
      <c r="AW59" s="1" t="n">
        <v>1</v>
      </c>
      <c r="AX59" s="1" t="n">
        <f aca="false">B59</f>
        <v>5.46932984760568</v>
      </c>
      <c r="AY59" s="1" t="n">
        <f aca="false">B59</f>
        <v>5.46932984760568</v>
      </c>
      <c r="AZ59" s="1" t="n">
        <f aca="false">B59</f>
        <v>5.46932984760568</v>
      </c>
      <c r="BA59" s="1" t="n">
        <v>1</v>
      </c>
      <c r="BB59" s="1" t="n">
        <v>1</v>
      </c>
      <c r="BC59" s="1" t="n">
        <f aca="false">B59</f>
        <v>5.46932984760568</v>
      </c>
      <c r="BD59" s="1" t="n">
        <f aca="false">B59</f>
        <v>5.46932984760568</v>
      </c>
      <c r="BE59" s="1" t="n">
        <v>1</v>
      </c>
      <c r="BF59" s="1" t="n">
        <v>1</v>
      </c>
      <c r="BG59" s="1" t="n">
        <f aca="false">B59</f>
        <v>5.46932984760568</v>
      </c>
      <c r="BH59" s="1" t="n">
        <f aca="false">B59</f>
        <v>5.46932984760568</v>
      </c>
      <c r="BI59" s="1" t="n">
        <f aca="false">B59</f>
        <v>5.46932984760568</v>
      </c>
      <c r="BJ59" s="1" t="n">
        <f aca="false">B59</f>
        <v>5.46932984760568</v>
      </c>
      <c r="BK59" s="1" t="n">
        <v>1</v>
      </c>
    </row>
    <row r="60" customFormat="false" ht="12.75" hidden="false" customHeight="false" outlineLevel="0" collapsed="false">
      <c r="A60" s="1" t="n">
        <f aca="false">A59-1</f>
        <v>1967</v>
      </c>
      <c r="B60" s="1" t="n">
        <f aca="false">im!H60/im!G60</f>
        <v>8.12709522932399</v>
      </c>
      <c r="C60" s="1" t="n">
        <f aca="false">B60</f>
        <v>8.12709522932399</v>
      </c>
      <c r="D60" s="1" t="n">
        <f aca="false">B60</f>
        <v>8.12709522932399</v>
      </c>
      <c r="E60" s="1" t="n">
        <f aca="false">B60</f>
        <v>8.12709522932399</v>
      </c>
      <c r="F60" s="1" t="n">
        <v>1</v>
      </c>
      <c r="G60" s="1" t="n">
        <v>1</v>
      </c>
      <c r="H60" s="1" t="n">
        <v>1</v>
      </c>
      <c r="I60" s="1" t="n">
        <v>1</v>
      </c>
      <c r="J60" s="1" t="n">
        <v>1</v>
      </c>
      <c r="K60" s="1" t="n">
        <v>1</v>
      </c>
      <c r="L60" s="1" t="n">
        <f aca="false">B60</f>
        <v>8.12709522932399</v>
      </c>
      <c r="M60" s="1" t="n">
        <f aca="false">B60</f>
        <v>8.12709522932399</v>
      </c>
      <c r="N60" s="1" t="n">
        <f aca="false">B60</f>
        <v>8.12709522932399</v>
      </c>
      <c r="O60" s="1" t="n">
        <f aca="false">B60</f>
        <v>8.12709522932399</v>
      </c>
      <c r="P60" s="1" t="n">
        <f aca="false">B60</f>
        <v>8.12709522932399</v>
      </c>
      <c r="Q60" s="1" t="n">
        <v>1</v>
      </c>
      <c r="R60" s="1" t="n">
        <v>1</v>
      </c>
      <c r="S60" s="1" t="n">
        <v>1</v>
      </c>
      <c r="T60" s="1" t="n">
        <v>1</v>
      </c>
      <c r="U60" s="1" t="n">
        <v>1</v>
      </c>
      <c r="V60" s="1" t="n">
        <v>1</v>
      </c>
      <c r="W60" s="1" t="n">
        <v>1</v>
      </c>
      <c r="X60" s="1" t="n">
        <v>1</v>
      </c>
      <c r="Y60" s="1" t="n">
        <v>1</v>
      </c>
      <c r="Z60" s="1" t="n">
        <v>1</v>
      </c>
      <c r="AA60" s="1" t="n">
        <v>1</v>
      </c>
      <c r="AB60" s="1" t="n">
        <v>1</v>
      </c>
      <c r="AC60" s="1" t="n">
        <v>1</v>
      </c>
      <c r="AD60" s="1" t="n">
        <v>1</v>
      </c>
      <c r="AE60" s="1" t="n">
        <f aca="false">B60</f>
        <v>8.12709522932399</v>
      </c>
      <c r="AF60" s="1" t="n">
        <f aca="false">B60</f>
        <v>8.12709522932399</v>
      </c>
      <c r="AG60" s="1" t="n">
        <f aca="false">B60</f>
        <v>8.12709522932399</v>
      </c>
      <c r="AH60" s="1" t="n">
        <f aca="false">B60</f>
        <v>8.12709522932399</v>
      </c>
      <c r="AI60" s="1" t="n">
        <f aca="false">B60</f>
        <v>8.12709522932399</v>
      </c>
      <c r="AJ60" s="1" t="n">
        <f aca="false">B60</f>
        <v>8.12709522932399</v>
      </c>
      <c r="AK60" s="1" t="n">
        <f aca="false">B60</f>
        <v>8.12709522932399</v>
      </c>
      <c r="AL60" s="1" t="n">
        <f aca="false">B60</f>
        <v>8.12709522932399</v>
      </c>
      <c r="AM60" s="1" t="n">
        <f aca="false">B60</f>
        <v>8.12709522932399</v>
      </c>
      <c r="AN60" s="1" t="n">
        <v>1</v>
      </c>
      <c r="AO60" s="1" t="n">
        <v>1</v>
      </c>
      <c r="AP60" s="1" t="n">
        <v>1</v>
      </c>
      <c r="AQ60" s="1" t="n">
        <v>1</v>
      </c>
      <c r="AR60" s="1" t="n">
        <v>1</v>
      </c>
      <c r="AS60" s="1" t="n">
        <v>1</v>
      </c>
      <c r="AT60" s="1" t="n">
        <v>1</v>
      </c>
      <c r="AU60" s="1" t="n">
        <v>1</v>
      </c>
      <c r="AV60" s="1" t="n">
        <v>1</v>
      </c>
      <c r="AW60" s="1" t="n">
        <v>1</v>
      </c>
      <c r="AX60" s="1" t="n">
        <f aca="false">B60</f>
        <v>8.12709522932399</v>
      </c>
      <c r="AY60" s="1" t="n">
        <f aca="false">B60</f>
        <v>8.12709522932399</v>
      </c>
      <c r="AZ60" s="1" t="n">
        <f aca="false">B60</f>
        <v>8.12709522932399</v>
      </c>
      <c r="BA60" s="1" t="n">
        <v>1</v>
      </c>
      <c r="BB60" s="1" t="n">
        <v>1</v>
      </c>
      <c r="BC60" s="1" t="n">
        <f aca="false">B60</f>
        <v>8.12709522932399</v>
      </c>
      <c r="BD60" s="1" t="n">
        <f aca="false">B60</f>
        <v>8.12709522932399</v>
      </c>
      <c r="BE60" s="1" t="n">
        <v>1</v>
      </c>
      <c r="BF60" s="1" t="n">
        <v>1</v>
      </c>
      <c r="BG60" s="1" t="n">
        <f aca="false">B60</f>
        <v>8.12709522932399</v>
      </c>
      <c r="BH60" s="1" t="n">
        <f aca="false">B60</f>
        <v>8.12709522932399</v>
      </c>
      <c r="BI60" s="1" t="n">
        <f aca="false">B60</f>
        <v>8.12709522932399</v>
      </c>
      <c r="BJ60" s="1" t="n">
        <f aca="false">B60</f>
        <v>8.12709522932399</v>
      </c>
      <c r="BK60" s="1" t="n">
        <v>1</v>
      </c>
    </row>
    <row r="61" customFormat="false" ht="12.75" hidden="false" customHeight="false" outlineLevel="0" collapsed="false">
      <c r="A61" s="1" t="n">
        <f aca="false">A60-1</f>
        <v>1966</v>
      </c>
      <c r="B61" s="1" t="n">
        <f aca="false">im!H61/im!G61</f>
        <v>4.79906419614449</v>
      </c>
      <c r="C61" s="1" t="n">
        <f aca="false">B61</f>
        <v>4.79906419614449</v>
      </c>
      <c r="D61" s="1" t="n">
        <f aca="false">B61</f>
        <v>4.79906419614449</v>
      </c>
      <c r="E61" s="1" t="n">
        <f aca="false">B61</f>
        <v>4.79906419614449</v>
      </c>
      <c r="F61" s="1" t="n">
        <v>1</v>
      </c>
      <c r="G61" s="1" t="n">
        <v>1</v>
      </c>
      <c r="H61" s="1" t="n">
        <v>1</v>
      </c>
      <c r="I61" s="1" t="n">
        <v>1</v>
      </c>
      <c r="J61" s="1" t="n">
        <v>1</v>
      </c>
      <c r="K61" s="1" t="n">
        <v>1</v>
      </c>
      <c r="L61" s="1" t="n">
        <f aca="false">B61</f>
        <v>4.79906419614449</v>
      </c>
      <c r="M61" s="1" t="n">
        <f aca="false">B61</f>
        <v>4.79906419614449</v>
      </c>
      <c r="N61" s="1" t="n">
        <f aca="false">B61</f>
        <v>4.79906419614449</v>
      </c>
      <c r="O61" s="1" t="n">
        <f aca="false">B61</f>
        <v>4.79906419614449</v>
      </c>
      <c r="P61" s="1" t="n">
        <f aca="false">B61</f>
        <v>4.79906419614449</v>
      </c>
      <c r="Q61" s="1" t="n">
        <v>1</v>
      </c>
      <c r="R61" s="1" t="n">
        <v>1</v>
      </c>
      <c r="S61" s="1" t="n">
        <v>1</v>
      </c>
      <c r="T61" s="1" t="n">
        <v>1</v>
      </c>
      <c r="U61" s="1" t="n">
        <v>1</v>
      </c>
      <c r="V61" s="1" t="n">
        <v>1</v>
      </c>
      <c r="W61" s="1" t="n">
        <v>1</v>
      </c>
      <c r="X61" s="1" t="n">
        <v>1</v>
      </c>
      <c r="Y61" s="1" t="n">
        <v>1</v>
      </c>
      <c r="Z61" s="1" t="n">
        <v>1</v>
      </c>
      <c r="AA61" s="1" t="n">
        <v>1</v>
      </c>
      <c r="AB61" s="1" t="n">
        <v>1</v>
      </c>
      <c r="AC61" s="1" t="n">
        <v>1</v>
      </c>
      <c r="AD61" s="1" t="n">
        <v>1</v>
      </c>
      <c r="AE61" s="1" t="n">
        <f aca="false">B61</f>
        <v>4.79906419614449</v>
      </c>
      <c r="AF61" s="1" t="n">
        <f aca="false">B61</f>
        <v>4.79906419614449</v>
      </c>
      <c r="AG61" s="1" t="n">
        <f aca="false">B61</f>
        <v>4.79906419614449</v>
      </c>
      <c r="AH61" s="1" t="n">
        <f aca="false">B61</f>
        <v>4.79906419614449</v>
      </c>
      <c r="AI61" s="1" t="n">
        <f aca="false">B61</f>
        <v>4.79906419614449</v>
      </c>
      <c r="AJ61" s="1" t="n">
        <f aca="false">B61</f>
        <v>4.79906419614449</v>
      </c>
      <c r="AK61" s="1" t="n">
        <f aca="false">B61</f>
        <v>4.79906419614449</v>
      </c>
      <c r="AL61" s="1" t="n">
        <f aca="false">B61</f>
        <v>4.79906419614449</v>
      </c>
      <c r="AM61" s="1" t="n">
        <f aca="false">B61</f>
        <v>4.79906419614449</v>
      </c>
      <c r="AN61" s="1" t="n">
        <v>1</v>
      </c>
      <c r="AO61" s="1" t="n">
        <v>1</v>
      </c>
      <c r="AP61" s="1" t="n">
        <v>1</v>
      </c>
      <c r="AQ61" s="1" t="n">
        <v>1</v>
      </c>
      <c r="AR61" s="1" t="n">
        <v>1</v>
      </c>
      <c r="AS61" s="1" t="n">
        <v>1</v>
      </c>
      <c r="AT61" s="1" t="n">
        <v>1</v>
      </c>
      <c r="AU61" s="1" t="n">
        <v>1</v>
      </c>
      <c r="AV61" s="1" t="n">
        <v>1</v>
      </c>
      <c r="AW61" s="1" t="n">
        <v>1</v>
      </c>
      <c r="AX61" s="1" t="n">
        <f aca="false">B61</f>
        <v>4.79906419614449</v>
      </c>
      <c r="AY61" s="1" t="n">
        <f aca="false">B61</f>
        <v>4.79906419614449</v>
      </c>
      <c r="AZ61" s="1" t="n">
        <f aca="false">B61</f>
        <v>4.79906419614449</v>
      </c>
      <c r="BA61" s="1" t="n">
        <v>1</v>
      </c>
      <c r="BB61" s="1" t="n">
        <v>1</v>
      </c>
      <c r="BC61" s="1" t="n">
        <f aca="false">B61</f>
        <v>4.79906419614449</v>
      </c>
      <c r="BD61" s="1" t="n">
        <f aca="false">B61</f>
        <v>4.79906419614449</v>
      </c>
      <c r="BE61" s="1" t="n">
        <v>1</v>
      </c>
      <c r="BF61" s="1" t="n">
        <v>1</v>
      </c>
      <c r="BG61" s="1" t="n">
        <f aca="false">B61</f>
        <v>4.79906419614449</v>
      </c>
      <c r="BH61" s="1" t="n">
        <f aca="false">B61</f>
        <v>4.79906419614449</v>
      </c>
      <c r="BI61" s="1" t="n">
        <f aca="false">B61</f>
        <v>4.79906419614449</v>
      </c>
      <c r="BJ61" s="1" t="n">
        <f aca="false">B61</f>
        <v>4.79906419614449</v>
      </c>
      <c r="BK61" s="1" t="n">
        <v>1</v>
      </c>
    </row>
    <row r="62" customFormat="false" ht="12.75" hidden="false" customHeight="false" outlineLevel="0" collapsed="false">
      <c r="A62" s="1" t="n">
        <f aca="false">A61-1</f>
        <v>1965</v>
      </c>
      <c r="B62" s="1" t="n">
        <f aca="false">im!H62/im!G62</f>
        <v>8.30964322120286</v>
      </c>
      <c r="C62" s="1" t="n">
        <f aca="false">B62</f>
        <v>8.30964322120286</v>
      </c>
      <c r="D62" s="1" t="n">
        <f aca="false">B62</f>
        <v>8.30964322120286</v>
      </c>
      <c r="E62" s="1" t="n">
        <f aca="false">B62</f>
        <v>8.30964322120286</v>
      </c>
      <c r="F62" s="1" t="n">
        <v>1</v>
      </c>
      <c r="G62" s="1" t="n">
        <v>1</v>
      </c>
      <c r="H62" s="1" t="n">
        <v>1</v>
      </c>
      <c r="I62" s="1" t="n">
        <v>1</v>
      </c>
      <c r="J62" s="1" t="n">
        <v>1</v>
      </c>
      <c r="K62" s="1" t="n">
        <v>1</v>
      </c>
      <c r="L62" s="1" t="n">
        <f aca="false">B62</f>
        <v>8.30964322120286</v>
      </c>
      <c r="M62" s="1" t="n">
        <f aca="false">B62</f>
        <v>8.30964322120286</v>
      </c>
      <c r="N62" s="1" t="n">
        <f aca="false">B62</f>
        <v>8.30964322120286</v>
      </c>
      <c r="O62" s="1" t="n">
        <f aca="false">B62</f>
        <v>8.30964322120286</v>
      </c>
      <c r="P62" s="1" t="n">
        <f aca="false">B62</f>
        <v>8.30964322120286</v>
      </c>
      <c r="Q62" s="1" t="n">
        <v>1</v>
      </c>
      <c r="R62" s="1" t="n">
        <v>1</v>
      </c>
      <c r="S62" s="1" t="n">
        <v>1</v>
      </c>
      <c r="T62" s="1" t="n">
        <v>1</v>
      </c>
      <c r="U62" s="1" t="n">
        <v>1</v>
      </c>
      <c r="V62" s="1" t="n">
        <v>1</v>
      </c>
      <c r="W62" s="1" t="n">
        <v>1</v>
      </c>
      <c r="X62" s="1" t="n">
        <v>1</v>
      </c>
      <c r="Y62" s="1" t="n">
        <v>1</v>
      </c>
      <c r="Z62" s="1" t="n">
        <v>1</v>
      </c>
      <c r="AA62" s="1" t="n">
        <v>1</v>
      </c>
      <c r="AB62" s="1" t="n">
        <v>1</v>
      </c>
      <c r="AC62" s="1" t="n">
        <v>1</v>
      </c>
      <c r="AD62" s="1" t="n">
        <v>1</v>
      </c>
      <c r="AE62" s="1" t="n">
        <f aca="false">B62</f>
        <v>8.30964322120286</v>
      </c>
      <c r="AF62" s="1" t="n">
        <f aca="false">B62</f>
        <v>8.30964322120286</v>
      </c>
      <c r="AG62" s="1" t="n">
        <f aca="false">B62</f>
        <v>8.30964322120286</v>
      </c>
      <c r="AH62" s="1" t="n">
        <f aca="false">B62</f>
        <v>8.30964322120286</v>
      </c>
      <c r="AI62" s="1" t="n">
        <f aca="false">B62</f>
        <v>8.30964322120286</v>
      </c>
      <c r="AJ62" s="1" t="n">
        <f aca="false">B62</f>
        <v>8.30964322120286</v>
      </c>
      <c r="AK62" s="1" t="n">
        <f aca="false">B62</f>
        <v>8.30964322120286</v>
      </c>
      <c r="AL62" s="1" t="n">
        <f aca="false">B62</f>
        <v>8.30964322120286</v>
      </c>
      <c r="AM62" s="1" t="n">
        <f aca="false">B62</f>
        <v>8.30964322120286</v>
      </c>
      <c r="AN62" s="1" t="n">
        <v>1</v>
      </c>
      <c r="AO62" s="1" t="n">
        <v>1</v>
      </c>
      <c r="AP62" s="1" t="n">
        <v>1</v>
      </c>
      <c r="AQ62" s="1" t="n">
        <v>1</v>
      </c>
      <c r="AR62" s="1" t="n">
        <v>1</v>
      </c>
      <c r="AS62" s="1" t="n">
        <v>1</v>
      </c>
      <c r="AT62" s="1" t="n">
        <v>1</v>
      </c>
      <c r="AU62" s="1" t="n">
        <v>1</v>
      </c>
      <c r="AV62" s="1" t="n">
        <v>1</v>
      </c>
      <c r="AW62" s="1" t="n">
        <v>1</v>
      </c>
      <c r="AX62" s="1" t="n">
        <f aca="false">B62</f>
        <v>8.30964322120286</v>
      </c>
      <c r="AY62" s="1" t="n">
        <f aca="false">B62</f>
        <v>8.30964322120286</v>
      </c>
      <c r="AZ62" s="1" t="n">
        <f aca="false">B62</f>
        <v>8.30964322120286</v>
      </c>
      <c r="BA62" s="1" t="n">
        <v>1</v>
      </c>
      <c r="BB62" s="1" t="n">
        <v>1</v>
      </c>
      <c r="BC62" s="1" t="n">
        <f aca="false">B62</f>
        <v>8.30964322120286</v>
      </c>
      <c r="BD62" s="1" t="n">
        <f aca="false">B62</f>
        <v>8.30964322120286</v>
      </c>
      <c r="BE62" s="1" t="n">
        <v>1</v>
      </c>
      <c r="BF62" s="1" t="n">
        <v>1</v>
      </c>
      <c r="BG62" s="1" t="n">
        <f aca="false">B62</f>
        <v>8.30964322120286</v>
      </c>
      <c r="BH62" s="1" t="n">
        <f aca="false">B62</f>
        <v>8.30964322120286</v>
      </c>
      <c r="BI62" s="1" t="n">
        <f aca="false">B62</f>
        <v>8.30964322120286</v>
      </c>
      <c r="BJ62" s="1" t="n">
        <f aca="false">B62</f>
        <v>8.30964322120286</v>
      </c>
      <c r="BK62" s="1" t="n">
        <v>1</v>
      </c>
    </row>
    <row r="63" customFormat="false" ht="12.75" hidden="false" customHeight="false" outlineLevel="0" collapsed="false">
      <c r="A63" s="1" t="n">
        <f aca="false">A62-1</f>
        <v>1964</v>
      </c>
      <c r="B63" s="1" t="n">
        <f aca="false">im!H63/im!G63</f>
        <v>5.40194223107569</v>
      </c>
      <c r="C63" s="1" t="n">
        <f aca="false">B63</f>
        <v>5.40194223107569</v>
      </c>
      <c r="D63" s="1" t="n">
        <f aca="false">B63</f>
        <v>5.40194223107569</v>
      </c>
      <c r="E63" s="1" t="n">
        <f aca="false">B63</f>
        <v>5.40194223107569</v>
      </c>
      <c r="F63" s="1" t="n">
        <v>1</v>
      </c>
      <c r="G63" s="1" t="n">
        <v>1</v>
      </c>
      <c r="H63" s="1" t="n">
        <v>1</v>
      </c>
      <c r="I63" s="1" t="n">
        <v>1</v>
      </c>
      <c r="J63" s="1" t="n">
        <v>1</v>
      </c>
      <c r="K63" s="1" t="n">
        <v>1</v>
      </c>
      <c r="L63" s="1" t="n">
        <f aca="false">B63</f>
        <v>5.40194223107569</v>
      </c>
      <c r="M63" s="1" t="n">
        <f aca="false">B63</f>
        <v>5.40194223107569</v>
      </c>
      <c r="N63" s="1" t="n">
        <f aca="false">B63</f>
        <v>5.40194223107569</v>
      </c>
      <c r="O63" s="1" t="n">
        <f aca="false">B63</f>
        <v>5.40194223107569</v>
      </c>
      <c r="P63" s="1" t="n">
        <f aca="false">B63</f>
        <v>5.40194223107569</v>
      </c>
      <c r="Q63" s="1" t="n">
        <v>1</v>
      </c>
      <c r="R63" s="1" t="n">
        <v>1</v>
      </c>
      <c r="S63" s="1" t="n">
        <v>1</v>
      </c>
      <c r="T63" s="1" t="n">
        <v>1</v>
      </c>
      <c r="U63" s="1" t="n">
        <v>1</v>
      </c>
      <c r="V63" s="1" t="n">
        <v>1</v>
      </c>
      <c r="W63" s="1" t="n">
        <v>1</v>
      </c>
      <c r="X63" s="1" t="n">
        <v>1</v>
      </c>
      <c r="Y63" s="1" t="n">
        <v>1</v>
      </c>
      <c r="Z63" s="1" t="n">
        <v>1</v>
      </c>
      <c r="AA63" s="1" t="n">
        <v>1</v>
      </c>
      <c r="AB63" s="1" t="n">
        <v>1</v>
      </c>
      <c r="AC63" s="1" t="n">
        <v>1</v>
      </c>
      <c r="AD63" s="1" t="n">
        <v>1</v>
      </c>
      <c r="AE63" s="1" t="n">
        <f aca="false">B63</f>
        <v>5.40194223107569</v>
      </c>
      <c r="AF63" s="1" t="n">
        <f aca="false">B63</f>
        <v>5.40194223107569</v>
      </c>
      <c r="AG63" s="1" t="n">
        <f aca="false">B63</f>
        <v>5.40194223107569</v>
      </c>
      <c r="AH63" s="1" t="n">
        <f aca="false">B63</f>
        <v>5.40194223107569</v>
      </c>
      <c r="AI63" s="1" t="n">
        <f aca="false">B63</f>
        <v>5.40194223107569</v>
      </c>
      <c r="AJ63" s="1" t="n">
        <f aca="false">B63</f>
        <v>5.40194223107569</v>
      </c>
      <c r="AK63" s="1" t="n">
        <f aca="false">B63</f>
        <v>5.40194223107569</v>
      </c>
      <c r="AL63" s="1" t="n">
        <f aca="false">B63</f>
        <v>5.40194223107569</v>
      </c>
      <c r="AM63" s="1" t="n">
        <f aca="false">B63</f>
        <v>5.40194223107569</v>
      </c>
      <c r="AN63" s="1" t="n">
        <v>1</v>
      </c>
      <c r="AO63" s="1" t="n">
        <v>1</v>
      </c>
      <c r="AP63" s="1" t="n">
        <v>1</v>
      </c>
      <c r="AQ63" s="1" t="n">
        <v>1</v>
      </c>
      <c r="AR63" s="1" t="n">
        <v>1</v>
      </c>
      <c r="AS63" s="1" t="n">
        <v>1</v>
      </c>
      <c r="AT63" s="1" t="n">
        <v>1</v>
      </c>
      <c r="AU63" s="1" t="n">
        <v>1</v>
      </c>
      <c r="AV63" s="1" t="n">
        <v>1</v>
      </c>
      <c r="AW63" s="1" t="n">
        <v>1</v>
      </c>
      <c r="AX63" s="1" t="n">
        <f aca="false">B63</f>
        <v>5.40194223107569</v>
      </c>
      <c r="AY63" s="1" t="n">
        <f aca="false">B63</f>
        <v>5.40194223107569</v>
      </c>
      <c r="AZ63" s="1" t="n">
        <f aca="false">B63</f>
        <v>5.40194223107569</v>
      </c>
      <c r="BA63" s="1" t="n">
        <v>1</v>
      </c>
      <c r="BB63" s="1" t="n">
        <v>1</v>
      </c>
      <c r="BC63" s="1" t="n">
        <f aca="false">B63</f>
        <v>5.40194223107569</v>
      </c>
      <c r="BD63" s="1" t="n">
        <f aca="false">B63</f>
        <v>5.40194223107569</v>
      </c>
      <c r="BE63" s="1" t="n">
        <v>1</v>
      </c>
      <c r="BF63" s="1" t="n">
        <v>1</v>
      </c>
      <c r="BG63" s="1" t="n">
        <f aca="false">B63</f>
        <v>5.40194223107569</v>
      </c>
      <c r="BH63" s="1" t="n">
        <f aca="false">B63</f>
        <v>5.40194223107569</v>
      </c>
      <c r="BI63" s="1" t="n">
        <f aca="false">B63</f>
        <v>5.40194223107569</v>
      </c>
      <c r="BJ63" s="1" t="n">
        <f aca="false">B63</f>
        <v>5.40194223107569</v>
      </c>
      <c r="BK63" s="1" t="n">
        <v>1</v>
      </c>
    </row>
    <row r="64" customFormat="false" ht="12.75" hidden="false" customHeight="false" outlineLevel="0" collapsed="false">
      <c r="A64" s="1" t="n">
        <f aca="false">A63-1</f>
        <v>1963</v>
      </c>
      <c r="B64" s="1" t="n">
        <f aca="false">im!H66/im!G66</f>
        <v>5.1528384279476</v>
      </c>
      <c r="C64" s="1" t="n">
        <f aca="false">B64</f>
        <v>5.1528384279476</v>
      </c>
      <c r="D64" s="1" t="n">
        <f aca="false">B64</f>
        <v>5.1528384279476</v>
      </c>
      <c r="E64" s="1" t="n">
        <f aca="false">B64</f>
        <v>5.1528384279476</v>
      </c>
      <c r="F64" s="1" t="n">
        <v>1</v>
      </c>
      <c r="G64" s="1" t="n">
        <v>1</v>
      </c>
      <c r="H64" s="1" t="n">
        <v>1</v>
      </c>
      <c r="I64" s="1" t="n">
        <v>1</v>
      </c>
      <c r="J64" s="1" t="n">
        <v>1</v>
      </c>
      <c r="K64" s="1" t="n">
        <v>1</v>
      </c>
      <c r="L64" s="1" t="n">
        <f aca="false">B64</f>
        <v>5.1528384279476</v>
      </c>
      <c r="M64" s="1" t="n">
        <f aca="false">B64</f>
        <v>5.1528384279476</v>
      </c>
      <c r="N64" s="1" t="n">
        <f aca="false">B64</f>
        <v>5.1528384279476</v>
      </c>
      <c r="O64" s="1" t="n">
        <f aca="false">B64</f>
        <v>5.1528384279476</v>
      </c>
      <c r="P64" s="1" t="n">
        <f aca="false">B64</f>
        <v>5.1528384279476</v>
      </c>
      <c r="Q64" s="1" t="n">
        <v>1</v>
      </c>
      <c r="R64" s="1" t="n">
        <v>1</v>
      </c>
      <c r="S64" s="1" t="n">
        <v>1</v>
      </c>
      <c r="T64" s="1" t="n">
        <v>1</v>
      </c>
      <c r="U64" s="1" t="n">
        <v>1</v>
      </c>
      <c r="V64" s="1" t="n">
        <v>1</v>
      </c>
      <c r="W64" s="1" t="n">
        <v>1</v>
      </c>
      <c r="X64" s="1" t="n">
        <v>1</v>
      </c>
      <c r="Y64" s="1" t="n">
        <v>1</v>
      </c>
      <c r="Z64" s="1" t="n">
        <v>1</v>
      </c>
      <c r="AA64" s="1" t="n">
        <v>1</v>
      </c>
      <c r="AB64" s="1" t="n">
        <v>1</v>
      </c>
      <c r="AC64" s="1" t="n">
        <v>1</v>
      </c>
      <c r="AD64" s="1" t="n">
        <v>1</v>
      </c>
      <c r="AE64" s="1" t="n">
        <f aca="false">B64</f>
        <v>5.1528384279476</v>
      </c>
      <c r="AF64" s="1" t="n">
        <f aca="false">B64</f>
        <v>5.1528384279476</v>
      </c>
      <c r="AG64" s="1" t="n">
        <f aca="false">B64</f>
        <v>5.1528384279476</v>
      </c>
      <c r="AH64" s="1" t="n">
        <f aca="false">B64</f>
        <v>5.1528384279476</v>
      </c>
      <c r="AI64" s="1" t="n">
        <f aca="false">B64</f>
        <v>5.1528384279476</v>
      </c>
      <c r="AJ64" s="1" t="n">
        <f aca="false">B64</f>
        <v>5.1528384279476</v>
      </c>
      <c r="AK64" s="1" t="n">
        <f aca="false">B64</f>
        <v>5.1528384279476</v>
      </c>
      <c r="AL64" s="1" t="n">
        <f aca="false">B64</f>
        <v>5.1528384279476</v>
      </c>
      <c r="AM64" s="1" t="n">
        <f aca="false">B64</f>
        <v>5.1528384279476</v>
      </c>
      <c r="AN64" s="1" t="n">
        <v>1</v>
      </c>
      <c r="AO64" s="1" t="n">
        <v>1</v>
      </c>
      <c r="AP64" s="1" t="n">
        <v>1</v>
      </c>
      <c r="AQ64" s="1" t="n">
        <v>1</v>
      </c>
      <c r="AR64" s="1" t="n">
        <v>1</v>
      </c>
      <c r="AS64" s="1" t="n">
        <v>1</v>
      </c>
      <c r="AT64" s="1" t="n">
        <v>1</v>
      </c>
      <c r="AU64" s="1" t="n">
        <v>1</v>
      </c>
      <c r="AV64" s="1" t="n">
        <v>1</v>
      </c>
      <c r="AW64" s="1" t="n">
        <v>1</v>
      </c>
      <c r="AX64" s="1" t="n">
        <f aca="false">B64</f>
        <v>5.1528384279476</v>
      </c>
      <c r="AY64" s="1" t="n">
        <f aca="false">B64</f>
        <v>5.1528384279476</v>
      </c>
      <c r="AZ64" s="1" t="n">
        <f aca="false">B64</f>
        <v>5.1528384279476</v>
      </c>
      <c r="BA64" s="1" t="n">
        <v>1</v>
      </c>
      <c r="BB64" s="1" t="n">
        <v>1</v>
      </c>
      <c r="BC64" s="1" t="n">
        <f aca="false">B64</f>
        <v>5.1528384279476</v>
      </c>
      <c r="BD64" s="1" t="n">
        <f aca="false">B64</f>
        <v>5.1528384279476</v>
      </c>
      <c r="BE64" s="1" t="n">
        <v>1</v>
      </c>
      <c r="BF64" s="1" t="n">
        <v>1</v>
      </c>
      <c r="BG64" s="1" t="n">
        <f aca="false">B64</f>
        <v>5.1528384279476</v>
      </c>
      <c r="BH64" s="1" t="n">
        <f aca="false">B64</f>
        <v>5.1528384279476</v>
      </c>
      <c r="BI64" s="1" t="n">
        <f aca="false">B64</f>
        <v>5.1528384279476</v>
      </c>
      <c r="BJ64" s="1" t="n">
        <f aca="false">B64</f>
        <v>5.1528384279476</v>
      </c>
      <c r="BK64" s="1" t="n">
        <v>1</v>
      </c>
    </row>
    <row r="65" customFormat="false" ht="12.75" hidden="false" customHeight="false" outlineLevel="0" collapsed="false">
      <c r="A65" s="1" t="n">
        <f aca="false">A64-1</f>
        <v>1962</v>
      </c>
      <c r="B65" s="1" t="n">
        <f aca="false">B64</f>
        <v>5.1528384279476</v>
      </c>
      <c r="C65" s="1" t="n">
        <f aca="false">B65</f>
        <v>5.1528384279476</v>
      </c>
      <c r="D65" s="1" t="n">
        <f aca="false">B65</f>
        <v>5.1528384279476</v>
      </c>
      <c r="E65" s="1" t="n">
        <f aca="false">B65</f>
        <v>5.1528384279476</v>
      </c>
      <c r="F65" s="1" t="n">
        <v>1</v>
      </c>
      <c r="G65" s="1" t="n">
        <v>1</v>
      </c>
      <c r="H65" s="1" t="n">
        <v>1</v>
      </c>
      <c r="I65" s="1" t="n">
        <v>1</v>
      </c>
      <c r="J65" s="1" t="n">
        <v>1</v>
      </c>
      <c r="K65" s="1" t="n">
        <v>1</v>
      </c>
      <c r="L65" s="1" t="n">
        <f aca="false">B65</f>
        <v>5.1528384279476</v>
      </c>
      <c r="M65" s="1" t="n">
        <f aca="false">B65</f>
        <v>5.1528384279476</v>
      </c>
      <c r="N65" s="1" t="n">
        <f aca="false">B65</f>
        <v>5.1528384279476</v>
      </c>
      <c r="O65" s="1" t="n">
        <f aca="false">B65</f>
        <v>5.1528384279476</v>
      </c>
      <c r="P65" s="1" t="n">
        <f aca="false">B65</f>
        <v>5.1528384279476</v>
      </c>
      <c r="Q65" s="1" t="n">
        <v>1</v>
      </c>
      <c r="R65" s="1" t="n">
        <v>1</v>
      </c>
      <c r="S65" s="1" t="n">
        <v>1</v>
      </c>
      <c r="T65" s="1" t="n">
        <v>1</v>
      </c>
      <c r="U65" s="1" t="n">
        <v>1</v>
      </c>
      <c r="V65" s="1" t="n">
        <v>1</v>
      </c>
      <c r="W65" s="1" t="n">
        <v>1</v>
      </c>
      <c r="X65" s="1" t="n">
        <v>1</v>
      </c>
      <c r="Y65" s="1" t="n">
        <v>1</v>
      </c>
      <c r="Z65" s="1" t="n">
        <v>1</v>
      </c>
      <c r="AA65" s="1" t="n">
        <v>1</v>
      </c>
      <c r="AB65" s="1" t="n">
        <v>1</v>
      </c>
      <c r="AC65" s="1" t="n">
        <v>1</v>
      </c>
      <c r="AD65" s="1" t="n">
        <v>1</v>
      </c>
      <c r="AE65" s="1" t="n">
        <f aca="false">B65</f>
        <v>5.1528384279476</v>
      </c>
      <c r="AF65" s="1" t="n">
        <f aca="false">B65</f>
        <v>5.1528384279476</v>
      </c>
      <c r="AG65" s="1" t="n">
        <f aca="false">B65</f>
        <v>5.1528384279476</v>
      </c>
      <c r="AH65" s="1" t="n">
        <f aca="false">B65</f>
        <v>5.1528384279476</v>
      </c>
      <c r="AI65" s="1" t="n">
        <f aca="false">B65</f>
        <v>5.1528384279476</v>
      </c>
      <c r="AJ65" s="1" t="n">
        <f aca="false">B65</f>
        <v>5.1528384279476</v>
      </c>
      <c r="AK65" s="1" t="n">
        <f aca="false">B65</f>
        <v>5.1528384279476</v>
      </c>
      <c r="AL65" s="1" t="n">
        <f aca="false">B65</f>
        <v>5.1528384279476</v>
      </c>
      <c r="AM65" s="1" t="n">
        <f aca="false">B65</f>
        <v>5.1528384279476</v>
      </c>
      <c r="AN65" s="1" t="n">
        <v>1</v>
      </c>
      <c r="AO65" s="1" t="n">
        <v>1</v>
      </c>
      <c r="AP65" s="1" t="n">
        <v>1</v>
      </c>
      <c r="AQ65" s="1" t="n">
        <v>1</v>
      </c>
      <c r="AR65" s="1" t="n">
        <v>1</v>
      </c>
      <c r="AS65" s="1" t="n">
        <v>1</v>
      </c>
      <c r="AT65" s="1" t="n">
        <v>1</v>
      </c>
      <c r="AU65" s="1" t="n">
        <v>1</v>
      </c>
      <c r="AV65" s="1" t="n">
        <v>1</v>
      </c>
      <c r="AW65" s="1" t="n">
        <v>1</v>
      </c>
      <c r="AX65" s="1" t="n">
        <f aca="false">B65</f>
        <v>5.1528384279476</v>
      </c>
      <c r="AY65" s="1" t="n">
        <f aca="false">B65</f>
        <v>5.1528384279476</v>
      </c>
      <c r="AZ65" s="1" t="n">
        <f aca="false">B65</f>
        <v>5.1528384279476</v>
      </c>
      <c r="BA65" s="1" t="n">
        <v>1</v>
      </c>
      <c r="BB65" s="1" t="n">
        <v>1</v>
      </c>
      <c r="BC65" s="1" t="n">
        <f aca="false">B65</f>
        <v>5.1528384279476</v>
      </c>
      <c r="BD65" s="1" t="n">
        <f aca="false">B65</f>
        <v>5.1528384279476</v>
      </c>
      <c r="BE65" s="1" t="n">
        <v>1</v>
      </c>
      <c r="BF65" s="1" t="n">
        <v>1</v>
      </c>
      <c r="BG65" s="1" t="n">
        <f aca="false">B65</f>
        <v>5.1528384279476</v>
      </c>
      <c r="BH65" s="1" t="n">
        <f aca="false">B65</f>
        <v>5.1528384279476</v>
      </c>
      <c r="BI65" s="1" t="n">
        <f aca="false">B65</f>
        <v>5.1528384279476</v>
      </c>
      <c r="BJ65" s="1" t="n">
        <f aca="false">B65</f>
        <v>5.1528384279476</v>
      </c>
      <c r="BK65" s="1" t="n">
        <v>1</v>
      </c>
    </row>
    <row r="66" customFormat="false" ht="12.75" hidden="false" customHeight="false" outlineLevel="0" collapsed="false">
      <c r="A66" s="1" t="n">
        <f aca="false">A65-1</f>
        <v>1961</v>
      </c>
      <c r="B66" s="1" t="n">
        <f aca="false">B65</f>
        <v>5.1528384279476</v>
      </c>
      <c r="C66" s="1" t="n">
        <f aca="false">B66</f>
        <v>5.1528384279476</v>
      </c>
      <c r="D66" s="1" t="n">
        <f aca="false">B66</f>
        <v>5.1528384279476</v>
      </c>
      <c r="E66" s="1" t="n">
        <f aca="false">B66</f>
        <v>5.1528384279476</v>
      </c>
      <c r="F66" s="1" t="n">
        <v>1</v>
      </c>
      <c r="G66" s="1" t="n">
        <v>1</v>
      </c>
      <c r="H66" s="1" t="n">
        <v>1</v>
      </c>
      <c r="I66" s="1" t="n">
        <v>1</v>
      </c>
      <c r="J66" s="1" t="n">
        <v>1</v>
      </c>
      <c r="K66" s="1" t="n">
        <v>1</v>
      </c>
      <c r="L66" s="1" t="n">
        <f aca="false">B66</f>
        <v>5.1528384279476</v>
      </c>
      <c r="M66" s="1" t="n">
        <f aca="false">B66</f>
        <v>5.1528384279476</v>
      </c>
      <c r="N66" s="1" t="n">
        <f aca="false">B66</f>
        <v>5.1528384279476</v>
      </c>
      <c r="O66" s="1" t="n">
        <f aca="false">B66</f>
        <v>5.1528384279476</v>
      </c>
      <c r="P66" s="1" t="n">
        <f aca="false">B66</f>
        <v>5.1528384279476</v>
      </c>
      <c r="Q66" s="1" t="n">
        <v>1</v>
      </c>
      <c r="R66" s="1" t="n">
        <v>1</v>
      </c>
      <c r="S66" s="1" t="n">
        <v>1</v>
      </c>
      <c r="T66" s="1" t="n">
        <v>1</v>
      </c>
      <c r="U66" s="1" t="n">
        <v>1</v>
      </c>
      <c r="V66" s="1" t="n">
        <v>1</v>
      </c>
      <c r="W66" s="1" t="n">
        <v>1</v>
      </c>
      <c r="X66" s="1" t="n">
        <v>1</v>
      </c>
      <c r="Y66" s="1" t="n">
        <v>1</v>
      </c>
      <c r="Z66" s="1" t="n">
        <v>1</v>
      </c>
      <c r="AA66" s="1" t="n">
        <v>1</v>
      </c>
      <c r="AB66" s="1" t="n">
        <v>1</v>
      </c>
      <c r="AC66" s="1" t="n">
        <v>1</v>
      </c>
      <c r="AD66" s="1" t="n">
        <v>1</v>
      </c>
      <c r="AE66" s="1" t="n">
        <f aca="false">B66</f>
        <v>5.1528384279476</v>
      </c>
      <c r="AF66" s="1" t="n">
        <f aca="false">B66</f>
        <v>5.1528384279476</v>
      </c>
      <c r="AG66" s="1" t="n">
        <f aca="false">B66</f>
        <v>5.1528384279476</v>
      </c>
      <c r="AH66" s="1" t="n">
        <f aca="false">B66</f>
        <v>5.1528384279476</v>
      </c>
      <c r="AI66" s="1" t="n">
        <f aca="false">B66</f>
        <v>5.1528384279476</v>
      </c>
      <c r="AJ66" s="1" t="n">
        <f aca="false">B66</f>
        <v>5.1528384279476</v>
      </c>
      <c r="AK66" s="1" t="n">
        <f aca="false">B66</f>
        <v>5.1528384279476</v>
      </c>
      <c r="AL66" s="1" t="n">
        <f aca="false">B66</f>
        <v>5.1528384279476</v>
      </c>
      <c r="AM66" s="1" t="n">
        <f aca="false">B66</f>
        <v>5.1528384279476</v>
      </c>
      <c r="AN66" s="1" t="n">
        <v>1</v>
      </c>
      <c r="AO66" s="1" t="n">
        <v>1</v>
      </c>
      <c r="AP66" s="1" t="n">
        <v>1</v>
      </c>
      <c r="AQ66" s="1" t="n">
        <v>1</v>
      </c>
      <c r="AR66" s="1" t="n">
        <v>1</v>
      </c>
      <c r="AS66" s="1" t="n">
        <v>1</v>
      </c>
      <c r="AT66" s="1" t="n">
        <v>1</v>
      </c>
      <c r="AU66" s="1" t="n">
        <v>1</v>
      </c>
      <c r="AV66" s="1" t="n">
        <v>1</v>
      </c>
      <c r="AW66" s="1" t="n">
        <v>1</v>
      </c>
      <c r="AX66" s="1" t="n">
        <f aca="false">B66</f>
        <v>5.1528384279476</v>
      </c>
      <c r="AY66" s="1" t="n">
        <f aca="false">B66</f>
        <v>5.1528384279476</v>
      </c>
      <c r="AZ66" s="1" t="n">
        <f aca="false">B66</f>
        <v>5.1528384279476</v>
      </c>
      <c r="BA66" s="1" t="n">
        <v>1</v>
      </c>
      <c r="BB66" s="1" t="n">
        <v>1</v>
      </c>
      <c r="BC66" s="1" t="n">
        <f aca="false">B66</f>
        <v>5.1528384279476</v>
      </c>
      <c r="BD66" s="1" t="n">
        <f aca="false">B66</f>
        <v>5.1528384279476</v>
      </c>
      <c r="BE66" s="1" t="n">
        <v>1</v>
      </c>
      <c r="BF66" s="1" t="n">
        <v>1</v>
      </c>
      <c r="BG66" s="1" t="n">
        <f aca="false">B66</f>
        <v>5.1528384279476</v>
      </c>
      <c r="BH66" s="1" t="n">
        <f aca="false">B66</f>
        <v>5.1528384279476</v>
      </c>
      <c r="BI66" s="1" t="n">
        <f aca="false">B66</f>
        <v>5.1528384279476</v>
      </c>
      <c r="BJ66" s="1" t="n">
        <f aca="false">B66</f>
        <v>5.1528384279476</v>
      </c>
      <c r="BK66" s="1" t="n">
        <v>1</v>
      </c>
    </row>
    <row r="67" customFormat="false" ht="12.75" hidden="false" customHeight="false" outlineLevel="0" collapsed="false">
      <c r="A67" s="1" t="n">
        <f aca="false">A66-1</f>
        <v>1960</v>
      </c>
      <c r="B67" s="1" t="n">
        <f aca="false">im!H66/im!G66</f>
        <v>5.1528384279476</v>
      </c>
      <c r="C67" s="1" t="n">
        <f aca="false">B67</f>
        <v>5.1528384279476</v>
      </c>
      <c r="D67" s="1" t="n">
        <f aca="false">B67</f>
        <v>5.1528384279476</v>
      </c>
      <c r="E67" s="1" t="n">
        <f aca="false">B67</f>
        <v>5.1528384279476</v>
      </c>
      <c r="F67" s="1" t="n">
        <v>1</v>
      </c>
      <c r="G67" s="1" t="n">
        <v>1</v>
      </c>
      <c r="H67" s="1" t="n">
        <v>1</v>
      </c>
      <c r="I67" s="1" t="n">
        <v>1</v>
      </c>
      <c r="J67" s="1" t="n">
        <v>1</v>
      </c>
      <c r="K67" s="1" t="n">
        <v>1</v>
      </c>
      <c r="L67" s="1" t="n">
        <f aca="false">B67</f>
        <v>5.1528384279476</v>
      </c>
      <c r="M67" s="1" t="n">
        <f aca="false">B67</f>
        <v>5.1528384279476</v>
      </c>
      <c r="N67" s="1" t="n">
        <f aca="false">B67</f>
        <v>5.1528384279476</v>
      </c>
      <c r="O67" s="1" t="n">
        <f aca="false">B67</f>
        <v>5.1528384279476</v>
      </c>
      <c r="P67" s="1" t="n">
        <f aca="false">B67</f>
        <v>5.1528384279476</v>
      </c>
      <c r="Q67" s="1" t="n">
        <v>1</v>
      </c>
      <c r="R67" s="1" t="n">
        <v>1</v>
      </c>
      <c r="S67" s="1" t="n">
        <v>1</v>
      </c>
      <c r="T67" s="1" t="n">
        <v>1</v>
      </c>
      <c r="U67" s="1" t="n">
        <v>1</v>
      </c>
      <c r="V67" s="1" t="n">
        <v>1</v>
      </c>
      <c r="W67" s="1" t="n">
        <v>1</v>
      </c>
      <c r="X67" s="1" t="n">
        <v>1</v>
      </c>
      <c r="Y67" s="1" t="n">
        <v>1</v>
      </c>
      <c r="Z67" s="1" t="n">
        <v>1</v>
      </c>
      <c r="AA67" s="1" t="n">
        <v>1</v>
      </c>
      <c r="AB67" s="1" t="n">
        <v>1</v>
      </c>
      <c r="AC67" s="1" t="n">
        <v>1</v>
      </c>
      <c r="AD67" s="1" t="n">
        <v>1</v>
      </c>
      <c r="AE67" s="1" t="n">
        <f aca="false">B67</f>
        <v>5.1528384279476</v>
      </c>
      <c r="AF67" s="1" t="n">
        <f aca="false">B67</f>
        <v>5.1528384279476</v>
      </c>
      <c r="AG67" s="1" t="n">
        <f aca="false">B67</f>
        <v>5.1528384279476</v>
      </c>
      <c r="AH67" s="1" t="n">
        <f aca="false">B67</f>
        <v>5.1528384279476</v>
      </c>
      <c r="AI67" s="1" t="n">
        <f aca="false">B67</f>
        <v>5.1528384279476</v>
      </c>
      <c r="AJ67" s="1" t="n">
        <f aca="false">B67</f>
        <v>5.1528384279476</v>
      </c>
      <c r="AK67" s="1" t="n">
        <f aca="false">B67</f>
        <v>5.1528384279476</v>
      </c>
      <c r="AL67" s="1" t="n">
        <f aca="false">B67</f>
        <v>5.1528384279476</v>
      </c>
      <c r="AM67" s="1" t="n">
        <f aca="false">B67</f>
        <v>5.1528384279476</v>
      </c>
      <c r="AN67" s="1" t="n">
        <v>1</v>
      </c>
      <c r="AO67" s="1" t="n">
        <v>1</v>
      </c>
      <c r="AP67" s="1" t="n">
        <v>1</v>
      </c>
      <c r="AQ67" s="1" t="n">
        <v>1</v>
      </c>
      <c r="AR67" s="1" t="n">
        <v>1</v>
      </c>
      <c r="AS67" s="1" t="n">
        <v>1</v>
      </c>
      <c r="AT67" s="1" t="n">
        <v>1</v>
      </c>
      <c r="AU67" s="1" t="n">
        <v>1</v>
      </c>
      <c r="AV67" s="1" t="n">
        <v>1</v>
      </c>
      <c r="AW67" s="1" t="n">
        <v>1</v>
      </c>
      <c r="AX67" s="1" t="n">
        <f aca="false">B67</f>
        <v>5.1528384279476</v>
      </c>
      <c r="AY67" s="1" t="n">
        <f aca="false">B67</f>
        <v>5.1528384279476</v>
      </c>
      <c r="AZ67" s="1" t="n">
        <f aca="false">B67</f>
        <v>5.1528384279476</v>
      </c>
      <c r="BA67" s="1" t="n">
        <v>1</v>
      </c>
      <c r="BB67" s="1" t="n">
        <v>1</v>
      </c>
      <c r="BC67" s="1" t="n">
        <f aca="false">B67</f>
        <v>5.1528384279476</v>
      </c>
      <c r="BD67" s="1" t="n">
        <f aca="false">B67</f>
        <v>5.1528384279476</v>
      </c>
      <c r="BE67" s="1" t="n">
        <v>1</v>
      </c>
      <c r="BF67" s="1" t="n">
        <v>1</v>
      </c>
      <c r="BG67" s="1" t="n">
        <f aca="false">B67</f>
        <v>5.1528384279476</v>
      </c>
      <c r="BH67" s="1" t="n">
        <f aca="false">B67</f>
        <v>5.1528384279476</v>
      </c>
      <c r="BI67" s="1" t="n">
        <f aca="false">B67</f>
        <v>5.1528384279476</v>
      </c>
      <c r="BJ67" s="1" t="n">
        <f aca="false">B67</f>
        <v>5.1528384279476</v>
      </c>
      <c r="BK67" s="1" t="n">
        <v>1</v>
      </c>
    </row>
    <row r="68" customFormat="false" ht="12.75" hidden="false" customHeight="false" outlineLevel="0" collapsed="false">
      <c r="A68" s="1" t="n">
        <f aca="false">A67-1</f>
        <v>1959</v>
      </c>
      <c r="B68" s="1" t="n">
        <f aca="false">B67</f>
        <v>5.1528384279476</v>
      </c>
      <c r="C68" s="1" t="n">
        <f aca="false">B68</f>
        <v>5.1528384279476</v>
      </c>
      <c r="D68" s="1" t="n">
        <f aca="false">B68</f>
        <v>5.1528384279476</v>
      </c>
      <c r="E68" s="1" t="n">
        <f aca="false">B68</f>
        <v>5.1528384279476</v>
      </c>
      <c r="F68" s="1" t="n">
        <v>1</v>
      </c>
      <c r="G68" s="1" t="n">
        <v>1</v>
      </c>
      <c r="H68" s="1" t="n">
        <v>1</v>
      </c>
      <c r="I68" s="1" t="n">
        <v>1</v>
      </c>
      <c r="J68" s="1" t="n">
        <v>1</v>
      </c>
      <c r="K68" s="1" t="n">
        <v>1</v>
      </c>
      <c r="L68" s="1" t="n">
        <f aca="false">B68</f>
        <v>5.1528384279476</v>
      </c>
      <c r="M68" s="1" t="n">
        <f aca="false">B68</f>
        <v>5.1528384279476</v>
      </c>
      <c r="N68" s="1" t="n">
        <f aca="false">B68</f>
        <v>5.1528384279476</v>
      </c>
      <c r="O68" s="1" t="n">
        <f aca="false">B68</f>
        <v>5.1528384279476</v>
      </c>
      <c r="P68" s="1" t="n">
        <f aca="false">B68</f>
        <v>5.1528384279476</v>
      </c>
      <c r="Q68" s="1" t="n">
        <v>1</v>
      </c>
      <c r="R68" s="1" t="n">
        <v>1</v>
      </c>
      <c r="S68" s="1" t="n">
        <v>1</v>
      </c>
      <c r="T68" s="1" t="n">
        <v>1</v>
      </c>
      <c r="U68" s="1" t="n">
        <v>1</v>
      </c>
      <c r="V68" s="1" t="n">
        <v>1</v>
      </c>
      <c r="W68" s="1" t="n">
        <v>1</v>
      </c>
      <c r="X68" s="1" t="n">
        <v>1</v>
      </c>
      <c r="Y68" s="1" t="n">
        <v>1</v>
      </c>
      <c r="Z68" s="1" t="n">
        <v>1</v>
      </c>
      <c r="AA68" s="1" t="n">
        <v>1</v>
      </c>
      <c r="AB68" s="1" t="n">
        <v>1</v>
      </c>
      <c r="AC68" s="1" t="n">
        <v>1</v>
      </c>
      <c r="AD68" s="1" t="n">
        <v>1</v>
      </c>
      <c r="AE68" s="1" t="n">
        <f aca="false">B68</f>
        <v>5.1528384279476</v>
      </c>
      <c r="AF68" s="1" t="n">
        <f aca="false">B68</f>
        <v>5.1528384279476</v>
      </c>
      <c r="AG68" s="1" t="n">
        <f aca="false">B68</f>
        <v>5.1528384279476</v>
      </c>
      <c r="AH68" s="1" t="n">
        <f aca="false">B68</f>
        <v>5.1528384279476</v>
      </c>
      <c r="AI68" s="1" t="n">
        <f aca="false">B68</f>
        <v>5.1528384279476</v>
      </c>
      <c r="AJ68" s="1" t="n">
        <f aca="false">B68</f>
        <v>5.1528384279476</v>
      </c>
      <c r="AK68" s="1" t="n">
        <f aca="false">B68</f>
        <v>5.1528384279476</v>
      </c>
      <c r="AL68" s="1" t="n">
        <f aca="false">B68</f>
        <v>5.1528384279476</v>
      </c>
      <c r="AM68" s="1" t="n">
        <f aca="false">B68</f>
        <v>5.1528384279476</v>
      </c>
      <c r="AN68" s="1" t="n">
        <v>1</v>
      </c>
      <c r="AO68" s="1" t="n">
        <v>1</v>
      </c>
      <c r="AP68" s="1" t="n">
        <v>1</v>
      </c>
      <c r="AQ68" s="1" t="n">
        <v>1</v>
      </c>
      <c r="AR68" s="1" t="n">
        <v>1</v>
      </c>
      <c r="AS68" s="1" t="n">
        <v>1</v>
      </c>
      <c r="AT68" s="1" t="n">
        <v>1</v>
      </c>
      <c r="AU68" s="1" t="n">
        <v>1</v>
      </c>
      <c r="AV68" s="1" t="n">
        <v>1</v>
      </c>
      <c r="AW68" s="1" t="n">
        <v>1</v>
      </c>
      <c r="AX68" s="1" t="n">
        <f aca="false">B68</f>
        <v>5.1528384279476</v>
      </c>
      <c r="AY68" s="1" t="n">
        <f aca="false">B68</f>
        <v>5.1528384279476</v>
      </c>
      <c r="AZ68" s="1" t="n">
        <f aca="false">B68</f>
        <v>5.1528384279476</v>
      </c>
      <c r="BA68" s="1" t="n">
        <v>1</v>
      </c>
      <c r="BB68" s="1" t="n">
        <v>1</v>
      </c>
      <c r="BC68" s="1" t="n">
        <f aca="false">B68</f>
        <v>5.1528384279476</v>
      </c>
      <c r="BD68" s="1" t="n">
        <f aca="false">B68</f>
        <v>5.1528384279476</v>
      </c>
      <c r="BE68" s="1" t="n">
        <v>1</v>
      </c>
      <c r="BF68" s="1" t="n">
        <v>1</v>
      </c>
      <c r="BG68" s="1" t="n">
        <f aca="false">B68</f>
        <v>5.1528384279476</v>
      </c>
      <c r="BH68" s="1" t="n">
        <f aca="false">B68</f>
        <v>5.1528384279476</v>
      </c>
      <c r="BI68" s="1" t="n">
        <f aca="false">B68</f>
        <v>5.1528384279476</v>
      </c>
      <c r="BJ68" s="1" t="n">
        <f aca="false">B68</f>
        <v>5.1528384279476</v>
      </c>
      <c r="BK68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sheetData>
    <row r="1" customFormat="false" ht="12.75" hidden="false" customHeight="false" outlineLevel="0" collapsed="false">
      <c r="A1" s="6" t="s">
        <v>232</v>
      </c>
      <c r="B1" s="6" t="s">
        <v>25</v>
      </c>
      <c r="C1" s="6" t="s">
        <v>35</v>
      </c>
      <c r="D1" s="6" t="s">
        <v>38</v>
      </c>
      <c r="E1" s="6" t="s">
        <v>43</v>
      </c>
      <c r="F1" s="6" t="s">
        <v>48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57</v>
      </c>
      <c r="L1" s="6" t="s">
        <v>60</v>
      </c>
      <c r="M1" s="6" t="s">
        <v>62</v>
      </c>
      <c r="N1" s="6" t="s">
        <v>67</v>
      </c>
      <c r="O1" s="6" t="s">
        <v>73</v>
      </c>
      <c r="P1" s="6" t="s">
        <v>77</v>
      </c>
      <c r="Q1" s="6" t="s">
        <v>81</v>
      </c>
      <c r="R1" s="6" t="s">
        <v>84</v>
      </c>
      <c r="S1" s="6" t="s">
        <v>86</v>
      </c>
      <c r="T1" s="6" t="s">
        <v>88</v>
      </c>
      <c r="U1" s="6" t="s">
        <v>90</v>
      </c>
      <c r="V1" s="6" t="s">
        <v>92</v>
      </c>
      <c r="W1" s="6" t="s">
        <v>100</v>
      </c>
      <c r="X1" s="6" t="s">
        <v>104</v>
      </c>
      <c r="Y1" s="6" t="s">
        <v>108</v>
      </c>
      <c r="Z1" s="6" t="s">
        <v>112</v>
      </c>
      <c r="AA1" s="6" t="s">
        <v>114</v>
      </c>
      <c r="AB1" s="6" t="s">
        <v>118</v>
      </c>
      <c r="AC1" s="6" t="s">
        <v>122</v>
      </c>
      <c r="AD1" s="1" t="s">
        <v>126</v>
      </c>
      <c r="AE1" s="1" t="s">
        <v>130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6" t="s">
        <v>144</v>
      </c>
      <c r="AP1" s="6" t="s">
        <v>147</v>
      </c>
      <c r="AQ1" s="1" t="s">
        <v>151</v>
      </c>
      <c r="AR1" s="1" t="s">
        <v>155</v>
      </c>
      <c r="AS1" s="1" t="s">
        <v>159</v>
      </c>
      <c r="AT1" s="1" t="s">
        <v>163</v>
      </c>
      <c r="AU1" s="1" t="s">
        <v>167</v>
      </c>
      <c r="AV1" s="1" t="s">
        <v>174</v>
      </c>
      <c r="AW1" s="1" t="s">
        <v>179</v>
      </c>
      <c r="AX1" s="1" t="s">
        <v>184</v>
      </c>
      <c r="AY1" s="1" t="s">
        <v>186</v>
      </c>
      <c r="AZ1" s="1" t="s">
        <v>187</v>
      </c>
      <c r="BA1" s="1" t="s">
        <v>188</v>
      </c>
      <c r="BB1" s="1" t="s">
        <v>192</v>
      </c>
      <c r="BC1" s="1" t="s">
        <v>196</v>
      </c>
      <c r="BD1" s="1" t="s">
        <v>197</v>
      </c>
      <c r="BE1" s="1" t="s">
        <v>198</v>
      </c>
      <c r="BF1" s="1" t="s">
        <v>201</v>
      </c>
      <c r="BG1" s="1" t="s">
        <v>205</v>
      </c>
      <c r="BH1" s="1" t="s">
        <v>215</v>
      </c>
      <c r="BI1" s="1" t="s">
        <v>220</v>
      </c>
      <c r="BJ1" s="1" t="s">
        <v>225</v>
      </c>
      <c r="BK1" s="1" t="s">
        <v>230</v>
      </c>
    </row>
    <row r="2" customFormat="false" ht="12.75" hidden="false" customHeight="false" outlineLevel="0" collapsed="false">
      <c r="A2" s="6" t="n">
        <v>2025</v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  <c r="BE2" s="1" t="n">
        <v>1</v>
      </c>
      <c r="BF2" s="1" t="n">
        <v>1</v>
      </c>
      <c r="BG2" s="1" t="n">
        <v>1</v>
      </c>
      <c r="BH2" s="1" t="n">
        <v>1</v>
      </c>
      <c r="BI2" s="1" t="n">
        <v>1</v>
      </c>
      <c r="BJ2" s="1" t="n">
        <v>1</v>
      </c>
      <c r="BK2" s="1" t="n">
        <v>1</v>
      </c>
    </row>
    <row r="3" customFormat="false" ht="12.75" hidden="false" customHeight="false" outlineLevel="0" collapsed="false">
      <c r="A3" s="6" t="n">
        <v>2024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  <c r="BE3" s="1" t="n">
        <v>1</v>
      </c>
      <c r="BF3" s="1" t="n">
        <v>1</v>
      </c>
      <c r="BG3" s="1" t="n">
        <v>1</v>
      </c>
      <c r="BH3" s="1" t="n">
        <v>1</v>
      </c>
      <c r="BI3" s="1" t="n">
        <v>1</v>
      </c>
      <c r="BJ3" s="1" t="n">
        <v>1</v>
      </c>
      <c r="BK3" s="1" t="n">
        <v>1</v>
      </c>
    </row>
    <row r="4" customFormat="false" ht="12.75" hidden="false" customHeight="false" outlineLevel="0" collapsed="false">
      <c r="A4" s="6" t="n">
        <v>2023</v>
      </c>
      <c r="B4" s="1" t="n">
        <v>1</v>
      </c>
      <c r="C4" s="1" t="n">
        <v>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</v>
      </c>
      <c r="AN4" s="1" t="n">
        <v>1</v>
      </c>
      <c r="AO4" s="1" t="n">
        <v>1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1</v>
      </c>
      <c r="AW4" s="1" t="n">
        <v>1</v>
      </c>
      <c r="AX4" s="1" t="n">
        <v>1</v>
      </c>
      <c r="AY4" s="1" t="n">
        <v>1</v>
      </c>
      <c r="AZ4" s="1" t="n">
        <v>1</v>
      </c>
      <c r="BA4" s="1" t="n">
        <v>1</v>
      </c>
      <c r="BB4" s="1" t="n">
        <v>1</v>
      </c>
      <c r="BC4" s="1" t="n">
        <v>1</v>
      </c>
      <c r="BD4" s="1" t="n">
        <v>1</v>
      </c>
      <c r="BE4" s="1" t="n">
        <v>1</v>
      </c>
      <c r="BF4" s="1" t="n">
        <v>1</v>
      </c>
      <c r="BG4" s="1" t="n">
        <v>1</v>
      </c>
      <c r="BH4" s="1" t="n">
        <v>1</v>
      </c>
      <c r="BI4" s="1" t="n">
        <v>1</v>
      </c>
      <c r="BJ4" s="1" t="n">
        <v>1</v>
      </c>
      <c r="BK4" s="1" t="n">
        <v>1</v>
      </c>
    </row>
    <row r="5" customFormat="false" ht="12.75" hidden="false" customHeight="false" outlineLevel="0" collapsed="false">
      <c r="A5" s="6" t="n">
        <v>2022</v>
      </c>
      <c r="B5" s="1" t="n">
        <v>1</v>
      </c>
      <c r="C5" s="1" t="n">
        <v>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  <c r="W5" s="1" t="n">
        <v>1</v>
      </c>
      <c r="X5" s="1" t="n">
        <v>1</v>
      </c>
      <c r="Y5" s="1" t="n">
        <v>1</v>
      </c>
      <c r="Z5" s="1" t="n">
        <v>1</v>
      </c>
      <c r="AA5" s="1" t="n">
        <v>1</v>
      </c>
      <c r="AB5" s="1" t="n">
        <v>1</v>
      </c>
      <c r="AC5" s="1" t="n">
        <v>1</v>
      </c>
      <c r="AD5" s="1" t="n">
        <v>1</v>
      </c>
      <c r="AE5" s="1" t="n">
        <v>1</v>
      </c>
      <c r="AF5" s="1" t="n">
        <v>1</v>
      </c>
      <c r="AG5" s="1" t="n">
        <v>1</v>
      </c>
      <c r="AH5" s="1" t="n">
        <v>1</v>
      </c>
      <c r="AI5" s="1" t="n">
        <v>1</v>
      </c>
      <c r="AJ5" s="1" t="n">
        <v>1</v>
      </c>
      <c r="AK5" s="1" t="n">
        <v>1</v>
      </c>
      <c r="AL5" s="1" t="n">
        <v>1</v>
      </c>
      <c r="AM5" s="1" t="n">
        <v>1</v>
      </c>
      <c r="AN5" s="1" t="n">
        <v>1</v>
      </c>
      <c r="AO5" s="1" t="n">
        <v>1</v>
      </c>
      <c r="AP5" s="1" t="n">
        <v>1</v>
      </c>
      <c r="AQ5" s="1" t="n">
        <v>1</v>
      </c>
      <c r="AR5" s="1" t="n">
        <v>1</v>
      </c>
      <c r="AS5" s="1" t="n">
        <v>1</v>
      </c>
      <c r="AT5" s="1" t="n">
        <v>1</v>
      </c>
      <c r="AU5" s="1" t="n">
        <v>1</v>
      </c>
      <c r="AV5" s="1" t="n">
        <v>1</v>
      </c>
      <c r="AW5" s="1" t="n">
        <v>1</v>
      </c>
      <c r="AX5" s="1" t="n">
        <v>1</v>
      </c>
      <c r="AY5" s="1" t="n">
        <v>1</v>
      </c>
      <c r="AZ5" s="1" t="n">
        <v>1</v>
      </c>
      <c r="BA5" s="1" t="n">
        <v>1</v>
      </c>
      <c r="BB5" s="1" t="n">
        <v>1</v>
      </c>
      <c r="BC5" s="1" t="n">
        <v>1</v>
      </c>
      <c r="BD5" s="1" t="n">
        <v>1</v>
      </c>
      <c r="BE5" s="1" t="n">
        <v>1</v>
      </c>
      <c r="BF5" s="1" t="n">
        <v>1</v>
      </c>
      <c r="BG5" s="1" t="n">
        <v>1</v>
      </c>
      <c r="BH5" s="1" t="n">
        <v>1</v>
      </c>
      <c r="BI5" s="1" t="n">
        <v>1</v>
      </c>
      <c r="BJ5" s="1" t="n">
        <v>1</v>
      </c>
      <c r="BK5" s="1" t="n">
        <v>1</v>
      </c>
    </row>
    <row r="6" customFormat="false" ht="12.75" hidden="false" customHeight="false" outlineLevel="0" collapsed="false">
      <c r="A6" s="6" t="n">
        <v>2021</v>
      </c>
      <c r="B6" s="1" t="n">
        <v>1</v>
      </c>
      <c r="C6" s="1" t="n">
        <v>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  <c r="W6" s="1" t="n">
        <v>1</v>
      </c>
      <c r="X6" s="1" t="n">
        <v>1</v>
      </c>
      <c r="Y6" s="1" t="n">
        <v>1</v>
      </c>
      <c r="Z6" s="1" t="n">
        <v>1</v>
      </c>
      <c r="AA6" s="1" t="n">
        <v>1</v>
      </c>
      <c r="AB6" s="1" t="n">
        <v>1</v>
      </c>
      <c r="AC6" s="1" t="n">
        <v>1</v>
      </c>
      <c r="AD6" s="1" t="n">
        <v>1</v>
      </c>
      <c r="AE6" s="1" t="n">
        <v>1</v>
      </c>
      <c r="AF6" s="1" t="n">
        <v>1</v>
      </c>
      <c r="AG6" s="1" t="n">
        <v>1</v>
      </c>
      <c r="AH6" s="1" t="n">
        <v>1</v>
      </c>
      <c r="AI6" s="1" t="n">
        <v>1</v>
      </c>
      <c r="AJ6" s="1" t="n">
        <v>1</v>
      </c>
      <c r="AK6" s="1" t="n">
        <v>1</v>
      </c>
      <c r="AL6" s="1" t="n">
        <v>1</v>
      </c>
      <c r="AM6" s="1" t="n">
        <v>1</v>
      </c>
      <c r="AN6" s="1" t="n">
        <v>1</v>
      </c>
      <c r="AO6" s="1" t="n">
        <v>1</v>
      </c>
      <c r="AP6" s="1" t="n">
        <v>1</v>
      </c>
      <c r="AQ6" s="1" t="n">
        <v>1</v>
      </c>
      <c r="AR6" s="1" t="n">
        <v>1</v>
      </c>
      <c r="AS6" s="1" t="n">
        <v>1</v>
      </c>
      <c r="AT6" s="1" t="n">
        <v>1</v>
      </c>
      <c r="AU6" s="1" t="n">
        <v>1</v>
      </c>
      <c r="AV6" s="1" t="n">
        <v>1</v>
      </c>
      <c r="AW6" s="1" t="n">
        <v>1</v>
      </c>
      <c r="AX6" s="1" t="n">
        <v>1</v>
      </c>
      <c r="AY6" s="1" t="n">
        <v>1</v>
      </c>
      <c r="AZ6" s="1" t="n">
        <v>1</v>
      </c>
      <c r="BA6" s="1" t="n">
        <v>1</v>
      </c>
      <c r="BB6" s="1" t="n">
        <v>1</v>
      </c>
      <c r="BC6" s="1" t="n">
        <v>1</v>
      </c>
      <c r="BD6" s="1" t="n">
        <v>1</v>
      </c>
      <c r="BE6" s="1" t="n">
        <v>1</v>
      </c>
      <c r="BF6" s="1" t="n">
        <v>1</v>
      </c>
      <c r="BG6" s="1" t="n">
        <v>1</v>
      </c>
      <c r="BH6" s="1" t="n">
        <v>1</v>
      </c>
      <c r="BI6" s="1" t="n">
        <v>1</v>
      </c>
      <c r="BJ6" s="1" t="n">
        <v>1</v>
      </c>
      <c r="BK6" s="1" t="n">
        <v>1</v>
      </c>
    </row>
    <row r="7" customFormat="false" ht="12.75" hidden="false" customHeight="false" outlineLevel="0" collapsed="false">
      <c r="A7" s="6" t="n">
        <v>2020</v>
      </c>
      <c r="B7" s="1" t="n">
        <v>1</v>
      </c>
      <c r="C7" s="1" t="n">
        <v>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</row>
    <row r="8" customFormat="false" ht="12.75" hidden="false" customHeight="false" outlineLevel="0" collapsed="false">
      <c r="A8" s="1" t="n">
        <v>2019</v>
      </c>
      <c r="B8" s="1" t="n">
        <v>1</v>
      </c>
      <c r="C8" s="1" t="n">
        <v>1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  <c r="W8" s="1" t="n">
        <v>1</v>
      </c>
      <c r="X8" s="1" t="n">
        <v>1</v>
      </c>
      <c r="Y8" s="1" t="n">
        <v>1</v>
      </c>
      <c r="Z8" s="1" t="n">
        <v>1</v>
      </c>
      <c r="AA8" s="1" t="n">
        <v>1</v>
      </c>
      <c r="AB8" s="1" t="n">
        <v>1</v>
      </c>
      <c r="AC8" s="1" t="n">
        <v>1</v>
      </c>
      <c r="AD8" s="1" t="n">
        <v>1</v>
      </c>
      <c r="AE8" s="1" t="n">
        <v>1</v>
      </c>
      <c r="AF8" s="1" t="n">
        <v>1</v>
      </c>
      <c r="AG8" s="1" t="n">
        <v>1</v>
      </c>
      <c r="AH8" s="1" t="n">
        <v>1</v>
      </c>
      <c r="AI8" s="1" t="n">
        <v>1</v>
      </c>
      <c r="AJ8" s="1" t="n">
        <v>1</v>
      </c>
      <c r="AK8" s="1" t="n">
        <v>1</v>
      </c>
      <c r="AL8" s="1" t="n">
        <v>1</v>
      </c>
      <c r="AM8" s="1" t="n">
        <v>1</v>
      </c>
      <c r="AN8" s="1" t="n">
        <v>1</v>
      </c>
      <c r="AO8" s="1" t="n">
        <v>1</v>
      </c>
      <c r="AP8" s="1" t="n">
        <v>1</v>
      </c>
      <c r="AQ8" s="1" t="n">
        <v>1</v>
      </c>
      <c r="AR8" s="1" t="n">
        <v>1</v>
      </c>
      <c r="AS8" s="1" t="n">
        <v>1</v>
      </c>
      <c r="AT8" s="1" t="n">
        <v>1</v>
      </c>
      <c r="AU8" s="1" t="n">
        <v>1</v>
      </c>
      <c r="AV8" s="1" t="n">
        <v>1</v>
      </c>
      <c r="AW8" s="1" t="n">
        <v>1</v>
      </c>
      <c r="AX8" s="1" t="n">
        <v>1</v>
      </c>
      <c r="AY8" s="1" t="n">
        <v>1</v>
      </c>
      <c r="AZ8" s="1" t="n">
        <v>1</v>
      </c>
      <c r="BA8" s="1" t="n">
        <v>1</v>
      </c>
      <c r="BB8" s="1" t="n">
        <v>1</v>
      </c>
      <c r="BC8" s="1" t="n">
        <v>1</v>
      </c>
      <c r="BD8" s="1" t="n">
        <v>1</v>
      </c>
      <c r="BE8" s="1" t="n">
        <v>1</v>
      </c>
      <c r="BF8" s="1" t="n">
        <v>1</v>
      </c>
      <c r="BG8" s="1" t="n">
        <v>1</v>
      </c>
      <c r="BH8" s="1" t="n">
        <v>1</v>
      </c>
      <c r="BI8" s="1" t="n">
        <v>1</v>
      </c>
      <c r="BJ8" s="1" t="n">
        <v>1</v>
      </c>
      <c r="BK8" s="1" t="n">
        <v>1</v>
      </c>
    </row>
    <row r="9" customFormat="false" ht="12.75" hidden="false" customHeight="false" outlineLevel="0" collapsed="false">
      <c r="A9" s="1" t="n">
        <f aca="false">A8-1</f>
        <v>2018</v>
      </c>
      <c r="B9" s="1" t="n">
        <v>1</v>
      </c>
      <c r="C9" s="1" t="n">
        <v>1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1</v>
      </c>
      <c r="I9" s="1" t="n">
        <v>1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1</v>
      </c>
      <c r="Q9" s="1" t="n">
        <v>1</v>
      </c>
      <c r="R9" s="1" t="n">
        <v>1</v>
      </c>
      <c r="S9" s="1" t="n">
        <v>1</v>
      </c>
      <c r="T9" s="1" t="n">
        <v>1</v>
      </c>
      <c r="U9" s="1" t="n">
        <v>1</v>
      </c>
      <c r="V9" s="1" t="n">
        <v>1</v>
      </c>
      <c r="W9" s="1" t="n">
        <v>1</v>
      </c>
      <c r="X9" s="1" t="n">
        <v>1</v>
      </c>
      <c r="Y9" s="1" t="n">
        <v>1</v>
      </c>
      <c r="Z9" s="1" t="n">
        <v>1</v>
      </c>
      <c r="AA9" s="1" t="n">
        <v>1</v>
      </c>
      <c r="AB9" s="1" t="n">
        <v>1</v>
      </c>
      <c r="AC9" s="1" t="n">
        <v>1</v>
      </c>
      <c r="AD9" s="1" t="n">
        <v>1</v>
      </c>
      <c r="AE9" s="1" t="n">
        <v>1</v>
      </c>
      <c r="AF9" s="1" t="n">
        <v>1</v>
      </c>
      <c r="AG9" s="1" t="n">
        <v>1</v>
      </c>
      <c r="AH9" s="1" t="n">
        <v>1</v>
      </c>
      <c r="AI9" s="1" t="n">
        <v>1</v>
      </c>
      <c r="AJ9" s="1" t="n">
        <v>1</v>
      </c>
      <c r="AK9" s="1" t="n">
        <v>1</v>
      </c>
      <c r="AL9" s="1" t="n">
        <v>1</v>
      </c>
      <c r="AM9" s="1" t="n">
        <v>1</v>
      </c>
      <c r="AN9" s="1" t="n">
        <v>1</v>
      </c>
      <c r="AO9" s="1" t="n">
        <v>1</v>
      </c>
      <c r="AP9" s="1" t="n">
        <v>1</v>
      </c>
      <c r="AQ9" s="1" t="n">
        <v>1</v>
      </c>
      <c r="AR9" s="1" t="n">
        <v>1</v>
      </c>
      <c r="AS9" s="1" t="n">
        <v>1</v>
      </c>
      <c r="AT9" s="1" t="n">
        <v>1</v>
      </c>
      <c r="AU9" s="1" t="n">
        <v>1</v>
      </c>
      <c r="AV9" s="1" t="n">
        <v>1</v>
      </c>
      <c r="AW9" s="1" t="n">
        <v>1</v>
      </c>
      <c r="AX9" s="1" t="n">
        <v>1</v>
      </c>
      <c r="AY9" s="1" t="n">
        <v>1</v>
      </c>
      <c r="AZ9" s="1" t="n">
        <v>1</v>
      </c>
      <c r="BA9" s="1" t="n">
        <v>1</v>
      </c>
      <c r="BB9" s="1" t="n">
        <v>1</v>
      </c>
      <c r="BC9" s="1" t="n">
        <v>1</v>
      </c>
      <c r="BD9" s="1" t="n">
        <v>1</v>
      </c>
      <c r="BE9" s="1" t="n">
        <v>1</v>
      </c>
      <c r="BF9" s="1" t="n">
        <v>1</v>
      </c>
      <c r="BG9" s="1" t="n">
        <v>1</v>
      </c>
      <c r="BH9" s="1" t="n">
        <v>1</v>
      </c>
      <c r="BI9" s="1" t="n">
        <v>1</v>
      </c>
      <c r="BJ9" s="1" t="n">
        <v>1</v>
      </c>
      <c r="BK9" s="1" t="n">
        <v>1</v>
      </c>
    </row>
    <row r="10" customFormat="false" ht="12.75" hidden="false" customHeight="false" outlineLevel="0" collapsed="false">
      <c r="A10" s="1" t="n">
        <f aca="false">A9-1</f>
        <v>2017</v>
      </c>
      <c r="B10" s="1" t="n">
        <v>1</v>
      </c>
      <c r="C10" s="1" t="n">
        <v>1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1</v>
      </c>
      <c r="I10" s="1" t="n">
        <v>1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s="1" t="n">
        <v>1</v>
      </c>
      <c r="Q10" s="1" t="n">
        <v>1</v>
      </c>
      <c r="R10" s="1" t="n">
        <v>1</v>
      </c>
      <c r="S10" s="1" t="n">
        <v>1</v>
      </c>
      <c r="T10" s="1" t="n">
        <v>1</v>
      </c>
      <c r="U10" s="1" t="n">
        <v>1</v>
      </c>
      <c r="V10" s="1" t="n">
        <v>1</v>
      </c>
      <c r="W10" s="1" t="n">
        <v>1</v>
      </c>
      <c r="X10" s="1" t="n">
        <v>1</v>
      </c>
      <c r="Y10" s="1" t="n">
        <v>1</v>
      </c>
      <c r="Z10" s="1" t="n">
        <v>1</v>
      </c>
      <c r="AA10" s="1" t="n">
        <v>1</v>
      </c>
      <c r="AB10" s="1" t="n">
        <v>1</v>
      </c>
      <c r="AC10" s="1" t="n">
        <v>1</v>
      </c>
      <c r="AD10" s="1" t="n">
        <v>1</v>
      </c>
      <c r="AE10" s="1" t="n">
        <v>1</v>
      </c>
      <c r="AF10" s="1" t="n">
        <v>1</v>
      </c>
      <c r="AG10" s="1" t="n">
        <v>1</v>
      </c>
      <c r="AH10" s="1" t="n">
        <v>1</v>
      </c>
      <c r="AI10" s="1" t="n">
        <v>1</v>
      </c>
      <c r="AJ10" s="1" t="n">
        <v>1</v>
      </c>
      <c r="AK10" s="1" t="n">
        <v>1</v>
      </c>
      <c r="AL10" s="1" t="n">
        <v>1</v>
      </c>
      <c r="AM10" s="1" t="n">
        <v>1</v>
      </c>
      <c r="AN10" s="1" t="n">
        <v>1</v>
      </c>
      <c r="AO10" s="1" t="n">
        <v>1</v>
      </c>
      <c r="AP10" s="1" t="n">
        <v>1</v>
      </c>
      <c r="AQ10" s="1" t="n">
        <v>1</v>
      </c>
      <c r="AR10" s="1" t="n">
        <v>1</v>
      </c>
      <c r="AS10" s="1" t="n">
        <v>1</v>
      </c>
      <c r="AT10" s="1" t="n">
        <v>1</v>
      </c>
      <c r="AU10" s="1" t="n">
        <v>1</v>
      </c>
      <c r="AV10" s="1" t="n">
        <v>1</v>
      </c>
      <c r="AW10" s="1" t="n">
        <v>1</v>
      </c>
      <c r="AX10" s="1" t="n">
        <v>1</v>
      </c>
      <c r="AY10" s="1" t="n">
        <v>1</v>
      </c>
      <c r="AZ10" s="1" t="n">
        <v>1</v>
      </c>
      <c r="BA10" s="1" t="n">
        <v>1</v>
      </c>
      <c r="BB10" s="1" t="n">
        <v>1</v>
      </c>
      <c r="BC10" s="1" t="n">
        <v>1</v>
      </c>
      <c r="BD10" s="1" t="n">
        <v>1</v>
      </c>
      <c r="BE10" s="1" t="n">
        <v>1</v>
      </c>
      <c r="BF10" s="1" t="n">
        <v>1</v>
      </c>
      <c r="BG10" s="1" t="n">
        <v>1</v>
      </c>
      <c r="BH10" s="1" t="n">
        <v>1</v>
      </c>
      <c r="BI10" s="1" t="n">
        <v>1</v>
      </c>
      <c r="BJ10" s="1" t="n">
        <v>1</v>
      </c>
      <c r="BK10" s="1" t="n">
        <v>1</v>
      </c>
    </row>
    <row r="11" customFormat="false" ht="12.75" hidden="false" customHeight="false" outlineLevel="0" collapsed="false">
      <c r="A11" s="1" t="n">
        <f aca="false">A10-1</f>
        <v>2016</v>
      </c>
      <c r="B11" s="1" t="n">
        <v>1</v>
      </c>
      <c r="C11" s="1" t="n">
        <v>1</v>
      </c>
      <c r="D11" s="1" t="n">
        <v>1</v>
      </c>
      <c r="E11" s="1" t="n">
        <v>1</v>
      </c>
      <c r="F11" s="1" t="n">
        <v>1</v>
      </c>
      <c r="G11" s="1" t="n">
        <v>1</v>
      </c>
      <c r="H11" s="1" t="n">
        <v>1</v>
      </c>
      <c r="I11" s="1" t="n">
        <v>1</v>
      </c>
      <c r="J11" s="1" t="n">
        <v>1</v>
      </c>
      <c r="K11" s="1" t="n">
        <v>1</v>
      </c>
      <c r="L11" s="1" t="n">
        <v>1</v>
      </c>
      <c r="M11" s="1" t="n">
        <v>1</v>
      </c>
      <c r="N11" s="1" t="n">
        <v>1</v>
      </c>
      <c r="O11" s="1" t="n">
        <v>1</v>
      </c>
      <c r="P11" s="1" t="n">
        <v>1</v>
      </c>
      <c r="Q11" s="1" t="n">
        <v>1</v>
      </c>
      <c r="R11" s="1" t="n">
        <v>1</v>
      </c>
      <c r="S11" s="1" t="n">
        <v>1</v>
      </c>
      <c r="T11" s="1" t="n">
        <v>1</v>
      </c>
      <c r="U11" s="1" t="n">
        <v>1</v>
      </c>
      <c r="V11" s="1" t="n">
        <v>1</v>
      </c>
      <c r="W11" s="1" t="n">
        <v>1</v>
      </c>
      <c r="X11" s="1" t="n">
        <v>1</v>
      </c>
      <c r="Y11" s="1" t="n">
        <v>1</v>
      </c>
      <c r="Z11" s="1" t="n">
        <v>1</v>
      </c>
      <c r="AA11" s="1" t="n">
        <v>1</v>
      </c>
      <c r="AB11" s="1" t="n">
        <v>1</v>
      </c>
      <c r="AC11" s="1" t="n">
        <v>1</v>
      </c>
      <c r="AD11" s="1" t="n">
        <v>1</v>
      </c>
      <c r="AE11" s="1" t="n">
        <v>1</v>
      </c>
      <c r="AF11" s="1" t="n">
        <v>1</v>
      </c>
      <c r="AG11" s="1" t="n">
        <v>1</v>
      </c>
      <c r="AH11" s="1" t="n">
        <v>1</v>
      </c>
      <c r="AI11" s="1" t="n">
        <v>1</v>
      </c>
      <c r="AJ11" s="1" t="n">
        <v>1</v>
      </c>
      <c r="AK11" s="1" t="n">
        <v>1</v>
      </c>
      <c r="AL11" s="1" t="n">
        <v>1</v>
      </c>
      <c r="AM11" s="1" t="n">
        <v>1</v>
      </c>
      <c r="AN11" s="1" t="n">
        <v>1</v>
      </c>
      <c r="AO11" s="1" t="n">
        <v>1</v>
      </c>
      <c r="AP11" s="1" t="n">
        <v>1</v>
      </c>
      <c r="AQ11" s="1" t="n">
        <v>1</v>
      </c>
      <c r="AR11" s="1" t="n">
        <v>1</v>
      </c>
      <c r="AS11" s="1" t="n">
        <v>1</v>
      </c>
      <c r="AT11" s="1" t="n">
        <v>1</v>
      </c>
      <c r="AU11" s="1" t="n">
        <v>1</v>
      </c>
      <c r="AV11" s="1" t="n">
        <v>1</v>
      </c>
      <c r="AW11" s="1" t="n">
        <v>1</v>
      </c>
      <c r="AX11" s="1" t="n">
        <v>1</v>
      </c>
      <c r="AY11" s="1" t="n">
        <v>1</v>
      </c>
      <c r="AZ11" s="1" t="n">
        <v>1</v>
      </c>
      <c r="BA11" s="1" t="n">
        <v>1</v>
      </c>
      <c r="BB11" s="1" t="n">
        <v>1</v>
      </c>
      <c r="BC11" s="1" t="n">
        <v>1</v>
      </c>
      <c r="BD11" s="1" t="n">
        <v>1</v>
      </c>
      <c r="BE11" s="1" t="n">
        <v>1</v>
      </c>
      <c r="BF11" s="1" t="n">
        <v>1</v>
      </c>
      <c r="BG11" s="1" t="n">
        <v>1</v>
      </c>
      <c r="BH11" s="1" t="n">
        <v>1</v>
      </c>
      <c r="BI11" s="1" t="n">
        <v>1</v>
      </c>
      <c r="BJ11" s="1" t="n">
        <v>1</v>
      </c>
      <c r="BK11" s="1" t="n">
        <v>1</v>
      </c>
    </row>
    <row r="12" customFormat="false" ht="12.75" hidden="false" customHeight="false" outlineLevel="0" collapsed="false">
      <c r="A12" s="1" t="n">
        <f aca="false">A11-1</f>
        <v>2015</v>
      </c>
      <c r="B12" s="1" t="n">
        <v>1</v>
      </c>
      <c r="C12" s="1" t="n">
        <v>1</v>
      </c>
      <c r="D12" s="1" t="n">
        <v>1</v>
      </c>
      <c r="E12" s="1" t="n">
        <v>1</v>
      </c>
      <c r="F12" s="1" t="n">
        <v>1</v>
      </c>
      <c r="G12" s="1" t="n">
        <v>1</v>
      </c>
      <c r="H12" s="1" t="n">
        <v>1</v>
      </c>
      <c r="I12" s="1" t="n">
        <v>1</v>
      </c>
      <c r="J12" s="1" t="n">
        <v>1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  <c r="P12" s="1" t="n">
        <v>1</v>
      </c>
      <c r="Q12" s="1" t="n">
        <v>1</v>
      </c>
      <c r="R12" s="1" t="n">
        <v>1</v>
      </c>
      <c r="S12" s="1" t="n">
        <v>1</v>
      </c>
      <c r="T12" s="1" t="n">
        <v>1</v>
      </c>
      <c r="U12" s="1" t="n">
        <v>1</v>
      </c>
      <c r="V12" s="1" t="n">
        <v>1</v>
      </c>
      <c r="W12" s="1" t="n">
        <v>1</v>
      </c>
      <c r="X12" s="1" t="n">
        <v>1</v>
      </c>
      <c r="Y12" s="1" t="n">
        <v>1</v>
      </c>
      <c r="Z12" s="1" t="n">
        <v>1</v>
      </c>
      <c r="AA12" s="1" t="n">
        <v>1</v>
      </c>
      <c r="AB12" s="1" t="n">
        <v>1</v>
      </c>
      <c r="AC12" s="1" t="n">
        <v>1</v>
      </c>
      <c r="AD12" s="1" t="n">
        <v>1</v>
      </c>
      <c r="AE12" s="1" t="n">
        <v>1</v>
      </c>
      <c r="AF12" s="1" t="n">
        <v>1</v>
      </c>
      <c r="AG12" s="1" t="n">
        <v>1</v>
      </c>
      <c r="AH12" s="1" t="n">
        <v>1</v>
      </c>
      <c r="AI12" s="1" t="n">
        <v>1</v>
      </c>
      <c r="AJ12" s="1" t="n">
        <v>1</v>
      </c>
      <c r="AK12" s="1" t="n">
        <v>1</v>
      </c>
      <c r="AL12" s="1" t="n">
        <v>1</v>
      </c>
      <c r="AM12" s="1" t="n">
        <v>1</v>
      </c>
      <c r="AN12" s="1" t="n">
        <v>1</v>
      </c>
      <c r="AO12" s="1" t="n">
        <v>1</v>
      </c>
      <c r="AP12" s="1" t="n">
        <v>1</v>
      </c>
      <c r="AQ12" s="1" t="n">
        <v>1</v>
      </c>
      <c r="AR12" s="1" t="n">
        <v>1</v>
      </c>
      <c r="AS12" s="1" t="n">
        <v>1</v>
      </c>
      <c r="AT12" s="1" t="n">
        <v>1</v>
      </c>
      <c r="AU12" s="1" t="n">
        <v>1</v>
      </c>
      <c r="AV12" s="1" t="n">
        <v>1</v>
      </c>
      <c r="AW12" s="1" t="n">
        <v>1</v>
      </c>
      <c r="AX12" s="1" t="n">
        <v>1</v>
      </c>
      <c r="AY12" s="1" t="n">
        <v>1</v>
      </c>
      <c r="AZ12" s="1" t="n">
        <v>1</v>
      </c>
      <c r="BA12" s="1" t="n">
        <v>1</v>
      </c>
      <c r="BB12" s="1" t="n">
        <v>1</v>
      </c>
      <c r="BC12" s="1" t="n">
        <v>1</v>
      </c>
      <c r="BD12" s="1" t="n">
        <v>1</v>
      </c>
      <c r="BE12" s="1" t="n">
        <v>1</v>
      </c>
      <c r="BF12" s="1" t="n">
        <v>1</v>
      </c>
      <c r="BG12" s="1" t="n">
        <v>1</v>
      </c>
      <c r="BH12" s="1" t="n">
        <v>1</v>
      </c>
      <c r="BI12" s="1" t="n">
        <v>1</v>
      </c>
      <c r="BJ12" s="1" t="n">
        <v>1</v>
      </c>
      <c r="BK12" s="1" t="n">
        <v>1</v>
      </c>
    </row>
    <row r="13" customFormat="false" ht="12.75" hidden="false" customHeight="false" outlineLevel="0" collapsed="false">
      <c r="A13" s="1" t="n">
        <f aca="false">A12-1</f>
        <v>2014</v>
      </c>
      <c r="B13" s="1" t="n">
        <v>1</v>
      </c>
      <c r="C13" s="1" t="n">
        <v>1</v>
      </c>
      <c r="D13" s="1" t="n">
        <v>1</v>
      </c>
      <c r="E13" s="1" t="n">
        <v>1</v>
      </c>
      <c r="F13" s="1" t="n">
        <v>1</v>
      </c>
      <c r="G13" s="1" t="n">
        <v>1</v>
      </c>
      <c r="H13" s="1" t="n">
        <v>1</v>
      </c>
      <c r="I13" s="1" t="n">
        <v>1</v>
      </c>
      <c r="J13" s="1" t="n">
        <v>1</v>
      </c>
      <c r="K13" s="1" t="n">
        <v>1</v>
      </c>
      <c r="L13" s="1" t="n">
        <v>1</v>
      </c>
      <c r="M13" s="1" t="n">
        <v>1</v>
      </c>
      <c r="N13" s="1" t="n">
        <v>1</v>
      </c>
      <c r="O13" s="1" t="n">
        <v>1</v>
      </c>
      <c r="P13" s="1" t="n">
        <v>1</v>
      </c>
      <c r="Q13" s="1" t="n">
        <v>1</v>
      </c>
      <c r="R13" s="1" t="n">
        <v>1</v>
      </c>
      <c r="S13" s="1" t="n">
        <v>1</v>
      </c>
      <c r="T13" s="1" t="n">
        <v>1</v>
      </c>
      <c r="U13" s="1" t="n">
        <v>1</v>
      </c>
      <c r="V13" s="1" t="n">
        <v>1</v>
      </c>
      <c r="W13" s="1" t="n">
        <v>1</v>
      </c>
      <c r="X13" s="1" t="n">
        <v>1</v>
      </c>
      <c r="Y13" s="1" t="n">
        <v>1</v>
      </c>
      <c r="Z13" s="1" t="n">
        <v>1</v>
      </c>
      <c r="AA13" s="1" t="n">
        <v>1</v>
      </c>
      <c r="AB13" s="1" t="n">
        <v>1</v>
      </c>
      <c r="AC13" s="1" t="n">
        <v>1</v>
      </c>
      <c r="AD13" s="1" t="n">
        <v>1</v>
      </c>
      <c r="AE13" s="1" t="n">
        <v>1</v>
      </c>
      <c r="AF13" s="1" t="n">
        <v>1</v>
      </c>
      <c r="AG13" s="1" t="n">
        <v>1</v>
      </c>
      <c r="AH13" s="1" t="n">
        <v>1</v>
      </c>
      <c r="AI13" s="1" t="n">
        <v>1</v>
      </c>
      <c r="AJ13" s="1" t="n">
        <v>1</v>
      </c>
      <c r="AK13" s="1" t="n">
        <v>1</v>
      </c>
      <c r="AL13" s="1" t="n">
        <v>1</v>
      </c>
      <c r="AM13" s="1" t="n">
        <v>1</v>
      </c>
      <c r="AN13" s="1" t="n">
        <v>1</v>
      </c>
      <c r="AO13" s="1" t="n">
        <v>1</v>
      </c>
      <c r="AP13" s="1" t="n">
        <v>1</v>
      </c>
      <c r="AQ13" s="1" t="n">
        <v>1</v>
      </c>
      <c r="AR13" s="1" t="n">
        <v>1</v>
      </c>
      <c r="AS13" s="1" t="n">
        <v>1</v>
      </c>
      <c r="AT13" s="1" t="n">
        <v>1</v>
      </c>
      <c r="AU13" s="1" t="n">
        <v>1</v>
      </c>
      <c r="AV13" s="1" t="n">
        <v>1</v>
      </c>
      <c r="AW13" s="1" t="n">
        <v>1</v>
      </c>
      <c r="AX13" s="1" t="n">
        <v>1</v>
      </c>
      <c r="AY13" s="1" t="n">
        <v>1</v>
      </c>
      <c r="AZ13" s="1" t="n">
        <v>1</v>
      </c>
      <c r="BA13" s="1" t="n">
        <v>1</v>
      </c>
      <c r="BB13" s="1" t="n">
        <v>1</v>
      </c>
      <c r="BC13" s="1" t="n">
        <v>1</v>
      </c>
      <c r="BD13" s="1" t="n">
        <v>1</v>
      </c>
      <c r="BE13" s="1" t="n">
        <v>1</v>
      </c>
      <c r="BF13" s="1" t="n">
        <v>1</v>
      </c>
      <c r="BG13" s="1" t="n">
        <v>1</v>
      </c>
      <c r="BH13" s="1" t="n">
        <v>1</v>
      </c>
      <c r="BI13" s="1" t="n">
        <v>1</v>
      </c>
      <c r="BJ13" s="1" t="n">
        <v>1</v>
      </c>
      <c r="BK13" s="1" t="n">
        <v>1</v>
      </c>
    </row>
    <row r="14" customFormat="false" ht="12.75" hidden="false" customHeight="false" outlineLevel="0" collapsed="false">
      <c r="A14" s="1" t="n">
        <f aca="false">A13-1</f>
        <v>2013</v>
      </c>
      <c r="B14" s="1" t="n">
        <v>1</v>
      </c>
      <c r="C14" s="1" t="n">
        <v>1</v>
      </c>
      <c r="D14" s="1" t="n">
        <v>1</v>
      </c>
      <c r="E14" s="1" t="n">
        <v>1</v>
      </c>
      <c r="F14" s="1" t="n">
        <v>1</v>
      </c>
      <c r="G14" s="1" t="n">
        <v>1</v>
      </c>
      <c r="H14" s="1" t="n">
        <v>1</v>
      </c>
      <c r="I14" s="1" t="n">
        <v>1</v>
      </c>
      <c r="J14" s="1" t="n">
        <v>1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  <c r="P14" s="1" t="n">
        <v>1</v>
      </c>
      <c r="Q14" s="1" t="n">
        <v>1</v>
      </c>
      <c r="R14" s="1" t="n">
        <v>1</v>
      </c>
      <c r="S14" s="1" t="n">
        <v>1</v>
      </c>
      <c r="T14" s="1" t="n">
        <v>1</v>
      </c>
      <c r="U14" s="1" t="n">
        <v>1</v>
      </c>
      <c r="V14" s="1" t="n">
        <v>1</v>
      </c>
      <c r="W14" s="1" t="n">
        <v>1</v>
      </c>
      <c r="X14" s="1" t="n">
        <v>1</v>
      </c>
      <c r="Y14" s="1" t="n">
        <v>1</v>
      </c>
      <c r="Z14" s="1" t="n">
        <v>1</v>
      </c>
      <c r="AA14" s="1" t="n">
        <v>1</v>
      </c>
      <c r="AB14" s="1" t="n">
        <v>1</v>
      </c>
      <c r="AC14" s="1" t="n">
        <v>1</v>
      </c>
      <c r="AD14" s="1" t="n">
        <v>1</v>
      </c>
      <c r="AE14" s="1" t="n">
        <v>1</v>
      </c>
      <c r="AF14" s="1" t="n">
        <v>1</v>
      </c>
      <c r="AG14" s="1" t="n">
        <v>1</v>
      </c>
      <c r="AH14" s="1" t="n">
        <v>1</v>
      </c>
      <c r="AI14" s="1" t="n">
        <v>1</v>
      </c>
      <c r="AJ14" s="1" t="n">
        <v>1</v>
      </c>
      <c r="AK14" s="1" t="n">
        <v>1</v>
      </c>
      <c r="AL14" s="1" t="n">
        <v>1</v>
      </c>
      <c r="AM14" s="1" t="n">
        <v>1</v>
      </c>
      <c r="AN14" s="1" t="n">
        <v>1</v>
      </c>
      <c r="AO14" s="1" t="n">
        <v>1</v>
      </c>
      <c r="AP14" s="1" t="n">
        <v>1</v>
      </c>
      <c r="AQ14" s="1" t="n">
        <v>1</v>
      </c>
      <c r="AR14" s="1" t="n">
        <v>1</v>
      </c>
      <c r="AS14" s="1" t="n">
        <v>1</v>
      </c>
      <c r="AT14" s="1" t="n">
        <v>1</v>
      </c>
      <c r="AU14" s="1" t="n">
        <v>1</v>
      </c>
      <c r="AV14" s="1" t="n">
        <v>1</v>
      </c>
      <c r="AW14" s="1" t="n">
        <v>1</v>
      </c>
      <c r="AX14" s="1" t="n">
        <v>1</v>
      </c>
      <c r="AY14" s="1" t="n">
        <v>1</v>
      </c>
      <c r="AZ14" s="1" t="n">
        <v>1</v>
      </c>
      <c r="BA14" s="1" t="n">
        <v>1</v>
      </c>
      <c r="BB14" s="1" t="n">
        <v>1</v>
      </c>
      <c r="BC14" s="1" t="n">
        <v>1</v>
      </c>
      <c r="BD14" s="1" t="n">
        <v>1</v>
      </c>
      <c r="BE14" s="1" t="n">
        <v>1</v>
      </c>
      <c r="BF14" s="1" t="n">
        <v>1</v>
      </c>
      <c r="BG14" s="1" t="n">
        <v>1</v>
      </c>
      <c r="BH14" s="1" t="n">
        <v>1</v>
      </c>
      <c r="BI14" s="1" t="n">
        <v>1</v>
      </c>
      <c r="BJ14" s="1" t="n">
        <v>1</v>
      </c>
      <c r="BK14" s="1" t="n">
        <v>1</v>
      </c>
    </row>
    <row r="15" customFormat="false" ht="12.75" hidden="false" customHeight="false" outlineLevel="0" collapsed="false">
      <c r="A15" s="1" t="n">
        <f aca="false">A14-1</f>
        <v>2012</v>
      </c>
      <c r="B15" s="1" t="n">
        <v>1</v>
      </c>
      <c r="C15" s="1" t="n">
        <v>1</v>
      </c>
      <c r="D15" s="1" t="n">
        <v>1</v>
      </c>
      <c r="E15" s="1" t="n">
        <v>1</v>
      </c>
      <c r="F15" s="1" t="n">
        <v>1</v>
      </c>
      <c r="G15" s="1" t="n">
        <v>1</v>
      </c>
      <c r="H15" s="1" t="n">
        <v>1</v>
      </c>
      <c r="I15" s="1" t="n">
        <v>1</v>
      </c>
      <c r="J15" s="1" t="n">
        <v>1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  <c r="P15" s="1" t="n">
        <v>1</v>
      </c>
      <c r="Q15" s="1" t="n">
        <v>1</v>
      </c>
      <c r="R15" s="1" t="n">
        <v>1</v>
      </c>
      <c r="S15" s="1" t="n">
        <v>1</v>
      </c>
      <c r="T15" s="1" t="n">
        <v>1</v>
      </c>
      <c r="U15" s="1" t="n">
        <v>1</v>
      </c>
      <c r="V15" s="1" t="n">
        <v>1</v>
      </c>
      <c r="W15" s="1" t="n">
        <v>1</v>
      </c>
      <c r="X15" s="1" t="n">
        <v>1</v>
      </c>
      <c r="Y15" s="1" t="n">
        <v>1</v>
      </c>
      <c r="Z15" s="1" t="n">
        <v>1</v>
      </c>
      <c r="AA15" s="1" t="n">
        <v>1</v>
      </c>
      <c r="AB15" s="1" t="n">
        <v>1</v>
      </c>
      <c r="AC15" s="1" t="n">
        <v>1</v>
      </c>
      <c r="AD15" s="1" t="n">
        <v>1</v>
      </c>
      <c r="AE15" s="1" t="n">
        <v>1</v>
      </c>
      <c r="AF15" s="1" t="n">
        <v>1</v>
      </c>
      <c r="AG15" s="1" t="n">
        <v>1</v>
      </c>
      <c r="AH15" s="1" t="n">
        <v>1</v>
      </c>
      <c r="AI15" s="1" t="n">
        <v>1</v>
      </c>
      <c r="AJ15" s="1" t="n">
        <v>1</v>
      </c>
      <c r="AK15" s="1" t="n">
        <v>1</v>
      </c>
      <c r="AL15" s="1" t="n">
        <v>1</v>
      </c>
      <c r="AM15" s="1" t="n">
        <v>1</v>
      </c>
      <c r="AN15" s="1" t="n">
        <v>1</v>
      </c>
      <c r="AO15" s="1" t="n">
        <v>1</v>
      </c>
      <c r="AP15" s="1" t="n">
        <v>1</v>
      </c>
      <c r="AQ15" s="1" t="n">
        <v>1</v>
      </c>
      <c r="AR15" s="1" t="n">
        <v>1</v>
      </c>
      <c r="AS15" s="1" t="n">
        <v>1</v>
      </c>
      <c r="AT15" s="1" t="n">
        <v>1</v>
      </c>
      <c r="AU15" s="1" t="n">
        <v>1</v>
      </c>
      <c r="AV15" s="1" t="n">
        <v>1</v>
      </c>
      <c r="AW15" s="1" t="n">
        <v>1</v>
      </c>
      <c r="AX15" s="1" t="n">
        <v>1</v>
      </c>
      <c r="AY15" s="1" t="n">
        <v>1</v>
      </c>
      <c r="AZ15" s="1" t="n">
        <v>1</v>
      </c>
      <c r="BA15" s="1" t="n">
        <v>1</v>
      </c>
      <c r="BB15" s="1" t="n">
        <v>1</v>
      </c>
      <c r="BC15" s="1" t="n">
        <v>1</v>
      </c>
      <c r="BD15" s="1" t="n">
        <v>1</v>
      </c>
      <c r="BE15" s="1" t="n">
        <v>1</v>
      </c>
      <c r="BF15" s="1" t="n">
        <v>1</v>
      </c>
      <c r="BG15" s="1" t="n">
        <v>1</v>
      </c>
      <c r="BH15" s="1" t="n">
        <v>1</v>
      </c>
      <c r="BI15" s="1" t="n">
        <v>1</v>
      </c>
      <c r="BJ15" s="1" t="n">
        <v>1</v>
      </c>
      <c r="BK15" s="1" t="n">
        <v>1</v>
      </c>
    </row>
    <row r="16" customFormat="false" ht="12.75" hidden="false" customHeight="false" outlineLevel="0" collapsed="false">
      <c r="A16" s="1" t="n">
        <f aca="false">A15-1</f>
        <v>2011</v>
      </c>
      <c r="B16" s="1" t="n">
        <v>1</v>
      </c>
      <c r="C16" s="1" t="n">
        <v>1</v>
      </c>
      <c r="D16" s="1" t="n">
        <v>1</v>
      </c>
      <c r="E16" s="1" t="n">
        <v>1</v>
      </c>
      <c r="F16" s="1" t="n">
        <v>1</v>
      </c>
      <c r="G16" s="1" t="n">
        <v>1</v>
      </c>
      <c r="H16" s="1" t="n">
        <v>1</v>
      </c>
      <c r="I16" s="1" t="n">
        <v>1</v>
      </c>
      <c r="J16" s="1" t="n">
        <v>1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s="1" t="n">
        <v>1</v>
      </c>
      <c r="Q16" s="1" t="n">
        <v>1</v>
      </c>
      <c r="R16" s="1" t="n">
        <v>1</v>
      </c>
      <c r="S16" s="1" t="n">
        <v>1</v>
      </c>
      <c r="T16" s="1" t="n">
        <v>1</v>
      </c>
      <c r="U16" s="1" t="n">
        <v>1</v>
      </c>
      <c r="V16" s="1" t="n">
        <v>1</v>
      </c>
      <c r="W16" s="1" t="n">
        <v>1</v>
      </c>
      <c r="X16" s="1" t="n">
        <v>1</v>
      </c>
      <c r="Y16" s="1" t="n">
        <v>1</v>
      </c>
      <c r="Z16" s="1" t="n">
        <v>1</v>
      </c>
      <c r="AA16" s="1" t="n">
        <v>1</v>
      </c>
      <c r="AB16" s="1" t="n">
        <v>1</v>
      </c>
      <c r="AC16" s="1" t="n">
        <v>1</v>
      </c>
      <c r="AD16" s="1" t="n">
        <v>1</v>
      </c>
      <c r="AE16" s="1" t="n">
        <v>1</v>
      </c>
      <c r="AF16" s="1" t="n">
        <v>1</v>
      </c>
      <c r="AG16" s="1" t="n">
        <v>1</v>
      </c>
      <c r="AH16" s="1" t="n">
        <v>1</v>
      </c>
      <c r="AI16" s="1" t="n">
        <v>1</v>
      </c>
      <c r="AJ16" s="1" t="n">
        <v>1</v>
      </c>
      <c r="AK16" s="1" t="n">
        <v>1</v>
      </c>
      <c r="AL16" s="1" t="n">
        <v>1</v>
      </c>
      <c r="AM16" s="1" t="n">
        <v>1</v>
      </c>
      <c r="AN16" s="1" t="n">
        <v>1</v>
      </c>
      <c r="AO16" s="1" t="n">
        <v>1</v>
      </c>
      <c r="AP16" s="1" t="n">
        <v>1</v>
      </c>
      <c r="AQ16" s="1" t="n">
        <v>1</v>
      </c>
      <c r="AR16" s="1" t="n">
        <v>1</v>
      </c>
      <c r="AS16" s="1" t="n">
        <v>1</v>
      </c>
      <c r="AT16" s="1" t="n">
        <v>1</v>
      </c>
      <c r="AU16" s="1" t="n">
        <v>1</v>
      </c>
      <c r="AV16" s="1" t="n">
        <v>1</v>
      </c>
      <c r="AW16" s="1" t="n">
        <v>1</v>
      </c>
      <c r="AX16" s="1" t="n">
        <v>1</v>
      </c>
      <c r="AY16" s="1" t="n">
        <v>1</v>
      </c>
      <c r="AZ16" s="1" t="n">
        <v>1</v>
      </c>
      <c r="BA16" s="1" t="n">
        <v>1</v>
      </c>
      <c r="BB16" s="1" t="n">
        <v>1</v>
      </c>
      <c r="BC16" s="1" t="n">
        <v>1</v>
      </c>
      <c r="BD16" s="1" t="n">
        <v>1</v>
      </c>
      <c r="BE16" s="1" t="n">
        <v>1</v>
      </c>
      <c r="BF16" s="1" t="n">
        <v>1</v>
      </c>
      <c r="BG16" s="1" t="n">
        <v>1</v>
      </c>
      <c r="BH16" s="1" t="n">
        <v>1</v>
      </c>
      <c r="BI16" s="1" t="n">
        <v>1</v>
      </c>
      <c r="BJ16" s="1" t="n">
        <v>1</v>
      </c>
      <c r="BK16" s="1" t="n">
        <v>1</v>
      </c>
    </row>
    <row r="17" customFormat="false" ht="12.75" hidden="false" customHeight="false" outlineLevel="0" collapsed="false">
      <c r="A17" s="1" t="n">
        <f aca="false">A16-1</f>
        <v>2010</v>
      </c>
      <c r="B17" s="1" t="n">
        <v>1</v>
      </c>
      <c r="C17" s="1" t="n">
        <v>1</v>
      </c>
      <c r="D17" s="1" t="n">
        <v>1</v>
      </c>
      <c r="E17" s="1" t="n">
        <v>1</v>
      </c>
      <c r="F17" s="1" t="n">
        <v>1</v>
      </c>
      <c r="G17" s="1" t="n">
        <v>1</v>
      </c>
      <c r="H17" s="1" t="n">
        <v>1</v>
      </c>
      <c r="I17" s="1" t="n">
        <v>1</v>
      </c>
      <c r="J17" s="1" t="n">
        <v>1</v>
      </c>
      <c r="K17" s="1" t="n">
        <v>1</v>
      </c>
      <c r="L17" s="1" t="n">
        <v>1</v>
      </c>
      <c r="M17" s="1" t="n">
        <v>1</v>
      </c>
      <c r="N17" s="1" t="n">
        <v>1</v>
      </c>
      <c r="O17" s="1" t="n">
        <v>1</v>
      </c>
      <c r="P17" s="1" t="n">
        <v>1</v>
      </c>
      <c r="Q17" s="1" t="n">
        <v>1</v>
      </c>
      <c r="R17" s="1" t="n">
        <v>1</v>
      </c>
      <c r="S17" s="1" t="n">
        <v>1</v>
      </c>
      <c r="T17" s="1" t="n">
        <v>1</v>
      </c>
      <c r="U17" s="1" t="n">
        <v>1</v>
      </c>
      <c r="V17" s="1" t="n">
        <v>1</v>
      </c>
      <c r="W17" s="1" t="n">
        <v>1</v>
      </c>
      <c r="X17" s="1" t="n">
        <v>1</v>
      </c>
      <c r="Y17" s="1" t="n">
        <v>1</v>
      </c>
      <c r="Z17" s="1" t="n">
        <v>1</v>
      </c>
      <c r="AA17" s="1" t="n">
        <v>1</v>
      </c>
      <c r="AB17" s="1" t="n">
        <v>1</v>
      </c>
      <c r="AC17" s="1" t="n">
        <v>1</v>
      </c>
      <c r="AD17" s="1" t="n">
        <v>1</v>
      </c>
      <c r="AE17" s="1" t="n">
        <v>1</v>
      </c>
      <c r="AF17" s="1" t="n">
        <v>1</v>
      </c>
      <c r="AG17" s="1" t="n">
        <v>1</v>
      </c>
      <c r="AH17" s="1" t="n">
        <v>1</v>
      </c>
      <c r="AI17" s="1" t="n">
        <v>1</v>
      </c>
      <c r="AJ17" s="1" t="n">
        <v>1</v>
      </c>
      <c r="AK17" s="1" t="n">
        <v>1</v>
      </c>
      <c r="AL17" s="1" t="n">
        <v>1</v>
      </c>
      <c r="AM17" s="1" t="n">
        <v>1</v>
      </c>
      <c r="AN17" s="1" t="n">
        <v>1</v>
      </c>
      <c r="AO17" s="1" t="n">
        <v>1</v>
      </c>
      <c r="AP17" s="1" t="n">
        <v>1</v>
      </c>
      <c r="AQ17" s="1" t="n">
        <v>1</v>
      </c>
      <c r="AR17" s="1" t="n">
        <v>1</v>
      </c>
      <c r="AS17" s="1" t="n">
        <v>1</v>
      </c>
      <c r="AT17" s="1" t="n">
        <v>1</v>
      </c>
      <c r="AU17" s="1" t="n">
        <v>1</v>
      </c>
      <c r="AV17" s="1" t="n">
        <v>1</v>
      </c>
      <c r="AW17" s="1" t="n">
        <v>1</v>
      </c>
      <c r="AX17" s="1" t="n">
        <v>1</v>
      </c>
      <c r="AY17" s="1" t="n">
        <v>1</v>
      </c>
      <c r="AZ17" s="1" t="n">
        <v>1</v>
      </c>
      <c r="BA17" s="1" t="n">
        <v>1</v>
      </c>
      <c r="BB17" s="1" t="n">
        <v>1</v>
      </c>
      <c r="BC17" s="1" t="n">
        <v>1</v>
      </c>
      <c r="BD17" s="1" t="n">
        <v>1</v>
      </c>
      <c r="BE17" s="1" t="n">
        <v>1</v>
      </c>
      <c r="BF17" s="1" t="n">
        <v>1</v>
      </c>
      <c r="BG17" s="1" t="n">
        <v>1</v>
      </c>
      <c r="BH17" s="1" t="n">
        <v>1</v>
      </c>
      <c r="BI17" s="1" t="n">
        <v>1</v>
      </c>
      <c r="BJ17" s="1" t="n">
        <v>1</v>
      </c>
      <c r="BK17" s="1" t="n">
        <v>1</v>
      </c>
    </row>
    <row r="18" customFormat="false" ht="12.75" hidden="false" customHeight="false" outlineLevel="0" collapsed="false">
      <c r="A18" s="1" t="n">
        <f aca="false">A17-1</f>
        <v>2009</v>
      </c>
      <c r="B18" s="1" t="n">
        <v>1</v>
      </c>
      <c r="C18" s="1" t="n">
        <v>1</v>
      </c>
      <c r="D18" s="1" t="n">
        <v>1</v>
      </c>
      <c r="E18" s="1" t="n">
        <v>1</v>
      </c>
      <c r="F18" s="1" t="n">
        <v>1</v>
      </c>
      <c r="G18" s="1" t="n">
        <v>1</v>
      </c>
      <c r="H18" s="1" t="n">
        <v>1</v>
      </c>
      <c r="I18" s="1" t="n">
        <v>1</v>
      </c>
      <c r="J18" s="1" t="n">
        <v>1</v>
      </c>
      <c r="K18" s="1" t="n">
        <v>1</v>
      </c>
      <c r="L18" s="1" t="n">
        <v>1</v>
      </c>
      <c r="M18" s="1" t="n">
        <v>1</v>
      </c>
      <c r="N18" s="1" t="n">
        <v>1</v>
      </c>
      <c r="O18" s="1" t="n">
        <v>1</v>
      </c>
      <c r="P18" s="1" t="n">
        <v>1</v>
      </c>
      <c r="Q18" s="1" t="n">
        <v>1</v>
      </c>
      <c r="R18" s="1" t="n">
        <v>1</v>
      </c>
      <c r="S18" s="1" t="n">
        <v>1</v>
      </c>
      <c r="T18" s="1" t="n">
        <v>1</v>
      </c>
      <c r="U18" s="1" t="n">
        <v>1</v>
      </c>
      <c r="V18" s="1" t="n">
        <v>1</v>
      </c>
      <c r="W18" s="1" t="n">
        <v>1</v>
      </c>
      <c r="X18" s="1" t="n">
        <v>1</v>
      </c>
      <c r="Y18" s="1" t="n">
        <v>1</v>
      </c>
      <c r="Z18" s="1" t="n">
        <v>1</v>
      </c>
      <c r="AA18" s="1" t="n">
        <v>1</v>
      </c>
      <c r="AB18" s="1" t="n">
        <v>1</v>
      </c>
      <c r="AC18" s="1" t="n">
        <v>1</v>
      </c>
      <c r="AD18" s="1" t="n">
        <v>1</v>
      </c>
      <c r="AE18" s="1" t="n">
        <v>1</v>
      </c>
      <c r="AF18" s="1" t="n">
        <v>1</v>
      </c>
      <c r="AG18" s="1" t="n">
        <v>1</v>
      </c>
      <c r="AH18" s="1" t="n">
        <v>1</v>
      </c>
      <c r="AI18" s="1" t="n">
        <v>1</v>
      </c>
      <c r="AJ18" s="1" t="n">
        <v>1</v>
      </c>
      <c r="AK18" s="1" t="n">
        <v>1</v>
      </c>
      <c r="AL18" s="1" t="n">
        <v>1</v>
      </c>
      <c r="AM18" s="1" t="n">
        <v>1</v>
      </c>
      <c r="AN18" s="1" t="n">
        <v>1</v>
      </c>
      <c r="AO18" s="1" t="n">
        <v>1</v>
      </c>
      <c r="AP18" s="1" t="n">
        <v>1</v>
      </c>
      <c r="AQ18" s="1" t="n">
        <v>1</v>
      </c>
      <c r="AR18" s="1" t="n">
        <v>1</v>
      </c>
      <c r="AS18" s="1" t="n">
        <v>1</v>
      </c>
      <c r="AT18" s="1" t="n">
        <v>1</v>
      </c>
      <c r="AU18" s="1" t="n">
        <v>1</v>
      </c>
      <c r="AV18" s="1" t="n">
        <v>1</v>
      </c>
      <c r="AW18" s="1" t="n">
        <v>1</v>
      </c>
      <c r="AX18" s="1" t="n">
        <v>1</v>
      </c>
      <c r="AY18" s="1" t="n">
        <v>1</v>
      </c>
      <c r="AZ18" s="1" t="n">
        <v>1</v>
      </c>
      <c r="BA18" s="1" t="n">
        <v>1</v>
      </c>
      <c r="BB18" s="1" t="n">
        <v>1</v>
      </c>
      <c r="BC18" s="1" t="n">
        <v>1</v>
      </c>
      <c r="BD18" s="1" t="n">
        <v>1</v>
      </c>
      <c r="BE18" s="1" t="n">
        <v>1</v>
      </c>
      <c r="BF18" s="1" t="n">
        <v>1</v>
      </c>
      <c r="BG18" s="1" t="n">
        <v>1</v>
      </c>
      <c r="BH18" s="1" t="n">
        <v>1</v>
      </c>
      <c r="BI18" s="1" t="n">
        <v>1</v>
      </c>
      <c r="BJ18" s="1" t="n">
        <v>1</v>
      </c>
      <c r="BK18" s="1" t="n">
        <v>1</v>
      </c>
    </row>
    <row r="19" customFormat="false" ht="12.75" hidden="false" customHeight="false" outlineLevel="0" collapsed="false">
      <c r="A19" s="1" t="n">
        <f aca="false">A18-1</f>
        <v>2008</v>
      </c>
      <c r="B19" s="1" t="n">
        <v>1</v>
      </c>
      <c r="C19" s="1" t="n">
        <v>1</v>
      </c>
      <c r="D19" s="1" t="n">
        <v>1</v>
      </c>
      <c r="E19" s="1" t="n">
        <v>1</v>
      </c>
      <c r="F19" s="1" t="n">
        <v>1</v>
      </c>
      <c r="G19" s="1" t="n">
        <v>1</v>
      </c>
      <c r="H19" s="1" t="n">
        <v>1</v>
      </c>
      <c r="I19" s="1" t="n">
        <v>1</v>
      </c>
      <c r="J19" s="1" t="n">
        <v>1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s="1" t="n">
        <v>1</v>
      </c>
      <c r="V19" s="1" t="n">
        <v>1</v>
      </c>
      <c r="W19" s="1" t="n">
        <v>1</v>
      </c>
      <c r="X19" s="1" t="n">
        <v>1</v>
      </c>
      <c r="Y19" s="1" t="n">
        <v>1</v>
      </c>
      <c r="Z19" s="1" t="n">
        <v>1</v>
      </c>
      <c r="AA19" s="1" t="n">
        <v>1</v>
      </c>
      <c r="AB19" s="1" t="n">
        <v>1</v>
      </c>
      <c r="AC19" s="1" t="n">
        <v>1</v>
      </c>
      <c r="AD19" s="1" t="n">
        <v>1</v>
      </c>
      <c r="AE19" s="1" t="n">
        <v>1</v>
      </c>
      <c r="AF19" s="1" t="n">
        <v>1</v>
      </c>
      <c r="AG19" s="1" t="n">
        <v>1</v>
      </c>
      <c r="AH19" s="1" t="n">
        <v>1</v>
      </c>
      <c r="AI19" s="1" t="n">
        <v>1</v>
      </c>
      <c r="AJ19" s="1" t="n">
        <v>1</v>
      </c>
      <c r="AK19" s="1" t="n">
        <v>1</v>
      </c>
      <c r="AL19" s="1" t="n">
        <v>1</v>
      </c>
      <c r="AM19" s="1" t="n">
        <v>1</v>
      </c>
      <c r="AN19" s="1" t="n">
        <v>1</v>
      </c>
      <c r="AO19" s="1" t="n">
        <v>1</v>
      </c>
      <c r="AP19" s="1" t="n">
        <v>1</v>
      </c>
      <c r="AQ19" s="1" t="n">
        <v>1</v>
      </c>
      <c r="AR19" s="1" t="n">
        <v>1</v>
      </c>
      <c r="AS19" s="1" t="n">
        <v>1</v>
      </c>
      <c r="AT19" s="1" t="n">
        <v>1</v>
      </c>
      <c r="AU19" s="1" t="n">
        <v>1</v>
      </c>
      <c r="AV19" s="1" t="n">
        <v>1</v>
      </c>
      <c r="AW19" s="1" t="n">
        <v>1</v>
      </c>
      <c r="AX19" s="1" t="n">
        <v>1</v>
      </c>
      <c r="AY19" s="1" t="n">
        <v>1</v>
      </c>
      <c r="AZ19" s="1" t="n">
        <v>1</v>
      </c>
      <c r="BA19" s="1" t="n">
        <v>1</v>
      </c>
      <c r="BB19" s="1" t="n">
        <v>1</v>
      </c>
      <c r="BC19" s="1" t="n">
        <v>1</v>
      </c>
      <c r="BD19" s="1" t="n">
        <v>1</v>
      </c>
      <c r="BE19" s="1" t="n">
        <v>1</v>
      </c>
      <c r="BF19" s="1" t="n">
        <v>1</v>
      </c>
      <c r="BG19" s="1" t="n">
        <v>1</v>
      </c>
      <c r="BH19" s="1" t="n">
        <v>1</v>
      </c>
      <c r="BI19" s="1" t="n">
        <v>1</v>
      </c>
      <c r="BJ19" s="1" t="n">
        <v>1</v>
      </c>
      <c r="BK19" s="1" t="n">
        <v>1</v>
      </c>
    </row>
    <row r="20" customFormat="false" ht="12.75" hidden="false" customHeight="false" outlineLevel="0" collapsed="false">
      <c r="A20" s="1" t="n">
        <f aca="false">A19-1</f>
        <v>2007</v>
      </c>
      <c r="B20" s="1" t="n">
        <v>1</v>
      </c>
      <c r="C20" s="1" t="n">
        <v>1</v>
      </c>
      <c r="D20" s="1" t="n">
        <v>1</v>
      </c>
      <c r="E20" s="1" t="n">
        <v>1</v>
      </c>
      <c r="F20" s="1" t="n">
        <v>1</v>
      </c>
      <c r="G20" s="1" t="n">
        <v>1</v>
      </c>
      <c r="H20" s="1" t="n">
        <v>1</v>
      </c>
      <c r="I20" s="1" t="n">
        <v>1</v>
      </c>
      <c r="J20" s="1" t="n">
        <v>1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  <c r="P20" s="1" t="n">
        <v>1</v>
      </c>
      <c r="Q20" s="1" t="n">
        <v>1</v>
      </c>
      <c r="R20" s="1" t="n">
        <v>1</v>
      </c>
      <c r="S20" s="1" t="n">
        <v>1</v>
      </c>
      <c r="T20" s="1" t="n">
        <v>1</v>
      </c>
      <c r="U20" s="1" t="n">
        <v>1</v>
      </c>
      <c r="V20" s="1" t="n">
        <v>1</v>
      </c>
      <c r="W20" s="1" t="n">
        <v>1</v>
      </c>
      <c r="X20" s="1" t="n">
        <v>1</v>
      </c>
      <c r="Y20" s="1" t="n">
        <v>1</v>
      </c>
      <c r="Z20" s="1" t="n">
        <v>1</v>
      </c>
      <c r="AA20" s="1" t="n">
        <v>1</v>
      </c>
      <c r="AB20" s="1" t="n">
        <v>1</v>
      </c>
      <c r="AC20" s="1" t="n">
        <v>1</v>
      </c>
      <c r="AD20" s="1" t="n">
        <v>1</v>
      </c>
      <c r="AE20" s="1" t="n">
        <v>1</v>
      </c>
      <c r="AF20" s="1" t="n">
        <v>1</v>
      </c>
      <c r="AG20" s="1" t="n">
        <v>1</v>
      </c>
      <c r="AH20" s="1" t="n">
        <v>1</v>
      </c>
      <c r="AI20" s="1" t="n">
        <v>1</v>
      </c>
      <c r="AJ20" s="1" t="n">
        <v>1</v>
      </c>
      <c r="AK20" s="1" t="n">
        <v>1</v>
      </c>
      <c r="AL20" s="1" t="n">
        <v>1</v>
      </c>
      <c r="AM20" s="1" t="n">
        <v>1</v>
      </c>
      <c r="AN20" s="1" t="n">
        <v>1</v>
      </c>
      <c r="AO20" s="1" t="n">
        <v>1</v>
      </c>
      <c r="AP20" s="1" t="n">
        <v>1</v>
      </c>
      <c r="AQ20" s="1" t="n">
        <v>1</v>
      </c>
      <c r="AR20" s="1" t="n">
        <v>1</v>
      </c>
      <c r="AS20" s="1" t="n">
        <v>1</v>
      </c>
      <c r="AT20" s="1" t="n">
        <v>1</v>
      </c>
      <c r="AU20" s="1" t="n">
        <v>1</v>
      </c>
      <c r="AV20" s="1" t="n">
        <v>1</v>
      </c>
      <c r="AW20" s="1" t="n">
        <v>1</v>
      </c>
      <c r="AX20" s="1" t="n">
        <v>1</v>
      </c>
      <c r="AY20" s="1" t="n">
        <v>1</v>
      </c>
      <c r="AZ20" s="1" t="n">
        <v>1</v>
      </c>
      <c r="BA20" s="1" t="n">
        <v>1</v>
      </c>
      <c r="BB20" s="1" t="n">
        <v>1</v>
      </c>
      <c r="BC20" s="1" t="n">
        <v>1</v>
      </c>
      <c r="BD20" s="1" t="n">
        <v>1</v>
      </c>
      <c r="BE20" s="1" t="n">
        <v>1</v>
      </c>
      <c r="BF20" s="1" t="n">
        <v>1</v>
      </c>
      <c r="BG20" s="1" t="n">
        <v>1</v>
      </c>
      <c r="BH20" s="1" t="n">
        <v>1</v>
      </c>
      <c r="BI20" s="1" t="n">
        <v>1</v>
      </c>
      <c r="BJ20" s="1" t="n">
        <v>1</v>
      </c>
      <c r="BK20" s="1" t="n">
        <v>1</v>
      </c>
    </row>
    <row r="21" customFormat="false" ht="12.75" hidden="false" customHeight="false" outlineLevel="0" collapsed="false">
      <c r="A21" s="1" t="n">
        <f aca="false">A20-1</f>
        <v>2006</v>
      </c>
      <c r="B21" s="1" t="n">
        <v>1</v>
      </c>
      <c r="C21" s="1" t="n">
        <v>1</v>
      </c>
      <c r="D21" s="1" t="n">
        <v>1</v>
      </c>
      <c r="E21" s="1" t="n">
        <v>1</v>
      </c>
      <c r="F21" s="1" t="n">
        <v>1</v>
      </c>
      <c r="G21" s="1" t="n">
        <v>1</v>
      </c>
      <c r="H21" s="1" t="n">
        <v>1</v>
      </c>
      <c r="I21" s="1" t="n">
        <v>1</v>
      </c>
      <c r="J21" s="1" t="n">
        <v>1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1</v>
      </c>
      <c r="Q21" s="1" t="n">
        <v>1</v>
      </c>
      <c r="R21" s="1" t="n">
        <v>1</v>
      </c>
      <c r="S21" s="1" t="n">
        <v>1</v>
      </c>
      <c r="T21" s="1" t="n">
        <v>1</v>
      </c>
      <c r="U21" s="1" t="n">
        <v>1</v>
      </c>
      <c r="V21" s="1" t="n">
        <v>1</v>
      </c>
      <c r="W21" s="1" t="n">
        <v>1</v>
      </c>
      <c r="X21" s="1" t="n">
        <v>1</v>
      </c>
      <c r="Y21" s="1" t="n">
        <v>1</v>
      </c>
      <c r="Z21" s="1" t="n">
        <v>1</v>
      </c>
      <c r="AA21" s="1" t="n">
        <v>1</v>
      </c>
      <c r="AB21" s="1" t="n">
        <v>1</v>
      </c>
      <c r="AC21" s="1" t="n">
        <v>1</v>
      </c>
      <c r="AD21" s="1" t="n">
        <v>1</v>
      </c>
      <c r="AE21" s="1" t="n">
        <v>1</v>
      </c>
      <c r="AF21" s="1" t="n">
        <v>1</v>
      </c>
      <c r="AG21" s="1" t="n">
        <v>1</v>
      </c>
      <c r="AH21" s="1" t="n">
        <v>1</v>
      </c>
      <c r="AI21" s="1" t="n">
        <v>1</v>
      </c>
      <c r="AJ21" s="1" t="n">
        <v>1</v>
      </c>
      <c r="AK21" s="1" t="n">
        <v>1</v>
      </c>
      <c r="AL21" s="1" t="n">
        <v>1</v>
      </c>
      <c r="AM21" s="1" t="n">
        <v>1</v>
      </c>
      <c r="AN21" s="1" t="n">
        <v>1</v>
      </c>
      <c r="AO21" s="1" t="n">
        <v>1</v>
      </c>
      <c r="AP21" s="1" t="n">
        <v>1</v>
      </c>
      <c r="AQ21" s="1" t="n">
        <v>1</v>
      </c>
      <c r="AR21" s="1" t="n">
        <v>1</v>
      </c>
      <c r="AS21" s="1" t="n">
        <v>1</v>
      </c>
      <c r="AT21" s="1" t="n">
        <v>1</v>
      </c>
      <c r="AU21" s="1" t="n">
        <v>1</v>
      </c>
      <c r="AV21" s="1" t="n">
        <v>1</v>
      </c>
      <c r="AW21" s="1" t="n">
        <v>1</v>
      </c>
      <c r="AX21" s="1" t="n">
        <v>1</v>
      </c>
      <c r="AY21" s="1" t="n">
        <v>1</v>
      </c>
      <c r="AZ21" s="1" t="n">
        <v>1</v>
      </c>
      <c r="BA21" s="1" t="n">
        <v>1</v>
      </c>
      <c r="BB21" s="1" t="n">
        <v>1</v>
      </c>
      <c r="BC21" s="1" t="n">
        <v>1</v>
      </c>
      <c r="BD21" s="1" t="n">
        <v>1</v>
      </c>
      <c r="BE21" s="1" t="n">
        <v>1</v>
      </c>
      <c r="BF21" s="1" t="n">
        <v>1</v>
      </c>
      <c r="BG21" s="1" t="n">
        <v>1</v>
      </c>
      <c r="BH21" s="1" t="n">
        <v>1</v>
      </c>
      <c r="BI21" s="1" t="n">
        <v>1</v>
      </c>
      <c r="BJ21" s="1" t="n">
        <v>1</v>
      </c>
      <c r="BK21" s="1" t="n">
        <v>1</v>
      </c>
    </row>
    <row r="22" customFormat="false" ht="12.75" hidden="false" customHeight="false" outlineLevel="0" collapsed="false">
      <c r="A22" s="1" t="n">
        <f aca="false">A21-1</f>
        <v>2005</v>
      </c>
      <c r="B22" s="1" t="n">
        <v>1</v>
      </c>
      <c r="C22" s="1" t="n">
        <v>1</v>
      </c>
      <c r="D22" s="1" t="n">
        <v>1</v>
      </c>
      <c r="E22" s="1" t="n">
        <v>1</v>
      </c>
      <c r="F22" s="1" t="n">
        <v>1</v>
      </c>
      <c r="G22" s="1" t="n">
        <v>1</v>
      </c>
      <c r="H22" s="1" t="n">
        <v>1</v>
      </c>
      <c r="I22" s="1" t="n">
        <v>1</v>
      </c>
      <c r="J22" s="1" t="n">
        <v>1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  <c r="T22" s="1" t="n">
        <v>1</v>
      </c>
      <c r="U22" s="1" t="n">
        <v>1</v>
      </c>
      <c r="V22" s="1" t="n">
        <v>1</v>
      </c>
      <c r="W22" s="1" t="n">
        <v>1</v>
      </c>
      <c r="X22" s="1" t="n">
        <v>1</v>
      </c>
      <c r="Y22" s="1" t="n">
        <v>1</v>
      </c>
      <c r="Z22" s="1" t="n">
        <v>1</v>
      </c>
      <c r="AA22" s="1" t="n">
        <v>1</v>
      </c>
      <c r="AB22" s="1" t="n">
        <v>1</v>
      </c>
      <c r="AC22" s="1" t="n">
        <v>1</v>
      </c>
      <c r="AD22" s="1" t="n">
        <v>1</v>
      </c>
      <c r="AE22" s="1" t="n">
        <v>1</v>
      </c>
      <c r="AF22" s="1" t="n">
        <v>1</v>
      </c>
      <c r="AG22" s="1" t="n">
        <v>1</v>
      </c>
      <c r="AH22" s="1" t="n">
        <v>1</v>
      </c>
      <c r="AI22" s="1" t="n">
        <v>1</v>
      </c>
      <c r="AJ22" s="1" t="n">
        <v>1</v>
      </c>
      <c r="AK22" s="1" t="n">
        <v>1</v>
      </c>
      <c r="AL22" s="1" t="n">
        <v>1</v>
      </c>
      <c r="AM22" s="1" t="n">
        <v>1</v>
      </c>
      <c r="AN22" s="1" t="n">
        <v>1</v>
      </c>
      <c r="AO22" s="1" t="n">
        <v>1</v>
      </c>
      <c r="AP22" s="1" t="n">
        <v>1</v>
      </c>
      <c r="AQ22" s="1" t="n">
        <v>1</v>
      </c>
      <c r="AR22" s="1" t="n">
        <v>1</v>
      </c>
      <c r="AS22" s="1" t="n">
        <v>1</v>
      </c>
      <c r="AT22" s="1" t="n">
        <v>1</v>
      </c>
      <c r="AU22" s="1" t="n">
        <v>1</v>
      </c>
      <c r="AV22" s="1" t="n">
        <v>1</v>
      </c>
      <c r="AW22" s="1" t="n">
        <v>1</v>
      </c>
      <c r="AX22" s="1" t="n">
        <v>1</v>
      </c>
      <c r="AY22" s="1" t="n">
        <v>1</v>
      </c>
      <c r="AZ22" s="1" t="n">
        <v>1</v>
      </c>
      <c r="BA22" s="1" t="n">
        <v>1</v>
      </c>
      <c r="BB22" s="1" t="n">
        <v>1</v>
      </c>
      <c r="BC22" s="1" t="n">
        <v>1</v>
      </c>
      <c r="BD22" s="1" t="n">
        <v>1</v>
      </c>
      <c r="BE22" s="1" t="n">
        <v>1</v>
      </c>
      <c r="BF22" s="1" t="n">
        <v>1</v>
      </c>
      <c r="BG22" s="1" t="n">
        <v>1</v>
      </c>
      <c r="BH22" s="1" t="n">
        <v>1</v>
      </c>
      <c r="BI22" s="1" t="n">
        <v>1</v>
      </c>
      <c r="BJ22" s="1" t="n">
        <v>1</v>
      </c>
      <c r="BK22" s="1" t="n">
        <v>1</v>
      </c>
    </row>
    <row r="23" customFormat="false" ht="12.75" hidden="false" customHeight="false" outlineLevel="0" collapsed="false">
      <c r="A23" s="1" t="n">
        <f aca="false">A22-1</f>
        <v>2004</v>
      </c>
      <c r="B23" s="1" t="n">
        <v>1</v>
      </c>
      <c r="C23" s="1" t="n">
        <v>1</v>
      </c>
      <c r="D23" s="1" t="n">
        <v>1</v>
      </c>
      <c r="E23" s="1" t="n">
        <v>1</v>
      </c>
      <c r="F23" s="1" t="n">
        <v>1</v>
      </c>
      <c r="G23" s="1" t="n">
        <v>1</v>
      </c>
      <c r="H23" s="1" t="n">
        <v>1</v>
      </c>
      <c r="I23" s="1" t="n">
        <v>1</v>
      </c>
      <c r="J23" s="1" t="n">
        <v>1</v>
      </c>
      <c r="K23" s="1" t="n">
        <v>1</v>
      </c>
      <c r="L23" s="1" t="n">
        <v>1</v>
      </c>
      <c r="M23" s="1" t="n">
        <v>1</v>
      </c>
      <c r="N23" s="1" t="n">
        <v>1</v>
      </c>
      <c r="O23" s="1" t="n">
        <v>1</v>
      </c>
      <c r="P23" s="1" t="n">
        <v>1</v>
      </c>
      <c r="Q23" s="1" t="n">
        <v>1</v>
      </c>
      <c r="R23" s="1" t="n">
        <v>1</v>
      </c>
      <c r="S23" s="1" t="n">
        <v>1</v>
      </c>
      <c r="T23" s="1" t="n">
        <v>1</v>
      </c>
      <c r="U23" s="1" t="n">
        <v>1</v>
      </c>
      <c r="V23" s="1" t="n">
        <v>1</v>
      </c>
      <c r="W23" s="1" t="n">
        <v>1</v>
      </c>
      <c r="X23" s="1" t="n">
        <v>1</v>
      </c>
      <c r="Y23" s="1" t="n">
        <v>1</v>
      </c>
      <c r="Z23" s="1" t="n">
        <v>1</v>
      </c>
      <c r="AA23" s="1" t="n">
        <v>1</v>
      </c>
      <c r="AB23" s="1" t="n">
        <v>1</v>
      </c>
      <c r="AC23" s="1" t="n">
        <v>1</v>
      </c>
      <c r="AD23" s="1" t="n">
        <v>1</v>
      </c>
      <c r="AE23" s="1" t="n">
        <v>1</v>
      </c>
      <c r="AF23" s="1" t="n">
        <v>1</v>
      </c>
      <c r="AG23" s="1" t="n">
        <v>1</v>
      </c>
      <c r="AH23" s="1" t="n">
        <v>1</v>
      </c>
      <c r="AI23" s="1" t="n">
        <v>1</v>
      </c>
      <c r="AJ23" s="1" t="n">
        <v>1</v>
      </c>
      <c r="AK23" s="1" t="n">
        <v>1</v>
      </c>
      <c r="AL23" s="1" t="n">
        <v>1</v>
      </c>
      <c r="AM23" s="1" t="n">
        <v>1</v>
      </c>
      <c r="AN23" s="1" t="n">
        <v>1</v>
      </c>
      <c r="AO23" s="1" t="n">
        <v>1</v>
      </c>
      <c r="AP23" s="1" t="n">
        <v>1</v>
      </c>
      <c r="AQ23" s="1" t="n">
        <v>1</v>
      </c>
      <c r="AR23" s="1" t="n">
        <v>1</v>
      </c>
      <c r="AS23" s="1" t="n">
        <v>1</v>
      </c>
      <c r="AT23" s="1" t="n">
        <v>1</v>
      </c>
      <c r="AU23" s="1" t="n">
        <v>1</v>
      </c>
      <c r="AV23" s="1" t="n">
        <v>1</v>
      </c>
      <c r="AW23" s="1" t="n">
        <v>1</v>
      </c>
      <c r="AX23" s="1" t="n">
        <v>1</v>
      </c>
      <c r="AY23" s="1" t="n">
        <v>1</v>
      </c>
      <c r="AZ23" s="1" t="n">
        <v>1</v>
      </c>
      <c r="BA23" s="1" t="n">
        <v>1</v>
      </c>
      <c r="BB23" s="1" t="n">
        <v>1</v>
      </c>
      <c r="BC23" s="1" t="n">
        <v>1</v>
      </c>
      <c r="BD23" s="1" t="n">
        <v>1</v>
      </c>
      <c r="BE23" s="1" t="n">
        <v>1</v>
      </c>
      <c r="BF23" s="1" t="n">
        <v>1</v>
      </c>
      <c r="BG23" s="1" t="n">
        <v>1</v>
      </c>
      <c r="BH23" s="1" t="n">
        <v>1</v>
      </c>
      <c r="BI23" s="1" t="n">
        <v>1</v>
      </c>
      <c r="BJ23" s="1" t="n">
        <v>1</v>
      </c>
      <c r="BK23" s="1" t="n">
        <v>1</v>
      </c>
    </row>
    <row r="24" customFormat="false" ht="12.75" hidden="false" customHeight="false" outlineLevel="0" collapsed="false">
      <c r="A24" s="1" t="n">
        <f aca="false">A23-1</f>
        <v>2003</v>
      </c>
      <c r="B24" s="1" t="n">
        <v>1</v>
      </c>
      <c r="C24" s="1" t="n">
        <v>1</v>
      </c>
      <c r="D24" s="1" t="n">
        <v>1</v>
      </c>
      <c r="E24" s="1" t="n">
        <v>1</v>
      </c>
      <c r="F24" s="1" t="n">
        <v>1</v>
      </c>
      <c r="G24" s="1" t="n">
        <v>1</v>
      </c>
      <c r="H24" s="1" t="n">
        <v>1</v>
      </c>
      <c r="I24" s="1" t="n">
        <v>1</v>
      </c>
      <c r="J24" s="1" t="n">
        <v>1</v>
      </c>
      <c r="K24" s="1" t="n">
        <v>1</v>
      </c>
      <c r="L24" s="1" t="n">
        <v>1</v>
      </c>
      <c r="M24" s="1" t="n">
        <v>1</v>
      </c>
      <c r="N24" s="1" t="n">
        <v>1</v>
      </c>
      <c r="O24" s="1" t="n">
        <v>1</v>
      </c>
      <c r="P24" s="1" t="n">
        <v>1</v>
      </c>
      <c r="Q24" s="1" t="n">
        <v>1</v>
      </c>
      <c r="R24" s="1" t="n">
        <v>1</v>
      </c>
      <c r="S24" s="1" t="n">
        <v>1</v>
      </c>
      <c r="T24" s="1" t="n">
        <v>1</v>
      </c>
      <c r="U24" s="1" t="n">
        <v>1</v>
      </c>
      <c r="V24" s="1" t="n">
        <v>1</v>
      </c>
      <c r="W24" s="1" t="n">
        <v>1</v>
      </c>
      <c r="X24" s="1" t="n">
        <v>1</v>
      </c>
      <c r="Y24" s="1" t="n">
        <v>1</v>
      </c>
      <c r="Z24" s="1" t="n">
        <v>1</v>
      </c>
      <c r="AA24" s="1" t="n">
        <v>1</v>
      </c>
      <c r="AB24" s="1" t="n">
        <v>1</v>
      </c>
      <c r="AC24" s="1" t="n">
        <v>1</v>
      </c>
      <c r="AD24" s="1" t="n">
        <v>1</v>
      </c>
      <c r="AE24" s="1" t="n">
        <v>1</v>
      </c>
      <c r="AF24" s="1" t="n">
        <v>1</v>
      </c>
      <c r="AG24" s="1" t="n">
        <v>1</v>
      </c>
      <c r="AH24" s="1" t="n">
        <v>1</v>
      </c>
      <c r="AI24" s="1" t="n">
        <v>1</v>
      </c>
      <c r="AJ24" s="1" t="n">
        <v>1</v>
      </c>
      <c r="AK24" s="1" t="n">
        <v>1</v>
      </c>
      <c r="AL24" s="1" t="n">
        <v>1</v>
      </c>
      <c r="AM24" s="1" t="n">
        <v>1</v>
      </c>
      <c r="AN24" s="1" t="n">
        <v>1</v>
      </c>
      <c r="AO24" s="1" t="n">
        <v>1</v>
      </c>
      <c r="AP24" s="1" t="n">
        <v>1</v>
      </c>
      <c r="AQ24" s="1" t="n">
        <v>1</v>
      </c>
      <c r="AR24" s="1" t="n">
        <v>1</v>
      </c>
      <c r="AS24" s="1" t="n">
        <v>1</v>
      </c>
      <c r="AT24" s="1" t="n">
        <v>1</v>
      </c>
      <c r="AU24" s="1" t="n">
        <v>1</v>
      </c>
      <c r="AV24" s="1" t="n">
        <v>1</v>
      </c>
      <c r="AW24" s="1" t="n">
        <v>1</v>
      </c>
      <c r="AX24" s="1" t="n">
        <v>1</v>
      </c>
      <c r="AY24" s="1" t="n">
        <v>1</v>
      </c>
      <c r="AZ24" s="1" t="n">
        <v>1</v>
      </c>
      <c r="BA24" s="1" t="n">
        <v>1</v>
      </c>
      <c r="BB24" s="1" t="n">
        <v>1</v>
      </c>
      <c r="BC24" s="1" t="n">
        <v>1</v>
      </c>
      <c r="BD24" s="1" t="n">
        <v>1</v>
      </c>
      <c r="BE24" s="1" t="n">
        <v>1</v>
      </c>
      <c r="BF24" s="1" t="n">
        <v>1</v>
      </c>
      <c r="BG24" s="1" t="n">
        <v>1</v>
      </c>
      <c r="BH24" s="1" t="n">
        <v>1</v>
      </c>
      <c r="BI24" s="1" t="n">
        <v>1</v>
      </c>
      <c r="BJ24" s="1" t="n">
        <v>1</v>
      </c>
      <c r="BK24" s="1" t="n">
        <v>1</v>
      </c>
    </row>
    <row r="25" customFormat="false" ht="12.75" hidden="false" customHeight="false" outlineLevel="0" collapsed="false">
      <c r="A25" s="1" t="n">
        <f aca="false">A24-1</f>
        <v>2002</v>
      </c>
      <c r="B25" s="1" t="n">
        <v>1</v>
      </c>
      <c r="C25" s="1" t="n">
        <v>1</v>
      </c>
      <c r="D25" s="1" t="n">
        <v>1</v>
      </c>
      <c r="E25" s="1" t="n">
        <v>1</v>
      </c>
      <c r="F25" s="1" t="n">
        <v>1</v>
      </c>
      <c r="G25" s="1" t="n">
        <v>1</v>
      </c>
      <c r="H25" s="1" t="n">
        <v>1</v>
      </c>
      <c r="I25" s="1" t="n">
        <v>1</v>
      </c>
      <c r="J25" s="1" t="n">
        <v>1</v>
      </c>
      <c r="K25" s="1" t="n">
        <v>1</v>
      </c>
      <c r="L25" s="1" t="n">
        <v>1</v>
      </c>
      <c r="M25" s="1" t="n">
        <v>1</v>
      </c>
      <c r="N25" s="1" t="n">
        <v>1</v>
      </c>
      <c r="O25" s="1" t="n">
        <v>1</v>
      </c>
      <c r="P25" s="1" t="n">
        <v>1</v>
      </c>
      <c r="Q25" s="1" t="n">
        <v>1</v>
      </c>
      <c r="R25" s="1" t="n">
        <v>1</v>
      </c>
      <c r="S25" s="1" t="n">
        <v>1</v>
      </c>
      <c r="T25" s="1" t="n">
        <v>1</v>
      </c>
      <c r="U25" s="1" t="n">
        <v>1</v>
      </c>
      <c r="V25" s="1" t="n">
        <v>1</v>
      </c>
      <c r="W25" s="1" t="n">
        <v>1</v>
      </c>
      <c r="X25" s="1" t="n">
        <v>1</v>
      </c>
      <c r="Y25" s="1" t="n">
        <v>1</v>
      </c>
      <c r="Z25" s="1" t="n">
        <v>1</v>
      </c>
      <c r="AA25" s="1" t="n">
        <v>1</v>
      </c>
      <c r="AB25" s="1" t="n">
        <v>1</v>
      </c>
      <c r="AC25" s="1" t="n">
        <v>1</v>
      </c>
      <c r="AD25" s="1" t="n">
        <v>1</v>
      </c>
      <c r="AE25" s="1" t="n">
        <v>1</v>
      </c>
      <c r="AF25" s="1" t="n">
        <v>1</v>
      </c>
      <c r="AG25" s="1" t="n">
        <v>1</v>
      </c>
      <c r="AH25" s="1" t="n">
        <v>1</v>
      </c>
      <c r="AI25" s="1" t="n">
        <v>1</v>
      </c>
      <c r="AJ25" s="1" t="n">
        <v>1</v>
      </c>
      <c r="AK25" s="1" t="n">
        <v>1</v>
      </c>
      <c r="AL25" s="1" t="n">
        <v>1</v>
      </c>
      <c r="AM25" s="1" t="n">
        <v>1</v>
      </c>
      <c r="AN25" s="1" t="n">
        <v>1</v>
      </c>
      <c r="AO25" s="1" t="n">
        <v>1</v>
      </c>
      <c r="AP25" s="1" t="n">
        <v>1</v>
      </c>
      <c r="AQ25" s="1" t="n">
        <v>1</v>
      </c>
      <c r="AR25" s="1" t="n">
        <v>1</v>
      </c>
      <c r="AS25" s="1" t="n">
        <v>1</v>
      </c>
      <c r="AT25" s="1" t="n">
        <v>1</v>
      </c>
      <c r="AU25" s="1" t="n">
        <v>1</v>
      </c>
      <c r="AV25" s="1" t="n">
        <v>1</v>
      </c>
      <c r="AW25" s="1" t="n">
        <v>1</v>
      </c>
      <c r="AX25" s="1" t="n">
        <v>1</v>
      </c>
      <c r="AY25" s="1" t="n">
        <v>1</v>
      </c>
      <c r="AZ25" s="1" t="n">
        <v>1</v>
      </c>
      <c r="BA25" s="1" t="n">
        <v>1</v>
      </c>
      <c r="BB25" s="1" t="n">
        <v>1</v>
      </c>
      <c r="BC25" s="1" t="n">
        <v>1</v>
      </c>
      <c r="BD25" s="1" t="n">
        <v>1</v>
      </c>
      <c r="BE25" s="1" t="n">
        <v>1</v>
      </c>
      <c r="BF25" s="1" t="n">
        <v>1</v>
      </c>
      <c r="BG25" s="1" t="n">
        <v>1</v>
      </c>
      <c r="BH25" s="1" t="n">
        <v>1</v>
      </c>
      <c r="BI25" s="1" t="n">
        <v>1</v>
      </c>
      <c r="BJ25" s="1" t="n">
        <v>1</v>
      </c>
      <c r="BK25" s="1" t="n">
        <v>1</v>
      </c>
    </row>
    <row r="26" customFormat="false" ht="12.75" hidden="false" customHeight="false" outlineLevel="0" collapsed="false">
      <c r="A26" s="1" t="n">
        <f aca="false">A25-1</f>
        <v>2001</v>
      </c>
      <c r="B26" s="1" t="n">
        <v>1</v>
      </c>
      <c r="C26" s="1" t="n">
        <v>1</v>
      </c>
      <c r="D26" s="1" t="n">
        <v>1</v>
      </c>
      <c r="E26" s="1" t="n">
        <v>1</v>
      </c>
      <c r="F26" s="1" t="n">
        <v>1</v>
      </c>
      <c r="G26" s="1" t="n">
        <v>1</v>
      </c>
      <c r="H26" s="1" t="n">
        <v>1</v>
      </c>
      <c r="I26" s="1" t="n">
        <v>1</v>
      </c>
      <c r="J26" s="1" t="n">
        <v>1</v>
      </c>
      <c r="K26" s="1" t="n">
        <v>1</v>
      </c>
      <c r="L26" s="1" t="n">
        <v>1</v>
      </c>
      <c r="M26" s="1" t="n">
        <v>1</v>
      </c>
      <c r="N26" s="1" t="n">
        <v>1</v>
      </c>
      <c r="O26" s="1" t="n">
        <v>1</v>
      </c>
      <c r="P26" s="1" t="n">
        <v>1</v>
      </c>
      <c r="Q26" s="1" t="n">
        <v>1</v>
      </c>
      <c r="R26" s="1" t="n">
        <v>1</v>
      </c>
      <c r="S26" s="1" t="n">
        <v>1</v>
      </c>
      <c r="T26" s="1" t="n">
        <v>1</v>
      </c>
      <c r="U26" s="1" t="n">
        <v>1</v>
      </c>
      <c r="V26" s="1" t="n">
        <v>1</v>
      </c>
      <c r="W26" s="1" t="n">
        <v>1</v>
      </c>
      <c r="X26" s="1" t="n">
        <v>1</v>
      </c>
      <c r="Y26" s="1" t="n">
        <v>1</v>
      </c>
      <c r="Z26" s="1" t="n">
        <v>1</v>
      </c>
      <c r="AA26" s="1" t="n">
        <v>1</v>
      </c>
      <c r="AB26" s="1" t="n">
        <v>1</v>
      </c>
      <c r="AC26" s="1" t="n">
        <v>1</v>
      </c>
      <c r="AD26" s="1" t="n">
        <v>1</v>
      </c>
      <c r="AE26" s="1" t="n">
        <v>1</v>
      </c>
      <c r="AF26" s="1" t="n">
        <v>1</v>
      </c>
      <c r="AG26" s="1" t="n">
        <v>1</v>
      </c>
      <c r="AH26" s="1" t="n">
        <v>1</v>
      </c>
      <c r="AI26" s="1" t="n">
        <v>1</v>
      </c>
      <c r="AJ26" s="1" t="n">
        <v>1</v>
      </c>
      <c r="AK26" s="1" t="n">
        <v>1</v>
      </c>
      <c r="AL26" s="1" t="n">
        <v>1</v>
      </c>
      <c r="AM26" s="1" t="n">
        <v>1</v>
      </c>
      <c r="AN26" s="1" t="n">
        <v>1</v>
      </c>
      <c r="AO26" s="1" t="n">
        <v>1</v>
      </c>
      <c r="AP26" s="1" t="n">
        <v>1</v>
      </c>
      <c r="AQ26" s="1" t="n">
        <v>1</v>
      </c>
      <c r="AR26" s="1" t="n">
        <v>1</v>
      </c>
      <c r="AS26" s="1" t="n">
        <v>1</v>
      </c>
      <c r="AT26" s="1" t="n">
        <v>1</v>
      </c>
      <c r="AU26" s="1" t="n">
        <v>1</v>
      </c>
      <c r="AV26" s="1" t="n">
        <v>1</v>
      </c>
      <c r="AW26" s="1" t="n">
        <v>1</v>
      </c>
      <c r="AX26" s="1" t="n">
        <v>1</v>
      </c>
      <c r="AY26" s="1" t="n">
        <v>1</v>
      </c>
      <c r="AZ26" s="1" t="n">
        <v>1</v>
      </c>
      <c r="BA26" s="1" t="n">
        <v>1</v>
      </c>
      <c r="BB26" s="1" t="n">
        <v>1</v>
      </c>
      <c r="BC26" s="1" t="n">
        <v>1</v>
      </c>
      <c r="BD26" s="1" t="n">
        <v>1</v>
      </c>
      <c r="BE26" s="1" t="n">
        <v>1</v>
      </c>
      <c r="BF26" s="1" t="n">
        <v>1</v>
      </c>
      <c r="BG26" s="1" t="n">
        <v>1</v>
      </c>
      <c r="BH26" s="1" t="n">
        <v>1</v>
      </c>
      <c r="BI26" s="1" t="n">
        <v>1</v>
      </c>
      <c r="BJ26" s="1" t="n">
        <v>1</v>
      </c>
      <c r="BK26" s="1" t="n">
        <v>1</v>
      </c>
    </row>
    <row r="27" customFormat="false" ht="12.75" hidden="false" customHeight="false" outlineLevel="0" collapsed="false">
      <c r="A27" s="1" t="n">
        <f aca="false">A26-1</f>
        <v>2000</v>
      </c>
      <c r="B27" s="1" t="n">
        <v>1</v>
      </c>
      <c r="C27" s="1" t="n">
        <v>1</v>
      </c>
      <c r="D27" s="1" t="n">
        <v>1</v>
      </c>
      <c r="E27" s="1" t="n">
        <v>1</v>
      </c>
      <c r="F27" s="1" t="n">
        <v>1</v>
      </c>
      <c r="G27" s="1" t="n">
        <v>1</v>
      </c>
      <c r="H27" s="1" t="n">
        <v>1</v>
      </c>
      <c r="I27" s="1" t="n">
        <v>1</v>
      </c>
      <c r="J27" s="1" t="n">
        <v>1</v>
      </c>
      <c r="K27" s="1" t="n">
        <v>1</v>
      </c>
      <c r="L27" s="1" t="n">
        <v>1</v>
      </c>
      <c r="M27" s="1" t="n">
        <v>1</v>
      </c>
      <c r="N27" s="1" t="n">
        <v>1</v>
      </c>
      <c r="O27" s="1" t="n">
        <v>1</v>
      </c>
      <c r="P27" s="1" t="n">
        <v>1</v>
      </c>
      <c r="Q27" s="1" t="n">
        <v>1</v>
      </c>
      <c r="R27" s="1" t="n">
        <v>1</v>
      </c>
      <c r="S27" s="1" t="n">
        <v>1</v>
      </c>
      <c r="T27" s="1" t="n">
        <v>1</v>
      </c>
      <c r="U27" s="1" t="n">
        <v>1</v>
      </c>
      <c r="V27" s="1" t="n">
        <v>1</v>
      </c>
      <c r="W27" s="1" t="n">
        <v>1</v>
      </c>
      <c r="X27" s="1" t="n">
        <v>1</v>
      </c>
      <c r="Y27" s="1" t="n">
        <v>1</v>
      </c>
      <c r="Z27" s="1" t="n">
        <v>1</v>
      </c>
      <c r="AA27" s="1" t="n">
        <v>1</v>
      </c>
      <c r="AB27" s="1" t="n">
        <v>1</v>
      </c>
      <c r="AC27" s="1" t="n">
        <v>1</v>
      </c>
      <c r="AD27" s="1" t="n">
        <v>1</v>
      </c>
      <c r="AE27" s="1" t="n">
        <v>1</v>
      </c>
      <c r="AF27" s="1" t="n">
        <v>1</v>
      </c>
      <c r="AG27" s="1" t="n">
        <v>1</v>
      </c>
      <c r="AH27" s="1" t="n">
        <v>1</v>
      </c>
      <c r="AI27" s="1" t="n">
        <v>1</v>
      </c>
      <c r="AJ27" s="1" t="n">
        <v>1</v>
      </c>
      <c r="AK27" s="1" t="n">
        <v>1</v>
      </c>
      <c r="AL27" s="1" t="n">
        <v>1</v>
      </c>
      <c r="AM27" s="1" t="n">
        <v>1</v>
      </c>
      <c r="AN27" s="1" t="n">
        <v>1</v>
      </c>
      <c r="AO27" s="1" t="n">
        <v>1</v>
      </c>
      <c r="AP27" s="1" t="n">
        <v>1</v>
      </c>
      <c r="AQ27" s="1" t="n">
        <v>1</v>
      </c>
      <c r="AR27" s="1" t="n">
        <v>1</v>
      </c>
      <c r="AS27" s="1" t="n">
        <v>1</v>
      </c>
      <c r="AT27" s="1" t="n">
        <v>1</v>
      </c>
      <c r="AU27" s="1" t="n">
        <v>1</v>
      </c>
      <c r="AV27" s="1" t="n">
        <v>1</v>
      </c>
      <c r="AW27" s="1" t="n">
        <v>1</v>
      </c>
      <c r="AX27" s="1" t="n">
        <v>1</v>
      </c>
      <c r="AY27" s="1" t="n">
        <v>1</v>
      </c>
      <c r="AZ27" s="1" t="n">
        <v>1</v>
      </c>
      <c r="BA27" s="1" t="n">
        <v>1</v>
      </c>
      <c r="BB27" s="1" t="n">
        <v>1</v>
      </c>
      <c r="BC27" s="1" t="n">
        <v>1</v>
      </c>
      <c r="BD27" s="1" t="n">
        <v>1</v>
      </c>
      <c r="BE27" s="1" t="n">
        <v>1</v>
      </c>
      <c r="BF27" s="1" t="n">
        <v>1</v>
      </c>
      <c r="BG27" s="1" t="n">
        <v>1</v>
      </c>
      <c r="BH27" s="1" t="n">
        <v>1</v>
      </c>
      <c r="BI27" s="1" t="n">
        <v>1</v>
      </c>
      <c r="BJ27" s="1" t="n">
        <v>1</v>
      </c>
      <c r="BK27" s="1" t="n">
        <v>1</v>
      </c>
    </row>
    <row r="28" customFormat="false" ht="12.75" hidden="false" customHeight="false" outlineLevel="0" collapsed="false">
      <c r="A28" s="1" t="n">
        <f aca="false">A27-1</f>
        <v>1999</v>
      </c>
      <c r="B28" s="1" t="n">
        <v>1</v>
      </c>
      <c r="C28" s="1" t="n">
        <v>1</v>
      </c>
      <c r="D28" s="1" t="n">
        <v>1</v>
      </c>
      <c r="E28" s="1" t="n">
        <v>1</v>
      </c>
      <c r="F28" s="1" t="n">
        <v>1</v>
      </c>
      <c r="G28" s="1" t="n">
        <v>1</v>
      </c>
      <c r="H28" s="1" t="n">
        <v>1</v>
      </c>
      <c r="I28" s="1" t="n">
        <v>1</v>
      </c>
      <c r="J28" s="1" t="n">
        <v>1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1</v>
      </c>
      <c r="T28" s="1" t="n">
        <v>1</v>
      </c>
      <c r="U28" s="1" t="n">
        <v>1</v>
      </c>
      <c r="V28" s="1" t="n">
        <v>1</v>
      </c>
      <c r="W28" s="1" t="n">
        <v>1</v>
      </c>
      <c r="X28" s="1" t="n">
        <v>1</v>
      </c>
      <c r="Y28" s="1" t="n">
        <v>1</v>
      </c>
      <c r="Z28" s="1" t="n">
        <v>1</v>
      </c>
      <c r="AA28" s="1" t="n">
        <v>1</v>
      </c>
      <c r="AB28" s="1" t="n">
        <v>1</v>
      </c>
      <c r="AC28" s="1" t="n">
        <v>1</v>
      </c>
      <c r="AD28" s="1" t="n">
        <v>1</v>
      </c>
      <c r="AE28" s="1" t="n">
        <v>1</v>
      </c>
      <c r="AF28" s="1" t="n">
        <v>1</v>
      </c>
      <c r="AG28" s="1" t="n">
        <v>1</v>
      </c>
      <c r="AH28" s="1" t="n">
        <v>1</v>
      </c>
      <c r="AI28" s="1" t="n">
        <v>1</v>
      </c>
      <c r="AJ28" s="1" t="n">
        <v>1</v>
      </c>
      <c r="AK28" s="1" t="n">
        <v>1</v>
      </c>
      <c r="AL28" s="1" t="n">
        <v>1</v>
      </c>
      <c r="AM28" s="1" t="n">
        <v>1</v>
      </c>
      <c r="AN28" s="1" t="n">
        <v>1</v>
      </c>
      <c r="AO28" s="1" t="n">
        <v>1</v>
      </c>
      <c r="AP28" s="1" t="n">
        <v>1</v>
      </c>
      <c r="AQ28" s="1" t="n">
        <v>1</v>
      </c>
      <c r="AR28" s="1" t="n">
        <v>1</v>
      </c>
      <c r="AS28" s="1" t="n">
        <v>1</v>
      </c>
      <c r="AT28" s="1" t="n">
        <v>1</v>
      </c>
      <c r="AU28" s="1" t="n">
        <v>1</v>
      </c>
      <c r="AV28" s="1" t="n">
        <v>1</v>
      </c>
      <c r="AW28" s="1" t="n">
        <v>1</v>
      </c>
      <c r="AX28" s="1" t="n">
        <v>1</v>
      </c>
      <c r="AY28" s="1" t="n">
        <v>1</v>
      </c>
      <c r="AZ28" s="1" t="n">
        <v>1</v>
      </c>
      <c r="BA28" s="1" t="n">
        <v>1</v>
      </c>
      <c r="BB28" s="1" t="n">
        <v>1</v>
      </c>
      <c r="BC28" s="1" t="n">
        <v>1</v>
      </c>
      <c r="BD28" s="1" t="n">
        <v>1</v>
      </c>
      <c r="BE28" s="1" t="n">
        <v>1</v>
      </c>
      <c r="BF28" s="1" t="n">
        <v>1</v>
      </c>
      <c r="BG28" s="1" t="n">
        <v>1</v>
      </c>
      <c r="BH28" s="1" t="n">
        <v>1</v>
      </c>
      <c r="BI28" s="1" t="n">
        <v>1</v>
      </c>
      <c r="BJ28" s="1" t="n">
        <v>1</v>
      </c>
      <c r="BK28" s="1" t="n">
        <v>1</v>
      </c>
    </row>
    <row r="29" customFormat="false" ht="12.75" hidden="false" customHeight="false" outlineLevel="0" collapsed="false">
      <c r="A29" s="1" t="n">
        <f aca="false">A28-1</f>
        <v>1998</v>
      </c>
      <c r="B29" s="1" t="n">
        <v>1</v>
      </c>
      <c r="C29" s="1" t="n">
        <v>1</v>
      </c>
      <c r="D29" s="1" t="n">
        <v>1</v>
      </c>
      <c r="E29" s="1" t="n">
        <v>1</v>
      </c>
      <c r="F29" s="1" t="n">
        <v>1</v>
      </c>
      <c r="G29" s="1" t="n">
        <v>1</v>
      </c>
      <c r="H29" s="1" t="n">
        <v>1</v>
      </c>
      <c r="I29" s="1" t="n">
        <v>1</v>
      </c>
      <c r="J29" s="1" t="n">
        <v>1</v>
      </c>
      <c r="K29" s="1" t="n">
        <v>1</v>
      </c>
      <c r="L29" s="1" t="n">
        <v>1</v>
      </c>
      <c r="M29" s="1" t="n">
        <v>1</v>
      </c>
      <c r="N29" s="1" t="n">
        <v>1</v>
      </c>
      <c r="O29" s="1" t="n">
        <v>1</v>
      </c>
      <c r="P29" s="1" t="n">
        <v>1</v>
      </c>
      <c r="Q29" s="1" t="n">
        <v>1</v>
      </c>
      <c r="R29" s="1" t="n">
        <v>1</v>
      </c>
      <c r="S29" s="1" t="n">
        <v>1</v>
      </c>
      <c r="T29" s="1" t="n">
        <v>1</v>
      </c>
      <c r="U29" s="1" t="n">
        <v>1</v>
      </c>
      <c r="V29" s="1" t="n">
        <v>1</v>
      </c>
      <c r="W29" s="1" t="n">
        <v>1</v>
      </c>
      <c r="X29" s="1" t="n">
        <v>1</v>
      </c>
      <c r="Y29" s="1" t="n">
        <v>1</v>
      </c>
      <c r="Z29" s="1" t="n">
        <v>1</v>
      </c>
      <c r="AA29" s="1" t="n">
        <v>1</v>
      </c>
      <c r="AB29" s="1" t="n">
        <v>1</v>
      </c>
      <c r="AC29" s="1" t="n">
        <v>1</v>
      </c>
      <c r="AD29" s="1" t="n">
        <v>1</v>
      </c>
      <c r="AE29" s="1" t="n">
        <v>1</v>
      </c>
      <c r="AF29" s="1" t="n">
        <v>1</v>
      </c>
      <c r="AG29" s="1" t="n">
        <v>1</v>
      </c>
      <c r="AH29" s="1" t="n">
        <v>1</v>
      </c>
      <c r="AI29" s="1" t="n">
        <v>1</v>
      </c>
      <c r="AJ29" s="1" t="n">
        <v>1</v>
      </c>
      <c r="AK29" s="1" t="n">
        <v>1</v>
      </c>
      <c r="AL29" s="1" t="n">
        <v>1</v>
      </c>
      <c r="AM29" s="1" t="n">
        <v>1</v>
      </c>
      <c r="AN29" s="1" t="n">
        <v>1</v>
      </c>
      <c r="AO29" s="1" t="n">
        <v>1</v>
      </c>
      <c r="AP29" s="1" t="n">
        <v>1</v>
      </c>
      <c r="AQ29" s="1" t="n">
        <v>1</v>
      </c>
      <c r="AR29" s="1" t="n">
        <v>1</v>
      </c>
      <c r="AS29" s="1" t="n">
        <v>1</v>
      </c>
      <c r="AT29" s="1" t="n">
        <v>1</v>
      </c>
      <c r="AU29" s="1" t="n">
        <v>1</v>
      </c>
      <c r="AV29" s="1" t="n">
        <v>1</v>
      </c>
      <c r="AW29" s="1" t="n">
        <v>1</v>
      </c>
      <c r="AX29" s="1" t="n">
        <v>1</v>
      </c>
      <c r="AY29" s="1" t="n">
        <v>1</v>
      </c>
      <c r="AZ29" s="1" t="n">
        <v>1</v>
      </c>
      <c r="BA29" s="1" t="n">
        <v>1</v>
      </c>
      <c r="BB29" s="1" t="n">
        <v>1</v>
      </c>
      <c r="BC29" s="1" t="n">
        <v>1</v>
      </c>
      <c r="BD29" s="1" t="n">
        <v>1</v>
      </c>
      <c r="BE29" s="1" t="n">
        <v>1</v>
      </c>
      <c r="BF29" s="1" t="n">
        <v>1</v>
      </c>
      <c r="BG29" s="1" t="n">
        <v>1</v>
      </c>
      <c r="BH29" s="1" t="n">
        <v>1</v>
      </c>
      <c r="BI29" s="1" t="n">
        <v>1</v>
      </c>
      <c r="BJ29" s="1" t="n">
        <v>1</v>
      </c>
      <c r="BK29" s="1" t="n">
        <v>1</v>
      </c>
    </row>
    <row r="30" customFormat="false" ht="12.75" hidden="false" customHeight="false" outlineLevel="0" collapsed="false">
      <c r="A30" s="1" t="n">
        <f aca="false">A29-1</f>
        <v>1997</v>
      </c>
      <c r="B30" s="1" t="n">
        <v>1</v>
      </c>
      <c r="C30" s="1" t="n">
        <v>1</v>
      </c>
      <c r="D30" s="1" t="n">
        <v>1</v>
      </c>
      <c r="E30" s="1" t="n">
        <v>1</v>
      </c>
      <c r="F30" s="1" t="n">
        <v>1</v>
      </c>
      <c r="G30" s="1" t="n">
        <v>1</v>
      </c>
      <c r="H30" s="1" t="n">
        <v>1</v>
      </c>
      <c r="I30" s="1" t="n">
        <v>1</v>
      </c>
      <c r="J30" s="1" t="n">
        <v>1</v>
      </c>
      <c r="K30" s="1" t="n">
        <v>1</v>
      </c>
      <c r="L30" s="1" t="n">
        <v>1</v>
      </c>
      <c r="M30" s="1" t="n">
        <v>1</v>
      </c>
      <c r="N30" s="1" t="n">
        <v>1</v>
      </c>
      <c r="O30" s="1" t="n">
        <v>1</v>
      </c>
      <c r="P30" s="1" t="n">
        <v>1</v>
      </c>
      <c r="Q30" s="1" t="n">
        <v>1</v>
      </c>
      <c r="R30" s="1" t="n">
        <v>1</v>
      </c>
      <c r="S30" s="1" t="n">
        <v>1</v>
      </c>
      <c r="T30" s="1" t="n">
        <v>1</v>
      </c>
      <c r="U30" s="1" t="n">
        <v>1</v>
      </c>
      <c r="V30" s="1" t="n">
        <v>1</v>
      </c>
      <c r="W30" s="1" t="n">
        <v>1</v>
      </c>
      <c r="X30" s="1" t="n">
        <v>1</v>
      </c>
      <c r="Y30" s="1" t="n">
        <v>1</v>
      </c>
      <c r="Z30" s="1" t="n">
        <v>1</v>
      </c>
      <c r="AA30" s="1" t="n">
        <v>1</v>
      </c>
      <c r="AB30" s="1" t="n">
        <v>1</v>
      </c>
      <c r="AC30" s="1" t="n">
        <v>1</v>
      </c>
      <c r="AD30" s="1" t="n">
        <v>1</v>
      </c>
      <c r="AE30" s="1" t="n">
        <v>1</v>
      </c>
      <c r="AF30" s="1" t="n">
        <v>1</v>
      </c>
      <c r="AG30" s="1" t="n">
        <v>1</v>
      </c>
      <c r="AH30" s="1" t="n">
        <v>1</v>
      </c>
      <c r="AI30" s="1" t="n">
        <v>1</v>
      </c>
      <c r="AJ30" s="1" t="n">
        <v>1</v>
      </c>
      <c r="AK30" s="1" t="n">
        <v>1</v>
      </c>
      <c r="AL30" s="1" t="n">
        <v>1</v>
      </c>
      <c r="AM30" s="1" t="n">
        <v>1</v>
      </c>
      <c r="AN30" s="1" t="n">
        <v>1</v>
      </c>
      <c r="AO30" s="1" t="n">
        <v>1</v>
      </c>
      <c r="AP30" s="1" t="n">
        <v>1</v>
      </c>
      <c r="AQ30" s="1" t="n">
        <v>1</v>
      </c>
      <c r="AR30" s="1" t="n">
        <v>1</v>
      </c>
      <c r="AS30" s="1" t="n">
        <v>1</v>
      </c>
      <c r="AT30" s="1" t="n">
        <v>1</v>
      </c>
      <c r="AU30" s="1" t="n">
        <v>1</v>
      </c>
      <c r="AV30" s="1" t="n">
        <v>1</v>
      </c>
      <c r="AW30" s="1" t="n">
        <v>1</v>
      </c>
      <c r="AX30" s="1" t="n">
        <v>1</v>
      </c>
      <c r="AY30" s="1" t="n">
        <v>1</v>
      </c>
      <c r="AZ30" s="1" t="n">
        <v>1</v>
      </c>
      <c r="BA30" s="1" t="n">
        <v>1</v>
      </c>
      <c r="BB30" s="1" t="n">
        <v>1</v>
      </c>
      <c r="BC30" s="1" t="n">
        <v>1</v>
      </c>
      <c r="BD30" s="1" t="n">
        <v>1</v>
      </c>
      <c r="BE30" s="1" t="n">
        <v>1</v>
      </c>
      <c r="BF30" s="1" t="n">
        <v>1</v>
      </c>
      <c r="BG30" s="1" t="n">
        <v>1</v>
      </c>
      <c r="BH30" s="1" t="n">
        <v>1</v>
      </c>
      <c r="BI30" s="1" t="n">
        <v>1</v>
      </c>
      <c r="BJ30" s="1" t="n">
        <v>1</v>
      </c>
      <c r="BK30" s="1" t="n">
        <v>1</v>
      </c>
    </row>
    <row r="31" customFormat="false" ht="12.75" hidden="false" customHeight="false" outlineLevel="0" collapsed="false">
      <c r="A31" s="1" t="n">
        <f aca="false">A30-1</f>
        <v>1996</v>
      </c>
      <c r="B31" s="1" t="n">
        <v>1</v>
      </c>
      <c r="C31" s="1" t="n">
        <v>1</v>
      </c>
      <c r="D31" s="1" t="n">
        <v>1</v>
      </c>
      <c r="E31" s="1" t="n">
        <v>1</v>
      </c>
      <c r="F31" s="1" t="n">
        <v>1</v>
      </c>
      <c r="G31" s="1" t="n">
        <v>1</v>
      </c>
      <c r="H31" s="1" t="n">
        <v>1</v>
      </c>
      <c r="I31" s="1" t="n">
        <v>1</v>
      </c>
      <c r="J31" s="1" t="n">
        <v>1</v>
      </c>
      <c r="K31" s="1" t="n">
        <v>1</v>
      </c>
      <c r="L31" s="1" t="n">
        <v>1</v>
      </c>
      <c r="M31" s="1" t="n">
        <v>1</v>
      </c>
      <c r="N31" s="1" t="n">
        <v>1</v>
      </c>
      <c r="O31" s="1" t="n">
        <v>1</v>
      </c>
      <c r="P31" s="1" t="n">
        <v>1</v>
      </c>
      <c r="Q31" s="1" t="n">
        <v>1</v>
      </c>
      <c r="R31" s="1" t="n">
        <v>1</v>
      </c>
      <c r="S31" s="1" t="n">
        <v>1</v>
      </c>
      <c r="T31" s="1" t="n">
        <v>1</v>
      </c>
      <c r="U31" s="1" t="n">
        <v>1</v>
      </c>
      <c r="V31" s="1" t="n">
        <v>1</v>
      </c>
      <c r="W31" s="1" t="n">
        <v>1</v>
      </c>
      <c r="X31" s="1" t="n">
        <v>1</v>
      </c>
      <c r="Y31" s="1" t="n">
        <v>1</v>
      </c>
      <c r="Z31" s="1" t="n">
        <v>1</v>
      </c>
      <c r="AA31" s="1" t="n">
        <v>1</v>
      </c>
      <c r="AB31" s="1" t="n">
        <v>1</v>
      </c>
      <c r="AC31" s="1" t="n">
        <v>1</v>
      </c>
      <c r="AD31" s="1" t="n">
        <v>1</v>
      </c>
      <c r="AE31" s="1" t="n">
        <v>1</v>
      </c>
      <c r="AF31" s="1" t="n">
        <v>1</v>
      </c>
      <c r="AG31" s="1" t="n">
        <v>1</v>
      </c>
      <c r="AH31" s="1" t="n">
        <v>1</v>
      </c>
      <c r="AI31" s="1" t="n">
        <v>1</v>
      </c>
      <c r="AJ31" s="1" t="n">
        <v>1</v>
      </c>
      <c r="AK31" s="1" t="n">
        <v>1</v>
      </c>
      <c r="AL31" s="1" t="n">
        <v>1</v>
      </c>
      <c r="AM31" s="1" t="n">
        <v>1</v>
      </c>
      <c r="AN31" s="1" t="n">
        <v>1</v>
      </c>
      <c r="AO31" s="1" t="n">
        <v>1</v>
      </c>
      <c r="AP31" s="1" t="n">
        <v>1</v>
      </c>
      <c r="AQ31" s="1" t="n">
        <v>1</v>
      </c>
      <c r="AR31" s="1" t="n">
        <v>1</v>
      </c>
      <c r="AS31" s="1" t="n">
        <v>1</v>
      </c>
      <c r="AT31" s="1" t="n">
        <v>1</v>
      </c>
      <c r="AU31" s="1" t="n">
        <v>1</v>
      </c>
      <c r="AV31" s="1" t="n">
        <v>1</v>
      </c>
      <c r="AW31" s="1" t="n">
        <v>1</v>
      </c>
      <c r="AX31" s="1" t="n">
        <v>1</v>
      </c>
      <c r="AY31" s="1" t="n">
        <v>1</v>
      </c>
      <c r="AZ31" s="1" t="n">
        <v>1</v>
      </c>
      <c r="BA31" s="1" t="n">
        <v>1</v>
      </c>
      <c r="BB31" s="1" t="n">
        <v>1</v>
      </c>
      <c r="BC31" s="1" t="n">
        <v>1</v>
      </c>
      <c r="BD31" s="1" t="n">
        <v>1</v>
      </c>
      <c r="BE31" s="1" t="n">
        <v>1</v>
      </c>
      <c r="BF31" s="1" t="n">
        <v>1</v>
      </c>
      <c r="BG31" s="1" t="n">
        <v>1</v>
      </c>
      <c r="BH31" s="1" t="n">
        <v>1</v>
      </c>
      <c r="BI31" s="1" t="n">
        <v>1</v>
      </c>
      <c r="BJ31" s="1" t="n">
        <v>1</v>
      </c>
      <c r="BK31" s="1" t="n">
        <v>1</v>
      </c>
    </row>
    <row r="32" customFormat="false" ht="12.75" hidden="false" customHeight="false" outlineLevel="0" collapsed="false">
      <c r="A32" s="1" t="n">
        <f aca="false">A31-1</f>
        <v>1995</v>
      </c>
      <c r="B32" s="1" t="n">
        <v>1</v>
      </c>
      <c r="C32" s="1" t="n">
        <v>1</v>
      </c>
      <c r="D32" s="1" t="n">
        <v>1</v>
      </c>
      <c r="E32" s="1" t="n">
        <v>1</v>
      </c>
      <c r="F32" s="1" t="n">
        <v>1</v>
      </c>
      <c r="G32" s="1" t="n">
        <v>1</v>
      </c>
      <c r="H32" s="1" t="n">
        <v>1</v>
      </c>
      <c r="I32" s="1" t="n">
        <v>1</v>
      </c>
      <c r="J32" s="1" t="n">
        <v>1</v>
      </c>
      <c r="K32" s="1" t="n">
        <v>1</v>
      </c>
      <c r="L32" s="1" t="n">
        <v>1</v>
      </c>
      <c r="M32" s="1" t="n">
        <v>1</v>
      </c>
      <c r="N32" s="1" t="n">
        <v>1</v>
      </c>
      <c r="O32" s="1" t="n">
        <v>1</v>
      </c>
      <c r="P32" s="1" t="n">
        <v>1</v>
      </c>
      <c r="Q32" s="1" t="n">
        <v>1</v>
      </c>
      <c r="R32" s="1" t="n">
        <v>1</v>
      </c>
      <c r="S32" s="1" t="n">
        <v>1</v>
      </c>
      <c r="T32" s="1" t="n">
        <v>1</v>
      </c>
      <c r="U32" s="1" t="n">
        <v>1</v>
      </c>
      <c r="V32" s="1" t="n">
        <v>1</v>
      </c>
      <c r="W32" s="1" t="n">
        <v>1</v>
      </c>
      <c r="X32" s="1" t="n">
        <v>1</v>
      </c>
      <c r="Y32" s="1" t="n">
        <v>1</v>
      </c>
      <c r="Z32" s="1" t="n">
        <v>1</v>
      </c>
      <c r="AA32" s="1" t="n">
        <v>1</v>
      </c>
      <c r="AB32" s="1" t="n">
        <v>1</v>
      </c>
      <c r="AC32" s="1" t="n">
        <v>1</v>
      </c>
      <c r="AD32" s="1" t="n">
        <v>1</v>
      </c>
      <c r="AE32" s="1" t="n">
        <v>1</v>
      </c>
      <c r="AF32" s="1" t="n">
        <v>1</v>
      </c>
      <c r="AG32" s="1" t="n">
        <v>1</v>
      </c>
      <c r="AH32" s="1" t="n">
        <v>1</v>
      </c>
      <c r="AI32" s="1" t="n">
        <v>1</v>
      </c>
      <c r="AJ32" s="1" t="n">
        <v>1</v>
      </c>
      <c r="AK32" s="1" t="n">
        <v>1</v>
      </c>
      <c r="AL32" s="1" t="n">
        <v>1</v>
      </c>
      <c r="AM32" s="1" t="n">
        <v>1</v>
      </c>
      <c r="AN32" s="1" t="n">
        <v>1</v>
      </c>
      <c r="AO32" s="1" t="n">
        <v>1</v>
      </c>
      <c r="AP32" s="1" t="n">
        <v>1</v>
      </c>
      <c r="AQ32" s="1" t="n">
        <v>1</v>
      </c>
      <c r="AR32" s="1" t="n">
        <v>1</v>
      </c>
      <c r="AS32" s="1" t="n">
        <v>1</v>
      </c>
      <c r="AT32" s="1" t="n">
        <v>1</v>
      </c>
      <c r="AU32" s="1" t="n">
        <v>1</v>
      </c>
      <c r="AV32" s="1" t="n">
        <v>1</v>
      </c>
      <c r="AW32" s="1" t="n">
        <v>1</v>
      </c>
      <c r="AX32" s="1" t="n">
        <v>1</v>
      </c>
      <c r="AY32" s="1" t="n">
        <v>1</v>
      </c>
      <c r="AZ32" s="1" t="n">
        <v>1</v>
      </c>
      <c r="BA32" s="1" t="n">
        <v>1</v>
      </c>
      <c r="BB32" s="1" t="n">
        <v>1</v>
      </c>
      <c r="BC32" s="1" t="n">
        <v>1</v>
      </c>
      <c r="BD32" s="1" t="n">
        <v>1</v>
      </c>
      <c r="BE32" s="1" t="n">
        <v>1</v>
      </c>
      <c r="BF32" s="1" t="n">
        <v>1</v>
      </c>
      <c r="BG32" s="1" t="n">
        <v>1</v>
      </c>
      <c r="BH32" s="1" t="n">
        <v>1</v>
      </c>
      <c r="BI32" s="1" t="n">
        <v>1</v>
      </c>
      <c r="BJ32" s="1" t="n">
        <v>1</v>
      </c>
      <c r="BK32" s="1" t="n">
        <v>1</v>
      </c>
    </row>
    <row r="33" customFormat="false" ht="12.75" hidden="false" customHeight="false" outlineLevel="0" collapsed="false">
      <c r="A33" s="1" t="n">
        <f aca="false">A32-1</f>
        <v>1994</v>
      </c>
      <c r="B33" s="1" t="n">
        <v>1</v>
      </c>
      <c r="C33" s="1" t="n">
        <v>1</v>
      </c>
      <c r="D33" s="1" t="n">
        <v>1</v>
      </c>
      <c r="E33" s="1" t="n">
        <v>1</v>
      </c>
      <c r="F33" s="1" t="n">
        <v>1</v>
      </c>
      <c r="G33" s="1" t="n">
        <v>1</v>
      </c>
      <c r="H33" s="1" t="n">
        <v>1</v>
      </c>
      <c r="I33" s="1" t="n">
        <v>1</v>
      </c>
      <c r="J33" s="1" t="n">
        <v>1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  <c r="W33" s="1" t="n">
        <v>1</v>
      </c>
      <c r="X33" s="1" t="n">
        <v>1</v>
      </c>
      <c r="Y33" s="1" t="n">
        <v>1</v>
      </c>
      <c r="Z33" s="1" t="n">
        <v>1</v>
      </c>
      <c r="AA33" s="1" t="n">
        <v>1</v>
      </c>
      <c r="AB33" s="1" t="n">
        <v>1</v>
      </c>
      <c r="AC33" s="1" t="n">
        <v>1</v>
      </c>
      <c r="AD33" s="1" t="n">
        <v>1</v>
      </c>
      <c r="AE33" s="1" t="n">
        <v>1</v>
      </c>
      <c r="AF33" s="1" t="n">
        <v>1</v>
      </c>
      <c r="AG33" s="1" t="n">
        <v>1</v>
      </c>
      <c r="AH33" s="1" t="n">
        <v>1</v>
      </c>
      <c r="AI33" s="1" t="n">
        <v>1</v>
      </c>
      <c r="AJ33" s="1" t="n">
        <v>1</v>
      </c>
      <c r="AK33" s="1" t="n">
        <v>1</v>
      </c>
      <c r="AL33" s="1" t="n">
        <v>1</v>
      </c>
      <c r="AM33" s="1" t="n">
        <v>1</v>
      </c>
      <c r="AN33" s="1" t="n">
        <v>1</v>
      </c>
      <c r="AO33" s="1" t="n">
        <v>1</v>
      </c>
      <c r="AP33" s="1" t="n">
        <v>1</v>
      </c>
      <c r="AQ33" s="1" t="n">
        <v>1</v>
      </c>
      <c r="AR33" s="1" t="n">
        <v>1</v>
      </c>
      <c r="AS33" s="1" t="n">
        <v>1</v>
      </c>
      <c r="AT33" s="1" t="n">
        <v>1</v>
      </c>
      <c r="AU33" s="1" t="n">
        <v>1</v>
      </c>
      <c r="AV33" s="1" t="n">
        <v>1</v>
      </c>
      <c r="AW33" s="1" t="n">
        <v>1</v>
      </c>
      <c r="AX33" s="1" t="n">
        <v>1</v>
      </c>
      <c r="AY33" s="1" t="n">
        <v>1</v>
      </c>
      <c r="AZ33" s="1" t="n">
        <v>1</v>
      </c>
      <c r="BA33" s="1" t="n">
        <v>1</v>
      </c>
      <c r="BB33" s="1" t="n">
        <v>1</v>
      </c>
      <c r="BC33" s="1" t="n">
        <v>1</v>
      </c>
      <c r="BD33" s="1" t="n">
        <v>1</v>
      </c>
      <c r="BE33" s="1" t="n">
        <v>1</v>
      </c>
      <c r="BF33" s="1" t="n">
        <v>1</v>
      </c>
      <c r="BG33" s="1" t="n">
        <v>1</v>
      </c>
      <c r="BH33" s="1" t="n">
        <v>1</v>
      </c>
      <c r="BI33" s="1" t="n">
        <v>1</v>
      </c>
      <c r="BJ33" s="1" t="n">
        <v>1</v>
      </c>
      <c r="BK33" s="1" t="n">
        <v>1</v>
      </c>
    </row>
    <row r="34" customFormat="false" ht="12.75" hidden="false" customHeight="false" outlineLevel="0" collapsed="false">
      <c r="A34" s="1" t="n">
        <f aca="false">A33-1</f>
        <v>1993</v>
      </c>
      <c r="B34" s="1" t="n">
        <v>1</v>
      </c>
      <c r="C34" s="1" t="n">
        <v>1</v>
      </c>
      <c r="D34" s="1" t="n">
        <v>1</v>
      </c>
      <c r="E34" s="1" t="n">
        <v>1</v>
      </c>
      <c r="F34" s="1" t="n">
        <v>1</v>
      </c>
      <c r="G34" s="1" t="n">
        <v>1</v>
      </c>
      <c r="H34" s="1" t="n">
        <v>1</v>
      </c>
      <c r="I34" s="1" t="n">
        <v>1</v>
      </c>
      <c r="J34" s="1" t="n">
        <v>1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  <c r="W34" s="1" t="n">
        <v>1</v>
      </c>
      <c r="X34" s="1" t="n">
        <v>1</v>
      </c>
      <c r="Y34" s="1" t="n">
        <v>1</v>
      </c>
      <c r="Z34" s="1" t="n">
        <v>1</v>
      </c>
      <c r="AA34" s="1" t="n">
        <v>1</v>
      </c>
      <c r="AB34" s="1" t="n">
        <v>1</v>
      </c>
      <c r="AC34" s="1" t="n">
        <v>1</v>
      </c>
      <c r="AD34" s="1" t="n">
        <v>1</v>
      </c>
      <c r="AE34" s="1" t="n">
        <v>1</v>
      </c>
      <c r="AF34" s="1" t="n">
        <v>1</v>
      </c>
      <c r="AG34" s="1" t="n">
        <v>1</v>
      </c>
      <c r="AH34" s="1" t="n">
        <v>1</v>
      </c>
      <c r="AI34" s="1" t="n">
        <v>1</v>
      </c>
      <c r="AJ34" s="1" t="n">
        <v>1</v>
      </c>
      <c r="AK34" s="1" t="n">
        <v>1</v>
      </c>
      <c r="AL34" s="1" t="n">
        <v>1</v>
      </c>
      <c r="AM34" s="1" t="n">
        <v>1</v>
      </c>
      <c r="AN34" s="1" t="n">
        <v>1</v>
      </c>
      <c r="AO34" s="1" t="n">
        <v>1</v>
      </c>
      <c r="AP34" s="1" t="n">
        <v>1</v>
      </c>
      <c r="AQ34" s="1" t="n">
        <v>1</v>
      </c>
      <c r="AR34" s="1" t="n">
        <v>1</v>
      </c>
      <c r="AS34" s="1" t="n">
        <v>1</v>
      </c>
      <c r="AT34" s="1" t="n">
        <v>1</v>
      </c>
      <c r="AU34" s="1" t="n">
        <v>1</v>
      </c>
      <c r="AV34" s="1" t="n">
        <v>1</v>
      </c>
      <c r="AW34" s="1" t="n">
        <v>1</v>
      </c>
      <c r="AX34" s="1" t="n">
        <v>1</v>
      </c>
      <c r="AY34" s="1" t="n">
        <v>1</v>
      </c>
      <c r="AZ34" s="1" t="n">
        <v>1</v>
      </c>
      <c r="BA34" s="1" t="n">
        <v>1</v>
      </c>
      <c r="BB34" s="1" t="n">
        <v>1</v>
      </c>
      <c r="BC34" s="1" t="n">
        <v>1</v>
      </c>
      <c r="BD34" s="1" t="n">
        <v>1</v>
      </c>
      <c r="BE34" s="1" t="n">
        <v>1</v>
      </c>
      <c r="BF34" s="1" t="n">
        <v>1</v>
      </c>
      <c r="BG34" s="1" t="n">
        <v>1</v>
      </c>
      <c r="BH34" s="1" t="n">
        <v>1</v>
      </c>
      <c r="BI34" s="1" t="n">
        <v>1</v>
      </c>
      <c r="BJ34" s="1" t="n">
        <v>1</v>
      </c>
      <c r="BK34" s="1" t="n">
        <v>1</v>
      </c>
    </row>
    <row r="35" customFormat="false" ht="12.75" hidden="false" customHeight="false" outlineLevel="0" collapsed="false">
      <c r="A35" s="1" t="n">
        <f aca="false">A34-1</f>
        <v>1992</v>
      </c>
      <c r="B35" s="1" t="n">
        <v>1</v>
      </c>
      <c r="C35" s="1" t="n">
        <v>1</v>
      </c>
      <c r="D35" s="1" t="n">
        <v>1</v>
      </c>
      <c r="E35" s="1" t="n">
        <v>1</v>
      </c>
      <c r="F35" s="1" t="n">
        <v>1</v>
      </c>
      <c r="G35" s="1" t="n">
        <v>1</v>
      </c>
      <c r="H35" s="1" t="n">
        <v>1</v>
      </c>
      <c r="I35" s="1" t="n">
        <v>1</v>
      </c>
      <c r="J35" s="1" t="n">
        <v>1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1</v>
      </c>
      <c r="P35" s="1" t="n">
        <v>1</v>
      </c>
      <c r="Q35" s="1" t="n">
        <v>1</v>
      </c>
      <c r="R35" s="1" t="n">
        <v>1</v>
      </c>
      <c r="S35" s="1" t="n">
        <v>1</v>
      </c>
      <c r="T35" s="1" t="n">
        <v>1</v>
      </c>
      <c r="U35" s="1" t="n">
        <v>1</v>
      </c>
      <c r="V35" s="1" t="n">
        <v>1</v>
      </c>
      <c r="W35" s="1" t="n">
        <v>1</v>
      </c>
      <c r="X35" s="1" t="n">
        <v>1</v>
      </c>
      <c r="Y35" s="1" t="n">
        <v>1</v>
      </c>
      <c r="Z35" s="1" t="n">
        <v>1</v>
      </c>
      <c r="AA35" s="1" t="n">
        <v>1</v>
      </c>
      <c r="AB35" s="1" t="n">
        <v>1</v>
      </c>
      <c r="AC35" s="1" t="n">
        <v>1</v>
      </c>
      <c r="AD35" s="1" t="n">
        <v>1</v>
      </c>
      <c r="AE35" s="1" t="n">
        <v>1</v>
      </c>
      <c r="AF35" s="1" t="n">
        <v>1</v>
      </c>
      <c r="AG35" s="1" t="n">
        <v>1</v>
      </c>
      <c r="AH35" s="1" t="n">
        <v>1</v>
      </c>
      <c r="AI35" s="1" t="n">
        <v>1</v>
      </c>
      <c r="AJ35" s="1" t="n">
        <v>1</v>
      </c>
      <c r="AK35" s="1" t="n">
        <v>1</v>
      </c>
      <c r="AL35" s="1" t="n">
        <v>1</v>
      </c>
      <c r="AM35" s="1" t="n">
        <v>1</v>
      </c>
      <c r="AN35" s="1" t="n">
        <v>1</v>
      </c>
      <c r="AO35" s="1" t="n">
        <v>1</v>
      </c>
      <c r="AP35" s="1" t="n">
        <v>1</v>
      </c>
      <c r="AQ35" s="1" t="n">
        <v>1</v>
      </c>
      <c r="AR35" s="1" t="n">
        <v>1</v>
      </c>
      <c r="AS35" s="1" t="n">
        <v>1</v>
      </c>
      <c r="AT35" s="1" t="n">
        <v>1</v>
      </c>
      <c r="AU35" s="1" t="n">
        <v>1</v>
      </c>
      <c r="AV35" s="1" t="n">
        <v>1</v>
      </c>
      <c r="AW35" s="1" t="n">
        <v>1</v>
      </c>
      <c r="AX35" s="1" t="n">
        <v>1</v>
      </c>
      <c r="AY35" s="1" t="n">
        <v>1</v>
      </c>
      <c r="AZ35" s="1" t="n">
        <v>1</v>
      </c>
      <c r="BA35" s="1" t="n">
        <v>1</v>
      </c>
      <c r="BB35" s="1" t="n">
        <v>1</v>
      </c>
      <c r="BC35" s="1" t="n">
        <v>1</v>
      </c>
      <c r="BD35" s="1" t="n">
        <v>1</v>
      </c>
      <c r="BE35" s="1" t="n">
        <v>1</v>
      </c>
      <c r="BF35" s="1" t="n">
        <v>1</v>
      </c>
      <c r="BG35" s="1" t="n">
        <v>1</v>
      </c>
      <c r="BH35" s="1" t="n">
        <v>1</v>
      </c>
      <c r="BI35" s="1" t="n">
        <v>1</v>
      </c>
      <c r="BJ35" s="1" t="n">
        <v>1</v>
      </c>
      <c r="BK35" s="1" t="n">
        <v>1</v>
      </c>
    </row>
    <row r="36" customFormat="false" ht="12.75" hidden="false" customHeight="false" outlineLevel="0" collapsed="false">
      <c r="A36" s="1" t="n">
        <f aca="false">A35-1</f>
        <v>1991</v>
      </c>
      <c r="B36" s="1" t="n">
        <v>1</v>
      </c>
      <c r="C36" s="1" t="n">
        <v>1</v>
      </c>
      <c r="D36" s="1" t="n">
        <v>1</v>
      </c>
      <c r="E36" s="1" t="n">
        <v>1</v>
      </c>
      <c r="F36" s="1" t="n">
        <v>1</v>
      </c>
      <c r="G36" s="1" t="n">
        <v>1</v>
      </c>
      <c r="H36" s="1" t="n">
        <v>1</v>
      </c>
      <c r="I36" s="1" t="n">
        <v>1</v>
      </c>
      <c r="J36" s="1" t="n">
        <v>1</v>
      </c>
      <c r="K36" s="1" t="n">
        <v>1</v>
      </c>
      <c r="L36" s="1" t="n">
        <v>1</v>
      </c>
      <c r="M36" s="1" t="n">
        <v>1</v>
      </c>
      <c r="N36" s="1" t="n">
        <v>1</v>
      </c>
      <c r="O36" s="1" t="n">
        <v>1</v>
      </c>
      <c r="P36" s="1" t="n">
        <v>1</v>
      </c>
      <c r="Q36" s="1" t="n">
        <v>1</v>
      </c>
      <c r="R36" s="1" t="n">
        <v>1</v>
      </c>
      <c r="S36" s="1" t="n">
        <v>1</v>
      </c>
      <c r="T36" s="1" t="n">
        <v>1</v>
      </c>
      <c r="U36" s="1" t="n">
        <v>1</v>
      </c>
      <c r="V36" s="1" t="n">
        <v>1</v>
      </c>
      <c r="W36" s="1" t="n">
        <v>1</v>
      </c>
      <c r="X36" s="1" t="n">
        <v>1</v>
      </c>
      <c r="Y36" s="1" t="n">
        <v>1</v>
      </c>
      <c r="Z36" s="1" t="n">
        <v>1</v>
      </c>
      <c r="AA36" s="1" t="n">
        <v>1</v>
      </c>
      <c r="AB36" s="1" t="n">
        <v>1</v>
      </c>
      <c r="AC36" s="1" t="n">
        <v>1</v>
      </c>
      <c r="AD36" s="1" t="n">
        <v>1</v>
      </c>
      <c r="AE36" s="1" t="n">
        <v>1</v>
      </c>
      <c r="AF36" s="1" t="n">
        <v>1</v>
      </c>
      <c r="AG36" s="1" t="n">
        <v>1</v>
      </c>
      <c r="AH36" s="1" t="n">
        <v>1</v>
      </c>
      <c r="AI36" s="1" t="n">
        <v>1</v>
      </c>
      <c r="AJ36" s="1" t="n">
        <v>1</v>
      </c>
      <c r="AK36" s="1" t="n">
        <v>1</v>
      </c>
      <c r="AL36" s="1" t="n">
        <v>1</v>
      </c>
      <c r="AM36" s="1" t="n">
        <v>1</v>
      </c>
      <c r="AN36" s="1" t="n">
        <v>1</v>
      </c>
      <c r="AO36" s="1" t="n">
        <v>1</v>
      </c>
      <c r="AP36" s="1" t="n">
        <v>1</v>
      </c>
      <c r="AQ36" s="1" t="n">
        <v>1</v>
      </c>
      <c r="AR36" s="1" t="n">
        <v>1</v>
      </c>
      <c r="AS36" s="1" t="n">
        <v>1</v>
      </c>
      <c r="AT36" s="1" t="n">
        <v>1</v>
      </c>
      <c r="AU36" s="1" t="n">
        <v>1</v>
      </c>
      <c r="AV36" s="1" t="n">
        <v>1</v>
      </c>
      <c r="AW36" s="1" t="n">
        <v>1</v>
      </c>
      <c r="AX36" s="1" t="n">
        <v>1</v>
      </c>
      <c r="AY36" s="1" t="n">
        <v>1</v>
      </c>
      <c r="AZ36" s="1" t="n">
        <v>1</v>
      </c>
      <c r="BA36" s="1" t="n">
        <v>1</v>
      </c>
      <c r="BB36" s="1" t="n">
        <v>1</v>
      </c>
      <c r="BC36" s="1" t="n">
        <v>1</v>
      </c>
      <c r="BD36" s="1" t="n">
        <v>1</v>
      </c>
      <c r="BE36" s="1" t="n">
        <v>1</v>
      </c>
      <c r="BF36" s="1" t="n">
        <v>1</v>
      </c>
      <c r="BG36" s="1" t="n">
        <v>1</v>
      </c>
      <c r="BH36" s="1" t="n">
        <v>1</v>
      </c>
      <c r="BI36" s="1" t="n">
        <v>1</v>
      </c>
      <c r="BJ36" s="1" t="n">
        <v>1</v>
      </c>
      <c r="BK36" s="1" t="n">
        <v>1</v>
      </c>
    </row>
    <row r="37" customFormat="false" ht="12.75" hidden="false" customHeight="false" outlineLevel="0" collapsed="false">
      <c r="A37" s="1" t="n">
        <f aca="false">A36-1</f>
        <v>1990</v>
      </c>
      <c r="B37" s="1" t="n">
        <v>1</v>
      </c>
      <c r="C37" s="1" t="n">
        <v>1</v>
      </c>
      <c r="D37" s="1" t="n">
        <v>1</v>
      </c>
      <c r="E37" s="1" t="n">
        <v>1</v>
      </c>
      <c r="F37" s="1" t="n">
        <v>1</v>
      </c>
      <c r="G37" s="1" t="n">
        <v>1</v>
      </c>
      <c r="H37" s="1" t="n">
        <v>1</v>
      </c>
      <c r="I37" s="1" t="n">
        <v>1</v>
      </c>
      <c r="J37" s="1" t="n">
        <v>1</v>
      </c>
      <c r="K37" s="1" t="n">
        <v>1</v>
      </c>
      <c r="L37" s="1" t="n">
        <v>1</v>
      </c>
      <c r="M37" s="1" t="n">
        <v>1</v>
      </c>
      <c r="N37" s="1" t="n">
        <v>1</v>
      </c>
      <c r="O37" s="1" t="n">
        <v>1</v>
      </c>
      <c r="P37" s="1" t="n">
        <v>1</v>
      </c>
      <c r="Q37" s="1" t="n">
        <v>1</v>
      </c>
      <c r="R37" s="1" t="n">
        <v>1</v>
      </c>
      <c r="S37" s="1" t="n">
        <v>1</v>
      </c>
      <c r="T37" s="1" t="n">
        <v>1</v>
      </c>
      <c r="U37" s="1" t="n">
        <v>1</v>
      </c>
      <c r="V37" s="1" t="n">
        <v>1</v>
      </c>
      <c r="W37" s="1" t="n">
        <v>1</v>
      </c>
      <c r="X37" s="1" t="n">
        <v>1</v>
      </c>
      <c r="Y37" s="1" t="n">
        <v>1</v>
      </c>
      <c r="Z37" s="1" t="n">
        <v>1</v>
      </c>
      <c r="AA37" s="1" t="n">
        <v>1</v>
      </c>
      <c r="AB37" s="1" t="n">
        <v>1</v>
      </c>
      <c r="AC37" s="1" t="n">
        <v>1</v>
      </c>
      <c r="AD37" s="1" t="n">
        <v>1</v>
      </c>
      <c r="AE37" s="1" t="n">
        <v>1</v>
      </c>
      <c r="AF37" s="1" t="n">
        <v>1</v>
      </c>
      <c r="AG37" s="1" t="n">
        <v>1</v>
      </c>
      <c r="AH37" s="1" t="n">
        <v>1</v>
      </c>
      <c r="AI37" s="1" t="n">
        <v>1</v>
      </c>
      <c r="AJ37" s="1" t="n">
        <v>1</v>
      </c>
      <c r="AK37" s="1" t="n">
        <v>1</v>
      </c>
      <c r="AL37" s="1" t="n">
        <v>1</v>
      </c>
      <c r="AM37" s="1" t="n">
        <v>1</v>
      </c>
      <c r="AN37" s="1" t="n">
        <v>1</v>
      </c>
      <c r="AO37" s="1" t="n">
        <v>1</v>
      </c>
      <c r="AP37" s="1" t="n">
        <v>1</v>
      </c>
      <c r="AQ37" s="1" t="n">
        <v>1</v>
      </c>
      <c r="AR37" s="1" t="n">
        <v>1</v>
      </c>
      <c r="AS37" s="1" t="n">
        <v>1</v>
      </c>
      <c r="AT37" s="1" t="n">
        <v>1</v>
      </c>
      <c r="AU37" s="1" t="n">
        <v>1</v>
      </c>
      <c r="AV37" s="1" t="n">
        <v>1</v>
      </c>
      <c r="AW37" s="1" t="n">
        <v>1</v>
      </c>
      <c r="AX37" s="1" t="n">
        <v>1</v>
      </c>
      <c r="AY37" s="1" t="n">
        <v>1</v>
      </c>
      <c r="AZ37" s="1" t="n">
        <v>1</v>
      </c>
      <c r="BA37" s="1" t="n">
        <v>1</v>
      </c>
      <c r="BB37" s="1" t="n">
        <v>1</v>
      </c>
      <c r="BC37" s="1" t="n">
        <v>1</v>
      </c>
      <c r="BD37" s="1" t="n">
        <v>1</v>
      </c>
      <c r="BE37" s="1" t="n">
        <v>1</v>
      </c>
      <c r="BF37" s="1" t="n">
        <v>1</v>
      </c>
      <c r="BG37" s="1" t="n">
        <v>1</v>
      </c>
      <c r="BH37" s="1" t="n">
        <v>1</v>
      </c>
      <c r="BI37" s="1" t="n">
        <v>1</v>
      </c>
      <c r="BJ37" s="1" t="n">
        <v>1</v>
      </c>
      <c r="BK37" s="1" t="n">
        <v>1</v>
      </c>
    </row>
    <row r="38" customFormat="false" ht="12.75" hidden="false" customHeight="false" outlineLevel="0" collapsed="false">
      <c r="A38" s="1" t="n">
        <f aca="false">A37-1</f>
        <v>1989</v>
      </c>
      <c r="B38" s="1" t="n">
        <v>1</v>
      </c>
      <c r="C38" s="1" t="n">
        <v>1</v>
      </c>
      <c r="D38" s="1" t="n">
        <v>1</v>
      </c>
      <c r="E38" s="1" t="n">
        <v>1</v>
      </c>
      <c r="F38" s="1" t="n">
        <v>1</v>
      </c>
      <c r="G38" s="1" t="n">
        <v>1</v>
      </c>
      <c r="H38" s="1" t="n">
        <v>1</v>
      </c>
      <c r="I38" s="1" t="n">
        <v>1</v>
      </c>
      <c r="J38" s="1" t="n">
        <v>1</v>
      </c>
      <c r="K38" s="1" t="n">
        <v>1</v>
      </c>
      <c r="L38" s="1" t="n">
        <v>1</v>
      </c>
      <c r="M38" s="1" t="n">
        <v>1</v>
      </c>
      <c r="N38" s="1" t="n">
        <v>1</v>
      </c>
      <c r="O38" s="1" t="n">
        <v>1</v>
      </c>
      <c r="P38" s="1" t="n">
        <v>1</v>
      </c>
      <c r="Q38" s="1" t="n">
        <v>1</v>
      </c>
      <c r="R38" s="1" t="n">
        <v>1</v>
      </c>
      <c r="S38" s="1" t="n">
        <v>1</v>
      </c>
      <c r="T38" s="1" t="n">
        <v>1</v>
      </c>
      <c r="U38" s="1" t="n">
        <v>1</v>
      </c>
      <c r="V38" s="1" t="n">
        <v>1</v>
      </c>
      <c r="W38" s="1" t="n">
        <v>1</v>
      </c>
      <c r="X38" s="1" t="n">
        <v>1</v>
      </c>
      <c r="Y38" s="1" t="n">
        <v>1</v>
      </c>
      <c r="Z38" s="1" t="n">
        <v>1</v>
      </c>
      <c r="AA38" s="1" t="n">
        <v>1</v>
      </c>
      <c r="AB38" s="1" t="n">
        <v>1</v>
      </c>
      <c r="AC38" s="1" t="n">
        <v>1</v>
      </c>
      <c r="AD38" s="1" t="n">
        <v>1</v>
      </c>
      <c r="AE38" s="1" t="n">
        <v>1</v>
      </c>
      <c r="AF38" s="1" t="n">
        <v>1</v>
      </c>
      <c r="AG38" s="1" t="n">
        <v>1</v>
      </c>
      <c r="AH38" s="1" t="n">
        <v>1</v>
      </c>
      <c r="AI38" s="1" t="n">
        <v>1</v>
      </c>
      <c r="AJ38" s="1" t="n">
        <v>1</v>
      </c>
      <c r="AK38" s="1" t="n">
        <v>1</v>
      </c>
      <c r="AL38" s="1" t="n">
        <v>1</v>
      </c>
      <c r="AM38" s="1" t="n">
        <v>1</v>
      </c>
      <c r="AN38" s="1" t="n">
        <v>1</v>
      </c>
      <c r="AO38" s="1" t="n">
        <v>1</v>
      </c>
      <c r="AP38" s="1" t="n">
        <v>1</v>
      </c>
      <c r="AQ38" s="1" t="n">
        <v>1</v>
      </c>
      <c r="AR38" s="1" t="n">
        <v>1</v>
      </c>
      <c r="AS38" s="1" t="n">
        <v>1</v>
      </c>
      <c r="AT38" s="1" t="n">
        <v>1</v>
      </c>
      <c r="AU38" s="1" t="n">
        <v>1</v>
      </c>
      <c r="AV38" s="1" t="n">
        <v>1</v>
      </c>
      <c r="AW38" s="1" t="n">
        <v>1</v>
      </c>
      <c r="AX38" s="1" t="n">
        <v>1</v>
      </c>
      <c r="AY38" s="1" t="n">
        <v>1</v>
      </c>
      <c r="AZ38" s="1" t="n">
        <v>1</v>
      </c>
      <c r="BA38" s="1" t="n">
        <v>1</v>
      </c>
      <c r="BB38" s="1" t="n">
        <v>1</v>
      </c>
      <c r="BC38" s="1" t="n">
        <v>1</v>
      </c>
      <c r="BD38" s="1" t="n">
        <v>1</v>
      </c>
      <c r="BE38" s="1" t="n">
        <v>1</v>
      </c>
      <c r="BF38" s="1" t="n">
        <v>1</v>
      </c>
      <c r="BG38" s="1" t="n">
        <v>1</v>
      </c>
      <c r="BH38" s="1" t="n">
        <v>1</v>
      </c>
      <c r="BI38" s="1" t="n">
        <v>1</v>
      </c>
      <c r="BJ38" s="1" t="n">
        <v>1</v>
      </c>
      <c r="BK38" s="1" t="n">
        <v>1</v>
      </c>
    </row>
    <row r="39" customFormat="false" ht="12.75" hidden="false" customHeight="false" outlineLevel="0" collapsed="false">
      <c r="A39" s="1" t="n">
        <f aca="false">A38-1</f>
        <v>1988</v>
      </c>
      <c r="B39" s="1" t="n">
        <v>1</v>
      </c>
      <c r="C39" s="1" t="n">
        <v>1</v>
      </c>
      <c r="D39" s="1" t="n">
        <v>1</v>
      </c>
      <c r="E39" s="1" t="n">
        <v>1</v>
      </c>
      <c r="F39" s="1" t="n">
        <v>1</v>
      </c>
      <c r="G39" s="1" t="n">
        <v>1</v>
      </c>
      <c r="H39" s="1" t="n">
        <v>1</v>
      </c>
      <c r="I39" s="1" t="n">
        <v>1</v>
      </c>
      <c r="J39" s="1" t="n">
        <v>1</v>
      </c>
      <c r="K39" s="1" t="n">
        <v>1</v>
      </c>
      <c r="L39" s="1" t="n">
        <v>1</v>
      </c>
      <c r="M39" s="1" t="n">
        <v>1</v>
      </c>
      <c r="N39" s="1" t="n">
        <v>1</v>
      </c>
      <c r="O39" s="1" t="n">
        <v>1</v>
      </c>
      <c r="P39" s="1" t="n">
        <v>1</v>
      </c>
      <c r="Q39" s="1" t="n">
        <v>1</v>
      </c>
      <c r="R39" s="1" t="n">
        <v>1</v>
      </c>
      <c r="S39" s="1" t="n">
        <v>1</v>
      </c>
      <c r="T39" s="1" t="n">
        <v>1</v>
      </c>
      <c r="U39" s="1" t="n">
        <v>1</v>
      </c>
      <c r="V39" s="1" t="n">
        <v>1</v>
      </c>
      <c r="W39" s="1" t="n">
        <v>1</v>
      </c>
      <c r="X39" s="1" t="n">
        <v>1</v>
      </c>
      <c r="Y39" s="1" t="n">
        <v>1</v>
      </c>
      <c r="Z39" s="1" t="n">
        <v>1</v>
      </c>
      <c r="AA39" s="1" t="n">
        <v>1</v>
      </c>
      <c r="AB39" s="1" t="n">
        <v>1</v>
      </c>
      <c r="AC39" s="1" t="n">
        <v>1</v>
      </c>
      <c r="AD39" s="1" t="n">
        <v>1</v>
      </c>
      <c r="AE39" s="1" t="n">
        <v>1</v>
      </c>
      <c r="AF39" s="1" t="n">
        <v>1</v>
      </c>
      <c r="AG39" s="1" t="n">
        <v>1</v>
      </c>
      <c r="AH39" s="1" t="n">
        <v>1</v>
      </c>
      <c r="AI39" s="1" t="n">
        <v>1</v>
      </c>
      <c r="AJ39" s="1" t="n">
        <v>1</v>
      </c>
      <c r="AK39" s="1" t="n">
        <v>1</v>
      </c>
      <c r="AL39" s="1" t="n">
        <v>1</v>
      </c>
      <c r="AM39" s="1" t="n">
        <v>1</v>
      </c>
      <c r="AN39" s="1" t="n">
        <v>1</v>
      </c>
      <c r="AO39" s="1" t="n">
        <v>1</v>
      </c>
      <c r="AP39" s="1" t="n">
        <v>1</v>
      </c>
      <c r="AQ39" s="1" t="n">
        <v>1</v>
      </c>
      <c r="AR39" s="1" t="n">
        <v>1</v>
      </c>
      <c r="AS39" s="1" t="n">
        <v>1</v>
      </c>
      <c r="AT39" s="1" t="n">
        <v>1</v>
      </c>
      <c r="AU39" s="1" t="n">
        <v>1</v>
      </c>
      <c r="AV39" s="1" t="n">
        <v>1</v>
      </c>
      <c r="AW39" s="1" t="n">
        <v>1</v>
      </c>
      <c r="AX39" s="1" t="n">
        <v>1</v>
      </c>
      <c r="AY39" s="1" t="n">
        <v>1</v>
      </c>
      <c r="AZ39" s="1" t="n">
        <v>1</v>
      </c>
      <c r="BA39" s="1" t="n">
        <v>1</v>
      </c>
      <c r="BB39" s="1" t="n">
        <v>1</v>
      </c>
      <c r="BC39" s="1" t="n">
        <v>1</v>
      </c>
      <c r="BD39" s="1" t="n">
        <v>1</v>
      </c>
      <c r="BE39" s="1" t="n">
        <v>1</v>
      </c>
      <c r="BF39" s="1" t="n">
        <v>1</v>
      </c>
      <c r="BG39" s="1" t="n">
        <v>1</v>
      </c>
      <c r="BH39" s="1" t="n">
        <v>1</v>
      </c>
      <c r="BI39" s="1" t="n">
        <v>1</v>
      </c>
      <c r="BJ39" s="1" t="n">
        <v>1</v>
      </c>
      <c r="BK39" s="1" t="n">
        <v>1</v>
      </c>
    </row>
    <row r="40" customFormat="false" ht="12.75" hidden="false" customHeight="false" outlineLevel="0" collapsed="false">
      <c r="A40" s="1" t="n">
        <f aca="false">A39-1</f>
        <v>1987</v>
      </c>
      <c r="B40" s="1" t="n">
        <v>1</v>
      </c>
      <c r="C40" s="1" t="n">
        <v>1</v>
      </c>
      <c r="D40" s="1" t="n">
        <v>1</v>
      </c>
      <c r="E40" s="1" t="n">
        <v>1</v>
      </c>
      <c r="F40" s="1" t="n">
        <v>1</v>
      </c>
      <c r="G40" s="1" t="n">
        <v>1</v>
      </c>
      <c r="H40" s="1" t="n">
        <v>1</v>
      </c>
      <c r="I40" s="1" t="n">
        <v>1</v>
      </c>
      <c r="J40" s="1" t="n">
        <v>1</v>
      </c>
      <c r="K40" s="1" t="n">
        <v>1</v>
      </c>
      <c r="L40" s="1" t="n">
        <v>1</v>
      </c>
      <c r="M40" s="1" t="n">
        <v>1</v>
      </c>
      <c r="N40" s="1" t="n">
        <v>1</v>
      </c>
      <c r="O40" s="1" t="n">
        <v>1</v>
      </c>
      <c r="P40" s="1" t="n">
        <v>1</v>
      </c>
      <c r="Q40" s="1" t="n">
        <v>1</v>
      </c>
      <c r="R40" s="1" t="n">
        <v>1</v>
      </c>
      <c r="S40" s="1" t="n">
        <v>1</v>
      </c>
      <c r="T40" s="1" t="n">
        <v>1</v>
      </c>
      <c r="U40" s="1" t="n">
        <v>1</v>
      </c>
      <c r="V40" s="1" t="n">
        <v>1</v>
      </c>
      <c r="W40" s="1" t="n">
        <v>1</v>
      </c>
      <c r="X40" s="1" t="n">
        <v>1</v>
      </c>
      <c r="Y40" s="1" t="n">
        <v>1</v>
      </c>
      <c r="Z40" s="1" t="n">
        <v>1</v>
      </c>
      <c r="AA40" s="1" t="n">
        <v>1</v>
      </c>
      <c r="AB40" s="1" t="n">
        <v>1</v>
      </c>
      <c r="AC40" s="1" t="n">
        <v>1</v>
      </c>
      <c r="AD40" s="1" t="n">
        <v>1</v>
      </c>
      <c r="AE40" s="1" t="n">
        <v>1</v>
      </c>
      <c r="AF40" s="1" t="n">
        <v>1</v>
      </c>
      <c r="AG40" s="1" t="n">
        <v>1</v>
      </c>
      <c r="AH40" s="1" t="n">
        <v>1</v>
      </c>
      <c r="AI40" s="1" t="n">
        <v>1</v>
      </c>
      <c r="AJ40" s="1" t="n">
        <v>1</v>
      </c>
      <c r="AK40" s="1" t="n">
        <v>1</v>
      </c>
      <c r="AL40" s="1" t="n">
        <v>1</v>
      </c>
      <c r="AM40" s="1" t="n">
        <v>1</v>
      </c>
      <c r="AN40" s="1" t="n">
        <v>1</v>
      </c>
      <c r="AO40" s="1" t="n">
        <v>1</v>
      </c>
      <c r="AP40" s="1" t="n">
        <v>1</v>
      </c>
      <c r="AQ40" s="1" t="n">
        <v>1</v>
      </c>
      <c r="AR40" s="1" t="n">
        <v>1</v>
      </c>
      <c r="AS40" s="1" t="n">
        <v>1</v>
      </c>
      <c r="AT40" s="1" t="n">
        <v>1</v>
      </c>
      <c r="AU40" s="1" t="n">
        <v>1</v>
      </c>
      <c r="AV40" s="1" t="n">
        <v>1</v>
      </c>
      <c r="AW40" s="1" t="n">
        <v>1</v>
      </c>
      <c r="AX40" s="1" t="n">
        <v>1</v>
      </c>
      <c r="AY40" s="1" t="n">
        <v>1</v>
      </c>
      <c r="AZ40" s="1" t="n">
        <v>1</v>
      </c>
      <c r="BA40" s="1" t="n">
        <v>1</v>
      </c>
      <c r="BB40" s="1" t="n">
        <v>1</v>
      </c>
      <c r="BC40" s="1" t="n">
        <v>1</v>
      </c>
      <c r="BD40" s="1" t="n">
        <v>1</v>
      </c>
      <c r="BE40" s="1" t="n">
        <v>1</v>
      </c>
      <c r="BF40" s="1" t="n">
        <v>1</v>
      </c>
      <c r="BG40" s="1" t="n">
        <v>1</v>
      </c>
      <c r="BH40" s="1" t="n">
        <v>1</v>
      </c>
      <c r="BI40" s="1" t="n">
        <v>1</v>
      </c>
      <c r="BJ40" s="1" t="n">
        <v>1</v>
      </c>
      <c r="BK40" s="1" t="n">
        <v>1</v>
      </c>
    </row>
    <row r="41" customFormat="false" ht="12.75" hidden="false" customHeight="false" outlineLevel="0" collapsed="false">
      <c r="A41" s="1" t="n">
        <f aca="false">A40-1</f>
        <v>1986</v>
      </c>
      <c r="B41" s="1" t="n">
        <v>1</v>
      </c>
      <c r="C41" s="1" t="n">
        <v>1</v>
      </c>
      <c r="D41" s="1" t="n">
        <v>1</v>
      </c>
      <c r="E41" s="1" t="n">
        <v>1</v>
      </c>
      <c r="F41" s="1" t="n">
        <v>1</v>
      </c>
      <c r="G41" s="1" t="n">
        <v>1</v>
      </c>
      <c r="H41" s="1" t="n">
        <v>1</v>
      </c>
      <c r="I41" s="1" t="n">
        <v>1</v>
      </c>
      <c r="J41" s="1" t="n">
        <v>1</v>
      </c>
      <c r="K41" s="1" t="n">
        <v>1</v>
      </c>
      <c r="L41" s="1" t="n">
        <v>1</v>
      </c>
      <c r="M41" s="1" t="n">
        <v>1</v>
      </c>
      <c r="N41" s="1" t="n">
        <v>1</v>
      </c>
      <c r="O41" s="1" t="n">
        <v>1</v>
      </c>
      <c r="P41" s="1" t="n">
        <v>1</v>
      </c>
      <c r="Q41" s="1" t="n">
        <v>1</v>
      </c>
      <c r="R41" s="1" t="n">
        <v>1</v>
      </c>
      <c r="S41" s="1" t="n">
        <v>1</v>
      </c>
      <c r="T41" s="1" t="n">
        <v>1</v>
      </c>
      <c r="U41" s="1" t="n">
        <v>1</v>
      </c>
      <c r="V41" s="1" t="n">
        <v>1</v>
      </c>
      <c r="W41" s="1" t="n">
        <v>1</v>
      </c>
      <c r="X41" s="1" t="n">
        <v>1</v>
      </c>
      <c r="Y41" s="1" t="n">
        <v>1</v>
      </c>
      <c r="Z41" s="1" t="n">
        <v>1</v>
      </c>
      <c r="AA41" s="1" t="n">
        <v>1</v>
      </c>
      <c r="AB41" s="1" t="n">
        <v>1</v>
      </c>
      <c r="AC41" s="1" t="n">
        <v>1</v>
      </c>
      <c r="AD41" s="1" t="n">
        <v>1</v>
      </c>
      <c r="AE41" s="1" t="n">
        <v>1</v>
      </c>
      <c r="AF41" s="1" t="n">
        <v>1</v>
      </c>
      <c r="AG41" s="1" t="n">
        <v>1</v>
      </c>
      <c r="AH41" s="1" t="n">
        <v>1</v>
      </c>
      <c r="AI41" s="1" t="n">
        <v>1</v>
      </c>
      <c r="AJ41" s="1" t="n">
        <v>1</v>
      </c>
      <c r="AK41" s="1" t="n">
        <v>1</v>
      </c>
      <c r="AL41" s="1" t="n">
        <v>1</v>
      </c>
      <c r="AM41" s="1" t="n">
        <v>1</v>
      </c>
      <c r="AN41" s="1" t="n">
        <v>1</v>
      </c>
      <c r="AO41" s="1" t="n">
        <v>1</v>
      </c>
      <c r="AP41" s="1" t="n">
        <v>1</v>
      </c>
      <c r="AQ41" s="1" t="n">
        <v>1</v>
      </c>
      <c r="AR41" s="1" t="n">
        <v>1</v>
      </c>
      <c r="AS41" s="1" t="n">
        <v>1</v>
      </c>
      <c r="AT41" s="1" t="n">
        <v>1</v>
      </c>
      <c r="AU41" s="1" t="n">
        <v>1</v>
      </c>
      <c r="AV41" s="1" t="n">
        <v>1</v>
      </c>
      <c r="AW41" s="1" t="n">
        <v>1</v>
      </c>
      <c r="AX41" s="1" t="n">
        <v>1</v>
      </c>
      <c r="AY41" s="1" t="n">
        <v>1</v>
      </c>
      <c r="AZ41" s="1" t="n">
        <v>1</v>
      </c>
      <c r="BA41" s="1" t="n">
        <v>1</v>
      </c>
      <c r="BB41" s="1" t="n">
        <v>1</v>
      </c>
      <c r="BC41" s="1" t="n">
        <v>1</v>
      </c>
      <c r="BD41" s="1" t="n">
        <v>1</v>
      </c>
      <c r="BE41" s="1" t="n">
        <v>1</v>
      </c>
      <c r="BF41" s="1" t="n">
        <v>1</v>
      </c>
      <c r="BG41" s="1" t="n">
        <v>1</v>
      </c>
      <c r="BH41" s="1" t="n">
        <v>1</v>
      </c>
      <c r="BI41" s="1" t="n">
        <v>1</v>
      </c>
      <c r="BJ41" s="1" t="n">
        <v>1</v>
      </c>
      <c r="BK41" s="1" t="n">
        <v>1</v>
      </c>
    </row>
    <row r="42" customFormat="false" ht="12.75" hidden="false" customHeight="false" outlineLevel="0" collapsed="false">
      <c r="A42" s="1" t="n">
        <f aca="false">A41-1</f>
        <v>1985</v>
      </c>
      <c r="B42" s="1" t="n">
        <v>1</v>
      </c>
      <c r="C42" s="1" t="n">
        <v>1</v>
      </c>
      <c r="D42" s="1" t="n">
        <v>1</v>
      </c>
      <c r="E42" s="1" t="n">
        <v>1</v>
      </c>
      <c r="F42" s="1" t="n">
        <v>1</v>
      </c>
      <c r="G42" s="1" t="n">
        <v>1</v>
      </c>
      <c r="H42" s="1" t="n">
        <v>1</v>
      </c>
      <c r="I42" s="1" t="n">
        <v>1</v>
      </c>
      <c r="J42" s="1" t="n">
        <v>1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s="1" t="n">
        <v>1</v>
      </c>
      <c r="Q42" s="1" t="n">
        <v>1</v>
      </c>
      <c r="R42" s="1" t="n">
        <v>1</v>
      </c>
      <c r="S42" s="1" t="n">
        <v>1</v>
      </c>
      <c r="T42" s="1" t="n">
        <v>1</v>
      </c>
      <c r="U42" s="1" t="n">
        <v>1</v>
      </c>
      <c r="V42" s="1" t="n">
        <v>1</v>
      </c>
      <c r="W42" s="1" t="n">
        <v>1</v>
      </c>
      <c r="X42" s="1" t="n">
        <v>1</v>
      </c>
      <c r="Y42" s="1" t="n">
        <v>1</v>
      </c>
      <c r="Z42" s="1" t="n">
        <v>1</v>
      </c>
      <c r="AA42" s="1" t="n">
        <v>1</v>
      </c>
      <c r="AB42" s="1" t="n">
        <v>1</v>
      </c>
      <c r="AC42" s="1" t="n">
        <v>1</v>
      </c>
      <c r="AD42" s="1" t="n">
        <v>1</v>
      </c>
      <c r="AE42" s="1" t="n">
        <v>1</v>
      </c>
      <c r="AF42" s="1" t="n">
        <v>1</v>
      </c>
      <c r="AG42" s="1" t="n">
        <v>1</v>
      </c>
      <c r="AH42" s="1" t="n">
        <v>1</v>
      </c>
      <c r="AI42" s="1" t="n">
        <v>1</v>
      </c>
      <c r="AJ42" s="1" t="n">
        <v>1</v>
      </c>
      <c r="AK42" s="1" t="n">
        <v>1</v>
      </c>
      <c r="AL42" s="1" t="n">
        <v>1</v>
      </c>
      <c r="AM42" s="1" t="n">
        <v>1</v>
      </c>
      <c r="AN42" s="1" t="n">
        <v>1</v>
      </c>
      <c r="AO42" s="1" t="n">
        <v>1</v>
      </c>
      <c r="AP42" s="1" t="n">
        <v>1</v>
      </c>
      <c r="AQ42" s="1" t="n">
        <v>1</v>
      </c>
      <c r="AR42" s="1" t="n">
        <v>1</v>
      </c>
      <c r="AS42" s="1" t="n">
        <v>1</v>
      </c>
      <c r="AT42" s="1" t="n">
        <v>1</v>
      </c>
      <c r="AU42" s="1" t="n">
        <v>1</v>
      </c>
      <c r="AV42" s="1" t="n">
        <v>1</v>
      </c>
      <c r="AW42" s="1" t="n">
        <v>1</v>
      </c>
      <c r="AX42" s="1" t="n">
        <v>1</v>
      </c>
      <c r="AY42" s="1" t="n">
        <v>1</v>
      </c>
      <c r="AZ42" s="1" t="n">
        <v>1</v>
      </c>
      <c r="BA42" s="1" t="n">
        <v>1</v>
      </c>
      <c r="BB42" s="1" t="n">
        <v>1</v>
      </c>
      <c r="BC42" s="1" t="n">
        <v>1</v>
      </c>
      <c r="BD42" s="1" t="n">
        <v>1</v>
      </c>
      <c r="BE42" s="1" t="n">
        <v>1</v>
      </c>
      <c r="BF42" s="1" t="n">
        <v>1</v>
      </c>
      <c r="BG42" s="1" t="n">
        <v>1</v>
      </c>
      <c r="BH42" s="1" t="n">
        <v>1</v>
      </c>
      <c r="BI42" s="1" t="n">
        <v>1</v>
      </c>
      <c r="BJ42" s="1" t="n">
        <v>1</v>
      </c>
      <c r="BK42" s="1" t="n">
        <v>1</v>
      </c>
    </row>
    <row r="43" customFormat="false" ht="12.75" hidden="false" customHeight="false" outlineLevel="0" collapsed="false">
      <c r="A43" s="1" t="n">
        <f aca="false">A42-1</f>
        <v>1984</v>
      </c>
      <c r="B43" s="1" t="n">
        <v>1</v>
      </c>
      <c r="C43" s="1" t="n">
        <v>1</v>
      </c>
      <c r="D43" s="1" t="n">
        <v>1</v>
      </c>
      <c r="E43" s="1" t="n">
        <v>1</v>
      </c>
      <c r="F43" s="1" t="n">
        <v>1</v>
      </c>
      <c r="G43" s="1" t="n">
        <v>1</v>
      </c>
      <c r="H43" s="1" t="n">
        <v>1</v>
      </c>
      <c r="I43" s="1" t="n">
        <v>1</v>
      </c>
      <c r="J43" s="1" t="n">
        <v>1</v>
      </c>
      <c r="K43" s="1" t="n">
        <v>1</v>
      </c>
      <c r="L43" s="1" t="n">
        <v>1</v>
      </c>
      <c r="M43" s="1" t="n">
        <v>1</v>
      </c>
      <c r="N43" s="1" t="n">
        <v>1</v>
      </c>
      <c r="O43" s="1" t="n">
        <v>1</v>
      </c>
      <c r="P43" s="1" t="n">
        <v>1</v>
      </c>
      <c r="Q43" s="1" t="n">
        <v>1</v>
      </c>
      <c r="R43" s="1" t="n">
        <v>1</v>
      </c>
      <c r="S43" s="1" t="n">
        <v>1</v>
      </c>
      <c r="T43" s="1" t="n">
        <v>1</v>
      </c>
      <c r="U43" s="1" t="n">
        <v>1</v>
      </c>
      <c r="V43" s="1" t="n">
        <v>1</v>
      </c>
      <c r="W43" s="1" t="n">
        <v>1</v>
      </c>
      <c r="X43" s="1" t="n">
        <v>1</v>
      </c>
      <c r="Y43" s="1" t="n">
        <v>1</v>
      </c>
      <c r="Z43" s="1" t="n">
        <v>1</v>
      </c>
      <c r="AA43" s="1" t="n">
        <v>1</v>
      </c>
      <c r="AB43" s="1" t="n">
        <v>1</v>
      </c>
      <c r="AC43" s="1" t="n">
        <v>1</v>
      </c>
      <c r="AD43" s="1" t="n">
        <v>1</v>
      </c>
      <c r="AE43" s="1" t="n">
        <v>1</v>
      </c>
      <c r="AF43" s="1" t="n">
        <v>1</v>
      </c>
      <c r="AG43" s="1" t="n">
        <v>1</v>
      </c>
      <c r="AH43" s="1" t="n">
        <v>1</v>
      </c>
      <c r="AI43" s="1" t="n">
        <v>1</v>
      </c>
      <c r="AJ43" s="1" t="n">
        <v>1</v>
      </c>
      <c r="AK43" s="1" t="n">
        <v>1</v>
      </c>
      <c r="AL43" s="1" t="n">
        <v>1</v>
      </c>
      <c r="AM43" s="1" t="n">
        <v>1</v>
      </c>
      <c r="AN43" s="1" t="n">
        <v>1</v>
      </c>
      <c r="AO43" s="1" t="n">
        <v>1</v>
      </c>
      <c r="AP43" s="1" t="n">
        <v>1</v>
      </c>
      <c r="AQ43" s="1" t="n">
        <v>1</v>
      </c>
      <c r="AR43" s="1" t="n">
        <v>1</v>
      </c>
      <c r="AS43" s="1" t="n">
        <v>1</v>
      </c>
      <c r="AT43" s="1" t="n">
        <v>1</v>
      </c>
      <c r="AU43" s="1" t="n">
        <v>1</v>
      </c>
      <c r="AV43" s="1" t="n">
        <v>1</v>
      </c>
      <c r="AW43" s="1" t="n">
        <v>1</v>
      </c>
      <c r="AX43" s="1" t="n">
        <v>1</v>
      </c>
      <c r="AY43" s="1" t="n">
        <v>1</v>
      </c>
      <c r="AZ43" s="1" t="n">
        <v>1</v>
      </c>
      <c r="BA43" s="1" t="n">
        <v>1</v>
      </c>
      <c r="BB43" s="1" t="n">
        <v>1</v>
      </c>
      <c r="BC43" s="1" t="n">
        <v>1</v>
      </c>
      <c r="BD43" s="1" t="n">
        <v>1</v>
      </c>
      <c r="BE43" s="1" t="n">
        <v>1</v>
      </c>
      <c r="BF43" s="1" t="n">
        <v>1</v>
      </c>
      <c r="BG43" s="1" t="n">
        <v>1</v>
      </c>
      <c r="BH43" s="1" t="n">
        <v>1</v>
      </c>
      <c r="BI43" s="1" t="n">
        <v>1</v>
      </c>
      <c r="BJ43" s="1" t="n">
        <v>1</v>
      </c>
      <c r="BK43" s="1" t="n">
        <v>1</v>
      </c>
    </row>
    <row r="44" customFormat="false" ht="12.75" hidden="false" customHeight="false" outlineLevel="0" collapsed="false">
      <c r="A44" s="1" t="n">
        <f aca="false">A43-1</f>
        <v>1983</v>
      </c>
      <c r="B44" s="1" t="n">
        <v>1</v>
      </c>
      <c r="C44" s="1" t="n">
        <v>1</v>
      </c>
      <c r="D44" s="1" t="n">
        <v>1</v>
      </c>
      <c r="E44" s="1" t="n">
        <v>1</v>
      </c>
      <c r="F44" s="1" t="n">
        <v>1</v>
      </c>
      <c r="G44" s="1" t="n">
        <v>1</v>
      </c>
      <c r="H44" s="1" t="n">
        <v>1</v>
      </c>
      <c r="I44" s="1" t="n">
        <v>1</v>
      </c>
      <c r="J44" s="1" t="n">
        <v>1</v>
      </c>
      <c r="K44" s="1" t="n">
        <v>1</v>
      </c>
      <c r="L44" s="1" t="n">
        <v>1</v>
      </c>
      <c r="M44" s="1" t="n">
        <v>1</v>
      </c>
      <c r="N44" s="1" t="n">
        <v>1</v>
      </c>
      <c r="O44" s="1" t="n">
        <v>1</v>
      </c>
      <c r="P44" s="1" t="n">
        <v>1</v>
      </c>
      <c r="Q44" s="1" t="n">
        <v>1</v>
      </c>
      <c r="R44" s="1" t="n">
        <v>1</v>
      </c>
      <c r="S44" s="1" t="n">
        <v>1</v>
      </c>
      <c r="T44" s="1" t="n">
        <v>1</v>
      </c>
      <c r="U44" s="1" t="n">
        <v>1</v>
      </c>
      <c r="V44" s="1" t="n">
        <v>1</v>
      </c>
      <c r="W44" s="1" t="n">
        <v>1</v>
      </c>
      <c r="X44" s="1" t="n">
        <v>1</v>
      </c>
      <c r="Y44" s="1" t="n">
        <v>1</v>
      </c>
      <c r="Z44" s="1" t="n">
        <v>1</v>
      </c>
      <c r="AA44" s="1" t="n">
        <v>1</v>
      </c>
      <c r="AB44" s="1" t="n">
        <v>1</v>
      </c>
      <c r="AC44" s="1" t="n">
        <v>1</v>
      </c>
      <c r="AD44" s="1" t="n">
        <v>1</v>
      </c>
      <c r="AE44" s="1" t="n">
        <v>1</v>
      </c>
      <c r="AF44" s="1" t="n">
        <v>1</v>
      </c>
      <c r="AG44" s="1" t="n">
        <v>1</v>
      </c>
      <c r="AH44" s="1" t="n">
        <v>1</v>
      </c>
      <c r="AI44" s="1" t="n">
        <v>1</v>
      </c>
      <c r="AJ44" s="1" t="n">
        <v>1</v>
      </c>
      <c r="AK44" s="1" t="n">
        <v>1</v>
      </c>
      <c r="AL44" s="1" t="n">
        <v>1</v>
      </c>
      <c r="AM44" s="1" t="n">
        <v>1</v>
      </c>
      <c r="AN44" s="1" t="n">
        <v>1</v>
      </c>
      <c r="AO44" s="1" t="n">
        <v>1</v>
      </c>
      <c r="AP44" s="1" t="n">
        <v>1</v>
      </c>
      <c r="AQ44" s="1" t="n">
        <v>1</v>
      </c>
      <c r="AR44" s="1" t="n">
        <v>1</v>
      </c>
      <c r="AS44" s="1" t="n">
        <v>1</v>
      </c>
      <c r="AT44" s="1" t="n">
        <v>1</v>
      </c>
      <c r="AU44" s="1" t="n">
        <v>1</v>
      </c>
      <c r="AV44" s="1" t="n">
        <v>1</v>
      </c>
      <c r="AW44" s="1" t="n">
        <v>1</v>
      </c>
      <c r="AX44" s="1" t="n">
        <v>1</v>
      </c>
      <c r="AY44" s="1" t="n">
        <v>1</v>
      </c>
      <c r="AZ44" s="1" t="n">
        <v>1</v>
      </c>
      <c r="BA44" s="1" t="n">
        <v>1</v>
      </c>
      <c r="BB44" s="1" t="n">
        <v>1</v>
      </c>
      <c r="BC44" s="1" t="n">
        <v>1</v>
      </c>
      <c r="BD44" s="1" t="n">
        <v>1</v>
      </c>
      <c r="BE44" s="1" t="n">
        <v>1</v>
      </c>
      <c r="BF44" s="1" t="n">
        <v>1</v>
      </c>
      <c r="BG44" s="1" t="n">
        <v>1</v>
      </c>
      <c r="BH44" s="1" t="n">
        <v>1</v>
      </c>
      <c r="BI44" s="1" t="n">
        <v>1</v>
      </c>
      <c r="BJ44" s="1" t="n">
        <v>1</v>
      </c>
      <c r="BK44" s="1" t="n">
        <v>1</v>
      </c>
    </row>
    <row r="45" customFormat="false" ht="12.75" hidden="false" customHeight="false" outlineLevel="0" collapsed="false">
      <c r="A45" s="1" t="n">
        <f aca="false">A44-1</f>
        <v>1982</v>
      </c>
      <c r="B45" s="1" t="n">
        <v>1</v>
      </c>
      <c r="C45" s="1" t="n">
        <v>1</v>
      </c>
      <c r="D45" s="1" t="n">
        <v>1</v>
      </c>
      <c r="E45" s="1" t="n">
        <v>1</v>
      </c>
      <c r="F45" s="1" t="n">
        <v>1</v>
      </c>
      <c r="G45" s="1" t="n">
        <v>1</v>
      </c>
      <c r="H45" s="1" t="n">
        <v>1</v>
      </c>
      <c r="I45" s="1" t="n">
        <v>1</v>
      </c>
      <c r="J45" s="1" t="n">
        <v>1</v>
      </c>
      <c r="K45" s="1" t="n">
        <v>1</v>
      </c>
      <c r="L45" s="1" t="n">
        <v>1</v>
      </c>
      <c r="M45" s="1" t="n">
        <v>1</v>
      </c>
      <c r="N45" s="1" t="n">
        <v>1</v>
      </c>
      <c r="O45" s="1" t="n">
        <v>1</v>
      </c>
      <c r="P45" s="1" t="n">
        <v>1</v>
      </c>
      <c r="Q45" s="1" t="n">
        <v>1</v>
      </c>
      <c r="R45" s="1" t="n">
        <v>1</v>
      </c>
      <c r="S45" s="1" t="n">
        <v>1</v>
      </c>
      <c r="T45" s="1" t="n">
        <v>1</v>
      </c>
      <c r="U45" s="1" t="n">
        <v>1</v>
      </c>
      <c r="V45" s="1" t="n">
        <v>1</v>
      </c>
      <c r="W45" s="1" t="n">
        <v>1</v>
      </c>
      <c r="X45" s="1" t="n">
        <v>1</v>
      </c>
      <c r="Y45" s="1" t="n">
        <v>1</v>
      </c>
      <c r="Z45" s="1" t="n">
        <v>1</v>
      </c>
      <c r="AA45" s="1" t="n">
        <v>1</v>
      </c>
      <c r="AB45" s="1" t="n">
        <v>1</v>
      </c>
      <c r="AC45" s="1" t="n">
        <v>1</v>
      </c>
      <c r="AD45" s="1" t="n">
        <v>1</v>
      </c>
      <c r="AE45" s="1" t="n">
        <v>1</v>
      </c>
      <c r="AF45" s="1" t="n">
        <v>1</v>
      </c>
      <c r="AG45" s="1" t="n">
        <v>1</v>
      </c>
      <c r="AH45" s="1" t="n">
        <v>1</v>
      </c>
      <c r="AI45" s="1" t="n">
        <v>1</v>
      </c>
      <c r="AJ45" s="1" t="n">
        <v>1</v>
      </c>
      <c r="AK45" s="1" t="n">
        <v>1</v>
      </c>
      <c r="AL45" s="1" t="n">
        <v>1</v>
      </c>
      <c r="AM45" s="1" t="n">
        <v>1</v>
      </c>
      <c r="AN45" s="1" t="n">
        <v>1</v>
      </c>
      <c r="AO45" s="1" t="n">
        <v>1</v>
      </c>
      <c r="AP45" s="1" t="n">
        <v>1</v>
      </c>
      <c r="AQ45" s="1" t="n">
        <v>1</v>
      </c>
      <c r="AR45" s="1" t="n">
        <v>1</v>
      </c>
      <c r="AS45" s="1" t="n">
        <v>1</v>
      </c>
      <c r="AT45" s="1" t="n">
        <v>1</v>
      </c>
      <c r="AU45" s="1" t="n">
        <v>1</v>
      </c>
      <c r="AV45" s="1" t="n">
        <v>1</v>
      </c>
      <c r="AW45" s="1" t="n">
        <v>1</v>
      </c>
      <c r="AX45" s="1" t="n">
        <v>1</v>
      </c>
      <c r="AY45" s="1" t="n">
        <v>1</v>
      </c>
      <c r="AZ45" s="1" t="n">
        <v>1</v>
      </c>
      <c r="BA45" s="1" t="n">
        <v>1</v>
      </c>
      <c r="BB45" s="1" t="n">
        <v>1</v>
      </c>
      <c r="BC45" s="1" t="n">
        <v>1</v>
      </c>
      <c r="BD45" s="1" t="n">
        <v>1</v>
      </c>
      <c r="BE45" s="1" t="n">
        <v>1</v>
      </c>
      <c r="BF45" s="1" t="n">
        <v>1</v>
      </c>
      <c r="BG45" s="1" t="n">
        <v>1</v>
      </c>
      <c r="BH45" s="1" t="n">
        <v>1</v>
      </c>
      <c r="BI45" s="1" t="n">
        <v>1</v>
      </c>
      <c r="BJ45" s="1" t="n">
        <v>1</v>
      </c>
      <c r="BK45" s="1" t="n">
        <v>1</v>
      </c>
    </row>
    <row r="46" customFormat="false" ht="12.75" hidden="false" customHeight="false" outlineLevel="0" collapsed="false">
      <c r="A46" s="1" t="n">
        <f aca="false">A45-1</f>
        <v>1981</v>
      </c>
      <c r="B46" s="1" t="n">
        <v>1</v>
      </c>
      <c r="C46" s="1" t="n">
        <v>1</v>
      </c>
      <c r="D46" s="1" t="n">
        <v>1</v>
      </c>
      <c r="E46" s="1" t="n">
        <v>1</v>
      </c>
      <c r="F46" s="1" t="n">
        <v>1</v>
      </c>
      <c r="G46" s="1" t="n">
        <v>1</v>
      </c>
      <c r="H46" s="1" t="n">
        <v>1</v>
      </c>
      <c r="I46" s="1" t="n">
        <v>1</v>
      </c>
      <c r="J46" s="1" t="n">
        <v>1</v>
      </c>
      <c r="K46" s="1" t="n">
        <v>1</v>
      </c>
      <c r="L46" s="1" t="n">
        <v>1</v>
      </c>
      <c r="M46" s="1" t="n">
        <v>1</v>
      </c>
      <c r="N46" s="1" t="n">
        <v>1</v>
      </c>
      <c r="O46" s="1" t="n">
        <v>1</v>
      </c>
      <c r="P46" s="1" t="n">
        <v>1</v>
      </c>
      <c r="Q46" s="1" t="n">
        <v>1</v>
      </c>
      <c r="R46" s="1" t="n">
        <v>1</v>
      </c>
      <c r="S46" s="1" t="n">
        <v>1</v>
      </c>
      <c r="T46" s="1" t="n">
        <v>1</v>
      </c>
      <c r="U46" s="1" t="n">
        <v>1</v>
      </c>
      <c r="V46" s="1" t="n">
        <v>1</v>
      </c>
      <c r="W46" s="1" t="n">
        <v>1</v>
      </c>
      <c r="X46" s="1" t="n">
        <v>1</v>
      </c>
      <c r="Y46" s="1" t="n">
        <v>1</v>
      </c>
      <c r="Z46" s="1" t="n">
        <v>1</v>
      </c>
      <c r="AA46" s="1" t="n">
        <v>1</v>
      </c>
      <c r="AB46" s="1" t="n">
        <v>1</v>
      </c>
      <c r="AC46" s="1" t="n">
        <v>1</v>
      </c>
      <c r="AD46" s="1" t="n">
        <v>1</v>
      </c>
      <c r="AE46" s="1" t="n">
        <v>1</v>
      </c>
      <c r="AF46" s="1" t="n">
        <v>1</v>
      </c>
      <c r="AG46" s="1" t="n">
        <v>1</v>
      </c>
      <c r="AH46" s="1" t="n">
        <v>1</v>
      </c>
      <c r="AI46" s="1" t="n">
        <v>1</v>
      </c>
      <c r="AJ46" s="1" t="n">
        <v>1</v>
      </c>
      <c r="AK46" s="1" t="n">
        <v>1</v>
      </c>
      <c r="AL46" s="1" t="n">
        <v>1</v>
      </c>
      <c r="AM46" s="1" t="n">
        <v>1</v>
      </c>
      <c r="AN46" s="1" t="n">
        <v>1</v>
      </c>
      <c r="AO46" s="1" t="n">
        <v>1</v>
      </c>
      <c r="AP46" s="1" t="n">
        <v>1</v>
      </c>
      <c r="AQ46" s="1" t="n">
        <v>1</v>
      </c>
      <c r="AR46" s="1" t="n">
        <v>1</v>
      </c>
      <c r="AS46" s="1" t="n">
        <v>1</v>
      </c>
      <c r="AT46" s="1" t="n">
        <v>1</v>
      </c>
      <c r="AU46" s="1" t="n">
        <v>1</v>
      </c>
      <c r="AV46" s="1" t="n">
        <v>1</v>
      </c>
      <c r="AW46" s="1" t="n">
        <v>1</v>
      </c>
      <c r="AX46" s="1" t="n">
        <v>1</v>
      </c>
      <c r="AY46" s="1" t="n">
        <v>1</v>
      </c>
      <c r="AZ46" s="1" t="n">
        <v>1</v>
      </c>
      <c r="BA46" s="1" t="n">
        <v>1</v>
      </c>
      <c r="BB46" s="1" t="n">
        <v>1</v>
      </c>
      <c r="BC46" s="1" t="n">
        <v>1</v>
      </c>
      <c r="BD46" s="1" t="n">
        <v>1</v>
      </c>
      <c r="BE46" s="1" t="n">
        <v>1</v>
      </c>
      <c r="BF46" s="1" t="n">
        <v>1</v>
      </c>
      <c r="BG46" s="1" t="n">
        <v>1</v>
      </c>
      <c r="BH46" s="1" t="n">
        <v>1</v>
      </c>
      <c r="BI46" s="1" t="n">
        <v>1</v>
      </c>
      <c r="BJ46" s="1" t="n">
        <v>1</v>
      </c>
      <c r="BK46" s="1" t="n">
        <v>1</v>
      </c>
    </row>
    <row r="47" customFormat="false" ht="12.75" hidden="false" customHeight="false" outlineLevel="0" collapsed="false">
      <c r="A47" s="1" t="n">
        <f aca="false">A46-1</f>
        <v>1980</v>
      </c>
      <c r="B47" s="1" t="n">
        <v>1</v>
      </c>
      <c r="C47" s="1" t="n">
        <v>1</v>
      </c>
      <c r="D47" s="1" t="n">
        <v>1</v>
      </c>
      <c r="E47" s="1" t="n">
        <v>1</v>
      </c>
      <c r="F47" s="1" t="n">
        <v>1</v>
      </c>
      <c r="G47" s="1" t="n">
        <v>1</v>
      </c>
      <c r="H47" s="1" t="n">
        <v>1</v>
      </c>
      <c r="I47" s="1" t="n">
        <v>1</v>
      </c>
      <c r="J47" s="1" t="n">
        <v>1</v>
      </c>
      <c r="K47" s="1" t="n">
        <v>1</v>
      </c>
      <c r="L47" s="1" t="n">
        <v>1</v>
      </c>
      <c r="M47" s="1" t="n">
        <v>1</v>
      </c>
      <c r="N47" s="1" t="n">
        <v>1</v>
      </c>
      <c r="O47" s="1" t="n">
        <v>1</v>
      </c>
      <c r="P47" s="1" t="n">
        <v>1</v>
      </c>
      <c r="Q47" s="1" t="n">
        <v>1</v>
      </c>
      <c r="R47" s="1" t="n">
        <v>1</v>
      </c>
      <c r="S47" s="1" t="n">
        <v>1</v>
      </c>
      <c r="T47" s="1" t="n">
        <v>1</v>
      </c>
      <c r="U47" s="1" t="n">
        <v>1</v>
      </c>
      <c r="V47" s="1" t="n">
        <v>1</v>
      </c>
      <c r="W47" s="1" t="n">
        <v>1</v>
      </c>
      <c r="X47" s="1" t="n">
        <v>1</v>
      </c>
      <c r="Y47" s="1" t="n">
        <v>1</v>
      </c>
      <c r="Z47" s="1" t="n">
        <v>1</v>
      </c>
      <c r="AA47" s="1" t="n">
        <v>1</v>
      </c>
      <c r="AB47" s="1" t="n">
        <v>1</v>
      </c>
      <c r="AC47" s="1" t="n">
        <v>1</v>
      </c>
      <c r="AD47" s="1" t="n">
        <v>1</v>
      </c>
      <c r="AE47" s="1" t="n">
        <v>1</v>
      </c>
      <c r="AF47" s="1" t="n">
        <v>1</v>
      </c>
      <c r="AG47" s="1" t="n">
        <v>1</v>
      </c>
      <c r="AH47" s="1" t="n">
        <v>1</v>
      </c>
      <c r="AI47" s="1" t="n">
        <v>1</v>
      </c>
      <c r="AJ47" s="1" t="n">
        <v>1</v>
      </c>
      <c r="AK47" s="1" t="n">
        <v>1</v>
      </c>
      <c r="AL47" s="1" t="n">
        <v>1</v>
      </c>
      <c r="AM47" s="1" t="n">
        <v>1</v>
      </c>
      <c r="AN47" s="1" t="n">
        <v>1</v>
      </c>
      <c r="AO47" s="1" t="n">
        <v>1</v>
      </c>
      <c r="AP47" s="1" t="n">
        <v>1</v>
      </c>
      <c r="AQ47" s="1" t="n">
        <v>1</v>
      </c>
      <c r="AR47" s="1" t="n">
        <v>1</v>
      </c>
      <c r="AS47" s="1" t="n">
        <v>1</v>
      </c>
      <c r="AT47" s="1" t="n">
        <v>1</v>
      </c>
      <c r="AU47" s="1" t="n">
        <v>1</v>
      </c>
      <c r="AV47" s="1" t="n">
        <v>1</v>
      </c>
      <c r="AW47" s="1" t="n">
        <v>1</v>
      </c>
      <c r="AX47" s="1" t="n">
        <v>1</v>
      </c>
      <c r="AY47" s="1" t="n">
        <v>1</v>
      </c>
      <c r="AZ47" s="1" t="n">
        <v>1</v>
      </c>
      <c r="BA47" s="1" t="n">
        <v>1</v>
      </c>
      <c r="BB47" s="1" t="n">
        <v>1</v>
      </c>
      <c r="BC47" s="1" t="n">
        <v>1</v>
      </c>
      <c r="BD47" s="1" t="n">
        <v>1</v>
      </c>
      <c r="BE47" s="1" t="n">
        <v>1</v>
      </c>
      <c r="BF47" s="1" t="n">
        <v>1</v>
      </c>
      <c r="BG47" s="1" t="n">
        <v>1</v>
      </c>
      <c r="BH47" s="1" t="n">
        <v>1</v>
      </c>
      <c r="BI47" s="1" t="n">
        <v>1</v>
      </c>
      <c r="BJ47" s="1" t="n">
        <v>1</v>
      </c>
      <c r="BK47" s="1" t="n">
        <v>1</v>
      </c>
    </row>
    <row r="48" customFormat="false" ht="12.75" hidden="false" customHeight="false" outlineLevel="0" collapsed="false">
      <c r="A48" s="1" t="n">
        <f aca="false">A47-1</f>
        <v>1979</v>
      </c>
      <c r="B48" s="1" t="n">
        <v>1</v>
      </c>
      <c r="C48" s="1" t="n">
        <v>1</v>
      </c>
      <c r="D48" s="1" t="n">
        <v>1</v>
      </c>
      <c r="E48" s="1" t="n">
        <v>1</v>
      </c>
      <c r="F48" s="1" t="n">
        <v>1</v>
      </c>
      <c r="G48" s="1" t="n">
        <v>1</v>
      </c>
      <c r="H48" s="1" t="n">
        <v>1</v>
      </c>
      <c r="I48" s="1" t="n">
        <v>1</v>
      </c>
      <c r="J48" s="1" t="n">
        <v>1</v>
      </c>
      <c r="K48" s="1" t="n">
        <v>1</v>
      </c>
      <c r="L48" s="1" t="n">
        <v>1</v>
      </c>
      <c r="M48" s="1" t="n">
        <v>1</v>
      </c>
      <c r="N48" s="1" t="n">
        <v>1</v>
      </c>
      <c r="O48" s="1" t="n">
        <v>1</v>
      </c>
      <c r="P48" s="1" t="n">
        <v>1</v>
      </c>
      <c r="Q48" s="1" t="n">
        <v>1</v>
      </c>
      <c r="R48" s="1" t="n">
        <v>1</v>
      </c>
      <c r="S48" s="1" t="n">
        <v>1</v>
      </c>
      <c r="T48" s="1" t="n">
        <v>1</v>
      </c>
      <c r="U48" s="1" t="n">
        <v>1</v>
      </c>
      <c r="V48" s="1" t="n">
        <v>1</v>
      </c>
      <c r="W48" s="1" t="n">
        <v>1</v>
      </c>
      <c r="X48" s="1" t="n">
        <v>1</v>
      </c>
      <c r="Y48" s="1" t="n">
        <v>1</v>
      </c>
      <c r="Z48" s="1" t="n">
        <v>1</v>
      </c>
      <c r="AA48" s="1" t="n">
        <v>1</v>
      </c>
      <c r="AB48" s="1" t="n">
        <v>1</v>
      </c>
      <c r="AC48" s="1" t="n">
        <v>1</v>
      </c>
      <c r="AD48" s="1" t="n">
        <v>1</v>
      </c>
      <c r="AE48" s="1" t="n">
        <v>1</v>
      </c>
      <c r="AF48" s="1" t="n">
        <v>1</v>
      </c>
      <c r="AG48" s="1" t="n">
        <v>1</v>
      </c>
      <c r="AH48" s="1" t="n">
        <v>1</v>
      </c>
      <c r="AI48" s="1" t="n">
        <v>1</v>
      </c>
      <c r="AJ48" s="1" t="n">
        <v>1</v>
      </c>
      <c r="AK48" s="1" t="n">
        <v>1</v>
      </c>
      <c r="AL48" s="1" t="n">
        <v>1</v>
      </c>
      <c r="AM48" s="1" t="n">
        <v>1</v>
      </c>
      <c r="AN48" s="1" t="n">
        <v>1</v>
      </c>
      <c r="AO48" s="1" t="n">
        <v>1</v>
      </c>
      <c r="AP48" s="1" t="n">
        <v>1</v>
      </c>
      <c r="AQ48" s="1" t="n">
        <v>1</v>
      </c>
      <c r="AR48" s="1" t="n">
        <v>1</v>
      </c>
      <c r="AS48" s="1" t="n">
        <v>1</v>
      </c>
      <c r="AT48" s="1" t="n">
        <v>1</v>
      </c>
      <c r="AU48" s="1" t="n">
        <v>1</v>
      </c>
      <c r="AV48" s="1" t="n">
        <v>1</v>
      </c>
      <c r="AW48" s="1" t="n">
        <v>1</v>
      </c>
      <c r="AX48" s="1" t="n">
        <v>1</v>
      </c>
      <c r="AY48" s="1" t="n">
        <v>1</v>
      </c>
      <c r="AZ48" s="1" t="n">
        <v>1</v>
      </c>
      <c r="BA48" s="1" t="n">
        <v>1</v>
      </c>
      <c r="BB48" s="1" t="n">
        <v>1</v>
      </c>
      <c r="BC48" s="1" t="n">
        <v>1</v>
      </c>
      <c r="BD48" s="1" t="n">
        <v>1</v>
      </c>
      <c r="BE48" s="1" t="n">
        <v>1</v>
      </c>
      <c r="BF48" s="1" t="n">
        <v>1</v>
      </c>
      <c r="BG48" s="1" t="n">
        <v>1</v>
      </c>
      <c r="BH48" s="1" t="n">
        <v>1</v>
      </c>
      <c r="BI48" s="1" t="n">
        <v>1</v>
      </c>
      <c r="BJ48" s="1" t="n">
        <v>1</v>
      </c>
      <c r="BK48" s="1" t="n">
        <v>1</v>
      </c>
    </row>
    <row r="49" customFormat="false" ht="12.75" hidden="false" customHeight="false" outlineLevel="0" collapsed="false">
      <c r="A49" s="1" t="n">
        <f aca="false">A48-1</f>
        <v>1978</v>
      </c>
      <c r="B49" s="1" t="n">
        <v>1</v>
      </c>
      <c r="C49" s="1" t="n">
        <v>1</v>
      </c>
      <c r="D49" s="1" t="n">
        <v>1</v>
      </c>
      <c r="E49" s="1" t="n">
        <v>1</v>
      </c>
      <c r="F49" s="1" t="n">
        <v>1</v>
      </c>
      <c r="G49" s="1" t="n">
        <v>1</v>
      </c>
      <c r="H49" s="1" t="n">
        <v>1</v>
      </c>
      <c r="I49" s="1" t="n">
        <v>1</v>
      </c>
      <c r="J49" s="1" t="n">
        <v>1</v>
      </c>
      <c r="K49" s="1" t="n">
        <v>1</v>
      </c>
      <c r="L49" s="1" t="n">
        <v>1</v>
      </c>
      <c r="M49" s="1" t="n">
        <v>1</v>
      </c>
      <c r="N49" s="1" t="n">
        <v>1</v>
      </c>
      <c r="O49" s="1" t="n">
        <v>1</v>
      </c>
      <c r="P49" s="1" t="n">
        <v>1</v>
      </c>
      <c r="Q49" s="1" t="n">
        <v>1</v>
      </c>
      <c r="R49" s="1" t="n">
        <v>1</v>
      </c>
      <c r="S49" s="1" t="n">
        <v>1</v>
      </c>
      <c r="T49" s="1" t="n">
        <v>1</v>
      </c>
      <c r="U49" s="1" t="n">
        <v>1</v>
      </c>
      <c r="V49" s="1" t="n">
        <v>1</v>
      </c>
      <c r="W49" s="1" t="n">
        <v>1</v>
      </c>
      <c r="X49" s="1" t="n">
        <v>1</v>
      </c>
      <c r="Y49" s="1" t="n">
        <v>1</v>
      </c>
      <c r="Z49" s="1" t="n">
        <v>1</v>
      </c>
      <c r="AA49" s="1" t="n">
        <v>1</v>
      </c>
      <c r="AB49" s="1" t="n">
        <v>1</v>
      </c>
      <c r="AC49" s="1" t="n">
        <v>1</v>
      </c>
      <c r="AD49" s="1" t="n">
        <v>1</v>
      </c>
      <c r="AE49" s="1" t="n">
        <v>1</v>
      </c>
      <c r="AF49" s="1" t="n">
        <v>1</v>
      </c>
      <c r="AG49" s="1" t="n">
        <v>1</v>
      </c>
      <c r="AH49" s="1" t="n">
        <v>1</v>
      </c>
      <c r="AI49" s="1" t="n">
        <v>1</v>
      </c>
      <c r="AJ49" s="1" t="n">
        <v>1</v>
      </c>
      <c r="AK49" s="1" t="n">
        <v>1</v>
      </c>
      <c r="AL49" s="1" t="n">
        <v>1</v>
      </c>
      <c r="AM49" s="1" t="n">
        <v>1</v>
      </c>
      <c r="AN49" s="1" t="n">
        <v>1</v>
      </c>
      <c r="AO49" s="1" t="n">
        <v>1</v>
      </c>
      <c r="AP49" s="1" t="n">
        <v>1</v>
      </c>
      <c r="AQ49" s="1" t="n">
        <v>1</v>
      </c>
      <c r="AR49" s="1" t="n">
        <v>1</v>
      </c>
      <c r="AS49" s="1" t="n">
        <v>1</v>
      </c>
      <c r="AT49" s="1" t="n">
        <v>1</v>
      </c>
      <c r="AU49" s="1" t="n">
        <v>1</v>
      </c>
      <c r="AV49" s="1" t="n">
        <v>1</v>
      </c>
      <c r="AW49" s="1" t="n">
        <v>1</v>
      </c>
      <c r="AX49" s="1" t="n">
        <v>1</v>
      </c>
      <c r="AY49" s="1" t="n">
        <v>1</v>
      </c>
      <c r="AZ49" s="1" t="n">
        <v>1</v>
      </c>
      <c r="BA49" s="1" t="n">
        <v>1</v>
      </c>
      <c r="BB49" s="1" t="n">
        <v>1</v>
      </c>
      <c r="BC49" s="1" t="n">
        <v>1</v>
      </c>
      <c r="BD49" s="1" t="n">
        <v>1</v>
      </c>
      <c r="BE49" s="1" t="n">
        <v>1</v>
      </c>
      <c r="BF49" s="1" t="n">
        <v>1</v>
      </c>
      <c r="BG49" s="1" t="n">
        <v>1</v>
      </c>
      <c r="BH49" s="1" t="n">
        <v>1</v>
      </c>
      <c r="BI49" s="1" t="n">
        <v>1</v>
      </c>
      <c r="BJ49" s="1" t="n">
        <v>1</v>
      </c>
      <c r="BK49" s="1" t="n">
        <v>1</v>
      </c>
    </row>
    <row r="50" customFormat="false" ht="12.75" hidden="false" customHeight="false" outlineLevel="0" collapsed="false">
      <c r="A50" s="1" t="n">
        <f aca="false">A49-1</f>
        <v>1977</v>
      </c>
      <c r="B50" s="1" t="n">
        <v>1</v>
      </c>
      <c r="C50" s="1" t="n">
        <v>1</v>
      </c>
      <c r="D50" s="1" t="n">
        <v>1</v>
      </c>
      <c r="E50" s="1" t="n">
        <v>1</v>
      </c>
      <c r="F50" s="1" t="n">
        <v>1</v>
      </c>
      <c r="G50" s="1" t="n">
        <v>1</v>
      </c>
      <c r="H50" s="1" t="n">
        <v>1</v>
      </c>
      <c r="I50" s="1" t="n">
        <v>1</v>
      </c>
      <c r="J50" s="1" t="n">
        <v>1</v>
      </c>
      <c r="K50" s="1" t="n">
        <v>1</v>
      </c>
      <c r="L50" s="1" t="n">
        <v>1</v>
      </c>
      <c r="M50" s="1" t="n">
        <v>1</v>
      </c>
      <c r="N50" s="1" t="n">
        <v>1</v>
      </c>
      <c r="O50" s="1" t="n">
        <v>1</v>
      </c>
      <c r="P50" s="1" t="n">
        <v>1</v>
      </c>
      <c r="Q50" s="1" t="n">
        <v>1</v>
      </c>
      <c r="R50" s="1" t="n">
        <v>1</v>
      </c>
      <c r="S50" s="1" t="n">
        <v>1</v>
      </c>
      <c r="T50" s="1" t="n">
        <v>1</v>
      </c>
      <c r="U50" s="1" t="n">
        <v>1</v>
      </c>
      <c r="V50" s="1" t="n">
        <v>1</v>
      </c>
      <c r="W50" s="1" t="n">
        <v>1</v>
      </c>
      <c r="X50" s="1" t="n">
        <v>1</v>
      </c>
      <c r="Y50" s="1" t="n">
        <v>1</v>
      </c>
      <c r="Z50" s="1" t="n">
        <v>1</v>
      </c>
      <c r="AA50" s="1" t="n">
        <v>1</v>
      </c>
      <c r="AB50" s="1" t="n">
        <v>1</v>
      </c>
      <c r="AC50" s="1" t="n">
        <v>1</v>
      </c>
      <c r="AD50" s="1" t="n">
        <v>1</v>
      </c>
      <c r="AE50" s="1" t="n">
        <v>1</v>
      </c>
      <c r="AF50" s="1" t="n">
        <v>1</v>
      </c>
      <c r="AG50" s="1" t="n">
        <v>1</v>
      </c>
      <c r="AH50" s="1" t="n">
        <v>1</v>
      </c>
      <c r="AI50" s="1" t="n">
        <v>1</v>
      </c>
      <c r="AJ50" s="1" t="n">
        <v>1</v>
      </c>
      <c r="AK50" s="1" t="n">
        <v>1</v>
      </c>
      <c r="AL50" s="1" t="n">
        <v>1</v>
      </c>
      <c r="AM50" s="1" t="n">
        <v>1</v>
      </c>
      <c r="AN50" s="1" t="n">
        <v>1</v>
      </c>
      <c r="AO50" s="1" t="n">
        <v>1</v>
      </c>
      <c r="AP50" s="1" t="n">
        <v>1</v>
      </c>
      <c r="AQ50" s="1" t="n">
        <v>1</v>
      </c>
      <c r="AR50" s="1" t="n">
        <v>1</v>
      </c>
      <c r="AS50" s="1" t="n">
        <v>1</v>
      </c>
      <c r="AT50" s="1" t="n">
        <v>1</v>
      </c>
      <c r="AU50" s="1" t="n">
        <v>1</v>
      </c>
      <c r="AV50" s="1" t="n">
        <v>1</v>
      </c>
      <c r="AW50" s="1" t="n">
        <v>1</v>
      </c>
      <c r="AX50" s="1" t="n">
        <v>1</v>
      </c>
      <c r="AY50" s="1" t="n">
        <v>1</v>
      </c>
      <c r="AZ50" s="1" t="n">
        <v>1</v>
      </c>
      <c r="BA50" s="1" t="n">
        <v>1</v>
      </c>
      <c r="BB50" s="1" t="n">
        <v>1</v>
      </c>
      <c r="BC50" s="1" t="n">
        <v>1</v>
      </c>
      <c r="BD50" s="1" t="n">
        <v>1</v>
      </c>
      <c r="BE50" s="1" t="n">
        <v>1</v>
      </c>
      <c r="BF50" s="1" t="n">
        <v>1</v>
      </c>
      <c r="BG50" s="1" t="n">
        <v>1</v>
      </c>
      <c r="BH50" s="1" t="n">
        <v>1</v>
      </c>
      <c r="BI50" s="1" t="n">
        <v>1</v>
      </c>
      <c r="BJ50" s="1" t="n">
        <v>1</v>
      </c>
      <c r="BK50" s="1" t="n">
        <v>1</v>
      </c>
    </row>
    <row r="51" customFormat="false" ht="12.75" hidden="false" customHeight="false" outlineLevel="0" collapsed="false">
      <c r="A51" s="1" t="n">
        <f aca="false">A50-1</f>
        <v>1976</v>
      </c>
      <c r="B51" s="1" t="n">
        <v>1</v>
      </c>
      <c r="C51" s="1" t="n">
        <v>1</v>
      </c>
      <c r="D51" s="1" t="n">
        <v>1</v>
      </c>
      <c r="E51" s="1" t="n">
        <v>1</v>
      </c>
      <c r="F51" s="1" t="n">
        <v>1</v>
      </c>
      <c r="G51" s="1" t="n">
        <v>1</v>
      </c>
      <c r="H51" s="1" t="n">
        <v>1</v>
      </c>
      <c r="I51" s="1" t="n">
        <v>1</v>
      </c>
      <c r="J51" s="1" t="n">
        <v>1</v>
      </c>
      <c r="K51" s="1" t="n">
        <v>1</v>
      </c>
      <c r="L51" s="1" t="n">
        <v>1</v>
      </c>
      <c r="M51" s="1" t="n">
        <v>1</v>
      </c>
      <c r="N51" s="1" t="n">
        <v>1</v>
      </c>
      <c r="O51" s="1" t="n">
        <v>1</v>
      </c>
      <c r="P51" s="1" t="n">
        <v>1</v>
      </c>
      <c r="Q51" s="1" t="n">
        <v>1</v>
      </c>
      <c r="R51" s="1" t="n">
        <v>1</v>
      </c>
      <c r="S51" s="1" t="n">
        <v>1</v>
      </c>
      <c r="T51" s="1" t="n">
        <v>1</v>
      </c>
      <c r="U51" s="1" t="n">
        <v>1</v>
      </c>
      <c r="V51" s="1" t="n">
        <v>1</v>
      </c>
      <c r="W51" s="1" t="n">
        <v>1</v>
      </c>
      <c r="X51" s="1" t="n">
        <v>1</v>
      </c>
      <c r="Y51" s="1" t="n">
        <v>1</v>
      </c>
      <c r="Z51" s="1" t="n">
        <v>1</v>
      </c>
      <c r="AA51" s="1" t="n">
        <v>1</v>
      </c>
      <c r="AB51" s="1" t="n">
        <v>1</v>
      </c>
      <c r="AC51" s="1" t="n">
        <v>1</v>
      </c>
      <c r="AD51" s="1" t="n">
        <v>1</v>
      </c>
      <c r="AE51" s="1" t="n">
        <v>1</v>
      </c>
      <c r="AF51" s="1" t="n">
        <v>1</v>
      </c>
      <c r="AG51" s="1" t="n">
        <v>1</v>
      </c>
      <c r="AH51" s="1" t="n">
        <v>1</v>
      </c>
      <c r="AI51" s="1" t="n">
        <v>1</v>
      </c>
      <c r="AJ51" s="1" t="n">
        <v>1</v>
      </c>
      <c r="AK51" s="1" t="n">
        <v>1</v>
      </c>
      <c r="AL51" s="1" t="n">
        <v>1</v>
      </c>
      <c r="AM51" s="1" t="n">
        <v>1</v>
      </c>
      <c r="AN51" s="1" t="n">
        <v>1</v>
      </c>
      <c r="AO51" s="1" t="n">
        <v>1</v>
      </c>
      <c r="AP51" s="1" t="n">
        <v>1</v>
      </c>
      <c r="AQ51" s="1" t="n">
        <v>1</v>
      </c>
      <c r="AR51" s="1" t="n">
        <v>1</v>
      </c>
      <c r="AS51" s="1" t="n">
        <v>1</v>
      </c>
      <c r="AT51" s="1" t="n">
        <v>1</v>
      </c>
      <c r="AU51" s="1" t="n">
        <v>1</v>
      </c>
      <c r="AV51" s="1" t="n">
        <v>1</v>
      </c>
      <c r="AW51" s="1" t="n">
        <v>1</v>
      </c>
      <c r="AX51" s="1" t="n">
        <v>1</v>
      </c>
      <c r="AY51" s="1" t="n">
        <v>1</v>
      </c>
      <c r="AZ51" s="1" t="n">
        <v>1</v>
      </c>
      <c r="BA51" s="1" t="n">
        <v>1</v>
      </c>
      <c r="BB51" s="1" t="n">
        <v>1</v>
      </c>
      <c r="BC51" s="1" t="n">
        <v>1</v>
      </c>
      <c r="BD51" s="1" t="n">
        <v>1</v>
      </c>
      <c r="BE51" s="1" t="n">
        <v>1</v>
      </c>
      <c r="BF51" s="1" t="n">
        <v>1</v>
      </c>
      <c r="BG51" s="1" t="n">
        <v>1</v>
      </c>
      <c r="BH51" s="1" t="n">
        <v>1</v>
      </c>
      <c r="BI51" s="1" t="n">
        <v>1</v>
      </c>
      <c r="BJ51" s="1" t="n">
        <v>1</v>
      </c>
      <c r="BK51" s="1" t="n">
        <v>1</v>
      </c>
    </row>
    <row r="52" customFormat="false" ht="12.75" hidden="false" customHeight="false" outlineLevel="0" collapsed="false">
      <c r="A52" s="1" t="n">
        <f aca="false">A51-1</f>
        <v>1975</v>
      </c>
      <c r="B52" s="1" t="n">
        <v>1</v>
      </c>
      <c r="C52" s="1" t="n">
        <v>1</v>
      </c>
      <c r="D52" s="1" t="n">
        <v>1</v>
      </c>
      <c r="E52" s="1" t="n">
        <v>1</v>
      </c>
      <c r="F52" s="1" t="n">
        <v>1</v>
      </c>
      <c r="G52" s="1" t="n">
        <v>1</v>
      </c>
      <c r="H52" s="1" t="n">
        <v>1</v>
      </c>
      <c r="I52" s="1" t="n">
        <v>1</v>
      </c>
      <c r="J52" s="1" t="n">
        <v>1</v>
      </c>
      <c r="K52" s="1" t="n">
        <v>1</v>
      </c>
      <c r="L52" s="1" t="n">
        <v>1</v>
      </c>
      <c r="M52" s="1" t="n">
        <v>1</v>
      </c>
      <c r="N52" s="1" t="n">
        <v>1</v>
      </c>
      <c r="O52" s="1" t="n">
        <v>1</v>
      </c>
      <c r="P52" s="1" t="n">
        <v>1</v>
      </c>
      <c r="Q52" s="1" t="n">
        <v>1</v>
      </c>
      <c r="R52" s="1" t="n">
        <v>1</v>
      </c>
      <c r="S52" s="1" t="n">
        <v>1</v>
      </c>
      <c r="T52" s="1" t="n">
        <v>1</v>
      </c>
      <c r="U52" s="1" t="n">
        <v>1</v>
      </c>
      <c r="V52" s="1" t="n">
        <v>1</v>
      </c>
      <c r="W52" s="1" t="n">
        <v>1</v>
      </c>
      <c r="X52" s="1" t="n">
        <v>1</v>
      </c>
      <c r="Y52" s="1" t="n">
        <v>1</v>
      </c>
      <c r="Z52" s="1" t="n">
        <v>1</v>
      </c>
      <c r="AA52" s="1" t="n">
        <v>1</v>
      </c>
      <c r="AB52" s="1" t="n">
        <v>1</v>
      </c>
      <c r="AC52" s="1" t="n">
        <v>1</v>
      </c>
      <c r="AD52" s="1" t="n">
        <v>1</v>
      </c>
      <c r="AE52" s="1" t="n">
        <v>1</v>
      </c>
      <c r="AF52" s="1" t="n">
        <v>1</v>
      </c>
      <c r="AG52" s="1" t="n">
        <v>1</v>
      </c>
      <c r="AH52" s="1" t="n">
        <v>1</v>
      </c>
      <c r="AI52" s="1" t="n">
        <v>1</v>
      </c>
      <c r="AJ52" s="1" t="n">
        <v>1</v>
      </c>
      <c r="AK52" s="1" t="n">
        <v>1</v>
      </c>
      <c r="AL52" s="1" t="n">
        <v>1</v>
      </c>
      <c r="AM52" s="1" t="n">
        <v>1</v>
      </c>
      <c r="AN52" s="1" t="n">
        <v>1</v>
      </c>
      <c r="AO52" s="1" t="n">
        <v>1</v>
      </c>
      <c r="AP52" s="1" t="n">
        <v>1</v>
      </c>
      <c r="AQ52" s="1" t="n">
        <v>1</v>
      </c>
      <c r="AR52" s="1" t="n">
        <v>1</v>
      </c>
      <c r="AS52" s="1" t="n">
        <v>1</v>
      </c>
      <c r="AT52" s="1" t="n">
        <v>1</v>
      </c>
      <c r="AU52" s="1" t="n">
        <v>1</v>
      </c>
      <c r="AV52" s="1" t="n">
        <v>1</v>
      </c>
      <c r="AW52" s="1" t="n">
        <v>1</v>
      </c>
      <c r="AX52" s="1" t="n">
        <v>1</v>
      </c>
      <c r="AY52" s="1" t="n">
        <v>1</v>
      </c>
      <c r="AZ52" s="1" t="n">
        <v>1</v>
      </c>
      <c r="BA52" s="1" t="n">
        <v>1</v>
      </c>
      <c r="BB52" s="1" t="n">
        <v>1</v>
      </c>
      <c r="BC52" s="1" t="n">
        <v>1</v>
      </c>
      <c r="BD52" s="1" t="n">
        <v>1</v>
      </c>
      <c r="BE52" s="1" t="n">
        <v>1</v>
      </c>
      <c r="BF52" s="1" t="n">
        <v>1</v>
      </c>
      <c r="BG52" s="1" t="n">
        <v>1</v>
      </c>
      <c r="BH52" s="1" t="n">
        <v>1</v>
      </c>
      <c r="BI52" s="1" t="n">
        <v>1</v>
      </c>
      <c r="BJ52" s="1" t="n">
        <v>1</v>
      </c>
      <c r="BK52" s="1" t="n">
        <v>1</v>
      </c>
    </row>
    <row r="53" customFormat="false" ht="12.75" hidden="false" customHeight="false" outlineLevel="0" collapsed="false">
      <c r="A53" s="1" t="n">
        <f aca="false">A52-1</f>
        <v>1974</v>
      </c>
      <c r="B53" s="1" t="n">
        <v>1</v>
      </c>
      <c r="C53" s="1" t="n">
        <v>1</v>
      </c>
      <c r="D53" s="1" t="n">
        <v>1</v>
      </c>
      <c r="E53" s="1" t="n">
        <v>1</v>
      </c>
      <c r="F53" s="1" t="n">
        <v>1</v>
      </c>
      <c r="G53" s="1" t="n">
        <v>1</v>
      </c>
      <c r="H53" s="1" t="n">
        <v>1</v>
      </c>
      <c r="I53" s="1" t="n">
        <v>1</v>
      </c>
      <c r="J53" s="1" t="n">
        <v>1</v>
      </c>
      <c r="K53" s="1" t="n">
        <v>1</v>
      </c>
      <c r="L53" s="1" t="n">
        <v>1</v>
      </c>
      <c r="M53" s="1" t="n">
        <v>1</v>
      </c>
      <c r="N53" s="1" t="n">
        <v>1</v>
      </c>
      <c r="O53" s="1" t="n">
        <v>1</v>
      </c>
      <c r="P53" s="1" t="n">
        <v>1</v>
      </c>
      <c r="Q53" s="1" t="n">
        <v>1</v>
      </c>
      <c r="R53" s="1" t="n">
        <v>1</v>
      </c>
      <c r="S53" s="1" t="n">
        <v>1</v>
      </c>
      <c r="T53" s="1" t="n">
        <v>1</v>
      </c>
      <c r="U53" s="1" t="n">
        <v>1</v>
      </c>
      <c r="V53" s="1" t="n">
        <v>1</v>
      </c>
      <c r="W53" s="1" t="n">
        <v>1</v>
      </c>
      <c r="X53" s="1" t="n">
        <v>1</v>
      </c>
      <c r="Y53" s="1" t="n">
        <v>1</v>
      </c>
      <c r="Z53" s="1" t="n">
        <v>1</v>
      </c>
      <c r="AA53" s="1" t="n">
        <v>1</v>
      </c>
      <c r="AB53" s="1" t="n">
        <v>1</v>
      </c>
      <c r="AC53" s="1" t="n">
        <v>1</v>
      </c>
      <c r="AD53" s="1" t="n">
        <v>1</v>
      </c>
      <c r="AE53" s="1" t="n">
        <v>1</v>
      </c>
      <c r="AF53" s="1" t="n">
        <v>1</v>
      </c>
      <c r="AG53" s="1" t="n">
        <v>1</v>
      </c>
      <c r="AH53" s="1" t="n">
        <v>1</v>
      </c>
      <c r="AI53" s="1" t="n">
        <v>1</v>
      </c>
      <c r="AJ53" s="1" t="n">
        <v>1</v>
      </c>
      <c r="AK53" s="1" t="n">
        <v>1</v>
      </c>
      <c r="AL53" s="1" t="n">
        <v>1</v>
      </c>
      <c r="AM53" s="1" t="n">
        <v>1</v>
      </c>
      <c r="AN53" s="1" t="n">
        <v>1</v>
      </c>
      <c r="AO53" s="1" t="n">
        <v>1</v>
      </c>
      <c r="AP53" s="1" t="n">
        <v>1</v>
      </c>
      <c r="AQ53" s="1" t="n">
        <v>1</v>
      </c>
      <c r="AR53" s="1" t="n">
        <v>1</v>
      </c>
      <c r="AS53" s="1" t="n">
        <v>1</v>
      </c>
      <c r="AT53" s="1" t="n">
        <v>1</v>
      </c>
      <c r="AU53" s="1" t="n">
        <v>1</v>
      </c>
      <c r="AV53" s="1" t="n">
        <v>1</v>
      </c>
      <c r="AW53" s="1" t="n">
        <v>1</v>
      </c>
      <c r="AX53" s="1" t="n">
        <v>1</v>
      </c>
      <c r="AY53" s="1" t="n">
        <v>1</v>
      </c>
      <c r="AZ53" s="1" t="n">
        <v>1</v>
      </c>
      <c r="BA53" s="1" t="n">
        <v>1</v>
      </c>
      <c r="BB53" s="1" t="n">
        <v>1</v>
      </c>
      <c r="BC53" s="1" t="n">
        <v>1</v>
      </c>
      <c r="BD53" s="1" t="n">
        <v>1</v>
      </c>
      <c r="BE53" s="1" t="n">
        <v>1</v>
      </c>
      <c r="BF53" s="1" t="n">
        <v>1</v>
      </c>
      <c r="BG53" s="1" t="n">
        <v>1</v>
      </c>
      <c r="BH53" s="1" t="n">
        <v>1</v>
      </c>
      <c r="BI53" s="1" t="n">
        <v>1</v>
      </c>
      <c r="BJ53" s="1" t="n">
        <v>1</v>
      </c>
      <c r="BK53" s="1" t="n">
        <v>1</v>
      </c>
    </row>
    <row r="54" customFormat="false" ht="12.75" hidden="false" customHeight="false" outlineLevel="0" collapsed="false">
      <c r="A54" s="1" t="n">
        <f aca="false">A53-1</f>
        <v>1973</v>
      </c>
      <c r="B54" s="1" t="n">
        <v>1</v>
      </c>
      <c r="C54" s="1" t="n">
        <v>1</v>
      </c>
      <c r="D54" s="1" t="n">
        <v>1</v>
      </c>
      <c r="E54" s="1" t="n">
        <v>1</v>
      </c>
      <c r="F54" s="1" t="n">
        <v>1</v>
      </c>
      <c r="G54" s="1" t="n">
        <v>1</v>
      </c>
      <c r="H54" s="1" t="n">
        <v>1</v>
      </c>
      <c r="I54" s="1" t="n">
        <v>1</v>
      </c>
      <c r="J54" s="1" t="n">
        <v>1</v>
      </c>
      <c r="K54" s="1" t="n">
        <v>1</v>
      </c>
      <c r="L54" s="1" t="n">
        <v>1</v>
      </c>
      <c r="M54" s="1" t="n">
        <v>1</v>
      </c>
      <c r="N54" s="1" t="n">
        <v>1</v>
      </c>
      <c r="O54" s="1" t="n">
        <v>1</v>
      </c>
      <c r="P54" s="1" t="n">
        <v>1</v>
      </c>
      <c r="Q54" s="1" t="n">
        <v>1</v>
      </c>
      <c r="R54" s="1" t="n">
        <v>1</v>
      </c>
      <c r="S54" s="1" t="n">
        <v>1</v>
      </c>
      <c r="T54" s="1" t="n">
        <v>1</v>
      </c>
      <c r="U54" s="1" t="n">
        <v>1</v>
      </c>
      <c r="V54" s="1" t="n">
        <v>1</v>
      </c>
      <c r="W54" s="1" t="n">
        <v>1</v>
      </c>
      <c r="X54" s="1" t="n">
        <v>1</v>
      </c>
      <c r="Y54" s="1" t="n">
        <v>1</v>
      </c>
      <c r="Z54" s="1" t="n">
        <v>1</v>
      </c>
      <c r="AA54" s="1" t="n">
        <v>1</v>
      </c>
      <c r="AB54" s="1" t="n">
        <v>1</v>
      </c>
      <c r="AC54" s="1" t="n">
        <v>1</v>
      </c>
      <c r="AD54" s="1" t="n">
        <v>1</v>
      </c>
      <c r="AE54" s="1" t="n">
        <v>1</v>
      </c>
      <c r="AF54" s="1" t="n">
        <v>1</v>
      </c>
      <c r="AG54" s="1" t="n">
        <v>1</v>
      </c>
      <c r="AH54" s="1" t="n">
        <v>1</v>
      </c>
      <c r="AI54" s="1" t="n">
        <v>1</v>
      </c>
      <c r="AJ54" s="1" t="n">
        <v>1</v>
      </c>
      <c r="AK54" s="1" t="n">
        <v>1</v>
      </c>
      <c r="AL54" s="1" t="n">
        <v>1</v>
      </c>
      <c r="AM54" s="1" t="n">
        <v>1</v>
      </c>
      <c r="AN54" s="1" t="n">
        <v>1</v>
      </c>
      <c r="AO54" s="1" t="n">
        <v>1</v>
      </c>
      <c r="AP54" s="1" t="n">
        <v>1</v>
      </c>
      <c r="AQ54" s="1" t="n">
        <v>1</v>
      </c>
      <c r="AR54" s="1" t="n">
        <v>1</v>
      </c>
      <c r="AS54" s="1" t="n">
        <v>1</v>
      </c>
      <c r="AT54" s="1" t="n">
        <v>1</v>
      </c>
      <c r="AU54" s="1" t="n">
        <v>1</v>
      </c>
      <c r="AV54" s="1" t="n">
        <v>1</v>
      </c>
      <c r="AW54" s="1" t="n">
        <v>1</v>
      </c>
      <c r="AX54" s="1" t="n">
        <v>1</v>
      </c>
      <c r="AY54" s="1" t="n">
        <v>1</v>
      </c>
      <c r="AZ54" s="1" t="n">
        <v>1</v>
      </c>
      <c r="BA54" s="1" t="n">
        <v>1</v>
      </c>
      <c r="BB54" s="1" t="n">
        <v>1</v>
      </c>
      <c r="BC54" s="1" t="n">
        <v>1</v>
      </c>
      <c r="BD54" s="1" t="n">
        <v>1</v>
      </c>
      <c r="BE54" s="1" t="n">
        <v>1</v>
      </c>
      <c r="BF54" s="1" t="n">
        <v>1</v>
      </c>
      <c r="BG54" s="1" t="n">
        <v>1</v>
      </c>
      <c r="BH54" s="1" t="n">
        <v>1</v>
      </c>
      <c r="BI54" s="1" t="n">
        <v>1</v>
      </c>
      <c r="BJ54" s="1" t="n">
        <v>1</v>
      </c>
      <c r="BK54" s="1" t="n">
        <v>1</v>
      </c>
    </row>
    <row r="55" customFormat="false" ht="12.75" hidden="false" customHeight="false" outlineLevel="0" collapsed="false">
      <c r="A55" s="1" t="n">
        <f aca="false">A54-1</f>
        <v>1972</v>
      </c>
      <c r="B55" s="1" t="n">
        <v>1</v>
      </c>
      <c r="C55" s="1" t="n">
        <v>1</v>
      </c>
      <c r="D55" s="1" t="n">
        <v>1</v>
      </c>
      <c r="E55" s="1" t="n">
        <v>1</v>
      </c>
      <c r="F55" s="1" t="n">
        <v>1</v>
      </c>
      <c r="G55" s="1" t="n">
        <v>1</v>
      </c>
      <c r="H55" s="1" t="n">
        <v>1</v>
      </c>
      <c r="I55" s="1" t="n">
        <v>1</v>
      </c>
      <c r="J55" s="1" t="n">
        <v>1</v>
      </c>
      <c r="K55" s="1" t="n">
        <v>1</v>
      </c>
      <c r="L55" s="1" t="n">
        <v>1</v>
      </c>
      <c r="M55" s="1" t="n">
        <v>1</v>
      </c>
      <c r="N55" s="1" t="n">
        <v>1</v>
      </c>
      <c r="O55" s="1" t="n">
        <v>1</v>
      </c>
      <c r="P55" s="1" t="n">
        <v>1</v>
      </c>
      <c r="Q55" s="1" t="n">
        <v>1</v>
      </c>
      <c r="R55" s="1" t="n">
        <v>1</v>
      </c>
      <c r="S55" s="1" t="n">
        <v>1</v>
      </c>
      <c r="T55" s="1" t="n">
        <v>1</v>
      </c>
      <c r="U55" s="1" t="n">
        <v>1</v>
      </c>
      <c r="V55" s="1" t="n">
        <v>1</v>
      </c>
      <c r="W55" s="1" t="n">
        <v>1</v>
      </c>
      <c r="X55" s="1" t="n">
        <v>1</v>
      </c>
      <c r="Y55" s="1" t="n">
        <v>1</v>
      </c>
      <c r="Z55" s="1" t="n">
        <v>1</v>
      </c>
      <c r="AA55" s="1" t="n">
        <v>1</v>
      </c>
      <c r="AB55" s="1" t="n">
        <v>1</v>
      </c>
      <c r="AC55" s="1" t="n">
        <v>1</v>
      </c>
      <c r="AD55" s="1" t="n">
        <v>1</v>
      </c>
      <c r="AE55" s="1" t="n">
        <v>1</v>
      </c>
      <c r="AF55" s="1" t="n">
        <v>1</v>
      </c>
      <c r="AG55" s="1" t="n">
        <v>1</v>
      </c>
      <c r="AH55" s="1" t="n">
        <v>1</v>
      </c>
      <c r="AI55" s="1" t="n">
        <v>1</v>
      </c>
      <c r="AJ55" s="1" t="n">
        <v>1</v>
      </c>
      <c r="AK55" s="1" t="n">
        <v>1</v>
      </c>
      <c r="AL55" s="1" t="n">
        <v>1</v>
      </c>
      <c r="AM55" s="1" t="n">
        <v>1</v>
      </c>
      <c r="AN55" s="1" t="n">
        <v>1</v>
      </c>
      <c r="AO55" s="1" t="n">
        <v>1</v>
      </c>
      <c r="AP55" s="1" t="n">
        <v>1</v>
      </c>
      <c r="AQ55" s="1" t="n">
        <v>1</v>
      </c>
      <c r="AR55" s="1" t="n">
        <v>1</v>
      </c>
      <c r="AS55" s="1" t="n">
        <v>1</v>
      </c>
      <c r="AT55" s="1" t="n">
        <v>1</v>
      </c>
      <c r="AU55" s="1" t="n">
        <v>1</v>
      </c>
      <c r="AV55" s="1" t="n">
        <v>1</v>
      </c>
      <c r="AW55" s="1" t="n">
        <v>1</v>
      </c>
      <c r="AX55" s="1" t="n">
        <v>1</v>
      </c>
      <c r="AY55" s="1" t="n">
        <v>1</v>
      </c>
      <c r="AZ55" s="1" t="n">
        <v>1</v>
      </c>
      <c r="BA55" s="1" t="n">
        <v>1</v>
      </c>
      <c r="BB55" s="1" t="n">
        <v>1</v>
      </c>
      <c r="BC55" s="1" t="n">
        <v>1</v>
      </c>
      <c r="BD55" s="1" t="n">
        <v>1</v>
      </c>
      <c r="BE55" s="1" t="n">
        <v>1</v>
      </c>
      <c r="BF55" s="1" t="n">
        <v>1</v>
      </c>
      <c r="BG55" s="1" t="n">
        <v>1</v>
      </c>
      <c r="BH55" s="1" t="n">
        <v>1</v>
      </c>
      <c r="BI55" s="1" t="n">
        <v>1</v>
      </c>
      <c r="BJ55" s="1" t="n">
        <v>1</v>
      </c>
      <c r="BK55" s="1" t="n">
        <v>1</v>
      </c>
    </row>
    <row r="56" customFormat="false" ht="12.75" hidden="false" customHeight="false" outlineLevel="0" collapsed="false">
      <c r="A56" s="1" t="n">
        <f aca="false">A55-1</f>
        <v>1971</v>
      </c>
      <c r="B56" s="1" t="n">
        <v>1</v>
      </c>
      <c r="C56" s="1" t="n">
        <v>1</v>
      </c>
      <c r="D56" s="1" t="n">
        <v>1</v>
      </c>
      <c r="E56" s="1" t="n">
        <v>1</v>
      </c>
      <c r="F56" s="1" t="n">
        <v>1</v>
      </c>
      <c r="G56" s="1" t="n">
        <v>1</v>
      </c>
      <c r="H56" s="1" t="n">
        <v>1</v>
      </c>
      <c r="I56" s="1" t="n">
        <v>1</v>
      </c>
      <c r="J56" s="1" t="n">
        <v>1</v>
      </c>
      <c r="K56" s="1" t="n">
        <v>1</v>
      </c>
      <c r="L56" s="1" t="n">
        <v>1</v>
      </c>
      <c r="M56" s="1" t="n">
        <v>1</v>
      </c>
      <c r="N56" s="1" t="n">
        <v>1</v>
      </c>
      <c r="O56" s="1" t="n">
        <v>1</v>
      </c>
      <c r="P56" s="1" t="n">
        <v>1</v>
      </c>
      <c r="Q56" s="1" t="n">
        <v>1</v>
      </c>
      <c r="R56" s="1" t="n">
        <v>1</v>
      </c>
      <c r="S56" s="1" t="n">
        <v>1</v>
      </c>
      <c r="T56" s="1" t="n">
        <v>1</v>
      </c>
      <c r="U56" s="1" t="n">
        <v>1</v>
      </c>
      <c r="V56" s="1" t="n">
        <v>1</v>
      </c>
      <c r="W56" s="1" t="n">
        <v>1</v>
      </c>
      <c r="X56" s="1" t="n">
        <v>1</v>
      </c>
      <c r="Y56" s="1" t="n">
        <v>1</v>
      </c>
      <c r="Z56" s="1" t="n">
        <v>1</v>
      </c>
      <c r="AA56" s="1" t="n">
        <v>1</v>
      </c>
      <c r="AB56" s="1" t="n">
        <v>1</v>
      </c>
      <c r="AC56" s="1" t="n">
        <v>1</v>
      </c>
      <c r="AD56" s="1" t="n">
        <v>1</v>
      </c>
      <c r="AE56" s="1" t="n">
        <v>1</v>
      </c>
      <c r="AF56" s="1" t="n">
        <v>1</v>
      </c>
      <c r="AG56" s="1" t="n">
        <v>1</v>
      </c>
      <c r="AH56" s="1" t="n">
        <v>1</v>
      </c>
      <c r="AI56" s="1" t="n">
        <v>1</v>
      </c>
      <c r="AJ56" s="1" t="n">
        <v>1</v>
      </c>
      <c r="AK56" s="1" t="n">
        <v>1</v>
      </c>
      <c r="AL56" s="1" t="n">
        <v>1</v>
      </c>
      <c r="AM56" s="1" t="n">
        <v>1</v>
      </c>
      <c r="AN56" s="1" t="n">
        <v>1</v>
      </c>
      <c r="AO56" s="1" t="n">
        <v>1</v>
      </c>
      <c r="AP56" s="1" t="n">
        <v>1</v>
      </c>
      <c r="AQ56" s="1" t="n">
        <v>1</v>
      </c>
      <c r="AR56" s="1" t="n">
        <v>1</v>
      </c>
      <c r="AS56" s="1" t="n">
        <v>1</v>
      </c>
      <c r="AT56" s="1" t="n">
        <v>1</v>
      </c>
      <c r="AU56" s="1" t="n">
        <v>1</v>
      </c>
      <c r="AV56" s="1" t="n">
        <v>1</v>
      </c>
      <c r="AW56" s="1" t="n">
        <v>1</v>
      </c>
      <c r="AX56" s="1" t="n">
        <v>1</v>
      </c>
      <c r="AY56" s="1" t="n">
        <v>1</v>
      </c>
      <c r="AZ56" s="1" t="n">
        <v>1</v>
      </c>
      <c r="BA56" s="1" t="n">
        <v>1</v>
      </c>
      <c r="BB56" s="1" t="n">
        <v>1</v>
      </c>
      <c r="BC56" s="1" t="n">
        <v>1</v>
      </c>
      <c r="BD56" s="1" t="n">
        <v>1</v>
      </c>
      <c r="BE56" s="1" t="n">
        <v>1</v>
      </c>
      <c r="BF56" s="1" t="n">
        <v>1</v>
      </c>
      <c r="BG56" s="1" t="n">
        <v>1</v>
      </c>
      <c r="BH56" s="1" t="n">
        <v>1</v>
      </c>
      <c r="BI56" s="1" t="n">
        <v>1</v>
      </c>
      <c r="BJ56" s="1" t="n">
        <v>1</v>
      </c>
      <c r="BK56" s="1" t="n">
        <v>1</v>
      </c>
    </row>
    <row r="57" customFormat="false" ht="12.75" hidden="false" customHeight="false" outlineLevel="0" collapsed="false">
      <c r="A57" s="1" t="n">
        <f aca="false">A56-1</f>
        <v>1970</v>
      </c>
      <c r="B57" s="1" t="n">
        <v>1</v>
      </c>
      <c r="C57" s="1" t="n">
        <v>1</v>
      </c>
      <c r="D57" s="1" t="n">
        <v>1</v>
      </c>
      <c r="E57" s="1" t="n">
        <v>1</v>
      </c>
      <c r="F57" s="1" t="n">
        <v>1</v>
      </c>
      <c r="G57" s="1" t="n">
        <v>1</v>
      </c>
      <c r="H57" s="1" t="n">
        <v>1</v>
      </c>
      <c r="I57" s="1" t="n">
        <v>1</v>
      </c>
      <c r="J57" s="1" t="n">
        <v>1</v>
      </c>
      <c r="K57" s="1" t="n">
        <v>1</v>
      </c>
      <c r="L57" s="1" t="n">
        <v>1</v>
      </c>
      <c r="M57" s="1" t="n">
        <v>1</v>
      </c>
      <c r="N57" s="1" t="n">
        <v>1</v>
      </c>
      <c r="O57" s="1" t="n">
        <v>1</v>
      </c>
      <c r="P57" s="1" t="n">
        <v>1</v>
      </c>
      <c r="Q57" s="1" t="n">
        <v>1</v>
      </c>
      <c r="R57" s="1" t="n">
        <v>1</v>
      </c>
      <c r="S57" s="1" t="n">
        <v>1</v>
      </c>
      <c r="T57" s="1" t="n">
        <v>1</v>
      </c>
      <c r="U57" s="1" t="n">
        <v>1</v>
      </c>
      <c r="V57" s="1" t="n">
        <v>1</v>
      </c>
      <c r="W57" s="1" t="n">
        <v>1</v>
      </c>
      <c r="X57" s="1" t="n">
        <v>1</v>
      </c>
      <c r="Y57" s="1" t="n">
        <v>1</v>
      </c>
      <c r="Z57" s="1" t="n">
        <v>1</v>
      </c>
      <c r="AA57" s="1" t="n">
        <v>1</v>
      </c>
      <c r="AB57" s="1" t="n">
        <v>1</v>
      </c>
      <c r="AC57" s="1" t="n">
        <v>1</v>
      </c>
      <c r="AD57" s="1" t="n">
        <v>1</v>
      </c>
      <c r="AE57" s="1" t="n">
        <v>1</v>
      </c>
      <c r="AF57" s="1" t="n">
        <v>1</v>
      </c>
      <c r="AG57" s="1" t="n">
        <v>1</v>
      </c>
      <c r="AH57" s="1" t="n">
        <v>1</v>
      </c>
      <c r="AI57" s="1" t="n">
        <v>1</v>
      </c>
      <c r="AJ57" s="1" t="n">
        <v>1</v>
      </c>
      <c r="AK57" s="1" t="n">
        <v>1</v>
      </c>
      <c r="AL57" s="1" t="n">
        <v>1</v>
      </c>
      <c r="AM57" s="1" t="n">
        <v>1</v>
      </c>
      <c r="AN57" s="1" t="n">
        <v>1</v>
      </c>
      <c r="AO57" s="1" t="n">
        <v>1</v>
      </c>
      <c r="AP57" s="1" t="n">
        <v>1</v>
      </c>
      <c r="AQ57" s="1" t="n">
        <v>1</v>
      </c>
      <c r="AR57" s="1" t="n">
        <v>1</v>
      </c>
      <c r="AS57" s="1" t="n">
        <v>1</v>
      </c>
      <c r="AT57" s="1" t="n">
        <v>1</v>
      </c>
      <c r="AU57" s="1" t="n">
        <v>1</v>
      </c>
      <c r="AV57" s="1" t="n">
        <v>1</v>
      </c>
      <c r="AW57" s="1" t="n">
        <v>1</v>
      </c>
      <c r="AX57" s="1" t="n">
        <v>1</v>
      </c>
      <c r="AY57" s="1" t="n">
        <v>1</v>
      </c>
      <c r="AZ57" s="1" t="n">
        <v>1</v>
      </c>
      <c r="BA57" s="1" t="n">
        <v>1</v>
      </c>
      <c r="BB57" s="1" t="n">
        <v>1</v>
      </c>
      <c r="BC57" s="1" t="n">
        <v>1</v>
      </c>
      <c r="BD57" s="1" t="n">
        <v>1</v>
      </c>
      <c r="BE57" s="1" t="n">
        <v>1</v>
      </c>
      <c r="BF57" s="1" t="n">
        <v>1</v>
      </c>
      <c r="BG57" s="1" t="n">
        <v>1</v>
      </c>
      <c r="BH57" s="1" t="n">
        <v>1</v>
      </c>
      <c r="BI57" s="1" t="n">
        <v>1</v>
      </c>
      <c r="BJ57" s="1" t="n">
        <v>1</v>
      </c>
      <c r="BK57" s="1" t="n">
        <v>1</v>
      </c>
    </row>
    <row r="58" customFormat="false" ht="12.75" hidden="false" customHeight="false" outlineLevel="0" collapsed="false">
      <c r="A58" s="1" t="n">
        <f aca="false">A57-1</f>
        <v>1969</v>
      </c>
      <c r="B58" s="1" t="n">
        <v>1</v>
      </c>
      <c r="C58" s="1" t="n">
        <v>1</v>
      </c>
      <c r="D58" s="1" t="n">
        <v>1</v>
      </c>
      <c r="E58" s="1" t="n">
        <v>1</v>
      </c>
      <c r="F58" s="1" t="n">
        <v>1</v>
      </c>
      <c r="G58" s="1" t="n">
        <v>1</v>
      </c>
      <c r="H58" s="1" t="n">
        <v>1</v>
      </c>
      <c r="I58" s="1" t="n">
        <v>1</v>
      </c>
      <c r="J58" s="1" t="n">
        <v>1</v>
      </c>
      <c r="K58" s="1" t="n">
        <v>1</v>
      </c>
      <c r="L58" s="1" t="n">
        <v>1</v>
      </c>
      <c r="M58" s="1" t="n">
        <v>1</v>
      </c>
      <c r="N58" s="1" t="n">
        <v>1</v>
      </c>
      <c r="O58" s="1" t="n">
        <v>1</v>
      </c>
      <c r="P58" s="1" t="n">
        <v>1</v>
      </c>
      <c r="Q58" s="1" t="n">
        <v>1</v>
      </c>
      <c r="R58" s="1" t="n">
        <v>1</v>
      </c>
      <c r="S58" s="1" t="n">
        <v>1</v>
      </c>
      <c r="T58" s="1" t="n">
        <v>1</v>
      </c>
      <c r="U58" s="1" t="n">
        <v>1</v>
      </c>
      <c r="V58" s="1" t="n">
        <v>1</v>
      </c>
      <c r="W58" s="1" t="n">
        <v>1</v>
      </c>
      <c r="X58" s="1" t="n">
        <v>1</v>
      </c>
      <c r="Y58" s="1" t="n">
        <v>1</v>
      </c>
      <c r="Z58" s="1" t="n">
        <v>1</v>
      </c>
      <c r="AA58" s="1" t="n">
        <v>1</v>
      </c>
      <c r="AB58" s="1" t="n">
        <v>1</v>
      </c>
      <c r="AC58" s="1" t="n">
        <v>1</v>
      </c>
      <c r="AD58" s="1" t="n">
        <v>1</v>
      </c>
      <c r="AE58" s="1" t="n">
        <v>1</v>
      </c>
      <c r="AF58" s="1" t="n">
        <v>1</v>
      </c>
      <c r="AG58" s="1" t="n">
        <v>1</v>
      </c>
      <c r="AH58" s="1" t="n">
        <v>1</v>
      </c>
      <c r="AI58" s="1" t="n">
        <v>1</v>
      </c>
      <c r="AJ58" s="1" t="n">
        <v>1</v>
      </c>
      <c r="AK58" s="1" t="n">
        <v>1</v>
      </c>
      <c r="AL58" s="1" t="n">
        <v>1</v>
      </c>
      <c r="AM58" s="1" t="n">
        <v>1</v>
      </c>
      <c r="AN58" s="1" t="n">
        <v>1</v>
      </c>
      <c r="AO58" s="1" t="n">
        <v>1</v>
      </c>
      <c r="AP58" s="1" t="n">
        <v>1</v>
      </c>
      <c r="AQ58" s="1" t="n">
        <v>1</v>
      </c>
      <c r="AR58" s="1" t="n">
        <v>1</v>
      </c>
      <c r="AS58" s="1" t="n">
        <v>1</v>
      </c>
      <c r="AT58" s="1" t="n">
        <v>1</v>
      </c>
      <c r="AU58" s="1" t="n">
        <v>1</v>
      </c>
      <c r="AV58" s="1" t="n">
        <v>1</v>
      </c>
      <c r="AW58" s="1" t="n">
        <v>1</v>
      </c>
      <c r="AX58" s="1" t="n">
        <v>1</v>
      </c>
      <c r="AY58" s="1" t="n">
        <v>1</v>
      </c>
      <c r="AZ58" s="1" t="n">
        <v>1</v>
      </c>
      <c r="BA58" s="1" t="n">
        <v>1</v>
      </c>
      <c r="BB58" s="1" t="n">
        <v>1</v>
      </c>
      <c r="BC58" s="1" t="n">
        <v>1</v>
      </c>
      <c r="BD58" s="1" t="n">
        <v>1</v>
      </c>
      <c r="BE58" s="1" t="n">
        <v>1</v>
      </c>
      <c r="BF58" s="1" t="n">
        <v>1</v>
      </c>
      <c r="BG58" s="1" t="n">
        <v>1</v>
      </c>
      <c r="BH58" s="1" t="n">
        <v>1</v>
      </c>
      <c r="BI58" s="1" t="n">
        <v>1</v>
      </c>
      <c r="BJ58" s="1" t="n">
        <v>1</v>
      </c>
      <c r="BK58" s="1" t="n">
        <v>1</v>
      </c>
    </row>
    <row r="59" customFormat="false" ht="12.75" hidden="false" customHeight="false" outlineLevel="0" collapsed="false">
      <c r="A59" s="1" t="n">
        <f aca="false">A58-1</f>
        <v>1968</v>
      </c>
      <c r="B59" s="1" t="n">
        <v>1</v>
      </c>
      <c r="C59" s="1" t="n">
        <v>1</v>
      </c>
      <c r="D59" s="1" t="n">
        <v>1</v>
      </c>
      <c r="E59" s="1" t="n">
        <v>1</v>
      </c>
      <c r="F59" s="1" t="n">
        <v>1</v>
      </c>
      <c r="G59" s="1" t="n">
        <v>1</v>
      </c>
      <c r="H59" s="1" t="n">
        <v>1</v>
      </c>
      <c r="I59" s="1" t="n">
        <v>1</v>
      </c>
      <c r="J59" s="1" t="n">
        <v>1</v>
      </c>
      <c r="K59" s="1" t="n">
        <v>1</v>
      </c>
      <c r="L59" s="1" t="n">
        <v>1</v>
      </c>
      <c r="M59" s="1" t="n">
        <v>1</v>
      </c>
      <c r="N59" s="1" t="n">
        <v>1</v>
      </c>
      <c r="O59" s="1" t="n">
        <v>1</v>
      </c>
      <c r="P59" s="1" t="n">
        <v>1</v>
      </c>
      <c r="Q59" s="1" t="n">
        <v>1</v>
      </c>
      <c r="R59" s="1" t="n">
        <v>1</v>
      </c>
      <c r="S59" s="1" t="n">
        <v>1</v>
      </c>
      <c r="T59" s="1" t="n">
        <v>1</v>
      </c>
      <c r="U59" s="1" t="n">
        <v>1</v>
      </c>
      <c r="V59" s="1" t="n">
        <v>1</v>
      </c>
      <c r="W59" s="1" t="n">
        <v>1</v>
      </c>
      <c r="X59" s="1" t="n">
        <v>1</v>
      </c>
      <c r="Y59" s="1" t="n">
        <v>1</v>
      </c>
      <c r="Z59" s="1" t="n">
        <v>1</v>
      </c>
      <c r="AA59" s="1" t="n">
        <v>1</v>
      </c>
      <c r="AB59" s="1" t="n">
        <v>1</v>
      </c>
      <c r="AC59" s="1" t="n">
        <v>1</v>
      </c>
      <c r="AD59" s="1" t="n">
        <v>1</v>
      </c>
      <c r="AE59" s="1" t="n">
        <v>1</v>
      </c>
      <c r="AF59" s="1" t="n">
        <v>1</v>
      </c>
      <c r="AG59" s="1" t="n">
        <v>1</v>
      </c>
      <c r="AH59" s="1" t="n">
        <v>1</v>
      </c>
      <c r="AI59" s="1" t="n">
        <v>1</v>
      </c>
      <c r="AJ59" s="1" t="n">
        <v>1</v>
      </c>
      <c r="AK59" s="1" t="n">
        <v>1</v>
      </c>
      <c r="AL59" s="1" t="n">
        <v>1</v>
      </c>
      <c r="AM59" s="1" t="n">
        <v>1</v>
      </c>
      <c r="AN59" s="1" t="n">
        <v>1</v>
      </c>
      <c r="AO59" s="1" t="n">
        <v>1</v>
      </c>
      <c r="AP59" s="1" t="n">
        <v>1</v>
      </c>
      <c r="AQ59" s="1" t="n">
        <v>1</v>
      </c>
      <c r="AR59" s="1" t="n">
        <v>1</v>
      </c>
      <c r="AS59" s="1" t="n">
        <v>1</v>
      </c>
      <c r="AT59" s="1" t="n">
        <v>1</v>
      </c>
      <c r="AU59" s="1" t="n">
        <v>1</v>
      </c>
      <c r="AV59" s="1" t="n">
        <v>1</v>
      </c>
      <c r="AW59" s="1" t="n">
        <v>1</v>
      </c>
      <c r="AX59" s="1" t="n">
        <v>1</v>
      </c>
      <c r="AY59" s="1" t="n">
        <v>1</v>
      </c>
      <c r="AZ59" s="1" t="n">
        <v>1</v>
      </c>
      <c r="BA59" s="1" t="n">
        <v>1</v>
      </c>
      <c r="BB59" s="1" t="n">
        <v>1</v>
      </c>
      <c r="BC59" s="1" t="n">
        <v>1</v>
      </c>
      <c r="BD59" s="1" t="n">
        <v>1</v>
      </c>
      <c r="BE59" s="1" t="n">
        <v>1</v>
      </c>
      <c r="BF59" s="1" t="n">
        <v>1</v>
      </c>
      <c r="BG59" s="1" t="n">
        <v>1</v>
      </c>
      <c r="BH59" s="1" t="n">
        <v>1</v>
      </c>
      <c r="BI59" s="1" t="n">
        <v>1</v>
      </c>
      <c r="BJ59" s="1" t="n">
        <v>1</v>
      </c>
      <c r="BK59" s="1" t="n">
        <v>1</v>
      </c>
    </row>
    <row r="60" customFormat="false" ht="12.75" hidden="false" customHeight="false" outlineLevel="0" collapsed="false">
      <c r="A60" s="1" t="n">
        <f aca="false">A59-1</f>
        <v>1967</v>
      </c>
      <c r="B60" s="1" t="n">
        <v>1</v>
      </c>
      <c r="C60" s="1" t="n">
        <v>1</v>
      </c>
      <c r="D60" s="1" t="n">
        <v>1</v>
      </c>
      <c r="E60" s="1" t="n">
        <v>1</v>
      </c>
      <c r="F60" s="1" t="n">
        <v>1</v>
      </c>
      <c r="G60" s="1" t="n">
        <v>1</v>
      </c>
      <c r="H60" s="1" t="n">
        <v>1</v>
      </c>
      <c r="I60" s="1" t="n">
        <v>1</v>
      </c>
      <c r="J60" s="1" t="n">
        <v>1</v>
      </c>
      <c r="K60" s="1" t="n">
        <v>1</v>
      </c>
      <c r="L60" s="1" t="n">
        <v>1</v>
      </c>
      <c r="M60" s="1" t="n">
        <v>1</v>
      </c>
      <c r="N60" s="1" t="n">
        <v>1</v>
      </c>
      <c r="O60" s="1" t="n">
        <v>1</v>
      </c>
      <c r="P60" s="1" t="n">
        <v>1</v>
      </c>
      <c r="Q60" s="1" t="n">
        <v>1</v>
      </c>
      <c r="R60" s="1" t="n">
        <v>1</v>
      </c>
      <c r="S60" s="1" t="n">
        <v>1</v>
      </c>
      <c r="T60" s="1" t="n">
        <v>1</v>
      </c>
      <c r="U60" s="1" t="n">
        <v>1</v>
      </c>
      <c r="V60" s="1" t="n">
        <v>1</v>
      </c>
      <c r="W60" s="1" t="n">
        <v>1</v>
      </c>
      <c r="X60" s="1" t="n">
        <v>1</v>
      </c>
      <c r="Y60" s="1" t="n">
        <v>1</v>
      </c>
      <c r="Z60" s="1" t="n">
        <v>1</v>
      </c>
      <c r="AA60" s="1" t="n">
        <v>1</v>
      </c>
      <c r="AB60" s="1" t="n">
        <v>1</v>
      </c>
      <c r="AC60" s="1" t="n">
        <v>1</v>
      </c>
      <c r="AD60" s="1" t="n">
        <v>1</v>
      </c>
      <c r="AE60" s="1" t="n">
        <v>1</v>
      </c>
      <c r="AF60" s="1" t="n">
        <v>1</v>
      </c>
      <c r="AG60" s="1" t="n">
        <v>1</v>
      </c>
      <c r="AH60" s="1" t="n">
        <v>1</v>
      </c>
      <c r="AI60" s="1" t="n">
        <v>1</v>
      </c>
      <c r="AJ60" s="1" t="n">
        <v>1</v>
      </c>
      <c r="AK60" s="1" t="n">
        <v>1</v>
      </c>
      <c r="AL60" s="1" t="n">
        <v>1</v>
      </c>
      <c r="AM60" s="1" t="n">
        <v>1</v>
      </c>
      <c r="AN60" s="1" t="n">
        <v>1</v>
      </c>
      <c r="AO60" s="1" t="n">
        <v>1</v>
      </c>
      <c r="AP60" s="1" t="n">
        <v>1</v>
      </c>
      <c r="AQ60" s="1" t="n">
        <v>1</v>
      </c>
      <c r="AR60" s="1" t="n">
        <v>1</v>
      </c>
      <c r="AS60" s="1" t="n">
        <v>1</v>
      </c>
      <c r="AT60" s="1" t="n">
        <v>1</v>
      </c>
      <c r="AU60" s="1" t="n">
        <v>1</v>
      </c>
      <c r="AV60" s="1" t="n">
        <v>1</v>
      </c>
      <c r="AW60" s="1" t="n">
        <v>1</v>
      </c>
      <c r="AX60" s="1" t="n">
        <v>1</v>
      </c>
      <c r="AY60" s="1" t="n">
        <v>1</v>
      </c>
      <c r="AZ60" s="1" t="n">
        <v>1</v>
      </c>
      <c r="BA60" s="1" t="n">
        <v>1</v>
      </c>
      <c r="BB60" s="1" t="n">
        <v>1</v>
      </c>
      <c r="BC60" s="1" t="n">
        <v>1</v>
      </c>
      <c r="BD60" s="1" t="n">
        <v>1</v>
      </c>
      <c r="BE60" s="1" t="n">
        <v>1</v>
      </c>
      <c r="BF60" s="1" t="n">
        <v>1</v>
      </c>
      <c r="BG60" s="1" t="n">
        <v>1</v>
      </c>
      <c r="BH60" s="1" t="n">
        <v>1</v>
      </c>
      <c r="BI60" s="1" t="n">
        <v>1</v>
      </c>
      <c r="BJ60" s="1" t="n">
        <v>1</v>
      </c>
      <c r="BK60" s="1" t="n">
        <v>1</v>
      </c>
    </row>
    <row r="61" customFormat="false" ht="12.75" hidden="false" customHeight="false" outlineLevel="0" collapsed="false">
      <c r="A61" s="1" t="n">
        <f aca="false">A60-1</f>
        <v>1966</v>
      </c>
      <c r="B61" s="1" t="n">
        <v>1</v>
      </c>
      <c r="C61" s="1" t="n">
        <v>1</v>
      </c>
      <c r="D61" s="1" t="n">
        <v>1</v>
      </c>
      <c r="E61" s="1" t="n">
        <v>1</v>
      </c>
      <c r="F61" s="1" t="n">
        <v>1</v>
      </c>
      <c r="G61" s="1" t="n">
        <v>1</v>
      </c>
      <c r="H61" s="1" t="n">
        <v>1</v>
      </c>
      <c r="I61" s="1" t="n">
        <v>1</v>
      </c>
      <c r="J61" s="1" t="n">
        <v>1</v>
      </c>
      <c r="K61" s="1" t="n">
        <v>1</v>
      </c>
      <c r="L61" s="1" t="n">
        <v>1</v>
      </c>
      <c r="M61" s="1" t="n">
        <v>1</v>
      </c>
      <c r="N61" s="1" t="n">
        <v>1</v>
      </c>
      <c r="O61" s="1" t="n">
        <v>1</v>
      </c>
      <c r="P61" s="1" t="n">
        <v>1</v>
      </c>
      <c r="Q61" s="1" t="n">
        <v>1</v>
      </c>
      <c r="R61" s="1" t="n">
        <v>1</v>
      </c>
      <c r="S61" s="1" t="n">
        <v>1</v>
      </c>
      <c r="T61" s="1" t="n">
        <v>1</v>
      </c>
      <c r="U61" s="1" t="n">
        <v>1</v>
      </c>
      <c r="V61" s="1" t="n">
        <v>1</v>
      </c>
      <c r="W61" s="1" t="n">
        <v>1</v>
      </c>
      <c r="X61" s="1" t="n">
        <v>1</v>
      </c>
      <c r="Y61" s="1" t="n">
        <v>1</v>
      </c>
      <c r="Z61" s="1" t="n">
        <v>1</v>
      </c>
      <c r="AA61" s="1" t="n">
        <v>1</v>
      </c>
      <c r="AB61" s="1" t="n">
        <v>1</v>
      </c>
      <c r="AC61" s="1" t="n">
        <v>1</v>
      </c>
      <c r="AD61" s="1" t="n">
        <v>1</v>
      </c>
      <c r="AE61" s="1" t="n">
        <v>1</v>
      </c>
      <c r="AF61" s="1" t="n">
        <v>1</v>
      </c>
      <c r="AG61" s="1" t="n">
        <v>1</v>
      </c>
      <c r="AH61" s="1" t="n">
        <v>1</v>
      </c>
      <c r="AI61" s="1" t="n">
        <v>1</v>
      </c>
      <c r="AJ61" s="1" t="n">
        <v>1</v>
      </c>
      <c r="AK61" s="1" t="n">
        <v>1</v>
      </c>
      <c r="AL61" s="1" t="n">
        <v>1</v>
      </c>
      <c r="AM61" s="1" t="n">
        <v>1</v>
      </c>
      <c r="AN61" s="1" t="n">
        <v>1</v>
      </c>
      <c r="AO61" s="1" t="n">
        <v>1</v>
      </c>
      <c r="AP61" s="1" t="n">
        <v>1</v>
      </c>
      <c r="AQ61" s="1" t="n">
        <v>1</v>
      </c>
      <c r="AR61" s="1" t="n">
        <v>1</v>
      </c>
      <c r="AS61" s="1" t="n">
        <v>1</v>
      </c>
      <c r="AT61" s="1" t="n">
        <v>1</v>
      </c>
      <c r="AU61" s="1" t="n">
        <v>1</v>
      </c>
      <c r="AV61" s="1" t="n">
        <v>1</v>
      </c>
      <c r="AW61" s="1" t="n">
        <v>1</v>
      </c>
      <c r="AX61" s="1" t="n">
        <v>1</v>
      </c>
      <c r="AY61" s="1" t="n">
        <v>1</v>
      </c>
      <c r="AZ61" s="1" t="n">
        <v>1</v>
      </c>
      <c r="BA61" s="1" t="n">
        <v>1</v>
      </c>
      <c r="BB61" s="1" t="n">
        <v>1</v>
      </c>
      <c r="BC61" s="1" t="n">
        <v>1</v>
      </c>
      <c r="BD61" s="1" t="n">
        <v>1</v>
      </c>
      <c r="BE61" s="1" t="n">
        <v>1</v>
      </c>
      <c r="BF61" s="1" t="n">
        <v>1</v>
      </c>
      <c r="BG61" s="1" t="n">
        <v>1</v>
      </c>
      <c r="BH61" s="1" t="n">
        <v>1</v>
      </c>
      <c r="BI61" s="1" t="n">
        <v>1</v>
      </c>
      <c r="BJ61" s="1" t="n">
        <v>1</v>
      </c>
      <c r="BK61" s="1" t="n">
        <v>1</v>
      </c>
    </row>
    <row r="62" customFormat="false" ht="12.75" hidden="false" customHeight="false" outlineLevel="0" collapsed="false">
      <c r="A62" s="1" t="n">
        <f aca="false">A61-1</f>
        <v>1965</v>
      </c>
      <c r="B62" s="1" t="n">
        <v>1</v>
      </c>
      <c r="C62" s="1" t="n">
        <v>1</v>
      </c>
      <c r="D62" s="1" t="n">
        <v>1</v>
      </c>
      <c r="E62" s="1" t="n">
        <v>1</v>
      </c>
      <c r="F62" s="1" t="n">
        <v>1</v>
      </c>
      <c r="G62" s="1" t="n">
        <v>1</v>
      </c>
      <c r="H62" s="1" t="n">
        <v>1</v>
      </c>
      <c r="I62" s="1" t="n">
        <v>1</v>
      </c>
      <c r="J62" s="1" t="n">
        <v>1</v>
      </c>
      <c r="K62" s="1" t="n">
        <v>1</v>
      </c>
      <c r="L62" s="1" t="n">
        <v>1</v>
      </c>
      <c r="M62" s="1" t="n">
        <v>1</v>
      </c>
      <c r="N62" s="1" t="n">
        <v>1</v>
      </c>
      <c r="O62" s="1" t="n">
        <v>1</v>
      </c>
      <c r="P62" s="1" t="n">
        <v>1</v>
      </c>
      <c r="Q62" s="1" t="n">
        <v>1</v>
      </c>
      <c r="R62" s="1" t="n">
        <v>1</v>
      </c>
      <c r="S62" s="1" t="n">
        <v>1</v>
      </c>
      <c r="T62" s="1" t="n">
        <v>1</v>
      </c>
      <c r="U62" s="1" t="n">
        <v>1</v>
      </c>
      <c r="V62" s="1" t="n">
        <v>1</v>
      </c>
      <c r="W62" s="1" t="n">
        <v>1</v>
      </c>
      <c r="X62" s="1" t="n">
        <v>1</v>
      </c>
      <c r="Y62" s="1" t="n">
        <v>1</v>
      </c>
      <c r="Z62" s="1" t="n">
        <v>1</v>
      </c>
      <c r="AA62" s="1" t="n">
        <v>1</v>
      </c>
      <c r="AB62" s="1" t="n">
        <v>1</v>
      </c>
      <c r="AC62" s="1" t="n">
        <v>1</v>
      </c>
      <c r="AD62" s="1" t="n">
        <v>1</v>
      </c>
      <c r="AE62" s="1" t="n">
        <v>1</v>
      </c>
      <c r="AF62" s="1" t="n">
        <v>1</v>
      </c>
      <c r="AG62" s="1" t="n">
        <v>1</v>
      </c>
      <c r="AH62" s="1" t="n">
        <v>1</v>
      </c>
      <c r="AI62" s="1" t="n">
        <v>1</v>
      </c>
      <c r="AJ62" s="1" t="n">
        <v>1</v>
      </c>
      <c r="AK62" s="1" t="n">
        <v>1</v>
      </c>
      <c r="AL62" s="1" t="n">
        <v>1</v>
      </c>
      <c r="AM62" s="1" t="n">
        <v>1</v>
      </c>
      <c r="AN62" s="1" t="n">
        <v>1</v>
      </c>
      <c r="AO62" s="1" t="n">
        <v>1</v>
      </c>
      <c r="AP62" s="1" t="n">
        <v>1</v>
      </c>
      <c r="AQ62" s="1" t="n">
        <v>1</v>
      </c>
      <c r="AR62" s="1" t="n">
        <v>1</v>
      </c>
      <c r="AS62" s="1" t="n">
        <v>1</v>
      </c>
      <c r="AT62" s="1" t="n">
        <v>1</v>
      </c>
      <c r="AU62" s="1" t="n">
        <v>1</v>
      </c>
      <c r="AV62" s="1" t="n">
        <v>1</v>
      </c>
      <c r="AW62" s="1" t="n">
        <v>1</v>
      </c>
      <c r="AX62" s="1" t="n">
        <v>1</v>
      </c>
      <c r="AY62" s="1" t="n">
        <v>1</v>
      </c>
      <c r="AZ62" s="1" t="n">
        <v>1</v>
      </c>
      <c r="BA62" s="1" t="n">
        <v>1</v>
      </c>
      <c r="BB62" s="1" t="n">
        <v>1</v>
      </c>
      <c r="BC62" s="1" t="n">
        <v>1</v>
      </c>
      <c r="BD62" s="1" t="n">
        <v>1</v>
      </c>
      <c r="BE62" s="1" t="n">
        <v>1</v>
      </c>
      <c r="BF62" s="1" t="n">
        <v>1</v>
      </c>
      <c r="BG62" s="1" t="n">
        <v>1</v>
      </c>
      <c r="BH62" s="1" t="n">
        <v>1</v>
      </c>
      <c r="BI62" s="1" t="n">
        <v>1</v>
      </c>
      <c r="BJ62" s="1" t="n">
        <v>1</v>
      </c>
      <c r="BK62" s="1" t="n">
        <v>1</v>
      </c>
    </row>
    <row r="63" customFormat="false" ht="12.75" hidden="false" customHeight="false" outlineLevel="0" collapsed="false">
      <c r="A63" s="1" t="n">
        <f aca="false">A62-1</f>
        <v>1964</v>
      </c>
      <c r="B63" s="1" t="n">
        <v>1</v>
      </c>
      <c r="C63" s="1" t="n">
        <v>1</v>
      </c>
      <c r="D63" s="1" t="n">
        <v>1</v>
      </c>
      <c r="E63" s="1" t="n">
        <v>1</v>
      </c>
      <c r="F63" s="1" t="n">
        <v>1</v>
      </c>
      <c r="G63" s="1" t="n">
        <v>1</v>
      </c>
      <c r="H63" s="1" t="n">
        <v>1</v>
      </c>
      <c r="I63" s="1" t="n">
        <v>1</v>
      </c>
      <c r="J63" s="1" t="n">
        <v>1</v>
      </c>
      <c r="K63" s="1" t="n">
        <v>1</v>
      </c>
      <c r="L63" s="1" t="n">
        <v>1</v>
      </c>
      <c r="M63" s="1" t="n">
        <v>1</v>
      </c>
      <c r="N63" s="1" t="n">
        <v>1</v>
      </c>
      <c r="O63" s="1" t="n">
        <v>1</v>
      </c>
      <c r="P63" s="1" t="n">
        <v>1</v>
      </c>
      <c r="Q63" s="1" t="n">
        <v>1</v>
      </c>
      <c r="R63" s="1" t="n">
        <v>1</v>
      </c>
      <c r="S63" s="1" t="n">
        <v>1</v>
      </c>
      <c r="T63" s="1" t="n">
        <v>1</v>
      </c>
      <c r="U63" s="1" t="n">
        <v>1</v>
      </c>
      <c r="V63" s="1" t="n">
        <v>1</v>
      </c>
      <c r="W63" s="1" t="n">
        <v>1</v>
      </c>
      <c r="X63" s="1" t="n">
        <v>1</v>
      </c>
      <c r="Y63" s="1" t="n">
        <v>1</v>
      </c>
      <c r="Z63" s="1" t="n">
        <v>1</v>
      </c>
      <c r="AA63" s="1" t="n">
        <v>1</v>
      </c>
      <c r="AB63" s="1" t="n">
        <v>1</v>
      </c>
      <c r="AC63" s="1" t="n">
        <v>1</v>
      </c>
      <c r="AD63" s="1" t="n">
        <v>1</v>
      </c>
      <c r="AE63" s="1" t="n">
        <v>1</v>
      </c>
      <c r="AF63" s="1" t="n">
        <v>1</v>
      </c>
      <c r="AG63" s="1" t="n">
        <v>1</v>
      </c>
      <c r="AH63" s="1" t="n">
        <v>1</v>
      </c>
      <c r="AI63" s="1" t="n">
        <v>1</v>
      </c>
      <c r="AJ63" s="1" t="n">
        <v>1</v>
      </c>
      <c r="AK63" s="1" t="n">
        <v>1</v>
      </c>
      <c r="AL63" s="1" t="n">
        <v>1</v>
      </c>
      <c r="AM63" s="1" t="n">
        <v>1</v>
      </c>
      <c r="AN63" s="1" t="n">
        <v>1</v>
      </c>
      <c r="AO63" s="1" t="n">
        <v>1</v>
      </c>
      <c r="AP63" s="1" t="n">
        <v>1</v>
      </c>
      <c r="AQ63" s="1" t="n">
        <v>1</v>
      </c>
      <c r="AR63" s="1" t="n">
        <v>1</v>
      </c>
      <c r="AS63" s="1" t="n">
        <v>1</v>
      </c>
      <c r="AT63" s="1" t="n">
        <v>1</v>
      </c>
      <c r="AU63" s="1" t="n">
        <v>1</v>
      </c>
      <c r="AV63" s="1" t="n">
        <v>1</v>
      </c>
      <c r="AW63" s="1" t="n">
        <v>1</v>
      </c>
      <c r="AX63" s="1" t="n">
        <v>1</v>
      </c>
      <c r="AY63" s="1" t="n">
        <v>1</v>
      </c>
      <c r="AZ63" s="1" t="n">
        <v>1</v>
      </c>
      <c r="BA63" s="1" t="n">
        <v>1</v>
      </c>
      <c r="BB63" s="1" t="n">
        <v>1</v>
      </c>
      <c r="BC63" s="1" t="n">
        <v>1</v>
      </c>
      <c r="BD63" s="1" t="n">
        <v>1</v>
      </c>
      <c r="BE63" s="1" t="n">
        <v>1</v>
      </c>
      <c r="BF63" s="1" t="n">
        <v>1</v>
      </c>
      <c r="BG63" s="1" t="n">
        <v>1</v>
      </c>
      <c r="BH63" s="1" t="n">
        <v>1</v>
      </c>
      <c r="BI63" s="1" t="n">
        <v>1</v>
      </c>
      <c r="BJ63" s="1" t="n">
        <v>1</v>
      </c>
      <c r="BK63" s="1" t="n">
        <v>1</v>
      </c>
    </row>
    <row r="64" customFormat="false" ht="12.75" hidden="false" customHeight="false" outlineLevel="0" collapsed="false">
      <c r="A64" s="1" t="n">
        <f aca="false">A63-1</f>
        <v>1963</v>
      </c>
      <c r="B64" s="1" t="n">
        <v>1</v>
      </c>
      <c r="C64" s="1" t="n">
        <v>1</v>
      </c>
      <c r="D64" s="1" t="n">
        <v>1</v>
      </c>
      <c r="E64" s="1" t="n">
        <v>1</v>
      </c>
      <c r="F64" s="1" t="n">
        <v>1</v>
      </c>
      <c r="G64" s="1" t="n">
        <v>1</v>
      </c>
      <c r="H64" s="1" t="n">
        <v>1</v>
      </c>
      <c r="I64" s="1" t="n">
        <v>1</v>
      </c>
      <c r="J64" s="1" t="n">
        <v>1</v>
      </c>
      <c r="K64" s="1" t="n">
        <v>1</v>
      </c>
      <c r="L64" s="1" t="n">
        <v>1</v>
      </c>
      <c r="M64" s="1" t="n">
        <v>1</v>
      </c>
      <c r="N64" s="1" t="n">
        <v>1</v>
      </c>
      <c r="O64" s="1" t="n">
        <v>1</v>
      </c>
      <c r="P64" s="1" t="n">
        <v>1</v>
      </c>
      <c r="Q64" s="1" t="n">
        <v>1</v>
      </c>
      <c r="R64" s="1" t="n">
        <v>1</v>
      </c>
      <c r="S64" s="1" t="n">
        <v>1</v>
      </c>
      <c r="T64" s="1" t="n">
        <v>1</v>
      </c>
      <c r="U64" s="1" t="n">
        <v>1</v>
      </c>
      <c r="V64" s="1" t="n">
        <v>1</v>
      </c>
      <c r="W64" s="1" t="n">
        <v>1</v>
      </c>
      <c r="X64" s="1" t="n">
        <v>1</v>
      </c>
      <c r="Y64" s="1" t="n">
        <v>1</v>
      </c>
      <c r="Z64" s="1" t="n">
        <v>1</v>
      </c>
      <c r="AA64" s="1" t="n">
        <v>1</v>
      </c>
      <c r="AB64" s="1" t="n">
        <v>1</v>
      </c>
      <c r="AC64" s="1" t="n">
        <v>1</v>
      </c>
      <c r="AD64" s="1" t="n">
        <v>1</v>
      </c>
      <c r="AE64" s="1" t="n">
        <v>1</v>
      </c>
      <c r="AF64" s="1" t="n">
        <v>1</v>
      </c>
      <c r="AG64" s="1" t="n">
        <v>1</v>
      </c>
      <c r="AH64" s="1" t="n">
        <v>1</v>
      </c>
      <c r="AI64" s="1" t="n">
        <v>1</v>
      </c>
      <c r="AJ64" s="1" t="n">
        <v>1</v>
      </c>
      <c r="AK64" s="1" t="n">
        <v>1</v>
      </c>
      <c r="AL64" s="1" t="n">
        <v>1</v>
      </c>
      <c r="AM64" s="1" t="n">
        <v>1</v>
      </c>
      <c r="AN64" s="1" t="n">
        <v>1</v>
      </c>
      <c r="AO64" s="1" t="n">
        <v>1</v>
      </c>
      <c r="AP64" s="1" t="n">
        <v>1</v>
      </c>
      <c r="AQ64" s="1" t="n">
        <v>1</v>
      </c>
      <c r="AR64" s="1" t="n">
        <v>1</v>
      </c>
      <c r="AS64" s="1" t="n">
        <v>1</v>
      </c>
      <c r="AT64" s="1" t="n">
        <v>1</v>
      </c>
      <c r="AU64" s="1" t="n">
        <v>1</v>
      </c>
      <c r="AV64" s="1" t="n">
        <v>1</v>
      </c>
      <c r="AW64" s="1" t="n">
        <v>1</v>
      </c>
      <c r="AX64" s="1" t="n">
        <v>1</v>
      </c>
      <c r="AY64" s="1" t="n">
        <v>1</v>
      </c>
      <c r="AZ64" s="1" t="n">
        <v>1</v>
      </c>
      <c r="BA64" s="1" t="n">
        <v>1</v>
      </c>
      <c r="BB64" s="1" t="n">
        <v>1</v>
      </c>
      <c r="BC64" s="1" t="n">
        <v>1</v>
      </c>
      <c r="BD64" s="1" t="n">
        <v>1</v>
      </c>
      <c r="BE64" s="1" t="n">
        <v>1</v>
      </c>
      <c r="BF64" s="1" t="n">
        <v>1</v>
      </c>
      <c r="BG64" s="1" t="n">
        <v>1</v>
      </c>
      <c r="BH64" s="1" t="n">
        <v>1</v>
      </c>
      <c r="BI64" s="1" t="n">
        <v>1</v>
      </c>
      <c r="BJ64" s="1" t="n">
        <v>1</v>
      </c>
      <c r="BK64" s="1" t="n">
        <v>1</v>
      </c>
    </row>
    <row r="65" customFormat="false" ht="12.75" hidden="false" customHeight="false" outlineLevel="0" collapsed="false">
      <c r="A65" s="1" t="n">
        <f aca="false">A64-1</f>
        <v>1962</v>
      </c>
      <c r="B65" s="1" t="n">
        <v>1</v>
      </c>
      <c r="C65" s="1" t="n">
        <v>1</v>
      </c>
      <c r="D65" s="1" t="n">
        <v>1</v>
      </c>
      <c r="E65" s="1" t="n">
        <v>1</v>
      </c>
      <c r="F65" s="1" t="n">
        <v>1</v>
      </c>
      <c r="G65" s="1" t="n">
        <v>1</v>
      </c>
      <c r="H65" s="1" t="n">
        <v>1</v>
      </c>
      <c r="I65" s="1" t="n">
        <v>1</v>
      </c>
      <c r="J65" s="1" t="n">
        <v>1</v>
      </c>
      <c r="K65" s="1" t="n">
        <v>1</v>
      </c>
      <c r="L65" s="1" t="n">
        <v>1</v>
      </c>
      <c r="M65" s="1" t="n">
        <v>1</v>
      </c>
      <c r="N65" s="1" t="n">
        <v>1</v>
      </c>
      <c r="O65" s="1" t="n">
        <v>1</v>
      </c>
      <c r="P65" s="1" t="n">
        <v>1</v>
      </c>
      <c r="Q65" s="1" t="n">
        <v>1</v>
      </c>
      <c r="R65" s="1" t="n">
        <v>1</v>
      </c>
      <c r="S65" s="1" t="n">
        <v>1</v>
      </c>
      <c r="T65" s="1" t="n">
        <v>1</v>
      </c>
      <c r="U65" s="1" t="n">
        <v>1</v>
      </c>
      <c r="V65" s="1" t="n">
        <v>1</v>
      </c>
      <c r="W65" s="1" t="n">
        <v>1</v>
      </c>
      <c r="X65" s="1" t="n">
        <v>1</v>
      </c>
      <c r="Y65" s="1" t="n">
        <v>1</v>
      </c>
      <c r="Z65" s="1" t="n">
        <v>1</v>
      </c>
      <c r="AA65" s="1" t="n">
        <v>1</v>
      </c>
      <c r="AB65" s="1" t="n">
        <v>1</v>
      </c>
      <c r="AC65" s="1" t="n">
        <v>1</v>
      </c>
      <c r="AD65" s="1" t="n">
        <v>1</v>
      </c>
      <c r="AE65" s="1" t="n">
        <v>1</v>
      </c>
      <c r="AF65" s="1" t="n">
        <v>1</v>
      </c>
      <c r="AG65" s="1" t="n">
        <v>1</v>
      </c>
      <c r="AH65" s="1" t="n">
        <v>1</v>
      </c>
      <c r="AI65" s="1" t="n">
        <v>1</v>
      </c>
      <c r="AJ65" s="1" t="n">
        <v>1</v>
      </c>
      <c r="AK65" s="1" t="n">
        <v>1</v>
      </c>
      <c r="AL65" s="1" t="n">
        <v>1</v>
      </c>
      <c r="AM65" s="1" t="n">
        <v>1</v>
      </c>
      <c r="AN65" s="1" t="n">
        <v>1</v>
      </c>
      <c r="AO65" s="1" t="n">
        <v>1</v>
      </c>
      <c r="AP65" s="1" t="n">
        <v>1</v>
      </c>
      <c r="AQ65" s="1" t="n">
        <v>1</v>
      </c>
      <c r="AR65" s="1" t="n">
        <v>1</v>
      </c>
      <c r="AS65" s="1" t="n">
        <v>1</v>
      </c>
      <c r="AT65" s="1" t="n">
        <v>1</v>
      </c>
      <c r="AU65" s="1" t="n">
        <v>1</v>
      </c>
      <c r="AV65" s="1" t="n">
        <v>1</v>
      </c>
      <c r="AW65" s="1" t="n">
        <v>1</v>
      </c>
      <c r="AX65" s="1" t="n">
        <v>1</v>
      </c>
      <c r="AY65" s="1" t="n">
        <v>1</v>
      </c>
      <c r="AZ65" s="1" t="n">
        <v>1</v>
      </c>
      <c r="BA65" s="1" t="n">
        <v>1</v>
      </c>
      <c r="BB65" s="1" t="n">
        <v>1</v>
      </c>
      <c r="BC65" s="1" t="n">
        <v>1</v>
      </c>
      <c r="BD65" s="1" t="n">
        <v>1</v>
      </c>
      <c r="BE65" s="1" t="n">
        <v>1</v>
      </c>
      <c r="BF65" s="1" t="n">
        <v>1</v>
      </c>
      <c r="BG65" s="1" t="n">
        <v>1</v>
      </c>
      <c r="BH65" s="1" t="n">
        <v>1</v>
      </c>
      <c r="BI65" s="1" t="n">
        <v>1</v>
      </c>
      <c r="BJ65" s="1" t="n">
        <v>1</v>
      </c>
      <c r="BK65" s="1" t="n">
        <v>1</v>
      </c>
    </row>
    <row r="66" customFormat="false" ht="12.75" hidden="false" customHeight="false" outlineLevel="0" collapsed="false">
      <c r="A66" s="1" t="n">
        <f aca="false">A65-1</f>
        <v>1961</v>
      </c>
      <c r="B66" s="1" t="n">
        <v>1</v>
      </c>
      <c r="C66" s="1" t="n">
        <v>1</v>
      </c>
      <c r="D66" s="1" t="n">
        <v>1</v>
      </c>
      <c r="E66" s="1" t="n">
        <v>1</v>
      </c>
      <c r="F66" s="1" t="n">
        <v>1</v>
      </c>
      <c r="G66" s="1" t="n">
        <v>1</v>
      </c>
      <c r="H66" s="1" t="n">
        <v>1</v>
      </c>
      <c r="I66" s="1" t="n">
        <v>1</v>
      </c>
      <c r="J66" s="1" t="n">
        <v>1</v>
      </c>
      <c r="K66" s="1" t="n">
        <v>1</v>
      </c>
      <c r="L66" s="1" t="n">
        <v>1</v>
      </c>
      <c r="M66" s="1" t="n">
        <v>1</v>
      </c>
      <c r="N66" s="1" t="n">
        <v>1</v>
      </c>
      <c r="O66" s="1" t="n">
        <v>1</v>
      </c>
      <c r="P66" s="1" t="n">
        <v>1</v>
      </c>
      <c r="Q66" s="1" t="n">
        <v>1</v>
      </c>
      <c r="R66" s="1" t="n">
        <v>1</v>
      </c>
      <c r="S66" s="1" t="n">
        <v>1</v>
      </c>
      <c r="T66" s="1" t="n">
        <v>1</v>
      </c>
      <c r="U66" s="1" t="n">
        <v>1</v>
      </c>
      <c r="V66" s="1" t="n">
        <v>1</v>
      </c>
      <c r="W66" s="1" t="n">
        <v>1</v>
      </c>
      <c r="X66" s="1" t="n">
        <v>1</v>
      </c>
      <c r="Y66" s="1" t="n">
        <v>1</v>
      </c>
      <c r="Z66" s="1" t="n">
        <v>1</v>
      </c>
      <c r="AA66" s="1" t="n">
        <v>1</v>
      </c>
      <c r="AB66" s="1" t="n">
        <v>1</v>
      </c>
      <c r="AC66" s="1" t="n">
        <v>1</v>
      </c>
      <c r="AD66" s="1" t="n">
        <v>1</v>
      </c>
      <c r="AE66" s="1" t="n">
        <v>1</v>
      </c>
      <c r="AF66" s="1" t="n">
        <v>1</v>
      </c>
      <c r="AG66" s="1" t="n">
        <v>1</v>
      </c>
      <c r="AH66" s="1" t="n">
        <v>1</v>
      </c>
      <c r="AI66" s="1" t="n">
        <v>1</v>
      </c>
      <c r="AJ66" s="1" t="n">
        <v>1</v>
      </c>
      <c r="AK66" s="1" t="n">
        <v>1</v>
      </c>
      <c r="AL66" s="1" t="n">
        <v>1</v>
      </c>
      <c r="AM66" s="1" t="n">
        <v>1</v>
      </c>
      <c r="AN66" s="1" t="n">
        <v>1</v>
      </c>
      <c r="AO66" s="1" t="n">
        <v>1</v>
      </c>
      <c r="AP66" s="1" t="n">
        <v>1</v>
      </c>
      <c r="AQ66" s="1" t="n">
        <v>1</v>
      </c>
      <c r="AR66" s="1" t="n">
        <v>1</v>
      </c>
      <c r="AS66" s="1" t="n">
        <v>1</v>
      </c>
      <c r="AT66" s="1" t="n">
        <v>1</v>
      </c>
      <c r="AU66" s="1" t="n">
        <v>1</v>
      </c>
      <c r="AV66" s="1" t="n">
        <v>1</v>
      </c>
      <c r="AW66" s="1" t="n">
        <v>1</v>
      </c>
      <c r="AX66" s="1" t="n">
        <v>1</v>
      </c>
      <c r="AY66" s="1" t="n">
        <v>1</v>
      </c>
      <c r="AZ66" s="1" t="n">
        <v>1</v>
      </c>
      <c r="BA66" s="1" t="n">
        <v>1</v>
      </c>
      <c r="BB66" s="1" t="n">
        <v>1</v>
      </c>
      <c r="BC66" s="1" t="n">
        <v>1</v>
      </c>
      <c r="BD66" s="1" t="n">
        <v>1</v>
      </c>
      <c r="BE66" s="1" t="n">
        <v>1</v>
      </c>
      <c r="BF66" s="1" t="n">
        <v>1</v>
      </c>
      <c r="BG66" s="1" t="n">
        <v>1</v>
      </c>
      <c r="BH66" s="1" t="n">
        <v>1</v>
      </c>
      <c r="BI66" s="1" t="n">
        <v>1</v>
      </c>
      <c r="BJ66" s="1" t="n">
        <v>1</v>
      </c>
      <c r="BK66" s="1" t="n">
        <v>1</v>
      </c>
    </row>
    <row r="67" customFormat="false" ht="12.75" hidden="false" customHeight="false" outlineLevel="0" collapsed="false">
      <c r="A67" s="1" t="n">
        <f aca="false">A66-1</f>
        <v>1960</v>
      </c>
      <c r="B67" s="1" t="n">
        <v>1</v>
      </c>
      <c r="C67" s="1" t="n">
        <v>1</v>
      </c>
      <c r="D67" s="1" t="n">
        <v>1</v>
      </c>
      <c r="E67" s="1" t="n">
        <v>1</v>
      </c>
      <c r="F67" s="1" t="n">
        <v>1</v>
      </c>
      <c r="G67" s="1" t="n">
        <v>1</v>
      </c>
      <c r="H67" s="1" t="n">
        <v>1</v>
      </c>
      <c r="I67" s="1" t="n">
        <v>1</v>
      </c>
      <c r="J67" s="1" t="n">
        <v>1</v>
      </c>
      <c r="K67" s="1" t="n">
        <v>1</v>
      </c>
      <c r="L67" s="1" t="n">
        <v>1</v>
      </c>
      <c r="M67" s="1" t="n">
        <v>1</v>
      </c>
      <c r="N67" s="1" t="n">
        <v>1</v>
      </c>
      <c r="O67" s="1" t="n">
        <v>1</v>
      </c>
      <c r="P67" s="1" t="n">
        <v>1</v>
      </c>
      <c r="Q67" s="1" t="n">
        <v>1</v>
      </c>
      <c r="R67" s="1" t="n">
        <v>1</v>
      </c>
      <c r="S67" s="1" t="n">
        <v>1</v>
      </c>
      <c r="T67" s="1" t="n">
        <v>1</v>
      </c>
      <c r="U67" s="1" t="n">
        <v>1</v>
      </c>
      <c r="V67" s="1" t="n">
        <v>1</v>
      </c>
      <c r="W67" s="1" t="n">
        <v>1</v>
      </c>
      <c r="X67" s="1" t="n">
        <v>1</v>
      </c>
      <c r="Y67" s="1" t="n">
        <v>1</v>
      </c>
      <c r="Z67" s="1" t="n">
        <v>1</v>
      </c>
      <c r="AA67" s="1" t="n">
        <v>1</v>
      </c>
      <c r="AB67" s="1" t="n">
        <v>1</v>
      </c>
      <c r="AC67" s="1" t="n">
        <v>1</v>
      </c>
      <c r="AD67" s="1" t="n">
        <v>1</v>
      </c>
      <c r="AE67" s="1" t="n">
        <v>1</v>
      </c>
      <c r="AF67" s="1" t="n">
        <v>1</v>
      </c>
      <c r="AG67" s="1" t="n">
        <v>1</v>
      </c>
      <c r="AH67" s="1" t="n">
        <v>1</v>
      </c>
      <c r="AI67" s="1" t="n">
        <v>1</v>
      </c>
      <c r="AJ67" s="1" t="n">
        <v>1</v>
      </c>
      <c r="AK67" s="1" t="n">
        <v>1</v>
      </c>
      <c r="AL67" s="1" t="n">
        <v>1</v>
      </c>
      <c r="AM67" s="1" t="n">
        <v>1</v>
      </c>
      <c r="AN67" s="1" t="n">
        <v>1</v>
      </c>
      <c r="AO67" s="1" t="n">
        <v>1</v>
      </c>
      <c r="AP67" s="1" t="n">
        <v>1</v>
      </c>
      <c r="AQ67" s="1" t="n">
        <v>1</v>
      </c>
      <c r="AR67" s="1" t="n">
        <v>1</v>
      </c>
      <c r="AS67" s="1" t="n">
        <v>1</v>
      </c>
      <c r="AT67" s="1" t="n">
        <v>1</v>
      </c>
      <c r="AU67" s="1" t="n">
        <v>1</v>
      </c>
      <c r="AV67" s="1" t="n">
        <v>1</v>
      </c>
      <c r="AW67" s="1" t="n">
        <v>1</v>
      </c>
      <c r="AX67" s="1" t="n">
        <v>1</v>
      </c>
      <c r="AY67" s="1" t="n">
        <v>1</v>
      </c>
      <c r="AZ67" s="1" t="n">
        <v>1</v>
      </c>
      <c r="BA67" s="1" t="n">
        <v>1</v>
      </c>
      <c r="BB67" s="1" t="n">
        <v>1</v>
      </c>
      <c r="BC67" s="1" t="n">
        <v>1</v>
      </c>
      <c r="BD67" s="1" t="n">
        <v>1</v>
      </c>
      <c r="BE67" s="1" t="n">
        <v>1</v>
      </c>
      <c r="BF67" s="1" t="n">
        <v>1</v>
      </c>
      <c r="BG67" s="1" t="n">
        <v>1</v>
      </c>
      <c r="BH67" s="1" t="n">
        <v>1</v>
      </c>
      <c r="BI67" s="1" t="n">
        <v>1</v>
      </c>
      <c r="BJ67" s="1" t="n">
        <v>1</v>
      </c>
      <c r="BK67" s="1" t="n">
        <v>1</v>
      </c>
    </row>
    <row r="68" customFormat="false" ht="12.75" hidden="false" customHeight="false" outlineLevel="0" collapsed="false">
      <c r="A68" s="1" t="n">
        <f aca="false">A67-1</f>
        <v>1959</v>
      </c>
      <c r="B68" s="1" t="n">
        <v>1</v>
      </c>
      <c r="C68" s="1" t="n">
        <v>1</v>
      </c>
      <c r="D68" s="1" t="n">
        <v>1</v>
      </c>
      <c r="E68" s="1" t="n">
        <v>1</v>
      </c>
      <c r="F68" s="1" t="n">
        <v>1</v>
      </c>
      <c r="G68" s="1" t="n">
        <v>1</v>
      </c>
      <c r="H68" s="1" t="n">
        <v>1</v>
      </c>
      <c r="I68" s="1" t="n">
        <v>1</v>
      </c>
      <c r="J68" s="1" t="n">
        <v>1</v>
      </c>
      <c r="K68" s="1" t="n">
        <v>1</v>
      </c>
      <c r="L68" s="1" t="n">
        <v>1</v>
      </c>
      <c r="M68" s="1" t="n">
        <v>1</v>
      </c>
      <c r="N68" s="1" t="n">
        <v>1</v>
      </c>
      <c r="O68" s="1" t="n">
        <v>1</v>
      </c>
      <c r="P68" s="1" t="n">
        <v>1</v>
      </c>
      <c r="Q68" s="1" t="n">
        <v>1</v>
      </c>
      <c r="R68" s="1" t="n">
        <v>1</v>
      </c>
      <c r="S68" s="1" t="n">
        <v>1</v>
      </c>
      <c r="T68" s="1" t="n">
        <v>1</v>
      </c>
      <c r="U68" s="1" t="n">
        <v>1</v>
      </c>
      <c r="V68" s="1" t="n">
        <v>1</v>
      </c>
      <c r="W68" s="1" t="n">
        <v>1</v>
      </c>
      <c r="X68" s="1" t="n">
        <v>1</v>
      </c>
      <c r="Y68" s="1" t="n">
        <v>1</v>
      </c>
      <c r="Z68" s="1" t="n">
        <v>1</v>
      </c>
      <c r="AA68" s="1" t="n">
        <v>1</v>
      </c>
      <c r="AB68" s="1" t="n">
        <v>1</v>
      </c>
      <c r="AC68" s="1" t="n">
        <v>1</v>
      </c>
      <c r="AD68" s="1" t="n">
        <v>1</v>
      </c>
      <c r="AE68" s="1" t="n">
        <v>1</v>
      </c>
      <c r="AF68" s="1" t="n">
        <v>1</v>
      </c>
      <c r="AG68" s="1" t="n">
        <v>1</v>
      </c>
      <c r="AH68" s="1" t="n">
        <v>1</v>
      </c>
      <c r="AI68" s="1" t="n">
        <v>1</v>
      </c>
      <c r="AJ68" s="1" t="n">
        <v>1</v>
      </c>
      <c r="AK68" s="1" t="n">
        <v>1</v>
      </c>
      <c r="AL68" s="1" t="n">
        <v>1</v>
      </c>
      <c r="AM68" s="1" t="n">
        <v>1</v>
      </c>
      <c r="AN68" s="1" t="n">
        <v>1</v>
      </c>
      <c r="AO68" s="1" t="n">
        <v>1</v>
      </c>
      <c r="AP68" s="1" t="n">
        <v>1</v>
      </c>
      <c r="AQ68" s="1" t="n">
        <v>1</v>
      </c>
      <c r="AR68" s="1" t="n">
        <v>1</v>
      </c>
      <c r="AS68" s="1" t="n">
        <v>1</v>
      </c>
      <c r="AT68" s="1" t="n">
        <v>1</v>
      </c>
      <c r="AU68" s="1" t="n">
        <v>1</v>
      </c>
      <c r="AV68" s="1" t="n">
        <v>1</v>
      </c>
      <c r="AW68" s="1" t="n">
        <v>1</v>
      </c>
      <c r="AX68" s="1" t="n">
        <v>1</v>
      </c>
      <c r="AY68" s="1" t="n">
        <v>1</v>
      </c>
      <c r="AZ68" s="1" t="n">
        <v>1</v>
      </c>
      <c r="BA68" s="1" t="n">
        <v>1</v>
      </c>
      <c r="BB68" s="1" t="n">
        <v>1</v>
      </c>
      <c r="BC68" s="1" t="n">
        <v>1</v>
      </c>
      <c r="BD68" s="1" t="n">
        <v>1</v>
      </c>
      <c r="BE68" s="1" t="n">
        <v>1</v>
      </c>
      <c r="BF68" s="1" t="n">
        <v>1</v>
      </c>
      <c r="BG68" s="1" t="n">
        <v>1</v>
      </c>
      <c r="BH68" s="1" t="n">
        <v>1</v>
      </c>
      <c r="BI68" s="1" t="n">
        <v>1</v>
      </c>
      <c r="BJ68" s="1" t="n">
        <v>1</v>
      </c>
      <c r="BK68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68"/>
  <sheetViews>
    <sheetView showFormulas="false" showGridLines="true" showRowColHeaders="true" showZeros="true" rightToLeft="false" tabSelected="false" showOutlineSymbols="true" defaultGridColor="true" view="normal" topLeftCell="BD1" colorId="64" zoomScale="100" zoomScaleNormal="100" zoomScalePageLayoutView="100" workbookViewId="0">
      <selection pane="topLeft" activeCell="BK2" activeCellId="0" sqref="BK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11.29"/>
    <col collapsed="false" customWidth="true" hidden="false" outlineLevel="0" max="3" min="3" style="1" width="13.42"/>
    <col collapsed="false" customWidth="true" hidden="false" outlineLevel="0" max="4" min="4" style="1" width="14.86"/>
    <col collapsed="false" customWidth="true" hidden="false" outlineLevel="0" max="5" min="5" style="1" width="11.14"/>
    <col collapsed="false" customWidth="true" hidden="false" outlineLevel="0" max="7" min="6" style="1" width="16.71"/>
    <col collapsed="false" customWidth="true" hidden="false" outlineLevel="0" max="8" min="8" style="1" width="14.71"/>
    <col collapsed="false" customWidth="true" hidden="false" outlineLevel="0" max="9" min="9" style="1" width="11"/>
    <col collapsed="false" customWidth="true" hidden="false" outlineLevel="0" max="10" min="10" style="1" width="9.71"/>
    <col collapsed="false" customWidth="true" hidden="false" outlineLevel="0" max="11" min="11" style="1" width="14.57"/>
    <col collapsed="false" customWidth="true" hidden="false" outlineLevel="0" max="12" min="12" style="1" width="15"/>
    <col collapsed="false" customWidth="true" hidden="false" outlineLevel="0" max="13" min="13" style="1" width="17.29"/>
    <col collapsed="false" customWidth="true" hidden="false" outlineLevel="0" max="14" min="14" style="1" width="10.14"/>
    <col collapsed="false" customWidth="true" hidden="false" outlineLevel="0" max="15" min="15" style="1" width="10.71"/>
    <col collapsed="false" customWidth="true" hidden="false" outlineLevel="0" max="16" min="16" style="1" width="11.29"/>
    <col collapsed="false" customWidth="true" hidden="false" outlineLevel="0" max="17" min="17" style="1" width="10"/>
    <col collapsed="false" customWidth="true" hidden="false" outlineLevel="0" max="18" min="18" style="1" width="10.57"/>
    <col collapsed="false" customWidth="true" hidden="false" outlineLevel="0" max="19" min="19" style="1" width="11.14"/>
    <col collapsed="false" customWidth="true" hidden="false" outlineLevel="0" max="20" min="20" style="1" width="10.71"/>
    <col collapsed="false" customWidth="true" hidden="false" outlineLevel="0" max="21" min="21" style="1" width="8.57"/>
    <col collapsed="false" customWidth="true" hidden="false" outlineLevel="0" max="22" min="22" style="1" width="16.43"/>
    <col collapsed="false" customWidth="true" hidden="false" outlineLevel="0" max="23" min="23" style="1" width="19.42"/>
    <col collapsed="false" customWidth="true" hidden="false" outlineLevel="0" max="29" min="24" style="1" width="20.29"/>
    <col collapsed="false" customWidth="true" hidden="false" outlineLevel="0" max="30" min="30" style="1" width="17.42"/>
    <col collapsed="false" customWidth="true" hidden="false" outlineLevel="0" max="31" min="31" style="1" width="16.57"/>
    <col collapsed="false" customWidth="true" hidden="false" outlineLevel="0" max="32" min="32" style="1" width="19.57"/>
    <col collapsed="false" customWidth="true" hidden="false" outlineLevel="0" max="38" min="33" style="1" width="20.42"/>
    <col collapsed="false" customWidth="true" hidden="false" outlineLevel="0" max="39" min="39" style="1" width="17.57"/>
    <col collapsed="false" customWidth="true" hidden="false" outlineLevel="0" max="45" min="40" style="1" width="20.29"/>
    <col collapsed="false" customWidth="true" hidden="false" outlineLevel="0" max="46" min="46" style="1" width="14.71"/>
    <col collapsed="false" customWidth="true" hidden="false" outlineLevel="0" max="47" min="47" style="1" width="14"/>
    <col collapsed="false" customWidth="true" hidden="false" outlineLevel="0" max="48" min="48" style="1" width="16.84"/>
    <col collapsed="false" customWidth="true" hidden="false" outlineLevel="0" max="49" min="49" style="1" width="14"/>
    <col collapsed="false" customWidth="true" hidden="false" outlineLevel="0" max="50" min="50" style="1" width="14.14"/>
    <col collapsed="false" customWidth="true" hidden="false" outlineLevel="0" max="51" min="51" style="1" width="17"/>
    <col collapsed="false" customWidth="true" hidden="false" outlineLevel="0" max="52" min="52" style="1" width="14.14"/>
    <col collapsed="false" customWidth="true" hidden="false" outlineLevel="0" max="54" min="53" style="1" width="17.86"/>
    <col collapsed="false" customWidth="true" hidden="false" outlineLevel="0" max="56" min="55" style="1" width="18"/>
    <col collapsed="false" customWidth="true" hidden="false" outlineLevel="0" max="57" min="57" style="1" width="15.14"/>
    <col collapsed="false" customWidth="true" hidden="false" outlineLevel="0" max="58" min="58" style="1" width="11"/>
    <col collapsed="false" customWidth="true" hidden="false" outlineLevel="0" max="59" min="59" style="1" width="12.86"/>
    <col collapsed="false" customWidth="true" hidden="false" outlineLevel="0" max="60" min="60" style="1" width="16.71"/>
    <col collapsed="false" customWidth="true" hidden="false" outlineLevel="0" max="61" min="61" style="1" width="17.71"/>
    <col collapsed="false" customWidth="true" hidden="false" outlineLevel="0" max="62" min="62" style="1" width="13.86"/>
    <col collapsed="false" customWidth="true" hidden="false" outlineLevel="0" max="63" min="63" style="1" width="10"/>
  </cols>
  <sheetData>
    <row r="1" customFormat="false" ht="12.75" hidden="false" customHeight="false" outlineLevel="0" collapsed="false">
      <c r="A1" s="6" t="s">
        <v>232</v>
      </c>
      <c r="B1" s="6" t="s">
        <v>25</v>
      </c>
      <c r="C1" s="6" t="s">
        <v>35</v>
      </c>
      <c r="D1" s="6" t="s">
        <v>38</v>
      </c>
      <c r="E1" s="6" t="s">
        <v>43</v>
      </c>
      <c r="F1" s="6" t="s">
        <v>48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57</v>
      </c>
      <c r="L1" s="6" t="s">
        <v>60</v>
      </c>
      <c r="M1" s="6" t="s">
        <v>62</v>
      </c>
      <c r="N1" s="6" t="s">
        <v>67</v>
      </c>
      <c r="O1" s="6" t="s">
        <v>73</v>
      </c>
      <c r="P1" s="6" t="s">
        <v>77</v>
      </c>
      <c r="Q1" s="6" t="s">
        <v>81</v>
      </c>
      <c r="R1" s="6" t="s">
        <v>84</v>
      </c>
      <c r="S1" s="6" t="s">
        <v>86</v>
      </c>
      <c r="T1" s="6" t="s">
        <v>88</v>
      </c>
      <c r="U1" s="6" t="s">
        <v>90</v>
      </c>
      <c r="V1" s="6" t="s">
        <v>92</v>
      </c>
      <c r="W1" s="6" t="s">
        <v>100</v>
      </c>
      <c r="X1" s="6" t="s">
        <v>104</v>
      </c>
      <c r="Y1" s="6" t="s">
        <v>108</v>
      </c>
      <c r="Z1" s="6" t="s">
        <v>112</v>
      </c>
      <c r="AA1" s="6" t="s">
        <v>114</v>
      </c>
      <c r="AB1" s="6" t="s">
        <v>118</v>
      </c>
      <c r="AC1" s="6" t="s">
        <v>122</v>
      </c>
      <c r="AD1" s="1" t="s">
        <v>126</v>
      </c>
      <c r="AE1" s="1" t="s">
        <v>130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6" t="s">
        <v>144</v>
      </c>
      <c r="AP1" s="6" t="s">
        <v>147</v>
      </c>
      <c r="AQ1" s="1" t="s">
        <v>151</v>
      </c>
      <c r="AR1" s="1" t="s">
        <v>155</v>
      </c>
      <c r="AS1" s="1" t="s">
        <v>159</v>
      </c>
      <c r="AT1" s="1" t="s">
        <v>163</v>
      </c>
      <c r="AU1" s="1" t="s">
        <v>167</v>
      </c>
      <c r="AV1" s="1" t="s">
        <v>174</v>
      </c>
      <c r="AW1" s="1" t="s">
        <v>179</v>
      </c>
      <c r="AX1" s="1" t="s">
        <v>184</v>
      </c>
      <c r="AY1" s="1" t="s">
        <v>186</v>
      </c>
      <c r="AZ1" s="1" t="s">
        <v>187</v>
      </c>
      <c r="BA1" s="1" t="s">
        <v>188</v>
      </c>
      <c r="BB1" s="1" t="s">
        <v>192</v>
      </c>
      <c r="BC1" s="1" t="s">
        <v>196</v>
      </c>
      <c r="BD1" s="1" t="s">
        <v>197</v>
      </c>
      <c r="BE1" s="1" t="s">
        <v>198</v>
      </c>
      <c r="BF1" s="1" t="s">
        <v>201</v>
      </c>
      <c r="BG1" s="1" t="s">
        <v>205</v>
      </c>
      <c r="BH1" s="1" t="s">
        <v>215</v>
      </c>
      <c r="BI1" s="1" t="s">
        <v>220</v>
      </c>
      <c r="BJ1" s="1" t="s">
        <v>225</v>
      </c>
      <c r="BK1" s="1" t="s">
        <v>230</v>
      </c>
    </row>
    <row r="2" customFormat="false" ht="12.75" hidden="false" customHeight="false" outlineLevel="0" collapsed="false">
      <c r="A2" s="6" t="n">
        <v>2025</v>
      </c>
      <c r="B2" s="1" t="n">
        <v>1</v>
      </c>
      <c r="C2" s="1" t="n">
        <v>1</v>
      </c>
      <c r="D2" s="1" t="n">
        <v>1</v>
      </c>
      <c r="E2" s="1" t="n">
        <v>1</v>
      </c>
      <c r="F2" s="1" t="n">
        <f aca="false">im!L2/im!K2</f>
        <v>4.25363984674332</v>
      </c>
      <c r="G2" s="1" t="n">
        <f aca="false">F2</f>
        <v>4.25363984674332</v>
      </c>
      <c r="H2" s="1" t="n">
        <f aca="false">F2</f>
        <v>4.25363984674332</v>
      </c>
      <c r="I2" s="1" t="n">
        <f aca="false">F2</f>
        <v>4.25363984674332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f aca="false">F2</f>
        <v>4.25363984674332</v>
      </c>
      <c r="R2" s="1" t="n">
        <f aca="false">F2</f>
        <v>4.25363984674332</v>
      </c>
      <c r="S2" s="1" t="n">
        <f aca="false">F2</f>
        <v>4.25363984674332</v>
      </c>
      <c r="T2" s="1" t="n">
        <v>1</v>
      </c>
      <c r="U2" s="1" t="n">
        <v>1</v>
      </c>
      <c r="V2" s="1" t="n">
        <f aca="false">F2</f>
        <v>4.25363984674332</v>
      </c>
      <c r="W2" s="1" t="n">
        <f aca="false">F2</f>
        <v>4.25363984674332</v>
      </c>
      <c r="X2" s="1" t="n">
        <f aca="false">F2</f>
        <v>4.25363984674332</v>
      </c>
      <c r="Y2" s="1" t="n">
        <f aca="false">F2</f>
        <v>4.25363984674332</v>
      </c>
      <c r="Z2" s="1" t="n">
        <f aca="false">F2</f>
        <v>4.25363984674332</v>
      </c>
      <c r="AA2" s="1" t="n">
        <f aca="false">F2</f>
        <v>4.25363984674332</v>
      </c>
      <c r="AB2" s="1" t="n">
        <f aca="false">F2</f>
        <v>4.25363984674332</v>
      </c>
      <c r="AC2" s="1" t="n">
        <f aca="false">F2</f>
        <v>4.25363984674332</v>
      </c>
      <c r="AD2" s="1" t="n">
        <f aca="false">F2</f>
        <v>4.25363984674332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f aca="false">F2</f>
        <v>4.25363984674332</v>
      </c>
      <c r="AO2" s="1" t="n">
        <f aca="false">F2</f>
        <v>4.25363984674332</v>
      </c>
      <c r="AP2" s="1" t="n">
        <f aca="false">F2</f>
        <v>4.25363984674332</v>
      </c>
      <c r="AQ2" s="1" t="n">
        <f aca="false">F2</f>
        <v>4.25363984674332</v>
      </c>
      <c r="AR2" s="1" t="n">
        <f aca="false">F2</f>
        <v>4.25363984674332</v>
      </c>
      <c r="AS2" s="1" t="n">
        <f aca="false">F2</f>
        <v>4.25363984674332</v>
      </c>
      <c r="AT2" s="1" t="n">
        <v>1</v>
      </c>
      <c r="AU2" s="1" t="n">
        <f aca="false">F2</f>
        <v>4.25363984674332</v>
      </c>
      <c r="AV2" s="1" t="n">
        <f aca="false">F2</f>
        <v>4.25363984674332</v>
      </c>
      <c r="AW2" s="1" t="n">
        <f aca="false">F2</f>
        <v>4.25363984674332</v>
      </c>
      <c r="AX2" s="1" t="n">
        <v>1</v>
      </c>
      <c r="AY2" s="1" t="n">
        <v>1</v>
      </c>
      <c r="AZ2" s="1" t="n">
        <v>1</v>
      </c>
      <c r="BA2" s="1" t="n">
        <f aca="false">F2</f>
        <v>4.25363984674332</v>
      </c>
      <c r="BB2" s="1" t="n">
        <f aca="false">F2</f>
        <v>4.25363984674332</v>
      </c>
      <c r="BC2" s="1" t="n">
        <v>1</v>
      </c>
      <c r="BD2" s="1" t="n">
        <v>1</v>
      </c>
      <c r="BE2" s="1" t="n">
        <v>1</v>
      </c>
      <c r="BF2" s="1" t="n">
        <v>1</v>
      </c>
      <c r="BG2" s="1" t="n">
        <v>1</v>
      </c>
      <c r="BH2" s="1" t="n">
        <v>1</v>
      </c>
      <c r="BI2" s="1" t="n">
        <v>1</v>
      </c>
      <c r="BJ2" s="1" t="n">
        <v>1</v>
      </c>
      <c r="BK2" s="1" t="n">
        <v>1</v>
      </c>
    </row>
    <row r="3" customFormat="false" ht="12.75" hidden="false" customHeight="false" outlineLevel="0" collapsed="false">
      <c r="A3" s="6" t="n">
        <v>2024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f aca="false">im!L2/im!K2</f>
        <v>4.25363984674332</v>
      </c>
      <c r="G3" s="1" t="n">
        <f aca="false">F3</f>
        <v>4.25363984674332</v>
      </c>
      <c r="H3" s="1" t="n">
        <f aca="false">F3</f>
        <v>4.25363984674332</v>
      </c>
      <c r="I3" s="1" t="n">
        <f aca="false">F3</f>
        <v>4.25363984674332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f aca="false">F3</f>
        <v>4.25363984674332</v>
      </c>
      <c r="R3" s="1" t="n">
        <f aca="false">F3</f>
        <v>4.25363984674332</v>
      </c>
      <c r="S3" s="1" t="n">
        <f aca="false">F3</f>
        <v>4.25363984674332</v>
      </c>
      <c r="T3" s="1" t="n">
        <v>1</v>
      </c>
      <c r="U3" s="1" t="n">
        <v>1</v>
      </c>
      <c r="V3" s="1" t="n">
        <f aca="false">F3</f>
        <v>4.25363984674332</v>
      </c>
      <c r="W3" s="1" t="n">
        <f aca="false">F3</f>
        <v>4.25363984674332</v>
      </c>
      <c r="X3" s="1" t="n">
        <f aca="false">F3</f>
        <v>4.25363984674332</v>
      </c>
      <c r="Y3" s="1" t="n">
        <f aca="false">F3</f>
        <v>4.25363984674332</v>
      </c>
      <c r="Z3" s="1" t="n">
        <f aca="false">F3</f>
        <v>4.25363984674332</v>
      </c>
      <c r="AA3" s="1" t="n">
        <f aca="false">F3</f>
        <v>4.25363984674332</v>
      </c>
      <c r="AB3" s="1" t="n">
        <f aca="false">F3</f>
        <v>4.25363984674332</v>
      </c>
      <c r="AC3" s="1" t="n">
        <f aca="false">F3</f>
        <v>4.25363984674332</v>
      </c>
      <c r="AD3" s="1" t="n">
        <f aca="false">F3</f>
        <v>4.25363984674332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f aca="false">F3</f>
        <v>4.25363984674332</v>
      </c>
      <c r="AO3" s="1" t="n">
        <f aca="false">F3</f>
        <v>4.25363984674332</v>
      </c>
      <c r="AP3" s="1" t="n">
        <f aca="false">F3</f>
        <v>4.25363984674332</v>
      </c>
      <c r="AQ3" s="1" t="n">
        <f aca="false">F3</f>
        <v>4.25363984674332</v>
      </c>
      <c r="AR3" s="1" t="n">
        <f aca="false">F3</f>
        <v>4.25363984674332</v>
      </c>
      <c r="AS3" s="1" t="n">
        <f aca="false">F3</f>
        <v>4.25363984674332</v>
      </c>
      <c r="AT3" s="1" t="n">
        <v>1</v>
      </c>
      <c r="AU3" s="1" t="n">
        <f aca="false">F3</f>
        <v>4.25363984674332</v>
      </c>
      <c r="AV3" s="1" t="n">
        <f aca="false">F3</f>
        <v>4.25363984674332</v>
      </c>
      <c r="AW3" s="1" t="n">
        <f aca="false">F3</f>
        <v>4.25363984674332</v>
      </c>
      <c r="AX3" s="1" t="n">
        <v>1</v>
      </c>
      <c r="AY3" s="1" t="n">
        <v>1</v>
      </c>
      <c r="AZ3" s="1" t="n">
        <v>1</v>
      </c>
      <c r="BA3" s="1" t="n">
        <f aca="false">F3</f>
        <v>4.25363984674332</v>
      </c>
      <c r="BB3" s="1" t="n">
        <f aca="false">F3</f>
        <v>4.25363984674332</v>
      </c>
      <c r="BC3" s="1" t="n">
        <v>1</v>
      </c>
      <c r="BD3" s="1" t="n">
        <v>1</v>
      </c>
      <c r="BE3" s="1" t="n">
        <v>1</v>
      </c>
      <c r="BF3" s="1" t="n">
        <v>1</v>
      </c>
      <c r="BG3" s="1" t="n">
        <v>1</v>
      </c>
      <c r="BH3" s="1" t="n">
        <v>1</v>
      </c>
      <c r="BI3" s="1" t="n">
        <v>1</v>
      </c>
      <c r="BJ3" s="1" t="n">
        <v>1</v>
      </c>
      <c r="BK3" s="1" t="n">
        <v>1</v>
      </c>
    </row>
    <row r="4" customFormat="false" ht="12.75" hidden="false" customHeight="false" outlineLevel="0" collapsed="false">
      <c r="A4" s="6" t="n">
        <v>2023</v>
      </c>
      <c r="B4" s="1" t="n">
        <v>1</v>
      </c>
      <c r="C4" s="1" t="n">
        <v>1</v>
      </c>
      <c r="D4" s="1" t="n">
        <v>1</v>
      </c>
      <c r="E4" s="1" t="n">
        <v>1</v>
      </c>
      <c r="F4" s="1" t="n">
        <f aca="false">im!L3/im!K3</f>
        <v>4.25363984674332</v>
      </c>
      <c r="G4" s="1" t="n">
        <f aca="false">F4</f>
        <v>4.25363984674332</v>
      </c>
      <c r="H4" s="1" t="n">
        <f aca="false">F4</f>
        <v>4.25363984674332</v>
      </c>
      <c r="I4" s="1" t="n">
        <f aca="false">F4</f>
        <v>4.25363984674332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f aca="false">F4</f>
        <v>4.25363984674332</v>
      </c>
      <c r="R4" s="1" t="n">
        <f aca="false">F4</f>
        <v>4.25363984674332</v>
      </c>
      <c r="S4" s="1" t="n">
        <f aca="false">F4</f>
        <v>4.25363984674332</v>
      </c>
      <c r="T4" s="1" t="n">
        <v>1</v>
      </c>
      <c r="U4" s="1" t="n">
        <v>1</v>
      </c>
      <c r="V4" s="1" t="n">
        <f aca="false">F4</f>
        <v>4.25363984674332</v>
      </c>
      <c r="W4" s="1" t="n">
        <f aca="false">F4</f>
        <v>4.25363984674332</v>
      </c>
      <c r="X4" s="1" t="n">
        <f aca="false">F4</f>
        <v>4.25363984674332</v>
      </c>
      <c r="Y4" s="1" t="n">
        <f aca="false">F4</f>
        <v>4.25363984674332</v>
      </c>
      <c r="Z4" s="1" t="n">
        <f aca="false">F4</f>
        <v>4.25363984674332</v>
      </c>
      <c r="AA4" s="1" t="n">
        <f aca="false">F4</f>
        <v>4.25363984674332</v>
      </c>
      <c r="AB4" s="1" t="n">
        <f aca="false">F4</f>
        <v>4.25363984674332</v>
      </c>
      <c r="AC4" s="1" t="n">
        <f aca="false">F4</f>
        <v>4.25363984674332</v>
      </c>
      <c r="AD4" s="1" t="n">
        <f aca="false">F4</f>
        <v>4.25363984674332</v>
      </c>
      <c r="AE4" s="1" t="n">
        <v>1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</v>
      </c>
      <c r="AN4" s="1" t="n">
        <f aca="false">F4</f>
        <v>4.25363984674332</v>
      </c>
      <c r="AO4" s="1" t="n">
        <f aca="false">F4</f>
        <v>4.25363984674332</v>
      </c>
      <c r="AP4" s="1" t="n">
        <f aca="false">F4</f>
        <v>4.25363984674332</v>
      </c>
      <c r="AQ4" s="1" t="n">
        <f aca="false">F4</f>
        <v>4.25363984674332</v>
      </c>
      <c r="AR4" s="1" t="n">
        <f aca="false">F4</f>
        <v>4.25363984674332</v>
      </c>
      <c r="AS4" s="1" t="n">
        <f aca="false">F4</f>
        <v>4.25363984674332</v>
      </c>
      <c r="AT4" s="1" t="n">
        <v>1</v>
      </c>
      <c r="AU4" s="1" t="n">
        <f aca="false">F4</f>
        <v>4.25363984674332</v>
      </c>
      <c r="AV4" s="1" t="n">
        <f aca="false">F4</f>
        <v>4.25363984674332</v>
      </c>
      <c r="AW4" s="1" t="n">
        <f aca="false">F4</f>
        <v>4.25363984674332</v>
      </c>
      <c r="AX4" s="1" t="n">
        <v>1</v>
      </c>
      <c r="AY4" s="1" t="n">
        <v>1</v>
      </c>
      <c r="AZ4" s="1" t="n">
        <v>1</v>
      </c>
      <c r="BA4" s="1" t="n">
        <f aca="false">F4</f>
        <v>4.25363984674332</v>
      </c>
      <c r="BB4" s="1" t="n">
        <f aca="false">F4</f>
        <v>4.25363984674332</v>
      </c>
      <c r="BC4" s="1" t="n">
        <v>1</v>
      </c>
      <c r="BD4" s="1" t="n">
        <v>1</v>
      </c>
      <c r="BE4" s="1" t="n">
        <v>1</v>
      </c>
      <c r="BF4" s="1" t="n">
        <v>1</v>
      </c>
      <c r="BG4" s="1" t="n">
        <v>1</v>
      </c>
      <c r="BH4" s="1" t="n">
        <v>1</v>
      </c>
      <c r="BI4" s="1" t="n">
        <v>1</v>
      </c>
      <c r="BJ4" s="1" t="n">
        <v>1</v>
      </c>
      <c r="BK4" s="1" t="n">
        <v>1</v>
      </c>
    </row>
    <row r="5" customFormat="false" ht="12.75" hidden="false" customHeight="false" outlineLevel="0" collapsed="false">
      <c r="A5" s="6" t="n">
        <v>2022</v>
      </c>
      <c r="B5" s="1" t="n">
        <v>1</v>
      </c>
      <c r="C5" s="1" t="n">
        <v>1</v>
      </c>
      <c r="D5" s="1" t="n">
        <v>1</v>
      </c>
      <c r="E5" s="1" t="n">
        <v>1</v>
      </c>
      <c r="F5" s="1" t="n">
        <f aca="false">im!L4/im!K4</f>
        <v>4.25363984674332</v>
      </c>
      <c r="G5" s="1" t="n">
        <f aca="false">F5</f>
        <v>4.25363984674332</v>
      </c>
      <c r="H5" s="1" t="n">
        <f aca="false">F5</f>
        <v>4.25363984674332</v>
      </c>
      <c r="I5" s="1" t="n">
        <f aca="false">F5</f>
        <v>4.25363984674332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f aca="false">F5</f>
        <v>4.25363984674332</v>
      </c>
      <c r="R5" s="1" t="n">
        <f aca="false">F5</f>
        <v>4.25363984674332</v>
      </c>
      <c r="S5" s="1" t="n">
        <f aca="false">F5</f>
        <v>4.25363984674332</v>
      </c>
      <c r="T5" s="1" t="n">
        <v>1</v>
      </c>
      <c r="U5" s="1" t="n">
        <v>1</v>
      </c>
      <c r="V5" s="1" t="n">
        <f aca="false">F5</f>
        <v>4.25363984674332</v>
      </c>
      <c r="W5" s="1" t="n">
        <f aca="false">F5</f>
        <v>4.25363984674332</v>
      </c>
      <c r="X5" s="1" t="n">
        <f aca="false">F5</f>
        <v>4.25363984674332</v>
      </c>
      <c r="Y5" s="1" t="n">
        <f aca="false">F5</f>
        <v>4.25363984674332</v>
      </c>
      <c r="Z5" s="1" t="n">
        <f aca="false">F5</f>
        <v>4.25363984674332</v>
      </c>
      <c r="AA5" s="1" t="n">
        <f aca="false">F5</f>
        <v>4.25363984674332</v>
      </c>
      <c r="AB5" s="1" t="n">
        <f aca="false">F5</f>
        <v>4.25363984674332</v>
      </c>
      <c r="AC5" s="1" t="n">
        <f aca="false">F5</f>
        <v>4.25363984674332</v>
      </c>
      <c r="AD5" s="1" t="n">
        <f aca="false">F5</f>
        <v>4.25363984674332</v>
      </c>
      <c r="AE5" s="1" t="n">
        <v>1</v>
      </c>
      <c r="AF5" s="1" t="n">
        <v>1</v>
      </c>
      <c r="AG5" s="1" t="n">
        <v>1</v>
      </c>
      <c r="AH5" s="1" t="n">
        <v>1</v>
      </c>
      <c r="AI5" s="1" t="n">
        <v>1</v>
      </c>
      <c r="AJ5" s="1" t="n">
        <v>1</v>
      </c>
      <c r="AK5" s="1" t="n">
        <v>1</v>
      </c>
      <c r="AL5" s="1" t="n">
        <v>1</v>
      </c>
      <c r="AM5" s="1" t="n">
        <v>1</v>
      </c>
      <c r="AN5" s="1" t="n">
        <f aca="false">F5</f>
        <v>4.25363984674332</v>
      </c>
      <c r="AO5" s="1" t="n">
        <f aca="false">F5</f>
        <v>4.25363984674332</v>
      </c>
      <c r="AP5" s="1" t="n">
        <f aca="false">F5</f>
        <v>4.25363984674332</v>
      </c>
      <c r="AQ5" s="1" t="n">
        <f aca="false">F5</f>
        <v>4.25363984674332</v>
      </c>
      <c r="AR5" s="1" t="n">
        <f aca="false">F5</f>
        <v>4.25363984674332</v>
      </c>
      <c r="AS5" s="1" t="n">
        <f aca="false">F5</f>
        <v>4.25363984674332</v>
      </c>
      <c r="AT5" s="1" t="n">
        <v>1</v>
      </c>
      <c r="AU5" s="1" t="n">
        <f aca="false">F5</f>
        <v>4.25363984674332</v>
      </c>
      <c r="AV5" s="1" t="n">
        <f aca="false">F5</f>
        <v>4.25363984674332</v>
      </c>
      <c r="AW5" s="1" t="n">
        <f aca="false">F5</f>
        <v>4.25363984674332</v>
      </c>
      <c r="AX5" s="1" t="n">
        <v>1</v>
      </c>
      <c r="AY5" s="1" t="n">
        <v>1</v>
      </c>
      <c r="AZ5" s="1" t="n">
        <v>1</v>
      </c>
      <c r="BA5" s="1" t="n">
        <f aca="false">F5</f>
        <v>4.25363984674332</v>
      </c>
      <c r="BB5" s="1" t="n">
        <f aca="false">F5</f>
        <v>4.25363984674332</v>
      </c>
      <c r="BC5" s="1" t="n">
        <v>1</v>
      </c>
      <c r="BD5" s="1" t="n">
        <v>1</v>
      </c>
      <c r="BE5" s="1" t="n">
        <v>1</v>
      </c>
      <c r="BF5" s="1" t="n">
        <v>1</v>
      </c>
      <c r="BG5" s="1" t="n">
        <v>1</v>
      </c>
      <c r="BH5" s="1" t="n">
        <v>1</v>
      </c>
      <c r="BI5" s="1" t="n">
        <v>1</v>
      </c>
      <c r="BJ5" s="1" t="n">
        <v>1</v>
      </c>
      <c r="BK5" s="1" t="n">
        <v>1</v>
      </c>
    </row>
    <row r="6" customFormat="false" ht="12.75" hidden="false" customHeight="false" outlineLevel="0" collapsed="false">
      <c r="A6" s="6" t="n">
        <v>2021</v>
      </c>
      <c r="B6" s="1" t="n">
        <v>1</v>
      </c>
      <c r="C6" s="1" t="n">
        <v>1</v>
      </c>
      <c r="D6" s="1" t="n">
        <v>1</v>
      </c>
      <c r="E6" s="1" t="n">
        <v>1</v>
      </c>
      <c r="F6" s="1" t="n">
        <f aca="false">im!L5/im!K5</f>
        <v>4.25363984674332</v>
      </c>
      <c r="G6" s="1" t="n">
        <f aca="false">F6</f>
        <v>4.25363984674332</v>
      </c>
      <c r="H6" s="1" t="n">
        <f aca="false">F6</f>
        <v>4.25363984674332</v>
      </c>
      <c r="I6" s="1" t="n">
        <f aca="false">F6</f>
        <v>4.25363984674332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f aca="false">F6</f>
        <v>4.25363984674332</v>
      </c>
      <c r="R6" s="1" t="n">
        <f aca="false">F6</f>
        <v>4.25363984674332</v>
      </c>
      <c r="S6" s="1" t="n">
        <f aca="false">F6</f>
        <v>4.25363984674332</v>
      </c>
      <c r="T6" s="1" t="n">
        <v>1</v>
      </c>
      <c r="U6" s="1" t="n">
        <v>1</v>
      </c>
      <c r="V6" s="1" t="n">
        <f aca="false">F6</f>
        <v>4.25363984674332</v>
      </c>
      <c r="W6" s="1" t="n">
        <f aca="false">F6</f>
        <v>4.25363984674332</v>
      </c>
      <c r="X6" s="1" t="n">
        <f aca="false">F6</f>
        <v>4.25363984674332</v>
      </c>
      <c r="Y6" s="1" t="n">
        <f aca="false">F6</f>
        <v>4.25363984674332</v>
      </c>
      <c r="Z6" s="1" t="n">
        <f aca="false">F6</f>
        <v>4.25363984674332</v>
      </c>
      <c r="AA6" s="1" t="n">
        <f aca="false">F6</f>
        <v>4.25363984674332</v>
      </c>
      <c r="AB6" s="1" t="n">
        <f aca="false">F6</f>
        <v>4.25363984674332</v>
      </c>
      <c r="AC6" s="1" t="n">
        <f aca="false">F6</f>
        <v>4.25363984674332</v>
      </c>
      <c r="AD6" s="1" t="n">
        <f aca="false">F6</f>
        <v>4.25363984674332</v>
      </c>
      <c r="AE6" s="1" t="n">
        <v>1</v>
      </c>
      <c r="AF6" s="1" t="n">
        <v>1</v>
      </c>
      <c r="AG6" s="1" t="n">
        <v>1</v>
      </c>
      <c r="AH6" s="1" t="n">
        <v>1</v>
      </c>
      <c r="AI6" s="1" t="n">
        <v>1</v>
      </c>
      <c r="AJ6" s="1" t="n">
        <v>1</v>
      </c>
      <c r="AK6" s="1" t="n">
        <v>1</v>
      </c>
      <c r="AL6" s="1" t="n">
        <v>1</v>
      </c>
      <c r="AM6" s="1" t="n">
        <v>1</v>
      </c>
      <c r="AN6" s="1" t="n">
        <f aca="false">F6</f>
        <v>4.25363984674332</v>
      </c>
      <c r="AO6" s="1" t="n">
        <f aca="false">F6</f>
        <v>4.25363984674332</v>
      </c>
      <c r="AP6" s="1" t="n">
        <f aca="false">F6</f>
        <v>4.25363984674332</v>
      </c>
      <c r="AQ6" s="1" t="n">
        <f aca="false">F6</f>
        <v>4.25363984674332</v>
      </c>
      <c r="AR6" s="1" t="n">
        <f aca="false">F6</f>
        <v>4.25363984674332</v>
      </c>
      <c r="AS6" s="1" t="n">
        <f aca="false">F6</f>
        <v>4.25363984674332</v>
      </c>
      <c r="AT6" s="1" t="n">
        <v>1</v>
      </c>
      <c r="AU6" s="1" t="n">
        <f aca="false">F6</f>
        <v>4.25363984674332</v>
      </c>
      <c r="AV6" s="1" t="n">
        <f aca="false">F6</f>
        <v>4.25363984674332</v>
      </c>
      <c r="AW6" s="1" t="n">
        <f aca="false">F6</f>
        <v>4.25363984674332</v>
      </c>
      <c r="AX6" s="1" t="n">
        <v>1</v>
      </c>
      <c r="AY6" s="1" t="n">
        <v>1</v>
      </c>
      <c r="AZ6" s="1" t="n">
        <v>1</v>
      </c>
      <c r="BA6" s="1" t="n">
        <f aca="false">F6</f>
        <v>4.25363984674332</v>
      </c>
      <c r="BB6" s="1" t="n">
        <f aca="false">F6</f>
        <v>4.25363984674332</v>
      </c>
      <c r="BC6" s="1" t="n">
        <v>1</v>
      </c>
      <c r="BD6" s="1" t="n">
        <v>1</v>
      </c>
      <c r="BE6" s="1" t="n">
        <v>1</v>
      </c>
      <c r="BF6" s="1" t="n">
        <v>1</v>
      </c>
      <c r="BG6" s="1" t="n">
        <v>1</v>
      </c>
      <c r="BH6" s="1" t="n">
        <v>1</v>
      </c>
      <c r="BI6" s="1" t="n">
        <v>1</v>
      </c>
      <c r="BJ6" s="1" t="n">
        <v>1</v>
      </c>
      <c r="BK6" s="1" t="n">
        <v>1</v>
      </c>
    </row>
    <row r="7" customFormat="false" ht="12.75" hidden="false" customHeight="false" outlineLevel="0" collapsed="false">
      <c r="A7" s="6" t="n">
        <v>2020</v>
      </c>
      <c r="B7" s="1" t="n">
        <v>1</v>
      </c>
      <c r="C7" s="1" t="n">
        <v>1</v>
      </c>
      <c r="D7" s="1" t="n">
        <v>1</v>
      </c>
      <c r="E7" s="1" t="n">
        <v>1</v>
      </c>
      <c r="F7" s="1" t="n">
        <f aca="false">im!L6/im!K6</f>
        <v>4.25363984674332</v>
      </c>
      <c r="G7" s="1" t="n">
        <f aca="false">F7</f>
        <v>4.25363984674332</v>
      </c>
      <c r="H7" s="1" t="n">
        <f aca="false">F7</f>
        <v>4.25363984674332</v>
      </c>
      <c r="I7" s="1" t="n">
        <f aca="false">F7</f>
        <v>4.25363984674332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f aca="false">F7</f>
        <v>4.25363984674332</v>
      </c>
      <c r="R7" s="1" t="n">
        <f aca="false">F7</f>
        <v>4.25363984674332</v>
      </c>
      <c r="S7" s="1" t="n">
        <f aca="false">F7</f>
        <v>4.25363984674332</v>
      </c>
      <c r="T7" s="1" t="n">
        <v>1</v>
      </c>
      <c r="U7" s="1" t="n">
        <v>1</v>
      </c>
      <c r="V7" s="1" t="n">
        <f aca="false">F7</f>
        <v>4.25363984674332</v>
      </c>
      <c r="W7" s="1" t="n">
        <f aca="false">F7</f>
        <v>4.25363984674332</v>
      </c>
      <c r="X7" s="1" t="n">
        <f aca="false">F7</f>
        <v>4.25363984674332</v>
      </c>
      <c r="Y7" s="1" t="n">
        <f aca="false">F7</f>
        <v>4.25363984674332</v>
      </c>
      <c r="Z7" s="1" t="n">
        <f aca="false">F7</f>
        <v>4.25363984674332</v>
      </c>
      <c r="AA7" s="1" t="n">
        <f aca="false">F7</f>
        <v>4.25363984674332</v>
      </c>
      <c r="AB7" s="1" t="n">
        <f aca="false">F7</f>
        <v>4.25363984674332</v>
      </c>
      <c r="AC7" s="1" t="n">
        <f aca="false">F7</f>
        <v>4.25363984674332</v>
      </c>
      <c r="AD7" s="1" t="n">
        <f aca="false">F7</f>
        <v>4.25363984674332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f aca="false">F7</f>
        <v>4.25363984674332</v>
      </c>
      <c r="AO7" s="1" t="n">
        <f aca="false">F7</f>
        <v>4.25363984674332</v>
      </c>
      <c r="AP7" s="1" t="n">
        <f aca="false">F7</f>
        <v>4.25363984674332</v>
      </c>
      <c r="AQ7" s="1" t="n">
        <f aca="false">F7</f>
        <v>4.25363984674332</v>
      </c>
      <c r="AR7" s="1" t="n">
        <f aca="false">F7</f>
        <v>4.25363984674332</v>
      </c>
      <c r="AS7" s="1" t="n">
        <f aca="false">F7</f>
        <v>4.25363984674332</v>
      </c>
      <c r="AT7" s="1" t="n">
        <v>1</v>
      </c>
      <c r="AU7" s="1" t="n">
        <f aca="false">F7</f>
        <v>4.25363984674332</v>
      </c>
      <c r="AV7" s="1" t="n">
        <f aca="false">F7</f>
        <v>4.25363984674332</v>
      </c>
      <c r="AW7" s="1" t="n">
        <f aca="false">F7</f>
        <v>4.25363984674332</v>
      </c>
      <c r="AX7" s="1" t="n">
        <v>1</v>
      </c>
      <c r="AY7" s="1" t="n">
        <v>1</v>
      </c>
      <c r="AZ7" s="1" t="n">
        <v>1</v>
      </c>
      <c r="BA7" s="1" t="n">
        <f aca="false">F7</f>
        <v>4.25363984674332</v>
      </c>
      <c r="BB7" s="1" t="n">
        <f aca="false">F7</f>
        <v>4.25363984674332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</row>
    <row r="8" customFormat="false" ht="12.75" hidden="false" customHeight="false" outlineLevel="0" collapsed="false">
      <c r="A8" s="1" t="n">
        <v>2019</v>
      </c>
      <c r="B8" s="1" t="n">
        <v>1</v>
      </c>
      <c r="C8" s="1" t="n">
        <v>1</v>
      </c>
      <c r="D8" s="1" t="n">
        <v>1</v>
      </c>
      <c r="E8" s="1" t="n">
        <v>1</v>
      </c>
      <c r="F8" s="1" t="n">
        <f aca="false">im!L7/im!K7</f>
        <v>4.25363984674332</v>
      </c>
      <c r="G8" s="1" t="n">
        <f aca="false">F8</f>
        <v>4.25363984674332</v>
      </c>
      <c r="H8" s="1" t="n">
        <f aca="false">F8</f>
        <v>4.25363984674332</v>
      </c>
      <c r="I8" s="1" t="n">
        <f aca="false">F8</f>
        <v>4.25363984674332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f aca="false">F8</f>
        <v>4.25363984674332</v>
      </c>
      <c r="R8" s="1" t="n">
        <f aca="false">F8</f>
        <v>4.25363984674332</v>
      </c>
      <c r="S8" s="1" t="n">
        <f aca="false">F8</f>
        <v>4.25363984674332</v>
      </c>
      <c r="T8" s="1" t="n">
        <v>1</v>
      </c>
      <c r="U8" s="1" t="n">
        <v>1</v>
      </c>
      <c r="V8" s="1" t="n">
        <f aca="false">F8</f>
        <v>4.25363984674332</v>
      </c>
      <c r="W8" s="1" t="n">
        <f aca="false">F8</f>
        <v>4.25363984674332</v>
      </c>
      <c r="X8" s="1" t="n">
        <f aca="false">F8</f>
        <v>4.25363984674332</v>
      </c>
      <c r="Y8" s="1" t="n">
        <f aca="false">F8</f>
        <v>4.25363984674332</v>
      </c>
      <c r="Z8" s="1" t="n">
        <f aca="false">F8</f>
        <v>4.25363984674332</v>
      </c>
      <c r="AA8" s="1" t="n">
        <f aca="false">F8</f>
        <v>4.25363984674332</v>
      </c>
      <c r="AB8" s="1" t="n">
        <f aca="false">F8</f>
        <v>4.25363984674332</v>
      </c>
      <c r="AC8" s="1" t="n">
        <f aca="false">F8</f>
        <v>4.25363984674332</v>
      </c>
      <c r="AD8" s="1" t="n">
        <f aca="false">F8</f>
        <v>4.25363984674332</v>
      </c>
      <c r="AE8" s="1" t="n">
        <v>1</v>
      </c>
      <c r="AF8" s="1" t="n">
        <v>1</v>
      </c>
      <c r="AG8" s="1" t="n">
        <v>1</v>
      </c>
      <c r="AH8" s="1" t="n">
        <v>1</v>
      </c>
      <c r="AI8" s="1" t="n">
        <v>1</v>
      </c>
      <c r="AJ8" s="1" t="n">
        <v>1</v>
      </c>
      <c r="AK8" s="1" t="n">
        <v>1</v>
      </c>
      <c r="AL8" s="1" t="n">
        <v>1</v>
      </c>
      <c r="AM8" s="1" t="n">
        <v>1</v>
      </c>
      <c r="AN8" s="1" t="n">
        <f aca="false">F8</f>
        <v>4.25363984674332</v>
      </c>
      <c r="AO8" s="1" t="n">
        <f aca="false">F8</f>
        <v>4.25363984674332</v>
      </c>
      <c r="AP8" s="1" t="n">
        <f aca="false">F8</f>
        <v>4.25363984674332</v>
      </c>
      <c r="AQ8" s="1" t="n">
        <f aca="false">F8</f>
        <v>4.25363984674332</v>
      </c>
      <c r="AR8" s="1" t="n">
        <f aca="false">F8</f>
        <v>4.25363984674332</v>
      </c>
      <c r="AS8" s="1" t="n">
        <f aca="false">F8</f>
        <v>4.25363984674332</v>
      </c>
      <c r="AT8" s="1" t="n">
        <v>1</v>
      </c>
      <c r="AU8" s="1" t="n">
        <f aca="false">F8</f>
        <v>4.25363984674332</v>
      </c>
      <c r="AV8" s="1" t="n">
        <f aca="false">F8</f>
        <v>4.25363984674332</v>
      </c>
      <c r="AW8" s="1" t="n">
        <f aca="false">F8</f>
        <v>4.25363984674332</v>
      </c>
      <c r="AX8" s="1" t="n">
        <v>1</v>
      </c>
      <c r="AY8" s="1" t="n">
        <v>1</v>
      </c>
      <c r="AZ8" s="1" t="n">
        <v>1</v>
      </c>
      <c r="BA8" s="1" t="n">
        <f aca="false">F8</f>
        <v>4.25363984674332</v>
      </c>
      <c r="BB8" s="1" t="n">
        <f aca="false">F8</f>
        <v>4.25363984674332</v>
      </c>
      <c r="BC8" s="1" t="n">
        <v>1</v>
      </c>
      <c r="BD8" s="1" t="n">
        <v>1</v>
      </c>
      <c r="BE8" s="1" t="n">
        <v>1</v>
      </c>
      <c r="BF8" s="1" t="n">
        <v>1</v>
      </c>
      <c r="BG8" s="1" t="n">
        <v>1</v>
      </c>
      <c r="BH8" s="1" t="n">
        <v>1</v>
      </c>
      <c r="BI8" s="1" t="n">
        <v>1</v>
      </c>
      <c r="BJ8" s="1" t="n">
        <v>1</v>
      </c>
      <c r="BK8" s="1" t="n">
        <v>1</v>
      </c>
    </row>
    <row r="9" customFormat="false" ht="12.75" hidden="false" customHeight="false" outlineLevel="0" collapsed="false">
      <c r="A9" s="1" t="n">
        <f aca="false">A8-1</f>
        <v>2018</v>
      </c>
      <c r="B9" s="1" t="n">
        <v>1</v>
      </c>
      <c r="C9" s="1" t="n">
        <v>1</v>
      </c>
      <c r="D9" s="1" t="n">
        <v>1</v>
      </c>
      <c r="E9" s="1" t="n">
        <v>1</v>
      </c>
      <c r="F9" s="1" t="n">
        <f aca="false">im!L8/im!K8</f>
        <v>5.29281207666516</v>
      </c>
      <c r="G9" s="1" t="n">
        <f aca="false">F9</f>
        <v>5.29281207666516</v>
      </c>
      <c r="H9" s="1" t="n">
        <f aca="false">F9</f>
        <v>5.29281207666516</v>
      </c>
      <c r="I9" s="1" t="n">
        <f aca="false">F9</f>
        <v>5.29281207666516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1</v>
      </c>
      <c r="Q9" s="1" t="n">
        <f aca="false">F9</f>
        <v>5.29281207666516</v>
      </c>
      <c r="R9" s="1" t="n">
        <f aca="false">F9</f>
        <v>5.29281207666516</v>
      </c>
      <c r="S9" s="1" t="n">
        <f aca="false">F9</f>
        <v>5.29281207666516</v>
      </c>
      <c r="T9" s="1" t="n">
        <v>1</v>
      </c>
      <c r="U9" s="1" t="n">
        <v>1</v>
      </c>
      <c r="V9" s="1" t="n">
        <f aca="false">F9</f>
        <v>5.29281207666516</v>
      </c>
      <c r="W9" s="1" t="n">
        <f aca="false">F9</f>
        <v>5.29281207666516</v>
      </c>
      <c r="X9" s="1" t="n">
        <f aca="false">F9</f>
        <v>5.29281207666516</v>
      </c>
      <c r="Y9" s="1" t="n">
        <f aca="false">F9</f>
        <v>5.29281207666516</v>
      </c>
      <c r="Z9" s="1" t="n">
        <f aca="false">F9</f>
        <v>5.29281207666516</v>
      </c>
      <c r="AA9" s="1" t="n">
        <f aca="false">F9</f>
        <v>5.29281207666516</v>
      </c>
      <c r="AB9" s="1" t="n">
        <f aca="false">F9</f>
        <v>5.29281207666516</v>
      </c>
      <c r="AC9" s="1" t="n">
        <f aca="false">F9</f>
        <v>5.29281207666516</v>
      </c>
      <c r="AD9" s="1" t="n">
        <f aca="false">F9</f>
        <v>5.29281207666516</v>
      </c>
      <c r="AE9" s="1" t="n">
        <v>1</v>
      </c>
      <c r="AF9" s="1" t="n">
        <v>1</v>
      </c>
      <c r="AG9" s="1" t="n">
        <v>1</v>
      </c>
      <c r="AH9" s="1" t="n">
        <v>1</v>
      </c>
      <c r="AI9" s="1" t="n">
        <v>1</v>
      </c>
      <c r="AJ9" s="1" t="n">
        <v>1</v>
      </c>
      <c r="AK9" s="1" t="n">
        <v>1</v>
      </c>
      <c r="AL9" s="1" t="n">
        <v>1</v>
      </c>
      <c r="AM9" s="1" t="n">
        <v>1</v>
      </c>
      <c r="AN9" s="1" t="n">
        <f aca="false">F9</f>
        <v>5.29281207666516</v>
      </c>
      <c r="AO9" s="1" t="n">
        <f aca="false">F9</f>
        <v>5.29281207666516</v>
      </c>
      <c r="AP9" s="1" t="n">
        <f aca="false">F9</f>
        <v>5.29281207666516</v>
      </c>
      <c r="AQ9" s="1" t="n">
        <f aca="false">F9</f>
        <v>5.29281207666516</v>
      </c>
      <c r="AR9" s="1" t="n">
        <f aca="false">F9</f>
        <v>5.29281207666516</v>
      </c>
      <c r="AS9" s="1" t="n">
        <f aca="false">F9</f>
        <v>5.29281207666516</v>
      </c>
      <c r="AT9" s="1" t="n">
        <v>1</v>
      </c>
      <c r="AU9" s="1" t="n">
        <f aca="false">F9</f>
        <v>5.29281207666516</v>
      </c>
      <c r="AV9" s="1" t="n">
        <f aca="false">F9</f>
        <v>5.29281207666516</v>
      </c>
      <c r="AW9" s="1" t="n">
        <f aca="false">F9</f>
        <v>5.29281207666516</v>
      </c>
      <c r="AX9" s="1" t="n">
        <v>1</v>
      </c>
      <c r="AY9" s="1" t="n">
        <v>1</v>
      </c>
      <c r="AZ9" s="1" t="n">
        <v>1</v>
      </c>
      <c r="BA9" s="1" t="n">
        <f aca="false">F9</f>
        <v>5.29281207666516</v>
      </c>
      <c r="BB9" s="1" t="n">
        <f aca="false">F9</f>
        <v>5.29281207666516</v>
      </c>
      <c r="BC9" s="1" t="n">
        <v>1</v>
      </c>
      <c r="BD9" s="1" t="n">
        <v>1</v>
      </c>
      <c r="BE9" s="1" t="n">
        <v>1</v>
      </c>
      <c r="BF9" s="1" t="n">
        <v>1</v>
      </c>
      <c r="BG9" s="1" t="n">
        <v>1</v>
      </c>
      <c r="BH9" s="1" t="n">
        <v>1</v>
      </c>
      <c r="BI9" s="1" t="n">
        <v>1</v>
      </c>
      <c r="BJ9" s="1" t="n">
        <v>1</v>
      </c>
      <c r="BK9" s="1" t="n">
        <v>1</v>
      </c>
    </row>
    <row r="10" customFormat="false" ht="12.75" hidden="false" customHeight="false" outlineLevel="0" collapsed="false">
      <c r="A10" s="1" t="n">
        <f aca="false">A9-1</f>
        <v>2017</v>
      </c>
      <c r="B10" s="1" t="n">
        <v>1</v>
      </c>
      <c r="C10" s="1" t="n">
        <v>1</v>
      </c>
      <c r="D10" s="1" t="n">
        <v>1</v>
      </c>
      <c r="E10" s="1" t="n">
        <v>1</v>
      </c>
      <c r="F10" s="1" t="n">
        <f aca="false">im!L9/im!K9</f>
        <v>3.35645765186934</v>
      </c>
      <c r="G10" s="1" t="n">
        <f aca="false">F10</f>
        <v>3.35645765186934</v>
      </c>
      <c r="H10" s="1" t="n">
        <f aca="false">F10</f>
        <v>3.35645765186934</v>
      </c>
      <c r="I10" s="1" t="n">
        <f aca="false">F10</f>
        <v>3.35645765186934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s="1" t="n">
        <v>1</v>
      </c>
      <c r="Q10" s="1" t="n">
        <f aca="false">F10</f>
        <v>3.35645765186934</v>
      </c>
      <c r="R10" s="1" t="n">
        <f aca="false">F10</f>
        <v>3.35645765186934</v>
      </c>
      <c r="S10" s="1" t="n">
        <f aca="false">F10</f>
        <v>3.35645765186934</v>
      </c>
      <c r="T10" s="1" t="n">
        <v>1</v>
      </c>
      <c r="U10" s="1" t="n">
        <v>1</v>
      </c>
      <c r="V10" s="1" t="n">
        <f aca="false">F10</f>
        <v>3.35645765186934</v>
      </c>
      <c r="W10" s="1" t="n">
        <f aca="false">F10</f>
        <v>3.35645765186934</v>
      </c>
      <c r="X10" s="1" t="n">
        <f aca="false">F10</f>
        <v>3.35645765186934</v>
      </c>
      <c r="Y10" s="1" t="n">
        <f aca="false">F10</f>
        <v>3.35645765186934</v>
      </c>
      <c r="Z10" s="1" t="n">
        <f aca="false">F10</f>
        <v>3.35645765186934</v>
      </c>
      <c r="AA10" s="1" t="n">
        <f aca="false">F10</f>
        <v>3.35645765186934</v>
      </c>
      <c r="AB10" s="1" t="n">
        <f aca="false">F10</f>
        <v>3.35645765186934</v>
      </c>
      <c r="AC10" s="1" t="n">
        <f aca="false">F10</f>
        <v>3.35645765186934</v>
      </c>
      <c r="AD10" s="1" t="n">
        <f aca="false">F10</f>
        <v>3.35645765186934</v>
      </c>
      <c r="AE10" s="1" t="n">
        <v>1</v>
      </c>
      <c r="AF10" s="1" t="n">
        <v>1</v>
      </c>
      <c r="AG10" s="1" t="n">
        <v>1</v>
      </c>
      <c r="AH10" s="1" t="n">
        <v>1</v>
      </c>
      <c r="AI10" s="1" t="n">
        <v>1</v>
      </c>
      <c r="AJ10" s="1" t="n">
        <v>1</v>
      </c>
      <c r="AK10" s="1" t="n">
        <v>1</v>
      </c>
      <c r="AL10" s="1" t="n">
        <v>1</v>
      </c>
      <c r="AM10" s="1" t="n">
        <v>1</v>
      </c>
      <c r="AN10" s="1" t="n">
        <f aca="false">F10</f>
        <v>3.35645765186934</v>
      </c>
      <c r="AO10" s="1" t="n">
        <f aca="false">F10</f>
        <v>3.35645765186934</v>
      </c>
      <c r="AP10" s="1" t="n">
        <f aca="false">F10</f>
        <v>3.35645765186934</v>
      </c>
      <c r="AQ10" s="1" t="n">
        <f aca="false">F10</f>
        <v>3.35645765186934</v>
      </c>
      <c r="AR10" s="1" t="n">
        <f aca="false">F10</f>
        <v>3.35645765186934</v>
      </c>
      <c r="AS10" s="1" t="n">
        <f aca="false">F10</f>
        <v>3.35645765186934</v>
      </c>
      <c r="AT10" s="1" t="n">
        <v>1</v>
      </c>
      <c r="AU10" s="1" t="n">
        <f aca="false">F10</f>
        <v>3.35645765186934</v>
      </c>
      <c r="AV10" s="1" t="n">
        <f aca="false">F10</f>
        <v>3.35645765186934</v>
      </c>
      <c r="AW10" s="1" t="n">
        <f aca="false">F10</f>
        <v>3.35645765186934</v>
      </c>
      <c r="AX10" s="1" t="n">
        <v>1</v>
      </c>
      <c r="AY10" s="1" t="n">
        <v>1</v>
      </c>
      <c r="AZ10" s="1" t="n">
        <v>1</v>
      </c>
      <c r="BA10" s="1" t="n">
        <f aca="false">F10</f>
        <v>3.35645765186934</v>
      </c>
      <c r="BB10" s="1" t="n">
        <f aca="false">F10</f>
        <v>3.35645765186934</v>
      </c>
      <c r="BC10" s="1" t="n">
        <v>1</v>
      </c>
      <c r="BD10" s="1" t="n">
        <v>1</v>
      </c>
      <c r="BE10" s="1" t="n">
        <v>1</v>
      </c>
      <c r="BF10" s="1" t="n">
        <v>1</v>
      </c>
      <c r="BG10" s="1" t="n">
        <v>1</v>
      </c>
      <c r="BH10" s="1" t="n">
        <v>1</v>
      </c>
      <c r="BI10" s="1" t="n">
        <v>1</v>
      </c>
      <c r="BJ10" s="1" t="n">
        <v>1</v>
      </c>
      <c r="BK10" s="1" t="n">
        <v>1</v>
      </c>
    </row>
    <row r="11" customFormat="false" ht="12.75" hidden="false" customHeight="false" outlineLevel="0" collapsed="false">
      <c r="A11" s="1" t="n">
        <f aca="false">A10-1</f>
        <v>2016</v>
      </c>
      <c r="B11" s="1" t="n">
        <v>1</v>
      </c>
      <c r="C11" s="1" t="n">
        <v>1</v>
      </c>
      <c r="D11" s="1" t="n">
        <v>1</v>
      </c>
      <c r="E11" s="1" t="n">
        <v>1</v>
      </c>
      <c r="F11" s="1" t="n">
        <f aca="false">im!L10/im!K10</f>
        <v>4.14250590692738</v>
      </c>
      <c r="G11" s="1" t="n">
        <f aca="false">F11</f>
        <v>4.14250590692738</v>
      </c>
      <c r="H11" s="1" t="n">
        <f aca="false">F11</f>
        <v>4.14250590692738</v>
      </c>
      <c r="I11" s="1" t="n">
        <f aca="false">F11</f>
        <v>4.14250590692738</v>
      </c>
      <c r="J11" s="1" t="n">
        <v>1</v>
      </c>
      <c r="K11" s="1" t="n">
        <v>1</v>
      </c>
      <c r="L11" s="1" t="n">
        <v>1</v>
      </c>
      <c r="M11" s="1" t="n">
        <v>1</v>
      </c>
      <c r="N11" s="1" t="n">
        <v>1</v>
      </c>
      <c r="O11" s="1" t="n">
        <v>1</v>
      </c>
      <c r="P11" s="1" t="n">
        <v>1</v>
      </c>
      <c r="Q11" s="1" t="n">
        <f aca="false">F11</f>
        <v>4.14250590692738</v>
      </c>
      <c r="R11" s="1" t="n">
        <f aca="false">F11</f>
        <v>4.14250590692738</v>
      </c>
      <c r="S11" s="1" t="n">
        <f aca="false">F11</f>
        <v>4.14250590692738</v>
      </c>
      <c r="T11" s="1" t="n">
        <v>1</v>
      </c>
      <c r="U11" s="1" t="n">
        <v>1</v>
      </c>
      <c r="V11" s="1" t="n">
        <f aca="false">F11</f>
        <v>4.14250590692738</v>
      </c>
      <c r="W11" s="1" t="n">
        <f aca="false">F11</f>
        <v>4.14250590692738</v>
      </c>
      <c r="X11" s="1" t="n">
        <f aca="false">F11</f>
        <v>4.14250590692738</v>
      </c>
      <c r="Y11" s="1" t="n">
        <f aca="false">F11</f>
        <v>4.14250590692738</v>
      </c>
      <c r="Z11" s="1" t="n">
        <f aca="false">F11</f>
        <v>4.14250590692738</v>
      </c>
      <c r="AA11" s="1" t="n">
        <f aca="false">F11</f>
        <v>4.14250590692738</v>
      </c>
      <c r="AB11" s="1" t="n">
        <f aca="false">F11</f>
        <v>4.14250590692738</v>
      </c>
      <c r="AC11" s="1" t="n">
        <f aca="false">F11</f>
        <v>4.14250590692738</v>
      </c>
      <c r="AD11" s="1" t="n">
        <f aca="false">F11</f>
        <v>4.14250590692738</v>
      </c>
      <c r="AE11" s="1" t="n">
        <v>1</v>
      </c>
      <c r="AF11" s="1" t="n">
        <v>1</v>
      </c>
      <c r="AG11" s="1" t="n">
        <v>1</v>
      </c>
      <c r="AH11" s="1" t="n">
        <v>1</v>
      </c>
      <c r="AI11" s="1" t="n">
        <v>1</v>
      </c>
      <c r="AJ11" s="1" t="n">
        <v>1</v>
      </c>
      <c r="AK11" s="1" t="n">
        <v>1</v>
      </c>
      <c r="AL11" s="1" t="n">
        <v>1</v>
      </c>
      <c r="AM11" s="1" t="n">
        <v>1</v>
      </c>
      <c r="AN11" s="1" t="n">
        <f aca="false">F11</f>
        <v>4.14250590692738</v>
      </c>
      <c r="AO11" s="1" t="n">
        <f aca="false">F11</f>
        <v>4.14250590692738</v>
      </c>
      <c r="AP11" s="1" t="n">
        <f aca="false">F11</f>
        <v>4.14250590692738</v>
      </c>
      <c r="AQ11" s="1" t="n">
        <f aca="false">F11</f>
        <v>4.14250590692738</v>
      </c>
      <c r="AR11" s="1" t="n">
        <f aca="false">F11</f>
        <v>4.14250590692738</v>
      </c>
      <c r="AS11" s="1" t="n">
        <f aca="false">F11</f>
        <v>4.14250590692738</v>
      </c>
      <c r="AT11" s="1" t="n">
        <v>1</v>
      </c>
      <c r="AU11" s="1" t="n">
        <f aca="false">F11</f>
        <v>4.14250590692738</v>
      </c>
      <c r="AV11" s="1" t="n">
        <f aca="false">F11</f>
        <v>4.14250590692738</v>
      </c>
      <c r="AW11" s="1" t="n">
        <f aca="false">F11</f>
        <v>4.14250590692738</v>
      </c>
      <c r="AX11" s="1" t="n">
        <v>1</v>
      </c>
      <c r="AY11" s="1" t="n">
        <v>1</v>
      </c>
      <c r="AZ11" s="1" t="n">
        <v>1</v>
      </c>
      <c r="BA11" s="1" t="n">
        <f aca="false">F11</f>
        <v>4.14250590692738</v>
      </c>
      <c r="BB11" s="1" t="n">
        <f aca="false">F11</f>
        <v>4.14250590692738</v>
      </c>
      <c r="BC11" s="1" t="n">
        <v>1</v>
      </c>
      <c r="BD11" s="1" t="n">
        <v>1</v>
      </c>
      <c r="BE11" s="1" t="n">
        <v>1</v>
      </c>
      <c r="BF11" s="1" t="n">
        <v>1</v>
      </c>
      <c r="BG11" s="1" t="n">
        <v>1</v>
      </c>
      <c r="BH11" s="1" t="n">
        <v>1</v>
      </c>
      <c r="BI11" s="1" t="n">
        <v>1</v>
      </c>
      <c r="BJ11" s="1" t="n">
        <v>1</v>
      </c>
      <c r="BK11" s="1" t="n">
        <v>1</v>
      </c>
    </row>
    <row r="12" customFormat="false" ht="12.75" hidden="false" customHeight="false" outlineLevel="0" collapsed="false">
      <c r="A12" s="1" t="n">
        <f aca="false">A11-1</f>
        <v>2015</v>
      </c>
      <c r="B12" s="1" t="n">
        <v>1</v>
      </c>
      <c r="C12" s="1" t="n">
        <v>1</v>
      </c>
      <c r="D12" s="1" t="n">
        <v>1</v>
      </c>
      <c r="E12" s="1" t="n">
        <v>1</v>
      </c>
      <c r="F12" s="1" t="n">
        <f aca="false">im!L11/im!K11</f>
        <v>3.72907469900683</v>
      </c>
      <c r="G12" s="1" t="n">
        <f aca="false">F12</f>
        <v>3.72907469900683</v>
      </c>
      <c r="H12" s="1" t="n">
        <f aca="false">F12</f>
        <v>3.72907469900683</v>
      </c>
      <c r="I12" s="1" t="n">
        <f aca="false">F12</f>
        <v>3.72907469900683</v>
      </c>
      <c r="J12" s="1" t="n">
        <v>1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  <c r="P12" s="1" t="n">
        <v>1</v>
      </c>
      <c r="Q12" s="1" t="n">
        <f aca="false">F12</f>
        <v>3.72907469900683</v>
      </c>
      <c r="R12" s="1" t="n">
        <f aca="false">F12</f>
        <v>3.72907469900683</v>
      </c>
      <c r="S12" s="1" t="n">
        <f aca="false">F12</f>
        <v>3.72907469900683</v>
      </c>
      <c r="T12" s="1" t="n">
        <v>1</v>
      </c>
      <c r="U12" s="1" t="n">
        <v>1</v>
      </c>
      <c r="V12" s="1" t="n">
        <f aca="false">F12</f>
        <v>3.72907469900683</v>
      </c>
      <c r="W12" s="1" t="n">
        <f aca="false">F12</f>
        <v>3.72907469900683</v>
      </c>
      <c r="X12" s="1" t="n">
        <f aca="false">F12</f>
        <v>3.72907469900683</v>
      </c>
      <c r="Y12" s="1" t="n">
        <f aca="false">F12</f>
        <v>3.72907469900683</v>
      </c>
      <c r="Z12" s="1" t="n">
        <f aca="false">F12</f>
        <v>3.72907469900683</v>
      </c>
      <c r="AA12" s="1" t="n">
        <f aca="false">F12</f>
        <v>3.72907469900683</v>
      </c>
      <c r="AB12" s="1" t="n">
        <f aca="false">F12</f>
        <v>3.72907469900683</v>
      </c>
      <c r="AC12" s="1" t="n">
        <f aca="false">F12</f>
        <v>3.72907469900683</v>
      </c>
      <c r="AD12" s="1" t="n">
        <f aca="false">F12</f>
        <v>3.72907469900683</v>
      </c>
      <c r="AE12" s="1" t="n">
        <v>1</v>
      </c>
      <c r="AF12" s="1" t="n">
        <v>1</v>
      </c>
      <c r="AG12" s="1" t="n">
        <v>1</v>
      </c>
      <c r="AH12" s="1" t="n">
        <v>1</v>
      </c>
      <c r="AI12" s="1" t="n">
        <v>1</v>
      </c>
      <c r="AJ12" s="1" t="n">
        <v>1</v>
      </c>
      <c r="AK12" s="1" t="n">
        <v>1</v>
      </c>
      <c r="AL12" s="1" t="n">
        <v>1</v>
      </c>
      <c r="AM12" s="1" t="n">
        <v>1</v>
      </c>
      <c r="AN12" s="1" t="n">
        <f aca="false">F12</f>
        <v>3.72907469900683</v>
      </c>
      <c r="AO12" s="1" t="n">
        <f aca="false">F12</f>
        <v>3.72907469900683</v>
      </c>
      <c r="AP12" s="1" t="n">
        <f aca="false">F12</f>
        <v>3.72907469900683</v>
      </c>
      <c r="AQ12" s="1" t="n">
        <f aca="false">F12</f>
        <v>3.72907469900683</v>
      </c>
      <c r="AR12" s="1" t="n">
        <f aca="false">F12</f>
        <v>3.72907469900683</v>
      </c>
      <c r="AS12" s="1" t="n">
        <f aca="false">F12</f>
        <v>3.72907469900683</v>
      </c>
      <c r="AT12" s="1" t="n">
        <v>1</v>
      </c>
      <c r="AU12" s="1" t="n">
        <f aca="false">F12</f>
        <v>3.72907469900683</v>
      </c>
      <c r="AV12" s="1" t="n">
        <f aca="false">F12</f>
        <v>3.72907469900683</v>
      </c>
      <c r="AW12" s="1" t="n">
        <f aca="false">F12</f>
        <v>3.72907469900683</v>
      </c>
      <c r="AX12" s="1" t="n">
        <v>1</v>
      </c>
      <c r="AY12" s="1" t="n">
        <v>1</v>
      </c>
      <c r="AZ12" s="1" t="n">
        <v>1</v>
      </c>
      <c r="BA12" s="1" t="n">
        <f aca="false">F12</f>
        <v>3.72907469900683</v>
      </c>
      <c r="BB12" s="1" t="n">
        <f aca="false">F12</f>
        <v>3.72907469900683</v>
      </c>
      <c r="BC12" s="1" t="n">
        <v>1</v>
      </c>
      <c r="BD12" s="1" t="n">
        <v>1</v>
      </c>
      <c r="BE12" s="1" t="n">
        <v>1</v>
      </c>
      <c r="BF12" s="1" t="n">
        <v>1</v>
      </c>
      <c r="BG12" s="1" t="n">
        <v>1</v>
      </c>
      <c r="BH12" s="1" t="n">
        <v>1</v>
      </c>
      <c r="BI12" s="1" t="n">
        <v>1</v>
      </c>
      <c r="BJ12" s="1" t="n">
        <v>1</v>
      </c>
      <c r="BK12" s="1" t="n">
        <v>1</v>
      </c>
    </row>
    <row r="13" customFormat="false" ht="12.75" hidden="false" customHeight="false" outlineLevel="0" collapsed="false">
      <c r="A13" s="1" t="n">
        <f aca="false">A12-1</f>
        <v>2014</v>
      </c>
      <c r="B13" s="1" t="n">
        <v>1</v>
      </c>
      <c r="C13" s="1" t="n">
        <v>1</v>
      </c>
      <c r="D13" s="1" t="n">
        <v>1</v>
      </c>
      <c r="E13" s="1" t="n">
        <v>1</v>
      </c>
      <c r="F13" s="1" t="n">
        <f aca="false">im!L12/im!K12</f>
        <v>3.32365399442601</v>
      </c>
      <c r="G13" s="1" t="n">
        <f aca="false">F13</f>
        <v>3.32365399442601</v>
      </c>
      <c r="H13" s="1" t="n">
        <f aca="false">F13</f>
        <v>3.32365399442601</v>
      </c>
      <c r="I13" s="1" t="n">
        <f aca="false">F13</f>
        <v>3.32365399442601</v>
      </c>
      <c r="J13" s="1" t="n">
        <v>1</v>
      </c>
      <c r="K13" s="1" t="n">
        <v>1</v>
      </c>
      <c r="L13" s="1" t="n">
        <v>1</v>
      </c>
      <c r="M13" s="1" t="n">
        <v>1</v>
      </c>
      <c r="N13" s="1" t="n">
        <v>1</v>
      </c>
      <c r="O13" s="1" t="n">
        <v>1</v>
      </c>
      <c r="P13" s="1" t="n">
        <v>1</v>
      </c>
      <c r="Q13" s="1" t="n">
        <f aca="false">F13</f>
        <v>3.32365399442601</v>
      </c>
      <c r="R13" s="1" t="n">
        <f aca="false">F13</f>
        <v>3.32365399442601</v>
      </c>
      <c r="S13" s="1" t="n">
        <f aca="false">F13</f>
        <v>3.32365399442601</v>
      </c>
      <c r="T13" s="1" t="n">
        <v>1</v>
      </c>
      <c r="U13" s="1" t="n">
        <v>1</v>
      </c>
      <c r="V13" s="1" t="n">
        <f aca="false">F13</f>
        <v>3.32365399442601</v>
      </c>
      <c r="W13" s="1" t="n">
        <f aca="false">F13</f>
        <v>3.32365399442601</v>
      </c>
      <c r="X13" s="1" t="n">
        <f aca="false">F13</f>
        <v>3.32365399442601</v>
      </c>
      <c r="Y13" s="1" t="n">
        <f aca="false">F13</f>
        <v>3.32365399442601</v>
      </c>
      <c r="Z13" s="1" t="n">
        <f aca="false">F13</f>
        <v>3.32365399442601</v>
      </c>
      <c r="AA13" s="1" t="n">
        <f aca="false">F13</f>
        <v>3.32365399442601</v>
      </c>
      <c r="AB13" s="1" t="n">
        <f aca="false">F13</f>
        <v>3.32365399442601</v>
      </c>
      <c r="AC13" s="1" t="n">
        <f aca="false">F13</f>
        <v>3.32365399442601</v>
      </c>
      <c r="AD13" s="1" t="n">
        <f aca="false">F13</f>
        <v>3.32365399442601</v>
      </c>
      <c r="AE13" s="1" t="n">
        <v>1</v>
      </c>
      <c r="AF13" s="1" t="n">
        <v>1</v>
      </c>
      <c r="AG13" s="1" t="n">
        <v>1</v>
      </c>
      <c r="AH13" s="1" t="n">
        <v>1</v>
      </c>
      <c r="AI13" s="1" t="n">
        <v>1</v>
      </c>
      <c r="AJ13" s="1" t="n">
        <v>1</v>
      </c>
      <c r="AK13" s="1" t="n">
        <v>1</v>
      </c>
      <c r="AL13" s="1" t="n">
        <v>1</v>
      </c>
      <c r="AM13" s="1" t="n">
        <v>1</v>
      </c>
      <c r="AN13" s="1" t="n">
        <f aca="false">F13</f>
        <v>3.32365399442601</v>
      </c>
      <c r="AO13" s="1" t="n">
        <f aca="false">F13</f>
        <v>3.32365399442601</v>
      </c>
      <c r="AP13" s="1" t="n">
        <f aca="false">F13</f>
        <v>3.32365399442601</v>
      </c>
      <c r="AQ13" s="1" t="n">
        <f aca="false">F13</f>
        <v>3.32365399442601</v>
      </c>
      <c r="AR13" s="1" t="n">
        <f aca="false">F13</f>
        <v>3.32365399442601</v>
      </c>
      <c r="AS13" s="1" t="n">
        <f aca="false">F13</f>
        <v>3.32365399442601</v>
      </c>
      <c r="AT13" s="1" t="n">
        <v>1</v>
      </c>
      <c r="AU13" s="1" t="n">
        <f aca="false">F13</f>
        <v>3.32365399442601</v>
      </c>
      <c r="AV13" s="1" t="n">
        <f aca="false">F13</f>
        <v>3.32365399442601</v>
      </c>
      <c r="AW13" s="1" t="n">
        <f aca="false">F13</f>
        <v>3.32365399442601</v>
      </c>
      <c r="AX13" s="1" t="n">
        <v>1</v>
      </c>
      <c r="AY13" s="1" t="n">
        <v>1</v>
      </c>
      <c r="AZ13" s="1" t="n">
        <v>1</v>
      </c>
      <c r="BA13" s="1" t="n">
        <f aca="false">F13</f>
        <v>3.32365399442601</v>
      </c>
      <c r="BB13" s="1" t="n">
        <f aca="false">F13</f>
        <v>3.32365399442601</v>
      </c>
      <c r="BC13" s="1" t="n">
        <v>1</v>
      </c>
      <c r="BD13" s="1" t="n">
        <v>1</v>
      </c>
      <c r="BE13" s="1" t="n">
        <v>1</v>
      </c>
      <c r="BF13" s="1" t="n">
        <v>1</v>
      </c>
      <c r="BG13" s="1" t="n">
        <v>1</v>
      </c>
      <c r="BH13" s="1" t="n">
        <v>1</v>
      </c>
      <c r="BI13" s="1" t="n">
        <v>1</v>
      </c>
      <c r="BJ13" s="1" t="n">
        <v>1</v>
      </c>
      <c r="BK13" s="1" t="n">
        <v>1</v>
      </c>
    </row>
    <row r="14" customFormat="false" ht="12.75" hidden="false" customHeight="false" outlineLevel="0" collapsed="false">
      <c r="A14" s="1" t="n">
        <f aca="false">A13-1</f>
        <v>2013</v>
      </c>
      <c r="B14" s="1" t="n">
        <v>1</v>
      </c>
      <c r="C14" s="1" t="n">
        <v>1</v>
      </c>
      <c r="D14" s="1" t="n">
        <v>1</v>
      </c>
      <c r="E14" s="1" t="n">
        <v>1</v>
      </c>
      <c r="F14" s="1" t="n">
        <f aca="false">im!L13/im!K13</f>
        <v>3.09129541009183</v>
      </c>
      <c r="G14" s="1" t="n">
        <f aca="false">F14</f>
        <v>3.09129541009183</v>
      </c>
      <c r="H14" s="1" t="n">
        <f aca="false">F14</f>
        <v>3.09129541009183</v>
      </c>
      <c r="I14" s="1" t="n">
        <f aca="false">F14</f>
        <v>3.09129541009183</v>
      </c>
      <c r="J14" s="1" t="n">
        <v>1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  <c r="P14" s="1" t="n">
        <v>1</v>
      </c>
      <c r="Q14" s="1" t="n">
        <f aca="false">F14</f>
        <v>3.09129541009183</v>
      </c>
      <c r="R14" s="1" t="n">
        <f aca="false">F14</f>
        <v>3.09129541009183</v>
      </c>
      <c r="S14" s="1" t="n">
        <f aca="false">F14</f>
        <v>3.09129541009183</v>
      </c>
      <c r="T14" s="1" t="n">
        <v>1</v>
      </c>
      <c r="U14" s="1" t="n">
        <v>1</v>
      </c>
      <c r="V14" s="1" t="n">
        <f aca="false">F14</f>
        <v>3.09129541009183</v>
      </c>
      <c r="W14" s="1" t="n">
        <f aca="false">F14</f>
        <v>3.09129541009183</v>
      </c>
      <c r="X14" s="1" t="n">
        <f aca="false">F14</f>
        <v>3.09129541009183</v>
      </c>
      <c r="Y14" s="1" t="n">
        <f aca="false">F14</f>
        <v>3.09129541009183</v>
      </c>
      <c r="Z14" s="1" t="n">
        <f aca="false">F14</f>
        <v>3.09129541009183</v>
      </c>
      <c r="AA14" s="1" t="n">
        <f aca="false">F14</f>
        <v>3.09129541009183</v>
      </c>
      <c r="AB14" s="1" t="n">
        <f aca="false">F14</f>
        <v>3.09129541009183</v>
      </c>
      <c r="AC14" s="1" t="n">
        <f aca="false">F14</f>
        <v>3.09129541009183</v>
      </c>
      <c r="AD14" s="1" t="n">
        <f aca="false">F14</f>
        <v>3.09129541009183</v>
      </c>
      <c r="AE14" s="1" t="n">
        <v>1</v>
      </c>
      <c r="AF14" s="1" t="n">
        <v>1</v>
      </c>
      <c r="AG14" s="1" t="n">
        <v>1</v>
      </c>
      <c r="AH14" s="1" t="n">
        <v>1</v>
      </c>
      <c r="AI14" s="1" t="n">
        <v>1</v>
      </c>
      <c r="AJ14" s="1" t="n">
        <v>1</v>
      </c>
      <c r="AK14" s="1" t="n">
        <v>1</v>
      </c>
      <c r="AL14" s="1" t="n">
        <v>1</v>
      </c>
      <c r="AM14" s="1" t="n">
        <v>1</v>
      </c>
      <c r="AN14" s="1" t="n">
        <f aca="false">F14</f>
        <v>3.09129541009183</v>
      </c>
      <c r="AO14" s="1" t="n">
        <f aca="false">F14</f>
        <v>3.09129541009183</v>
      </c>
      <c r="AP14" s="1" t="n">
        <f aca="false">F14</f>
        <v>3.09129541009183</v>
      </c>
      <c r="AQ14" s="1" t="n">
        <f aca="false">F14</f>
        <v>3.09129541009183</v>
      </c>
      <c r="AR14" s="1" t="n">
        <f aca="false">F14</f>
        <v>3.09129541009183</v>
      </c>
      <c r="AS14" s="1" t="n">
        <f aca="false">F14</f>
        <v>3.09129541009183</v>
      </c>
      <c r="AT14" s="1" t="n">
        <v>1</v>
      </c>
      <c r="AU14" s="1" t="n">
        <f aca="false">F14</f>
        <v>3.09129541009183</v>
      </c>
      <c r="AV14" s="1" t="n">
        <f aca="false">F14</f>
        <v>3.09129541009183</v>
      </c>
      <c r="AW14" s="1" t="n">
        <f aca="false">F14</f>
        <v>3.09129541009183</v>
      </c>
      <c r="AX14" s="1" t="n">
        <v>1</v>
      </c>
      <c r="AY14" s="1" t="n">
        <v>1</v>
      </c>
      <c r="AZ14" s="1" t="n">
        <v>1</v>
      </c>
      <c r="BA14" s="1" t="n">
        <f aca="false">F14</f>
        <v>3.09129541009183</v>
      </c>
      <c r="BB14" s="1" t="n">
        <f aca="false">F14</f>
        <v>3.09129541009183</v>
      </c>
      <c r="BC14" s="1" t="n">
        <v>1</v>
      </c>
      <c r="BD14" s="1" t="n">
        <v>1</v>
      </c>
      <c r="BE14" s="1" t="n">
        <v>1</v>
      </c>
      <c r="BF14" s="1" t="n">
        <v>1</v>
      </c>
      <c r="BG14" s="1" t="n">
        <v>1</v>
      </c>
      <c r="BH14" s="1" t="n">
        <v>1</v>
      </c>
      <c r="BI14" s="1" t="n">
        <v>1</v>
      </c>
      <c r="BJ14" s="1" t="n">
        <v>1</v>
      </c>
      <c r="BK14" s="1" t="n">
        <v>1</v>
      </c>
    </row>
    <row r="15" customFormat="false" ht="12.75" hidden="false" customHeight="false" outlineLevel="0" collapsed="false">
      <c r="A15" s="1" t="n">
        <f aca="false">A14-1</f>
        <v>2012</v>
      </c>
      <c r="B15" s="1" t="n">
        <v>1</v>
      </c>
      <c r="C15" s="1" t="n">
        <v>1</v>
      </c>
      <c r="D15" s="1" t="n">
        <v>1</v>
      </c>
      <c r="E15" s="1" t="n">
        <v>1</v>
      </c>
      <c r="F15" s="1" t="n">
        <f aca="false">im!L14/im!K14</f>
        <v>3.58374171586443</v>
      </c>
      <c r="G15" s="1" t="n">
        <f aca="false">F15</f>
        <v>3.58374171586443</v>
      </c>
      <c r="H15" s="1" t="n">
        <f aca="false">F15</f>
        <v>3.58374171586443</v>
      </c>
      <c r="I15" s="1" t="n">
        <f aca="false">F15</f>
        <v>3.58374171586443</v>
      </c>
      <c r="J15" s="1" t="n">
        <v>1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  <c r="P15" s="1" t="n">
        <v>1</v>
      </c>
      <c r="Q15" s="1" t="n">
        <f aca="false">F15</f>
        <v>3.58374171586443</v>
      </c>
      <c r="R15" s="1" t="n">
        <f aca="false">F15</f>
        <v>3.58374171586443</v>
      </c>
      <c r="S15" s="1" t="n">
        <f aca="false">F15</f>
        <v>3.58374171586443</v>
      </c>
      <c r="T15" s="1" t="n">
        <v>1</v>
      </c>
      <c r="U15" s="1" t="n">
        <v>1</v>
      </c>
      <c r="V15" s="1" t="n">
        <f aca="false">F15</f>
        <v>3.58374171586443</v>
      </c>
      <c r="W15" s="1" t="n">
        <f aca="false">F15</f>
        <v>3.58374171586443</v>
      </c>
      <c r="X15" s="1" t="n">
        <f aca="false">F15</f>
        <v>3.58374171586443</v>
      </c>
      <c r="Y15" s="1" t="n">
        <f aca="false">F15</f>
        <v>3.58374171586443</v>
      </c>
      <c r="Z15" s="1" t="n">
        <f aca="false">F15</f>
        <v>3.58374171586443</v>
      </c>
      <c r="AA15" s="1" t="n">
        <f aca="false">F15</f>
        <v>3.58374171586443</v>
      </c>
      <c r="AB15" s="1" t="n">
        <f aca="false">F15</f>
        <v>3.58374171586443</v>
      </c>
      <c r="AC15" s="1" t="n">
        <f aca="false">F15</f>
        <v>3.58374171586443</v>
      </c>
      <c r="AD15" s="1" t="n">
        <f aca="false">F15</f>
        <v>3.58374171586443</v>
      </c>
      <c r="AE15" s="1" t="n">
        <v>1</v>
      </c>
      <c r="AF15" s="1" t="n">
        <v>1</v>
      </c>
      <c r="AG15" s="1" t="n">
        <v>1</v>
      </c>
      <c r="AH15" s="1" t="n">
        <v>1</v>
      </c>
      <c r="AI15" s="1" t="n">
        <v>1</v>
      </c>
      <c r="AJ15" s="1" t="n">
        <v>1</v>
      </c>
      <c r="AK15" s="1" t="n">
        <v>1</v>
      </c>
      <c r="AL15" s="1" t="n">
        <v>1</v>
      </c>
      <c r="AM15" s="1" t="n">
        <v>1</v>
      </c>
      <c r="AN15" s="1" t="n">
        <f aca="false">F15</f>
        <v>3.58374171586443</v>
      </c>
      <c r="AO15" s="1" t="n">
        <f aca="false">F15</f>
        <v>3.58374171586443</v>
      </c>
      <c r="AP15" s="1" t="n">
        <f aca="false">F15</f>
        <v>3.58374171586443</v>
      </c>
      <c r="AQ15" s="1" t="n">
        <f aca="false">F15</f>
        <v>3.58374171586443</v>
      </c>
      <c r="AR15" s="1" t="n">
        <f aca="false">F15</f>
        <v>3.58374171586443</v>
      </c>
      <c r="AS15" s="1" t="n">
        <f aca="false">F15</f>
        <v>3.58374171586443</v>
      </c>
      <c r="AT15" s="1" t="n">
        <v>1</v>
      </c>
      <c r="AU15" s="1" t="n">
        <f aca="false">F15</f>
        <v>3.58374171586443</v>
      </c>
      <c r="AV15" s="1" t="n">
        <f aca="false">F15</f>
        <v>3.58374171586443</v>
      </c>
      <c r="AW15" s="1" t="n">
        <f aca="false">F15</f>
        <v>3.58374171586443</v>
      </c>
      <c r="AX15" s="1" t="n">
        <v>1</v>
      </c>
      <c r="AY15" s="1" t="n">
        <v>1</v>
      </c>
      <c r="AZ15" s="1" t="n">
        <v>1</v>
      </c>
      <c r="BA15" s="1" t="n">
        <f aca="false">F15</f>
        <v>3.58374171586443</v>
      </c>
      <c r="BB15" s="1" t="n">
        <f aca="false">F15</f>
        <v>3.58374171586443</v>
      </c>
      <c r="BC15" s="1" t="n">
        <v>1</v>
      </c>
      <c r="BD15" s="1" t="n">
        <v>1</v>
      </c>
      <c r="BE15" s="1" t="n">
        <v>1</v>
      </c>
      <c r="BF15" s="1" t="n">
        <v>1</v>
      </c>
      <c r="BG15" s="1" t="n">
        <v>1</v>
      </c>
      <c r="BH15" s="1" t="n">
        <v>1</v>
      </c>
      <c r="BI15" s="1" t="n">
        <v>1</v>
      </c>
      <c r="BJ15" s="1" t="n">
        <v>1</v>
      </c>
      <c r="BK15" s="1" t="n">
        <v>1</v>
      </c>
    </row>
    <row r="16" customFormat="false" ht="12.75" hidden="false" customHeight="false" outlineLevel="0" collapsed="false">
      <c r="A16" s="1" t="n">
        <f aca="false">A15-1</f>
        <v>2011</v>
      </c>
      <c r="B16" s="1" t="n">
        <v>1</v>
      </c>
      <c r="C16" s="1" t="n">
        <v>1</v>
      </c>
      <c r="D16" s="1" t="n">
        <v>1</v>
      </c>
      <c r="E16" s="1" t="n">
        <v>1</v>
      </c>
      <c r="F16" s="1" t="n">
        <f aca="false">im!L15/im!K15</f>
        <v>3.78503657978967</v>
      </c>
      <c r="G16" s="1" t="n">
        <f aca="false">F16</f>
        <v>3.78503657978967</v>
      </c>
      <c r="H16" s="1" t="n">
        <f aca="false">F16</f>
        <v>3.78503657978967</v>
      </c>
      <c r="I16" s="1" t="n">
        <f aca="false">F16</f>
        <v>3.78503657978967</v>
      </c>
      <c r="J16" s="1" t="n">
        <v>1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s="1" t="n">
        <v>1</v>
      </c>
      <c r="Q16" s="1" t="n">
        <f aca="false">F16</f>
        <v>3.78503657978967</v>
      </c>
      <c r="R16" s="1" t="n">
        <f aca="false">F16</f>
        <v>3.78503657978967</v>
      </c>
      <c r="S16" s="1" t="n">
        <f aca="false">F16</f>
        <v>3.78503657978967</v>
      </c>
      <c r="T16" s="1" t="n">
        <v>1</v>
      </c>
      <c r="U16" s="1" t="n">
        <v>1</v>
      </c>
      <c r="V16" s="1" t="n">
        <f aca="false">F16</f>
        <v>3.78503657978967</v>
      </c>
      <c r="W16" s="1" t="n">
        <f aca="false">F16</f>
        <v>3.78503657978967</v>
      </c>
      <c r="X16" s="1" t="n">
        <f aca="false">F16</f>
        <v>3.78503657978967</v>
      </c>
      <c r="Y16" s="1" t="n">
        <f aca="false">F16</f>
        <v>3.78503657978967</v>
      </c>
      <c r="Z16" s="1" t="n">
        <f aca="false">F16</f>
        <v>3.78503657978967</v>
      </c>
      <c r="AA16" s="1" t="n">
        <f aca="false">F16</f>
        <v>3.78503657978967</v>
      </c>
      <c r="AB16" s="1" t="n">
        <f aca="false">F16</f>
        <v>3.78503657978967</v>
      </c>
      <c r="AC16" s="1" t="n">
        <f aca="false">F16</f>
        <v>3.78503657978967</v>
      </c>
      <c r="AD16" s="1" t="n">
        <f aca="false">F16</f>
        <v>3.78503657978967</v>
      </c>
      <c r="AE16" s="1" t="n">
        <v>1</v>
      </c>
      <c r="AF16" s="1" t="n">
        <v>1</v>
      </c>
      <c r="AG16" s="1" t="n">
        <v>1</v>
      </c>
      <c r="AH16" s="1" t="n">
        <v>1</v>
      </c>
      <c r="AI16" s="1" t="n">
        <v>1</v>
      </c>
      <c r="AJ16" s="1" t="n">
        <v>1</v>
      </c>
      <c r="AK16" s="1" t="n">
        <v>1</v>
      </c>
      <c r="AL16" s="1" t="n">
        <v>1</v>
      </c>
      <c r="AM16" s="1" t="n">
        <v>1</v>
      </c>
      <c r="AN16" s="1" t="n">
        <f aca="false">F16</f>
        <v>3.78503657978967</v>
      </c>
      <c r="AO16" s="1" t="n">
        <f aca="false">F16</f>
        <v>3.78503657978967</v>
      </c>
      <c r="AP16" s="1" t="n">
        <f aca="false">F16</f>
        <v>3.78503657978967</v>
      </c>
      <c r="AQ16" s="1" t="n">
        <f aca="false">F16</f>
        <v>3.78503657978967</v>
      </c>
      <c r="AR16" s="1" t="n">
        <f aca="false">F16</f>
        <v>3.78503657978967</v>
      </c>
      <c r="AS16" s="1" t="n">
        <f aca="false">F16</f>
        <v>3.78503657978967</v>
      </c>
      <c r="AT16" s="1" t="n">
        <v>1</v>
      </c>
      <c r="AU16" s="1" t="n">
        <f aca="false">F16</f>
        <v>3.78503657978967</v>
      </c>
      <c r="AV16" s="1" t="n">
        <f aca="false">F16</f>
        <v>3.78503657978967</v>
      </c>
      <c r="AW16" s="1" t="n">
        <f aca="false">F16</f>
        <v>3.78503657978967</v>
      </c>
      <c r="AX16" s="1" t="n">
        <v>1</v>
      </c>
      <c r="AY16" s="1" t="n">
        <v>1</v>
      </c>
      <c r="AZ16" s="1" t="n">
        <v>1</v>
      </c>
      <c r="BA16" s="1" t="n">
        <f aca="false">F16</f>
        <v>3.78503657978967</v>
      </c>
      <c r="BB16" s="1" t="n">
        <f aca="false">F16</f>
        <v>3.78503657978967</v>
      </c>
      <c r="BC16" s="1" t="n">
        <v>1</v>
      </c>
      <c r="BD16" s="1" t="n">
        <v>1</v>
      </c>
      <c r="BE16" s="1" t="n">
        <v>1</v>
      </c>
      <c r="BF16" s="1" t="n">
        <v>1</v>
      </c>
      <c r="BG16" s="1" t="n">
        <v>1</v>
      </c>
      <c r="BH16" s="1" t="n">
        <v>1</v>
      </c>
      <c r="BI16" s="1" t="n">
        <v>1</v>
      </c>
      <c r="BJ16" s="1" t="n">
        <v>1</v>
      </c>
      <c r="BK16" s="1" t="n">
        <v>1</v>
      </c>
    </row>
    <row r="17" customFormat="false" ht="12.75" hidden="false" customHeight="false" outlineLevel="0" collapsed="false">
      <c r="A17" s="1" t="n">
        <f aca="false">A16-1</f>
        <v>2010</v>
      </c>
      <c r="B17" s="1" t="n">
        <v>1</v>
      </c>
      <c r="C17" s="1" t="n">
        <v>1</v>
      </c>
      <c r="D17" s="1" t="n">
        <v>1</v>
      </c>
      <c r="E17" s="1" t="n">
        <v>1</v>
      </c>
      <c r="F17" s="1" t="n">
        <f aca="false">im!L16/im!K16</f>
        <v>3.24847247792097</v>
      </c>
      <c r="G17" s="1" t="n">
        <f aca="false">F17</f>
        <v>3.24847247792097</v>
      </c>
      <c r="H17" s="1" t="n">
        <f aca="false">F17</f>
        <v>3.24847247792097</v>
      </c>
      <c r="I17" s="1" t="n">
        <f aca="false">F17</f>
        <v>3.24847247792097</v>
      </c>
      <c r="J17" s="1" t="n">
        <v>1</v>
      </c>
      <c r="K17" s="1" t="n">
        <v>1</v>
      </c>
      <c r="L17" s="1" t="n">
        <v>1</v>
      </c>
      <c r="M17" s="1" t="n">
        <v>1</v>
      </c>
      <c r="N17" s="1" t="n">
        <v>1</v>
      </c>
      <c r="O17" s="1" t="n">
        <v>1</v>
      </c>
      <c r="P17" s="1" t="n">
        <v>1</v>
      </c>
      <c r="Q17" s="1" t="n">
        <f aca="false">F17</f>
        <v>3.24847247792097</v>
      </c>
      <c r="R17" s="1" t="n">
        <f aca="false">F17</f>
        <v>3.24847247792097</v>
      </c>
      <c r="S17" s="1" t="n">
        <f aca="false">F17</f>
        <v>3.24847247792097</v>
      </c>
      <c r="T17" s="1" t="n">
        <v>1</v>
      </c>
      <c r="U17" s="1" t="n">
        <v>1</v>
      </c>
      <c r="V17" s="1" t="n">
        <f aca="false">F17</f>
        <v>3.24847247792097</v>
      </c>
      <c r="W17" s="1" t="n">
        <f aca="false">F17</f>
        <v>3.24847247792097</v>
      </c>
      <c r="X17" s="1" t="n">
        <f aca="false">F17</f>
        <v>3.24847247792097</v>
      </c>
      <c r="Y17" s="1" t="n">
        <f aca="false">F17</f>
        <v>3.24847247792097</v>
      </c>
      <c r="Z17" s="1" t="n">
        <f aca="false">F17</f>
        <v>3.24847247792097</v>
      </c>
      <c r="AA17" s="1" t="n">
        <f aca="false">F17</f>
        <v>3.24847247792097</v>
      </c>
      <c r="AB17" s="1" t="n">
        <f aca="false">F17</f>
        <v>3.24847247792097</v>
      </c>
      <c r="AC17" s="1" t="n">
        <f aca="false">F17</f>
        <v>3.24847247792097</v>
      </c>
      <c r="AD17" s="1" t="n">
        <f aca="false">F17</f>
        <v>3.24847247792097</v>
      </c>
      <c r="AE17" s="1" t="n">
        <v>1</v>
      </c>
      <c r="AF17" s="1" t="n">
        <v>1</v>
      </c>
      <c r="AG17" s="1" t="n">
        <v>1</v>
      </c>
      <c r="AH17" s="1" t="n">
        <v>1</v>
      </c>
      <c r="AI17" s="1" t="n">
        <v>1</v>
      </c>
      <c r="AJ17" s="1" t="n">
        <v>1</v>
      </c>
      <c r="AK17" s="1" t="n">
        <v>1</v>
      </c>
      <c r="AL17" s="1" t="n">
        <v>1</v>
      </c>
      <c r="AM17" s="1" t="n">
        <v>1</v>
      </c>
      <c r="AN17" s="1" t="n">
        <f aca="false">F17</f>
        <v>3.24847247792097</v>
      </c>
      <c r="AO17" s="1" t="n">
        <f aca="false">F17</f>
        <v>3.24847247792097</v>
      </c>
      <c r="AP17" s="1" t="n">
        <f aca="false">F17</f>
        <v>3.24847247792097</v>
      </c>
      <c r="AQ17" s="1" t="n">
        <f aca="false">F17</f>
        <v>3.24847247792097</v>
      </c>
      <c r="AR17" s="1" t="n">
        <f aca="false">F17</f>
        <v>3.24847247792097</v>
      </c>
      <c r="AS17" s="1" t="n">
        <f aca="false">F17</f>
        <v>3.24847247792097</v>
      </c>
      <c r="AT17" s="1" t="n">
        <v>1</v>
      </c>
      <c r="AU17" s="1" t="n">
        <f aca="false">F17</f>
        <v>3.24847247792097</v>
      </c>
      <c r="AV17" s="1" t="n">
        <f aca="false">F17</f>
        <v>3.24847247792097</v>
      </c>
      <c r="AW17" s="1" t="n">
        <f aca="false">F17</f>
        <v>3.24847247792097</v>
      </c>
      <c r="AX17" s="1" t="n">
        <v>1</v>
      </c>
      <c r="AY17" s="1" t="n">
        <v>1</v>
      </c>
      <c r="AZ17" s="1" t="n">
        <v>1</v>
      </c>
      <c r="BA17" s="1" t="n">
        <f aca="false">F17</f>
        <v>3.24847247792097</v>
      </c>
      <c r="BB17" s="1" t="n">
        <f aca="false">F17</f>
        <v>3.24847247792097</v>
      </c>
      <c r="BC17" s="1" t="n">
        <v>1</v>
      </c>
      <c r="BD17" s="1" t="n">
        <v>1</v>
      </c>
      <c r="BE17" s="1" t="n">
        <v>1</v>
      </c>
      <c r="BF17" s="1" t="n">
        <v>1</v>
      </c>
      <c r="BG17" s="1" t="n">
        <v>1</v>
      </c>
      <c r="BH17" s="1" t="n">
        <v>1</v>
      </c>
      <c r="BI17" s="1" t="n">
        <v>1</v>
      </c>
      <c r="BJ17" s="1" t="n">
        <v>1</v>
      </c>
      <c r="BK17" s="1" t="n">
        <v>1</v>
      </c>
    </row>
    <row r="18" customFormat="false" ht="12.75" hidden="false" customHeight="false" outlineLevel="0" collapsed="false">
      <c r="A18" s="1" t="n">
        <f aca="false">A17-1</f>
        <v>2009</v>
      </c>
      <c r="B18" s="1" t="n">
        <v>1</v>
      </c>
      <c r="C18" s="1" t="n">
        <v>1</v>
      </c>
      <c r="D18" s="1" t="n">
        <v>1</v>
      </c>
      <c r="E18" s="1" t="n">
        <v>1</v>
      </c>
      <c r="F18" s="1" t="n">
        <f aca="false">im!L17/im!K17</f>
        <v>3.7816425120773</v>
      </c>
      <c r="G18" s="1" t="n">
        <f aca="false">F18</f>
        <v>3.7816425120773</v>
      </c>
      <c r="H18" s="1" t="n">
        <f aca="false">F18</f>
        <v>3.7816425120773</v>
      </c>
      <c r="I18" s="1" t="n">
        <f aca="false">F18</f>
        <v>3.7816425120773</v>
      </c>
      <c r="J18" s="1" t="n">
        <v>1</v>
      </c>
      <c r="K18" s="1" t="n">
        <v>1</v>
      </c>
      <c r="L18" s="1" t="n">
        <v>1</v>
      </c>
      <c r="M18" s="1" t="n">
        <v>1</v>
      </c>
      <c r="N18" s="1" t="n">
        <v>1</v>
      </c>
      <c r="O18" s="1" t="n">
        <v>1</v>
      </c>
      <c r="P18" s="1" t="n">
        <v>1</v>
      </c>
      <c r="Q18" s="1" t="n">
        <f aca="false">F18</f>
        <v>3.7816425120773</v>
      </c>
      <c r="R18" s="1" t="n">
        <f aca="false">F18</f>
        <v>3.7816425120773</v>
      </c>
      <c r="S18" s="1" t="n">
        <f aca="false">F18</f>
        <v>3.7816425120773</v>
      </c>
      <c r="T18" s="1" t="n">
        <v>1</v>
      </c>
      <c r="U18" s="1" t="n">
        <v>1</v>
      </c>
      <c r="V18" s="1" t="n">
        <f aca="false">F18</f>
        <v>3.7816425120773</v>
      </c>
      <c r="W18" s="1" t="n">
        <f aca="false">F18</f>
        <v>3.7816425120773</v>
      </c>
      <c r="X18" s="1" t="n">
        <f aca="false">F18</f>
        <v>3.7816425120773</v>
      </c>
      <c r="Y18" s="1" t="n">
        <f aca="false">F18</f>
        <v>3.7816425120773</v>
      </c>
      <c r="Z18" s="1" t="n">
        <f aca="false">F18</f>
        <v>3.7816425120773</v>
      </c>
      <c r="AA18" s="1" t="n">
        <f aca="false">F18</f>
        <v>3.7816425120773</v>
      </c>
      <c r="AB18" s="1" t="n">
        <f aca="false">F18</f>
        <v>3.7816425120773</v>
      </c>
      <c r="AC18" s="1" t="n">
        <f aca="false">F18</f>
        <v>3.7816425120773</v>
      </c>
      <c r="AD18" s="1" t="n">
        <f aca="false">F18</f>
        <v>3.7816425120773</v>
      </c>
      <c r="AE18" s="1" t="n">
        <v>1</v>
      </c>
      <c r="AF18" s="1" t="n">
        <v>1</v>
      </c>
      <c r="AG18" s="1" t="n">
        <v>1</v>
      </c>
      <c r="AH18" s="1" t="n">
        <v>1</v>
      </c>
      <c r="AI18" s="1" t="n">
        <v>1</v>
      </c>
      <c r="AJ18" s="1" t="n">
        <v>1</v>
      </c>
      <c r="AK18" s="1" t="n">
        <v>1</v>
      </c>
      <c r="AL18" s="1" t="n">
        <v>1</v>
      </c>
      <c r="AM18" s="1" t="n">
        <v>1</v>
      </c>
      <c r="AN18" s="1" t="n">
        <f aca="false">F18</f>
        <v>3.7816425120773</v>
      </c>
      <c r="AO18" s="1" t="n">
        <f aca="false">F18</f>
        <v>3.7816425120773</v>
      </c>
      <c r="AP18" s="1" t="n">
        <f aca="false">F18</f>
        <v>3.7816425120773</v>
      </c>
      <c r="AQ18" s="1" t="n">
        <f aca="false">F18</f>
        <v>3.7816425120773</v>
      </c>
      <c r="AR18" s="1" t="n">
        <f aca="false">F18</f>
        <v>3.7816425120773</v>
      </c>
      <c r="AS18" s="1" t="n">
        <f aca="false">F18</f>
        <v>3.7816425120773</v>
      </c>
      <c r="AT18" s="1" t="n">
        <v>1</v>
      </c>
      <c r="AU18" s="1" t="n">
        <f aca="false">F18</f>
        <v>3.7816425120773</v>
      </c>
      <c r="AV18" s="1" t="n">
        <f aca="false">F18</f>
        <v>3.7816425120773</v>
      </c>
      <c r="AW18" s="1" t="n">
        <f aca="false">F18</f>
        <v>3.7816425120773</v>
      </c>
      <c r="AX18" s="1" t="n">
        <v>1</v>
      </c>
      <c r="AY18" s="1" t="n">
        <v>1</v>
      </c>
      <c r="AZ18" s="1" t="n">
        <v>1</v>
      </c>
      <c r="BA18" s="1" t="n">
        <f aca="false">F18</f>
        <v>3.7816425120773</v>
      </c>
      <c r="BB18" s="1" t="n">
        <f aca="false">F18</f>
        <v>3.7816425120773</v>
      </c>
      <c r="BC18" s="1" t="n">
        <v>1</v>
      </c>
      <c r="BD18" s="1" t="n">
        <v>1</v>
      </c>
      <c r="BE18" s="1" t="n">
        <v>1</v>
      </c>
      <c r="BF18" s="1" t="n">
        <v>1</v>
      </c>
      <c r="BG18" s="1" t="n">
        <v>1</v>
      </c>
      <c r="BH18" s="1" t="n">
        <v>1</v>
      </c>
      <c r="BI18" s="1" t="n">
        <v>1</v>
      </c>
      <c r="BJ18" s="1" t="n">
        <v>1</v>
      </c>
      <c r="BK18" s="1" t="n">
        <v>1</v>
      </c>
    </row>
    <row r="19" customFormat="false" ht="12.75" hidden="false" customHeight="false" outlineLevel="0" collapsed="false">
      <c r="A19" s="1" t="n">
        <f aca="false">A18-1</f>
        <v>2008</v>
      </c>
      <c r="B19" s="1" t="n">
        <v>1</v>
      </c>
      <c r="C19" s="1" t="n">
        <v>1</v>
      </c>
      <c r="D19" s="1" t="n">
        <v>1</v>
      </c>
      <c r="E19" s="1" t="n">
        <v>1</v>
      </c>
      <c r="F19" s="1" t="n">
        <f aca="false">im!L18/im!K18</f>
        <v>4.02474702657048</v>
      </c>
      <c r="G19" s="1" t="n">
        <f aca="false">F19</f>
        <v>4.02474702657048</v>
      </c>
      <c r="H19" s="1" t="n">
        <f aca="false">F19</f>
        <v>4.02474702657048</v>
      </c>
      <c r="I19" s="1" t="n">
        <f aca="false">F19</f>
        <v>4.02474702657048</v>
      </c>
      <c r="J19" s="1" t="n">
        <v>1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s="1" t="n">
        <v>1</v>
      </c>
      <c r="Q19" s="1" t="n">
        <f aca="false">F19</f>
        <v>4.02474702657048</v>
      </c>
      <c r="R19" s="1" t="n">
        <f aca="false">F19</f>
        <v>4.02474702657048</v>
      </c>
      <c r="S19" s="1" t="n">
        <f aca="false">F19</f>
        <v>4.02474702657048</v>
      </c>
      <c r="T19" s="1" t="n">
        <v>1</v>
      </c>
      <c r="U19" s="1" t="n">
        <v>1</v>
      </c>
      <c r="V19" s="1" t="n">
        <f aca="false">F19</f>
        <v>4.02474702657048</v>
      </c>
      <c r="W19" s="1" t="n">
        <f aca="false">F19</f>
        <v>4.02474702657048</v>
      </c>
      <c r="X19" s="1" t="n">
        <f aca="false">F19</f>
        <v>4.02474702657048</v>
      </c>
      <c r="Y19" s="1" t="n">
        <f aca="false">F19</f>
        <v>4.02474702657048</v>
      </c>
      <c r="Z19" s="1" t="n">
        <f aca="false">F19</f>
        <v>4.02474702657048</v>
      </c>
      <c r="AA19" s="1" t="n">
        <f aca="false">F19</f>
        <v>4.02474702657048</v>
      </c>
      <c r="AB19" s="1" t="n">
        <f aca="false">F19</f>
        <v>4.02474702657048</v>
      </c>
      <c r="AC19" s="1" t="n">
        <f aca="false">F19</f>
        <v>4.02474702657048</v>
      </c>
      <c r="AD19" s="1" t="n">
        <f aca="false">F19</f>
        <v>4.02474702657048</v>
      </c>
      <c r="AE19" s="1" t="n">
        <v>1</v>
      </c>
      <c r="AF19" s="1" t="n">
        <v>1</v>
      </c>
      <c r="AG19" s="1" t="n">
        <v>1</v>
      </c>
      <c r="AH19" s="1" t="n">
        <v>1</v>
      </c>
      <c r="AI19" s="1" t="n">
        <v>1</v>
      </c>
      <c r="AJ19" s="1" t="n">
        <v>1</v>
      </c>
      <c r="AK19" s="1" t="n">
        <v>1</v>
      </c>
      <c r="AL19" s="1" t="n">
        <v>1</v>
      </c>
      <c r="AM19" s="1" t="n">
        <v>1</v>
      </c>
      <c r="AN19" s="1" t="n">
        <f aca="false">F19</f>
        <v>4.02474702657048</v>
      </c>
      <c r="AO19" s="1" t="n">
        <f aca="false">F19</f>
        <v>4.02474702657048</v>
      </c>
      <c r="AP19" s="1" t="n">
        <f aca="false">F19</f>
        <v>4.02474702657048</v>
      </c>
      <c r="AQ19" s="1" t="n">
        <f aca="false">F19</f>
        <v>4.02474702657048</v>
      </c>
      <c r="AR19" s="1" t="n">
        <f aca="false">F19</f>
        <v>4.02474702657048</v>
      </c>
      <c r="AS19" s="1" t="n">
        <f aca="false">F19</f>
        <v>4.02474702657048</v>
      </c>
      <c r="AT19" s="1" t="n">
        <v>1</v>
      </c>
      <c r="AU19" s="1" t="n">
        <f aca="false">F19</f>
        <v>4.02474702657048</v>
      </c>
      <c r="AV19" s="1" t="n">
        <f aca="false">F19</f>
        <v>4.02474702657048</v>
      </c>
      <c r="AW19" s="1" t="n">
        <f aca="false">F19</f>
        <v>4.02474702657048</v>
      </c>
      <c r="AX19" s="1" t="n">
        <v>1</v>
      </c>
      <c r="AY19" s="1" t="n">
        <v>1</v>
      </c>
      <c r="AZ19" s="1" t="n">
        <v>1</v>
      </c>
      <c r="BA19" s="1" t="n">
        <f aca="false">F19</f>
        <v>4.02474702657048</v>
      </c>
      <c r="BB19" s="1" t="n">
        <f aca="false">F19</f>
        <v>4.02474702657048</v>
      </c>
      <c r="BC19" s="1" t="n">
        <v>1</v>
      </c>
      <c r="BD19" s="1" t="n">
        <v>1</v>
      </c>
      <c r="BE19" s="1" t="n">
        <v>1</v>
      </c>
      <c r="BF19" s="1" t="n">
        <v>1</v>
      </c>
      <c r="BG19" s="1" t="n">
        <v>1</v>
      </c>
      <c r="BH19" s="1" t="n">
        <v>1</v>
      </c>
      <c r="BI19" s="1" t="n">
        <v>1</v>
      </c>
      <c r="BJ19" s="1" t="n">
        <v>1</v>
      </c>
      <c r="BK19" s="1" t="n">
        <v>1</v>
      </c>
    </row>
    <row r="20" customFormat="false" ht="12.75" hidden="false" customHeight="false" outlineLevel="0" collapsed="false">
      <c r="A20" s="1" t="n">
        <f aca="false">A19-1</f>
        <v>2007</v>
      </c>
      <c r="B20" s="1" t="n">
        <v>1</v>
      </c>
      <c r="C20" s="1" t="n">
        <v>1</v>
      </c>
      <c r="D20" s="1" t="n">
        <v>1</v>
      </c>
      <c r="E20" s="1" t="n">
        <v>1</v>
      </c>
      <c r="F20" s="1" t="n">
        <f aca="false">im!L19/im!K19</f>
        <v>4.17638502030503</v>
      </c>
      <c r="G20" s="1" t="n">
        <f aca="false">F20</f>
        <v>4.17638502030503</v>
      </c>
      <c r="H20" s="1" t="n">
        <f aca="false">F20</f>
        <v>4.17638502030503</v>
      </c>
      <c r="I20" s="1" t="n">
        <f aca="false">F20</f>
        <v>4.17638502030503</v>
      </c>
      <c r="J20" s="1" t="n">
        <v>1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  <c r="P20" s="1" t="n">
        <v>1</v>
      </c>
      <c r="Q20" s="1" t="n">
        <f aca="false">F20</f>
        <v>4.17638502030503</v>
      </c>
      <c r="R20" s="1" t="n">
        <f aca="false">F20</f>
        <v>4.17638502030503</v>
      </c>
      <c r="S20" s="1" t="n">
        <f aca="false">F20</f>
        <v>4.17638502030503</v>
      </c>
      <c r="T20" s="1" t="n">
        <v>1</v>
      </c>
      <c r="U20" s="1" t="n">
        <v>1</v>
      </c>
      <c r="V20" s="1" t="n">
        <f aca="false">F20</f>
        <v>4.17638502030503</v>
      </c>
      <c r="W20" s="1" t="n">
        <f aca="false">F20</f>
        <v>4.17638502030503</v>
      </c>
      <c r="X20" s="1" t="n">
        <f aca="false">F20</f>
        <v>4.17638502030503</v>
      </c>
      <c r="Y20" s="1" t="n">
        <f aca="false">F20</f>
        <v>4.17638502030503</v>
      </c>
      <c r="Z20" s="1" t="n">
        <f aca="false">F20</f>
        <v>4.17638502030503</v>
      </c>
      <c r="AA20" s="1" t="n">
        <f aca="false">F20</f>
        <v>4.17638502030503</v>
      </c>
      <c r="AB20" s="1" t="n">
        <f aca="false">F20</f>
        <v>4.17638502030503</v>
      </c>
      <c r="AC20" s="1" t="n">
        <f aca="false">F20</f>
        <v>4.17638502030503</v>
      </c>
      <c r="AD20" s="1" t="n">
        <f aca="false">F20</f>
        <v>4.17638502030503</v>
      </c>
      <c r="AE20" s="1" t="n">
        <v>1</v>
      </c>
      <c r="AF20" s="1" t="n">
        <v>1</v>
      </c>
      <c r="AG20" s="1" t="n">
        <v>1</v>
      </c>
      <c r="AH20" s="1" t="n">
        <v>1</v>
      </c>
      <c r="AI20" s="1" t="n">
        <v>1</v>
      </c>
      <c r="AJ20" s="1" t="n">
        <v>1</v>
      </c>
      <c r="AK20" s="1" t="n">
        <v>1</v>
      </c>
      <c r="AL20" s="1" t="n">
        <v>1</v>
      </c>
      <c r="AM20" s="1" t="n">
        <v>1</v>
      </c>
      <c r="AN20" s="1" t="n">
        <f aca="false">F20</f>
        <v>4.17638502030503</v>
      </c>
      <c r="AO20" s="1" t="n">
        <f aca="false">F20</f>
        <v>4.17638502030503</v>
      </c>
      <c r="AP20" s="1" t="n">
        <f aca="false">F20</f>
        <v>4.17638502030503</v>
      </c>
      <c r="AQ20" s="1" t="n">
        <f aca="false">F20</f>
        <v>4.17638502030503</v>
      </c>
      <c r="AR20" s="1" t="n">
        <f aca="false">F20</f>
        <v>4.17638502030503</v>
      </c>
      <c r="AS20" s="1" t="n">
        <f aca="false">F20</f>
        <v>4.17638502030503</v>
      </c>
      <c r="AT20" s="1" t="n">
        <v>1</v>
      </c>
      <c r="AU20" s="1" t="n">
        <f aca="false">F20</f>
        <v>4.17638502030503</v>
      </c>
      <c r="AV20" s="1" t="n">
        <f aca="false">F20</f>
        <v>4.17638502030503</v>
      </c>
      <c r="AW20" s="1" t="n">
        <f aca="false">F20</f>
        <v>4.17638502030503</v>
      </c>
      <c r="AX20" s="1" t="n">
        <v>1</v>
      </c>
      <c r="AY20" s="1" t="n">
        <v>1</v>
      </c>
      <c r="AZ20" s="1" t="n">
        <v>1</v>
      </c>
      <c r="BA20" s="1" t="n">
        <f aca="false">F20</f>
        <v>4.17638502030503</v>
      </c>
      <c r="BB20" s="1" t="n">
        <f aca="false">F20</f>
        <v>4.17638502030503</v>
      </c>
      <c r="BC20" s="1" t="n">
        <v>1</v>
      </c>
      <c r="BD20" s="1" t="n">
        <v>1</v>
      </c>
      <c r="BE20" s="1" t="n">
        <v>1</v>
      </c>
      <c r="BF20" s="1" t="n">
        <v>1</v>
      </c>
      <c r="BG20" s="1" t="n">
        <v>1</v>
      </c>
      <c r="BH20" s="1" t="n">
        <v>1</v>
      </c>
      <c r="BI20" s="1" t="n">
        <v>1</v>
      </c>
      <c r="BJ20" s="1" t="n">
        <v>1</v>
      </c>
      <c r="BK20" s="1" t="n">
        <v>1</v>
      </c>
    </row>
    <row r="21" customFormat="false" ht="12.75" hidden="false" customHeight="false" outlineLevel="0" collapsed="false">
      <c r="A21" s="1" t="n">
        <f aca="false">A20-1</f>
        <v>2006</v>
      </c>
      <c r="B21" s="1" t="n">
        <v>1</v>
      </c>
      <c r="C21" s="1" t="n">
        <v>1</v>
      </c>
      <c r="D21" s="1" t="n">
        <v>1</v>
      </c>
      <c r="E21" s="1" t="n">
        <v>1</v>
      </c>
      <c r="F21" s="1" t="n">
        <f aca="false">im!L20/im!K20</f>
        <v>3.78577977979893</v>
      </c>
      <c r="G21" s="1" t="n">
        <f aca="false">F21</f>
        <v>3.78577977979893</v>
      </c>
      <c r="H21" s="1" t="n">
        <f aca="false">F21</f>
        <v>3.78577977979893</v>
      </c>
      <c r="I21" s="1" t="n">
        <f aca="false">F21</f>
        <v>3.78577977979893</v>
      </c>
      <c r="J21" s="1" t="n">
        <v>1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1</v>
      </c>
      <c r="Q21" s="1" t="n">
        <f aca="false">F21</f>
        <v>3.78577977979893</v>
      </c>
      <c r="R21" s="1" t="n">
        <f aca="false">F21</f>
        <v>3.78577977979893</v>
      </c>
      <c r="S21" s="1" t="n">
        <f aca="false">F21</f>
        <v>3.78577977979893</v>
      </c>
      <c r="T21" s="1" t="n">
        <v>1</v>
      </c>
      <c r="U21" s="1" t="n">
        <v>1</v>
      </c>
      <c r="V21" s="1" t="n">
        <f aca="false">F21</f>
        <v>3.78577977979893</v>
      </c>
      <c r="W21" s="1" t="n">
        <f aca="false">F21</f>
        <v>3.78577977979893</v>
      </c>
      <c r="X21" s="1" t="n">
        <f aca="false">F21</f>
        <v>3.78577977979893</v>
      </c>
      <c r="Y21" s="1" t="n">
        <f aca="false">F21</f>
        <v>3.78577977979893</v>
      </c>
      <c r="Z21" s="1" t="n">
        <f aca="false">F21</f>
        <v>3.78577977979893</v>
      </c>
      <c r="AA21" s="1" t="n">
        <f aca="false">F21</f>
        <v>3.78577977979893</v>
      </c>
      <c r="AB21" s="1" t="n">
        <f aca="false">F21</f>
        <v>3.78577977979893</v>
      </c>
      <c r="AC21" s="1" t="n">
        <f aca="false">F21</f>
        <v>3.78577977979893</v>
      </c>
      <c r="AD21" s="1" t="n">
        <f aca="false">F21</f>
        <v>3.78577977979893</v>
      </c>
      <c r="AE21" s="1" t="n">
        <v>1</v>
      </c>
      <c r="AF21" s="1" t="n">
        <v>1</v>
      </c>
      <c r="AG21" s="1" t="n">
        <v>1</v>
      </c>
      <c r="AH21" s="1" t="n">
        <v>1</v>
      </c>
      <c r="AI21" s="1" t="n">
        <v>1</v>
      </c>
      <c r="AJ21" s="1" t="n">
        <v>1</v>
      </c>
      <c r="AK21" s="1" t="n">
        <v>1</v>
      </c>
      <c r="AL21" s="1" t="n">
        <v>1</v>
      </c>
      <c r="AM21" s="1" t="n">
        <v>1</v>
      </c>
      <c r="AN21" s="1" t="n">
        <f aca="false">F21</f>
        <v>3.78577977979893</v>
      </c>
      <c r="AO21" s="1" t="n">
        <f aca="false">F21</f>
        <v>3.78577977979893</v>
      </c>
      <c r="AP21" s="1" t="n">
        <f aca="false">F21</f>
        <v>3.78577977979893</v>
      </c>
      <c r="AQ21" s="1" t="n">
        <f aca="false">F21</f>
        <v>3.78577977979893</v>
      </c>
      <c r="AR21" s="1" t="n">
        <f aca="false">F21</f>
        <v>3.78577977979893</v>
      </c>
      <c r="AS21" s="1" t="n">
        <f aca="false">F21</f>
        <v>3.78577977979893</v>
      </c>
      <c r="AT21" s="1" t="n">
        <v>1</v>
      </c>
      <c r="AU21" s="1" t="n">
        <f aca="false">F21</f>
        <v>3.78577977979893</v>
      </c>
      <c r="AV21" s="1" t="n">
        <f aca="false">F21</f>
        <v>3.78577977979893</v>
      </c>
      <c r="AW21" s="1" t="n">
        <f aca="false">F21</f>
        <v>3.78577977979893</v>
      </c>
      <c r="AX21" s="1" t="n">
        <v>1</v>
      </c>
      <c r="AY21" s="1" t="n">
        <v>1</v>
      </c>
      <c r="AZ21" s="1" t="n">
        <v>1</v>
      </c>
      <c r="BA21" s="1" t="n">
        <f aca="false">F21</f>
        <v>3.78577977979893</v>
      </c>
      <c r="BB21" s="1" t="n">
        <f aca="false">F21</f>
        <v>3.78577977979893</v>
      </c>
      <c r="BC21" s="1" t="n">
        <v>1</v>
      </c>
      <c r="BD21" s="1" t="n">
        <v>1</v>
      </c>
      <c r="BE21" s="1" t="n">
        <v>1</v>
      </c>
      <c r="BF21" s="1" t="n">
        <v>1</v>
      </c>
      <c r="BG21" s="1" t="n">
        <v>1</v>
      </c>
      <c r="BH21" s="1" t="n">
        <v>1</v>
      </c>
      <c r="BI21" s="1" t="n">
        <v>1</v>
      </c>
      <c r="BJ21" s="1" t="n">
        <v>1</v>
      </c>
      <c r="BK21" s="1" t="n">
        <v>1</v>
      </c>
    </row>
    <row r="22" customFormat="false" ht="12.75" hidden="false" customHeight="false" outlineLevel="0" collapsed="false">
      <c r="A22" s="1" t="n">
        <f aca="false">A21-1</f>
        <v>2005</v>
      </c>
      <c r="B22" s="1" t="n">
        <v>1</v>
      </c>
      <c r="C22" s="1" t="n">
        <v>1</v>
      </c>
      <c r="D22" s="1" t="n">
        <v>1</v>
      </c>
      <c r="E22" s="1" t="n">
        <v>1</v>
      </c>
      <c r="F22" s="1" t="n">
        <f aca="false">im!L21/im!K21</f>
        <v>3.61648084693075</v>
      </c>
      <c r="G22" s="1" t="n">
        <f aca="false">F22</f>
        <v>3.61648084693075</v>
      </c>
      <c r="H22" s="1" t="n">
        <f aca="false">F22</f>
        <v>3.61648084693075</v>
      </c>
      <c r="I22" s="1" t="n">
        <f aca="false">F22</f>
        <v>3.61648084693075</v>
      </c>
      <c r="J22" s="1" t="n">
        <v>1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  <c r="P22" s="1" t="n">
        <v>1</v>
      </c>
      <c r="Q22" s="1" t="n">
        <f aca="false">F22</f>
        <v>3.61648084693075</v>
      </c>
      <c r="R22" s="1" t="n">
        <f aca="false">F22</f>
        <v>3.61648084693075</v>
      </c>
      <c r="S22" s="1" t="n">
        <f aca="false">F22</f>
        <v>3.61648084693075</v>
      </c>
      <c r="T22" s="1" t="n">
        <v>1</v>
      </c>
      <c r="U22" s="1" t="n">
        <v>1</v>
      </c>
      <c r="V22" s="1" t="n">
        <f aca="false">F22</f>
        <v>3.61648084693075</v>
      </c>
      <c r="W22" s="1" t="n">
        <f aca="false">F22</f>
        <v>3.61648084693075</v>
      </c>
      <c r="X22" s="1" t="n">
        <f aca="false">F22</f>
        <v>3.61648084693075</v>
      </c>
      <c r="Y22" s="1" t="n">
        <f aca="false">F22</f>
        <v>3.61648084693075</v>
      </c>
      <c r="Z22" s="1" t="n">
        <f aca="false">F22</f>
        <v>3.61648084693075</v>
      </c>
      <c r="AA22" s="1" t="n">
        <f aca="false">F22</f>
        <v>3.61648084693075</v>
      </c>
      <c r="AB22" s="1" t="n">
        <f aca="false">F22</f>
        <v>3.61648084693075</v>
      </c>
      <c r="AC22" s="1" t="n">
        <f aca="false">F22</f>
        <v>3.61648084693075</v>
      </c>
      <c r="AD22" s="1" t="n">
        <f aca="false">F22</f>
        <v>3.61648084693075</v>
      </c>
      <c r="AE22" s="1" t="n">
        <v>1</v>
      </c>
      <c r="AF22" s="1" t="n">
        <v>1</v>
      </c>
      <c r="AG22" s="1" t="n">
        <v>1</v>
      </c>
      <c r="AH22" s="1" t="n">
        <v>1</v>
      </c>
      <c r="AI22" s="1" t="n">
        <v>1</v>
      </c>
      <c r="AJ22" s="1" t="n">
        <v>1</v>
      </c>
      <c r="AK22" s="1" t="n">
        <v>1</v>
      </c>
      <c r="AL22" s="1" t="n">
        <v>1</v>
      </c>
      <c r="AM22" s="1" t="n">
        <v>1</v>
      </c>
      <c r="AN22" s="1" t="n">
        <f aca="false">F22</f>
        <v>3.61648084693075</v>
      </c>
      <c r="AO22" s="1" t="n">
        <f aca="false">F22</f>
        <v>3.61648084693075</v>
      </c>
      <c r="AP22" s="1" t="n">
        <f aca="false">F22</f>
        <v>3.61648084693075</v>
      </c>
      <c r="AQ22" s="1" t="n">
        <f aca="false">F22</f>
        <v>3.61648084693075</v>
      </c>
      <c r="AR22" s="1" t="n">
        <f aca="false">F22</f>
        <v>3.61648084693075</v>
      </c>
      <c r="AS22" s="1" t="n">
        <f aca="false">F22</f>
        <v>3.61648084693075</v>
      </c>
      <c r="AT22" s="1" t="n">
        <v>1</v>
      </c>
      <c r="AU22" s="1" t="n">
        <f aca="false">F22</f>
        <v>3.61648084693075</v>
      </c>
      <c r="AV22" s="1" t="n">
        <f aca="false">F22</f>
        <v>3.61648084693075</v>
      </c>
      <c r="AW22" s="1" t="n">
        <f aca="false">F22</f>
        <v>3.61648084693075</v>
      </c>
      <c r="AX22" s="1" t="n">
        <v>1</v>
      </c>
      <c r="AY22" s="1" t="n">
        <v>1</v>
      </c>
      <c r="AZ22" s="1" t="n">
        <v>1</v>
      </c>
      <c r="BA22" s="1" t="n">
        <f aca="false">F22</f>
        <v>3.61648084693075</v>
      </c>
      <c r="BB22" s="1" t="n">
        <f aca="false">F22</f>
        <v>3.61648084693075</v>
      </c>
      <c r="BC22" s="1" t="n">
        <v>1</v>
      </c>
      <c r="BD22" s="1" t="n">
        <v>1</v>
      </c>
      <c r="BE22" s="1" t="n">
        <v>1</v>
      </c>
      <c r="BF22" s="1" t="n">
        <v>1</v>
      </c>
      <c r="BG22" s="1" t="n">
        <v>1</v>
      </c>
      <c r="BH22" s="1" t="n">
        <v>1</v>
      </c>
      <c r="BI22" s="1" t="n">
        <v>1</v>
      </c>
      <c r="BJ22" s="1" t="n">
        <v>1</v>
      </c>
      <c r="BK22" s="1" t="n">
        <v>1</v>
      </c>
    </row>
    <row r="23" customFormat="false" ht="12.75" hidden="false" customHeight="false" outlineLevel="0" collapsed="false">
      <c r="A23" s="1" t="n">
        <f aca="false">A22-1</f>
        <v>2004</v>
      </c>
      <c r="B23" s="1" t="n">
        <v>1</v>
      </c>
      <c r="C23" s="1" t="n">
        <v>1</v>
      </c>
      <c r="D23" s="1" t="n">
        <v>1</v>
      </c>
      <c r="E23" s="1" t="n">
        <v>1</v>
      </c>
      <c r="F23" s="1" t="n">
        <f aca="false">im!L22/im!K22</f>
        <v>3.23637753735927</v>
      </c>
      <c r="G23" s="1" t="n">
        <f aca="false">F23</f>
        <v>3.23637753735927</v>
      </c>
      <c r="H23" s="1" t="n">
        <f aca="false">F23</f>
        <v>3.23637753735927</v>
      </c>
      <c r="I23" s="1" t="n">
        <f aca="false">F23</f>
        <v>3.23637753735927</v>
      </c>
      <c r="J23" s="1" t="n">
        <v>1</v>
      </c>
      <c r="K23" s="1" t="n">
        <v>1</v>
      </c>
      <c r="L23" s="1" t="n">
        <v>1</v>
      </c>
      <c r="M23" s="1" t="n">
        <v>1</v>
      </c>
      <c r="N23" s="1" t="n">
        <v>1</v>
      </c>
      <c r="O23" s="1" t="n">
        <v>1</v>
      </c>
      <c r="P23" s="1" t="n">
        <v>1</v>
      </c>
      <c r="Q23" s="1" t="n">
        <f aca="false">F23</f>
        <v>3.23637753735927</v>
      </c>
      <c r="R23" s="1" t="n">
        <f aca="false">F23</f>
        <v>3.23637753735927</v>
      </c>
      <c r="S23" s="1" t="n">
        <f aca="false">F23</f>
        <v>3.23637753735927</v>
      </c>
      <c r="T23" s="1" t="n">
        <v>1</v>
      </c>
      <c r="U23" s="1" t="n">
        <v>1</v>
      </c>
      <c r="V23" s="1" t="n">
        <f aca="false">F23</f>
        <v>3.23637753735927</v>
      </c>
      <c r="W23" s="1" t="n">
        <f aca="false">F23</f>
        <v>3.23637753735927</v>
      </c>
      <c r="X23" s="1" t="n">
        <f aca="false">F23</f>
        <v>3.23637753735927</v>
      </c>
      <c r="Y23" s="1" t="n">
        <f aca="false">F23</f>
        <v>3.23637753735927</v>
      </c>
      <c r="Z23" s="1" t="n">
        <f aca="false">F23</f>
        <v>3.23637753735927</v>
      </c>
      <c r="AA23" s="1" t="n">
        <f aca="false">F23</f>
        <v>3.23637753735927</v>
      </c>
      <c r="AB23" s="1" t="n">
        <f aca="false">F23</f>
        <v>3.23637753735927</v>
      </c>
      <c r="AC23" s="1" t="n">
        <f aca="false">F23</f>
        <v>3.23637753735927</v>
      </c>
      <c r="AD23" s="1" t="n">
        <f aca="false">F23</f>
        <v>3.23637753735927</v>
      </c>
      <c r="AE23" s="1" t="n">
        <v>1</v>
      </c>
      <c r="AF23" s="1" t="n">
        <v>1</v>
      </c>
      <c r="AG23" s="1" t="n">
        <v>1</v>
      </c>
      <c r="AH23" s="1" t="n">
        <v>1</v>
      </c>
      <c r="AI23" s="1" t="n">
        <v>1</v>
      </c>
      <c r="AJ23" s="1" t="n">
        <v>1</v>
      </c>
      <c r="AK23" s="1" t="n">
        <v>1</v>
      </c>
      <c r="AL23" s="1" t="n">
        <v>1</v>
      </c>
      <c r="AM23" s="1" t="n">
        <v>1</v>
      </c>
      <c r="AN23" s="1" t="n">
        <f aca="false">F23</f>
        <v>3.23637753735927</v>
      </c>
      <c r="AO23" s="1" t="n">
        <f aca="false">F23</f>
        <v>3.23637753735927</v>
      </c>
      <c r="AP23" s="1" t="n">
        <f aca="false">F23</f>
        <v>3.23637753735927</v>
      </c>
      <c r="AQ23" s="1" t="n">
        <f aca="false">F23</f>
        <v>3.23637753735927</v>
      </c>
      <c r="AR23" s="1" t="n">
        <f aca="false">F23</f>
        <v>3.23637753735927</v>
      </c>
      <c r="AS23" s="1" t="n">
        <f aca="false">F23</f>
        <v>3.23637753735927</v>
      </c>
      <c r="AT23" s="1" t="n">
        <v>1</v>
      </c>
      <c r="AU23" s="1" t="n">
        <f aca="false">F23</f>
        <v>3.23637753735927</v>
      </c>
      <c r="AV23" s="1" t="n">
        <f aca="false">F23</f>
        <v>3.23637753735927</v>
      </c>
      <c r="AW23" s="1" t="n">
        <f aca="false">F23</f>
        <v>3.23637753735927</v>
      </c>
      <c r="AX23" s="1" t="n">
        <v>1</v>
      </c>
      <c r="AY23" s="1" t="n">
        <v>1</v>
      </c>
      <c r="AZ23" s="1" t="n">
        <v>1</v>
      </c>
      <c r="BA23" s="1" t="n">
        <f aca="false">F23</f>
        <v>3.23637753735927</v>
      </c>
      <c r="BB23" s="1" t="n">
        <f aca="false">F23</f>
        <v>3.23637753735927</v>
      </c>
      <c r="BC23" s="1" t="n">
        <v>1</v>
      </c>
      <c r="BD23" s="1" t="n">
        <v>1</v>
      </c>
      <c r="BE23" s="1" t="n">
        <v>1</v>
      </c>
      <c r="BF23" s="1" t="n">
        <v>1</v>
      </c>
      <c r="BG23" s="1" t="n">
        <v>1</v>
      </c>
      <c r="BH23" s="1" t="n">
        <v>1</v>
      </c>
      <c r="BI23" s="1" t="n">
        <v>1</v>
      </c>
      <c r="BJ23" s="1" t="n">
        <v>1</v>
      </c>
      <c r="BK23" s="1" t="n">
        <v>1</v>
      </c>
    </row>
    <row r="24" customFormat="false" ht="12.75" hidden="false" customHeight="false" outlineLevel="0" collapsed="false">
      <c r="A24" s="1" t="n">
        <f aca="false">A23-1</f>
        <v>2003</v>
      </c>
      <c r="B24" s="1" t="n">
        <v>1</v>
      </c>
      <c r="C24" s="1" t="n">
        <v>1</v>
      </c>
      <c r="D24" s="1" t="n">
        <v>1</v>
      </c>
      <c r="E24" s="1" t="n">
        <v>1</v>
      </c>
      <c r="F24" s="1" t="n">
        <f aca="false">im!L23/im!K23</f>
        <v>3.31800040716083</v>
      </c>
      <c r="G24" s="1" t="n">
        <f aca="false">F24</f>
        <v>3.31800040716083</v>
      </c>
      <c r="H24" s="1" t="n">
        <f aca="false">F24</f>
        <v>3.31800040716083</v>
      </c>
      <c r="I24" s="1" t="n">
        <f aca="false">F24</f>
        <v>3.31800040716083</v>
      </c>
      <c r="J24" s="1" t="n">
        <v>1</v>
      </c>
      <c r="K24" s="1" t="n">
        <v>1</v>
      </c>
      <c r="L24" s="1" t="n">
        <v>1</v>
      </c>
      <c r="M24" s="1" t="n">
        <v>1</v>
      </c>
      <c r="N24" s="1" t="n">
        <v>1</v>
      </c>
      <c r="O24" s="1" t="n">
        <v>1</v>
      </c>
      <c r="P24" s="1" t="n">
        <v>1</v>
      </c>
      <c r="Q24" s="1" t="n">
        <f aca="false">F24</f>
        <v>3.31800040716083</v>
      </c>
      <c r="R24" s="1" t="n">
        <f aca="false">F24</f>
        <v>3.31800040716083</v>
      </c>
      <c r="S24" s="1" t="n">
        <f aca="false">F24</f>
        <v>3.31800040716083</v>
      </c>
      <c r="T24" s="1" t="n">
        <v>1</v>
      </c>
      <c r="U24" s="1" t="n">
        <v>1</v>
      </c>
      <c r="V24" s="1" t="n">
        <f aca="false">F24</f>
        <v>3.31800040716083</v>
      </c>
      <c r="W24" s="1" t="n">
        <f aca="false">F24</f>
        <v>3.31800040716083</v>
      </c>
      <c r="X24" s="1" t="n">
        <f aca="false">F24</f>
        <v>3.31800040716083</v>
      </c>
      <c r="Y24" s="1" t="n">
        <f aca="false">F24</f>
        <v>3.31800040716083</v>
      </c>
      <c r="Z24" s="1" t="n">
        <f aca="false">F24</f>
        <v>3.31800040716083</v>
      </c>
      <c r="AA24" s="1" t="n">
        <f aca="false">F24</f>
        <v>3.31800040716083</v>
      </c>
      <c r="AB24" s="1" t="n">
        <f aca="false">F24</f>
        <v>3.31800040716083</v>
      </c>
      <c r="AC24" s="1" t="n">
        <f aca="false">F24</f>
        <v>3.31800040716083</v>
      </c>
      <c r="AD24" s="1" t="n">
        <f aca="false">F24</f>
        <v>3.31800040716083</v>
      </c>
      <c r="AE24" s="1" t="n">
        <v>1</v>
      </c>
      <c r="AF24" s="1" t="n">
        <v>1</v>
      </c>
      <c r="AG24" s="1" t="n">
        <v>1</v>
      </c>
      <c r="AH24" s="1" t="n">
        <v>1</v>
      </c>
      <c r="AI24" s="1" t="n">
        <v>1</v>
      </c>
      <c r="AJ24" s="1" t="n">
        <v>1</v>
      </c>
      <c r="AK24" s="1" t="n">
        <v>1</v>
      </c>
      <c r="AL24" s="1" t="n">
        <v>1</v>
      </c>
      <c r="AM24" s="1" t="n">
        <v>1</v>
      </c>
      <c r="AN24" s="1" t="n">
        <f aca="false">F24</f>
        <v>3.31800040716083</v>
      </c>
      <c r="AO24" s="1" t="n">
        <f aca="false">F24</f>
        <v>3.31800040716083</v>
      </c>
      <c r="AP24" s="1" t="n">
        <f aca="false">F24</f>
        <v>3.31800040716083</v>
      </c>
      <c r="AQ24" s="1" t="n">
        <f aca="false">F24</f>
        <v>3.31800040716083</v>
      </c>
      <c r="AR24" s="1" t="n">
        <f aca="false">F24</f>
        <v>3.31800040716083</v>
      </c>
      <c r="AS24" s="1" t="n">
        <f aca="false">F24</f>
        <v>3.31800040716083</v>
      </c>
      <c r="AT24" s="1" t="n">
        <v>1</v>
      </c>
      <c r="AU24" s="1" t="n">
        <f aca="false">F24</f>
        <v>3.31800040716083</v>
      </c>
      <c r="AV24" s="1" t="n">
        <f aca="false">F24</f>
        <v>3.31800040716083</v>
      </c>
      <c r="AW24" s="1" t="n">
        <f aca="false">F24</f>
        <v>3.31800040716083</v>
      </c>
      <c r="AX24" s="1" t="n">
        <v>1</v>
      </c>
      <c r="AY24" s="1" t="n">
        <v>1</v>
      </c>
      <c r="AZ24" s="1" t="n">
        <v>1</v>
      </c>
      <c r="BA24" s="1" t="n">
        <f aca="false">F24</f>
        <v>3.31800040716083</v>
      </c>
      <c r="BB24" s="1" t="n">
        <f aca="false">F24</f>
        <v>3.31800040716083</v>
      </c>
      <c r="BC24" s="1" t="n">
        <v>1</v>
      </c>
      <c r="BD24" s="1" t="n">
        <v>1</v>
      </c>
      <c r="BE24" s="1" t="n">
        <v>1</v>
      </c>
      <c r="BF24" s="1" t="n">
        <v>1</v>
      </c>
      <c r="BG24" s="1" t="n">
        <v>1</v>
      </c>
      <c r="BH24" s="1" t="n">
        <v>1</v>
      </c>
      <c r="BI24" s="1" t="n">
        <v>1</v>
      </c>
      <c r="BJ24" s="1" t="n">
        <v>1</v>
      </c>
      <c r="BK24" s="1" t="n">
        <v>1</v>
      </c>
    </row>
    <row r="25" customFormat="false" ht="12.75" hidden="false" customHeight="false" outlineLevel="0" collapsed="false">
      <c r="A25" s="1" t="n">
        <f aca="false">A24-1</f>
        <v>2002</v>
      </c>
      <c r="B25" s="1" t="n">
        <v>1</v>
      </c>
      <c r="C25" s="1" t="n">
        <v>1</v>
      </c>
      <c r="D25" s="1" t="n">
        <v>1</v>
      </c>
      <c r="E25" s="1" t="n">
        <v>1</v>
      </c>
      <c r="F25" s="1" t="n">
        <f aca="false">im!L24/im!K24</f>
        <v>3.49948470134884</v>
      </c>
      <c r="G25" s="1" t="n">
        <f aca="false">F25</f>
        <v>3.49948470134884</v>
      </c>
      <c r="H25" s="1" t="n">
        <f aca="false">F25</f>
        <v>3.49948470134884</v>
      </c>
      <c r="I25" s="1" t="n">
        <f aca="false">F25</f>
        <v>3.49948470134884</v>
      </c>
      <c r="J25" s="1" t="n">
        <v>1</v>
      </c>
      <c r="K25" s="1" t="n">
        <v>1</v>
      </c>
      <c r="L25" s="1" t="n">
        <v>1</v>
      </c>
      <c r="M25" s="1" t="n">
        <v>1</v>
      </c>
      <c r="N25" s="1" t="n">
        <v>1</v>
      </c>
      <c r="O25" s="1" t="n">
        <v>1</v>
      </c>
      <c r="P25" s="1" t="n">
        <v>1</v>
      </c>
      <c r="Q25" s="1" t="n">
        <f aca="false">F25</f>
        <v>3.49948470134884</v>
      </c>
      <c r="R25" s="1" t="n">
        <f aca="false">F25</f>
        <v>3.49948470134884</v>
      </c>
      <c r="S25" s="1" t="n">
        <f aca="false">F25</f>
        <v>3.49948470134884</v>
      </c>
      <c r="T25" s="1" t="n">
        <v>1</v>
      </c>
      <c r="U25" s="1" t="n">
        <v>1</v>
      </c>
      <c r="V25" s="1" t="n">
        <f aca="false">F25</f>
        <v>3.49948470134884</v>
      </c>
      <c r="W25" s="1" t="n">
        <f aca="false">F25</f>
        <v>3.49948470134884</v>
      </c>
      <c r="X25" s="1" t="n">
        <f aca="false">F25</f>
        <v>3.49948470134884</v>
      </c>
      <c r="Y25" s="1" t="n">
        <f aca="false">F25</f>
        <v>3.49948470134884</v>
      </c>
      <c r="Z25" s="1" t="n">
        <f aca="false">F25</f>
        <v>3.49948470134884</v>
      </c>
      <c r="AA25" s="1" t="n">
        <f aca="false">F25</f>
        <v>3.49948470134884</v>
      </c>
      <c r="AB25" s="1" t="n">
        <f aca="false">F25</f>
        <v>3.49948470134884</v>
      </c>
      <c r="AC25" s="1" t="n">
        <f aca="false">F25</f>
        <v>3.49948470134884</v>
      </c>
      <c r="AD25" s="1" t="n">
        <f aca="false">F25</f>
        <v>3.49948470134884</v>
      </c>
      <c r="AE25" s="1" t="n">
        <v>1</v>
      </c>
      <c r="AF25" s="1" t="n">
        <v>1</v>
      </c>
      <c r="AG25" s="1" t="n">
        <v>1</v>
      </c>
      <c r="AH25" s="1" t="n">
        <v>1</v>
      </c>
      <c r="AI25" s="1" t="n">
        <v>1</v>
      </c>
      <c r="AJ25" s="1" t="n">
        <v>1</v>
      </c>
      <c r="AK25" s="1" t="n">
        <v>1</v>
      </c>
      <c r="AL25" s="1" t="n">
        <v>1</v>
      </c>
      <c r="AM25" s="1" t="n">
        <v>1</v>
      </c>
      <c r="AN25" s="1" t="n">
        <f aca="false">F25</f>
        <v>3.49948470134884</v>
      </c>
      <c r="AO25" s="1" t="n">
        <f aca="false">F25</f>
        <v>3.49948470134884</v>
      </c>
      <c r="AP25" s="1" t="n">
        <f aca="false">F25</f>
        <v>3.49948470134884</v>
      </c>
      <c r="AQ25" s="1" t="n">
        <f aca="false">F25</f>
        <v>3.49948470134884</v>
      </c>
      <c r="AR25" s="1" t="n">
        <f aca="false">F25</f>
        <v>3.49948470134884</v>
      </c>
      <c r="AS25" s="1" t="n">
        <f aca="false">F25</f>
        <v>3.49948470134884</v>
      </c>
      <c r="AT25" s="1" t="n">
        <v>1</v>
      </c>
      <c r="AU25" s="1" t="n">
        <f aca="false">F25</f>
        <v>3.49948470134884</v>
      </c>
      <c r="AV25" s="1" t="n">
        <f aca="false">F25</f>
        <v>3.49948470134884</v>
      </c>
      <c r="AW25" s="1" t="n">
        <f aca="false">F25</f>
        <v>3.49948470134884</v>
      </c>
      <c r="AX25" s="1" t="n">
        <v>1</v>
      </c>
      <c r="AY25" s="1" t="n">
        <v>1</v>
      </c>
      <c r="AZ25" s="1" t="n">
        <v>1</v>
      </c>
      <c r="BA25" s="1" t="n">
        <f aca="false">F25</f>
        <v>3.49948470134884</v>
      </c>
      <c r="BB25" s="1" t="n">
        <f aca="false">F25</f>
        <v>3.49948470134884</v>
      </c>
      <c r="BC25" s="1" t="n">
        <v>1</v>
      </c>
      <c r="BD25" s="1" t="n">
        <v>1</v>
      </c>
      <c r="BE25" s="1" t="n">
        <v>1</v>
      </c>
      <c r="BF25" s="1" t="n">
        <v>1</v>
      </c>
      <c r="BG25" s="1" t="n">
        <v>1</v>
      </c>
      <c r="BH25" s="1" t="n">
        <v>1</v>
      </c>
      <c r="BI25" s="1" t="n">
        <v>1</v>
      </c>
      <c r="BJ25" s="1" t="n">
        <v>1</v>
      </c>
      <c r="BK25" s="1" t="n">
        <v>1</v>
      </c>
    </row>
    <row r="26" customFormat="false" ht="12.75" hidden="false" customHeight="false" outlineLevel="0" collapsed="false">
      <c r="A26" s="1" t="n">
        <f aca="false">A25-1</f>
        <v>2001</v>
      </c>
      <c r="B26" s="1" t="n">
        <v>1</v>
      </c>
      <c r="C26" s="1" t="n">
        <v>1</v>
      </c>
      <c r="D26" s="1" t="n">
        <v>1</v>
      </c>
      <c r="E26" s="1" t="n">
        <v>1</v>
      </c>
      <c r="F26" s="1" t="n">
        <f aca="false">im!L25/im!K25</f>
        <v>3.87522062588137</v>
      </c>
      <c r="G26" s="1" t="n">
        <f aca="false">F26</f>
        <v>3.87522062588137</v>
      </c>
      <c r="H26" s="1" t="n">
        <f aca="false">F26</f>
        <v>3.87522062588137</v>
      </c>
      <c r="I26" s="1" t="n">
        <f aca="false">F26</f>
        <v>3.87522062588137</v>
      </c>
      <c r="J26" s="1" t="n">
        <v>1</v>
      </c>
      <c r="K26" s="1" t="n">
        <v>1</v>
      </c>
      <c r="L26" s="1" t="n">
        <v>1</v>
      </c>
      <c r="M26" s="1" t="n">
        <v>1</v>
      </c>
      <c r="N26" s="1" t="n">
        <v>1</v>
      </c>
      <c r="O26" s="1" t="n">
        <v>1</v>
      </c>
      <c r="P26" s="1" t="n">
        <v>1</v>
      </c>
      <c r="Q26" s="1" t="n">
        <f aca="false">F26</f>
        <v>3.87522062588137</v>
      </c>
      <c r="R26" s="1" t="n">
        <f aca="false">F26</f>
        <v>3.87522062588137</v>
      </c>
      <c r="S26" s="1" t="n">
        <f aca="false">F26</f>
        <v>3.87522062588137</v>
      </c>
      <c r="T26" s="1" t="n">
        <v>1</v>
      </c>
      <c r="U26" s="1" t="n">
        <v>1</v>
      </c>
      <c r="V26" s="1" t="n">
        <f aca="false">F26</f>
        <v>3.87522062588137</v>
      </c>
      <c r="W26" s="1" t="n">
        <f aca="false">F26</f>
        <v>3.87522062588137</v>
      </c>
      <c r="X26" s="1" t="n">
        <f aca="false">F26</f>
        <v>3.87522062588137</v>
      </c>
      <c r="Y26" s="1" t="n">
        <f aca="false">F26</f>
        <v>3.87522062588137</v>
      </c>
      <c r="Z26" s="1" t="n">
        <f aca="false">F26</f>
        <v>3.87522062588137</v>
      </c>
      <c r="AA26" s="1" t="n">
        <f aca="false">F26</f>
        <v>3.87522062588137</v>
      </c>
      <c r="AB26" s="1" t="n">
        <f aca="false">F26</f>
        <v>3.87522062588137</v>
      </c>
      <c r="AC26" s="1" t="n">
        <f aca="false">F26</f>
        <v>3.87522062588137</v>
      </c>
      <c r="AD26" s="1" t="n">
        <f aca="false">F26</f>
        <v>3.87522062588137</v>
      </c>
      <c r="AE26" s="1" t="n">
        <v>1</v>
      </c>
      <c r="AF26" s="1" t="n">
        <v>1</v>
      </c>
      <c r="AG26" s="1" t="n">
        <v>1</v>
      </c>
      <c r="AH26" s="1" t="n">
        <v>1</v>
      </c>
      <c r="AI26" s="1" t="n">
        <v>1</v>
      </c>
      <c r="AJ26" s="1" t="n">
        <v>1</v>
      </c>
      <c r="AK26" s="1" t="n">
        <v>1</v>
      </c>
      <c r="AL26" s="1" t="n">
        <v>1</v>
      </c>
      <c r="AM26" s="1" t="n">
        <v>1</v>
      </c>
      <c r="AN26" s="1" t="n">
        <f aca="false">F26</f>
        <v>3.87522062588137</v>
      </c>
      <c r="AO26" s="1" t="n">
        <f aca="false">F26</f>
        <v>3.87522062588137</v>
      </c>
      <c r="AP26" s="1" t="n">
        <f aca="false">F26</f>
        <v>3.87522062588137</v>
      </c>
      <c r="AQ26" s="1" t="n">
        <f aca="false">F26</f>
        <v>3.87522062588137</v>
      </c>
      <c r="AR26" s="1" t="n">
        <f aca="false">F26</f>
        <v>3.87522062588137</v>
      </c>
      <c r="AS26" s="1" t="n">
        <f aca="false">F26</f>
        <v>3.87522062588137</v>
      </c>
      <c r="AT26" s="1" t="n">
        <v>1</v>
      </c>
      <c r="AU26" s="1" t="n">
        <f aca="false">F26</f>
        <v>3.87522062588137</v>
      </c>
      <c r="AV26" s="1" t="n">
        <f aca="false">F26</f>
        <v>3.87522062588137</v>
      </c>
      <c r="AW26" s="1" t="n">
        <f aca="false">F26</f>
        <v>3.87522062588137</v>
      </c>
      <c r="AX26" s="1" t="n">
        <v>1</v>
      </c>
      <c r="AY26" s="1" t="n">
        <v>1</v>
      </c>
      <c r="AZ26" s="1" t="n">
        <v>1</v>
      </c>
      <c r="BA26" s="1" t="n">
        <f aca="false">F26</f>
        <v>3.87522062588137</v>
      </c>
      <c r="BB26" s="1" t="n">
        <f aca="false">F26</f>
        <v>3.87522062588137</v>
      </c>
      <c r="BC26" s="1" t="n">
        <v>1</v>
      </c>
      <c r="BD26" s="1" t="n">
        <v>1</v>
      </c>
      <c r="BE26" s="1" t="n">
        <v>1</v>
      </c>
      <c r="BF26" s="1" t="n">
        <v>1</v>
      </c>
      <c r="BG26" s="1" t="n">
        <v>1</v>
      </c>
      <c r="BH26" s="1" t="n">
        <v>1</v>
      </c>
      <c r="BI26" s="1" t="n">
        <v>1</v>
      </c>
      <c r="BJ26" s="1" t="n">
        <v>1</v>
      </c>
      <c r="BK26" s="1" t="n">
        <v>1</v>
      </c>
    </row>
    <row r="27" customFormat="false" ht="12.75" hidden="false" customHeight="false" outlineLevel="0" collapsed="false">
      <c r="A27" s="1" t="n">
        <f aca="false">A26-1</f>
        <v>2000</v>
      </c>
      <c r="B27" s="1" t="n">
        <v>1</v>
      </c>
      <c r="C27" s="1" t="n">
        <v>1</v>
      </c>
      <c r="D27" s="1" t="n">
        <v>1</v>
      </c>
      <c r="E27" s="1" t="n">
        <v>1</v>
      </c>
      <c r="F27" s="1" t="n">
        <f aca="false">im!L26/im!K26</f>
        <v>3.90697674418606</v>
      </c>
      <c r="G27" s="1" t="n">
        <f aca="false">F27</f>
        <v>3.90697674418606</v>
      </c>
      <c r="H27" s="1" t="n">
        <f aca="false">F27</f>
        <v>3.90697674418606</v>
      </c>
      <c r="I27" s="1" t="n">
        <f aca="false">F27</f>
        <v>3.90697674418606</v>
      </c>
      <c r="J27" s="1" t="n">
        <v>1</v>
      </c>
      <c r="K27" s="1" t="n">
        <v>1</v>
      </c>
      <c r="L27" s="1" t="n">
        <v>1</v>
      </c>
      <c r="M27" s="1" t="n">
        <v>1</v>
      </c>
      <c r="N27" s="1" t="n">
        <v>1</v>
      </c>
      <c r="O27" s="1" t="n">
        <v>1</v>
      </c>
      <c r="P27" s="1" t="n">
        <v>1</v>
      </c>
      <c r="Q27" s="1" t="n">
        <f aca="false">F27</f>
        <v>3.90697674418606</v>
      </c>
      <c r="R27" s="1" t="n">
        <f aca="false">F27</f>
        <v>3.90697674418606</v>
      </c>
      <c r="S27" s="1" t="n">
        <f aca="false">F27</f>
        <v>3.90697674418606</v>
      </c>
      <c r="T27" s="1" t="n">
        <v>1</v>
      </c>
      <c r="U27" s="1" t="n">
        <v>1</v>
      </c>
      <c r="V27" s="1" t="n">
        <f aca="false">F27</f>
        <v>3.90697674418606</v>
      </c>
      <c r="W27" s="1" t="n">
        <f aca="false">F27</f>
        <v>3.90697674418606</v>
      </c>
      <c r="X27" s="1" t="n">
        <f aca="false">F27</f>
        <v>3.90697674418606</v>
      </c>
      <c r="Y27" s="1" t="n">
        <f aca="false">F27</f>
        <v>3.90697674418606</v>
      </c>
      <c r="Z27" s="1" t="n">
        <f aca="false">F27</f>
        <v>3.90697674418606</v>
      </c>
      <c r="AA27" s="1" t="n">
        <f aca="false">F27</f>
        <v>3.90697674418606</v>
      </c>
      <c r="AB27" s="1" t="n">
        <f aca="false">F27</f>
        <v>3.90697674418606</v>
      </c>
      <c r="AC27" s="1" t="n">
        <f aca="false">F27</f>
        <v>3.90697674418606</v>
      </c>
      <c r="AD27" s="1" t="n">
        <f aca="false">F27</f>
        <v>3.90697674418606</v>
      </c>
      <c r="AE27" s="1" t="n">
        <v>1</v>
      </c>
      <c r="AF27" s="1" t="n">
        <v>1</v>
      </c>
      <c r="AG27" s="1" t="n">
        <v>1</v>
      </c>
      <c r="AH27" s="1" t="n">
        <v>1</v>
      </c>
      <c r="AI27" s="1" t="n">
        <v>1</v>
      </c>
      <c r="AJ27" s="1" t="n">
        <v>1</v>
      </c>
      <c r="AK27" s="1" t="n">
        <v>1</v>
      </c>
      <c r="AL27" s="1" t="n">
        <v>1</v>
      </c>
      <c r="AM27" s="1" t="n">
        <v>1</v>
      </c>
      <c r="AN27" s="1" t="n">
        <f aca="false">F27</f>
        <v>3.90697674418606</v>
      </c>
      <c r="AO27" s="1" t="n">
        <f aca="false">F27</f>
        <v>3.90697674418606</v>
      </c>
      <c r="AP27" s="1" t="n">
        <f aca="false">F27</f>
        <v>3.90697674418606</v>
      </c>
      <c r="AQ27" s="1" t="n">
        <f aca="false">F27</f>
        <v>3.90697674418606</v>
      </c>
      <c r="AR27" s="1" t="n">
        <f aca="false">F27</f>
        <v>3.90697674418606</v>
      </c>
      <c r="AS27" s="1" t="n">
        <f aca="false">F27</f>
        <v>3.90697674418606</v>
      </c>
      <c r="AT27" s="1" t="n">
        <v>1</v>
      </c>
      <c r="AU27" s="1" t="n">
        <f aca="false">F27</f>
        <v>3.90697674418606</v>
      </c>
      <c r="AV27" s="1" t="n">
        <f aca="false">F27</f>
        <v>3.90697674418606</v>
      </c>
      <c r="AW27" s="1" t="n">
        <f aca="false">F27</f>
        <v>3.90697674418606</v>
      </c>
      <c r="AX27" s="1" t="n">
        <v>1</v>
      </c>
      <c r="AY27" s="1" t="n">
        <v>1</v>
      </c>
      <c r="AZ27" s="1" t="n">
        <v>1</v>
      </c>
      <c r="BA27" s="1" t="n">
        <f aca="false">F27</f>
        <v>3.90697674418606</v>
      </c>
      <c r="BB27" s="1" t="n">
        <f aca="false">F27</f>
        <v>3.90697674418606</v>
      </c>
      <c r="BC27" s="1" t="n">
        <v>1</v>
      </c>
      <c r="BD27" s="1" t="n">
        <v>1</v>
      </c>
      <c r="BE27" s="1" t="n">
        <v>1</v>
      </c>
      <c r="BF27" s="1" t="n">
        <v>1</v>
      </c>
      <c r="BG27" s="1" t="n">
        <v>1</v>
      </c>
      <c r="BH27" s="1" t="n">
        <v>1</v>
      </c>
      <c r="BI27" s="1" t="n">
        <v>1</v>
      </c>
      <c r="BJ27" s="1" t="n">
        <v>1</v>
      </c>
      <c r="BK27" s="1" t="n">
        <v>1</v>
      </c>
    </row>
    <row r="28" customFormat="false" ht="12.75" hidden="false" customHeight="false" outlineLevel="0" collapsed="false">
      <c r="A28" s="1" t="n">
        <f aca="false">A27-1</f>
        <v>1999</v>
      </c>
      <c r="B28" s="1" t="n">
        <v>1</v>
      </c>
      <c r="C28" s="1" t="n">
        <v>1</v>
      </c>
      <c r="D28" s="1" t="n">
        <v>1</v>
      </c>
      <c r="E28" s="1" t="n">
        <v>1</v>
      </c>
      <c r="F28" s="1" t="n">
        <f aca="false">im!L27/im!K27</f>
        <v>4.89435483870967</v>
      </c>
      <c r="G28" s="1" t="n">
        <f aca="false">F28</f>
        <v>4.89435483870967</v>
      </c>
      <c r="H28" s="1" t="n">
        <f aca="false">F28</f>
        <v>4.89435483870967</v>
      </c>
      <c r="I28" s="1" t="n">
        <f aca="false">F28</f>
        <v>4.89435483870967</v>
      </c>
      <c r="J28" s="1" t="n">
        <v>1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f aca="false">F28</f>
        <v>4.89435483870967</v>
      </c>
      <c r="R28" s="1" t="n">
        <f aca="false">F28</f>
        <v>4.89435483870967</v>
      </c>
      <c r="S28" s="1" t="n">
        <f aca="false">F28</f>
        <v>4.89435483870967</v>
      </c>
      <c r="T28" s="1" t="n">
        <v>1</v>
      </c>
      <c r="U28" s="1" t="n">
        <v>1</v>
      </c>
      <c r="V28" s="1" t="n">
        <f aca="false">F28</f>
        <v>4.89435483870967</v>
      </c>
      <c r="W28" s="1" t="n">
        <f aca="false">F28</f>
        <v>4.89435483870967</v>
      </c>
      <c r="X28" s="1" t="n">
        <f aca="false">F28</f>
        <v>4.89435483870967</v>
      </c>
      <c r="Y28" s="1" t="n">
        <f aca="false">F28</f>
        <v>4.89435483870967</v>
      </c>
      <c r="Z28" s="1" t="n">
        <f aca="false">F28</f>
        <v>4.89435483870967</v>
      </c>
      <c r="AA28" s="1" t="n">
        <f aca="false">F28</f>
        <v>4.89435483870967</v>
      </c>
      <c r="AB28" s="1" t="n">
        <f aca="false">F28</f>
        <v>4.89435483870967</v>
      </c>
      <c r="AC28" s="1" t="n">
        <f aca="false">F28</f>
        <v>4.89435483870967</v>
      </c>
      <c r="AD28" s="1" t="n">
        <f aca="false">F28</f>
        <v>4.89435483870967</v>
      </c>
      <c r="AE28" s="1" t="n">
        <v>1</v>
      </c>
      <c r="AF28" s="1" t="n">
        <v>1</v>
      </c>
      <c r="AG28" s="1" t="n">
        <v>1</v>
      </c>
      <c r="AH28" s="1" t="n">
        <v>1</v>
      </c>
      <c r="AI28" s="1" t="n">
        <v>1</v>
      </c>
      <c r="AJ28" s="1" t="n">
        <v>1</v>
      </c>
      <c r="AK28" s="1" t="n">
        <v>1</v>
      </c>
      <c r="AL28" s="1" t="n">
        <v>1</v>
      </c>
      <c r="AM28" s="1" t="n">
        <v>1</v>
      </c>
      <c r="AN28" s="1" t="n">
        <f aca="false">F28</f>
        <v>4.89435483870967</v>
      </c>
      <c r="AO28" s="1" t="n">
        <f aca="false">F28</f>
        <v>4.89435483870967</v>
      </c>
      <c r="AP28" s="1" t="n">
        <f aca="false">F28</f>
        <v>4.89435483870967</v>
      </c>
      <c r="AQ28" s="1" t="n">
        <f aca="false">F28</f>
        <v>4.89435483870967</v>
      </c>
      <c r="AR28" s="1" t="n">
        <f aca="false">F28</f>
        <v>4.89435483870967</v>
      </c>
      <c r="AS28" s="1" t="n">
        <f aca="false">F28</f>
        <v>4.89435483870967</v>
      </c>
      <c r="AT28" s="1" t="n">
        <v>1</v>
      </c>
      <c r="AU28" s="1" t="n">
        <f aca="false">F28</f>
        <v>4.89435483870967</v>
      </c>
      <c r="AV28" s="1" t="n">
        <f aca="false">F28</f>
        <v>4.89435483870967</v>
      </c>
      <c r="AW28" s="1" t="n">
        <f aca="false">F28</f>
        <v>4.89435483870967</v>
      </c>
      <c r="AX28" s="1" t="n">
        <v>1</v>
      </c>
      <c r="AY28" s="1" t="n">
        <v>1</v>
      </c>
      <c r="AZ28" s="1" t="n">
        <v>1</v>
      </c>
      <c r="BA28" s="1" t="n">
        <f aca="false">F28</f>
        <v>4.89435483870967</v>
      </c>
      <c r="BB28" s="1" t="n">
        <f aca="false">F28</f>
        <v>4.89435483870967</v>
      </c>
      <c r="BC28" s="1" t="n">
        <v>1</v>
      </c>
      <c r="BD28" s="1" t="n">
        <v>1</v>
      </c>
      <c r="BE28" s="1" t="n">
        <v>1</v>
      </c>
      <c r="BF28" s="1" t="n">
        <v>1</v>
      </c>
      <c r="BG28" s="1" t="n">
        <v>1</v>
      </c>
      <c r="BH28" s="1" t="n">
        <v>1</v>
      </c>
      <c r="BI28" s="1" t="n">
        <v>1</v>
      </c>
      <c r="BJ28" s="1" t="n">
        <v>1</v>
      </c>
      <c r="BK28" s="1" t="n">
        <v>1</v>
      </c>
    </row>
    <row r="29" customFormat="false" ht="12.75" hidden="false" customHeight="false" outlineLevel="0" collapsed="false">
      <c r="A29" s="1" t="n">
        <f aca="false">A28-1</f>
        <v>1998</v>
      </c>
      <c r="B29" s="1" t="n">
        <v>1</v>
      </c>
      <c r="C29" s="1" t="n">
        <v>1</v>
      </c>
      <c r="D29" s="1" t="n">
        <v>1</v>
      </c>
      <c r="E29" s="1" t="n">
        <v>1</v>
      </c>
      <c r="F29" s="1" t="n">
        <f aca="false">im!L28/im!K28</f>
        <v>3.39536562203229</v>
      </c>
      <c r="G29" s="1" t="n">
        <f aca="false">F29</f>
        <v>3.39536562203229</v>
      </c>
      <c r="H29" s="1" t="n">
        <f aca="false">F29</f>
        <v>3.39536562203229</v>
      </c>
      <c r="I29" s="1" t="n">
        <f aca="false">F29</f>
        <v>3.39536562203229</v>
      </c>
      <c r="J29" s="1" t="n">
        <v>1</v>
      </c>
      <c r="K29" s="1" t="n">
        <v>1</v>
      </c>
      <c r="L29" s="1" t="n">
        <v>1</v>
      </c>
      <c r="M29" s="1" t="n">
        <v>1</v>
      </c>
      <c r="N29" s="1" t="n">
        <v>1</v>
      </c>
      <c r="O29" s="1" t="n">
        <v>1</v>
      </c>
      <c r="P29" s="1" t="n">
        <v>1</v>
      </c>
      <c r="Q29" s="1" t="n">
        <f aca="false">F29</f>
        <v>3.39536562203229</v>
      </c>
      <c r="R29" s="1" t="n">
        <f aca="false">F29</f>
        <v>3.39536562203229</v>
      </c>
      <c r="S29" s="1" t="n">
        <f aca="false">F29</f>
        <v>3.39536562203229</v>
      </c>
      <c r="T29" s="1" t="n">
        <v>1</v>
      </c>
      <c r="U29" s="1" t="n">
        <v>1</v>
      </c>
      <c r="V29" s="1" t="n">
        <f aca="false">F29</f>
        <v>3.39536562203229</v>
      </c>
      <c r="W29" s="1" t="n">
        <f aca="false">F29</f>
        <v>3.39536562203229</v>
      </c>
      <c r="X29" s="1" t="n">
        <f aca="false">F29</f>
        <v>3.39536562203229</v>
      </c>
      <c r="Y29" s="1" t="n">
        <f aca="false">F29</f>
        <v>3.39536562203229</v>
      </c>
      <c r="Z29" s="1" t="n">
        <f aca="false">F29</f>
        <v>3.39536562203229</v>
      </c>
      <c r="AA29" s="1" t="n">
        <f aca="false">F29</f>
        <v>3.39536562203229</v>
      </c>
      <c r="AB29" s="1" t="n">
        <f aca="false">F29</f>
        <v>3.39536562203229</v>
      </c>
      <c r="AC29" s="1" t="n">
        <f aca="false">F29</f>
        <v>3.39536562203229</v>
      </c>
      <c r="AD29" s="1" t="n">
        <f aca="false">F29</f>
        <v>3.39536562203229</v>
      </c>
      <c r="AE29" s="1" t="n">
        <v>1</v>
      </c>
      <c r="AF29" s="1" t="n">
        <v>1</v>
      </c>
      <c r="AG29" s="1" t="n">
        <v>1</v>
      </c>
      <c r="AH29" s="1" t="n">
        <v>1</v>
      </c>
      <c r="AI29" s="1" t="n">
        <v>1</v>
      </c>
      <c r="AJ29" s="1" t="n">
        <v>1</v>
      </c>
      <c r="AK29" s="1" t="n">
        <v>1</v>
      </c>
      <c r="AL29" s="1" t="n">
        <v>1</v>
      </c>
      <c r="AM29" s="1" t="n">
        <v>1</v>
      </c>
      <c r="AN29" s="1" t="n">
        <f aca="false">F29</f>
        <v>3.39536562203229</v>
      </c>
      <c r="AO29" s="1" t="n">
        <f aca="false">F29</f>
        <v>3.39536562203229</v>
      </c>
      <c r="AP29" s="1" t="n">
        <f aca="false">F29</f>
        <v>3.39536562203229</v>
      </c>
      <c r="AQ29" s="1" t="n">
        <f aca="false">F29</f>
        <v>3.39536562203229</v>
      </c>
      <c r="AR29" s="1" t="n">
        <f aca="false">F29</f>
        <v>3.39536562203229</v>
      </c>
      <c r="AS29" s="1" t="n">
        <f aca="false">F29</f>
        <v>3.39536562203229</v>
      </c>
      <c r="AT29" s="1" t="n">
        <v>1</v>
      </c>
      <c r="AU29" s="1" t="n">
        <f aca="false">F29</f>
        <v>3.39536562203229</v>
      </c>
      <c r="AV29" s="1" t="n">
        <f aca="false">F29</f>
        <v>3.39536562203229</v>
      </c>
      <c r="AW29" s="1" t="n">
        <f aca="false">F29</f>
        <v>3.39536562203229</v>
      </c>
      <c r="AX29" s="1" t="n">
        <v>1</v>
      </c>
      <c r="AY29" s="1" t="n">
        <v>1</v>
      </c>
      <c r="AZ29" s="1" t="n">
        <v>1</v>
      </c>
      <c r="BA29" s="1" t="n">
        <f aca="false">F29</f>
        <v>3.39536562203229</v>
      </c>
      <c r="BB29" s="1" t="n">
        <f aca="false">F29</f>
        <v>3.39536562203229</v>
      </c>
      <c r="BC29" s="1" t="n">
        <v>1</v>
      </c>
      <c r="BD29" s="1" t="n">
        <v>1</v>
      </c>
      <c r="BE29" s="1" t="n">
        <v>1</v>
      </c>
      <c r="BF29" s="1" t="n">
        <v>1</v>
      </c>
      <c r="BG29" s="1" t="n">
        <v>1</v>
      </c>
      <c r="BH29" s="1" t="n">
        <v>1</v>
      </c>
      <c r="BI29" s="1" t="n">
        <v>1</v>
      </c>
      <c r="BJ29" s="1" t="n">
        <v>1</v>
      </c>
      <c r="BK29" s="1" t="n">
        <v>1</v>
      </c>
    </row>
    <row r="30" customFormat="false" ht="12.75" hidden="false" customHeight="false" outlineLevel="0" collapsed="false">
      <c r="A30" s="1" t="n">
        <f aca="false">A29-1</f>
        <v>1997</v>
      </c>
      <c r="B30" s="1" t="n">
        <v>1</v>
      </c>
      <c r="C30" s="1" t="n">
        <v>1</v>
      </c>
      <c r="D30" s="1" t="n">
        <v>1</v>
      </c>
      <c r="E30" s="1" t="n">
        <v>1</v>
      </c>
      <c r="F30" s="1" t="n">
        <f aca="false">im!L29/im!K29</f>
        <v>4.03174603174603</v>
      </c>
      <c r="G30" s="1" t="n">
        <f aca="false">F30</f>
        <v>4.03174603174603</v>
      </c>
      <c r="H30" s="1" t="n">
        <f aca="false">F30</f>
        <v>4.03174603174603</v>
      </c>
      <c r="I30" s="1" t="n">
        <f aca="false">F30</f>
        <v>4.03174603174603</v>
      </c>
      <c r="J30" s="1" t="n">
        <v>1</v>
      </c>
      <c r="K30" s="1" t="n">
        <v>1</v>
      </c>
      <c r="L30" s="1" t="n">
        <v>1</v>
      </c>
      <c r="M30" s="1" t="n">
        <v>1</v>
      </c>
      <c r="N30" s="1" t="n">
        <v>1</v>
      </c>
      <c r="O30" s="1" t="n">
        <v>1</v>
      </c>
      <c r="P30" s="1" t="n">
        <v>1</v>
      </c>
      <c r="Q30" s="1" t="n">
        <f aca="false">F30</f>
        <v>4.03174603174603</v>
      </c>
      <c r="R30" s="1" t="n">
        <f aca="false">F30</f>
        <v>4.03174603174603</v>
      </c>
      <c r="S30" s="1" t="n">
        <f aca="false">F30</f>
        <v>4.03174603174603</v>
      </c>
      <c r="T30" s="1" t="n">
        <v>1</v>
      </c>
      <c r="U30" s="1" t="n">
        <v>1</v>
      </c>
      <c r="V30" s="1" t="n">
        <f aca="false">F30</f>
        <v>4.03174603174603</v>
      </c>
      <c r="W30" s="1" t="n">
        <f aca="false">F30</f>
        <v>4.03174603174603</v>
      </c>
      <c r="X30" s="1" t="n">
        <f aca="false">F30</f>
        <v>4.03174603174603</v>
      </c>
      <c r="Y30" s="1" t="n">
        <f aca="false">F30</f>
        <v>4.03174603174603</v>
      </c>
      <c r="Z30" s="1" t="n">
        <f aca="false">F30</f>
        <v>4.03174603174603</v>
      </c>
      <c r="AA30" s="1" t="n">
        <f aca="false">F30</f>
        <v>4.03174603174603</v>
      </c>
      <c r="AB30" s="1" t="n">
        <f aca="false">F30</f>
        <v>4.03174603174603</v>
      </c>
      <c r="AC30" s="1" t="n">
        <f aca="false">F30</f>
        <v>4.03174603174603</v>
      </c>
      <c r="AD30" s="1" t="n">
        <f aca="false">F30</f>
        <v>4.03174603174603</v>
      </c>
      <c r="AE30" s="1" t="n">
        <v>1</v>
      </c>
      <c r="AF30" s="1" t="n">
        <v>1</v>
      </c>
      <c r="AG30" s="1" t="n">
        <v>1</v>
      </c>
      <c r="AH30" s="1" t="n">
        <v>1</v>
      </c>
      <c r="AI30" s="1" t="n">
        <v>1</v>
      </c>
      <c r="AJ30" s="1" t="n">
        <v>1</v>
      </c>
      <c r="AK30" s="1" t="n">
        <v>1</v>
      </c>
      <c r="AL30" s="1" t="n">
        <v>1</v>
      </c>
      <c r="AM30" s="1" t="n">
        <v>1</v>
      </c>
      <c r="AN30" s="1" t="n">
        <f aca="false">F30</f>
        <v>4.03174603174603</v>
      </c>
      <c r="AO30" s="1" t="n">
        <f aca="false">F30</f>
        <v>4.03174603174603</v>
      </c>
      <c r="AP30" s="1" t="n">
        <f aca="false">F30</f>
        <v>4.03174603174603</v>
      </c>
      <c r="AQ30" s="1" t="n">
        <f aca="false">F30</f>
        <v>4.03174603174603</v>
      </c>
      <c r="AR30" s="1" t="n">
        <f aca="false">F30</f>
        <v>4.03174603174603</v>
      </c>
      <c r="AS30" s="1" t="n">
        <f aca="false">F30</f>
        <v>4.03174603174603</v>
      </c>
      <c r="AT30" s="1" t="n">
        <v>1</v>
      </c>
      <c r="AU30" s="1" t="n">
        <f aca="false">F30</f>
        <v>4.03174603174603</v>
      </c>
      <c r="AV30" s="1" t="n">
        <f aca="false">F30</f>
        <v>4.03174603174603</v>
      </c>
      <c r="AW30" s="1" t="n">
        <f aca="false">F30</f>
        <v>4.03174603174603</v>
      </c>
      <c r="AX30" s="1" t="n">
        <v>1</v>
      </c>
      <c r="AY30" s="1" t="n">
        <v>1</v>
      </c>
      <c r="AZ30" s="1" t="n">
        <v>1</v>
      </c>
      <c r="BA30" s="1" t="n">
        <f aca="false">F30</f>
        <v>4.03174603174603</v>
      </c>
      <c r="BB30" s="1" t="n">
        <f aca="false">F30</f>
        <v>4.03174603174603</v>
      </c>
      <c r="BC30" s="1" t="n">
        <v>1</v>
      </c>
      <c r="BD30" s="1" t="n">
        <v>1</v>
      </c>
      <c r="BE30" s="1" t="n">
        <v>1</v>
      </c>
      <c r="BF30" s="1" t="n">
        <v>1</v>
      </c>
      <c r="BG30" s="1" t="n">
        <v>1</v>
      </c>
      <c r="BH30" s="1" t="n">
        <v>1</v>
      </c>
      <c r="BI30" s="1" t="n">
        <v>1</v>
      </c>
      <c r="BJ30" s="1" t="n">
        <v>1</v>
      </c>
      <c r="BK30" s="1" t="n">
        <v>1</v>
      </c>
    </row>
    <row r="31" customFormat="false" ht="12.75" hidden="false" customHeight="false" outlineLevel="0" collapsed="false">
      <c r="A31" s="1" t="n">
        <f aca="false">A30-1</f>
        <v>1996</v>
      </c>
      <c r="B31" s="1" t="n">
        <v>1</v>
      </c>
      <c r="C31" s="1" t="n">
        <v>1</v>
      </c>
      <c r="D31" s="1" t="n">
        <v>1</v>
      </c>
      <c r="E31" s="1" t="n">
        <v>1</v>
      </c>
      <c r="F31" s="1" t="n">
        <f aca="false">im!L30/im!K30</f>
        <v>3.66727903653806</v>
      </c>
      <c r="G31" s="1" t="n">
        <f aca="false">F31</f>
        <v>3.66727903653806</v>
      </c>
      <c r="H31" s="1" t="n">
        <f aca="false">F31</f>
        <v>3.66727903653806</v>
      </c>
      <c r="I31" s="1" t="n">
        <f aca="false">F31</f>
        <v>3.66727903653806</v>
      </c>
      <c r="J31" s="1" t="n">
        <v>1</v>
      </c>
      <c r="K31" s="1" t="n">
        <v>1</v>
      </c>
      <c r="L31" s="1" t="n">
        <v>1</v>
      </c>
      <c r="M31" s="1" t="n">
        <v>1</v>
      </c>
      <c r="N31" s="1" t="n">
        <v>1</v>
      </c>
      <c r="O31" s="1" t="n">
        <v>1</v>
      </c>
      <c r="P31" s="1" t="n">
        <v>1</v>
      </c>
      <c r="Q31" s="1" t="n">
        <f aca="false">F31</f>
        <v>3.66727903653806</v>
      </c>
      <c r="R31" s="1" t="n">
        <f aca="false">F31</f>
        <v>3.66727903653806</v>
      </c>
      <c r="S31" s="1" t="n">
        <f aca="false">F31</f>
        <v>3.66727903653806</v>
      </c>
      <c r="T31" s="1" t="n">
        <v>1</v>
      </c>
      <c r="U31" s="1" t="n">
        <v>1</v>
      </c>
      <c r="V31" s="1" t="n">
        <f aca="false">F31</f>
        <v>3.66727903653806</v>
      </c>
      <c r="W31" s="1" t="n">
        <f aca="false">F31</f>
        <v>3.66727903653806</v>
      </c>
      <c r="X31" s="1" t="n">
        <f aca="false">F31</f>
        <v>3.66727903653806</v>
      </c>
      <c r="Y31" s="1" t="n">
        <f aca="false">F31</f>
        <v>3.66727903653806</v>
      </c>
      <c r="Z31" s="1" t="n">
        <f aca="false">F31</f>
        <v>3.66727903653806</v>
      </c>
      <c r="AA31" s="1" t="n">
        <f aca="false">F31</f>
        <v>3.66727903653806</v>
      </c>
      <c r="AB31" s="1" t="n">
        <f aca="false">F31</f>
        <v>3.66727903653806</v>
      </c>
      <c r="AC31" s="1" t="n">
        <f aca="false">F31</f>
        <v>3.66727903653806</v>
      </c>
      <c r="AD31" s="1" t="n">
        <f aca="false">F31</f>
        <v>3.66727903653806</v>
      </c>
      <c r="AE31" s="1" t="n">
        <v>1</v>
      </c>
      <c r="AF31" s="1" t="n">
        <v>1</v>
      </c>
      <c r="AG31" s="1" t="n">
        <v>1</v>
      </c>
      <c r="AH31" s="1" t="n">
        <v>1</v>
      </c>
      <c r="AI31" s="1" t="n">
        <v>1</v>
      </c>
      <c r="AJ31" s="1" t="n">
        <v>1</v>
      </c>
      <c r="AK31" s="1" t="n">
        <v>1</v>
      </c>
      <c r="AL31" s="1" t="n">
        <v>1</v>
      </c>
      <c r="AM31" s="1" t="n">
        <v>1</v>
      </c>
      <c r="AN31" s="1" t="n">
        <f aca="false">F31</f>
        <v>3.66727903653806</v>
      </c>
      <c r="AO31" s="1" t="n">
        <f aca="false">F31</f>
        <v>3.66727903653806</v>
      </c>
      <c r="AP31" s="1" t="n">
        <f aca="false">F31</f>
        <v>3.66727903653806</v>
      </c>
      <c r="AQ31" s="1" t="n">
        <f aca="false">F31</f>
        <v>3.66727903653806</v>
      </c>
      <c r="AR31" s="1" t="n">
        <f aca="false">F31</f>
        <v>3.66727903653806</v>
      </c>
      <c r="AS31" s="1" t="n">
        <f aca="false">F31</f>
        <v>3.66727903653806</v>
      </c>
      <c r="AT31" s="1" t="n">
        <v>1</v>
      </c>
      <c r="AU31" s="1" t="n">
        <f aca="false">F31</f>
        <v>3.66727903653806</v>
      </c>
      <c r="AV31" s="1" t="n">
        <f aca="false">F31</f>
        <v>3.66727903653806</v>
      </c>
      <c r="AW31" s="1" t="n">
        <f aca="false">F31</f>
        <v>3.66727903653806</v>
      </c>
      <c r="AX31" s="1" t="n">
        <v>1</v>
      </c>
      <c r="AY31" s="1" t="n">
        <v>1</v>
      </c>
      <c r="AZ31" s="1" t="n">
        <v>1</v>
      </c>
      <c r="BA31" s="1" t="n">
        <f aca="false">F31</f>
        <v>3.66727903653806</v>
      </c>
      <c r="BB31" s="1" t="n">
        <f aca="false">F31</f>
        <v>3.66727903653806</v>
      </c>
      <c r="BC31" s="1" t="n">
        <v>1</v>
      </c>
      <c r="BD31" s="1" t="n">
        <v>1</v>
      </c>
      <c r="BE31" s="1" t="n">
        <v>1</v>
      </c>
      <c r="BF31" s="1" t="n">
        <v>1</v>
      </c>
      <c r="BG31" s="1" t="n">
        <v>1</v>
      </c>
      <c r="BH31" s="1" t="n">
        <v>1</v>
      </c>
      <c r="BI31" s="1" t="n">
        <v>1</v>
      </c>
      <c r="BJ31" s="1" t="n">
        <v>1</v>
      </c>
      <c r="BK31" s="1" t="n">
        <v>1</v>
      </c>
    </row>
    <row r="32" customFormat="false" ht="12.75" hidden="false" customHeight="false" outlineLevel="0" collapsed="false">
      <c r="A32" s="1" t="n">
        <f aca="false">A31-1</f>
        <v>1995</v>
      </c>
      <c r="B32" s="1" t="n">
        <v>1</v>
      </c>
      <c r="C32" s="1" t="n">
        <v>1</v>
      </c>
      <c r="D32" s="1" t="n">
        <v>1</v>
      </c>
      <c r="E32" s="1" t="n">
        <v>1</v>
      </c>
      <c r="F32" s="1" t="n">
        <f aca="false">im!L31/im!K31</f>
        <v>2.30769230769231</v>
      </c>
      <c r="G32" s="1" t="n">
        <f aca="false">F32</f>
        <v>2.30769230769231</v>
      </c>
      <c r="H32" s="1" t="n">
        <f aca="false">F32</f>
        <v>2.30769230769231</v>
      </c>
      <c r="I32" s="1" t="n">
        <f aca="false">F32</f>
        <v>2.30769230769231</v>
      </c>
      <c r="J32" s="1" t="n">
        <v>1</v>
      </c>
      <c r="K32" s="1" t="n">
        <v>1</v>
      </c>
      <c r="L32" s="1" t="n">
        <v>1</v>
      </c>
      <c r="M32" s="1" t="n">
        <v>1</v>
      </c>
      <c r="N32" s="1" t="n">
        <v>1</v>
      </c>
      <c r="O32" s="1" t="n">
        <v>1</v>
      </c>
      <c r="P32" s="1" t="n">
        <v>1</v>
      </c>
      <c r="Q32" s="1" t="n">
        <f aca="false">F32</f>
        <v>2.30769230769231</v>
      </c>
      <c r="R32" s="1" t="n">
        <f aca="false">F32</f>
        <v>2.30769230769231</v>
      </c>
      <c r="S32" s="1" t="n">
        <f aca="false">F32</f>
        <v>2.30769230769231</v>
      </c>
      <c r="T32" s="1" t="n">
        <v>1</v>
      </c>
      <c r="U32" s="1" t="n">
        <v>1</v>
      </c>
      <c r="V32" s="1" t="n">
        <f aca="false">F32</f>
        <v>2.30769230769231</v>
      </c>
      <c r="W32" s="1" t="n">
        <f aca="false">F32</f>
        <v>2.30769230769231</v>
      </c>
      <c r="X32" s="1" t="n">
        <f aca="false">F32</f>
        <v>2.30769230769231</v>
      </c>
      <c r="Y32" s="1" t="n">
        <f aca="false">F32</f>
        <v>2.30769230769231</v>
      </c>
      <c r="Z32" s="1" t="n">
        <f aca="false">F32</f>
        <v>2.30769230769231</v>
      </c>
      <c r="AA32" s="1" t="n">
        <f aca="false">F32</f>
        <v>2.30769230769231</v>
      </c>
      <c r="AB32" s="1" t="n">
        <f aca="false">F32</f>
        <v>2.30769230769231</v>
      </c>
      <c r="AC32" s="1" t="n">
        <f aca="false">F32</f>
        <v>2.30769230769231</v>
      </c>
      <c r="AD32" s="1" t="n">
        <f aca="false">F32</f>
        <v>2.30769230769231</v>
      </c>
      <c r="AE32" s="1" t="n">
        <v>1</v>
      </c>
      <c r="AF32" s="1" t="n">
        <v>1</v>
      </c>
      <c r="AG32" s="1" t="n">
        <v>1</v>
      </c>
      <c r="AH32" s="1" t="n">
        <v>1</v>
      </c>
      <c r="AI32" s="1" t="n">
        <v>1</v>
      </c>
      <c r="AJ32" s="1" t="n">
        <v>1</v>
      </c>
      <c r="AK32" s="1" t="n">
        <v>1</v>
      </c>
      <c r="AL32" s="1" t="n">
        <v>1</v>
      </c>
      <c r="AM32" s="1" t="n">
        <v>1</v>
      </c>
      <c r="AN32" s="1" t="n">
        <f aca="false">F32</f>
        <v>2.30769230769231</v>
      </c>
      <c r="AO32" s="1" t="n">
        <f aca="false">F32</f>
        <v>2.30769230769231</v>
      </c>
      <c r="AP32" s="1" t="n">
        <f aca="false">F32</f>
        <v>2.30769230769231</v>
      </c>
      <c r="AQ32" s="1" t="n">
        <f aca="false">F32</f>
        <v>2.30769230769231</v>
      </c>
      <c r="AR32" s="1" t="n">
        <f aca="false">F32</f>
        <v>2.30769230769231</v>
      </c>
      <c r="AS32" s="1" t="n">
        <f aca="false">F32</f>
        <v>2.30769230769231</v>
      </c>
      <c r="AT32" s="1" t="n">
        <v>1</v>
      </c>
      <c r="AU32" s="1" t="n">
        <f aca="false">F32</f>
        <v>2.30769230769231</v>
      </c>
      <c r="AV32" s="1" t="n">
        <f aca="false">F32</f>
        <v>2.30769230769231</v>
      </c>
      <c r="AW32" s="1" t="n">
        <f aca="false">F32</f>
        <v>2.30769230769231</v>
      </c>
      <c r="AX32" s="1" t="n">
        <v>1</v>
      </c>
      <c r="AY32" s="1" t="n">
        <v>1</v>
      </c>
      <c r="AZ32" s="1" t="n">
        <v>1</v>
      </c>
      <c r="BA32" s="1" t="n">
        <f aca="false">F32</f>
        <v>2.30769230769231</v>
      </c>
      <c r="BB32" s="1" t="n">
        <f aca="false">F32</f>
        <v>2.30769230769231</v>
      </c>
      <c r="BC32" s="1" t="n">
        <v>1</v>
      </c>
      <c r="BD32" s="1" t="n">
        <v>1</v>
      </c>
      <c r="BE32" s="1" t="n">
        <v>1</v>
      </c>
      <c r="BF32" s="1" t="n">
        <v>1</v>
      </c>
      <c r="BG32" s="1" t="n">
        <v>1</v>
      </c>
      <c r="BH32" s="1" t="n">
        <v>1</v>
      </c>
      <c r="BI32" s="1" t="n">
        <v>1</v>
      </c>
      <c r="BJ32" s="1" t="n">
        <v>1</v>
      </c>
      <c r="BK32" s="1" t="n">
        <v>1</v>
      </c>
    </row>
    <row r="33" customFormat="false" ht="12.75" hidden="false" customHeight="false" outlineLevel="0" collapsed="false">
      <c r="A33" s="1" t="n">
        <f aca="false">A32-1</f>
        <v>1994</v>
      </c>
      <c r="B33" s="1" t="n">
        <v>1</v>
      </c>
      <c r="C33" s="1" t="n">
        <v>1</v>
      </c>
      <c r="D33" s="1" t="n">
        <v>1</v>
      </c>
      <c r="E33" s="1" t="n">
        <v>1</v>
      </c>
      <c r="F33" s="1" t="n">
        <f aca="false">im!L32/im!K32</f>
        <v>4.04927392329651</v>
      </c>
      <c r="G33" s="1" t="n">
        <f aca="false">F33</f>
        <v>4.04927392329651</v>
      </c>
      <c r="H33" s="1" t="n">
        <f aca="false">F33</f>
        <v>4.04927392329651</v>
      </c>
      <c r="I33" s="1" t="n">
        <f aca="false">F33</f>
        <v>4.04927392329651</v>
      </c>
      <c r="J33" s="1" t="n">
        <v>1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f aca="false">F33</f>
        <v>4.04927392329651</v>
      </c>
      <c r="R33" s="1" t="n">
        <f aca="false">F33</f>
        <v>4.04927392329651</v>
      </c>
      <c r="S33" s="1" t="n">
        <f aca="false">F33</f>
        <v>4.04927392329651</v>
      </c>
      <c r="T33" s="1" t="n">
        <v>1</v>
      </c>
      <c r="U33" s="1" t="n">
        <v>1</v>
      </c>
      <c r="V33" s="1" t="n">
        <f aca="false">F33</f>
        <v>4.04927392329651</v>
      </c>
      <c r="W33" s="1" t="n">
        <f aca="false">F33</f>
        <v>4.04927392329651</v>
      </c>
      <c r="X33" s="1" t="n">
        <f aca="false">F33</f>
        <v>4.04927392329651</v>
      </c>
      <c r="Y33" s="1" t="n">
        <f aca="false">F33</f>
        <v>4.04927392329651</v>
      </c>
      <c r="Z33" s="1" t="n">
        <f aca="false">F33</f>
        <v>4.04927392329651</v>
      </c>
      <c r="AA33" s="1" t="n">
        <f aca="false">F33</f>
        <v>4.04927392329651</v>
      </c>
      <c r="AB33" s="1" t="n">
        <f aca="false">F33</f>
        <v>4.04927392329651</v>
      </c>
      <c r="AC33" s="1" t="n">
        <f aca="false">F33</f>
        <v>4.04927392329651</v>
      </c>
      <c r="AD33" s="1" t="n">
        <f aca="false">F33</f>
        <v>4.04927392329651</v>
      </c>
      <c r="AE33" s="1" t="n">
        <v>1</v>
      </c>
      <c r="AF33" s="1" t="n">
        <v>1</v>
      </c>
      <c r="AG33" s="1" t="n">
        <v>1</v>
      </c>
      <c r="AH33" s="1" t="n">
        <v>1</v>
      </c>
      <c r="AI33" s="1" t="n">
        <v>1</v>
      </c>
      <c r="AJ33" s="1" t="n">
        <v>1</v>
      </c>
      <c r="AK33" s="1" t="n">
        <v>1</v>
      </c>
      <c r="AL33" s="1" t="n">
        <v>1</v>
      </c>
      <c r="AM33" s="1" t="n">
        <v>1</v>
      </c>
      <c r="AN33" s="1" t="n">
        <f aca="false">F33</f>
        <v>4.04927392329651</v>
      </c>
      <c r="AO33" s="1" t="n">
        <f aca="false">F33</f>
        <v>4.04927392329651</v>
      </c>
      <c r="AP33" s="1" t="n">
        <f aca="false">F33</f>
        <v>4.04927392329651</v>
      </c>
      <c r="AQ33" s="1" t="n">
        <f aca="false">F33</f>
        <v>4.04927392329651</v>
      </c>
      <c r="AR33" s="1" t="n">
        <f aca="false">F33</f>
        <v>4.04927392329651</v>
      </c>
      <c r="AS33" s="1" t="n">
        <f aca="false">F33</f>
        <v>4.04927392329651</v>
      </c>
      <c r="AT33" s="1" t="n">
        <v>1</v>
      </c>
      <c r="AU33" s="1" t="n">
        <f aca="false">F33</f>
        <v>4.04927392329651</v>
      </c>
      <c r="AV33" s="1" t="n">
        <f aca="false">F33</f>
        <v>4.04927392329651</v>
      </c>
      <c r="AW33" s="1" t="n">
        <f aca="false">F33</f>
        <v>4.04927392329651</v>
      </c>
      <c r="AX33" s="1" t="n">
        <v>1</v>
      </c>
      <c r="AY33" s="1" t="n">
        <v>1</v>
      </c>
      <c r="AZ33" s="1" t="n">
        <v>1</v>
      </c>
      <c r="BA33" s="1" t="n">
        <f aca="false">F33</f>
        <v>4.04927392329651</v>
      </c>
      <c r="BB33" s="1" t="n">
        <f aca="false">F33</f>
        <v>4.04927392329651</v>
      </c>
      <c r="BC33" s="1" t="n">
        <v>1</v>
      </c>
      <c r="BD33" s="1" t="n">
        <v>1</v>
      </c>
      <c r="BE33" s="1" t="n">
        <v>1</v>
      </c>
      <c r="BF33" s="1" t="n">
        <v>1</v>
      </c>
      <c r="BG33" s="1" t="n">
        <v>1</v>
      </c>
      <c r="BH33" s="1" t="n">
        <v>1</v>
      </c>
      <c r="BI33" s="1" t="n">
        <v>1</v>
      </c>
      <c r="BJ33" s="1" t="n">
        <v>1</v>
      </c>
      <c r="BK33" s="1" t="n">
        <v>1</v>
      </c>
    </row>
    <row r="34" customFormat="false" ht="12.75" hidden="false" customHeight="false" outlineLevel="0" collapsed="false">
      <c r="A34" s="1" t="n">
        <f aca="false">A33-1</f>
        <v>1993</v>
      </c>
      <c r="B34" s="1" t="n">
        <v>1</v>
      </c>
      <c r="C34" s="1" t="n">
        <v>1</v>
      </c>
      <c r="D34" s="1" t="n">
        <v>1</v>
      </c>
      <c r="E34" s="1" t="n">
        <v>1</v>
      </c>
      <c r="F34" s="1" t="n">
        <f aca="false">F33</f>
        <v>4.04927392329651</v>
      </c>
      <c r="G34" s="1" t="n">
        <f aca="false">F34</f>
        <v>4.04927392329651</v>
      </c>
      <c r="H34" s="1" t="n">
        <f aca="false">F34</f>
        <v>4.04927392329651</v>
      </c>
      <c r="I34" s="1" t="n">
        <f aca="false">F34</f>
        <v>4.04927392329651</v>
      </c>
      <c r="J34" s="1" t="n">
        <v>1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f aca="false">F34</f>
        <v>4.04927392329651</v>
      </c>
      <c r="R34" s="1" t="n">
        <f aca="false">F34</f>
        <v>4.04927392329651</v>
      </c>
      <c r="S34" s="1" t="n">
        <f aca="false">F34</f>
        <v>4.04927392329651</v>
      </c>
      <c r="T34" s="1" t="n">
        <v>1</v>
      </c>
      <c r="U34" s="1" t="n">
        <v>1</v>
      </c>
      <c r="V34" s="1" t="n">
        <f aca="false">F34</f>
        <v>4.04927392329651</v>
      </c>
      <c r="W34" s="1" t="n">
        <f aca="false">F34</f>
        <v>4.04927392329651</v>
      </c>
      <c r="X34" s="1" t="n">
        <f aca="false">F34</f>
        <v>4.04927392329651</v>
      </c>
      <c r="Y34" s="1" t="n">
        <f aca="false">F34</f>
        <v>4.04927392329651</v>
      </c>
      <c r="Z34" s="1" t="n">
        <f aca="false">F34</f>
        <v>4.04927392329651</v>
      </c>
      <c r="AA34" s="1" t="n">
        <f aca="false">F34</f>
        <v>4.04927392329651</v>
      </c>
      <c r="AB34" s="1" t="n">
        <f aca="false">F34</f>
        <v>4.04927392329651</v>
      </c>
      <c r="AC34" s="1" t="n">
        <f aca="false">F34</f>
        <v>4.04927392329651</v>
      </c>
      <c r="AD34" s="1" t="n">
        <f aca="false">F34</f>
        <v>4.04927392329651</v>
      </c>
      <c r="AE34" s="1" t="n">
        <v>1</v>
      </c>
      <c r="AF34" s="1" t="n">
        <v>1</v>
      </c>
      <c r="AG34" s="1" t="n">
        <v>1</v>
      </c>
      <c r="AH34" s="1" t="n">
        <v>1</v>
      </c>
      <c r="AI34" s="1" t="n">
        <v>1</v>
      </c>
      <c r="AJ34" s="1" t="n">
        <v>1</v>
      </c>
      <c r="AK34" s="1" t="n">
        <v>1</v>
      </c>
      <c r="AL34" s="1" t="n">
        <v>1</v>
      </c>
      <c r="AM34" s="1" t="n">
        <v>1</v>
      </c>
      <c r="AN34" s="1" t="n">
        <f aca="false">F34</f>
        <v>4.04927392329651</v>
      </c>
      <c r="AO34" s="1" t="n">
        <f aca="false">F34</f>
        <v>4.04927392329651</v>
      </c>
      <c r="AP34" s="1" t="n">
        <f aca="false">F34</f>
        <v>4.04927392329651</v>
      </c>
      <c r="AQ34" s="1" t="n">
        <f aca="false">F34</f>
        <v>4.04927392329651</v>
      </c>
      <c r="AR34" s="1" t="n">
        <f aca="false">F34</f>
        <v>4.04927392329651</v>
      </c>
      <c r="AS34" s="1" t="n">
        <f aca="false">F34</f>
        <v>4.04927392329651</v>
      </c>
      <c r="AT34" s="1" t="n">
        <v>1</v>
      </c>
      <c r="AU34" s="1" t="n">
        <f aca="false">F34</f>
        <v>4.04927392329651</v>
      </c>
      <c r="AV34" s="1" t="n">
        <f aca="false">F34</f>
        <v>4.04927392329651</v>
      </c>
      <c r="AW34" s="1" t="n">
        <f aca="false">F34</f>
        <v>4.04927392329651</v>
      </c>
      <c r="AX34" s="1" t="n">
        <v>1</v>
      </c>
      <c r="AY34" s="1" t="n">
        <v>1</v>
      </c>
      <c r="AZ34" s="1" t="n">
        <v>1</v>
      </c>
      <c r="BA34" s="1" t="n">
        <f aca="false">F34</f>
        <v>4.04927392329651</v>
      </c>
      <c r="BB34" s="1" t="n">
        <f aca="false">F34</f>
        <v>4.04927392329651</v>
      </c>
      <c r="BC34" s="1" t="n">
        <v>1</v>
      </c>
      <c r="BD34" s="1" t="n">
        <v>1</v>
      </c>
      <c r="BE34" s="1" t="n">
        <v>1</v>
      </c>
      <c r="BF34" s="1" t="n">
        <v>1</v>
      </c>
      <c r="BG34" s="1" t="n">
        <v>1</v>
      </c>
      <c r="BH34" s="1" t="n">
        <v>1</v>
      </c>
      <c r="BI34" s="1" t="n">
        <v>1</v>
      </c>
      <c r="BJ34" s="1" t="n">
        <v>1</v>
      </c>
      <c r="BK34" s="1" t="n">
        <v>1</v>
      </c>
    </row>
    <row r="35" customFormat="false" ht="12.75" hidden="false" customHeight="false" outlineLevel="0" collapsed="false">
      <c r="A35" s="1" t="n">
        <f aca="false">A34-1</f>
        <v>1992</v>
      </c>
      <c r="B35" s="1" t="n">
        <v>1</v>
      </c>
      <c r="C35" s="1" t="n">
        <v>1</v>
      </c>
      <c r="D35" s="1" t="n">
        <v>1</v>
      </c>
      <c r="E35" s="1" t="n">
        <v>1</v>
      </c>
      <c r="F35" s="1" t="n">
        <f aca="false">F34</f>
        <v>4.04927392329651</v>
      </c>
      <c r="G35" s="1" t="n">
        <f aca="false">F35</f>
        <v>4.04927392329651</v>
      </c>
      <c r="H35" s="1" t="n">
        <f aca="false">F35</f>
        <v>4.04927392329651</v>
      </c>
      <c r="I35" s="1" t="n">
        <f aca="false">F35</f>
        <v>4.04927392329651</v>
      </c>
      <c r="J35" s="1" t="n">
        <v>1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1</v>
      </c>
      <c r="P35" s="1" t="n">
        <v>1</v>
      </c>
      <c r="Q35" s="1" t="n">
        <f aca="false">F35</f>
        <v>4.04927392329651</v>
      </c>
      <c r="R35" s="1" t="n">
        <f aca="false">F35</f>
        <v>4.04927392329651</v>
      </c>
      <c r="S35" s="1" t="n">
        <f aca="false">F35</f>
        <v>4.04927392329651</v>
      </c>
      <c r="T35" s="1" t="n">
        <v>1</v>
      </c>
      <c r="U35" s="1" t="n">
        <v>1</v>
      </c>
      <c r="V35" s="1" t="n">
        <f aca="false">F35</f>
        <v>4.04927392329651</v>
      </c>
      <c r="W35" s="1" t="n">
        <f aca="false">F35</f>
        <v>4.04927392329651</v>
      </c>
      <c r="X35" s="1" t="n">
        <f aca="false">F35</f>
        <v>4.04927392329651</v>
      </c>
      <c r="Y35" s="1" t="n">
        <f aca="false">F35</f>
        <v>4.04927392329651</v>
      </c>
      <c r="Z35" s="1" t="n">
        <f aca="false">F35</f>
        <v>4.04927392329651</v>
      </c>
      <c r="AA35" s="1" t="n">
        <f aca="false">F35</f>
        <v>4.04927392329651</v>
      </c>
      <c r="AB35" s="1" t="n">
        <f aca="false">F35</f>
        <v>4.04927392329651</v>
      </c>
      <c r="AC35" s="1" t="n">
        <f aca="false">F35</f>
        <v>4.04927392329651</v>
      </c>
      <c r="AD35" s="1" t="n">
        <f aca="false">F35</f>
        <v>4.04927392329651</v>
      </c>
      <c r="AE35" s="1" t="n">
        <v>1</v>
      </c>
      <c r="AF35" s="1" t="n">
        <v>1</v>
      </c>
      <c r="AG35" s="1" t="n">
        <v>1</v>
      </c>
      <c r="AH35" s="1" t="n">
        <v>1</v>
      </c>
      <c r="AI35" s="1" t="n">
        <v>1</v>
      </c>
      <c r="AJ35" s="1" t="n">
        <v>1</v>
      </c>
      <c r="AK35" s="1" t="n">
        <v>1</v>
      </c>
      <c r="AL35" s="1" t="n">
        <v>1</v>
      </c>
      <c r="AM35" s="1" t="n">
        <v>1</v>
      </c>
      <c r="AN35" s="1" t="n">
        <f aca="false">F35</f>
        <v>4.04927392329651</v>
      </c>
      <c r="AO35" s="1" t="n">
        <f aca="false">F35</f>
        <v>4.04927392329651</v>
      </c>
      <c r="AP35" s="1" t="n">
        <f aca="false">F35</f>
        <v>4.04927392329651</v>
      </c>
      <c r="AQ35" s="1" t="n">
        <f aca="false">F35</f>
        <v>4.04927392329651</v>
      </c>
      <c r="AR35" s="1" t="n">
        <f aca="false">F35</f>
        <v>4.04927392329651</v>
      </c>
      <c r="AS35" s="1" t="n">
        <f aca="false">F35</f>
        <v>4.04927392329651</v>
      </c>
      <c r="AT35" s="1" t="n">
        <v>1</v>
      </c>
      <c r="AU35" s="1" t="n">
        <f aca="false">F35</f>
        <v>4.04927392329651</v>
      </c>
      <c r="AV35" s="1" t="n">
        <f aca="false">F35</f>
        <v>4.04927392329651</v>
      </c>
      <c r="AW35" s="1" t="n">
        <f aca="false">F35</f>
        <v>4.04927392329651</v>
      </c>
      <c r="AX35" s="1" t="n">
        <v>1</v>
      </c>
      <c r="AY35" s="1" t="n">
        <v>1</v>
      </c>
      <c r="AZ35" s="1" t="n">
        <v>1</v>
      </c>
      <c r="BA35" s="1" t="n">
        <f aca="false">F35</f>
        <v>4.04927392329651</v>
      </c>
      <c r="BB35" s="1" t="n">
        <f aca="false">F35</f>
        <v>4.04927392329651</v>
      </c>
      <c r="BC35" s="1" t="n">
        <v>1</v>
      </c>
      <c r="BD35" s="1" t="n">
        <v>1</v>
      </c>
      <c r="BE35" s="1" t="n">
        <v>1</v>
      </c>
      <c r="BF35" s="1" t="n">
        <v>1</v>
      </c>
      <c r="BG35" s="1" t="n">
        <v>1</v>
      </c>
      <c r="BH35" s="1" t="n">
        <v>1</v>
      </c>
      <c r="BI35" s="1" t="n">
        <v>1</v>
      </c>
      <c r="BJ35" s="1" t="n">
        <v>1</v>
      </c>
      <c r="BK35" s="1" t="n">
        <v>1</v>
      </c>
    </row>
    <row r="36" customFormat="false" ht="12.75" hidden="false" customHeight="false" outlineLevel="0" collapsed="false">
      <c r="A36" s="1" t="n">
        <f aca="false">A35-1</f>
        <v>1991</v>
      </c>
      <c r="B36" s="1" t="n">
        <v>1</v>
      </c>
      <c r="C36" s="1" t="n">
        <v>1</v>
      </c>
      <c r="D36" s="1" t="n">
        <v>1</v>
      </c>
      <c r="E36" s="1" t="n">
        <v>1</v>
      </c>
      <c r="F36" s="1" t="n">
        <f aca="false">F35</f>
        <v>4.04927392329651</v>
      </c>
      <c r="G36" s="1" t="n">
        <f aca="false">F36</f>
        <v>4.04927392329651</v>
      </c>
      <c r="H36" s="1" t="n">
        <f aca="false">F36</f>
        <v>4.04927392329651</v>
      </c>
      <c r="I36" s="1" t="n">
        <f aca="false">F36</f>
        <v>4.04927392329651</v>
      </c>
      <c r="J36" s="1" t="n">
        <v>1</v>
      </c>
      <c r="K36" s="1" t="n">
        <v>1</v>
      </c>
      <c r="L36" s="1" t="n">
        <v>1</v>
      </c>
      <c r="M36" s="1" t="n">
        <v>1</v>
      </c>
      <c r="N36" s="1" t="n">
        <v>1</v>
      </c>
      <c r="O36" s="1" t="n">
        <v>1</v>
      </c>
      <c r="P36" s="1" t="n">
        <v>1</v>
      </c>
      <c r="Q36" s="1" t="n">
        <f aca="false">F36</f>
        <v>4.04927392329651</v>
      </c>
      <c r="R36" s="1" t="n">
        <f aca="false">F36</f>
        <v>4.04927392329651</v>
      </c>
      <c r="S36" s="1" t="n">
        <f aca="false">F36</f>
        <v>4.04927392329651</v>
      </c>
      <c r="T36" s="1" t="n">
        <v>1</v>
      </c>
      <c r="U36" s="1" t="n">
        <v>1</v>
      </c>
      <c r="V36" s="1" t="n">
        <f aca="false">F36</f>
        <v>4.04927392329651</v>
      </c>
      <c r="W36" s="1" t="n">
        <f aca="false">F36</f>
        <v>4.04927392329651</v>
      </c>
      <c r="X36" s="1" t="n">
        <f aca="false">F36</f>
        <v>4.04927392329651</v>
      </c>
      <c r="Y36" s="1" t="n">
        <f aca="false">F36</f>
        <v>4.04927392329651</v>
      </c>
      <c r="Z36" s="1" t="n">
        <f aca="false">F36</f>
        <v>4.04927392329651</v>
      </c>
      <c r="AA36" s="1" t="n">
        <f aca="false">F36</f>
        <v>4.04927392329651</v>
      </c>
      <c r="AB36" s="1" t="n">
        <f aca="false">F36</f>
        <v>4.04927392329651</v>
      </c>
      <c r="AC36" s="1" t="n">
        <f aca="false">F36</f>
        <v>4.04927392329651</v>
      </c>
      <c r="AD36" s="1" t="n">
        <f aca="false">F36</f>
        <v>4.04927392329651</v>
      </c>
      <c r="AE36" s="1" t="n">
        <v>1</v>
      </c>
      <c r="AF36" s="1" t="n">
        <v>1</v>
      </c>
      <c r="AG36" s="1" t="n">
        <v>1</v>
      </c>
      <c r="AH36" s="1" t="n">
        <v>1</v>
      </c>
      <c r="AI36" s="1" t="n">
        <v>1</v>
      </c>
      <c r="AJ36" s="1" t="n">
        <v>1</v>
      </c>
      <c r="AK36" s="1" t="n">
        <v>1</v>
      </c>
      <c r="AL36" s="1" t="n">
        <v>1</v>
      </c>
      <c r="AM36" s="1" t="n">
        <v>1</v>
      </c>
      <c r="AN36" s="1" t="n">
        <f aca="false">F36</f>
        <v>4.04927392329651</v>
      </c>
      <c r="AO36" s="1" t="n">
        <f aca="false">F36</f>
        <v>4.04927392329651</v>
      </c>
      <c r="AP36" s="1" t="n">
        <f aca="false">F36</f>
        <v>4.04927392329651</v>
      </c>
      <c r="AQ36" s="1" t="n">
        <f aca="false">F36</f>
        <v>4.04927392329651</v>
      </c>
      <c r="AR36" s="1" t="n">
        <f aca="false">F36</f>
        <v>4.04927392329651</v>
      </c>
      <c r="AS36" s="1" t="n">
        <f aca="false">F36</f>
        <v>4.04927392329651</v>
      </c>
      <c r="AT36" s="1" t="n">
        <v>1</v>
      </c>
      <c r="AU36" s="1" t="n">
        <f aca="false">F36</f>
        <v>4.04927392329651</v>
      </c>
      <c r="AV36" s="1" t="n">
        <f aca="false">F36</f>
        <v>4.04927392329651</v>
      </c>
      <c r="AW36" s="1" t="n">
        <f aca="false">F36</f>
        <v>4.04927392329651</v>
      </c>
      <c r="AX36" s="1" t="n">
        <v>1</v>
      </c>
      <c r="AY36" s="1" t="n">
        <v>1</v>
      </c>
      <c r="AZ36" s="1" t="n">
        <v>1</v>
      </c>
      <c r="BA36" s="1" t="n">
        <f aca="false">F36</f>
        <v>4.04927392329651</v>
      </c>
      <c r="BB36" s="1" t="n">
        <f aca="false">F36</f>
        <v>4.04927392329651</v>
      </c>
      <c r="BC36" s="1" t="n">
        <v>1</v>
      </c>
      <c r="BD36" s="1" t="n">
        <v>1</v>
      </c>
      <c r="BE36" s="1" t="n">
        <v>1</v>
      </c>
      <c r="BF36" s="1" t="n">
        <v>1</v>
      </c>
      <c r="BG36" s="1" t="n">
        <v>1</v>
      </c>
      <c r="BH36" s="1" t="n">
        <v>1</v>
      </c>
      <c r="BI36" s="1" t="n">
        <v>1</v>
      </c>
      <c r="BJ36" s="1" t="n">
        <v>1</v>
      </c>
      <c r="BK36" s="1" t="n">
        <v>1</v>
      </c>
    </row>
    <row r="37" customFormat="false" ht="12.75" hidden="false" customHeight="false" outlineLevel="0" collapsed="false">
      <c r="A37" s="1" t="n">
        <f aca="false">A36-1</f>
        <v>1990</v>
      </c>
      <c r="B37" s="1" t="n">
        <v>1</v>
      </c>
      <c r="C37" s="1" t="n">
        <v>1</v>
      </c>
      <c r="D37" s="1" t="n">
        <v>1</v>
      </c>
      <c r="E37" s="1" t="n">
        <v>1</v>
      </c>
      <c r="F37" s="1" t="n">
        <f aca="false">F36</f>
        <v>4.04927392329651</v>
      </c>
      <c r="G37" s="1" t="n">
        <f aca="false">F37</f>
        <v>4.04927392329651</v>
      </c>
      <c r="H37" s="1" t="n">
        <f aca="false">F37</f>
        <v>4.04927392329651</v>
      </c>
      <c r="I37" s="1" t="n">
        <f aca="false">F37</f>
        <v>4.04927392329651</v>
      </c>
      <c r="J37" s="1" t="n">
        <v>1</v>
      </c>
      <c r="K37" s="1" t="n">
        <v>1</v>
      </c>
      <c r="L37" s="1" t="n">
        <v>1</v>
      </c>
      <c r="M37" s="1" t="n">
        <v>1</v>
      </c>
      <c r="N37" s="1" t="n">
        <v>1</v>
      </c>
      <c r="O37" s="1" t="n">
        <v>1</v>
      </c>
      <c r="P37" s="1" t="n">
        <v>1</v>
      </c>
      <c r="Q37" s="1" t="n">
        <f aca="false">F37</f>
        <v>4.04927392329651</v>
      </c>
      <c r="R37" s="1" t="n">
        <f aca="false">F37</f>
        <v>4.04927392329651</v>
      </c>
      <c r="S37" s="1" t="n">
        <f aca="false">F37</f>
        <v>4.04927392329651</v>
      </c>
      <c r="T37" s="1" t="n">
        <v>1</v>
      </c>
      <c r="U37" s="1" t="n">
        <v>1</v>
      </c>
      <c r="V37" s="1" t="n">
        <f aca="false">F37</f>
        <v>4.04927392329651</v>
      </c>
      <c r="W37" s="1" t="n">
        <f aca="false">F37</f>
        <v>4.04927392329651</v>
      </c>
      <c r="X37" s="1" t="n">
        <f aca="false">F37</f>
        <v>4.04927392329651</v>
      </c>
      <c r="Y37" s="1" t="n">
        <f aca="false">F37</f>
        <v>4.04927392329651</v>
      </c>
      <c r="Z37" s="1" t="n">
        <f aca="false">F37</f>
        <v>4.04927392329651</v>
      </c>
      <c r="AA37" s="1" t="n">
        <f aca="false">F37</f>
        <v>4.04927392329651</v>
      </c>
      <c r="AB37" s="1" t="n">
        <f aca="false">F37</f>
        <v>4.04927392329651</v>
      </c>
      <c r="AC37" s="1" t="n">
        <f aca="false">F37</f>
        <v>4.04927392329651</v>
      </c>
      <c r="AD37" s="1" t="n">
        <f aca="false">F37</f>
        <v>4.04927392329651</v>
      </c>
      <c r="AE37" s="1" t="n">
        <v>1</v>
      </c>
      <c r="AF37" s="1" t="n">
        <v>1</v>
      </c>
      <c r="AG37" s="1" t="n">
        <v>1</v>
      </c>
      <c r="AH37" s="1" t="n">
        <v>1</v>
      </c>
      <c r="AI37" s="1" t="n">
        <v>1</v>
      </c>
      <c r="AJ37" s="1" t="n">
        <v>1</v>
      </c>
      <c r="AK37" s="1" t="n">
        <v>1</v>
      </c>
      <c r="AL37" s="1" t="n">
        <v>1</v>
      </c>
      <c r="AM37" s="1" t="n">
        <v>1</v>
      </c>
      <c r="AN37" s="1" t="n">
        <f aca="false">F37</f>
        <v>4.04927392329651</v>
      </c>
      <c r="AO37" s="1" t="n">
        <f aca="false">F37</f>
        <v>4.04927392329651</v>
      </c>
      <c r="AP37" s="1" t="n">
        <f aca="false">F37</f>
        <v>4.04927392329651</v>
      </c>
      <c r="AQ37" s="1" t="n">
        <f aca="false">F37</f>
        <v>4.04927392329651</v>
      </c>
      <c r="AR37" s="1" t="n">
        <f aca="false">F37</f>
        <v>4.04927392329651</v>
      </c>
      <c r="AS37" s="1" t="n">
        <f aca="false">F37</f>
        <v>4.04927392329651</v>
      </c>
      <c r="AT37" s="1" t="n">
        <v>1</v>
      </c>
      <c r="AU37" s="1" t="n">
        <f aca="false">F37</f>
        <v>4.04927392329651</v>
      </c>
      <c r="AV37" s="1" t="n">
        <f aca="false">F37</f>
        <v>4.04927392329651</v>
      </c>
      <c r="AW37" s="1" t="n">
        <f aca="false">F37</f>
        <v>4.04927392329651</v>
      </c>
      <c r="AX37" s="1" t="n">
        <v>1</v>
      </c>
      <c r="AY37" s="1" t="n">
        <v>1</v>
      </c>
      <c r="AZ37" s="1" t="n">
        <v>1</v>
      </c>
      <c r="BA37" s="1" t="n">
        <f aca="false">F37</f>
        <v>4.04927392329651</v>
      </c>
      <c r="BB37" s="1" t="n">
        <f aca="false">F37</f>
        <v>4.04927392329651</v>
      </c>
      <c r="BC37" s="1" t="n">
        <v>1</v>
      </c>
      <c r="BD37" s="1" t="n">
        <v>1</v>
      </c>
      <c r="BE37" s="1" t="n">
        <v>1</v>
      </c>
      <c r="BF37" s="1" t="n">
        <v>1</v>
      </c>
      <c r="BG37" s="1" t="n">
        <v>1</v>
      </c>
      <c r="BH37" s="1" t="n">
        <v>1</v>
      </c>
      <c r="BI37" s="1" t="n">
        <v>1</v>
      </c>
      <c r="BJ37" s="1" t="n">
        <v>1</v>
      </c>
      <c r="BK37" s="1" t="n">
        <v>1</v>
      </c>
    </row>
    <row r="38" customFormat="false" ht="12.75" hidden="false" customHeight="false" outlineLevel="0" collapsed="false">
      <c r="A38" s="1" t="n">
        <f aca="false">A37-1</f>
        <v>1989</v>
      </c>
      <c r="B38" s="1" t="n">
        <v>1</v>
      </c>
      <c r="C38" s="1" t="n">
        <v>1</v>
      </c>
      <c r="D38" s="1" t="n">
        <v>1</v>
      </c>
      <c r="E38" s="1" t="n">
        <v>1</v>
      </c>
      <c r="F38" s="1" t="n">
        <f aca="false">F37</f>
        <v>4.04927392329651</v>
      </c>
      <c r="G38" s="1" t="n">
        <f aca="false">F38</f>
        <v>4.04927392329651</v>
      </c>
      <c r="H38" s="1" t="n">
        <f aca="false">F38</f>
        <v>4.04927392329651</v>
      </c>
      <c r="I38" s="1" t="n">
        <f aca="false">F38</f>
        <v>4.04927392329651</v>
      </c>
      <c r="J38" s="1" t="n">
        <v>1</v>
      </c>
      <c r="K38" s="1" t="n">
        <v>1</v>
      </c>
      <c r="L38" s="1" t="n">
        <v>1</v>
      </c>
      <c r="M38" s="1" t="n">
        <v>1</v>
      </c>
      <c r="N38" s="1" t="n">
        <v>1</v>
      </c>
      <c r="O38" s="1" t="n">
        <v>1</v>
      </c>
      <c r="P38" s="1" t="n">
        <v>1</v>
      </c>
      <c r="Q38" s="1" t="n">
        <f aca="false">F38</f>
        <v>4.04927392329651</v>
      </c>
      <c r="R38" s="1" t="n">
        <f aca="false">F38</f>
        <v>4.04927392329651</v>
      </c>
      <c r="S38" s="1" t="n">
        <f aca="false">F38</f>
        <v>4.04927392329651</v>
      </c>
      <c r="T38" s="1" t="n">
        <v>1</v>
      </c>
      <c r="U38" s="1" t="n">
        <v>1</v>
      </c>
      <c r="V38" s="1" t="n">
        <f aca="false">F38</f>
        <v>4.04927392329651</v>
      </c>
      <c r="W38" s="1" t="n">
        <f aca="false">F38</f>
        <v>4.04927392329651</v>
      </c>
      <c r="X38" s="1" t="n">
        <f aca="false">F38</f>
        <v>4.04927392329651</v>
      </c>
      <c r="Y38" s="1" t="n">
        <f aca="false">F38</f>
        <v>4.04927392329651</v>
      </c>
      <c r="Z38" s="1" t="n">
        <f aca="false">F38</f>
        <v>4.04927392329651</v>
      </c>
      <c r="AA38" s="1" t="n">
        <f aca="false">F38</f>
        <v>4.04927392329651</v>
      </c>
      <c r="AB38" s="1" t="n">
        <f aca="false">F38</f>
        <v>4.04927392329651</v>
      </c>
      <c r="AC38" s="1" t="n">
        <f aca="false">F38</f>
        <v>4.04927392329651</v>
      </c>
      <c r="AD38" s="1" t="n">
        <f aca="false">F38</f>
        <v>4.04927392329651</v>
      </c>
      <c r="AE38" s="1" t="n">
        <v>1</v>
      </c>
      <c r="AF38" s="1" t="n">
        <v>1</v>
      </c>
      <c r="AG38" s="1" t="n">
        <v>1</v>
      </c>
      <c r="AH38" s="1" t="n">
        <v>1</v>
      </c>
      <c r="AI38" s="1" t="n">
        <v>1</v>
      </c>
      <c r="AJ38" s="1" t="n">
        <v>1</v>
      </c>
      <c r="AK38" s="1" t="n">
        <v>1</v>
      </c>
      <c r="AL38" s="1" t="n">
        <v>1</v>
      </c>
      <c r="AM38" s="1" t="n">
        <v>1</v>
      </c>
      <c r="AN38" s="1" t="n">
        <f aca="false">F38</f>
        <v>4.04927392329651</v>
      </c>
      <c r="AO38" s="1" t="n">
        <f aca="false">F38</f>
        <v>4.04927392329651</v>
      </c>
      <c r="AP38" s="1" t="n">
        <f aca="false">F38</f>
        <v>4.04927392329651</v>
      </c>
      <c r="AQ38" s="1" t="n">
        <f aca="false">F38</f>
        <v>4.04927392329651</v>
      </c>
      <c r="AR38" s="1" t="n">
        <f aca="false">F38</f>
        <v>4.04927392329651</v>
      </c>
      <c r="AS38" s="1" t="n">
        <f aca="false">F38</f>
        <v>4.04927392329651</v>
      </c>
      <c r="AT38" s="1" t="n">
        <v>1</v>
      </c>
      <c r="AU38" s="1" t="n">
        <f aca="false">F38</f>
        <v>4.04927392329651</v>
      </c>
      <c r="AV38" s="1" t="n">
        <f aca="false">F38</f>
        <v>4.04927392329651</v>
      </c>
      <c r="AW38" s="1" t="n">
        <f aca="false">F38</f>
        <v>4.04927392329651</v>
      </c>
      <c r="AX38" s="1" t="n">
        <v>1</v>
      </c>
      <c r="AY38" s="1" t="n">
        <v>1</v>
      </c>
      <c r="AZ38" s="1" t="n">
        <v>1</v>
      </c>
      <c r="BA38" s="1" t="n">
        <f aca="false">F38</f>
        <v>4.04927392329651</v>
      </c>
      <c r="BB38" s="1" t="n">
        <f aca="false">F38</f>
        <v>4.04927392329651</v>
      </c>
      <c r="BC38" s="1" t="n">
        <v>1</v>
      </c>
      <c r="BD38" s="1" t="n">
        <v>1</v>
      </c>
      <c r="BE38" s="1" t="n">
        <v>1</v>
      </c>
      <c r="BF38" s="1" t="n">
        <v>1</v>
      </c>
      <c r="BG38" s="1" t="n">
        <v>1</v>
      </c>
      <c r="BH38" s="1" t="n">
        <v>1</v>
      </c>
      <c r="BI38" s="1" t="n">
        <v>1</v>
      </c>
      <c r="BJ38" s="1" t="n">
        <v>1</v>
      </c>
      <c r="BK38" s="1" t="n">
        <v>1</v>
      </c>
    </row>
    <row r="39" customFormat="false" ht="12.75" hidden="false" customHeight="false" outlineLevel="0" collapsed="false">
      <c r="A39" s="1" t="n">
        <f aca="false">A38-1</f>
        <v>1988</v>
      </c>
      <c r="B39" s="1" t="n">
        <v>1</v>
      </c>
      <c r="C39" s="1" t="n">
        <v>1</v>
      </c>
      <c r="D39" s="1" t="n">
        <v>1</v>
      </c>
      <c r="E39" s="1" t="n">
        <v>1</v>
      </c>
      <c r="F39" s="1" t="n">
        <f aca="false">F38</f>
        <v>4.04927392329651</v>
      </c>
      <c r="G39" s="1" t="n">
        <f aca="false">F39</f>
        <v>4.04927392329651</v>
      </c>
      <c r="H39" s="1" t="n">
        <f aca="false">F39</f>
        <v>4.04927392329651</v>
      </c>
      <c r="I39" s="1" t="n">
        <f aca="false">F39</f>
        <v>4.04927392329651</v>
      </c>
      <c r="J39" s="1" t="n">
        <v>1</v>
      </c>
      <c r="K39" s="1" t="n">
        <v>1</v>
      </c>
      <c r="L39" s="1" t="n">
        <v>1</v>
      </c>
      <c r="M39" s="1" t="n">
        <v>1</v>
      </c>
      <c r="N39" s="1" t="n">
        <v>1</v>
      </c>
      <c r="O39" s="1" t="n">
        <v>1</v>
      </c>
      <c r="P39" s="1" t="n">
        <v>1</v>
      </c>
      <c r="Q39" s="1" t="n">
        <f aca="false">F39</f>
        <v>4.04927392329651</v>
      </c>
      <c r="R39" s="1" t="n">
        <f aca="false">F39</f>
        <v>4.04927392329651</v>
      </c>
      <c r="S39" s="1" t="n">
        <f aca="false">F39</f>
        <v>4.04927392329651</v>
      </c>
      <c r="T39" s="1" t="n">
        <v>1</v>
      </c>
      <c r="U39" s="1" t="n">
        <v>1</v>
      </c>
      <c r="V39" s="1" t="n">
        <f aca="false">F39</f>
        <v>4.04927392329651</v>
      </c>
      <c r="W39" s="1" t="n">
        <f aca="false">F39</f>
        <v>4.04927392329651</v>
      </c>
      <c r="X39" s="1" t="n">
        <f aca="false">F39</f>
        <v>4.04927392329651</v>
      </c>
      <c r="Y39" s="1" t="n">
        <f aca="false">F39</f>
        <v>4.04927392329651</v>
      </c>
      <c r="Z39" s="1" t="n">
        <f aca="false">F39</f>
        <v>4.04927392329651</v>
      </c>
      <c r="AA39" s="1" t="n">
        <f aca="false">F39</f>
        <v>4.04927392329651</v>
      </c>
      <c r="AB39" s="1" t="n">
        <f aca="false">F39</f>
        <v>4.04927392329651</v>
      </c>
      <c r="AC39" s="1" t="n">
        <f aca="false">F39</f>
        <v>4.04927392329651</v>
      </c>
      <c r="AD39" s="1" t="n">
        <f aca="false">F39</f>
        <v>4.04927392329651</v>
      </c>
      <c r="AE39" s="1" t="n">
        <v>1</v>
      </c>
      <c r="AF39" s="1" t="n">
        <v>1</v>
      </c>
      <c r="AG39" s="1" t="n">
        <v>1</v>
      </c>
      <c r="AH39" s="1" t="n">
        <v>1</v>
      </c>
      <c r="AI39" s="1" t="n">
        <v>1</v>
      </c>
      <c r="AJ39" s="1" t="n">
        <v>1</v>
      </c>
      <c r="AK39" s="1" t="n">
        <v>1</v>
      </c>
      <c r="AL39" s="1" t="n">
        <v>1</v>
      </c>
      <c r="AM39" s="1" t="n">
        <v>1</v>
      </c>
      <c r="AN39" s="1" t="n">
        <f aca="false">F39</f>
        <v>4.04927392329651</v>
      </c>
      <c r="AO39" s="1" t="n">
        <f aca="false">F39</f>
        <v>4.04927392329651</v>
      </c>
      <c r="AP39" s="1" t="n">
        <f aca="false">F39</f>
        <v>4.04927392329651</v>
      </c>
      <c r="AQ39" s="1" t="n">
        <f aca="false">F39</f>
        <v>4.04927392329651</v>
      </c>
      <c r="AR39" s="1" t="n">
        <f aca="false">F39</f>
        <v>4.04927392329651</v>
      </c>
      <c r="AS39" s="1" t="n">
        <f aca="false">F39</f>
        <v>4.04927392329651</v>
      </c>
      <c r="AT39" s="1" t="n">
        <v>1</v>
      </c>
      <c r="AU39" s="1" t="n">
        <f aca="false">F39</f>
        <v>4.04927392329651</v>
      </c>
      <c r="AV39" s="1" t="n">
        <f aca="false">F39</f>
        <v>4.04927392329651</v>
      </c>
      <c r="AW39" s="1" t="n">
        <f aca="false">F39</f>
        <v>4.04927392329651</v>
      </c>
      <c r="AX39" s="1" t="n">
        <v>1</v>
      </c>
      <c r="AY39" s="1" t="n">
        <v>1</v>
      </c>
      <c r="AZ39" s="1" t="n">
        <v>1</v>
      </c>
      <c r="BA39" s="1" t="n">
        <f aca="false">F39</f>
        <v>4.04927392329651</v>
      </c>
      <c r="BB39" s="1" t="n">
        <f aca="false">F39</f>
        <v>4.04927392329651</v>
      </c>
      <c r="BC39" s="1" t="n">
        <v>1</v>
      </c>
      <c r="BD39" s="1" t="n">
        <v>1</v>
      </c>
      <c r="BE39" s="1" t="n">
        <v>1</v>
      </c>
      <c r="BF39" s="1" t="n">
        <v>1</v>
      </c>
      <c r="BG39" s="1" t="n">
        <v>1</v>
      </c>
      <c r="BH39" s="1" t="n">
        <v>1</v>
      </c>
      <c r="BI39" s="1" t="n">
        <v>1</v>
      </c>
      <c r="BJ39" s="1" t="n">
        <v>1</v>
      </c>
      <c r="BK39" s="1" t="n">
        <v>1</v>
      </c>
    </row>
    <row r="40" customFormat="false" ht="12.75" hidden="false" customHeight="false" outlineLevel="0" collapsed="false">
      <c r="A40" s="1" t="n">
        <f aca="false">A39-1</f>
        <v>1987</v>
      </c>
      <c r="B40" s="1" t="n">
        <v>1</v>
      </c>
      <c r="C40" s="1" t="n">
        <v>1</v>
      </c>
      <c r="D40" s="1" t="n">
        <v>1</v>
      </c>
      <c r="E40" s="1" t="n">
        <v>1</v>
      </c>
      <c r="F40" s="1" t="n">
        <f aca="false">F39</f>
        <v>4.04927392329651</v>
      </c>
      <c r="G40" s="1" t="n">
        <f aca="false">F40</f>
        <v>4.04927392329651</v>
      </c>
      <c r="H40" s="1" t="n">
        <f aca="false">F40</f>
        <v>4.04927392329651</v>
      </c>
      <c r="I40" s="1" t="n">
        <f aca="false">F40</f>
        <v>4.04927392329651</v>
      </c>
      <c r="J40" s="1" t="n">
        <v>1</v>
      </c>
      <c r="K40" s="1" t="n">
        <v>1</v>
      </c>
      <c r="L40" s="1" t="n">
        <v>1</v>
      </c>
      <c r="M40" s="1" t="n">
        <v>1</v>
      </c>
      <c r="N40" s="1" t="n">
        <v>1</v>
      </c>
      <c r="O40" s="1" t="n">
        <v>1</v>
      </c>
      <c r="P40" s="1" t="n">
        <v>1</v>
      </c>
      <c r="Q40" s="1" t="n">
        <f aca="false">F40</f>
        <v>4.04927392329651</v>
      </c>
      <c r="R40" s="1" t="n">
        <f aca="false">F40</f>
        <v>4.04927392329651</v>
      </c>
      <c r="S40" s="1" t="n">
        <f aca="false">F40</f>
        <v>4.04927392329651</v>
      </c>
      <c r="T40" s="1" t="n">
        <v>1</v>
      </c>
      <c r="U40" s="1" t="n">
        <v>1</v>
      </c>
      <c r="V40" s="1" t="n">
        <f aca="false">F40</f>
        <v>4.04927392329651</v>
      </c>
      <c r="W40" s="1" t="n">
        <f aca="false">F40</f>
        <v>4.04927392329651</v>
      </c>
      <c r="X40" s="1" t="n">
        <f aca="false">F40</f>
        <v>4.04927392329651</v>
      </c>
      <c r="Y40" s="1" t="n">
        <f aca="false">F40</f>
        <v>4.04927392329651</v>
      </c>
      <c r="Z40" s="1" t="n">
        <f aca="false">F40</f>
        <v>4.04927392329651</v>
      </c>
      <c r="AA40" s="1" t="n">
        <f aca="false">F40</f>
        <v>4.04927392329651</v>
      </c>
      <c r="AB40" s="1" t="n">
        <f aca="false">F40</f>
        <v>4.04927392329651</v>
      </c>
      <c r="AC40" s="1" t="n">
        <f aca="false">F40</f>
        <v>4.04927392329651</v>
      </c>
      <c r="AD40" s="1" t="n">
        <f aca="false">F40</f>
        <v>4.04927392329651</v>
      </c>
      <c r="AE40" s="1" t="n">
        <v>1</v>
      </c>
      <c r="AF40" s="1" t="n">
        <v>1</v>
      </c>
      <c r="AG40" s="1" t="n">
        <v>1</v>
      </c>
      <c r="AH40" s="1" t="n">
        <v>1</v>
      </c>
      <c r="AI40" s="1" t="n">
        <v>1</v>
      </c>
      <c r="AJ40" s="1" t="n">
        <v>1</v>
      </c>
      <c r="AK40" s="1" t="n">
        <v>1</v>
      </c>
      <c r="AL40" s="1" t="n">
        <v>1</v>
      </c>
      <c r="AM40" s="1" t="n">
        <v>1</v>
      </c>
      <c r="AN40" s="1" t="n">
        <f aca="false">F40</f>
        <v>4.04927392329651</v>
      </c>
      <c r="AO40" s="1" t="n">
        <f aca="false">F40</f>
        <v>4.04927392329651</v>
      </c>
      <c r="AP40" s="1" t="n">
        <f aca="false">F40</f>
        <v>4.04927392329651</v>
      </c>
      <c r="AQ40" s="1" t="n">
        <f aca="false">F40</f>
        <v>4.04927392329651</v>
      </c>
      <c r="AR40" s="1" t="n">
        <f aca="false">F40</f>
        <v>4.04927392329651</v>
      </c>
      <c r="AS40" s="1" t="n">
        <f aca="false">F40</f>
        <v>4.04927392329651</v>
      </c>
      <c r="AT40" s="1" t="n">
        <v>1</v>
      </c>
      <c r="AU40" s="1" t="n">
        <f aca="false">F40</f>
        <v>4.04927392329651</v>
      </c>
      <c r="AV40" s="1" t="n">
        <f aca="false">F40</f>
        <v>4.04927392329651</v>
      </c>
      <c r="AW40" s="1" t="n">
        <f aca="false">F40</f>
        <v>4.04927392329651</v>
      </c>
      <c r="AX40" s="1" t="n">
        <v>1</v>
      </c>
      <c r="AY40" s="1" t="n">
        <v>1</v>
      </c>
      <c r="AZ40" s="1" t="n">
        <v>1</v>
      </c>
      <c r="BA40" s="1" t="n">
        <f aca="false">F40</f>
        <v>4.04927392329651</v>
      </c>
      <c r="BB40" s="1" t="n">
        <f aca="false">F40</f>
        <v>4.04927392329651</v>
      </c>
      <c r="BC40" s="1" t="n">
        <v>1</v>
      </c>
      <c r="BD40" s="1" t="n">
        <v>1</v>
      </c>
      <c r="BE40" s="1" t="n">
        <v>1</v>
      </c>
      <c r="BF40" s="1" t="n">
        <v>1</v>
      </c>
      <c r="BG40" s="1" t="n">
        <v>1</v>
      </c>
      <c r="BH40" s="1" t="n">
        <v>1</v>
      </c>
      <c r="BI40" s="1" t="n">
        <v>1</v>
      </c>
      <c r="BJ40" s="1" t="n">
        <v>1</v>
      </c>
      <c r="BK40" s="1" t="n">
        <v>1</v>
      </c>
    </row>
    <row r="41" customFormat="false" ht="12.75" hidden="false" customHeight="false" outlineLevel="0" collapsed="false">
      <c r="A41" s="1" t="n">
        <f aca="false">A40-1</f>
        <v>1986</v>
      </c>
      <c r="B41" s="1" t="n">
        <v>1</v>
      </c>
      <c r="C41" s="1" t="n">
        <v>1</v>
      </c>
      <c r="D41" s="1" t="n">
        <v>1</v>
      </c>
      <c r="E41" s="1" t="n">
        <v>1</v>
      </c>
      <c r="F41" s="1" t="n">
        <f aca="false">F40</f>
        <v>4.04927392329651</v>
      </c>
      <c r="G41" s="1" t="n">
        <f aca="false">F41</f>
        <v>4.04927392329651</v>
      </c>
      <c r="H41" s="1" t="n">
        <f aca="false">F41</f>
        <v>4.04927392329651</v>
      </c>
      <c r="I41" s="1" t="n">
        <f aca="false">F41</f>
        <v>4.04927392329651</v>
      </c>
      <c r="J41" s="1" t="n">
        <v>1</v>
      </c>
      <c r="K41" s="1" t="n">
        <v>1</v>
      </c>
      <c r="L41" s="1" t="n">
        <v>1</v>
      </c>
      <c r="M41" s="1" t="n">
        <v>1</v>
      </c>
      <c r="N41" s="1" t="n">
        <v>1</v>
      </c>
      <c r="O41" s="1" t="n">
        <v>1</v>
      </c>
      <c r="P41" s="1" t="n">
        <v>1</v>
      </c>
      <c r="Q41" s="1" t="n">
        <f aca="false">F41</f>
        <v>4.04927392329651</v>
      </c>
      <c r="R41" s="1" t="n">
        <f aca="false">F41</f>
        <v>4.04927392329651</v>
      </c>
      <c r="S41" s="1" t="n">
        <f aca="false">F41</f>
        <v>4.04927392329651</v>
      </c>
      <c r="T41" s="1" t="n">
        <v>1</v>
      </c>
      <c r="U41" s="1" t="n">
        <v>1</v>
      </c>
      <c r="V41" s="1" t="n">
        <f aca="false">F41</f>
        <v>4.04927392329651</v>
      </c>
      <c r="W41" s="1" t="n">
        <f aca="false">F41</f>
        <v>4.04927392329651</v>
      </c>
      <c r="X41" s="1" t="n">
        <f aca="false">F41</f>
        <v>4.04927392329651</v>
      </c>
      <c r="Y41" s="1" t="n">
        <f aca="false">F41</f>
        <v>4.04927392329651</v>
      </c>
      <c r="Z41" s="1" t="n">
        <f aca="false">F41</f>
        <v>4.04927392329651</v>
      </c>
      <c r="AA41" s="1" t="n">
        <f aca="false">F41</f>
        <v>4.04927392329651</v>
      </c>
      <c r="AB41" s="1" t="n">
        <f aca="false">F41</f>
        <v>4.04927392329651</v>
      </c>
      <c r="AC41" s="1" t="n">
        <f aca="false">F41</f>
        <v>4.04927392329651</v>
      </c>
      <c r="AD41" s="1" t="n">
        <f aca="false">F41</f>
        <v>4.04927392329651</v>
      </c>
      <c r="AE41" s="1" t="n">
        <v>1</v>
      </c>
      <c r="AF41" s="1" t="n">
        <v>1</v>
      </c>
      <c r="AG41" s="1" t="n">
        <v>1</v>
      </c>
      <c r="AH41" s="1" t="n">
        <v>1</v>
      </c>
      <c r="AI41" s="1" t="n">
        <v>1</v>
      </c>
      <c r="AJ41" s="1" t="n">
        <v>1</v>
      </c>
      <c r="AK41" s="1" t="n">
        <v>1</v>
      </c>
      <c r="AL41" s="1" t="n">
        <v>1</v>
      </c>
      <c r="AM41" s="1" t="n">
        <v>1</v>
      </c>
      <c r="AN41" s="1" t="n">
        <f aca="false">F41</f>
        <v>4.04927392329651</v>
      </c>
      <c r="AO41" s="1" t="n">
        <f aca="false">F41</f>
        <v>4.04927392329651</v>
      </c>
      <c r="AP41" s="1" t="n">
        <f aca="false">F41</f>
        <v>4.04927392329651</v>
      </c>
      <c r="AQ41" s="1" t="n">
        <f aca="false">F41</f>
        <v>4.04927392329651</v>
      </c>
      <c r="AR41" s="1" t="n">
        <f aca="false">F41</f>
        <v>4.04927392329651</v>
      </c>
      <c r="AS41" s="1" t="n">
        <f aca="false">F41</f>
        <v>4.04927392329651</v>
      </c>
      <c r="AT41" s="1" t="n">
        <v>1</v>
      </c>
      <c r="AU41" s="1" t="n">
        <f aca="false">F41</f>
        <v>4.04927392329651</v>
      </c>
      <c r="AV41" s="1" t="n">
        <f aca="false">F41</f>
        <v>4.04927392329651</v>
      </c>
      <c r="AW41" s="1" t="n">
        <f aca="false">F41</f>
        <v>4.04927392329651</v>
      </c>
      <c r="AX41" s="1" t="n">
        <v>1</v>
      </c>
      <c r="AY41" s="1" t="n">
        <v>1</v>
      </c>
      <c r="AZ41" s="1" t="n">
        <v>1</v>
      </c>
      <c r="BA41" s="1" t="n">
        <f aca="false">F41</f>
        <v>4.04927392329651</v>
      </c>
      <c r="BB41" s="1" t="n">
        <f aca="false">F41</f>
        <v>4.04927392329651</v>
      </c>
      <c r="BC41" s="1" t="n">
        <v>1</v>
      </c>
      <c r="BD41" s="1" t="n">
        <v>1</v>
      </c>
      <c r="BE41" s="1" t="n">
        <v>1</v>
      </c>
      <c r="BF41" s="1" t="n">
        <v>1</v>
      </c>
      <c r="BG41" s="1" t="n">
        <v>1</v>
      </c>
      <c r="BH41" s="1" t="n">
        <v>1</v>
      </c>
      <c r="BI41" s="1" t="n">
        <v>1</v>
      </c>
      <c r="BJ41" s="1" t="n">
        <v>1</v>
      </c>
      <c r="BK41" s="1" t="n">
        <v>1</v>
      </c>
    </row>
    <row r="42" customFormat="false" ht="12.75" hidden="false" customHeight="false" outlineLevel="0" collapsed="false">
      <c r="A42" s="1" t="n">
        <f aca="false">A41-1</f>
        <v>1985</v>
      </c>
      <c r="B42" s="1" t="n">
        <v>1</v>
      </c>
      <c r="C42" s="1" t="n">
        <v>1</v>
      </c>
      <c r="D42" s="1" t="n">
        <v>1</v>
      </c>
      <c r="E42" s="1" t="n">
        <v>1</v>
      </c>
      <c r="F42" s="1" t="n">
        <f aca="false">F41</f>
        <v>4.04927392329651</v>
      </c>
      <c r="G42" s="1" t="n">
        <f aca="false">F42</f>
        <v>4.04927392329651</v>
      </c>
      <c r="H42" s="1" t="n">
        <f aca="false">F42</f>
        <v>4.04927392329651</v>
      </c>
      <c r="I42" s="1" t="n">
        <f aca="false">F42</f>
        <v>4.04927392329651</v>
      </c>
      <c r="J42" s="1" t="n">
        <v>1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s="1" t="n">
        <v>1</v>
      </c>
      <c r="Q42" s="1" t="n">
        <f aca="false">F42</f>
        <v>4.04927392329651</v>
      </c>
      <c r="R42" s="1" t="n">
        <f aca="false">F42</f>
        <v>4.04927392329651</v>
      </c>
      <c r="S42" s="1" t="n">
        <f aca="false">F42</f>
        <v>4.04927392329651</v>
      </c>
      <c r="T42" s="1" t="n">
        <v>1</v>
      </c>
      <c r="U42" s="1" t="n">
        <v>1</v>
      </c>
      <c r="V42" s="1" t="n">
        <f aca="false">F42</f>
        <v>4.04927392329651</v>
      </c>
      <c r="W42" s="1" t="n">
        <f aca="false">F42</f>
        <v>4.04927392329651</v>
      </c>
      <c r="X42" s="1" t="n">
        <f aca="false">F42</f>
        <v>4.04927392329651</v>
      </c>
      <c r="Y42" s="1" t="n">
        <f aca="false">F42</f>
        <v>4.04927392329651</v>
      </c>
      <c r="Z42" s="1" t="n">
        <f aca="false">F42</f>
        <v>4.04927392329651</v>
      </c>
      <c r="AA42" s="1" t="n">
        <f aca="false">F42</f>
        <v>4.04927392329651</v>
      </c>
      <c r="AB42" s="1" t="n">
        <f aca="false">F42</f>
        <v>4.04927392329651</v>
      </c>
      <c r="AC42" s="1" t="n">
        <f aca="false">F42</f>
        <v>4.04927392329651</v>
      </c>
      <c r="AD42" s="1" t="n">
        <f aca="false">F42</f>
        <v>4.04927392329651</v>
      </c>
      <c r="AE42" s="1" t="n">
        <v>1</v>
      </c>
      <c r="AF42" s="1" t="n">
        <v>1</v>
      </c>
      <c r="AG42" s="1" t="n">
        <v>1</v>
      </c>
      <c r="AH42" s="1" t="n">
        <v>1</v>
      </c>
      <c r="AI42" s="1" t="n">
        <v>1</v>
      </c>
      <c r="AJ42" s="1" t="n">
        <v>1</v>
      </c>
      <c r="AK42" s="1" t="n">
        <v>1</v>
      </c>
      <c r="AL42" s="1" t="n">
        <v>1</v>
      </c>
      <c r="AM42" s="1" t="n">
        <v>1</v>
      </c>
      <c r="AN42" s="1" t="n">
        <f aca="false">F42</f>
        <v>4.04927392329651</v>
      </c>
      <c r="AO42" s="1" t="n">
        <f aca="false">F42</f>
        <v>4.04927392329651</v>
      </c>
      <c r="AP42" s="1" t="n">
        <f aca="false">F42</f>
        <v>4.04927392329651</v>
      </c>
      <c r="AQ42" s="1" t="n">
        <f aca="false">F42</f>
        <v>4.04927392329651</v>
      </c>
      <c r="AR42" s="1" t="n">
        <f aca="false">F42</f>
        <v>4.04927392329651</v>
      </c>
      <c r="AS42" s="1" t="n">
        <f aca="false">F42</f>
        <v>4.04927392329651</v>
      </c>
      <c r="AT42" s="1" t="n">
        <v>1</v>
      </c>
      <c r="AU42" s="1" t="n">
        <f aca="false">F42</f>
        <v>4.04927392329651</v>
      </c>
      <c r="AV42" s="1" t="n">
        <f aca="false">F42</f>
        <v>4.04927392329651</v>
      </c>
      <c r="AW42" s="1" t="n">
        <f aca="false">F42</f>
        <v>4.04927392329651</v>
      </c>
      <c r="AX42" s="1" t="n">
        <v>1</v>
      </c>
      <c r="AY42" s="1" t="n">
        <v>1</v>
      </c>
      <c r="AZ42" s="1" t="n">
        <v>1</v>
      </c>
      <c r="BA42" s="1" t="n">
        <f aca="false">F42</f>
        <v>4.04927392329651</v>
      </c>
      <c r="BB42" s="1" t="n">
        <f aca="false">F42</f>
        <v>4.04927392329651</v>
      </c>
      <c r="BC42" s="1" t="n">
        <v>1</v>
      </c>
      <c r="BD42" s="1" t="n">
        <v>1</v>
      </c>
      <c r="BE42" s="1" t="n">
        <v>1</v>
      </c>
      <c r="BF42" s="1" t="n">
        <v>1</v>
      </c>
      <c r="BG42" s="1" t="n">
        <v>1</v>
      </c>
      <c r="BH42" s="1" t="n">
        <v>1</v>
      </c>
      <c r="BI42" s="1" t="n">
        <v>1</v>
      </c>
      <c r="BJ42" s="1" t="n">
        <v>1</v>
      </c>
      <c r="BK42" s="1" t="n">
        <v>1</v>
      </c>
    </row>
    <row r="43" customFormat="false" ht="12.75" hidden="false" customHeight="false" outlineLevel="0" collapsed="false">
      <c r="A43" s="1" t="n">
        <f aca="false">A42-1</f>
        <v>1984</v>
      </c>
      <c r="B43" s="1" t="n">
        <v>1</v>
      </c>
      <c r="C43" s="1" t="n">
        <v>1</v>
      </c>
      <c r="D43" s="1" t="n">
        <v>1</v>
      </c>
      <c r="E43" s="1" t="n">
        <v>1</v>
      </c>
      <c r="F43" s="1" t="n">
        <f aca="false">F42</f>
        <v>4.04927392329651</v>
      </c>
      <c r="G43" s="1" t="n">
        <f aca="false">F43</f>
        <v>4.04927392329651</v>
      </c>
      <c r="H43" s="1" t="n">
        <f aca="false">F43</f>
        <v>4.04927392329651</v>
      </c>
      <c r="I43" s="1" t="n">
        <f aca="false">F43</f>
        <v>4.04927392329651</v>
      </c>
      <c r="J43" s="1" t="n">
        <v>1</v>
      </c>
      <c r="K43" s="1" t="n">
        <v>1</v>
      </c>
      <c r="L43" s="1" t="n">
        <v>1</v>
      </c>
      <c r="M43" s="1" t="n">
        <v>1</v>
      </c>
      <c r="N43" s="1" t="n">
        <v>1</v>
      </c>
      <c r="O43" s="1" t="n">
        <v>1</v>
      </c>
      <c r="P43" s="1" t="n">
        <v>1</v>
      </c>
      <c r="Q43" s="1" t="n">
        <f aca="false">F43</f>
        <v>4.04927392329651</v>
      </c>
      <c r="R43" s="1" t="n">
        <f aca="false">F43</f>
        <v>4.04927392329651</v>
      </c>
      <c r="S43" s="1" t="n">
        <f aca="false">F43</f>
        <v>4.04927392329651</v>
      </c>
      <c r="T43" s="1" t="n">
        <v>1</v>
      </c>
      <c r="U43" s="1" t="n">
        <v>1</v>
      </c>
      <c r="V43" s="1" t="n">
        <f aca="false">F43</f>
        <v>4.04927392329651</v>
      </c>
      <c r="W43" s="1" t="n">
        <f aca="false">F43</f>
        <v>4.04927392329651</v>
      </c>
      <c r="X43" s="1" t="n">
        <f aca="false">F43</f>
        <v>4.04927392329651</v>
      </c>
      <c r="Y43" s="1" t="n">
        <f aca="false">F43</f>
        <v>4.04927392329651</v>
      </c>
      <c r="Z43" s="1" t="n">
        <f aca="false">F43</f>
        <v>4.04927392329651</v>
      </c>
      <c r="AA43" s="1" t="n">
        <f aca="false">F43</f>
        <v>4.04927392329651</v>
      </c>
      <c r="AB43" s="1" t="n">
        <f aca="false">F43</f>
        <v>4.04927392329651</v>
      </c>
      <c r="AC43" s="1" t="n">
        <f aca="false">F43</f>
        <v>4.04927392329651</v>
      </c>
      <c r="AD43" s="1" t="n">
        <f aca="false">F43</f>
        <v>4.04927392329651</v>
      </c>
      <c r="AE43" s="1" t="n">
        <v>1</v>
      </c>
      <c r="AF43" s="1" t="n">
        <v>1</v>
      </c>
      <c r="AG43" s="1" t="n">
        <v>1</v>
      </c>
      <c r="AH43" s="1" t="n">
        <v>1</v>
      </c>
      <c r="AI43" s="1" t="n">
        <v>1</v>
      </c>
      <c r="AJ43" s="1" t="n">
        <v>1</v>
      </c>
      <c r="AK43" s="1" t="n">
        <v>1</v>
      </c>
      <c r="AL43" s="1" t="n">
        <v>1</v>
      </c>
      <c r="AM43" s="1" t="n">
        <v>1</v>
      </c>
      <c r="AN43" s="1" t="n">
        <f aca="false">F43</f>
        <v>4.04927392329651</v>
      </c>
      <c r="AO43" s="1" t="n">
        <f aca="false">F43</f>
        <v>4.04927392329651</v>
      </c>
      <c r="AP43" s="1" t="n">
        <f aca="false">F43</f>
        <v>4.04927392329651</v>
      </c>
      <c r="AQ43" s="1" t="n">
        <f aca="false">F43</f>
        <v>4.04927392329651</v>
      </c>
      <c r="AR43" s="1" t="n">
        <f aca="false">F43</f>
        <v>4.04927392329651</v>
      </c>
      <c r="AS43" s="1" t="n">
        <f aca="false">F43</f>
        <v>4.04927392329651</v>
      </c>
      <c r="AT43" s="1" t="n">
        <v>1</v>
      </c>
      <c r="AU43" s="1" t="n">
        <f aca="false">F43</f>
        <v>4.04927392329651</v>
      </c>
      <c r="AV43" s="1" t="n">
        <f aca="false">F43</f>
        <v>4.04927392329651</v>
      </c>
      <c r="AW43" s="1" t="n">
        <f aca="false">F43</f>
        <v>4.04927392329651</v>
      </c>
      <c r="AX43" s="1" t="n">
        <v>1</v>
      </c>
      <c r="AY43" s="1" t="n">
        <v>1</v>
      </c>
      <c r="AZ43" s="1" t="n">
        <v>1</v>
      </c>
      <c r="BA43" s="1" t="n">
        <f aca="false">F43</f>
        <v>4.04927392329651</v>
      </c>
      <c r="BB43" s="1" t="n">
        <f aca="false">F43</f>
        <v>4.04927392329651</v>
      </c>
      <c r="BC43" s="1" t="n">
        <v>1</v>
      </c>
      <c r="BD43" s="1" t="n">
        <v>1</v>
      </c>
      <c r="BE43" s="1" t="n">
        <v>1</v>
      </c>
      <c r="BF43" s="1" t="n">
        <v>1</v>
      </c>
      <c r="BG43" s="1" t="n">
        <v>1</v>
      </c>
      <c r="BH43" s="1" t="n">
        <v>1</v>
      </c>
      <c r="BI43" s="1" t="n">
        <v>1</v>
      </c>
      <c r="BJ43" s="1" t="n">
        <v>1</v>
      </c>
      <c r="BK43" s="1" t="n">
        <v>1</v>
      </c>
    </row>
    <row r="44" customFormat="false" ht="12.75" hidden="false" customHeight="false" outlineLevel="0" collapsed="false">
      <c r="A44" s="1" t="n">
        <f aca="false">A43-1</f>
        <v>1983</v>
      </c>
      <c r="B44" s="1" t="n">
        <v>1</v>
      </c>
      <c r="C44" s="1" t="n">
        <v>1</v>
      </c>
      <c r="D44" s="1" t="n">
        <v>1</v>
      </c>
      <c r="E44" s="1" t="n">
        <v>1</v>
      </c>
      <c r="F44" s="1" t="n">
        <f aca="false">F43</f>
        <v>4.04927392329651</v>
      </c>
      <c r="G44" s="1" t="n">
        <f aca="false">F44</f>
        <v>4.04927392329651</v>
      </c>
      <c r="H44" s="1" t="n">
        <f aca="false">F44</f>
        <v>4.04927392329651</v>
      </c>
      <c r="I44" s="1" t="n">
        <f aca="false">F44</f>
        <v>4.04927392329651</v>
      </c>
      <c r="J44" s="1" t="n">
        <v>1</v>
      </c>
      <c r="K44" s="1" t="n">
        <v>1</v>
      </c>
      <c r="L44" s="1" t="n">
        <v>1</v>
      </c>
      <c r="M44" s="1" t="n">
        <v>1</v>
      </c>
      <c r="N44" s="1" t="n">
        <v>1</v>
      </c>
      <c r="O44" s="1" t="n">
        <v>1</v>
      </c>
      <c r="P44" s="1" t="n">
        <v>1</v>
      </c>
      <c r="Q44" s="1" t="n">
        <f aca="false">F44</f>
        <v>4.04927392329651</v>
      </c>
      <c r="R44" s="1" t="n">
        <f aca="false">F44</f>
        <v>4.04927392329651</v>
      </c>
      <c r="S44" s="1" t="n">
        <f aca="false">F44</f>
        <v>4.04927392329651</v>
      </c>
      <c r="T44" s="1" t="n">
        <v>1</v>
      </c>
      <c r="U44" s="1" t="n">
        <v>1</v>
      </c>
      <c r="V44" s="1" t="n">
        <f aca="false">F44</f>
        <v>4.04927392329651</v>
      </c>
      <c r="W44" s="1" t="n">
        <f aca="false">F44</f>
        <v>4.04927392329651</v>
      </c>
      <c r="X44" s="1" t="n">
        <f aca="false">F44</f>
        <v>4.04927392329651</v>
      </c>
      <c r="Y44" s="1" t="n">
        <f aca="false">F44</f>
        <v>4.04927392329651</v>
      </c>
      <c r="Z44" s="1" t="n">
        <f aca="false">F44</f>
        <v>4.04927392329651</v>
      </c>
      <c r="AA44" s="1" t="n">
        <f aca="false">F44</f>
        <v>4.04927392329651</v>
      </c>
      <c r="AB44" s="1" t="n">
        <f aca="false">F44</f>
        <v>4.04927392329651</v>
      </c>
      <c r="AC44" s="1" t="n">
        <f aca="false">F44</f>
        <v>4.04927392329651</v>
      </c>
      <c r="AD44" s="1" t="n">
        <f aca="false">F44</f>
        <v>4.04927392329651</v>
      </c>
      <c r="AE44" s="1" t="n">
        <v>1</v>
      </c>
      <c r="AF44" s="1" t="n">
        <v>1</v>
      </c>
      <c r="AG44" s="1" t="n">
        <v>1</v>
      </c>
      <c r="AH44" s="1" t="n">
        <v>1</v>
      </c>
      <c r="AI44" s="1" t="n">
        <v>1</v>
      </c>
      <c r="AJ44" s="1" t="n">
        <v>1</v>
      </c>
      <c r="AK44" s="1" t="n">
        <v>1</v>
      </c>
      <c r="AL44" s="1" t="n">
        <v>1</v>
      </c>
      <c r="AM44" s="1" t="n">
        <v>1</v>
      </c>
      <c r="AN44" s="1" t="n">
        <f aca="false">F44</f>
        <v>4.04927392329651</v>
      </c>
      <c r="AO44" s="1" t="n">
        <f aca="false">F44</f>
        <v>4.04927392329651</v>
      </c>
      <c r="AP44" s="1" t="n">
        <f aca="false">F44</f>
        <v>4.04927392329651</v>
      </c>
      <c r="AQ44" s="1" t="n">
        <f aca="false">F44</f>
        <v>4.04927392329651</v>
      </c>
      <c r="AR44" s="1" t="n">
        <f aca="false">F44</f>
        <v>4.04927392329651</v>
      </c>
      <c r="AS44" s="1" t="n">
        <f aca="false">F44</f>
        <v>4.04927392329651</v>
      </c>
      <c r="AT44" s="1" t="n">
        <v>1</v>
      </c>
      <c r="AU44" s="1" t="n">
        <f aca="false">F44</f>
        <v>4.04927392329651</v>
      </c>
      <c r="AV44" s="1" t="n">
        <f aca="false">F44</f>
        <v>4.04927392329651</v>
      </c>
      <c r="AW44" s="1" t="n">
        <f aca="false">F44</f>
        <v>4.04927392329651</v>
      </c>
      <c r="AX44" s="1" t="n">
        <v>1</v>
      </c>
      <c r="AY44" s="1" t="n">
        <v>1</v>
      </c>
      <c r="AZ44" s="1" t="n">
        <v>1</v>
      </c>
      <c r="BA44" s="1" t="n">
        <f aca="false">F44</f>
        <v>4.04927392329651</v>
      </c>
      <c r="BB44" s="1" t="n">
        <f aca="false">F44</f>
        <v>4.04927392329651</v>
      </c>
      <c r="BC44" s="1" t="n">
        <v>1</v>
      </c>
      <c r="BD44" s="1" t="n">
        <v>1</v>
      </c>
      <c r="BE44" s="1" t="n">
        <v>1</v>
      </c>
      <c r="BF44" s="1" t="n">
        <v>1</v>
      </c>
      <c r="BG44" s="1" t="n">
        <v>1</v>
      </c>
      <c r="BH44" s="1" t="n">
        <v>1</v>
      </c>
      <c r="BI44" s="1" t="n">
        <v>1</v>
      </c>
      <c r="BJ44" s="1" t="n">
        <v>1</v>
      </c>
      <c r="BK44" s="1" t="n">
        <v>1</v>
      </c>
    </row>
    <row r="45" customFormat="false" ht="12.75" hidden="false" customHeight="false" outlineLevel="0" collapsed="false">
      <c r="A45" s="1" t="n">
        <f aca="false">A44-1</f>
        <v>1982</v>
      </c>
      <c r="B45" s="1" t="n">
        <v>1</v>
      </c>
      <c r="C45" s="1" t="n">
        <v>1</v>
      </c>
      <c r="D45" s="1" t="n">
        <v>1</v>
      </c>
      <c r="E45" s="1" t="n">
        <v>1</v>
      </c>
      <c r="F45" s="1" t="n">
        <f aca="false">F44</f>
        <v>4.04927392329651</v>
      </c>
      <c r="G45" s="1" t="n">
        <f aca="false">F45</f>
        <v>4.04927392329651</v>
      </c>
      <c r="H45" s="1" t="n">
        <f aca="false">F45</f>
        <v>4.04927392329651</v>
      </c>
      <c r="I45" s="1" t="n">
        <f aca="false">F45</f>
        <v>4.04927392329651</v>
      </c>
      <c r="J45" s="1" t="n">
        <v>1</v>
      </c>
      <c r="K45" s="1" t="n">
        <v>1</v>
      </c>
      <c r="L45" s="1" t="n">
        <v>1</v>
      </c>
      <c r="M45" s="1" t="n">
        <v>1</v>
      </c>
      <c r="N45" s="1" t="n">
        <v>1</v>
      </c>
      <c r="O45" s="1" t="n">
        <v>1</v>
      </c>
      <c r="P45" s="1" t="n">
        <v>1</v>
      </c>
      <c r="Q45" s="1" t="n">
        <f aca="false">F45</f>
        <v>4.04927392329651</v>
      </c>
      <c r="R45" s="1" t="n">
        <f aca="false">F45</f>
        <v>4.04927392329651</v>
      </c>
      <c r="S45" s="1" t="n">
        <f aca="false">F45</f>
        <v>4.04927392329651</v>
      </c>
      <c r="T45" s="1" t="n">
        <v>1</v>
      </c>
      <c r="U45" s="1" t="n">
        <v>1</v>
      </c>
      <c r="V45" s="1" t="n">
        <f aca="false">F45</f>
        <v>4.04927392329651</v>
      </c>
      <c r="W45" s="1" t="n">
        <f aca="false">F45</f>
        <v>4.04927392329651</v>
      </c>
      <c r="X45" s="1" t="n">
        <f aca="false">F45</f>
        <v>4.04927392329651</v>
      </c>
      <c r="Y45" s="1" t="n">
        <f aca="false">F45</f>
        <v>4.04927392329651</v>
      </c>
      <c r="Z45" s="1" t="n">
        <f aca="false">F45</f>
        <v>4.04927392329651</v>
      </c>
      <c r="AA45" s="1" t="n">
        <f aca="false">F45</f>
        <v>4.04927392329651</v>
      </c>
      <c r="AB45" s="1" t="n">
        <f aca="false">F45</f>
        <v>4.04927392329651</v>
      </c>
      <c r="AC45" s="1" t="n">
        <f aca="false">F45</f>
        <v>4.04927392329651</v>
      </c>
      <c r="AD45" s="1" t="n">
        <f aca="false">F45</f>
        <v>4.04927392329651</v>
      </c>
      <c r="AE45" s="1" t="n">
        <v>1</v>
      </c>
      <c r="AF45" s="1" t="n">
        <v>1</v>
      </c>
      <c r="AG45" s="1" t="n">
        <v>1</v>
      </c>
      <c r="AH45" s="1" t="n">
        <v>1</v>
      </c>
      <c r="AI45" s="1" t="n">
        <v>1</v>
      </c>
      <c r="AJ45" s="1" t="n">
        <v>1</v>
      </c>
      <c r="AK45" s="1" t="n">
        <v>1</v>
      </c>
      <c r="AL45" s="1" t="n">
        <v>1</v>
      </c>
      <c r="AM45" s="1" t="n">
        <v>1</v>
      </c>
      <c r="AN45" s="1" t="n">
        <f aca="false">F45</f>
        <v>4.04927392329651</v>
      </c>
      <c r="AO45" s="1" t="n">
        <f aca="false">F45</f>
        <v>4.04927392329651</v>
      </c>
      <c r="AP45" s="1" t="n">
        <f aca="false">F45</f>
        <v>4.04927392329651</v>
      </c>
      <c r="AQ45" s="1" t="n">
        <f aca="false">F45</f>
        <v>4.04927392329651</v>
      </c>
      <c r="AR45" s="1" t="n">
        <f aca="false">F45</f>
        <v>4.04927392329651</v>
      </c>
      <c r="AS45" s="1" t="n">
        <f aca="false">F45</f>
        <v>4.04927392329651</v>
      </c>
      <c r="AT45" s="1" t="n">
        <v>1</v>
      </c>
      <c r="AU45" s="1" t="n">
        <f aca="false">F45</f>
        <v>4.04927392329651</v>
      </c>
      <c r="AV45" s="1" t="n">
        <f aca="false">F45</f>
        <v>4.04927392329651</v>
      </c>
      <c r="AW45" s="1" t="n">
        <f aca="false">F45</f>
        <v>4.04927392329651</v>
      </c>
      <c r="AX45" s="1" t="n">
        <v>1</v>
      </c>
      <c r="AY45" s="1" t="n">
        <v>1</v>
      </c>
      <c r="AZ45" s="1" t="n">
        <v>1</v>
      </c>
      <c r="BA45" s="1" t="n">
        <f aca="false">F45</f>
        <v>4.04927392329651</v>
      </c>
      <c r="BB45" s="1" t="n">
        <f aca="false">F45</f>
        <v>4.04927392329651</v>
      </c>
      <c r="BC45" s="1" t="n">
        <v>1</v>
      </c>
      <c r="BD45" s="1" t="n">
        <v>1</v>
      </c>
      <c r="BE45" s="1" t="n">
        <v>1</v>
      </c>
      <c r="BF45" s="1" t="n">
        <v>1</v>
      </c>
      <c r="BG45" s="1" t="n">
        <v>1</v>
      </c>
      <c r="BH45" s="1" t="n">
        <v>1</v>
      </c>
      <c r="BI45" s="1" t="n">
        <v>1</v>
      </c>
      <c r="BJ45" s="1" t="n">
        <v>1</v>
      </c>
      <c r="BK45" s="1" t="n">
        <v>1</v>
      </c>
    </row>
    <row r="46" customFormat="false" ht="12.75" hidden="false" customHeight="false" outlineLevel="0" collapsed="false">
      <c r="A46" s="1" t="n">
        <f aca="false">A45-1</f>
        <v>1981</v>
      </c>
      <c r="B46" s="1" t="n">
        <v>1</v>
      </c>
      <c r="C46" s="1" t="n">
        <v>1</v>
      </c>
      <c r="D46" s="1" t="n">
        <v>1</v>
      </c>
      <c r="E46" s="1" t="n">
        <v>1</v>
      </c>
      <c r="F46" s="1" t="n">
        <f aca="false">F45</f>
        <v>4.04927392329651</v>
      </c>
      <c r="G46" s="1" t="n">
        <f aca="false">F46</f>
        <v>4.04927392329651</v>
      </c>
      <c r="H46" s="1" t="n">
        <f aca="false">F46</f>
        <v>4.04927392329651</v>
      </c>
      <c r="I46" s="1" t="n">
        <f aca="false">F46</f>
        <v>4.04927392329651</v>
      </c>
      <c r="J46" s="1" t="n">
        <v>1</v>
      </c>
      <c r="K46" s="1" t="n">
        <v>1</v>
      </c>
      <c r="L46" s="1" t="n">
        <v>1</v>
      </c>
      <c r="M46" s="1" t="n">
        <v>1</v>
      </c>
      <c r="N46" s="1" t="n">
        <v>1</v>
      </c>
      <c r="O46" s="1" t="n">
        <v>1</v>
      </c>
      <c r="P46" s="1" t="n">
        <v>1</v>
      </c>
      <c r="Q46" s="1" t="n">
        <f aca="false">F46</f>
        <v>4.04927392329651</v>
      </c>
      <c r="R46" s="1" t="n">
        <f aca="false">F46</f>
        <v>4.04927392329651</v>
      </c>
      <c r="S46" s="1" t="n">
        <f aca="false">F46</f>
        <v>4.04927392329651</v>
      </c>
      <c r="T46" s="1" t="n">
        <v>1</v>
      </c>
      <c r="U46" s="1" t="n">
        <v>1</v>
      </c>
      <c r="V46" s="1" t="n">
        <f aca="false">F46</f>
        <v>4.04927392329651</v>
      </c>
      <c r="W46" s="1" t="n">
        <f aca="false">F46</f>
        <v>4.04927392329651</v>
      </c>
      <c r="X46" s="1" t="n">
        <f aca="false">F46</f>
        <v>4.04927392329651</v>
      </c>
      <c r="Y46" s="1" t="n">
        <f aca="false">F46</f>
        <v>4.04927392329651</v>
      </c>
      <c r="Z46" s="1" t="n">
        <f aca="false">F46</f>
        <v>4.04927392329651</v>
      </c>
      <c r="AA46" s="1" t="n">
        <f aca="false">F46</f>
        <v>4.04927392329651</v>
      </c>
      <c r="AB46" s="1" t="n">
        <f aca="false">F46</f>
        <v>4.04927392329651</v>
      </c>
      <c r="AC46" s="1" t="n">
        <f aca="false">F46</f>
        <v>4.04927392329651</v>
      </c>
      <c r="AD46" s="1" t="n">
        <f aca="false">F46</f>
        <v>4.04927392329651</v>
      </c>
      <c r="AE46" s="1" t="n">
        <v>1</v>
      </c>
      <c r="AF46" s="1" t="n">
        <v>1</v>
      </c>
      <c r="AG46" s="1" t="n">
        <v>1</v>
      </c>
      <c r="AH46" s="1" t="n">
        <v>1</v>
      </c>
      <c r="AI46" s="1" t="n">
        <v>1</v>
      </c>
      <c r="AJ46" s="1" t="n">
        <v>1</v>
      </c>
      <c r="AK46" s="1" t="n">
        <v>1</v>
      </c>
      <c r="AL46" s="1" t="n">
        <v>1</v>
      </c>
      <c r="AM46" s="1" t="n">
        <v>1</v>
      </c>
      <c r="AN46" s="1" t="n">
        <f aca="false">F46</f>
        <v>4.04927392329651</v>
      </c>
      <c r="AO46" s="1" t="n">
        <f aca="false">F46</f>
        <v>4.04927392329651</v>
      </c>
      <c r="AP46" s="1" t="n">
        <f aca="false">F46</f>
        <v>4.04927392329651</v>
      </c>
      <c r="AQ46" s="1" t="n">
        <f aca="false">F46</f>
        <v>4.04927392329651</v>
      </c>
      <c r="AR46" s="1" t="n">
        <f aca="false">F46</f>
        <v>4.04927392329651</v>
      </c>
      <c r="AS46" s="1" t="n">
        <f aca="false">F46</f>
        <v>4.04927392329651</v>
      </c>
      <c r="AT46" s="1" t="n">
        <v>1</v>
      </c>
      <c r="AU46" s="1" t="n">
        <f aca="false">F46</f>
        <v>4.04927392329651</v>
      </c>
      <c r="AV46" s="1" t="n">
        <f aca="false">F46</f>
        <v>4.04927392329651</v>
      </c>
      <c r="AW46" s="1" t="n">
        <f aca="false">F46</f>
        <v>4.04927392329651</v>
      </c>
      <c r="AX46" s="1" t="n">
        <v>1</v>
      </c>
      <c r="AY46" s="1" t="n">
        <v>1</v>
      </c>
      <c r="AZ46" s="1" t="n">
        <v>1</v>
      </c>
      <c r="BA46" s="1" t="n">
        <f aca="false">F46</f>
        <v>4.04927392329651</v>
      </c>
      <c r="BB46" s="1" t="n">
        <f aca="false">F46</f>
        <v>4.04927392329651</v>
      </c>
      <c r="BC46" s="1" t="n">
        <v>1</v>
      </c>
      <c r="BD46" s="1" t="n">
        <v>1</v>
      </c>
      <c r="BE46" s="1" t="n">
        <v>1</v>
      </c>
      <c r="BF46" s="1" t="n">
        <v>1</v>
      </c>
      <c r="BG46" s="1" t="n">
        <v>1</v>
      </c>
      <c r="BH46" s="1" t="n">
        <v>1</v>
      </c>
      <c r="BI46" s="1" t="n">
        <v>1</v>
      </c>
      <c r="BJ46" s="1" t="n">
        <v>1</v>
      </c>
      <c r="BK46" s="1" t="n">
        <v>1</v>
      </c>
    </row>
    <row r="47" customFormat="false" ht="12.75" hidden="false" customHeight="false" outlineLevel="0" collapsed="false">
      <c r="A47" s="1" t="n">
        <f aca="false">A46-1</f>
        <v>1980</v>
      </c>
      <c r="B47" s="1" t="n">
        <v>1</v>
      </c>
      <c r="C47" s="1" t="n">
        <v>1</v>
      </c>
      <c r="D47" s="1" t="n">
        <v>1</v>
      </c>
      <c r="E47" s="1" t="n">
        <v>1</v>
      </c>
      <c r="F47" s="1" t="n">
        <f aca="false">F46</f>
        <v>4.04927392329651</v>
      </c>
      <c r="G47" s="1" t="n">
        <f aca="false">F47</f>
        <v>4.04927392329651</v>
      </c>
      <c r="H47" s="1" t="n">
        <f aca="false">F47</f>
        <v>4.04927392329651</v>
      </c>
      <c r="I47" s="1" t="n">
        <f aca="false">F47</f>
        <v>4.04927392329651</v>
      </c>
      <c r="J47" s="1" t="n">
        <v>1</v>
      </c>
      <c r="K47" s="1" t="n">
        <v>1</v>
      </c>
      <c r="L47" s="1" t="n">
        <v>1</v>
      </c>
      <c r="M47" s="1" t="n">
        <v>1</v>
      </c>
      <c r="N47" s="1" t="n">
        <v>1</v>
      </c>
      <c r="O47" s="1" t="n">
        <v>1</v>
      </c>
      <c r="P47" s="1" t="n">
        <v>1</v>
      </c>
      <c r="Q47" s="1" t="n">
        <f aca="false">F47</f>
        <v>4.04927392329651</v>
      </c>
      <c r="R47" s="1" t="n">
        <f aca="false">F47</f>
        <v>4.04927392329651</v>
      </c>
      <c r="S47" s="1" t="n">
        <f aca="false">F47</f>
        <v>4.04927392329651</v>
      </c>
      <c r="T47" s="1" t="n">
        <v>1</v>
      </c>
      <c r="U47" s="1" t="n">
        <v>1</v>
      </c>
      <c r="V47" s="1" t="n">
        <f aca="false">F47</f>
        <v>4.04927392329651</v>
      </c>
      <c r="W47" s="1" t="n">
        <f aca="false">F47</f>
        <v>4.04927392329651</v>
      </c>
      <c r="X47" s="1" t="n">
        <f aca="false">F47</f>
        <v>4.04927392329651</v>
      </c>
      <c r="Y47" s="1" t="n">
        <f aca="false">F47</f>
        <v>4.04927392329651</v>
      </c>
      <c r="Z47" s="1" t="n">
        <f aca="false">F47</f>
        <v>4.04927392329651</v>
      </c>
      <c r="AA47" s="1" t="n">
        <f aca="false">F47</f>
        <v>4.04927392329651</v>
      </c>
      <c r="AB47" s="1" t="n">
        <f aca="false">F47</f>
        <v>4.04927392329651</v>
      </c>
      <c r="AC47" s="1" t="n">
        <f aca="false">F47</f>
        <v>4.04927392329651</v>
      </c>
      <c r="AD47" s="1" t="n">
        <f aca="false">F47</f>
        <v>4.04927392329651</v>
      </c>
      <c r="AE47" s="1" t="n">
        <v>1</v>
      </c>
      <c r="AF47" s="1" t="n">
        <v>1</v>
      </c>
      <c r="AG47" s="1" t="n">
        <v>1</v>
      </c>
      <c r="AH47" s="1" t="n">
        <v>1</v>
      </c>
      <c r="AI47" s="1" t="n">
        <v>1</v>
      </c>
      <c r="AJ47" s="1" t="n">
        <v>1</v>
      </c>
      <c r="AK47" s="1" t="n">
        <v>1</v>
      </c>
      <c r="AL47" s="1" t="n">
        <v>1</v>
      </c>
      <c r="AM47" s="1" t="n">
        <v>1</v>
      </c>
      <c r="AN47" s="1" t="n">
        <f aca="false">F47</f>
        <v>4.04927392329651</v>
      </c>
      <c r="AO47" s="1" t="n">
        <f aca="false">F47</f>
        <v>4.04927392329651</v>
      </c>
      <c r="AP47" s="1" t="n">
        <f aca="false">F47</f>
        <v>4.04927392329651</v>
      </c>
      <c r="AQ47" s="1" t="n">
        <f aca="false">F47</f>
        <v>4.04927392329651</v>
      </c>
      <c r="AR47" s="1" t="n">
        <f aca="false">F47</f>
        <v>4.04927392329651</v>
      </c>
      <c r="AS47" s="1" t="n">
        <f aca="false">F47</f>
        <v>4.04927392329651</v>
      </c>
      <c r="AT47" s="1" t="n">
        <v>1</v>
      </c>
      <c r="AU47" s="1" t="n">
        <f aca="false">F47</f>
        <v>4.04927392329651</v>
      </c>
      <c r="AV47" s="1" t="n">
        <f aca="false">F47</f>
        <v>4.04927392329651</v>
      </c>
      <c r="AW47" s="1" t="n">
        <f aca="false">F47</f>
        <v>4.04927392329651</v>
      </c>
      <c r="AX47" s="1" t="n">
        <v>1</v>
      </c>
      <c r="AY47" s="1" t="n">
        <v>1</v>
      </c>
      <c r="AZ47" s="1" t="n">
        <v>1</v>
      </c>
      <c r="BA47" s="1" t="n">
        <f aca="false">F47</f>
        <v>4.04927392329651</v>
      </c>
      <c r="BB47" s="1" t="n">
        <f aca="false">F47</f>
        <v>4.04927392329651</v>
      </c>
      <c r="BC47" s="1" t="n">
        <v>1</v>
      </c>
      <c r="BD47" s="1" t="n">
        <v>1</v>
      </c>
      <c r="BE47" s="1" t="n">
        <v>1</v>
      </c>
      <c r="BF47" s="1" t="n">
        <v>1</v>
      </c>
      <c r="BG47" s="1" t="n">
        <v>1</v>
      </c>
      <c r="BH47" s="1" t="n">
        <v>1</v>
      </c>
      <c r="BI47" s="1" t="n">
        <v>1</v>
      </c>
      <c r="BJ47" s="1" t="n">
        <v>1</v>
      </c>
      <c r="BK47" s="1" t="n">
        <v>1</v>
      </c>
    </row>
    <row r="48" customFormat="false" ht="12.75" hidden="false" customHeight="false" outlineLevel="0" collapsed="false">
      <c r="A48" s="1" t="n">
        <f aca="false">A47-1</f>
        <v>1979</v>
      </c>
      <c r="B48" s="1" t="n">
        <v>1</v>
      </c>
      <c r="C48" s="1" t="n">
        <v>1</v>
      </c>
      <c r="D48" s="1" t="n">
        <v>1</v>
      </c>
      <c r="E48" s="1" t="n">
        <v>1</v>
      </c>
      <c r="F48" s="1" t="n">
        <f aca="false">F47</f>
        <v>4.04927392329651</v>
      </c>
      <c r="G48" s="1" t="n">
        <f aca="false">F48</f>
        <v>4.04927392329651</v>
      </c>
      <c r="H48" s="1" t="n">
        <f aca="false">F48</f>
        <v>4.04927392329651</v>
      </c>
      <c r="I48" s="1" t="n">
        <f aca="false">F48</f>
        <v>4.04927392329651</v>
      </c>
      <c r="J48" s="1" t="n">
        <v>1</v>
      </c>
      <c r="K48" s="1" t="n">
        <v>1</v>
      </c>
      <c r="L48" s="1" t="n">
        <v>1</v>
      </c>
      <c r="M48" s="1" t="n">
        <v>1</v>
      </c>
      <c r="N48" s="1" t="n">
        <v>1</v>
      </c>
      <c r="O48" s="1" t="n">
        <v>1</v>
      </c>
      <c r="P48" s="1" t="n">
        <v>1</v>
      </c>
      <c r="Q48" s="1" t="n">
        <f aca="false">F48</f>
        <v>4.04927392329651</v>
      </c>
      <c r="R48" s="1" t="n">
        <f aca="false">F48</f>
        <v>4.04927392329651</v>
      </c>
      <c r="S48" s="1" t="n">
        <f aca="false">F48</f>
        <v>4.04927392329651</v>
      </c>
      <c r="T48" s="1" t="n">
        <v>1</v>
      </c>
      <c r="U48" s="1" t="n">
        <v>1</v>
      </c>
      <c r="V48" s="1" t="n">
        <f aca="false">F48</f>
        <v>4.04927392329651</v>
      </c>
      <c r="W48" s="1" t="n">
        <f aca="false">F48</f>
        <v>4.04927392329651</v>
      </c>
      <c r="X48" s="1" t="n">
        <f aca="false">F48</f>
        <v>4.04927392329651</v>
      </c>
      <c r="Y48" s="1" t="n">
        <f aca="false">F48</f>
        <v>4.04927392329651</v>
      </c>
      <c r="Z48" s="1" t="n">
        <f aca="false">F48</f>
        <v>4.04927392329651</v>
      </c>
      <c r="AA48" s="1" t="n">
        <f aca="false">F48</f>
        <v>4.04927392329651</v>
      </c>
      <c r="AB48" s="1" t="n">
        <f aca="false">F48</f>
        <v>4.04927392329651</v>
      </c>
      <c r="AC48" s="1" t="n">
        <f aca="false">F48</f>
        <v>4.04927392329651</v>
      </c>
      <c r="AD48" s="1" t="n">
        <f aca="false">F48</f>
        <v>4.04927392329651</v>
      </c>
      <c r="AE48" s="1" t="n">
        <v>1</v>
      </c>
      <c r="AF48" s="1" t="n">
        <v>1</v>
      </c>
      <c r="AG48" s="1" t="n">
        <v>1</v>
      </c>
      <c r="AH48" s="1" t="n">
        <v>1</v>
      </c>
      <c r="AI48" s="1" t="n">
        <v>1</v>
      </c>
      <c r="AJ48" s="1" t="n">
        <v>1</v>
      </c>
      <c r="AK48" s="1" t="n">
        <v>1</v>
      </c>
      <c r="AL48" s="1" t="n">
        <v>1</v>
      </c>
      <c r="AM48" s="1" t="n">
        <v>1</v>
      </c>
      <c r="AN48" s="1" t="n">
        <f aca="false">F48</f>
        <v>4.04927392329651</v>
      </c>
      <c r="AO48" s="1" t="n">
        <f aca="false">F48</f>
        <v>4.04927392329651</v>
      </c>
      <c r="AP48" s="1" t="n">
        <f aca="false">F48</f>
        <v>4.04927392329651</v>
      </c>
      <c r="AQ48" s="1" t="n">
        <f aca="false">F48</f>
        <v>4.04927392329651</v>
      </c>
      <c r="AR48" s="1" t="n">
        <f aca="false">F48</f>
        <v>4.04927392329651</v>
      </c>
      <c r="AS48" s="1" t="n">
        <f aca="false">F48</f>
        <v>4.04927392329651</v>
      </c>
      <c r="AT48" s="1" t="n">
        <v>1</v>
      </c>
      <c r="AU48" s="1" t="n">
        <f aca="false">F48</f>
        <v>4.04927392329651</v>
      </c>
      <c r="AV48" s="1" t="n">
        <f aca="false">F48</f>
        <v>4.04927392329651</v>
      </c>
      <c r="AW48" s="1" t="n">
        <f aca="false">F48</f>
        <v>4.04927392329651</v>
      </c>
      <c r="AX48" s="1" t="n">
        <v>1</v>
      </c>
      <c r="AY48" s="1" t="n">
        <v>1</v>
      </c>
      <c r="AZ48" s="1" t="n">
        <v>1</v>
      </c>
      <c r="BA48" s="1" t="n">
        <f aca="false">F48</f>
        <v>4.04927392329651</v>
      </c>
      <c r="BB48" s="1" t="n">
        <f aca="false">F48</f>
        <v>4.04927392329651</v>
      </c>
      <c r="BC48" s="1" t="n">
        <v>1</v>
      </c>
      <c r="BD48" s="1" t="n">
        <v>1</v>
      </c>
      <c r="BE48" s="1" t="n">
        <v>1</v>
      </c>
      <c r="BF48" s="1" t="n">
        <v>1</v>
      </c>
      <c r="BG48" s="1" t="n">
        <v>1</v>
      </c>
      <c r="BH48" s="1" t="n">
        <v>1</v>
      </c>
      <c r="BI48" s="1" t="n">
        <v>1</v>
      </c>
      <c r="BJ48" s="1" t="n">
        <v>1</v>
      </c>
      <c r="BK48" s="1" t="n">
        <v>1</v>
      </c>
    </row>
    <row r="49" customFormat="false" ht="12.75" hidden="false" customHeight="false" outlineLevel="0" collapsed="false">
      <c r="A49" s="1" t="n">
        <f aca="false">A48-1</f>
        <v>1978</v>
      </c>
      <c r="B49" s="1" t="n">
        <v>1</v>
      </c>
      <c r="C49" s="1" t="n">
        <v>1</v>
      </c>
      <c r="D49" s="1" t="n">
        <v>1</v>
      </c>
      <c r="E49" s="1" t="n">
        <v>1</v>
      </c>
      <c r="F49" s="1" t="n">
        <f aca="false">F48</f>
        <v>4.04927392329651</v>
      </c>
      <c r="G49" s="1" t="n">
        <f aca="false">F49</f>
        <v>4.04927392329651</v>
      </c>
      <c r="H49" s="1" t="n">
        <f aca="false">F49</f>
        <v>4.04927392329651</v>
      </c>
      <c r="I49" s="1" t="n">
        <f aca="false">F49</f>
        <v>4.04927392329651</v>
      </c>
      <c r="J49" s="1" t="n">
        <v>1</v>
      </c>
      <c r="K49" s="1" t="n">
        <v>1</v>
      </c>
      <c r="L49" s="1" t="n">
        <v>1</v>
      </c>
      <c r="M49" s="1" t="n">
        <v>1</v>
      </c>
      <c r="N49" s="1" t="n">
        <v>1</v>
      </c>
      <c r="O49" s="1" t="n">
        <v>1</v>
      </c>
      <c r="P49" s="1" t="n">
        <v>1</v>
      </c>
      <c r="Q49" s="1" t="n">
        <f aca="false">F49</f>
        <v>4.04927392329651</v>
      </c>
      <c r="R49" s="1" t="n">
        <f aca="false">F49</f>
        <v>4.04927392329651</v>
      </c>
      <c r="S49" s="1" t="n">
        <f aca="false">F49</f>
        <v>4.04927392329651</v>
      </c>
      <c r="T49" s="1" t="n">
        <v>1</v>
      </c>
      <c r="U49" s="1" t="n">
        <v>1</v>
      </c>
      <c r="V49" s="1" t="n">
        <f aca="false">F49</f>
        <v>4.04927392329651</v>
      </c>
      <c r="W49" s="1" t="n">
        <f aca="false">F49</f>
        <v>4.04927392329651</v>
      </c>
      <c r="X49" s="1" t="n">
        <f aca="false">F49</f>
        <v>4.04927392329651</v>
      </c>
      <c r="Y49" s="1" t="n">
        <f aca="false">F49</f>
        <v>4.04927392329651</v>
      </c>
      <c r="Z49" s="1" t="n">
        <f aca="false">F49</f>
        <v>4.04927392329651</v>
      </c>
      <c r="AA49" s="1" t="n">
        <f aca="false">F49</f>
        <v>4.04927392329651</v>
      </c>
      <c r="AB49" s="1" t="n">
        <f aca="false">F49</f>
        <v>4.04927392329651</v>
      </c>
      <c r="AC49" s="1" t="n">
        <f aca="false">F49</f>
        <v>4.04927392329651</v>
      </c>
      <c r="AD49" s="1" t="n">
        <f aca="false">F49</f>
        <v>4.04927392329651</v>
      </c>
      <c r="AE49" s="1" t="n">
        <v>1</v>
      </c>
      <c r="AF49" s="1" t="n">
        <v>1</v>
      </c>
      <c r="AG49" s="1" t="n">
        <v>1</v>
      </c>
      <c r="AH49" s="1" t="n">
        <v>1</v>
      </c>
      <c r="AI49" s="1" t="n">
        <v>1</v>
      </c>
      <c r="AJ49" s="1" t="n">
        <v>1</v>
      </c>
      <c r="AK49" s="1" t="n">
        <v>1</v>
      </c>
      <c r="AL49" s="1" t="n">
        <v>1</v>
      </c>
      <c r="AM49" s="1" t="n">
        <v>1</v>
      </c>
      <c r="AN49" s="1" t="n">
        <f aca="false">F49</f>
        <v>4.04927392329651</v>
      </c>
      <c r="AO49" s="1" t="n">
        <f aca="false">F49</f>
        <v>4.04927392329651</v>
      </c>
      <c r="AP49" s="1" t="n">
        <f aca="false">F49</f>
        <v>4.04927392329651</v>
      </c>
      <c r="AQ49" s="1" t="n">
        <f aca="false">F49</f>
        <v>4.04927392329651</v>
      </c>
      <c r="AR49" s="1" t="n">
        <f aca="false">F49</f>
        <v>4.04927392329651</v>
      </c>
      <c r="AS49" s="1" t="n">
        <f aca="false">F49</f>
        <v>4.04927392329651</v>
      </c>
      <c r="AT49" s="1" t="n">
        <v>1</v>
      </c>
      <c r="AU49" s="1" t="n">
        <f aca="false">F49</f>
        <v>4.04927392329651</v>
      </c>
      <c r="AV49" s="1" t="n">
        <f aca="false">F49</f>
        <v>4.04927392329651</v>
      </c>
      <c r="AW49" s="1" t="n">
        <f aca="false">F49</f>
        <v>4.04927392329651</v>
      </c>
      <c r="AX49" s="1" t="n">
        <v>1</v>
      </c>
      <c r="AY49" s="1" t="n">
        <v>1</v>
      </c>
      <c r="AZ49" s="1" t="n">
        <v>1</v>
      </c>
      <c r="BA49" s="1" t="n">
        <f aca="false">F49</f>
        <v>4.04927392329651</v>
      </c>
      <c r="BB49" s="1" t="n">
        <f aca="false">F49</f>
        <v>4.04927392329651</v>
      </c>
      <c r="BC49" s="1" t="n">
        <v>1</v>
      </c>
      <c r="BD49" s="1" t="n">
        <v>1</v>
      </c>
      <c r="BE49" s="1" t="n">
        <v>1</v>
      </c>
      <c r="BF49" s="1" t="n">
        <v>1</v>
      </c>
      <c r="BG49" s="1" t="n">
        <v>1</v>
      </c>
      <c r="BH49" s="1" t="n">
        <v>1</v>
      </c>
      <c r="BI49" s="1" t="n">
        <v>1</v>
      </c>
      <c r="BJ49" s="1" t="n">
        <v>1</v>
      </c>
      <c r="BK49" s="1" t="n">
        <v>1</v>
      </c>
    </row>
    <row r="50" customFormat="false" ht="12.75" hidden="false" customHeight="false" outlineLevel="0" collapsed="false">
      <c r="A50" s="1" t="n">
        <f aca="false">A49-1</f>
        <v>1977</v>
      </c>
      <c r="B50" s="1" t="n">
        <v>1</v>
      </c>
      <c r="C50" s="1" t="n">
        <v>1</v>
      </c>
      <c r="D50" s="1" t="n">
        <v>1</v>
      </c>
      <c r="E50" s="1" t="n">
        <v>1</v>
      </c>
      <c r="F50" s="1" t="n">
        <f aca="false">F49</f>
        <v>4.04927392329651</v>
      </c>
      <c r="G50" s="1" t="n">
        <f aca="false">F50</f>
        <v>4.04927392329651</v>
      </c>
      <c r="H50" s="1" t="n">
        <f aca="false">F50</f>
        <v>4.04927392329651</v>
      </c>
      <c r="I50" s="1" t="n">
        <f aca="false">F50</f>
        <v>4.04927392329651</v>
      </c>
      <c r="J50" s="1" t="n">
        <v>1</v>
      </c>
      <c r="K50" s="1" t="n">
        <v>1</v>
      </c>
      <c r="L50" s="1" t="n">
        <v>1</v>
      </c>
      <c r="M50" s="1" t="n">
        <v>1</v>
      </c>
      <c r="N50" s="1" t="n">
        <v>1</v>
      </c>
      <c r="O50" s="1" t="n">
        <v>1</v>
      </c>
      <c r="P50" s="1" t="n">
        <v>1</v>
      </c>
      <c r="Q50" s="1" t="n">
        <f aca="false">F50</f>
        <v>4.04927392329651</v>
      </c>
      <c r="R50" s="1" t="n">
        <f aca="false">F50</f>
        <v>4.04927392329651</v>
      </c>
      <c r="S50" s="1" t="n">
        <f aca="false">F50</f>
        <v>4.04927392329651</v>
      </c>
      <c r="T50" s="1" t="n">
        <v>1</v>
      </c>
      <c r="U50" s="1" t="n">
        <v>1</v>
      </c>
      <c r="V50" s="1" t="n">
        <f aca="false">F50</f>
        <v>4.04927392329651</v>
      </c>
      <c r="W50" s="1" t="n">
        <f aca="false">F50</f>
        <v>4.04927392329651</v>
      </c>
      <c r="X50" s="1" t="n">
        <f aca="false">F50</f>
        <v>4.04927392329651</v>
      </c>
      <c r="Y50" s="1" t="n">
        <f aca="false">F50</f>
        <v>4.04927392329651</v>
      </c>
      <c r="Z50" s="1" t="n">
        <f aca="false">F50</f>
        <v>4.04927392329651</v>
      </c>
      <c r="AA50" s="1" t="n">
        <f aca="false">F50</f>
        <v>4.04927392329651</v>
      </c>
      <c r="AB50" s="1" t="n">
        <f aca="false">F50</f>
        <v>4.04927392329651</v>
      </c>
      <c r="AC50" s="1" t="n">
        <f aca="false">F50</f>
        <v>4.04927392329651</v>
      </c>
      <c r="AD50" s="1" t="n">
        <f aca="false">F50</f>
        <v>4.04927392329651</v>
      </c>
      <c r="AE50" s="1" t="n">
        <v>1</v>
      </c>
      <c r="AF50" s="1" t="n">
        <v>1</v>
      </c>
      <c r="AG50" s="1" t="n">
        <v>1</v>
      </c>
      <c r="AH50" s="1" t="n">
        <v>1</v>
      </c>
      <c r="AI50" s="1" t="n">
        <v>1</v>
      </c>
      <c r="AJ50" s="1" t="n">
        <v>1</v>
      </c>
      <c r="AK50" s="1" t="n">
        <v>1</v>
      </c>
      <c r="AL50" s="1" t="n">
        <v>1</v>
      </c>
      <c r="AM50" s="1" t="n">
        <v>1</v>
      </c>
      <c r="AN50" s="1" t="n">
        <f aca="false">F50</f>
        <v>4.04927392329651</v>
      </c>
      <c r="AO50" s="1" t="n">
        <f aca="false">F50</f>
        <v>4.04927392329651</v>
      </c>
      <c r="AP50" s="1" t="n">
        <f aca="false">F50</f>
        <v>4.04927392329651</v>
      </c>
      <c r="AQ50" s="1" t="n">
        <f aca="false">F50</f>
        <v>4.04927392329651</v>
      </c>
      <c r="AR50" s="1" t="n">
        <f aca="false">F50</f>
        <v>4.04927392329651</v>
      </c>
      <c r="AS50" s="1" t="n">
        <f aca="false">F50</f>
        <v>4.04927392329651</v>
      </c>
      <c r="AT50" s="1" t="n">
        <v>1</v>
      </c>
      <c r="AU50" s="1" t="n">
        <f aca="false">F50</f>
        <v>4.04927392329651</v>
      </c>
      <c r="AV50" s="1" t="n">
        <f aca="false">F50</f>
        <v>4.04927392329651</v>
      </c>
      <c r="AW50" s="1" t="n">
        <f aca="false">F50</f>
        <v>4.04927392329651</v>
      </c>
      <c r="AX50" s="1" t="n">
        <v>1</v>
      </c>
      <c r="AY50" s="1" t="n">
        <v>1</v>
      </c>
      <c r="AZ50" s="1" t="n">
        <v>1</v>
      </c>
      <c r="BA50" s="1" t="n">
        <f aca="false">F50</f>
        <v>4.04927392329651</v>
      </c>
      <c r="BB50" s="1" t="n">
        <f aca="false">F50</f>
        <v>4.04927392329651</v>
      </c>
      <c r="BC50" s="1" t="n">
        <v>1</v>
      </c>
      <c r="BD50" s="1" t="n">
        <v>1</v>
      </c>
      <c r="BE50" s="1" t="n">
        <v>1</v>
      </c>
      <c r="BF50" s="1" t="n">
        <v>1</v>
      </c>
      <c r="BG50" s="1" t="n">
        <v>1</v>
      </c>
      <c r="BH50" s="1" t="n">
        <v>1</v>
      </c>
      <c r="BI50" s="1" t="n">
        <v>1</v>
      </c>
      <c r="BJ50" s="1" t="n">
        <v>1</v>
      </c>
      <c r="BK50" s="1" t="n">
        <v>1</v>
      </c>
    </row>
    <row r="51" customFormat="false" ht="12.75" hidden="false" customHeight="false" outlineLevel="0" collapsed="false">
      <c r="A51" s="1" t="n">
        <f aca="false">A50-1</f>
        <v>1976</v>
      </c>
      <c r="B51" s="1" t="n">
        <v>1</v>
      </c>
      <c r="C51" s="1" t="n">
        <v>1</v>
      </c>
      <c r="D51" s="1" t="n">
        <v>1</v>
      </c>
      <c r="E51" s="1" t="n">
        <v>1</v>
      </c>
      <c r="F51" s="1" t="n">
        <f aca="false">F50</f>
        <v>4.04927392329651</v>
      </c>
      <c r="G51" s="1" t="n">
        <f aca="false">F51</f>
        <v>4.04927392329651</v>
      </c>
      <c r="H51" s="1" t="n">
        <f aca="false">F51</f>
        <v>4.04927392329651</v>
      </c>
      <c r="I51" s="1" t="n">
        <f aca="false">F51</f>
        <v>4.04927392329651</v>
      </c>
      <c r="J51" s="1" t="n">
        <v>1</v>
      </c>
      <c r="K51" s="1" t="n">
        <v>1</v>
      </c>
      <c r="L51" s="1" t="n">
        <v>1</v>
      </c>
      <c r="M51" s="1" t="n">
        <v>1</v>
      </c>
      <c r="N51" s="1" t="n">
        <v>1</v>
      </c>
      <c r="O51" s="1" t="n">
        <v>1</v>
      </c>
      <c r="P51" s="1" t="n">
        <v>1</v>
      </c>
      <c r="Q51" s="1" t="n">
        <f aca="false">F51</f>
        <v>4.04927392329651</v>
      </c>
      <c r="R51" s="1" t="n">
        <f aca="false">F51</f>
        <v>4.04927392329651</v>
      </c>
      <c r="S51" s="1" t="n">
        <f aca="false">F51</f>
        <v>4.04927392329651</v>
      </c>
      <c r="T51" s="1" t="n">
        <v>1</v>
      </c>
      <c r="U51" s="1" t="n">
        <v>1</v>
      </c>
      <c r="V51" s="1" t="n">
        <f aca="false">F51</f>
        <v>4.04927392329651</v>
      </c>
      <c r="W51" s="1" t="n">
        <f aca="false">F51</f>
        <v>4.04927392329651</v>
      </c>
      <c r="X51" s="1" t="n">
        <f aca="false">F51</f>
        <v>4.04927392329651</v>
      </c>
      <c r="Y51" s="1" t="n">
        <f aca="false">F51</f>
        <v>4.04927392329651</v>
      </c>
      <c r="Z51" s="1" t="n">
        <f aca="false">F51</f>
        <v>4.04927392329651</v>
      </c>
      <c r="AA51" s="1" t="n">
        <f aca="false">F51</f>
        <v>4.04927392329651</v>
      </c>
      <c r="AB51" s="1" t="n">
        <f aca="false">F51</f>
        <v>4.04927392329651</v>
      </c>
      <c r="AC51" s="1" t="n">
        <f aca="false">F51</f>
        <v>4.04927392329651</v>
      </c>
      <c r="AD51" s="1" t="n">
        <f aca="false">F51</f>
        <v>4.04927392329651</v>
      </c>
      <c r="AE51" s="1" t="n">
        <v>1</v>
      </c>
      <c r="AF51" s="1" t="n">
        <v>1</v>
      </c>
      <c r="AG51" s="1" t="n">
        <v>1</v>
      </c>
      <c r="AH51" s="1" t="n">
        <v>1</v>
      </c>
      <c r="AI51" s="1" t="n">
        <v>1</v>
      </c>
      <c r="AJ51" s="1" t="n">
        <v>1</v>
      </c>
      <c r="AK51" s="1" t="n">
        <v>1</v>
      </c>
      <c r="AL51" s="1" t="n">
        <v>1</v>
      </c>
      <c r="AM51" s="1" t="n">
        <v>1</v>
      </c>
      <c r="AN51" s="1" t="n">
        <f aca="false">F51</f>
        <v>4.04927392329651</v>
      </c>
      <c r="AO51" s="1" t="n">
        <f aca="false">F51</f>
        <v>4.04927392329651</v>
      </c>
      <c r="AP51" s="1" t="n">
        <f aca="false">F51</f>
        <v>4.04927392329651</v>
      </c>
      <c r="AQ51" s="1" t="n">
        <f aca="false">F51</f>
        <v>4.04927392329651</v>
      </c>
      <c r="AR51" s="1" t="n">
        <f aca="false">F51</f>
        <v>4.04927392329651</v>
      </c>
      <c r="AS51" s="1" t="n">
        <f aca="false">F51</f>
        <v>4.04927392329651</v>
      </c>
      <c r="AT51" s="1" t="n">
        <v>1</v>
      </c>
      <c r="AU51" s="1" t="n">
        <f aca="false">F51</f>
        <v>4.04927392329651</v>
      </c>
      <c r="AV51" s="1" t="n">
        <f aca="false">F51</f>
        <v>4.04927392329651</v>
      </c>
      <c r="AW51" s="1" t="n">
        <f aca="false">F51</f>
        <v>4.04927392329651</v>
      </c>
      <c r="AX51" s="1" t="n">
        <v>1</v>
      </c>
      <c r="AY51" s="1" t="n">
        <v>1</v>
      </c>
      <c r="AZ51" s="1" t="n">
        <v>1</v>
      </c>
      <c r="BA51" s="1" t="n">
        <f aca="false">F51</f>
        <v>4.04927392329651</v>
      </c>
      <c r="BB51" s="1" t="n">
        <f aca="false">F51</f>
        <v>4.04927392329651</v>
      </c>
      <c r="BC51" s="1" t="n">
        <v>1</v>
      </c>
      <c r="BD51" s="1" t="n">
        <v>1</v>
      </c>
      <c r="BE51" s="1" t="n">
        <v>1</v>
      </c>
      <c r="BF51" s="1" t="n">
        <v>1</v>
      </c>
      <c r="BG51" s="1" t="n">
        <v>1</v>
      </c>
      <c r="BH51" s="1" t="n">
        <v>1</v>
      </c>
      <c r="BI51" s="1" t="n">
        <v>1</v>
      </c>
      <c r="BJ51" s="1" t="n">
        <v>1</v>
      </c>
      <c r="BK51" s="1" t="n">
        <v>1</v>
      </c>
    </row>
    <row r="52" customFormat="false" ht="12.75" hidden="false" customHeight="false" outlineLevel="0" collapsed="false">
      <c r="A52" s="1" t="n">
        <f aca="false">A51-1</f>
        <v>1975</v>
      </c>
      <c r="B52" s="1" t="n">
        <v>1</v>
      </c>
      <c r="C52" s="1" t="n">
        <v>1</v>
      </c>
      <c r="D52" s="1" t="n">
        <v>1</v>
      </c>
      <c r="E52" s="1" t="n">
        <v>1</v>
      </c>
      <c r="F52" s="1" t="n">
        <f aca="false">F51</f>
        <v>4.04927392329651</v>
      </c>
      <c r="G52" s="1" t="n">
        <f aca="false">F52</f>
        <v>4.04927392329651</v>
      </c>
      <c r="H52" s="1" t="n">
        <f aca="false">F52</f>
        <v>4.04927392329651</v>
      </c>
      <c r="I52" s="1" t="n">
        <f aca="false">F52</f>
        <v>4.04927392329651</v>
      </c>
      <c r="J52" s="1" t="n">
        <v>1</v>
      </c>
      <c r="K52" s="1" t="n">
        <v>1</v>
      </c>
      <c r="L52" s="1" t="n">
        <v>1</v>
      </c>
      <c r="M52" s="1" t="n">
        <v>1</v>
      </c>
      <c r="N52" s="1" t="n">
        <v>1</v>
      </c>
      <c r="O52" s="1" t="n">
        <v>1</v>
      </c>
      <c r="P52" s="1" t="n">
        <v>1</v>
      </c>
      <c r="Q52" s="1" t="n">
        <f aca="false">F52</f>
        <v>4.04927392329651</v>
      </c>
      <c r="R52" s="1" t="n">
        <f aca="false">F52</f>
        <v>4.04927392329651</v>
      </c>
      <c r="S52" s="1" t="n">
        <f aca="false">F52</f>
        <v>4.04927392329651</v>
      </c>
      <c r="T52" s="1" t="n">
        <v>1</v>
      </c>
      <c r="U52" s="1" t="n">
        <v>1</v>
      </c>
      <c r="V52" s="1" t="n">
        <f aca="false">F52</f>
        <v>4.04927392329651</v>
      </c>
      <c r="W52" s="1" t="n">
        <f aca="false">F52</f>
        <v>4.04927392329651</v>
      </c>
      <c r="X52" s="1" t="n">
        <f aca="false">F52</f>
        <v>4.04927392329651</v>
      </c>
      <c r="Y52" s="1" t="n">
        <f aca="false">F52</f>
        <v>4.04927392329651</v>
      </c>
      <c r="Z52" s="1" t="n">
        <f aca="false">F52</f>
        <v>4.04927392329651</v>
      </c>
      <c r="AA52" s="1" t="n">
        <f aca="false">F52</f>
        <v>4.04927392329651</v>
      </c>
      <c r="AB52" s="1" t="n">
        <f aca="false">F52</f>
        <v>4.04927392329651</v>
      </c>
      <c r="AC52" s="1" t="n">
        <f aca="false">F52</f>
        <v>4.04927392329651</v>
      </c>
      <c r="AD52" s="1" t="n">
        <f aca="false">F52</f>
        <v>4.04927392329651</v>
      </c>
      <c r="AE52" s="1" t="n">
        <v>1</v>
      </c>
      <c r="AF52" s="1" t="n">
        <v>1</v>
      </c>
      <c r="AG52" s="1" t="n">
        <v>1</v>
      </c>
      <c r="AH52" s="1" t="n">
        <v>1</v>
      </c>
      <c r="AI52" s="1" t="n">
        <v>1</v>
      </c>
      <c r="AJ52" s="1" t="n">
        <v>1</v>
      </c>
      <c r="AK52" s="1" t="n">
        <v>1</v>
      </c>
      <c r="AL52" s="1" t="n">
        <v>1</v>
      </c>
      <c r="AM52" s="1" t="n">
        <v>1</v>
      </c>
      <c r="AN52" s="1" t="n">
        <f aca="false">F52</f>
        <v>4.04927392329651</v>
      </c>
      <c r="AO52" s="1" t="n">
        <f aca="false">F52</f>
        <v>4.04927392329651</v>
      </c>
      <c r="AP52" s="1" t="n">
        <f aca="false">F52</f>
        <v>4.04927392329651</v>
      </c>
      <c r="AQ52" s="1" t="n">
        <f aca="false">F52</f>
        <v>4.04927392329651</v>
      </c>
      <c r="AR52" s="1" t="n">
        <f aca="false">F52</f>
        <v>4.04927392329651</v>
      </c>
      <c r="AS52" s="1" t="n">
        <f aca="false">F52</f>
        <v>4.04927392329651</v>
      </c>
      <c r="AT52" s="1" t="n">
        <v>1</v>
      </c>
      <c r="AU52" s="1" t="n">
        <f aca="false">F52</f>
        <v>4.04927392329651</v>
      </c>
      <c r="AV52" s="1" t="n">
        <f aca="false">F52</f>
        <v>4.04927392329651</v>
      </c>
      <c r="AW52" s="1" t="n">
        <f aca="false">F52</f>
        <v>4.04927392329651</v>
      </c>
      <c r="AX52" s="1" t="n">
        <v>1</v>
      </c>
      <c r="AY52" s="1" t="n">
        <v>1</v>
      </c>
      <c r="AZ52" s="1" t="n">
        <v>1</v>
      </c>
      <c r="BA52" s="1" t="n">
        <f aca="false">F52</f>
        <v>4.04927392329651</v>
      </c>
      <c r="BB52" s="1" t="n">
        <f aca="false">F52</f>
        <v>4.04927392329651</v>
      </c>
      <c r="BC52" s="1" t="n">
        <v>1</v>
      </c>
      <c r="BD52" s="1" t="n">
        <v>1</v>
      </c>
      <c r="BE52" s="1" t="n">
        <v>1</v>
      </c>
      <c r="BF52" s="1" t="n">
        <v>1</v>
      </c>
      <c r="BG52" s="1" t="n">
        <v>1</v>
      </c>
      <c r="BH52" s="1" t="n">
        <v>1</v>
      </c>
      <c r="BI52" s="1" t="n">
        <v>1</v>
      </c>
      <c r="BJ52" s="1" t="n">
        <v>1</v>
      </c>
      <c r="BK52" s="1" t="n">
        <v>1</v>
      </c>
    </row>
    <row r="53" customFormat="false" ht="12.75" hidden="false" customHeight="false" outlineLevel="0" collapsed="false">
      <c r="A53" s="1" t="n">
        <f aca="false">A52-1</f>
        <v>1974</v>
      </c>
      <c r="B53" s="1" t="n">
        <v>1</v>
      </c>
      <c r="C53" s="1" t="n">
        <v>1</v>
      </c>
      <c r="D53" s="1" t="n">
        <v>1</v>
      </c>
      <c r="E53" s="1" t="n">
        <v>1</v>
      </c>
      <c r="F53" s="1" t="n">
        <f aca="false">F52</f>
        <v>4.04927392329651</v>
      </c>
      <c r="G53" s="1" t="n">
        <f aca="false">F53</f>
        <v>4.04927392329651</v>
      </c>
      <c r="H53" s="1" t="n">
        <f aca="false">F53</f>
        <v>4.04927392329651</v>
      </c>
      <c r="I53" s="1" t="n">
        <f aca="false">F53</f>
        <v>4.04927392329651</v>
      </c>
      <c r="J53" s="1" t="n">
        <v>1</v>
      </c>
      <c r="K53" s="1" t="n">
        <v>1</v>
      </c>
      <c r="L53" s="1" t="n">
        <v>1</v>
      </c>
      <c r="M53" s="1" t="n">
        <v>1</v>
      </c>
      <c r="N53" s="1" t="n">
        <v>1</v>
      </c>
      <c r="O53" s="1" t="n">
        <v>1</v>
      </c>
      <c r="P53" s="1" t="n">
        <v>1</v>
      </c>
      <c r="Q53" s="1" t="n">
        <f aca="false">F53</f>
        <v>4.04927392329651</v>
      </c>
      <c r="R53" s="1" t="n">
        <f aca="false">F53</f>
        <v>4.04927392329651</v>
      </c>
      <c r="S53" s="1" t="n">
        <f aca="false">F53</f>
        <v>4.04927392329651</v>
      </c>
      <c r="T53" s="1" t="n">
        <v>1</v>
      </c>
      <c r="U53" s="1" t="n">
        <v>1</v>
      </c>
      <c r="V53" s="1" t="n">
        <f aca="false">F53</f>
        <v>4.04927392329651</v>
      </c>
      <c r="W53" s="1" t="n">
        <f aca="false">F53</f>
        <v>4.04927392329651</v>
      </c>
      <c r="X53" s="1" t="n">
        <f aca="false">F53</f>
        <v>4.04927392329651</v>
      </c>
      <c r="Y53" s="1" t="n">
        <f aca="false">F53</f>
        <v>4.04927392329651</v>
      </c>
      <c r="Z53" s="1" t="n">
        <f aca="false">F53</f>
        <v>4.04927392329651</v>
      </c>
      <c r="AA53" s="1" t="n">
        <f aca="false">F53</f>
        <v>4.04927392329651</v>
      </c>
      <c r="AB53" s="1" t="n">
        <f aca="false">F53</f>
        <v>4.04927392329651</v>
      </c>
      <c r="AC53" s="1" t="n">
        <f aca="false">F53</f>
        <v>4.04927392329651</v>
      </c>
      <c r="AD53" s="1" t="n">
        <f aca="false">F53</f>
        <v>4.04927392329651</v>
      </c>
      <c r="AE53" s="1" t="n">
        <v>1</v>
      </c>
      <c r="AF53" s="1" t="n">
        <v>1</v>
      </c>
      <c r="AG53" s="1" t="n">
        <v>1</v>
      </c>
      <c r="AH53" s="1" t="n">
        <v>1</v>
      </c>
      <c r="AI53" s="1" t="n">
        <v>1</v>
      </c>
      <c r="AJ53" s="1" t="n">
        <v>1</v>
      </c>
      <c r="AK53" s="1" t="n">
        <v>1</v>
      </c>
      <c r="AL53" s="1" t="n">
        <v>1</v>
      </c>
      <c r="AM53" s="1" t="n">
        <v>1</v>
      </c>
      <c r="AN53" s="1" t="n">
        <f aca="false">F53</f>
        <v>4.04927392329651</v>
      </c>
      <c r="AO53" s="1" t="n">
        <f aca="false">F53</f>
        <v>4.04927392329651</v>
      </c>
      <c r="AP53" s="1" t="n">
        <f aca="false">F53</f>
        <v>4.04927392329651</v>
      </c>
      <c r="AQ53" s="1" t="n">
        <f aca="false">F53</f>
        <v>4.04927392329651</v>
      </c>
      <c r="AR53" s="1" t="n">
        <f aca="false">F53</f>
        <v>4.04927392329651</v>
      </c>
      <c r="AS53" s="1" t="n">
        <f aca="false">F53</f>
        <v>4.04927392329651</v>
      </c>
      <c r="AT53" s="1" t="n">
        <v>1</v>
      </c>
      <c r="AU53" s="1" t="n">
        <f aca="false">F53</f>
        <v>4.04927392329651</v>
      </c>
      <c r="AV53" s="1" t="n">
        <f aca="false">F53</f>
        <v>4.04927392329651</v>
      </c>
      <c r="AW53" s="1" t="n">
        <f aca="false">F53</f>
        <v>4.04927392329651</v>
      </c>
      <c r="AX53" s="1" t="n">
        <v>1</v>
      </c>
      <c r="AY53" s="1" t="n">
        <v>1</v>
      </c>
      <c r="AZ53" s="1" t="n">
        <v>1</v>
      </c>
      <c r="BA53" s="1" t="n">
        <f aca="false">F53</f>
        <v>4.04927392329651</v>
      </c>
      <c r="BB53" s="1" t="n">
        <f aca="false">F53</f>
        <v>4.04927392329651</v>
      </c>
      <c r="BC53" s="1" t="n">
        <v>1</v>
      </c>
      <c r="BD53" s="1" t="n">
        <v>1</v>
      </c>
      <c r="BE53" s="1" t="n">
        <v>1</v>
      </c>
      <c r="BF53" s="1" t="n">
        <v>1</v>
      </c>
      <c r="BG53" s="1" t="n">
        <v>1</v>
      </c>
      <c r="BH53" s="1" t="n">
        <v>1</v>
      </c>
      <c r="BI53" s="1" t="n">
        <v>1</v>
      </c>
      <c r="BJ53" s="1" t="n">
        <v>1</v>
      </c>
      <c r="BK53" s="1" t="n">
        <v>1</v>
      </c>
    </row>
    <row r="54" customFormat="false" ht="12.75" hidden="false" customHeight="false" outlineLevel="0" collapsed="false">
      <c r="A54" s="1" t="n">
        <f aca="false">A53-1</f>
        <v>1973</v>
      </c>
      <c r="B54" s="1" t="n">
        <v>1</v>
      </c>
      <c r="C54" s="1" t="n">
        <v>1</v>
      </c>
      <c r="D54" s="1" t="n">
        <v>1</v>
      </c>
      <c r="E54" s="1" t="n">
        <v>1</v>
      </c>
      <c r="F54" s="1" t="n">
        <f aca="false">F53</f>
        <v>4.04927392329651</v>
      </c>
      <c r="G54" s="1" t="n">
        <f aca="false">F54</f>
        <v>4.04927392329651</v>
      </c>
      <c r="H54" s="1" t="n">
        <f aca="false">F54</f>
        <v>4.04927392329651</v>
      </c>
      <c r="I54" s="1" t="n">
        <f aca="false">F54</f>
        <v>4.04927392329651</v>
      </c>
      <c r="J54" s="1" t="n">
        <v>1</v>
      </c>
      <c r="K54" s="1" t="n">
        <v>1</v>
      </c>
      <c r="L54" s="1" t="n">
        <v>1</v>
      </c>
      <c r="M54" s="1" t="n">
        <v>1</v>
      </c>
      <c r="N54" s="1" t="n">
        <v>1</v>
      </c>
      <c r="O54" s="1" t="n">
        <v>1</v>
      </c>
      <c r="P54" s="1" t="n">
        <v>1</v>
      </c>
      <c r="Q54" s="1" t="n">
        <f aca="false">F54</f>
        <v>4.04927392329651</v>
      </c>
      <c r="R54" s="1" t="n">
        <f aca="false">F54</f>
        <v>4.04927392329651</v>
      </c>
      <c r="S54" s="1" t="n">
        <f aca="false">F54</f>
        <v>4.04927392329651</v>
      </c>
      <c r="T54" s="1" t="n">
        <v>1</v>
      </c>
      <c r="U54" s="1" t="n">
        <v>1</v>
      </c>
      <c r="V54" s="1" t="n">
        <f aca="false">F54</f>
        <v>4.04927392329651</v>
      </c>
      <c r="W54" s="1" t="n">
        <f aca="false">F54</f>
        <v>4.04927392329651</v>
      </c>
      <c r="X54" s="1" t="n">
        <f aca="false">F54</f>
        <v>4.04927392329651</v>
      </c>
      <c r="Y54" s="1" t="n">
        <f aca="false">F54</f>
        <v>4.04927392329651</v>
      </c>
      <c r="Z54" s="1" t="n">
        <f aca="false">F54</f>
        <v>4.04927392329651</v>
      </c>
      <c r="AA54" s="1" t="n">
        <f aca="false">F54</f>
        <v>4.04927392329651</v>
      </c>
      <c r="AB54" s="1" t="n">
        <f aca="false">F54</f>
        <v>4.04927392329651</v>
      </c>
      <c r="AC54" s="1" t="n">
        <f aca="false">F54</f>
        <v>4.04927392329651</v>
      </c>
      <c r="AD54" s="1" t="n">
        <f aca="false">F54</f>
        <v>4.04927392329651</v>
      </c>
      <c r="AE54" s="1" t="n">
        <v>1</v>
      </c>
      <c r="AF54" s="1" t="n">
        <v>1</v>
      </c>
      <c r="AG54" s="1" t="n">
        <v>1</v>
      </c>
      <c r="AH54" s="1" t="n">
        <v>1</v>
      </c>
      <c r="AI54" s="1" t="n">
        <v>1</v>
      </c>
      <c r="AJ54" s="1" t="n">
        <v>1</v>
      </c>
      <c r="AK54" s="1" t="n">
        <v>1</v>
      </c>
      <c r="AL54" s="1" t="n">
        <v>1</v>
      </c>
      <c r="AM54" s="1" t="n">
        <v>1</v>
      </c>
      <c r="AN54" s="1" t="n">
        <f aca="false">F54</f>
        <v>4.04927392329651</v>
      </c>
      <c r="AO54" s="1" t="n">
        <f aca="false">F54</f>
        <v>4.04927392329651</v>
      </c>
      <c r="AP54" s="1" t="n">
        <f aca="false">F54</f>
        <v>4.04927392329651</v>
      </c>
      <c r="AQ54" s="1" t="n">
        <f aca="false">F54</f>
        <v>4.04927392329651</v>
      </c>
      <c r="AR54" s="1" t="n">
        <f aca="false">F54</f>
        <v>4.04927392329651</v>
      </c>
      <c r="AS54" s="1" t="n">
        <f aca="false">F54</f>
        <v>4.04927392329651</v>
      </c>
      <c r="AT54" s="1" t="n">
        <v>1</v>
      </c>
      <c r="AU54" s="1" t="n">
        <f aca="false">F54</f>
        <v>4.04927392329651</v>
      </c>
      <c r="AV54" s="1" t="n">
        <f aca="false">F54</f>
        <v>4.04927392329651</v>
      </c>
      <c r="AW54" s="1" t="n">
        <f aca="false">F54</f>
        <v>4.04927392329651</v>
      </c>
      <c r="AX54" s="1" t="n">
        <v>1</v>
      </c>
      <c r="AY54" s="1" t="n">
        <v>1</v>
      </c>
      <c r="AZ54" s="1" t="n">
        <v>1</v>
      </c>
      <c r="BA54" s="1" t="n">
        <f aca="false">F54</f>
        <v>4.04927392329651</v>
      </c>
      <c r="BB54" s="1" t="n">
        <f aca="false">F54</f>
        <v>4.04927392329651</v>
      </c>
      <c r="BC54" s="1" t="n">
        <v>1</v>
      </c>
      <c r="BD54" s="1" t="n">
        <v>1</v>
      </c>
      <c r="BE54" s="1" t="n">
        <v>1</v>
      </c>
      <c r="BF54" s="1" t="n">
        <v>1</v>
      </c>
      <c r="BG54" s="1" t="n">
        <v>1</v>
      </c>
      <c r="BH54" s="1" t="n">
        <v>1</v>
      </c>
      <c r="BI54" s="1" t="n">
        <v>1</v>
      </c>
      <c r="BJ54" s="1" t="n">
        <v>1</v>
      </c>
      <c r="BK54" s="1" t="n">
        <v>1</v>
      </c>
    </row>
    <row r="55" customFormat="false" ht="12.75" hidden="false" customHeight="false" outlineLevel="0" collapsed="false">
      <c r="A55" s="1" t="n">
        <f aca="false">A54-1</f>
        <v>1972</v>
      </c>
      <c r="B55" s="1" t="n">
        <v>1</v>
      </c>
      <c r="C55" s="1" t="n">
        <v>1</v>
      </c>
      <c r="D55" s="1" t="n">
        <v>1</v>
      </c>
      <c r="E55" s="1" t="n">
        <v>1</v>
      </c>
      <c r="F55" s="1" t="n">
        <f aca="false">F54</f>
        <v>4.04927392329651</v>
      </c>
      <c r="G55" s="1" t="n">
        <f aca="false">F55</f>
        <v>4.04927392329651</v>
      </c>
      <c r="H55" s="1" t="n">
        <f aca="false">F55</f>
        <v>4.04927392329651</v>
      </c>
      <c r="I55" s="1" t="n">
        <f aca="false">F55</f>
        <v>4.04927392329651</v>
      </c>
      <c r="J55" s="1" t="n">
        <v>1</v>
      </c>
      <c r="K55" s="1" t="n">
        <v>1</v>
      </c>
      <c r="L55" s="1" t="n">
        <v>1</v>
      </c>
      <c r="M55" s="1" t="n">
        <v>1</v>
      </c>
      <c r="N55" s="1" t="n">
        <v>1</v>
      </c>
      <c r="O55" s="1" t="n">
        <v>1</v>
      </c>
      <c r="P55" s="1" t="n">
        <v>1</v>
      </c>
      <c r="Q55" s="1" t="n">
        <f aca="false">F55</f>
        <v>4.04927392329651</v>
      </c>
      <c r="R55" s="1" t="n">
        <f aca="false">F55</f>
        <v>4.04927392329651</v>
      </c>
      <c r="S55" s="1" t="n">
        <f aca="false">F55</f>
        <v>4.04927392329651</v>
      </c>
      <c r="T55" s="1" t="n">
        <v>1</v>
      </c>
      <c r="U55" s="1" t="n">
        <v>1</v>
      </c>
      <c r="V55" s="1" t="n">
        <f aca="false">F55</f>
        <v>4.04927392329651</v>
      </c>
      <c r="W55" s="1" t="n">
        <f aca="false">F55</f>
        <v>4.04927392329651</v>
      </c>
      <c r="X55" s="1" t="n">
        <f aca="false">F55</f>
        <v>4.04927392329651</v>
      </c>
      <c r="Y55" s="1" t="n">
        <f aca="false">F55</f>
        <v>4.04927392329651</v>
      </c>
      <c r="Z55" s="1" t="n">
        <f aca="false">F55</f>
        <v>4.04927392329651</v>
      </c>
      <c r="AA55" s="1" t="n">
        <f aca="false">F55</f>
        <v>4.04927392329651</v>
      </c>
      <c r="AB55" s="1" t="n">
        <f aca="false">F55</f>
        <v>4.04927392329651</v>
      </c>
      <c r="AC55" s="1" t="n">
        <f aca="false">F55</f>
        <v>4.04927392329651</v>
      </c>
      <c r="AD55" s="1" t="n">
        <f aca="false">F55</f>
        <v>4.04927392329651</v>
      </c>
      <c r="AE55" s="1" t="n">
        <v>1</v>
      </c>
      <c r="AF55" s="1" t="n">
        <v>1</v>
      </c>
      <c r="AG55" s="1" t="n">
        <v>1</v>
      </c>
      <c r="AH55" s="1" t="n">
        <v>1</v>
      </c>
      <c r="AI55" s="1" t="n">
        <v>1</v>
      </c>
      <c r="AJ55" s="1" t="n">
        <v>1</v>
      </c>
      <c r="AK55" s="1" t="n">
        <v>1</v>
      </c>
      <c r="AL55" s="1" t="n">
        <v>1</v>
      </c>
      <c r="AM55" s="1" t="n">
        <v>1</v>
      </c>
      <c r="AN55" s="1" t="n">
        <f aca="false">F55</f>
        <v>4.04927392329651</v>
      </c>
      <c r="AO55" s="1" t="n">
        <f aca="false">F55</f>
        <v>4.04927392329651</v>
      </c>
      <c r="AP55" s="1" t="n">
        <f aca="false">F55</f>
        <v>4.04927392329651</v>
      </c>
      <c r="AQ55" s="1" t="n">
        <f aca="false">F55</f>
        <v>4.04927392329651</v>
      </c>
      <c r="AR55" s="1" t="n">
        <f aca="false">F55</f>
        <v>4.04927392329651</v>
      </c>
      <c r="AS55" s="1" t="n">
        <f aca="false">F55</f>
        <v>4.04927392329651</v>
      </c>
      <c r="AT55" s="1" t="n">
        <v>1</v>
      </c>
      <c r="AU55" s="1" t="n">
        <f aca="false">F55</f>
        <v>4.04927392329651</v>
      </c>
      <c r="AV55" s="1" t="n">
        <f aca="false">F55</f>
        <v>4.04927392329651</v>
      </c>
      <c r="AW55" s="1" t="n">
        <f aca="false">F55</f>
        <v>4.04927392329651</v>
      </c>
      <c r="AX55" s="1" t="n">
        <v>1</v>
      </c>
      <c r="AY55" s="1" t="n">
        <v>1</v>
      </c>
      <c r="AZ55" s="1" t="n">
        <v>1</v>
      </c>
      <c r="BA55" s="1" t="n">
        <f aca="false">F55</f>
        <v>4.04927392329651</v>
      </c>
      <c r="BB55" s="1" t="n">
        <f aca="false">F55</f>
        <v>4.04927392329651</v>
      </c>
      <c r="BC55" s="1" t="n">
        <v>1</v>
      </c>
      <c r="BD55" s="1" t="n">
        <v>1</v>
      </c>
      <c r="BE55" s="1" t="n">
        <v>1</v>
      </c>
      <c r="BF55" s="1" t="n">
        <v>1</v>
      </c>
      <c r="BG55" s="1" t="n">
        <v>1</v>
      </c>
      <c r="BH55" s="1" t="n">
        <v>1</v>
      </c>
      <c r="BI55" s="1" t="n">
        <v>1</v>
      </c>
      <c r="BJ55" s="1" t="n">
        <v>1</v>
      </c>
      <c r="BK55" s="1" t="n">
        <v>1</v>
      </c>
    </row>
    <row r="56" customFormat="false" ht="12.75" hidden="false" customHeight="false" outlineLevel="0" collapsed="false">
      <c r="A56" s="1" t="n">
        <f aca="false">A55-1</f>
        <v>1971</v>
      </c>
      <c r="B56" s="1" t="n">
        <v>1</v>
      </c>
      <c r="C56" s="1" t="n">
        <v>1</v>
      </c>
      <c r="D56" s="1" t="n">
        <v>1</v>
      </c>
      <c r="E56" s="1" t="n">
        <v>1</v>
      </c>
      <c r="F56" s="1" t="n">
        <f aca="false">F55</f>
        <v>4.04927392329651</v>
      </c>
      <c r="G56" s="1" t="n">
        <f aca="false">F56</f>
        <v>4.04927392329651</v>
      </c>
      <c r="H56" s="1" t="n">
        <f aca="false">F56</f>
        <v>4.04927392329651</v>
      </c>
      <c r="I56" s="1" t="n">
        <f aca="false">F56</f>
        <v>4.04927392329651</v>
      </c>
      <c r="J56" s="1" t="n">
        <v>1</v>
      </c>
      <c r="K56" s="1" t="n">
        <v>1</v>
      </c>
      <c r="L56" s="1" t="n">
        <v>1</v>
      </c>
      <c r="M56" s="1" t="n">
        <v>1</v>
      </c>
      <c r="N56" s="1" t="n">
        <v>1</v>
      </c>
      <c r="O56" s="1" t="n">
        <v>1</v>
      </c>
      <c r="P56" s="1" t="n">
        <v>1</v>
      </c>
      <c r="Q56" s="1" t="n">
        <f aca="false">F56</f>
        <v>4.04927392329651</v>
      </c>
      <c r="R56" s="1" t="n">
        <f aca="false">F56</f>
        <v>4.04927392329651</v>
      </c>
      <c r="S56" s="1" t="n">
        <f aca="false">F56</f>
        <v>4.04927392329651</v>
      </c>
      <c r="T56" s="1" t="n">
        <v>1</v>
      </c>
      <c r="U56" s="1" t="n">
        <v>1</v>
      </c>
      <c r="V56" s="1" t="n">
        <f aca="false">F56</f>
        <v>4.04927392329651</v>
      </c>
      <c r="W56" s="1" t="n">
        <f aca="false">F56</f>
        <v>4.04927392329651</v>
      </c>
      <c r="X56" s="1" t="n">
        <f aca="false">F56</f>
        <v>4.04927392329651</v>
      </c>
      <c r="Y56" s="1" t="n">
        <f aca="false">F56</f>
        <v>4.04927392329651</v>
      </c>
      <c r="Z56" s="1" t="n">
        <f aca="false">F56</f>
        <v>4.04927392329651</v>
      </c>
      <c r="AA56" s="1" t="n">
        <f aca="false">F56</f>
        <v>4.04927392329651</v>
      </c>
      <c r="AB56" s="1" t="n">
        <f aca="false">F56</f>
        <v>4.04927392329651</v>
      </c>
      <c r="AC56" s="1" t="n">
        <f aca="false">F56</f>
        <v>4.04927392329651</v>
      </c>
      <c r="AD56" s="1" t="n">
        <f aca="false">F56</f>
        <v>4.04927392329651</v>
      </c>
      <c r="AE56" s="1" t="n">
        <v>1</v>
      </c>
      <c r="AF56" s="1" t="n">
        <v>1</v>
      </c>
      <c r="AG56" s="1" t="n">
        <v>1</v>
      </c>
      <c r="AH56" s="1" t="n">
        <v>1</v>
      </c>
      <c r="AI56" s="1" t="n">
        <v>1</v>
      </c>
      <c r="AJ56" s="1" t="n">
        <v>1</v>
      </c>
      <c r="AK56" s="1" t="n">
        <v>1</v>
      </c>
      <c r="AL56" s="1" t="n">
        <v>1</v>
      </c>
      <c r="AM56" s="1" t="n">
        <v>1</v>
      </c>
      <c r="AN56" s="1" t="n">
        <f aca="false">F56</f>
        <v>4.04927392329651</v>
      </c>
      <c r="AO56" s="1" t="n">
        <f aca="false">F56</f>
        <v>4.04927392329651</v>
      </c>
      <c r="AP56" s="1" t="n">
        <f aca="false">F56</f>
        <v>4.04927392329651</v>
      </c>
      <c r="AQ56" s="1" t="n">
        <f aca="false">F56</f>
        <v>4.04927392329651</v>
      </c>
      <c r="AR56" s="1" t="n">
        <f aca="false">F56</f>
        <v>4.04927392329651</v>
      </c>
      <c r="AS56" s="1" t="n">
        <f aca="false">F56</f>
        <v>4.04927392329651</v>
      </c>
      <c r="AT56" s="1" t="n">
        <v>1</v>
      </c>
      <c r="AU56" s="1" t="n">
        <f aca="false">F56</f>
        <v>4.04927392329651</v>
      </c>
      <c r="AV56" s="1" t="n">
        <f aca="false">F56</f>
        <v>4.04927392329651</v>
      </c>
      <c r="AW56" s="1" t="n">
        <f aca="false">F56</f>
        <v>4.04927392329651</v>
      </c>
      <c r="AX56" s="1" t="n">
        <v>1</v>
      </c>
      <c r="AY56" s="1" t="n">
        <v>1</v>
      </c>
      <c r="AZ56" s="1" t="n">
        <v>1</v>
      </c>
      <c r="BA56" s="1" t="n">
        <f aca="false">F56</f>
        <v>4.04927392329651</v>
      </c>
      <c r="BB56" s="1" t="n">
        <f aca="false">F56</f>
        <v>4.04927392329651</v>
      </c>
      <c r="BC56" s="1" t="n">
        <v>1</v>
      </c>
      <c r="BD56" s="1" t="n">
        <v>1</v>
      </c>
      <c r="BE56" s="1" t="n">
        <v>1</v>
      </c>
      <c r="BF56" s="1" t="n">
        <v>1</v>
      </c>
      <c r="BG56" s="1" t="n">
        <v>1</v>
      </c>
      <c r="BH56" s="1" t="n">
        <v>1</v>
      </c>
      <c r="BI56" s="1" t="n">
        <v>1</v>
      </c>
      <c r="BJ56" s="1" t="n">
        <v>1</v>
      </c>
      <c r="BK56" s="1" t="n">
        <v>1</v>
      </c>
    </row>
    <row r="57" customFormat="false" ht="12.75" hidden="false" customHeight="false" outlineLevel="0" collapsed="false">
      <c r="A57" s="1" t="n">
        <f aca="false">A56-1</f>
        <v>1970</v>
      </c>
      <c r="B57" s="1" t="n">
        <v>1</v>
      </c>
      <c r="C57" s="1" t="n">
        <v>1</v>
      </c>
      <c r="D57" s="1" t="n">
        <v>1</v>
      </c>
      <c r="E57" s="1" t="n">
        <v>1</v>
      </c>
      <c r="F57" s="1" t="n">
        <f aca="false">F56</f>
        <v>4.04927392329651</v>
      </c>
      <c r="G57" s="1" t="n">
        <f aca="false">F57</f>
        <v>4.04927392329651</v>
      </c>
      <c r="H57" s="1" t="n">
        <f aca="false">F57</f>
        <v>4.04927392329651</v>
      </c>
      <c r="I57" s="1" t="n">
        <f aca="false">F57</f>
        <v>4.04927392329651</v>
      </c>
      <c r="J57" s="1" t="n">
        <v>1</v>
      </c>
      <c r="K57" s="1" t="n">
        <v>1</v>
      </c>
      <c r="L57" s="1" t="n">
        <v>1</v>
      </c>
      <c r="M57" s="1" t="n">
        <v>1</v>
      </c>
      <c r="N57" s="1" t="n">
        <v>1</v>
      </c>
      <c r="O57" s="1" t="n">
        <v>1</v>
      </c>
      <c r="P57" s="1" t="n">
        <v>1</v>
      </c>
      <c r="Q57" s="1" t="n">
        <f aca="false">F57</f>
        <v>4.04927392329651</v>
      </c>
      <c r="R57" s="1" t="n">
        <f aca="false">F57</f>
        <v>4.04927392329651</v>
      </c>
      <c r="S57" s="1" t="n">
        <f aca="false">F57</f>
        <v>4.04927392329651</v>
      </c>
      <c r="T57" s="1" t="n">
        <v>1</v>
      </c>
      <c r="U57" s="1" t="n">
        <v>1</v>
      </c>
      <c r="V57" s="1" t="n">
        <f aca="false">F57</f>
        <v>4.04927392329651</v>
      </c>
      <c r="W57" s="1" t="n">
        <f aca="false">F57</f>
        <v>4.04927392329651</v>
      </c>
      <c r="X57" s="1" t="n">
        <f aca="false">F57</f>
        <v>4.04927392329651</v>
      </c>
      <c r="Y57" s="1" t="n">
        <f aca="false">F57</f>
        <v>4.04927392329651</v>
      </c>
      <c r="Z57" s="1" t="n">
        <f aca="false">F57</f>
        <v>4.04927392329651</v>
      </c>
      <c r="AA57" s="1" t="n">
        <f aca="false">F57</f>
        <v>4.04927392329651</v>
      </c>
      <c r="AB57" s="1" t="n">
        <f aca="false">F57</f>
        <v>4.04927392329651</v>
      </c>
      <c r="AC57" s="1" t="n">
        <f aca="false">F57</f>
        <v>4.04927392329651</v>
      </c>
      <c r="AD57" s="1" t="n">
        <f aca="false">F57</f>
        <v>4.04927392329651</v>
      </c>
      <c r="AE57" s="1" t="n">
        <v>1</v>
      </c>
      <c r="AF57" s="1" t="n">
        <v>1</v>
      </c>
      <c r="AG57" s="1" t="n">
        <v>1</v>
      </c>
      <c r="AH57" s="1" t="n">
        <v>1</v>
      </c>
      <c r="AI57" s="1" t="n">
        <v>1</v>
      </c>
      <c r="AJ57" s="1" t="n">
        <v>1</v>
      </c>
      <c r="AK57" s="1" t="n">
        <v>1</v>
      </c>
      <c r="AL57" s="1" t="n">
        <v>1</v>
      </c>
      <c r="AM57" s="1" t="n">
        <v>1</v>
      </c>
      <c r="AN57" s="1" t="n">
        <f aca="false">F57</f>
        <v>4.04927392329651</v>
      </c>
      <c r="AO57" s="1" t="n">
        <f aca="false">F57</f>
        <v>4.04927392329651</v>
      </c>
      <c r="AP57" s="1" t="n">
        <f aca="false">F57</f>
        <v>4.04927392329651</v>
      </c>
      <c r="AQ57" s="1" t="n">
        <f aca="false">F57</f>
        <v>4.04927392329651</v>
      </c>
      <c r="AR57" s="1" t="n">
        <f aca="false">F57</f>
        <v>4.04927392329651</v>
      </c>
      <c r="AS57" s="1" t="n">
        <f aca="false">F57</f>
        <v>4.04927392329651</v>
      </c>
      <c r="AT57" s="1" t="n">
        <v>1</v>
      </c>
      <c r="AU57" s="1" t="n">
        <f aca="false">F57</f>
        <v>4.04927392329651</v>
      </c>
      <c r="AV57" s="1" t="n">
        <f aca="false">F57</f>
        <v>4.04927392329651</v>
      </c>
      <c r="AW57" s="1" t="n">
        <f aca="false">F57</f>
        <v>4.04927392329651</v>
      </c>
      <c r="AX57" s="1" t="n">
        <v>1</v>
      </c>
      <c r="AY57" s="1" t="n">
        <v>1</v>
      </c>
      <c r="AZ57" s="1" t="n">
        <v>1</v>
      </c>
      <c r="BA57" s="1" t="n">
        <f aca="false">F57</f>
        <v>4.04927392329651</v>
      </c>
      <c r="BB57" s="1" t="n">
        <f aca="false">F57</f>
        <v>4.04927392329651</v>
      </c>
      <c r="BC57" s="1" t="n">
        <v>1</v>
      </c>
      <c r="BD57" s="1" t="n">
        <v>1</v>
      </c>
      <c r="BE57" s="1" t="n">
        <v>1</v>
      </c>
      <c r="BF57" s="1" t="n">
        <v>1</v>
      </c>
      <c r="BG57" s="1" t="n">
        <v>1</v>
      </c>
      <c r="BH57" s="1" t="n">
        <v>1</v>
      </c>
      <c r="BI57" s="1" t="n">
        <v>1</v>
      </c>
      <c r="BJ57" s="1" t="n">
        <v>1</v>
      </c>
      <c r="BK57" s="1" t="n">
        <v>1</v>
      </c>
    </row>
    <row r="58" customFormat="false" ht="12.75" hidden="false" customHeight="false" outlineLevel="0" collapsed="false">
      <c r="A58" s="1" t="n">
        <f aca="false">A57-1</f>
        <v>1969</v>
      </c>
      <c r="B58" s="1" t="n">
        <v>1</v>
      </c>
      <c r="C58" s="1" t="n">
        <v>1</v>
      </c>
      <c r="D58" s="1" t="n">
        <v>1</v>
      </c>
      <c r="E58" s="1" t="n">
        <v>1</v>
      </c>
      <c r="F58" s="1" t="n">
        <f aca="false">F57</f>
        <v>4.04927392329651</v>
      </c>
      <c r="G58" s="1" t="n">
        <f aca="false">F58</f>
        <v>4.04927392329651</v>
      </c>
      <c r="H58" s="1" t="n">
        <f aca="false">F58</f>
        <v>4.04927392329651</v>
      </c>
      <c r="I58" s="1" t="n">
        <f aca="false">F58</f>
        <v>4.04927392329651</v>
      </c>
      <c r="J58" s="1" t="n">
        <v>1</v>
      </c>
      <c r="K58" s="1" t="n">
        <v>1</v>
      </c>
      <c r="L58" s="1" t="n">
        <v>1</v>
      </c>
      <c r="M58" s="1" t="n">
        <v>1</v>
      </c>
      <c r="N58" s="1" t="n">
        <v>1</v>
      </c>
      <c r="O58" s="1" t="n">
        <v>1</v>
      </c>
      <c r="P58" s="1" t="n">
        <v>1</v>
      </c>
      <c r="Q58" s="1" t="n">
        <f aca="false">F58</f>
        <v>4.04927392329651</v>
      </c>
      <c r="R58" s="1" t="n">
        <f aca="false">F58</f>
        <v>4.04927392329651</v>
      </c>
      <c r="S58" s="1" t="n">
        <f aca="false">F58</f>
        <v>4.04927392329651</v>
      </c>
      <c r="T58" s="1" t="n">
        <v>1</v>
      </c>
      <c r="U58" s="1" t="n">
        <v>1</v>
      </c>
      <c r="V58" s="1" t="n">
        <f aca="false">F58</f>
        <v>4.04927392329651</v>
      </c>
      <c r="W58" s="1" t="n">
        <f aca="false">F58</f>
        <v>4.04927392329651</v>
      </c>
      <c r="X58" s="1" t="n">
        <f aca="false">F58</f>
        <v>4.04927392329651</v>
      </c>
      <c r="Y58" s="1" t="n">
        <f aca="false">F58</f>
        <v>4.04927392329651</v>
      </c>
      <c r="Z58" s="1" t="n">
        <f aca="false">F58</f>
        <v>4.04927392329651</v>
      </c>
      <c r="AA58" s="1" t="n">
        <f aca="false">F58</f>
        <v>4.04927392329651</v>
      </c>
      <c r="AB58" s="1" t="n">
        <f aca="false">F58</f>
        <v>4.04927392329651</v>
      </c>
      <c r="AC58" s="1" t="n">
        <f aca="false">F58</f>
        <v>4.04927392329651</v>
      </c>
      <c r="AD58" s="1" t="n">
        <f aca="false">F58</f>
        <v>4.04927392329651</v>
      </c>
      <c r="AE58" s="1" t="n">
        <v>1</v>
      </c>
      <c r="AF58" s="1" t="n">
        <v>1</v>
      </c>
      <c r="AG58" s="1" t="n">
        <v>1</v>
      </c>
      <c r="AH58" s="1" t="n">
        <v>1</v>
      </c>
      <c r="AI58" s="1" t="n">
        <v>1</v>
      </c>
      <c r="AJ58" s="1" t="n">
        <v>1</v>
      </c>
      <c r="AK58" s="1" t="n">
        <v>1</v>
      </c>
      <c r="AL58" s="1" t="n">
        <v>1</v>
      </c>
      <c r="AM58" s="1" t="n">
        <v>1</v>
      </c>
      <c r="AN58" s="1" t="n">
        <f aca="false">F58</f>
        <v>4.04927392329651</v>
      </c>
      <c r="AO58" s="1" t="n">
        <f aca="false">F58</f>
        <v>4.04927392329651</v>
      </c>
      <c r="AP58" s="1" t="n">
        <f aca="false">F58</f>
        <v>4.04927392329651</v>
      </c>
      <c r="AQ58" s="1" t="n">
        <f aca="false">F58</f>
        <v>4.04927392329651</v>
      </c>
      <c r="AR58" s="1" t="n">
        <f aca="false">F58</f>
        <v>4.04927392329651</v>
      </c>
      <c r="AS58" s="1" t="n">
        <f aca="false">F58</f>
        <v>4.04927392329651</v>
      </c>
      <c r="AT58" s="1" t="n">
        <v>1</v>
      </c>
      <c r="AU58" s="1" t="n">
        <f aca="false">F58</f>
        <v>4.04927392329651</v>
      </c>
      <c r="AV58" s="1" t="n">
        <f aca="false">F58</f>
        <v>4.04927392329651</v>
      </c>
      <c r="AW58" s="1" t="n">
        <f aca="false">F58</f>
        <v>4.04927392329651</v>
      </c>
      <c r="AX58" s="1" t="n">
        <v>1</v>
      </c>
      <c r="AY58" s="1" t="n">
        <v>1</v>
      </c>
      <c r="AZ58" s="1" t="n">
        <v>1</v>
      </c>
      <c r="BA58" s="1" t="n">
        <f aca="false">F58</f>
        <v>4.04927392329651</v>
      </c>
      <c r="BB58" s="1" t="n">
        <f aca="false">F58</f>
        <v>4.04927392329651</v>
      </c>
      <c r="BC58" s="1" t="n">
        <v>1</v>
      </c>
      <c r="BD58" s="1" t="n">
        <v>1</v>
      </c>
      <c r="BE58" s="1" t="n">
        <v>1</v>
      </c>
      <c r="BF58" s="1" t="n">
        <v>1</v>
      </c>
      <c r="BG58" s="1" t="n">
        <v>1</v>
      </c>
      <c r="BH58" s="1" t="n">
        <v>1</v>
      </c>
      <c r="BI58" s="1" t="n">
        <v>1</v>
      </c>
      <c r="BJ58" s="1" t="n">
        <v>1</v>
      </c>
      <c r="BK58" s="1" t="n">
        <v>1</v>
      </c>
    </row>
    <row r="59" customFormat="false" ht="12.75" hidden="false" customHeight="false" outlineLevel="0" collapsed="false">
      <c r="A59" s="1" t="n">
        <f aca="false">A58-1</f>
        <v>1968</v>
      </c>
      <c r="B59" s="1" t="n">
        <v>1</v>
      </c>
      <c r="C59" s="1" t="n">
        <v>1</v>
      </c>
      <c r="D59" s="1" t="n">
        <v>1</v>
      </c>
      <c r="E59" s="1" t="n">
        <v>1</v>
      </c>
      <c r="F59" s="1" t="n">
        <f aca="false">F58</f>
        <v>4.04927392329651</v>
      </c>
      <c r="G59" s="1" t="n">
        <f aca="false">F59</f>
        <v>4.04927392329651</v>
      </c>
      <c r="H59" s="1" t="n">
        <f aca="false">F59</f>
        <v>4.04927392329651</v>
      </c>
      <c r="I59" s="1" t="n">
        <f aca="false">F59</f>
        <v>4.04927392329651</v>
      </c>
      <c r="J59" s="1" t="n">
        <v>1</v>
      </c>
      <c r="K59" s="1" t="n">
        <v>1</v>
      </c>
      <c r="L59" s="1" t="n">
        <v>1</v>
      </c>
      <c r="M59" s="1" t="n">
        <v>1</v>
      </c>
      <c r="N59" s="1" t="n">
        <v>1</v>
      </c>
      <c r="O59" s="1" t="n">
        <v>1</v>
      </c>
      <c r="P59" s="1" t="n">
        <v>1</v>
      </c>
      <c r="Q59" s="1" t="n">
        <f aca="false">F59</f>
        <v>4.04927392329651</v>
      </c>
      <c r="R59" s="1" t="n">
        <f aca="false">F59</f>
        <v>4.04927392329651</v>
      </c>
      <c r="S59" s="1" t="n">
        <f aca="false">F59</f>
        <v>4.04927392329651</v>
      </c>
      <c r="T59" s="1" t="n">
        <v>1</v>
      </c>
      <c r="U59" s="1" t="n">
        <v>1</v>
      </c>
      <c r="V59" s="1" t="n">
        <f aca="false">F59</f>
        <v>4.04927392329651</v>
      </c>
      <c r="W59" s="1" t="n">
        <f aca="false">F59</f>
        <v>4.04927392329651</v>
      </c>
      <c r="X59" s="1" t="n">
        <f aca="false">F59</f>
        <v>4.04927392329651</v>
      </c>
      <c r="Y59" s="1" t="n">
        <f aca="false">F59</f>
        <v>4.04927392329651</v>
      </c>
      <c r="Z59" s="1" t="n">
        <f aca="false">F59</f>
        <v>4.04927392329651</v>
      </c>
      <c r="AA59" s="1" t="n">
        <f aca="false">F59</f>
        <v>4.04927392329651</v>
      </c>
      <c r="AB59" s="1" t="n">
        <f aca="false">F59</f>
        <v>4.04927392329651</v>
      </c>
      <c r="AC59" s="1" t="n">
        <f aca="false">F59</f>
        <v>4.04927392329651</v>
      </c>
      <c r="AD59" s="1" t="n">
        <f aca="false">F59</f>
        <v>4.04927392329651</v>
      </c>
      <c r="AE59" s="1" t="n">
        <v>1</v>
      </c>
      <c r="AF59" s="1" t="n">
        <v>1</v>
      </c>
      <c r="AG59" s="1" t="n">
        <v>1</v>
      </c>
      <c r="AH59" s="1" t="n">
        <v>1</v>
      </c>
      <c r="AI59" s="1" t="n">
        <v>1</v>
      </c>
      <c r="AJ59" s="1" t="n">
        <v>1</v>
      </c>
      <c r="AK59" s="1" t="n">
        <v>1</v>
      </c>
      <c r="AL59" s="1" t="n">
        <v>1</v>
      </c>
      <c r="AM59" s="1" t="n">
        <v>1</v>
      </c>
      <c r="AN59" s="1" t="n">
        <f aca="false">F59</f>
        <v>4.04927392329651</v>
      </c>
      <c r="AO59" s="1" t="n">
        <f aca="false">F59</f>
        <v>4.04927392329651</v>
      </c>
      <c r="AP59" s="1" t="n">
        <f aca="false">F59</f>
        <v>4.04927392329651</v>
      </c>
      <c r="AQ59" s="1" t="n">
        <f aca="false">F59</f>
        <v>4.04927392329651</v>
      </c>
      <c r="AR59" s="1" t="n">
        <f aca="false">F59</f>
        <v>4.04927392329651</v>
      </c>
      <c r="AS59" s="1" t="n">
        <f aca="false">F59</f>
        <v>4.04927392329651</v>
      </c>
      <c r="AT59" s="1" t="n">
        <v>1</v>
      </c>
      <c r="AU59" s="1" t="n">
        <f aca="false">F59</f>
        <v>4.04927392329651</v>
      </c>
      <c r="AV59" s="1" t="n">
        <f aca="false">F59</f>
        <v>4.04927392329651</v>
      </c>
      <c r="AW59" s="1" t="n">
        <f aca="false">F59</f>
        <v>4.04927392329651</v>
      </c>
      <c r="AX59" s="1" t="n">
        <v>1</v>
      </c>
      <c r="AY59" s="1" t="n">
        <v>1</v>
      </c>
      <c r="AZ59" s="1" t="n">
        <v>1</v>
      </c>
      <c r="BA59" s="1" t="n">
        <f aca="false">F59</f>
        <v>4.04927392329651</v>
      </c>
      <c r="BB59" s="1" t="n">
        <f aca="false">F59</f>
        <v>4.04927392329651</v>
      </c>
      <c r="BC59" s="1" t="n">
        <v>1</v>
      </c>
      <c r="BD59" s="1" t="n">
        <v>1</v>
      </c>
      <c r="BE59" s="1" t="n">
        <v>1</v>
      </c>
      <c r="BF59" s="1" t="n">
        <v>1</v>
      </c>
      <c r="BG59" s="1" t="n">
        <v>1</v>
      </c>
      <c r="BH59" s="1" t="n">
        <v>1</v>
      </c>
      <c r="BI59" s="1" t="n">
        <v>1</v>
      </c>
      <c r="BJ59" s="1" t="n">
        <v>1</v>
      </c>
      <c r="BK59" s="1" t="n">
        <v>1</v>
      </c>
    </row>
    <row r="60" customFormat="false" ht="12.75" hidden="false" customHeight="false" outlineLevel="0" collapsed="false">
      <c r="A60" s="1" t="n">
        <f aca="false">A59-1</f>
        <v>1967</v>
      </c>
      <c r="B60" s="1" t="n">
        <v>1</v>
      </c>
      <c r="C60" s="1" t="n">
        <v>1</v>
      </c>
      <c r="D60" s="1" t="n">
        <v>1</v>
      </c>
      <c r="E60" s="1" t="n">
        <v>1</v>
      </c>
      <c r="F60" s="1" t="n">
        <f aca="false">F59</f>
        <v>4.04927392329651</v>
      </c>
      <c r="G60" s="1" t="n">
        <f aca="false">F60</f>
        <v>4.04927392329651</v>
      </c>
      <c r="H60" s="1" t="n">
        <f aca="false">F60</f>
        <v>4.04927392329651</v>
      </c>
      <c r="I60" s="1" t="n">
        <f aca="false">F60</f>
        <v>4.04927392329651</v>
      </c>
      <c r="J60" s="1" t="n">
        <v>1</v>
      </c>
      <c r="K60" s="1" t="n">
        <v>1</v>
      </c>
      <c r="L60" s="1" t="n">
        <v>1</v>
      </c>
      <c r="M60" s="1" t="n">
        <v>1</v>
      </c>
      <c r="N60" s="1" t="n">
        <v>1</v>
      </c>
      <c r="O60" s="1" t="n">
        <v>1</v>
      </c>
      <c r="P60" s="1" t="n">
        <v>1</v>
      </c>
      <c r="Q60" s="1" t="n">
        <f aca="false">F60</f>
        <v>4.04927392329651</v>
      </c>
      <c r="R60" s="1" t="n">
        <f aca="false">F60</f>
        <v>4.04927392329651</v>
      </c>
      <c r="S60" s="1" t="n">
        <f aca="false">F60</f>
        <v>4.04927392329651</v>
      </c>
      <c r="T60" s="1" t="n">
        <v>1</v>
      </c>
      <c r="U60" s="1" t="n">
        <v>1</v>
      </c>
      <c r="V60" s="1" t="n">
        <f aca="false">F60</f>
        <v>4.04927392329651</v>
      </c>
      <c r="W60" s="1" t="n">
        <f aca="false">F60</f>
        <v>4.04927392329651</v>
      </c>
      <c r="X60" s="1" t="n">
        <f aca="false">F60</f>
        <v>4.04927392329651</v>
      </c>
      <c r="Y60" s="1" t="n">
        <f aca="false">F60</f>
        <v>4.04927392329651</v>
      </c>
      <c r="Z60" s="1" t="n">
        <f aca="false">F60</f>
        <v>4.04927392329651</v>
      </c>
      <c r="AA60" s="1" t="n">
        <f aca="false">F60</f>
        <v>4.04927392329651</v>
      </c>
      <c r="AB60" s="1" t="n">
        <f aca="false">F60</f>
        <v>4.04927392329651</v>
      </c>
      <c r="AC60" s="1" t="n">
        <f aca="false">F60</f>
        <v>4.04927392329651</v>
      </c>
      <c r="AD60" s="1" t="n">
        <f aca="false">F60</f>
        <v>4.04927392329651</v>
      </c>
      <c r="AE60" s="1" t="n">
        <v>1</v>
      </c>
      <c r="AF60" s="1" t="n">
        <v>1</v>
      </c>
      <c r="AG60" s="1" t="n">
        <v>1</v>
      </c>
      <c r="AH60" s="1" t="n">
        <v>1</v>
      </c>
      <c r="AI60" s="1" t="n">
        <v>1</v>
      </c>
      <c r="AJ60" s="1" t="n">
        <v>1</v>
      </c>
      <c r="AK60" s="1" t="n">
        <v>1</v>
      </c>
      <c r="AL60" s="1" t="n">
        <v>1</v>
      </c>
      <c r="AM60" s="1" t="n">
        <v>1</v>
      </c>
      <c r="AN60" s="1" t="n">
        <f aca="false">F60</f>
        <v>4.04927392329651</v>
      </c>
      <c r="AO60" s="1" t="n">
        <f aca="false">F60</f>
        <v>4.04927392329651</v>
      </c>
      <c r="AP60" s="1" t="n">
        <f aca="false">F60</f>
        <v>4.04927392329651</v>
      </c>
      <c r="AQ60" s="1" t="n">
        <f aca="false">F60</f>
        <v>4.04927392329651</v>
      </c>
      <c r="AR60" s="1" t="n">
        <f aca="false">F60</f>
        <v>4.04927392329651</v>
      </c>
      <c r="AS60" s="1" t="n">
        <f aca="false">F60</f>
        <v>4.04927392329651</v>
      </c>
      <c r="AT60" s="1" t="n">
        <v>1</v>
      </c>
      <c r="AU60" s="1" t="n">
        <f aca="false">F60</f>
        <v>4.04927392329651</v>
      </c>
      <c r="AV60" s="1" t="n">
        <f aca="false">F60</f>
        <v>4.04927392329651</v>
      </c>
      <c r="AW60" s="1" t="n">
        <f aca="false">F60</f>
        <v>4.04927392329651</v>
      </c>
      <c r="AX60" s="1" t="n">
        <v>1</v>
      </c>
      <c r="AY60" s="1" t="n">
        <v>1</v>
      </c>
      <c r="AZ60" s="1" t="n">
        <v>1</v>
      </c>
      <c r="BA60" s="1" t="n">
        <f aca="false">F60</f>
        <v>4.04927392329651</v>
      </c>
      <c r="BB60" s="1" t="n">
        <f aca="false">F60</f>
        <v>4.04927392329651</v>
      </c>
      <c r="BC60" s="1" t="n">
        <v>1</v>
      </c>
      <c r="BD60" s="1" t="n">
        <v>1</v>
      </c>
      <c r="BE60" s="1" t="n">
        <v>1</v>
      </c>
      <c r="BF60" s="1" t="n">
        <v>1</v>
      </c>
      <c r="BG60" s="1" t="n">
        <v>1</v>
      </c>
      <c r="BH60" s="1" t="n">
        <v>1</v>
      </c>
      <c r="BI60" s="1" t="n">
        <v>1</v>
      </c>
      <c r="BJ60" s="1" t="n">
        <v>1</v>
      </c>
      <c r="BK60" s="1" t="n">
        <v>1</v>
      </c>
    </row>
    <row r="61" customFormat="false" ht="12.75" hidden="false" customHeight="false" outlineLevel="0" collapsed="false">
      <c r="A61" s="1" t="n">
        <f aca="false">A60-1</f>
        <v>1966</v>
      </c>
      <c r="B61" s="1" t="n">
        <v>1</v>
      </c>
      <c r="C61" s="1" t="n">
        <v>1</v>
      </c>
      <c r="D61" s="1" t="n">
        <v>1</v>
      </c>
      <c r="E61" s="1" t="n">
        <v>1</v>
      </c>
      <c r="F61" s="1" t="n">
        <f aca="false">F60</f>
        <v>4.04927392329651</v>
      </c>
      <c r="G61" s="1" t="n">
        <f aca="false">F61</f>
        <v>4.04927392329651</v>
      </c>
      <c r="H61" s="1" t="n">
        <f aca="false">F61</f>
        <v>4.04927392329651</v>
      </c>
      <c r="I61" s="1" t="n">
        <f aca="false">F61</f>
        <v>4.04927392329651</v>
      </c>
      <c r="J61" s="1" t="n">
        <v>1</v>
      </c>
      <c r="K61" s="1" t="n">
        <v>1</v>
      </c>
      <c r="L61" s="1" t="n">
        <v>1</v>
      </c>
      <c r="M61" s="1" t="n">
        <v>1</v>
      </c>
      <c r="N61" s="1" t="n">
        <v>1</v>
      </c>
      <c r="O61" s="1" t="n">
        <v>1</v>
      </c>
      <c r="P61" s="1" t="n">
        <v>1</v>
      </c>
      <c r="Q61" s="1" t="n">
        <f aca="false">F61</f>
        <v>4.04927392329651</v>
      </c>
      <c r="R61" s="1" t="n">
        <f aca="false">F61</f>
        <v>4.04927392329651</v>
      </c>
      <c r="S61" s="1" t="n">
        <f aca="false">F61</f>
        <v>4.04927392329651</v>
      </c>
      <c r="T61" s="1" t="n">
        <v>1</v>
      </c>
      <c r="U61" s="1" t="n">
        <v>1</v>
      </c>
      <c r="V61" s="1" t="n">
        <f aca="false">F61</f>
        <v>4.04927392329651</v>
      </c>
      <c r="W61" s="1" t="n">
        <f aca="false">F61</f>
        <v>4.04927392329651</v>
      </c>
      <c r="X61" s="1" t="n">
        <f aca="false">F61</f>
        <v>4.04927392329651</v>
      </c>
      <c r="Y61" s="1" t="n">
        <f aca="false">F61</f>
        <v>4.04927392329651</v>
      </c>
      <c r="Z61" s="1" t="n">
        <f aca="false">F61</f>
        <v>4.04927392329651</v>
      </c>
      <c r="AA61" s="1" t="n">
        <f aca="false">F61</f>
        <v>4.04927392329651</v>
      </c>
      <c r="AB61" s="1" t="n">
        <f aca="false">F61</f>
        <v>4.04927392329651</v>
      </c>
      <c r="AC61" s="1" t="n">
        <f aca="false">F61</f>
        <v>4.04927392329651</v>
      </c>
      <c r="AD61" s="1" t="n">
        <f aca="false">F61</f>
        <v>4.04927392329651</v>
      </c>
      <c r="AE61" s="1" t="n">
        <v>1</v>
      </c>
      <c r="AF61" s="1" t="n">
        <v>1</v>
      </c>
      <c r="AG61" s="1" t="n">
        <v>1</v>
      </c>
      <c r="AH61" s="1" t="n">
        <v>1</v>
      </c>
      <c r="AI61" s="1" t="n">
        <v>1</v>
      </c>
      <c r="AJ61" s="1" t="n">
        <v>1</v>
      </c>
      <c r="AK61" s="1" t="n">
        <v>1</v>
      </c>
      <c r="AL61" s="1" t="n">
        <v>1</v>
      </c>
      <c r="AM61" s="1" t="n">
        <v>1</v>
      </c>
      <c r="AN61" s="1" t="n">
        <f aca="false">F61</f>
        <v>4.04927392329651</v>
      </c>
      <c r="AO61" s="1" t="n">
        <f aca="false">F61</f>
        <v>4.04927392329651</v>
      </c>
      <c r="AP61" s="1" t="n">
        <f aca="false">F61</f>
        <v>4.04927392329651</v>
      </c>
      <c r="AQ61" s="1" t="n">
        <f aca="false">F61</f>
        <v>4.04927392329651</v>
      </c>
      <c r="AR61" s="1" t="n">
        <f aca="false">F61</f>
        <v>4.04927392329651</v>
      </c>
      <c r="AS61" s="1" t="n">
        <f aca="false">F61</f>
        <v>4.04927392329651</v>
      </c>
      <c r="AT61" s="1" t="n">
        <v>1</v>
      </c>
      <c r="AU61" s="1" t="n">
        <f aca="false">F61</f>
        <v>4.04927392329651</v>
      </c>
      <c r="AV61" s="1" t="n">
        <f aca="false">F61</f>
        <v>4.04927392329651</v>
      </c>
      <c r="AW61" s="1" t="n">
        <f aca="false">F61</f>
        <v>4.04927392329651</v>
      </c>
      <c r="AX61" s="1" t="n">
        <v>1</v>
      </c>
      <c r="AY61" s="1" t="n">
        <v>1</v>
      </c>
      <c r="AZ61" s="1" t="n">
        <v>1</v>
      </c>
      <c r="BA61" s="1" t="n">
        <f aca="false">F61</f>
        <v>4.04927392329651</v>
      </c>
      <c r="BB61" s="1" t="n">
        <f aca="false">F61</f>
        <v>4.04927392329651</v>
      </c>
      <c r="BC61" s="1" t="n">
        <v>1</v>
      </c>
      <c r="BD61" s="1" t="n">
        <v>1</v>
      </c>
      <c r="BE61" s="1" t="n">
        <v>1</v>
      </c>
      <c r="BF61" s="1" t="n">
        <v>1</v>
      </c>
      <c r="BG61" s="1" t="n">
        <v>1</v>
      </c>
      <c r="BH61" s="1" t="n">
        <v>1</v>
      </c>
      <c r="BI61" s="1" t="n">
        <v>1</v>
      </c>
      <c r="BJ61" s="1" t="n">
        <v>1</v>
      </c>
      <c r="BK61" s="1" t="n">
        <v>1</v>
      </c>
    </row>
    <row r="62" customFormat="false" ht="12.75" hidden="false" customHeight="false" outlineLevel="0" collapsed="false">
      <c r="A62" s="1" t="n">
        <f aca="false">A61-1</f>
        <v>1965</v>
      </c>
      <c r="B62" s="1" t="n">
        <v>1</v>
      </c>
      <c r="C62" s="1" t="n">
        <v>1</v>
      </c>
      <c r="D62" s="1" t="n">
        <v>1</v>
      </c>
      <c r="E62" s="1" t="n">
        <v>1</v>
      </c>
      <c r="F62" s="1" t="n">
        <f aca="false">F61</f>
        <v>4.04927392329651</v>
      </c>
      <c r="G62" s="1" t="n">
        <f aca="false">F62</f>
        <v>4.04927392329651</v>
      </c>
      <c r="H62" s="1" t="n">
        <f aca="false">F62</f>
        <v>4.04927392329651</v>
      </c>
      <c r="I62" s="1" t="n">
        <f aca="false">F62</f>
        <v>4.04927392329651</v>
      </c>
      <c r="J62" s="1" t="n">
        <v>1</v>
      </c>
      <c r="K62" s="1" t="n">
        <v>1</v>
      </c>
      <c r="L62" s="1" t="n">
        <v>1</v>
      </c>
      <c r="M62" s="1" t="n">
        <v>1</v>
      </c>
      <c r="N62" s="1" t="n">
        <v>1</v>
      </c>
      <c r="O62" s="1" t="n">
        <v>1</v>
      </c>
      <c r="P62" s="1" t="n">
        <v>1</v>
      </c>
      <c r="Q62" s="1" t="n">
        <f aca="false">F62</f>
        <v>4.04927392329651</v>
      </c>
      <c r="R62" s="1" t="n">
        <f aca="false">F62</f>
        <v>4.04927392329651</v>
      </c>
      <c r="S62" s="1" t="n">
        <f aca="false">F62</f>
        <v>4.04927392329651</v>
      </c>
      <c r="T62" s="1" t="n">
        <v>1</v>
      </c>
      <c r="U62" s="1" t="n">
        <v>1</v>
      </c>
      <c r="V62" s="1" t="n">
        <f aca="false">F62</f>
        <v>4.04927392329651</v>
      </c>
      <c r="W62" s="1" t="n">
        <f aca="false">F62</f>
        <v>4.04927392329651</v>
      </c>
      <c r="X62" s="1" t="n">
        <f aca="false">F62</f>
        <v>4.04927392329651</v>
      </c>
      <c r="Y62" s="1" t="n">
        <f aca="false">F62</f>
        <v>4.04927392329651</v>
      </c>
      <c r="Z62" s="1" t="n">
        <f aca="false">F62</f>
        <v>4.04927392329651</v>
      </c>
      <c r="AA62" s="1" t="n">
        <f aca="false">F62</f>
        <v>4.04927392329651</v>
      </c>
      <c r="AB62" s="1" t="n">
        <f aca="false">F62</f>
        <v>4.04927392329651</v>
      </c>
      <c r="AC62" s="1" t="n">
        <f aca="false">F62</f>
        <v>4.04927392329651</v>
      </c>
      <c r="AD62" s="1" t="n">
        <f aca="false">F62</f>
        <v>4.04927392329651</v>
      </c>
      <c r="AE62" s="1" t="n">
        <v>1</v>
      </c>
      <c r="AF62" s="1" t="n">
        <v>1</v>
      </c>
      <c r="AG62" s="1" t="n">
        <v>1</v>
      </c>
      <c r="AH62" s="1" t="n">
        <v>1</v>
      </c>
      <c r="AI62" s="1" t="n">
        <v>1</v>
      </c>
      <c r="AJ62" s="1" t="n">
        <v>1</v>
      </c>
      <c r="AK62" s="1" t="n">
        <v>1</v>
      </c>
      <c r="AL62" s="1" t="n">
        <v>1</v>
      </c>
      <c r="AM62" s="1" t="n">
        <v>1</v>
      </c>
      <c r="AN62" s="1" t="n">
        <f aca="false">F62</f>
        <v>4.04927392329651</v>
      </c>
      <c r="AO62" s="1" t="n">
        <f aca="false">F62</f>
        <v>4.04927392329651</v>
      </c>
      <c r="AP62" s="1" t="n">
        <f aca="false">F62</f>
        <v>4.04927392329651</v>
      </c>
      <c r="AQ62" s="1" t="n">
        <f aca="false">F62</f>
        <v>4.04927392329651</v>
      </c>
      <c r="AR62" s="1" t="n">
        <f aca="false">F62</f>
        <v>4.04927392329651</v>
      </c>
      <c r="AS62" s="1" t="n">
        <f aca="false">F62</f>
        <v>4.04927392329651</v>
      </c>
      <c r="AT62" s="1" t="n">
        <v>1</v>
      </c>
      <c r="AU62" s="1" t="n">
        <f aca="false">F62</f>
        <v>4.04927392329651</v>
      </c>
      <c r="AV62" s="1" t="n">
        <f aca="false">F62</f>
        <v>4.04927392329651</v>
      </c>
      <c r="AW62" s="1" t="n">
        <f aca="false">F62</f>
        <v>4.04927392329651</v>
      </c>
      <c r="AX62" s="1" t="n">
        <v>1</v>
      </c>
      <c r="AY62" s="1" t="n">
        <v>1</v>
      </c>
      <c r="AZ62" s="1" t="n">
        <v>1</v>
      </c>
      <c r="BA62" s="1" t="n">
        <f aca="false">F62</f>
        <v>4.04927392329651</v>
      </c>
      <c r="BB62" s="1" t="n">
        <f aca="false">F62</f>
        <v>4.04927392329651</v>
      </c>
      <c r="BC62" s="1" t="n">
        <v>1</v>
      </c>
      <c r="BD62" s="1" t="n">
        <v>1</v>
      </c>
      <c r="BE62" s="1" t="n">
        <v>1</v>
      </c>
      <c r="BF62" s="1" t="n">
        <v>1</v>
      </c>
      <c r="BG62" s="1" t="n">
        <v>1</v>
      </c>
      <c r="BH62" s="1" t="n">
        <v>1</v>
      </c>
      <c r="BI62" s="1" t="n">
        <v>1</v>
      </c>
      <c r="BJ62" s="1" t="n">
        <v>1</v>
      </c>
      <c r="BK62" s="1" t="n">
        <v>1</v>
      </c>
    </row>
    <row r="63" customFormat="false" ht="12.75" hidden="false" customHeight="false" outlineLevel="0" collapsed="false">
      <c r="A63" s="1" t="n">
        <f aca="false">A62-1</f>
        <v>1964</v>
      </c>
      <c r="B63" s="1" t="n">
        <v>1</v>
      </c>
      <c r="C63" s="1" t="n">
        <v>1</v>
      </c>
      <c r="D63" s="1" t="n">
        <v>1</v>
      </c>
      <c r="E63" s="1" t="n">
        <v>1</v>
      </c>
      <c r="F63" s="1" t="n">
        <f aca="false">F62</f>
        <v>4.04927392329651</v>
      </c>
      <c r="G63" s="1" t="n">
        <f aca="false">F63</f>
        <v>4.04927392329651</v>
      </c>
      <c r="H63" s="1" t="n">
        <f aca="false">F63</f>
        <v>4.04927392329651</v>
      </c>
      <c r="I63" s="1" t="n">
        <f aca="false">F63</f>
        <v>4.04927392329651</v>
      </c>
      <c r="J63" s="1" t="n">
        <v>1</v>
      </c>
      <c r="K63" s="1" t="n">
        <v>1</v>
      </c>
      <c r="L63" s="1" t="n">
        <v>1</v>
      </c>
      <c r="M63" s="1" t="n">
        <v>1</v>
      </c>
      <c r="N63" s="1" t="n">
        <v>1</v>
      </c>
      <c r="O63" s="1" t="n">
        <v>1</v>
      </c>
      <c r="P63" s="1" t="n">
        <v>1</v>
      </c>
      <c r="Q63" s="1" t="n">
        <f aca="false">F63</f>
        <v>4.04927392329651</v>
      </c>
      <c r="R63" s="1" t="n">
        <f aca="false">F63</f>
        <v>4.04927392329651</v>
      </c>
      <c r="S63" s="1" t="n">
        <f aca="false">F63</f>
        <v>4.04927392329651</v>
      </c>
      <c r="T63" s="1" t="n">
        <v>1</v>
      </c>
      <c r="U63" s="1" t="n">
        <v>1</v>
      </c>
      <c r="V63" s="1" t="n">
        <f aca="false">F63</f>
        <v>4.04927392329651</v>
      </c>
      <c r="W63" s="1" t="n">
        <f aca="false">F63</f>
        <v>4.04927392329651</v>
      </c>
      <c r="X63" s="1" t="n">
        <f aca="false">F63</f>
        <v>4.04927392329651</v>
      </c>
      <c r="Y63" s="1" t="n">
        <f aca="false">F63</f>
        <v>4.04927392329651</v>
      </c>
      <c r="Z63" s="1" t="n">
        <f aca="false">F63</f>
        <v>4.04927392329651</v>
      </c>
      <c r="AA63" s="1" t="n">
        <f aca="false">F63</f>
        <v>4.04927392329651</v>
      </c>
      <c r="AB63" s="1" t="n">
        <f aca="false">F63</f>
        <v>4.04927392329651</v>
      </c>
      <c r="AC63" s="1" t="n">
        <f aca="false">F63</f>
        <v>4.04927392329651</v>
      </c>
      <c r="AD63" s="1" t="n">
        <f aca="false">F63</f>
        <v>4.04927392329651</v>
      </c>
      <c r="AE63" s="1" t="n">
        <v>1</v>
      </c>
      <c r="AF63" s="1" t="n">
        <v>1</v>
      </c>
      <c r="AG63" s="1" t="n">
        <v>1</v>
      </c>
      <c r="AH63" s="1" t="n">
        <v>1</v>
      </c>
      <c r="AI63" s="1" t="n">
        <v>1</v>
      </c>
      <c r="AJ63" s="1" t="n">
        <v>1</v>
      </c>
      <c r="AK63" s="1" t="n">
        <v>1</v>
      </c>
      <c r="AL63" s="1" t="n">
        <v>1</v>
      </c>
      <c r="AM63" s="1" t="n">
        <v>1</v>
      </c>
      <c r="AN63" s="1" t="n">
        <f aca="false">F63</f>
        <v>4.04927392329651</v>
      </c>
      <c r="AO63" s="1" t="n">
        <f aca="false">F63</f>
        <v>4.04927392329651</v>
      </c>
      <c r="AP63" s="1" t="n">
        <f aca="false">F63</f>
        <v>4.04927392329651</v>
      </c>
      <c r="AQ63" s="1" t="n">
        <f aca="false">F63</f>
        <v>4.04927392329651</v>
      </c>
      <c r="AR63" s="1" t="n">
        <f aca="false">F63</f>
        <v>4.04927392329651</v>
      </c>
      <c r="AS63" s="1" t="n">
        <f aca="false">F63</f>
        <v>4.04927392329651</v>
      </c>
      <c r="AT63" s="1" t="n">
        <v>1</v>
      </c>
      <c r="AU63" s="1" t="n">
        <f aca="false">F63</f>
        <v>4.04927392329651</v>
      </c>
      <c r="AV63" s="1" t="n">
        <f aca="false">F63</f>
        <v>4.04927392329651</v>
      </c>
      <c r="AW63" s="1" t="n">
        <f aca="false">F63</f>
        <v>4.04927392329651</v>
      </c>
      <c r="AX63" s="1" t="n">
        <v>1</v>
      </c>
      <c r="AY63" s="1" t="n">
        <v>1</v>
      </c>
      <c r="AZ63" s="1" t="n">
        <v>1</v>
      </c>
      <c r="BA63" s="1" t="n">
        <f aca="false">F63</f>
        <v>4.04927392329651</v>
      </c>
      <c r="BB63" s="1" t="n">
        <f aca="false">F63</f>
        <v>4.04927392329651</v>
      </c>
      <c r="BC63" s="1" t="n">
        <v>1</v>
      </c>
      <c r="BD63" s="1" t="n">
        <v>1</v>
      </c>
      <c r="BE63" s="1" t="n">
        <v>1</v>
      </c>
      <c r="BF63" s="1" t="n">
        <v>1</v>
      </c>
      <c r="BG63" s="1" t="n">
        <v>1</v>
      </c>
      <c r="BH63" s="1" t="n">
        <v>1</v>
      </c>
      <c r="BI63" s="1" t="n">
        <v>1</v>
      </c>
      <c r="BJ63" s="1" t="n">
        <v>1</v>
      </c>
      <c r="BK63" s="1" t="n">
        <v>1</v>
      </c>
    </row>
    <row r="64" customFormat="false" ht="12.75" hidden="false" customHeight="false" outlineLevel="0" collapsed="false">
      <c r="A64" s="1" t="n">
        <f aca="false">A63-1</f>
        <v>1963</v>
      </c>
      <c r="B64" s="1" t="n">
        <v>1</v>
      </c>
      <c r="C64" s="1" t="n">
        <v>1</v>
      </c>
      <c r="D64" s="1" t="n">
        <v>1</v>
      </c>
      <c r="E64" s="1" t="n">
        <v>1</v>
      </c>
      <c r="F64" s="1" t="n">
        <f aca="false">F63</f>
        <v>4.04927392329651</v>
      </c>
      <c r="G64" s="1" t="n">
        <f aca="false">F64</f>
        <v>4.04927392329651</v>
      </c>
      <c r="H64" s="1" t="n">
        <f aca="false">F64</f>
        <v>4.04927392329651</v>
      </c>
      <c r="I64" s="1" t="n">
        <f aca="false">F64</f>
        <v>4.04927392329651</v>
      </c>
      <c r="J64" s="1" t="n">
        <v>1</v>
      </c>
      <c r="K64" s="1" t="n">
        <v>1</v>
      </c>
      <c r="L64" s="1" t="n">
        <v>1</v>
      </c>
      <c r="M64" s="1" t="n">
        <v>1</v>
      </c>
      <c r="N64" s="1" t="n">
        <v>1</v>
      </c>
      <c r="O64" s="1" t="n">
        <v>1</v>
      </c>
      <c r="P64" s="1" t="n">
        <v>1</v>
      </c>
      <c r="Q64" s="1" t="n">
        <f aca="false">F64</f>
        <v>4.04927392329651</v>
      </c>
      <c r="R64" s="1" t="n">
        <f aca="false">F64</f>
        <v>4.04927392329651</v>
      </c>
      <c r="S64" s="1" t="n">
        <f aca="false">F64</f>
        <v>4.04927392329651</v>
      </c>
      <c r="T64" s="1" t="n">
        <v>1</v>
      </c>
      <c r="U64" s="1" t="n">
        <v>1</v>
      </c>
      <c r="V64" s="1" t="n">
        <f aca="false">F64</f>
        <v>4.04927392329651</v>
      </c>
      <c r="W64" s="1" t="n">
        <f aca="false">F64</f>
        <v>4.04927392329651</v>
      </c>
      <c r="X64" s="1" t="n">
        <f aca="false">F64</f>
        <v>4.04927392329651</v>
      </c>
      <c r="Y64" s="1" t="n">
        <f aca="false">F64</f>
        <v>4.04927392329651</v>
      </c>
      <c r="Z64" s="1" t="n">
        <f aca="false">F64</f>
        <v>4.04927392329651</v>
      </c>
      <c r="AA64" s="1" t="n">
        <f aca="false">F64</f>
        <v>4.04927392329651</v>
      </c>
      <c r="AB64" s="1" t="n">
        <f aca="false">F64</f>
        <v>4.04927392329651</v>
      </c>
      <c r="AC64" s="1" t="n">
        <f aca="false">F64</f>
        <v>4.04927392329651</v>
      </c>
      <c r="AD64" s="1" t="n">
        <f aca="false">F64</f>
        <v>4.04927392329651</v>
      </c>
      <c r="AE64" s="1" t="n">
        <v>1</v>
      </c>
      <c r="AF64" s="1" t="n">
        <v>1</v>
      </c>
      <c r="AG64" s="1" t="n">
        <v>1</v>
      </c>
      <c r="AH64" s="1" t="n">
        <v>1</v>
      </c>
      <c r="AI64" s="1" t="n">
        <v>1</v>
      </c>
      <c r="AJ64" s="1" t="n">
        <v>1</v>
      </c>
      <c r="AK64" s="1" t="n">
        <v>1</v>
      </c>
      <c r="AL64" s="1" t="n">
        <v>1</v>
      </c>
      <c r="AM64" s="1" t="n">
        <v>1</v>
      </c>
      <c r="AN64" s="1" t="n">
        <f aca="false">F64</f>
        <v>4.04927392329651</v>
      </c>
      <c r="AO64" s="1" t="n">
        <f aca="false">F64</f>
        <v>4.04927392329651</v>
      </c>
      <c r="AP64" s="1" t="n">
        <f aca="false">F64</f>
        <v>4.04927392329651</v>
      </c>
      <c r="AQ64" s="1" t="n">
        <f aca="false">F64</f>
        <v>4.04927392329651</v>
      </c>
      <c r="AR64" s="1" t="n">
        <f aca="false">F64</f>
        <v>4.04927392329651</v>
      </c>
      <c r="AS64" s="1" t="n">
        <f aca="false">F64</f>
        <v>4.04927392329651</v>
      </c>
      <c r="AT64" s="1" t="n">
        <v>1</v>
      </c>
      <c r="AU64" s="1" t="n">
        <f aca="false">F64</f>
        <v>4.04927392329651</v>
      </c>
      <c r="AV64" s="1" t="n">
        <f aca="false">F64</f>
        <v>4.04927392329651</v>
      </c>
      <c r="AW64" s="1" t="n">
        <f aca="false">F64</f>
        <v>4.04927392329651</v>
      </c>
      <c r="AX64" s="1" t="n">
        <v>1</v>
      </c>
      <c r="AY64" s="1" t="n">
        <v>1</v>
      </c>
      <c r="AZ64" s="1" t="n">
        <v>1</v>
      </c>
      <c r="BA64" s="1" t="n">
        <f aca="false">F64</f>
        <v>4.04927392329651</v>
      </c>
      <c r="BB64" s="1" t="n">
        <f aca="false">F64</f>
        <v>4.04927392329651</v>
      </c>
      <c r="BC64" s="1" t="n">
        <v>1</v>
      </c>
      <c r="BD64" s="1" t="n">
        <v>1</v>
      </c>
      <c r="BE64" s="1" t="n">
        <v>1</v>
      </c>
      <c r="BF64" s="1" t="n">
        <v>1</v>
      </c>
      <c r="BG64" s="1" t="n">
        <v>1</v>
      </c>
      <c r="BH64" s="1" t="n">
        <v>1</v>
      </c>
      <c r="BI64" s="1" t="n">
        <v>1</v>
      </c>
      <c r="BJ64" s="1" t="n">
        <v>1</v>
      </c>
      <c r="BK64" s="1" t="n">
        <v>1</v>
      </c>
    </row>
    <row r="65" customFormat="false" ht="12.75" hidden="false" customHeight="false" outlineLevel="0" collapsed="false">
      <c r="A65" s="1" t="n">
        <f aca="false">A64-1</f>
        <v>1962</v>
      </c>
      <c r="B65" s="1" t="n">
        <v>1</v>
      </c>
      <c r="C65" s="1" t="n">
        <v>1</v>
      </c>
      <c r="D65" s="1" t="n">
        <v>1</v>
      </c>
      <c r="E65" s="1" t="n">
        <v>1</v>
      </c>
      <c r="F65" s="1" t="n">
        <f aca="false">F64</f>
        <v>4.04927392329651</v>
      </c>
      <c r="G65" s="1" t="n">
        <f aca="false">F65</f>
        <v>4.04927392329651</v>
      </c>
      <c r="H65" s="1" t="n">
        <f aca="false">F65</f>
        <v>4.04927392329651</v>
      </c>
      <c r="I65" s="1" t="n">
        <f aca="false">F65</f>
        <v>4.04927392329651</v>
      </c>
      <c r="J65" s="1" t="n">
        <v>1</v>
      </c>
      <c r="K65" s="1" t="n">
        <v>1</v>
      </c>
      <c r="L65" s="1" t="n">
        <v>1</v>
      </c>
      <c r="M65" s="1" t="n">
        <v>1</v>
      </c>
      <c r="N65" s="1" t="n">
        <v>1</v>
      </c>
      <c r="O65" s="1" t="n">
        <v>1</v>
      </c>
      <c r="P65" s="1" t="n">
        <v>1</v>
      </c>
      <c r="Q65" s="1" t="n">
        <f aca="false">F65</f>
        <v>4.04927392329651</v>
      </c>
      <c r="R65" s="1" t="n">
        <f aca="false">F65</f>
        <v>4.04927392329651</v>
      </c>
      <c r="S65" s="1" t="n">
        <f aca="false">F65</f>
        <v>4.04927392329651</v>
      </c>
      <c r="T65" s="1" t="n">
        <v>1</v>
      </c>
      <c r="U65" s="1" t="n">
        <v>1</v>
      </c>
      <c r="V65" s="1" t="n">
        <f aca="false">F65</f>
        <v>4.04927392329651</v>
      </c>
      <c r="W65" s="1" t="n">
        <f aca="false">F65</f>
        <v>4.04927392329651</v>
      </c>
      <c r="X65" s="1" t="n">
        <f aca="false">F65</f>
        <v>4.04927392329651</v>
      </c>
      <c r="Y65" s="1" t="n">
        <f aca="false">F65</f>
        <v>4.04927392329651</v>
      </c>
      <c r="Z65" s="1" t="n">
        <f aca="false">F65</f>
        <v>4.04927392329651</v>
      </c>
      <c r="AA65" s="1" t="n">
        <f aca="false">F65</f>
        <v>4.04927392329651</v>
      </c>
      <c r="AB65" s="1" t="n">
        <f aca="false">F65</f>
        <v>4.04927392329651</v>
      </c>
      <c r="AC65" s="1" t="n">
        <f aca="false">F65</f>
        <v>4.04927392329651</v>
      </c>
      <c r="AD65" s="1" t="n">
        <f aca="false">F65</f>
        <v>4.04927392329651</v>
      </c>
      <c r="AE65" s="1" t="n">
        <v>1</v>
      </c>
      <c r="AF65" s="1" t="n">
        <v>1</v>
      </c>
      <c r="AG65" s="1" t="n">
        <v>1</v>
      </c>
      <c r="AH65" s="1" t="n">
        <v>1</v>
      </c>
      <c r="AI65" s="1" t="n">
        <v>1</v>
      </c>
      <c r="AJ65" s="1" t="n">
        <v>1</v>
      </c>
      <c r="AK65" s="1" t="n">
        <v>1</v>
      </c>
      <c r="AL65" s="1" t="n">
        <v>1</v>
      </c>
      <c r="AM65" s="1" t="n">
        <v>1</v>
      </c>
      <c r="AN65" s="1" t="n">
        <f aca="false">F65</f>
        <v>4.04927392329651</v>
      </c>
      <c r="AO65" s="1" t="n">
        <f aca="false">F65</f>
        <v>4.04927392329651</v>
      </c>
      <c r="AP65" s="1" t="n">
        <f aca="false">F65</f>
        <v>4.04927392329651</v>
      </c>
      <c r="AQ65" s="1" t="n">
        <f aca="false">F65</f>
        <v>4.04927392329651</v>
      </c>
      <c r="AR65" s="1" t="n">
        <f aca="false">F65</f>
        <v>4.04927392329651</v>
      </c>
      <c r="AS65" s="1" t="n">
        <f aca="false">F65</f>
        <v>4.04927392329651</v>
      </c>
      <c r="AT65" s="1" t="n">
        <v>1</v>
      </c>
      <c r="AU65" s="1" t="n">
        <f aca="false">F65</f>
        <v>4.04927392329651</v>
      </c>
      <c r="AV65" s="1" t="n">
        <f aca="false">F65</f>
        <v>4.04927392329651</v>
      </c>
      <c r="AW65" s="1" t="n">
        <f aca="false">F65</f>
        <v>4.04927392329651</v>
      </c>
      <c r="AX65" s="1" t="n">
        <v>1</v>
      </c>
      <c r="AY65" s="1" t="n">
        <v>1</v>
      </c>
      <c r="AZ65" s="1" t="n">
        <v>1</v>
      </c>
      <c r="BA65" s="1" t="n">
        <f aca="false">F65</f>
        <v>4.04927392329651</v>
      </c>
      <c r="BB65" s="1" t="n">
        <f aca="false">F65</f>
        <v>4.04927392329651</v>
      </c>
      <c r="BC65" s="1" t="n">
        <v>1</v>
      </c>
      <c r="BD65" s="1" t="n">
        <v>1</v>
      </c>
      <c r="BE65" s="1" t="n">
        <v>1</v>
      </c>
      <c r="BF65" s="1" t="n">
        <v>1</v>
      </c>
      <c r="BG65" s="1" t="n">
        <v>1</v>
      </c>
      <c r="BH65" s="1" t="n">
        <v>1</v>
      </c>
      <c r="BI65" s="1" t="n">
        <v>1</v>
      </c>
      <c r="BJ65" s="1" t="n">
        <v>1</v>
      </c>
      <c r="BK65" s="1" t="n">
        <v>1</v>
      </c>
    </row>
    <row r="66" customFormat="false" ht="12.75" hidden="false" customHeight="false" outlineLevel="0" collapsed="false">
      <c r="A66" s="1" t="n">
        <f aca="false">A65-1</f>
        <v>1961</v>
      </c>
      <c r="B66" s="1" t="n">
        <v>1</v>
      </c>
      <c r="C66" s="1" t="n">
        <v>1</v>
      </c>
      <c r="D66" s="1" t="n">
        <v>1</v>
      </c>
      <c r="E66" s="1" t="n">
        <v>1</v>
      </c>
      <c r="F66" s="1" t="n">
        <f aca="false">F65</f>
        <v>4.04927392329651</v>
      </c>
      <c r="G66" s="1" t="n">
        <f aca="false">F66</f>
        <v>4.04927392329651</v>
      </c>
      <c r="H66" s="1" t="n">
        <f aca="false">F66</f>
        <v>4.04927392329651</v>
      </c>
      <c r="I66" s="1" t="n">
        <f aca="false">F66</f>
        <v>4.04927392329651</v>
      </c>
      <c r="J66" s="1" t="n">
        <v>1</v>
      </c>
      <c r="K66" s="1" t="n">
        <v>1</v>
      </c>
      <c r="L66" s="1" t="n">
        <v>1</v>
      </c>
      <c r="M66" s="1" t="n">
        <v>1</v>
      </c>
      <c r="N66" s="1" t="n">
        <v>1</v>
      </c>
      <c r="O66" s="1" t="n">
        <v>1</v>
      </c>
      <c r="P66" s="1" t="n">
        <v>1</v>
      </c>
      <c r="Q66" s="1" t="n">
        <f aca="false">F66</f>
        <v>4.04927392329651</v>
      </c>
      <c r="R66" s="1" t="n">
        <f aca="false">F66</f>
        <v>4.04927392329651</v>
      </c>
      <c r="S66" s="1" t="n">
        <f aca="false">F66</f>
        <v>4.04927392329651</v>
      </c>
      <c r="T66" s="1" t="n">
        <v>1</v>
      </c>
      <c r="U66" s="1" t="n">
        <v>1</v>
      </c>
      <c r="V66" s="1" t="n">
        <f aca="false">F66</f>
        <v>4.04927392329651</v>
      </c>
      <c r="W66" s="1" t="n">
        <f aca="false">F66</f>
        <v>4.04927392329651</v>
      </c>
      <c r="X66" s="1" t="n">
        <f aca="false">F66</f>
        <v>4.04927392329651</v>
      </c>
      <c r="Y66" s="1" t="n">
        <f aca="false">F66</f>
        <v>4.04927392329651</v>
      </c>
      <c r="Z66" s="1" t="n">
        <f aca="false">F66</f>
        <v>4.04927392329651</v>
      </c>
      <c r="AA66" s="1" t="n">
        <f aca="false">F66</f>
        <v>4.04927392329651</v>
      </c>
      <c r="AB66" s="1" t="n">
        <f aca="false">F66</f>
        <v>4.04927392329651</v>
      </c>
      <c r="AC66" s="1" t="n">
        <f aca="false">F66</f>
        <v>4.04927392329651</v>
      </c>
      <c r="AD66" s="1" t="n">
        <f aca="false">F66</f>
        <v>4.04927392329651</v>
      </c>
      <c r="AE66" s="1" t="n">
        <v>1</v>
      </c>
      <c r="AF66" s="1" t="n">
        <v>1</v>
      </c>
      <c r="AG66" s="1" t="n">
        <v>1</v>
      </c>
      <c r="AH66" s="1" t="n">
        <v>1</v>
      </c>
      <c r="AI66" s="1" t="n">
        <v>1</v>
      </c>
      <c r="AJ66" s="1" t="n">
        <v>1</v>
      </c>
      <c r="AK66" s="1" t="n">
        <v>1</v>
      </c>
      <c r="AL66" s="1" t="n">
        <v>1</v>
      </c>
      <c r="AM66" s="1" t="n">
        <v>1</v>
      </c>
      <c r="AN66" s="1" t="n">
        <f aca="false">F66</f>
        <v>4.04927392329651</v>
      </c>
      <c r="AO66" s="1" t="n">
        <f aca="false">F66</f>
        <v>4.04927392329651</v>
      </c>
      <c r="AP66" s="1" t="n">
        <f aca="false">F66</f>
        <v>4.04927392329651</v>
      </c>
      <c r="AQ66" s="1" t="n">
        <f aca="false">F66</f>
        <v>4.04927392329651</v>
      </c>
      <c r="AR66" s="1" t="n">
        <f aca="false">F66</f>
        <v>4.04927392329651</v>
      </c>
      <c r="AS66" s="1" t="n">
        <f aca="false">F66</f>
        <v>4.04927392329651</v>
      </c>
      <c r="AT66" s="1" t="n">
        <v>1</v>
      </c>
      <c r="AU66" s="1" t="n">
        <f aca="false">F66</f>
        <v>4.04927392329651</v>
      </c>
      <c r="AV66" s="1" t="n">
        <f aca="false">F66</f>
        <v>4.04927392329651</v>
      </c>
      <c r="AW66" s="1" t="n">
        <f aca="false">F66</f>
        <v>4.04927392329651</v>
      </c>
      <c r="AX66" s="1" t="n">
        <v>1</v>
      </c>
      <c r="AY66" s="1" t="n">
        <v>1</v>
      </c>
      <c r="AZ66" s="1" t="n">
        <v>1</v>
      </c>
      <c r="BA66" s="1" t="n">
        <f aca="false">F66</f>
        <v>4.04927392329651</v>
      </c>
      <c r="BB66" s="1" t="n">
        <f aca="false">F66</f>
        <v>4.04927392329651</v>
      </c>
      <c r="BC66" s="1" t="n">
        <v>1</v>
      </c>
      <c r="BD66" s="1" t="n">
        <v>1</v>
      </c>
      <c r="BE66" s="1" t="n">
        <v>1</v>
      </c>
      <c r="BF66" s="1" t="n">
        <v>1</v>
      </c>
      <c r="BG66" s="1" t="n">
        <v>1</v>
      </c>
      <c r="BH66" s="1" t="n">
        <v>1</v>
      </c>
      <c r="BI66" s="1" t="n">
        <v>1</v>
      </c>
      <c r="BJ66" s="1" t="n">
        <v>1</v>
      </c>
      <c r="BK66" s="1" t="n">
        <v>1</v>
      </c>
    </row>
    <row r="67" customFormat="false" ht="12.75" hidden="false" customHeight="false" outlineLevel="0" collapsed="false">
      <c r="A67" s="1" t="n">
        <f aca="false">A66-1</f>
        <v>1960</v>
      </c>
      <c r="B67" s="1" t="n">
        <v>1</v>
      </c>
      <c r="C67" s="1" t="n">
        <v>1</v>
      </c>
      <c r="D67" s="1" t="n">
        <v>1</v>
      </c>
      <c r="E67" s="1" t="n">
        <v>1</v>
      </c>
      <c r="F67" s="1" t="n">
        <f aca="false">F66</f>
        <v>4.04927392329651</v>
      </c>
      <c r="G67" s="1" t="n">
        <f aca="false">F67</f>
        <v>4.04927392329651</v>
      </c>
      <c r="H67" s="1" t="n">
        <f aca="false">F67</f>
        <v>4.04927392329651</v>
      </c>
      <c r="I67" s="1" t="n">
        <f aca="false">F67</f>
        <v>4.04927392329651</v>
      </c>
      <c r="J67" s="1" t="n">
        <v>1</v>
      </c>
      <c r="K67" s="1" t="n">
        <v>1</v>
      </c>
      <c r="L67" s="1" t="n">
        <v>1</v>
      </c>
      <c r="M67" s="1" t="n">
        <v>1</v>
      </c>
      <c r="N67" s="1" t="n">
        <v>1</v>
      </c>
      <c r="O67" s="1" t="n">
        <v>1</v>
      </c>
      <c r="P67" s="1" t="n">
        <v>1</v>
      </c>
      <c r="Q67" s="1" t="n">
        <f aca="false">F67</f>
        <v>4.04927392329651</v>
      </c>
      <c r="R67" s="1" t="n">
        <f aca="false">F67</f>
        <v>4.04927392329651</v>
      </c>
      <c r="S67" s="1" t="n">
        <f aca="false">F67</f>
        <v>4.04927392329651</v>
      </c>
      <c r="T67" s="1" t="n">
        <v>1</v>
      </c>
      <c r="U67" s="1" t="n">
        <v>1</v>
      </c>
      <c r="V67" s="1" t="n">
        <f aca="false">F67</f>
        <v>4.04927392329651</v>
      </c>
      <c r="W67" s="1" t="n">
        <f aca="false">F67</f>
        <v>4.04927392329651</v>
      </c>
      <c r="X67" s="1" t="n">
        <f aca="false">F67</f>
        <v>4.04927392329651</v>
      </c>
      <c r="Y67" s="1" t="n">
        <f aca="false">F67</f>
        <v>4.04927392329651</v>
      </c>
      <c r="Z67" s="1" t="n">
        <f aca="false">F67</f>
        <v>4.04927392329651</v>
      </c>
      <c r="AA67" s="1" t="n">
        <f aca="false">F67</f>
        <v>4.04927392329651</v>
      </c>
      <c r="AB67" s="1" t="n">
        <f aca="false">F67</f>
        <v>4.04927392329651</v>
      </c>
      <c r="AC67" s="1" t="n">
        <f aca="false">F67</f>
        <v>4.04927392329651</v>
      </c>
      <c r="AD67" s="1" t="n">
        <f aca="false">F67</f>
        <v>4.04927392329651</v>
      </c>
      <c r="AE67" s="1" t="n">
        <v>1</v>
      </c>
      <c r="AF67" s="1" t="n">
        <v>1</v>
      </c>
      <c r="AG67" s="1" t="n">
        <v>1</v>
      </c>
      <c r="AH67" s="1" t="n">
        <v>1</v>
      </c>
      <c r="AI67" s="1" t="n">
        <v>1</v>
      </c>
      <c r="AJ67" s="1" t="n">
        <v>1</v>
      </c>
      <c r="AK67" s="1" t="n">
        <v>1</v>
      </c>
      <c r="AL67" s="1" t="n">
        <v>1</v>
      </c>
      <c r="AM67" s="1" t="n">
        <v>1</v>
      </c>
      <c r="AN67" s="1" t="n">
        <f aca="false">F67</f>
        <v>4.04927392329651</v>
      </c>
      <c r="AO67" s="1" t="n">
        <f aca="false">F67</f>
        <v>4.04927392329651</v>
      </c>
      <c r="AP67" s="1" t="n">
        <f aca="false">F67</f>
        <v>4.04927392329651</v>
      </c>
      <c r="AQ67" s="1" t="n">
        <f aca="false">F67</f>
        <v>4.04927392329651</v>
      </c>
      <c r="AR67" s="1" t="n">
        <f aca="false">F67</f>
        <v>4.04927392329651</v>
      </c>
      <c r="AS67" s="1" t="n">
        <f aca="false">F67</f>
        <v>4.04927392329651</v>
      </c>
      <c r="AT67" s="1" t="n">
        <v>1</v>
      </c>
      <c r="AU67" s="1" t="n">
        <f aca="false">F67</f>
        <v>4.04927392329651</v>
      </c>
      <c r="AV67" s="1" t="n">
        <f aca="false">F67</f>
        <v>4.04927392329651</v>
      </c>
      <c r="AW67" s="1" t="n">
        <f aca="false">F67</f>
        <v>4.04927392329651</v>
      </c>
      <c r="AX67" s="1" t="n">
        <v>1</v>
      </c>
      <c r="AY67" s="1" t="n">
        <v>1</v>
      </c>
      <c r="AZ67" s="1" t="n">
        <v>1</v>
      </c>
      <c r="BA67" s="1" t="n">
        <f aca="false">F67</f>
        <v>4.04927392329651</v>
      </c>
      <c r="BB67" s="1" t="n">
        <f aca="false">F67</f>
        <v>4.04927392329651</v>
      </c>
      <c r="BC67" s="1" t="n">
        <v>1</v>
      </c>
      <c r="BD67" s="1" t="n">
        <v>1</v>
      </c>
      <c r="BE67" s="1" t="n">
        <v>1</v>
      </c>
      <c r="BF67" s="1" t="n">
        <v>1</v>
      </c>
      <c r="BG67" s="1" t="n">
        <v>1</v>
      </c>
      <c r="BH67" s="1" t="n">
        <v>1</v>
      </c>
      <c r="BI67" s="1" t="n">
        <v>1</v>
      </c>
      <c r="BJ67" s="1" t="n">
        <v>1</v>
      </c>
      <c r="BK67" s="1" t="n">
        <v>1</v>
      </c>
    </row>
    <row r="68" customFormat="false" ht="12.75" hidden="false" customHeight="false" outlineLevel="0" collapsed="false">
      <c r="A68" s="1" t="n">
        <f aca="false">A67-1</f>
        <v>1959</v>
      </c>
      <c r="B68" s="1" t="n">
        <v>1</v>
      </c>
      <c r="C68" s="1" t="n">
        <v>1</v>
      </c>
      <c r="D68" s="1" t="n">
        <v>1</v>
      </c>
      <c r="E68" s="1" t="n">
        <v>1</v>
      </c>
      <c r="F68" s="1" t="n">
        <f aca="false">F67</f>
        <v>4.04927392329651</v>
      </c>
      <c r="G68" s="1" t="n">
        <f aca="false">F68</f>
        <v>4.04927392329651</v>
      </c>
      <c r="H68" s="1" t="n">
        <f aca="false">F68</f>
        <v>4.04927392329651</v>
      </c>
      <c r="I68" s="1" t="n">
        <f aca="false">F68</f>
        <v>4.04927392329651</v>
      </c>
      <c r="J68" s="1" t="n">
        <v>1</v>
      </c>
      <c r="K68" s="1" t="n">
        <v>1</v>
      </c>
      <c r="L68" s="1" t="n">
        <v>1</v>
      </c>
      <c r="M68" s="1" t="n">
        <v>1</v>
      </c>
      <c r="N68" s="1" t="n">
        <v>1</v>
      </c>
      <c r="O68" s="1" t="n">
        <v>1</v>
      </c>
      <c r="P68" s="1" t="n">
        <v>1</v>
      </c>
      <c r="Q68" s="1" t="n">
        <f aca="false">F68</f>
        <v>4.04927392329651</v>
      </c>
      <c r="R68" s="1" t="n">
        <f aca="false">F68</f>
        <v>4.04927392329651</v>
      </c>
      <c r="S68" s="1" t="n">
        <f aca="false">F68</f>
        <v>4.04927392329651</v>
      </c>
      <c r="T68" s="1" t="n">
        <v>1</v>
      </c>
      <c r="U68" s="1" t="n">
        <v>1</v>
      </c>
      <c r="V68" s="1" t="n">
        <f aca="false">F68</f>
        <v>4.04927392329651</v>
      </c>
      <c r="W68" s="1" t="n">
        <f aca="false">F68</f>
        <v>4.04927392329651</v>
      </c>
      <c r="X68" s="1" t="n">
        <f aca="false">F68</f>
        <v>4.04927392329651</v>
      </c>
      <c r="Y68" s="1" t="n">
        <f aca="false">F68</f>
        <v>4.04927392329651</v>
      </c>
      <c r="Z68" s="1" t="n">
        <f aca="false">F68</f>
        <v>4.04927392329651</v>
      </c>
      <c r="AA68" s="1" t="n">
        <f aca="false">F68</f>
        <v>4.04927392329651</v>
      </c>
      <c r="AB68" s="1" t="n">
        <f aca="false">F68</f>
        <v>4.04927392329651</v>
      </c>
      <c r="AC68" s="1" t="n">
        <f aca="false">F68</f>
        <v>4.04927392329651</v>
      </c>
      <c r="AD68" s="1" t="n">
        <f aca="false">F68</f>
        <v>4.04927392329651</v>
      </c>
      <c r="AE68" s="1" t="n">
        <v>1</v>
      </c>
      <c r="AF68" s="1" t="n">
        <v>1</v>
      </c>
      <c r="AG68" s="1" t="n">
        <v>1</v>
      </c>
      <c r="AH68" s="1" t="n">
        <v>1</v>
      </c>
      <c r="AI68" s="1" t="n">
        <v>1</v>
      </c>
      <c r="AJ68" s="1" t="n">
        <v>1</v>
      </c>
      <c r="AK68" s="1" t="n">
        <v>1</v>
      </c>
      <c r="AL68" s="1" t="n">
        <v>1</v>
      </c>
      <c r="AM68" s="1" t="n">
        <v>1</v>
      </c>
      <c r="AN68" s="1" t="n">
        <f aca="false">F68</f>
        <v>4.04927392329651</v>
      </c>
      <c r="AO68" s="1" t="n">
        <f aca="false">F68</f>
        <v>4.04927392329651</v>
      </c>
      <c r="AP68" s="1" t="n">
        <f aca="false">F68</f>
        <v>4.04927392329651</v>
      </c>
      <c r="AQ68" s="1" t="n">
        <f aca="false">F68</f>
        <v>4.04927392329651</v>
      </c>
      <c r="AR68" s="1" t="n">
        <f aca="false">F68</f>
        <v>4.04927392329651</v>
      </c>
      <c r="AS68" s="1" t="n">
        <f aca="false">F68</f>
        <v>4.04927392329651</v>
      </c>
      <c r="AT68" s="1" t="n">
        <v>1</v>
      </c>
      <c r="AU68" s="1" t="n">
        <f aca="false">F68</f>
        <v>4.04927392329651</v>
      </c>
      <c r="AV68" s="1" t="n">
        <f aca="false">F68</f>
        <v>4.04927392329651</v>
      </c>
      <c r="AW68" s="1" t="n">
        <f aca="false">F68</f>
        <v>4.04927392329651</v>
      </c>
      <c r="AX68" s="1" t="n">
        <v>1</v>
      </c>
      <c r="AY68" s="1" t="n">
        <v>1</v>
      </c>
      <c r="AZ68" s="1" t="n">
        <v>1</v>
      </c>
      <c r="BA68" s="1" t="n">
        <f aca="false">F68</f>
        <v>4.04927392329651</v>
      </c>
      <c r="BB68" s="1" t="n">
        <f aca="false">F68</f>
        <v>4.04927392329651</v>
      </c>
      <c r="BC68" s="1" t="n">
        <v>1</v>
      </c>
      <c r="BD68" s="1" t="n">
        <v>1</v>
      </c>
      <c r="BE68" s="1" t="n">
        <v>1</v>
      </c>
      <c r="BF68" s="1" t="n">
        <v>1</v>
      </c>
      <c r="BG68" s="1" t="n">
        <v>1</v>
      </c>
      <c r="BH68" s="1" t="n">
        <v>1</v>
      </c>
      <c r="BI68" s="1" t="n">
        <v>1</v>
      </c>
      <c r="BJ68" s="1" t="n">
        <v>1</v>
      </c>
      <c r="BK68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4.57"/>
    <col collapsed="false" customWidth="true" hidden="false" outlineLevel="0" max="3" min="3" style="1" width="18.29"/>
    <col collapsed="false" customWidth="true" hidden="false" outlineLevel="0" max="4" min="4" style="1" width="18.14"/>
    <col collapsed="false" customWidth="true" hidden="false" outlineLevel="0" max="5" min="5" style="1" width="21.71"/>
    <col collapsed="false" customWidth="true" hidden="false" outlineLevel="0" max="7" min="6" style="1" width="21.57"/>
    <col collapsed="false" customWidth="true" hidden="false" outlineLevel="0" max="8" min="8" style="1" width="21.43"/>
    <col collapsed="false" customWidth="true" hidden="false" outlineLevel="0" max="9" min="9" style="1" width="16.29"/>
    <col collapsed="false" customWidth="true" hidden="false" outlineLevel="0" max="10" min="10" style="1" width="16.14"/>
    <col collapsed="false" customWidth="true" hidden="false" outlineLevel="0" max="11" min="11" style="1" width="19.86"/>
    <col collapsed="false" customWidth="true" hidden="false" outlineLevel="0" max="12" min="12" style="1" width="19.71"/>
  </cols>
  <sheetData>
    <row r="1" customFormat="false" ht="13.8" hidden="false" customHeight="false" outlineLevel="0" collapsed="false">
      <c r="A1" s="81" t="s">
        <v>444</v>
      </c>
      <c r="B1" s="81" t="s">
        <v>445</v>
      </c>
      <c r="C1" s="81" t="s">
        <v>446</v>
      </c>
      <c r="D1" s="81" t="s">
        <v>447</v>
      </c>
      <c r="E1" s="81" t="s">
        <v>448</v>
      </c>
      <c r="F1" s="81" t="s">
        <v>449</v>
      </c>
      <c r="G1" s="81" t="s">
        <v>450</v>
      </c>
      <c r="H1" s="81" t="s">
        <v>451</v>
      </c>
      <c r="I1" s="81" t="s">
        <v>452</v>
      </c>
      <c r="J1" s="81" t="s">
        <v>453</v>
      </c>
      <c r="K1" s="81" t="s">
        <v>454</v>
      </c>
      <c r="L1" s="81" t="s">
        <v>455</v>
      </c>
    </row>
    <row r="2" customFormat="false" ht="13.8" hidden="false" customHeight="false" outlineLevel="0" collapsed="false">
      <c r="A2" s="81" t="n">
        <v>2025</v>
      </c>
      <c r="B2" s="1" t="n">
        <v>1</v>
      </c>
      <c r="C2" s="1" t="n">
        <v>48733</v>
      </c>
      <c r="D2" s="1" t="n">
        <v>806</v>
      </c>
      <c r="E2" s="1" t="n">
        <v>0.0567209340568922</v>
      </c>
      <c r="F2" s="1" t="n">
        <v>6.41841025641026</v>
      </c>
      <c r="G2" s="1" t="n">
        <v>32.3069958414487</v>
      </c>
      <c r="H2" s="1" t="n">
        <v>1955.5</v>
      </c>
      <c r="I2" s="1" t="n">
        <v>134</v>
      </c>
      <c r="J2" s="1" t="n">
        <v>9</v>
      </c>
      <c r="K2" s="1" t="n">
        <v>11.8852459016393</v>
      </c>
      <c r="L2" s="1" t="n">
        <v>50.5555555555556</v>
      </c>
    </row>
    <row r="3" customFormat="false" ht="13.8" hidden="false" customHeight="false" outlineLevel="0" collapsed="false">
      <c r="A3" s="81" t="n">
        <v>2024</v>
      </c>
      <c r="B3" s="1" t="n">
        <v>1</v>
      </c>
      <c r="C3" s="1" t="n">
        <v>48733</v>
      </c>
      <c r="D3" s="1" t="n">
        <v>806</v>
      </c>
      <c r="E3" s="1" t="n">
        <v>0.0567209340568922</v>
      </c>
      <c r="F3" s="1" t="n">
        <v>6.41841025641026</v>
      </c>
      <c r="G3" s="1" t="n">
        <v>32.3069958414487</v>
      </c>
      <c r="H3" s="1" t="n">
        <v>1955.5</v>
      </c>
      <c r="I3" s="1" t="n">
        <v>134</v>
      </c>
      <c r="J3" s="1" t="n">
        <v>9</v>
      </c>
      <c r="K3" s="1" t="n">
        <v>11.8852459016393</v>
      </c>
      <c r="L3" s="1" t="n">
        <v>50.5555555555556</v>
      </c>
    </row>
    <row r="4" customFormat="false" ht="13.8" hidden="false" customHeight="false" outlineLevel="0" collapsed="false">
      <c r="A4" s="81" t="n">
        <v>2023</v>
      </c>
      <c r="B4" s="1" t="n">
        <v>1</v>
      </c>
      <c r="C4" s="1" t="n">
        <v>48733</v>
      </c>
      <c r="D4" s="1" t="n">
        <v>806</v>
      </c>
      <c r="E4" s="1" t="n">
        <v>0.0567209340568922</v>
      </c>
      <c r="F4" s="1" t="n">
        <v>6.41841025641026</v>
      </c>
      <c r="G4" s="1" t="n">
        <v>32.3069958414487</v>
      </c>
      <c r="H4" s="1" t="n">
        <v>1955.5</v>
      </c>
      <c r="I4" s="1" t="n">
        <v>134</v>
      </c>
      <c r="J4" s="1" t="n">
        <v>9</v>
      </c>
      <c r="K4" s="1" t="n">
        <v>11.8852459016393</v>
      </c>
      <c r="L4" s="1" t="n">
        <v>50.5555555555556</v>
      </c>
    </row>
    <row r="5" customFormat="false" ht="13.8" hidden="false" customHeight="false" outlineLevel="0" collapsed="false">
      <c r="A5" s="81" t="n">
        <v>2022</v>
      </c>
      <c r="B5" s="1" t="n">
        <v>1</v>
      </c>
      <c r="C5" s="1" t="n">
        <v>48733</v>
      </c>
      <c r="D5" s="1" t="n">
        <v>806</v>
      </c>
      <c r="E5" s="1" t="n">
        <v>0.0567209340568922</v>
      </c>
      <c r="F5" s="1" t="n">
        <v>6.41841025641026</v>
      </c>
      <c r="G5" s="1" t="n">
        <v>32.3069958414487</v>
      </c>
      <c r="H5" s="1" t="n">
        <v>1955.5</v>
      </c>
      <c r="I5" s="1" t="n">
        <v>134</v>
      </c>
      <c r="J5" s="1" t="n">
        <v>9</v>
      </c>
      <c r="K5" s="1" t="n">
        <v>11.8852459016393</v>
      </c>
      <c r="L5" s="1" t="n">
        <v>50.5555555555556</v>
      </c>
    </row>
    <row r="6" customFormat="false" ht="13.8" hidden="false" customHeight="false" outlineLevel="0" collapsed="false">
      <c r="A6" s="81" t="n">
        <v>2021</v>
      </c>
      <c r="B6" s="1" t="n">
        <v>1</v>
      </c>
      <c r="C6" s="1" t="n">
        <v>48733</v>
      </c>
      <c r="D6" s="1" t="n">
        <v>806</v>
      </c>
      <c r="E6" s="1" t="n">
        <v>0.0567209340568922</v>
      </c>
      <c r="F6" s="1" t="n">
        <v>6.41841025641026</v>
      </c>
      <c r="G6" s="1" t="n">
        <v>32.3069958414487</v>
      </c>
      <c r="H6" s="1" t="n">
        <v>1955.5</v>
      </c>
      <c r="I6" s="1" t="n">
        <v>134</v>
      </c>
      <c r="J6" s="1" t="n">
        <v>9</v>
      </c>
      <c r="K6" s="1" t="n">
        <v>11.8852459016393</v>
      </c>
      <c r="L6" s="1" t="n">
        <v>50.5555555555556</v>
      </c>
    </row>
    <row r="7" customFormat="false" ht="12.75" hidden="false" customHeight="false" outlineLevel="0" collapsed="false">
      <c r="A7" s="1" t="n">
        <v>2020</v>
      </c>
      <c r="B7" s="1" t="n">
        <v>1</v>
      </c>
      <c r="C7" s="1" t="n">
        <v>48733</v>
      </c>
      <c r="D7" s="1" t="n">
        <v>806</v>
      </c>
      <c r="E7" s="1" t="n">
        <v>0.0567209340568922</v>
      </c>
      <c r="F7" s="1" t="n">
        <v>6.41841025641026</v>
      </c>
      <c r="G7" s="1" t="n">
        <v>32.3069958414487</v>
      </c>
      <c r="H7" s="1" t="n">
        <v>1955.5</v>
      </c>
      <c r="I7" s="1" t="n">
        <v>134</v>
      </c>
      <c r="J7" s="1" t="n">
        <v>9</v>
      </c>
      <c r="K7" s="1" t="n">
        <v>11.8852459016393</v>
      </c>
      <c r="L7" s="1" t="n">
        <v>50.5555555555556</v>
      </c>
    </row>
    <row r="8" customFormat="false" ht="12.75" hidden="false" customHeight="false" outlineLevel="0" collapsed="false">
      <c r="A8" s="1" t="n">
        <v>2019</v>
      </c>
      <c r="B8" s="1" t="n">
        <f aca="false">B7+1</f>
        <v>2</v>
      </c>
      <c r="C8" s="1" t="n">
        <v>138946</v>
      </c>
      <c r="D8" s="1" t="n">
        <v>3458</v>
      </c>
      <c r="E8" s="1" t="n">
        <v>0.0878657986588162</v>
      </c>
      <c r="F8" s="1" t="n">
        <v>7.14870082342178</v>
      </c>
      <c r="G8" s="1" t="n">
        <v>51.4116048652446</v>
      </c>
      <c r="H8" s="1" t="n">
        <v>2679.61452513967</v>
      </c>
      <c r="I8" s="1" t="n">
        <v>2958</v>
      </c>
      <c r="J8" s="1" t="n">
        <v>157</v>
      </c>
      <c r="K8" s="1" t="n">
        <v>8.58031837916064</v>
      </c>
      <c r="L8" s="1" t="n">
        <v>45.4140127388535</v>
      </c>
    </row>
    <row r="9" customFormat="false" ht="12.75" hidden="false" customHeight="false" outlineLevel="0" collapsed="false">
      <c r="A9" s="1" t="n">
        <v>2018</v>
      </c>
      <c r="B9" s="1" t="n">
        <f aca="false">B8+1</f>
        <v>3</v>
      </c>
      <c r="C9" s="1" t="n">
        <v>42136</v>
      </c>
      <c r="D9" s="1" t="n">
        <v>1870</v>
      </c>
      <c r="E9" s="1" t="n">
        <v>0.165624653355525</v>
      </c>
      <c r="F9" s="1" t="n">
        <v>6.72829500841279</v>
      </c>
      <c r="G9" s="1" t="n">
        <v>89.5124069478908</v>
      </c>
      <c r="H9" s="1" t="n">
        <v>2335</v>
      </c>
      <c r="I9" s="1" t="n">
        <v>2274</v>
      </c>
      <c r="J9" s="1" t="n">
        <v>387</v>
      </c>
      <c r="K9" s="1" t="n">
        <v>13.4508733624454</v>
      </c>
      <c r="L9" s="1" t="n">
        <v>45.1472868217054</v>
      </c>
    </row>
    <row r="10" customFormat="false" ht="12.75" hidden="false" customHeight="false" outlineLevel="0" collapsed="false">
      <c r="A10" s="1" t="n">
        <v>2017</v>
      </c>
      <c r="B10" s="1" t="n">
        <f aca="false">B9+1</f>
        <v>4</v>
      </c>
      <c r="C10" s="1" t="n">
        <v>29062</v>
      </c>
      <c r="D10" s="1" t="n">
        <v>843</v>
      </c>
      <c r="E10" s="1" t="n">
        <v>0.113897386253623</v>
      </c>
      <c r="F10" s="1" t="n">
        <v>4.788</v>
      </c>
      <c r="G10" s="1" t="n">
        <v>47.3029668729523</v>
      </c>
      <c r="H10" s="1" t="n">
        <v>982.301075268817</v>
      </c>
      <c r="I10" s="1" t="n">
        <v>608</v>
      </c>
      <c r="J10" s="1" t="n">
        <v>106</v>
      </c>
      <c r="K10" s="1" t="n">
        <v>11.6737288135593</v>
      </c>
      <c r="L10" s="1" t="n">
        <v>48.3584905660377</v>
      </c>
    </row>
    <row r="11" customFormat="false" ht="12.75" hidden="false" customHeight="false" outlineLevel="0" collapsed="false">
      <c r="A11" s="1" t="n">
        <v>2016</v>
      </c>
      <c r="B11" s="1" t="n">
        <f aca="false">B10+1</f>
        <v>5</v>
      </c>
      <c r="C11" s="1" t="n">
        <v>65414</v>
      </c>
      <c r="D11" s="1" t="n">
        <v>2112</v>
      </c>
      <c r="E11" s="1" t="n">
        <v>0.11902513035304</v>
      </c>
      <c r="F11" s="1" t="n">
        <v>4.19165794066318</v>
      </c>
      <c r="G11" s="1" t="n">
        <v>51.8846013833273</v>
      </c>
      <c r="H11" s="1" t="n">
        <v>1022.16284987277</v>
      </c>
      <c r="I11" s="1" t="n">
        <v>1601</v>
      </c>
      <c r="J11" s="1" t="n">
        <v>327</v>
      </c>
      <c r="K11" s="1" t="n">
        <v>12.9899159663866</v>
      </c>
      <c r="L11" s="1" t="n">
        <v>48.4403669724771</v>
      </c>
    </row>
    <row r="12" customFormat="false" ht="12.75" hidden="false" customHeight="false" outlineLevel="0" collapsed="false">
      <c r="A12" s="1" t="n">
        <v>2015</v>
      </c>
      <c r="B12" s="1" t="n">
        <f aca="false">B11+1</f>
        <v>6</v>
      </c>
      <c r="C12" s="1" t="n">
        <v>147630</v>
      </c>
      <c r="D12" s="1" t="n">
        <v>4702</v>
      </c>
      <c r="E12" s="1" t="n">
        <v>0.138858334419458</v>
      </c>
      <c r="F12" s="1" t="n">
        <v>3.92821162046908</v>
      </c>
      <c r="G12" s="1" t="n">
        <v>51.5293649248845</v>
      </c>
      <c r="H12" s="1" t="n">
        <v>755.11052631579</v>
      </c>
      <c r="I12" s="1" t="n">
        <v>2435</v>
      </c>
      <c r="J12" s="1" t="n">
        <v>563</v>
      </c>
      <c r="K12" s="1" t="n">
        <v>14.3772727272727</v>
      </c>
      <c r="L12" s="1" t="n">
        <v>47.785079928952</v>
      </c>
    </row>
    <row r="13" customFormat="false" ht="12.75" hidden="false" customHeight="false" outlineLevel="0" collapsed="false">
      <c r="A13" s="1" t="n">
        <v>2014</v>
      </c>
      <c r="B13" s="1" t="n">
        <f aca="false">B12+1</f>
        <v>7</v>
      </c>
      <c r="C13" s="1" t="n">
        <v>130714</v>
      </c>
      <c r="D13" s="1" t="n">
        <v>4638</v>
      </c>
      <c r="E13" s="1" t="n">
        <v>0.155066032198615</v>
      </c>
      <c r="F13" s="1" t="n">
        <v>3.37891742612538</v>
      </c>
      <c r="G13" s="1" t="n">
        <v>51.2602965731096</v>
      </c>
      <c r="H13" s="1" t="n">
        <v>648.959685349066</v>
      </c>
      <c r="I13" s="1" t="n">
        <v>2800</v>
      </c>
      <c r="J13" s="1" t="n">
        <v>822</v>
      </c>
      <c r="K13" s="1" t="n">
        <v>15.5636766334441</v>
      </c>
      <c r="L13" s="1" t="n">
        <v>48.1119221411192</v>
      </c>
    </row>
    <row r="14" customFormat="false" ht="12.75" hidden="false" customHeight="false" outlineLevel="0" collapsed="false">
      <c r="A14" s="1" t="n">
        <v>2013</v>
      </c>
      <c r="B14" s="1" t="n">
        <f aca="false">B13+1</f>
        <v>8</v>
      </c>
      <c r="C14" s="1" t="n">
        <v>151284</v>
      </c>
      <c r="D14" s="1" t="n">
        <v>7157</v>
      </c>
      <c r="E14" s="1" t="n">
        <v>0.151597481257209</v>
      </c>
      <c r="F14" s="1" t="n">
        <v>2.32967319054653</v>
      </c>
      <c r="G14" s="1" t="n">
        <v>46.4533365612409</v>
      </c>
      <c r="H14" s="1" t="n">
        <v>452.966111430213</v>
      </c>
      <c r="I14" s="1" t="n">
        <v>973</v>
      </c>
      <c r="J14" s="1" t="n">
        <v>292</v>
      </c>
      <c r="K14" s="1" t="n">
        <v>14.023569023569</v>
      </c>
      <c r="L14" s="1" t="n">
        <v>50.2568493150685</v>
      </c>
    </row>
    <row r="15" customFormat="false" ht="12.75" hidden="false" customHeight="false" outlineLevel="0" collapsed="false">
      <c r="A15" s="1" t="n">
        <v>2012</v>
      </c>
      <c r="B15" s="1" t="n">
        <f aca="false">B14+1</f>
        <v>9</v>
      </c>
      <c r="C15" s="1" t="n">
        <v>139888</v>
      </c>
      <c r="D15" s="1" t="n">
        <v>7564</v>
      </c>
      <c r="E15" s="1" t="n">
        <v>0.156107700229788</v>
      </c>
      <c r="F15" s="1" t="n">
        <v>2.01994271988175</v>
      </c>
      <c r="G15" s="1" t="n">
        <v>44.3706556523033</v>
      </c>
      <c r="H15" s="1" t="n">
        <v>354.922862453532</v>
      </c>
      <c r="I15" s="1" t="n">
        <v>415</v>
      </c>
      <c r="J15" s="1" t="n">
        <v>108</v>
      </c>
      <c r="K15" s="1" t="n">
        <v>13.7872340425532</v>
      </c>
      <c r="L15" s="1" t="n">
        <v>52.1851851851852</v>
      </c>
    </row>
    <row r="16" customFormat="false" ht="12.75" hidden="false" customHeight="false" outlineLevel="0" collapsed="false">
      <c r="A16" s="1" t="n">
        <v>2011</v>
      </c>
      <c r="B16" s="1" t="n">
        <f aca="false">B15+1</f>
        <v>10</v>
      </c>
      <c r="C16" s="1" t="n">
        <v>151253</v>
      </c>
      <c r="D16" s="1" t="n">
        <v>9197</v>
      </c>
      <c r="E16" s="1" t="n">
        <v>0.137744568698913</v>
      </c>
      <c r="F16" s="1" t="n">
        <v>1.80091756387595</v>
      </c>
      <c r="G16" s="1" t="n">
        <v>39.5940847211665</v>
      </c>
      <c r="H16" s="1" t="n">
        <v>319.771351714862</v>
      </c>
      <c r="I16" s="1" t="n">
        <v>390</v>
      </c>
      <c r="J16" s="1" t="n">
        <v>117</v>
      </c>
      <c r="K16" s="1" t="n">
        <v>15.6260162601626</v>
      </c>
      <c r="L16" s="1" t="n">
        <v>50.7606837606838</v>
      </c>
    </row>
    <row r="17" customFormat="false" ht="12.75" hidden="false" customHeight="false" outlineLevel="0" collapsed="false">
      <c r="A17" s="1" t="n">
        <v>2010</v>
      </c>
      <c r="B17" s="1" t="n">
        <f aca="false">B16+1</f>
        <v>11</v>
      </c>
      <c r="C17" s="1" t="n">
        <v>96735</v>
      </c>
      <c r="D17" s="1" t="n">
        <v>6201</v>
      </c>
      <c r="E17" s="1" t="n">
        <v>0.144851854007833</v>
      </c>
      <c r="F17" s="1" t="n">
        <v>1.94505865102639</v>
      </c>
      <c r="G17" s="1" t="n">
        <v>43.5188905093421</v>
      </c>
      <c r="H17" s="1" t="n">
        <v>338.183025130394</v>
      </c>
      <c r="I17" s="1" t="n">
        <v>360</v>
      </c>
      <c r="J17" s="1" t="n">
        <v>135</v>
      </c>
      <c r="K17" s="1" t="n">
        <v>14.5145631067961</v>
      </c>
      <c r="L17" s="1" t="n">
        <v>54.8888888888889</v>
      </c>
    </row>
    <row r="18" customFormat="false" ht="12.75" hidden="false" customHeight="false" outlineLevel="0" collapsed="false">
      <c r="A18" s="1" t="n">
        <v>2009</v>
      </c>
      <c r="B18" s="1" t="n">
        <f aca="false">B17+1</f>
        <v>12</v>
      </c>
      <c r="C18" s="1" t="n">
        <v>98488</v>
      </c>
      <c r="D18" s="1" t="n">
        <v>6785</v>
      </c>
      <c r="E18" s="1" t="n">
        <v>0.150933344578484</v>
      </c>
      <c r="F18" s="1" t="n">
        <v>1.79787108488424</v>
      </c>
      <c r="G18" s="1" t="n">
        <v>42.2418479706367</v>
      </c>
      <c r="H18" s="1" t="n">
        <v>337.175704077343</v>
      </c>
      <c r="I18" s="1" t="n">
        <v>2297</v>
      </c>
      <c r="J18" s="1" t="n">
        <v>565</v>
      </c>
      <c r="K18" s="1" t="n">
        <v>13.2591194968554</v>
      </c>
      <c r="L18" s="1" t="n">
        <v>53.3646017699115</v>
      </c>
    </row>
    <row r="19" customFormat="false" ht="12.75" hidden="false" customHeight="false" outlineLevel="0" collapsed="false">
      <c r="A19" s="1" t="n">
        <v>2008</v>
      </c>
      <c r="B19" s="1" t="n">
        <f aca="false">B18+1</f>
        <v>13</v>
      </c>
      <c r="C19" s="1" t="n">
        <v>68285</v>
      </c>
      <c r="D19" s="1" t="n">
        <v>4632</v>
      </c>
      <c r="E19" s="1" t="n">
        <v>0.138089573686754</v>
      </c>
      <c r="F19" s="1" t="n">
        <v>1.72621414276184</v>
      </c>
      <c r="G19" s="1" t="n">
        <v>41.1701620230164</v>
      </c>
      <c r="H19" s="1" t="n">
        <v>352.555691554468</v>
      </c>
      <c r="I19" s="1" t="n">
        <v>2932</v>
      </c>
      <c r="J19" s="1" t="n">
        <v>820</v>
      </c>
      <c r="K19" s="1" t="n">
        <v>12.8416578108395</v>
      </c>
      <c r="L19" s="1" t="n">
        <v>53.6317073170732</v>
      </c>
    </row>
    <row r="20" customFormat="false" ht="12.75" hidden="false" customHeight="false" outlineLevel="0" collapsed="false">
      <c r="A20" s="1" t="n">
        <v>2007</v>
      </c>
      <c r="B20" s="1" t="n">
        <f aca="false">B19+1</f>
        <v>14</v>
      </c>
      <c r="C20" s="1" t="n">
        <v>64778</v>
      </c>
      <c r="D20" s="1" t="n">
        <v>5328</v>
      </c>
      <c r="E20" s="1" t="n">
        <v>0.146152737752178</v>
      </c>
      <c r="F20" s="1" t="n">
        <v>1.77463239689181</v>
      </c>
      <c r="G20" s="1" t="n">
        <v>43.2553788212669</v>
      </c>
      <c r="H20" s="1" t="n">
        <v>337.48385469223</v>
      </c>
      <c r="I20" s="1" t="n">
        <v>2507</v>
      </c>
      <c r="J20" s="1" t="n">
        <v>788</v>
      </c>
      <c r="K20" s="1" t="n">
        <v>13.8707015130674</v>
      </c>
      <c r="L20" s="1" t="n">
        <v>52.511421319797</v>
      </c>
    </row>
    <row r="21" customFormat="false" ht="12.75" hidden="false" customHeight="false" outlineLevel="0" collapsed="false">
      <c r="A21" s="1" t="n">
        <v>2006</v>
      </c>
      <c r="B21" s="1" t="n">
        <f aca="false">B20+1</f>
        <v>15</v>
      </c>
      <c r="C21" s="1" t="n">
        <v>53378</v>
      </c>
      <c r="D21" s="1" t="n">
        <v>5833</v>
      </c>
      <c r="E21" s="1" t="n">
        <v>0.161635567601386</v>
      </c>
      <c r="F21" s="1" t="n">
        <v>1.69270565193061</v>
      </c>
      <c r="G21" s="1" t="n">
        <v>47.7563045705088</v>
      </c>
      <c r="H21" s="1" t="n">
        <v>349.208499335989</v>
      </c>
      <c r="I21" s="1" t="n">
        <v>2265</v>
      </c>
      <c r="J21" s="1" t="n">
        <v>695</v>
      </c>
      <c r="K21" s="1" t="n">
        <v>14.8938461538462</v>
      </c>
      <c r="L21" s="1" t="n">
        <v>53.863309352518</v>
      </c>
    </row>
    <row r="22" customFormat="false" ht="12.75" hidden="false" customHeight="false" outlineLevel="0" collapsed="false">
      <c r="A22" s="1" t="n">
        <v>2005</v>
      </c>
      <c r="B22" s="1" t="n">
        <f aca="false">B21+1</f>
        <v>16</v>
      </c>
      <c r="C22" s="1" t="n">
        <v>45047</v>
      </c>
      <c r="D22" s="1" t="n">
        <v>6320</v>
      </c>
      <c r="E22" s="1" t="n">
        <v>0.169406166730113</v>
      </c>
      <c r="F22" s="1" t="n">
        <v>1.60363588529334</v>
      </c>
      <c r="G22" s="1" t="n">
        <v>54.0803262336443</v>
      </c>
      <c r="H22" s="1" t="n">
        <v>347.348551012307</v>
      </c>
      <c r="I22" s="1" t="n">
        <v>2208</v>
      </c>
      <c r="J22" s="1" t="n">
        <v>737</v>
      </c>
      <c r="K22" s="1" t="n">
        <v>16.1252032520325</v>
      </c>
      <c r="L22" s="1" t="n">
        <v>52.1872455902307</v>
      </c>
    </row>
    <row r="23" customFormat="false" ht="12.75" hidden="false" customHeight="false" outlineLevel="0" collapsed="false">
      <c r="A23" s="1" t="n">
        <v>2004</v>
      </c>
      <c r="B23" s="1" t="n">
        <f aca="false">B22+1</f>
        <v>17</v>
      </c>
      <c r="C23" s="1" t="n">
        <v>28508</v>
      </c>
      <c r="D23" s="1" t="n">
        <v>4535</v>
      </c>
      <c r="E23" s="1" t="n">
        <v>0.169779788838605</v>
      </c>
      <c r="F23" s="1" t="n">
        <v>1.69398936170213</v>
      </c>
      <c r="G23" s="1" t="n">
        <v>58.0155532652488</v>
      </c>
      <c r="H23" s="1" t="n">
        <v>376.227009984235</v>
      </c>
      <c r="I23" s="1" t="n">
        <v>1805</v>
      </c>
      <c r="J23" s="1" t="n">
        <v>590</v>
      </c>
      <c r="K23" s="1" t="n">
        <v>16.3382045929019</v>
      </c>
      <c r="L23" s="1" t="n">
        <v>54.2101694915254</v>
      </c>
    </row>
    <row r="24" customFormat="false" ht="12.75" hidden="false" customHeight="false" outlineLevel="0" collapsed="false">
      <c r="A24" s="1" t="n">
        <v>2003</v>
      </c>
      <c r="B24" s="1" t="n">
        <f aca="false">B23+1</f>
        <v>18</v>
      </c>
      <c r="C24" s="1" t="n">
        <v>26988</v>
      </c>
      <c r="D24" s="1" t="n">
        <v>5185</v>
      </c>
      <c r="E24" s="1" t="n">
        <v>0.169538478284526</v>
      </c>
      <c r="F24" s="1" t="n">
        <v>1.69167163190996</v>
      </c>
      <c r="G24" s="1" t="n">
        <v>58.6686579052171</v>
      </c>
      <c r="H24" s="1" t="n">
        <v>362.461645101664</v>
      </c>
      <c r="I24" s="1" t="n">
        <v>1573</v>
      </c>
      <c r="J24" s="1" t="n">
        <v>454</v>
      </c>
      <c r="K24" s="1" t="n">
        <v>15.70715835141</v>
      </c>
      <c r="L24" s="1" t="n">
        <v>54.9669603524229</v>
      </c>
    </row>
    <row r="25" customFormat="false" ht="12.75" hidden="false" customHeight="false" outlineLevel="0" collapsed="false">
      <c r="A25" s="1" t="n">
        <v>2002</v>
      </c>
      <c r="B25" s="1" t="n">
        <f aca="false">B24+1</f>
        <v>19</v>
      </c>
      <c r="C25" s="1" t="n">
        <v>26578</v>
      </c>
      <c r="D25" s="1" t="n">
        <v>5711</v>
      </c>
      <c r="E25" s="1" t="n">
        <v>0.170348549583983</v>
      </c>
      <c r="F25" s="1" t="n">
        <v>1.71143906919779</v>
      </c>
      <c r="G25" s="1" t="n">
        <v>59.3749227918468</v>
      </c>
      <c r="H25" s="1" t="n">
        <v>367.704294478528</v>
      </c>
      <c r="I25" s="1" t="n">
        <v>1180</v>
      </c>
      <c r="J25" s="1" t="n">
        <v>349</v>
      </c>
      <c r="K25" s="1" t="n">
        <v>14.4589235127479</v>
      </c>
      <c r="L25" s="1" t="n">
        <v>56.0315186246418</v>
      </c>
    </row>
    <row r="26" customFormat="false" ht="12.75" hidden="false" customHeight="false" outlineLevel="0" collapsed="false">
      <c r="A26" s="1" t="n">
        <v>2001</v>
      </c>
      <c r="B26" s="1" t="n">
        <f aca="false">B25+1</f>
        <v>20</v>
      </c>
      <c r="C26" s="1" t="n">
        <v>15685</v>
      </c>
      <c r="D26" s="1" t="n">
        <v>3365</v>
      </c>
      <c r="E26" s="1" t="n">
        <v>0.16952344931921</v>
      </c>
      <c r="F26" s="1" t="n">
        <v>1.62220534311157</v>
      </c>
      <c r="G26" s="1" t="n">
        <v>58.5121059048946</v>
      </c>
      <c r="H26" s="1" t="n">
        <v>355.471153846154</v>
      </c>
      <c r="I26" s="1" t="n">
        <v>466</v>
      </c>
      <c r="J26" s="1" t="n">
        <v>138</v>
      </c>
      <c r="K26" s="1" t="n">
        <v>14.3333333333333</v>
      </c>
      <c r="L26" s="1" t="n">
        <v>56</v>
      </c>
    </row>
    <row r="27" customFormat="false" ht="12.75" hidden="false" customHeight="false" outlineLevel="0" collapsed="false">
      <c r="A27" s="1" t="n">
        <v>2000</v>
      </c>
      <c r="B27" s="1" t="n">
        <f aca="false">B26+1</f>
        <v>21</v>
      </c>
      <c r="C27" s="1" t="n">
        <v>1705</v>
      </c>
      <c r="D27" s="1" t="n">
        <v>383</v>
      </c>
      <c r="E27" s="1" t="n">
        <v>0.177700348432056</v>
      </c>
      <c r="F27" s="1" t="n">
        <v>1.69881278538813</v>
      </c>
      <c r="G27" s="1" t="n">
        <v>62.3926868044515</v>
      </c>
      <c r="H27" s="1" t="n">
        <v>448.054878048781</v>
      </c>
      <c r="I27" s="1" t="n">
        <v>49</v>
      </c>
      <c r="J27" s="1" t="n">
        <v>16</v>
      </c>
      <c r="K27" s="1" t="n">
        <v>11.0714285714286</v>
      </c>
      <c r="L27" s="1" t="n">
        <v>54.1875</v>
      </c>
    </row>
    <row r="28" customFormat="false" ht="12.75" hidden="false" customHeight="false" outlineLevel="0" collapsed="false">
      <c r="A28" s="1" t="n">
        <v>1999</v>
      </c>
      <c r="B28" s="1" t="n">
        <f aca="false">B27+1</f>
        <v>22</v>
      </c>
      <c r="C28" s="1" t="n">
        <v>11725</v>
      </c>
      <c r="D28" s="1" t="n">
        <v>985</v>
      </c>
      <c r="E28" s="1" t="n">
        <v>1.0730631276901</v>
      </c>
      <c r="F28" s="1" t="n">
        <v>5.87108753315649</v>
      </c>
      <c r="G28" s="1" t="n">
        <v>191.05398512221</v>
      </c>
      <c r="H28" s="1" t="n">
        <v>1292.54545454546</v>
      </c>
      <c r="I28" s="1" t="n">
        <v>312</v>
      </c>
      <c r="J28" s="1" t="n">
        <v>50</v>
      </c>
      <c r="K28" s="1" t="n">
        <v>18.6371681415929</v>
      </c>
      <c r="L28" s="1" t="n">
        <v>63.28</v>
      </c>
    </row>
    <row r="29" customFormat="false" ht="12.75" hidden="false" customHeight="false" outlineLevel="0" collapsed="false">
      <c r="A29" s="1" t="n">
        <v>1998</v>
      </c>
      <c r="B29" s="1" t="n">
        <f aca="false">B28+1</f>
        <v>23</v>
      </c>
      <c r="C29" s="1" t="n">
        <v>15374</v>
      </c>
      <c r="D29" s="1" t="n">
        <v>1414</v>
      </c>
      <c r="E29" s="1" t="n">
        <v>1.06998895231081</v>
      </c>
      <c r="F29" s="1" t="n">
        <v>5.94341372912801</v>
      </c>
      <c r="G29" s="1" t="n">
        <v>196.365521710953</v>
      </c>
      <c r="H29" s="1" t="n">
        <v>1208.42261904762</v>
      </c>
      <c r="I29" s="1" t="n">
        <v>233</v>
      </c>
      <c r="J29" s="1" t="n">
        <v>52</v>
      </c>
      <c r="K29" s="1" t="n">
        <v>15.75</v>
      </c>
      <c r="L29" s="1" t="n">
        <v>63.5</v>
      </c>
    </row>
    <row r="30" customFormat="false" ht="12.75" hidden="false" customHeight="false" outlineLevel="0" collapsed="false">
      <c r="A30" s="1" t="n">
        <v>1997</v>
      </c>
      <c r="B30" s="1" t="n">
        <f aca="false">B29+1</f>
        <v>24</v>
      </c>
      <c r="C30" s="1" t="n">
        <v>9692</v>
      </c>
      <c r="D30" s="1" t="n">
        <v>881</v>
      </c>
      <c r="E30" s="1" t="n">
        <v>1.10446247464503</v>
      </c>
      <c r="F30" s="1" t="n">
        <v>5.76472727272728</v>
      </c>
      <c r="G30" s="1" t="n">
        <v>205.170694087404</v>
      </c>
      <c r="H30" s="1" t="n">
        <v>1192.8371040724</v>
      </c>
      <c r="I30" s="1" t="n">
        <v>62</v>
      </c>
      <c r="J30" s="1" t="n">
        <v>23</v>
      </c>
      <c r="K30" s="1" t="n">
        <v>16.3846153846154</v>
      </c>
      <c r="L30" s="1" t="n">
        <v>60.0869565217391</v>
      </c>
    </row>
    <row r="31" customFormat="false" ht="12.75" hidden="false" customHeight="false" outlineLevel="0" collapsed="false">
      <c r="A31" s="1" t="n">
        <v>1996</v>
      </c>
      <c r="B31" s="1" t="n">
        <f aca="false">B30+1</f>
        <v>25</v>
      </c>
      <c r="C31" s="1" t="n">
        <v>9721</v>
      </c>
      <c r="D31" s="1" t="n">
        <v>1086</v>
      </c>
      <c r="E31" s="1" t="n">
        <v>1.18450683303624</v>
      </c>
      <c r="F31" s="1" t="n">
        <v>6.27937575030012</v>
      </c>
      <c r="G31" s="1" t="n">
        <v>220.794475418145</v>
      </c>
      <c r="H31" s="1" t="n">
        <v>1224.5138339921</v>
      </c>
      <c r="I31" s="1" t="n">
        <v>32</v>
      </c>
      <c r="J31" s="1" t="n">
        <v>4</v>
      </c>
      <c r="K31" s="1" t="n">
        <v>23.8333333333333</v>
      </c>
      <c r="L31" s="1" t="n">
        <v>55</v>
      </c>
    </row>
    <row r="32" customFormat="false" ht="12.75" hidden="false" customHeight="false" outlineLevel="0" collapsed="false">
      <c r="A32" s="1" t="n">
        <v>1995</v>
      </c>
      <c r="B32" s="1" t="n">
        <f aca="false">B31+1</f>
        <v>26</v>
      </c>
      <c r="C32" s="1" t="n">
        <v>10714</v>
      </c>
      <c r="D32" s="1" t="n">
        <v>1342</v>
      </c>
      <c r="E32" s="1" t="n">
        <v>1.21926066865996</v>
      </c>
      <c r="F32" s="1" t="n">
        <v>6.19359798994975</v>
      </c>
      <c r="G32" s="1" t="n">
        <v>223.853709267391</v>
      </c>
      <c r="H32" s="1" t="n">
        <v>1167.46685878963</v>
      </c>
      <c r="I32" s="1" t="n">
        <v>176</v>
      </c>
      <c r="J32" s="1" t="n">
        <v>14</v>
      </c>
      <c r="K32" s="1" t="n">
        <v>15.3466666666667</v>
      </c>
      <c r="L32" s="1" t="n">
        <v>62.1428571428572</v>
      </c>
    </row>
    <row r="33" customFormat="false" ht="12.75" hidden="false" customHeight="false" outlineLevel="0" collapsed="false">
      <c r="A33" s="1" t="n">
        <v>1994</v>
      </c>
      <c r="B33" s="1" t="n">
        <f aca="false">B32+1</f>
        <v>27</v>
      </c>
      <c r="C33" s="1" t="n">
        <v>12778</v>
      </c>
      <c r="D33" s="1" t="n">
        <v>1823</v>
      </c>
      <c r="E33" s="1" t="n">
        <v>1.25966581573451</v>
      </c>
      <c r="F33" s="1" t="n">
        <v>6.03042867701403</v>
      </c>
      <c r="G33" s="1" t="n">
        <v>231.245377503852</v>
      </c>
      <c r="H33" s="1" t="n">
        <v>1304.51276595745</v>
      </c>
      <c r="I33" s="1" t="n">
        <v>39</v>
      </c>
      <c r="J33" s="1" t="n">
        <v>10</v>
      </c>
      <c r="K33" s="1" t="n">
        <v>24.1111111111111</v>
      </c>
      <c r="L33" s="1" t="n">
        <v>50.3</v>
      </c>
    </row>
    <row r="34" customFormat="false" ht="12.75" hidden="false" customHeight="false" outlineLevel="0" collapsed="false">
      <c r="A34" s="1" t="n">
        <v>1993</v>
      </c>
      <c r="B34" s="1" t="n">
        <f aca="false">B33+1</f>
        <v>28</v>
      </c>
      <c r="C34" s="1" t="n">
        <v>7772</v>
      </c>
      <c r="D34" s="1" t="n">
        <v>1117</v>
      </c>
      <c r="E34" s="1" t="n">
        <v>1.28364772727273</v>
      </c>
      <c r="F34" s="1" t="n">
        <v>6.07985166872682</v>
      </c>
      <c r="G34" s="1" t="n">
        <v>229.212034383954</v>
      </c>
      <c r="H34" s="1" t="n">
        <v>1346.07467532468</v>
      </c>
      <c r="I34" s="1" t="n">
        <v>17</v>
      </c>
      <c r="J34" s="1" t="n">
        <v>6</v>
      </c>
      <c r="K34" s="1" t="n">
        <v>28.5</v>
      </c>
      <c r="L34" s="1" t="n">
        <v>67.1666666666667</v>
      </c>
    </row>
    <row r="35" customFormat="false" ht="12.75" hidden="false" customHeight="false" outlineLevel="0" collapsed="false">
      <c r="A35" s="1" t="n">
        <v>1992</v>
      </c>
      <c r="B35" s="1" t="n">
        <f aca="false">B34+1</f>
        <v>29</v>
      </c>
      <c r="C35" s="1" t="n">
        <v>7703</v>
      </c>
      <c r="D35" s="1" t="n">
        <v>984</v>
      </c>
      <c r="E35" s="1" t="n">
        <v>1.25276150627615</v>
      </c>
      <c r="F35" s="1" t="n">
        <v>6.17168918918919</v>
      </c>
      <c r="G35" s="1" t="n">
        <v>230.023367477593</v>
      </c>
      <c r="H35" s="1" t="n">
        <v>1265.09836065574</v>
      </c>
      <c r="I35" s="1" t="n">
        <v>34</v>
      </c>
      <c r="J35" s="1" t="n">
        <v>8</v>
      </c>
      <c r="K35" s="1" t="n">
        <v>20.8</v>
      </c>
      <c r="L35" s="1" t="n">
        <v>64.375</v>
      </c>
    </row>
    <row r="36" customFormat="false" ht="12.75" hidden="false" customHeight="false" outlineLevel="0" collapsed="false">
      <c r="A36" s="1" t="n">
        <v>1991</v>
      </c>
      <c r="B36" s="1" t="n">
        <f aca="false">B35+1</f>
        <v>30</v>
      </c>
      <c r="C36" s="1" t="n">
        <v>3612</v>
      </c>
      <c r="D36" s="1" t="n">
        <v>573</v>
      </c>
      <c r="E36" s="1" t="n">
        <v>1.44261744966443</v>
      </c>
      <c r="F36" s="1" t="n">
        <v>6.16811904761905</v>
      </c>
      <c r="G36" s="1" t="n">
        <v>251.591501028101</v>
      </c>
      <c r="H36" s="1" t="n">
        <v>1405.65359477124</v>
      </c>
      <c r="I36" s="1" t="n">
        <v>18</v>
      </c>
      <c r="J36" s="1" t="n">
        <v>5</v>
      </c>
      <c r="K36" s="1" t="n">
        <v>19.5</v>
      </c>
      <c r="L36" s="1" t="n">
        <v>48.6</v>
      </c>
    </row>
    <row r="37" customFormat="false" ht="12.75" hidden="false" customHeight="false" outlineLevel="0" collapsed="false">
      <c r="A37" s="1" t="n">
        <v>1990</v>
      </c>
      <c r="B37" s="1" t="n">
        <f aca="false">B36+1</f>
        <v>31</v>
      </c>
      <c r="C37" s="1" t="n">
        <v>2743</v>
      </c>
      <c r="D37" s="1" t="n">
        <v>441</v>
      </c>
      <c r="E37" s="1" t="n">
        <v>1.46427927927928</v>
      </c>
      <c r="F37" s="1" t="n">
        <v>6.12166666666667</v>
      </c>
      <c r="G37" s="1" t="n">
        <v>256.458885941645</v>
      </c>
      <c r="H37" s="1" t="n">
        <v>1350.11111111111</v>
      </c>
      <c r="I37" s="1" t="n">
        <v>12</v>
      </c>
      <c r="K37" s="1" t="n">
        <v>7.5</v>
      </c>
    </row>
    <row r="38" customFormat="false" ht="12.75" hidden="false" customHeight="false" outlineLevel="0" collapsed="false">
      <c r="A38" s="1" t="n">
        <v>1989</v>
      </c>
      <c r="B38" s="1" t="n">
        <f aca="false">B37+1</f>
        <v>32</v>
      </c>
      <c r="C38" s="1" t="n">
        <v>2347</v>
      </c>
      <c r="D38" s="1" t="n">
        <v>190</v>
      </c>
      <c r="E38" s="1" t="n">
        <v>2.49735894357743</v>
      </c>
      <c r="F38" s="1" t="n">
        <v>8.11462585034013</v>
      </c>
      <c r="G38" s="1" t="n">
        <v>316.866595517609</v>
      </c>
      <c r="H38" s="1" t="n">
        <v>1673.58139534884</v>
      </c>
      <c r="I38" s="1" t="n">
        <v>9</v>
      </c>
      <c r="J38" s="1" t="n">
        <v>3</v>
      </c>
      <c r="K38" s="1" t="n">
        <v>2</v>
      </c>
      <c r="L38" s="1" t="n">
        <v>56.6666666666667</v>
      </c>
    </row>
    <row r="39" customFormat="false" ht="12.75" hidden="false" customHeight="false" outlineLevel="0" collapsed="false">
      <c r="A39" s="1" t="n">
        <v>1988</v>
      </c>
      <c r="B39" s="1" t="n">
        <f aca="false">B38+1</f>
        <v>33</v>
      </c>
      <c r="C39" s="1" t="n">
        <v>1601</v>
      </c>
      <c r="D39" s="1" t="n">
        <v>167</v>
      </c>
      <c r="E39" s="1" t="n">
        <v>2.38749103942652</v>
      </c>
      <c r="F39" s="1" t="n">
        <v>8.23766129032258</v>
      </c>
      <c r="G39" s="1" t="n">
        <v>305.49765258216</v>
      </c>
      <c r="H39" s="1" t="n">
        <v>1497.48837209302</v>
      </c>
      <c r="I39" s="1" t="n">
        <v>6</v>
      </c>
      <c r="J39" s="1" t="n">
        <v>2</v>
      </c>
      <c r="K39" s="1" t="n">
        <v>25</v>
      </c>
      <c r="L39" s="1" t="n">
        <v>57.5</v>
      </c>
    </row>
    <row r="40" customFormat="false" ht="12.75" hidden="false" customHeight="false" outlineLevel="0" collapsed="false">
      <c r="A40" s="1" t="n">
        <v>1987</v>
      </c>
      <c r="B40" s="1" t="n">
        <f aca="false">B39+1</f>
        <v>34</v>
      </c>
      <c r="C40" s="1" t="n">
        <v>2040</v>
      </c>
      <c r="D40" s="1" t="n">
        <v>167</v>
      </c>
      <c r="E40" s="1" t="n">
        <v>2.43124661246613</v>
      </c>
      <c r="F40" s="1" t="n">
        <v>7.82857142857143</v>
      </c>
      <c r="G40" s="1" t="n">
        <v>284.372064276885</v>
      </c>
      <c r="H40" s="1" t="n">
        <v>1550.6875</v>
      </c>
      <c r="I40" s="1" t="n">
        <v>4</v>
      </c>
      <c r="J40" s="1" t="n">
        <v>1</v>
      </c>
      <c r="K40" s="1" t="n">
        <v>32</v>
      </c>
      <c r="L40" s="1" t="n">
        <v>69</v>
      </c>
    </row>
    <row r="41" customFormat="false" ht="12.75" hidden="false" customHeight="false" outlineLevel="0" collapsed="false">
      <c r="A41" s="1" t="n">
        <v>1986</v>
      </c>
      <c r="B41" s="1" t="n">
        <f aca="false">B40+1</f>
        <v>35</v>
      </c>
      <c r="C41" s="1" t="n">
        <v>1572</v>
      </c>
      <c r="D41" s="1" t="n">
        <v>130</v>
      </c>
      <c r="E41" s="1" t="n">
        <v>2.59905693950178</v>
      </c>
      <c r="F41" s="1" t="n">
        <v>8.15309278350515</v>
      </c>
      <c r="G41" s="1" t="n">
        <v>324.054313099042</v>
      </c>
      <c r="H41" s="1" t="n">
        <v>1839.57575757576</v>
      </c>
      <c r="I41" s="1" t="n">
        <v>5</v>
      </c>
      <c r="K41" s="1" t="n">
        <v>28</v>
      </c>
    </row>
    <row r="42" customFormat="false" ht="12.75" hidden="false" customHeight="false" outlineLevel="0" collapsed="false">
      <c r="A42" s="1" t="n">
        <v>1985</v>
      </c>
      <c r="B42" s="1" t="n">
        <f aca="false">B41+1</f>
        <v>36</v>
      </c>
      <c r="C42" s="1" t="n">
        <v>1178</v>
      </c>
      <c r="D42" s="1" t="n">
        <v>105</v>
      </c>
      <c r="E42" s="1" t="n">
        <v>2.67165094339623</v>
      </c>
      <c r="F42" s="1" t="n">
        <v>8.14486842105263</v>
      </c>
      <c r="G42" s="1" t="n">
        <v>335.876857749469</v>
      </c>
      <c r="H42" s="1" t="n">
        <v>1690.93103448276</v>
      </c>
      <c r="I42" s="1" t="n">
        <v>5</v>
      </c>
      <c r="K42" s="1" t="n">
        <v>1</v>
      </c>
    </row>
    <row r="43" customFormat="false" ht="12.75" hidden="false" customHeight="false" outlineLevel="0" collapsed="false">
      <c r="A43" s="1" t="n">
        <v>1984</v>
      </c>
      <c r="B43" s="1" t="n">
        <f aca="false">B42+1</f>
        <v>37</v>
      </c>
      <c r="C43" s="1" t="n">
        <v>829</v>
      </c>
      <c r="D43" s="1" t="n">
        <v>83</v>
      </c>
      <c r="E43" s="1" t="n">
        <v>2.62491803278689</v>
      </c>
      <c r="F43" s="1" t="n">
        <v>7.93584905660377</v>
      </c>
      <c r="G43" s="1" t="n">
        <v>329.783536585366</v>
      </c>
      <c r="H43" s="1" t="n">
        <v>1605.3</v>
      </c>
      <c r="I43" s="1" t="n">
        <v>4</v>
      </c>
      <c r="J43" s="1" t="n">
        <v>2</v>
      </c>
      <c r="K43" s="1" t="n">
        <v>32</v>
      </c>
      <c r="L43" s="1" t="n">
        <v>64.5</v>
      </c>
    </row>
    <row r="44" customFormat="false" ht="12.75" hidden="false" customHeight="false" outlineLevel="0" collapsed="false">
      <c r="A44" s="1" t="n">
        <v>1983</v>
      </c>
      <c r="B44" s="1" t="n">
        <f aca="false">B43+1</f>
        <v>38</v>
      </c>
      <c r="C44" s="1" t="n">
        <v>621</v>
      </c>
      <c r="D44" s="1" t="n">
        <v>66</v>
      </c>
      <c r="E44" s="1" t="n">
        <v>2.6395067264574</v>
      </c>
      <c r="F44" s="1" t="n">
        <v>7.15428571428572</v>
      </c>
      <c r="G44" s="1" t="n">
        <v>341.485477178423</v>
      </c>
      <c r="H44" s="1" t="n">
        <v>1489.08333333333</v>
      </c>
      <c r="I44" s="1" t="n">
        <v>2</v>
      </c>
      <c r="J44" s="1" t="n">
        <v>2</v>
      </c>
      <c r="L44" s="1" t="n">
        <v>63</v>
      </c>
    </row>
    <row r="45" customFormat="false" ht="12.75" hidden="false" customHeight="false" outlineLevel="0" collapsed="false">
      <c r="A45" s="1" t="n">
        <v>1982</v>
      </c>
      <c r="B45" s="1" t="n">
        <f aca="false">B44+1</f>
        <v>39</v>
      </c>
      <c r="C45" s="1" t="n">
        <v>1196</v>
      </c>
      <c r="D45" s="1" t="n">
        <v>106</v>
      </c>
      <c r="E45" s="1" t="n">
        <v>2.55877030162413</v>
      </c>
      <c r="F45" s="1" t="n">
        <v>7.96987012987013</v>
      </c>
      <c r="G45" s="1" t="n">
        <v>327.277661795407</v>
      </c>
      <c r="H45" s="1" t="n">
        <v>1924.86206896552</v>
      </c>
      <c r="I45" s="1" t="n">
        <v>8</v>
      </c>
      <c r="J45" s="1" t="n">
        <v>2</v>
      </c>
      <c r="K45" s="1" t="n">
        <v>33.5</v>
      </c>
      <c r="L45" s="1" t="n">
        <v>70</v>
      </c>
    </row>
    <row r="46" customFormat="false" ht="12.75" hidden="false" customHeight="false" outlineLevel="0" collapsed="false">
      <c r="A46" s="1" t="n">
        <v>1981</v>
      </c>
      <c r="B46" s="1" t="n">
        <f aca="false">B45+1</f>
        <v>40</v>
      </c>
      <c r="C46" s="1" t="n">
        <v>2330</v>
      </c>
      <c r="D46" s="1" t="n">
        <v>257</v>
      </c>
      <c r="E46" s="1" t="n">
        <v>2.6872553699284</v>
      </c>
      <c r="F46" s="1" t="n">
        <v>7.81748538011696</v>
      </c>
      <c r="G46" s="1" t="n">
        <v>338.239436619718</v>
      </c>
      <c r="H46" s="1" t="n">
        <v>1993.54651162791</v>
      </c>
      <c r="I46" s="1" t="n">
        <v>2</v>
      </c>
    </row>
    <row r="47" customFormat="false" ht="12.75" hidden="false" customHeight="false" outlineLevel="0" collapsed="false">
      <c r="A47" s="1" t="n">
        <v>1980</v>
      </c>
      <c r="B47" s="1" t="n">
        <f aca="false">B46+1</f>
        <v>41</v>
      </c>
      <c r="C47" s="1" t="n">
        <v>2242</v>
      </c>
      <c r="D47" s="1" t="n">
        <v>242</v>
      </c>
      <c r="E47" s="1" t="n">
        <v>2.71484548825711</v>
      </c>
      <c r="F47" s="1" t="n">
        <v>7.860125</v>
      </c>
      <c r="G47" s="1" t="n">
        <v>335.303269447576</v>
      </c>
      <c r="H47" s="1" t="n">
        <v>1680.31707317073</v>
      </c>
      <c r="I47" s="1" t="n">
        <v>4</v>
      </c>
      <c r="J47" s="1" t="n">
        <v>2</v>
      </c>
      <c r="K47" s="1" t="n">
        <v>26</v>
      </c>
      <c r="L47" s="1" t="n">
        <v>79</v>
      </c>
    </row>
    <row r="48" customFormat="false" ht="12.75" hidden="false" customHeight="false" outlineLevel="0" collapsed="false">
      <c r="A48" s="1" t="n">
        <v>1979</v>
      </c>
      <c r="B48" s="1" t="n">
        <f aca="false">B47+1</f>
        <v>42</v>
      </c>
      <c r="C48" s="1" t="n">
        <v>1481</v>
      </c>
      <c r="D48" s="1" t="n">
        <v>134</v>
      </c>
      <c r="E48" s="1" t="n">
        <v>2.71952898550725</v>
      </c>
      <c r="F48" s="1" t="n">
        <v>7.6798717948718</v>
      </c>
      <c r="G48" s="1" t="n">
        <v>314.745644599303</v>
      </c>
      <c r="H48" s="1" t="n">
        <v>1643.28571428571</v>
      </c>
    </row>
    <row r="49" customFormat="false" ht="12.75" hidden="false" customHeight="false" outlineLevel="0" collapsed="false">
      <c r="A49" s="1" t="n">
        <v>1978</v>
      </c>
      <c r="B49" s="1" t="n">
        <f aca="false">B48+1</f>
        <v>43</v>
      </c>
      <c r="C49" s="1" t="n">
        <v>2064</v>
      </c>
      <c r="D49" s="1" t="n">
        <v>228</v>
      </c>
      <c r="E49" s="1" t="n">
        <v>2.73975838926175</v>
      </c>
      <c r="F49" s="1" t="n">
        <v>8.06583892617449</v>
      </c>
      <c r="G49" s="1" t="n">
        <v>332.976687116564</v>
      </c>
      <c r="H49" s="1" t="n">
        <v>1786.3417721519</v>
      </c>
      <c r="I49" s="1" t="n">
        <v>3</v>
      </c>
      <c r="K49" s="1" t="n">
        <v>5</v>
      </c>
    </row>
    <row r="50" customFormat="false" ht="12.75" hidden="false" customHeight="false" outlineLevel="0" collapsed="false">
      <c r="A50" s="1" t="n">
        <v>1977</v>
      </c>
      <c r="B50" s="1" t="n">
        <f aca="false">B49+1</f>
        <v>44</v>
      </c>
      <c r="C50" s="1" t="n">
        <v>1281</v>
      </c>
      <c r="D50" s="1" t="n">
        <v>136</v>
      </c>
      <c r="E50" s="1" t="n">
        <v>2.6662017167382</v>
      </c>
      <c r="F50" s="1" t="n">
        <v>8.01662790697674</v>
      </c>
      <c r="G50" s="1" t="n">
        <v>337.488047808765</v>
      </c>
      <c r="H50" s="1" t="n">
        <v>1760.28</v>
      </c>
      <c r="I50" s="1" t="n">
        <v>1</v>
      </c>
    </row>
    <row r="51" customFormat="false" ht="12.75" hidden="false" customHeight="false" outlineLevel="0" collapsed="false">
      <c r="A51" s="1" t="n">
        <v>1976</v>
      </c>
      <c r="B51" s="1" t="n">
        <f aca="false">B50+1</f>
        <v>45</v>
      </c>
      <c r="C51" s="1" t="n">
        <v>613</v>
      </c>
      <c r="D51" s="1" t="n">
        <v>63</v>
      </c>
      <c r="E51" s="1" t="n">
        <v>2.54977876106195</v>
      </c>
      <c r="F51" s="1" t="n">
        <v>8.25552631578948</v>
      </c>
      <c r="G51" s="1" t="n">
        <v>315.953974895398</v>
      </c>
      <c r="H51" s="1" t="n">
        <v>1778.04</v>
      </c>
      <c r="I51" s="1" t="n">
        <v>1</v>
      </c>
    </row>
    <row r="52" customFormat="false" ht="12.75" hidden="false" customHeight="false" outlineLevel="0" collapsed="false">
      <c r="A52" s="1" t="n">
        <v>1975</v>
      </c>
      <c r="B52" s="1" t="n">
        <f aca="false">B51+1</f>
        <v>46</v>
      </c>
      <c r="C52" s="1" t="n">
        <v>1209</v>
      </c>
      <c r="D52" s="1" t="n">
        <v>128</v>
      </c>
      <c r="E52" s="1" t="n">
        <v>2.76597254004576</v>
      </c>
      <c r="F52" s="1" t="n">
        <v>7.83404761904762</v>
      </c>
      <c r="G52" s="1" t="n">
        <v>334.081761006289</v>
      </c>
      <c r="H52" s="1" t="n">
        <v>1563.20454545455</v>
      </c>
    </row>
    <row r="53" customFormat="false" ht="12.75" hidden="false" customHeight="false" outlineLevel="0" collapsed="false">
      <c r="A53" s="1" t="n">
        <v>1974</v>
      </c>
      <c r="B53" s="1" t="n">
        <f aca="false">B52+1</f>
        <v>47</v>
      </c>
      <c r="C53" s="1" t="n">
        <v>1384</v>
      </c>
      <c r="D53" s="1" t="n">
        <v>158</v>
      </c>
      <c r="E53" s="1" t="n">
        <v>2.79201960784314</v>
      </c>
      <c r="F53" s="1" t="n">
        <v>8.23225806451613</v>
      </c>
      <c r="G53" s="1" t="n">
        <v>332.03717472119</v>
      </c>
      <c r="H53" s="1" t="n">
        <v>1605.50769230769</v>
      </c>
      <c r="I53" s="1" t="n">
        <v>1</v>
      </c>
    </row>
    <row r="54" customFormat="false" ht="12.75" hidden="false" customHeight="false" outlineLevel="0" collapsed="false">
      <c r="A54" s="1" t="n">
        <v>1973</v>
      </c>
      <c r="B54" s="1" t="n">
        <f aca="false">B53+1</f>
        <v>48</v>
      </c>
      <c r="C54" s="1" t="n">
        <v>815</v>
      </c>
      <c r="D54" s="1" t="n">
        <v>76</v>
      </c>
      <c r="E54" s="1" t="n">
        <v>2.80568627450981</v>
      </c>
      <c r="F54" s="1" t="n">
        <v>7.8215</v>
      </c>
      <c r="G54" s="1" t="n">
        <v>311.370967741936</v>
      </c>
      <c r="H54" s="1" t="n">
        <v>1731.5</v>
      </c>
      <c r="I54" s="1" t="n">
        <v>1</v>
      </c>
    </row>
    <row r="55" customFormat="false" ht="12.75" hidden="false" customHeight="false" outlineLevel="0" collapsed="false">
      <c r="A55" s="1" t="n">
        <v>1972</v>
      </c>
      <c r="B55" s="1" t="n">
        <f aca="false">B54+1</f>
        <v>49</v>
      </c>
      <c r="C55" s="1" t="n">
        <v>504</v>
      </c>
      <c r="D55" s="1" t="n">
        <v>54</v>
      </c>
      <c r="E55" s="1" t="n">
        <v>2.70443181818182</v>
      </c>
      <c r="F55" s="1" t="n">
        <v>7.50333333333333</v>
      </c>
      <c r="G55" s="1" t="n">
        <v>350.257731958763</v>
      </c>
      <c r="H55" s="1" t="n">
        <v>1610.5</v>
      </c>
    </row>
    <row r="56" customFormat="false" ht="12.75" hidden="false" customHeight="false" outlineLevel="0" collapsed="false">
      <c r="A56" s="1" t="n">
        <v>1971</v>
      </c>
      <c r="B56" s="1" t="n">
        <f aca="false">B55+1</f>
        <v>50</v>
      </c>
      <c r="C56" s="1" t="n">
        <v>306</v>
      </c>
      <c r="D56" s="1" t="n">
        <v>35</v>
      </c>
      <c r="E56" s="1" t="n">
        <v>2.69203539823009</v>
      </c>
      <c r="F56" s="1" t="n">
        <v>8.00947368421053</v>
      </c>
      <c r="G56" s="1" t="n">
        <v>344.370689655172</v>
      </c>
      <c r="H56" s="1" t="n">
        <v>1510.5</v>
      </c>
    </row>
    <row r="57" customFormat="false" ht="12.75" hidden="false" customHeight="false" outlineLevel="0" collapsed="false">
      <c r="A57" s="1" t="n">
        <v>1970</v>
      </c>
      <c r="B57" s="1" t="n">
        <f aca="false">B56+1</f>
        <v>51</v>
      </c>
      <c r="C57" s="1" t="n">
        <v>348</v>
      </c>
      <c r="D57" s="1" t="n">
        <v>17</v>
      </c>
      <c r="E57" s="1" t="n">
        <v>2.69527559055118</v>
      </c>
      <c r="F57" s="1" t="n">
        <v>7.52733333333333</v>
      </c>
      <c r="G57" s="1" t="n">
        <v>331.642857142857</v>
      </c>
      <c r="H57" s="1" t="n">
        <v>1692</v>
      </c>
    </row>
    <row r="58" customFormat="false" ht="12.75" hidden="false" customHeight="false" outlineLevel="0" collapsed="false">
      <c r="A58" s="1" t="n">
        <v>1969</v>
      </c>
      <c r="B58" s="1" t="n">
        <f aca="false">B57+1</f>
        <v>52</v>
      </c>
      <c r="C58" s="1" t="n">
        <v>303</v>
      </c>
      <c r="D58" s="1" t="n">
        <v>26</v>
      </c>
      <c r="E58" s="1" t="n">
        <v>3.10303571428571</v>
      </c>
      <c r="F58" s="1" t="n">
        <v>7.9775</v>
      </c>
      <c r="G58" s="1" t="n">
        <v>332.703389830509</v>
      </c>
      <c r="H58" s="1" t="n">
        <v>1371.1</v>
      </c>
    </row>
    <row r="59" customFormat="false" ht="12.75" hidden="false" customHeight="false" outlineLevel="0" collapsed="false">
      <c r="A59" s="1" t="n">
        <v>1968</v>
      </c>
      <c r="B59" s="1" t="n">
        <f aca="false">B58+1</f>
        <v>53</v>
      </c>
      <c r="C59" s="1" t="n">
        <v>231</v>
      </c>
      <c r="D59" s="1" t="n">
        <v>23</v>
      </c>
      <c r="E59" s="1" t="n">
        <v>2.32914634146342</v>
      </c>
      <c r="F59" s="1" t="n">
        <v>7.29722222222222</v>
      </c>
      <c r="G59" s="1" t="n">
        <v>330.168421052632</v>
      </c>
      <c r="H59" s="1" t="n">
        <v>1805.8</v>
      </c>
    </row>
    <row r="60" customFormat="false" ht="12.75" hidden="false" customHeight="false" outlineLevel="0" collapsed="false">
      <c r="A60" s="1" t="n">
        <v>1967</v>
      </c>
      <c r="B60" s="1" t="n">
        <f aca="false">B59+1</f>
        <v>54</v>
      </c>
      <c r="C60" s="1" t="n">
        <v>139</v>
      </c>
      <c r="D60" s="1" t="n">
        <v>12</v>
      </c>
      <c r="E60" s="1" t="n">
        <v>2.55107142857143</v>
      </c>
      <c r="F60" s="1" t="n">
        <v>6.9325</v>
      </c>
      <c r="G60" s="1" t="n">
        <v>313.211538461539</v>
      </c>
      <c r="H60" s="1" t="n">
        <v>2545.5</v>
      </c>
    </row>
    <row r="61" customFormat="false" ht="12.75" hidden="false" customHeight="false" outlineLevel="0" collapsed="false">
      <c r="A61" s="1" t="n">
        <v>1966</v>
      </c>
      <c r="B61" s="1" t="n">
        <f aca="false">B60+1</f>
        <v>55</v>
      </c>
      <c r="C61" s="1" t="n">
        <v>131</v>
      </c>
      <c r="D61" s="1" t="n">
        <v>16</v>
      </c>
      <c r="E61" s="1" t="n">
        <v>2.70468085106383</v>
      </c>
      <c r="F61" s="1" t="n">
        <v>6.77727272727273</v>
      </c>
      <c r="G61" s="1" t="n">
        <v>302.433962264151</v>
      </c>
      <c r="H61" s="1" t="n">
        <v>1451.4</v>
      </c>
    </row>
    <row r="62" customFormat="false" ht="12.75" hidden="false" customHeight="false" outlineLevel="0" collapsed="false">
      <c r="A62" s="1" t="n">
        <v>1965</v>
      </c>
      <c r="B62" s="1" t="n">
        <f aca="false">B61+1</f>
        <v>56</v>
      </c>
      <c r="C62" s="1" t="n">
        <v>146</v>
      </c>
      <c r="D62" s="1" t="n">
        <v>10</v>
      </c>
      <c r="E62" s="1" t="n">
        <v>2.55350877192983</v>
      </c>
      <c r="F62" s="1" t="n">
        <v>7.104</v>
      </c>
      <c r="G62" s="1" t="n">
        <v>258.157894736842</v>
      </c>
      <c r="H62" s="1" t="n">
        <v>2145.2</v>
      </c>
      <c r="I62" s="1" t="n">
        <v>1</v>
      </c>
      <c r="J62" s="1" t="n">
        <v>1</v>
      </c>
    </row>
    <row r="63" customFormat="false" ht="12.75" hidden="false" customHeight="false" outlineLevel="0" collapsed="false">
      <c r="A63" s="1" t="n">
        <v>1964</v>
      </c>
      <c r="B63" s="1" t="n">
        <f aca="false">B62+1</f>
        <v>57</v>
      </c>
      <c r="C63" s="1" t="n">
        <v>99</v>
      </c>
      <c r="D63" s="1" t="n">
        <v>9</v>
      </c>
      <c r="E63" s="1" t="n">
        <v>2.7172972972973</v>
      </c>
      <c r="F63" s="1" t="n">
        <v>6.506</v>
      </c>
      <c r="G63" s="1" t="n">
        <v>264.21052631579</v>
      </c>
      <c r="H63" s="1" t="n">
        <v>1427.25</v>
      </c>
    </row>
    <row r="64" customFormat="false" ht="12.75" hidden="false" customHeight="false" outlineLevel="0" collapsed="false">
      <c r="A64" s="1" t="n">
        <v>1963</v>
      </c>
      <c r="B64" s="1" t="n">
        <f aca="false">B63+1</f>
        <v>58</v>
      </c>
      <c r="C64" s="1" t="n">
        <v>10</v>
      </c>
      <c r="E64" s="1" t="n">
        <v>2.0525</v>
      </c>
      <c r="G64" s="1" t="n">
        <v>214.25</v>
      </c>
    </row>
    <row r="65" customFormat="false" ht="12.75" hidden="false" customHeight="false" outlineLevel="0" collapsed="false">
      <c r="A65" s="1" t="n">
        <v>1962</v>
      </c>
      <c r="B65" s="1" t="n">
        <f aca="false">B64+1</f>
        <v>59</v>
      </c>
      <c r="C65" s="1" t="n">
        <v>18</v>
      </c>
      <c r="D65" s="1" t="n">
        <v>2</v>
      </c>
      <c r="E65" s="1" t="n">
        <v>2.84333333333333</v>
      </c>
      <c r="F65" s="1" t="n">
        <v>7.345</v>
      </c>
      <c r="G65" s="1" t="n">
        <v>324.75</v>
      </c>
    </row>
    <row r="66" customFormat="false" ht="12.75" hidden="false" customHeight="false" outlineLevel="0" collapsed="false">
      <c r="A66" s="1" t="n">
        <v>1961</v>
      </c>
      <c r="B66" s="1" t="n">
        <f aca="false">B65+1</f>
        <v>60</v>
      </c>
      <c r="C66" s="1" t="n">
        <v>40</v>
      </c>
      <c r="D66" s="1" t="n">
        <v>2</v>
      </c>
      <c r="E66" s="1" t="n">
        <v>2.306</v>
      </c>
      <c r="F66" s="1" t="n">
        <v>6.34</v>
      </c>
      <c r="G66" s="1" t="n">
        <v>274.8</v>
      </c>
      <c r="H66" s="1" t="n">
        <v>1416</v>
      </c>
    </row>
    <row r="67" customFormat="false" ht="12.75" hidden="false" customHeight="false" outlineLevel="0" collapsed="false">
      <c r="A67" s="1" t="n">
        <v>1960</v>
      </c>
      <c r="B67" s="1" t="n">
        <f aca="false">B66+1</f>
        <v>61</v>
      </c>
      <c r="C67" s="1" t="n">
        <v>40</v>
      </c>
      <c r="D67" s="1" t="n">
        <v>1</v>
      </c>
      <c r="E67" s="1" t="n">
        <v>2.82266666666667</v>
      </c>
      <c r="F67" s="1" t="n">
        <v>6.91</v>
      </c>
      <c r="G67" s="1" t="n">
        <v>282.0625</v>
      </c>
    </row>
    <row r="68" customFormat="false" ht="12.75" hidden="false" customHeight="false" outlineLevel="0" collapsed="false">
      <c r="A68" s="1" t="n">
        <v>1959</v>
      </c>
      <c r="B68" s="1" t="n">
        <f aca="false">B67+1</f>
        <v>62</v>
      </c>
      <c r="C68" s="1" t="n">
        <v>29</v>
      </c>
      <c r="D68" s="1" t="n">
        <v>3</v>
      </c>
      <c r="E68" s="1" t="n">
        <v>3.576</v>
      </c>
      <c r="F68" s="1" t="n">
        <v>7.325</v>
      </c>
      <c r="G68" s="1" t="n">
        <v>353.909090909091</v>
      </c>
      <c r="H68" s="1" t="n">
        <v>1093</v>
      </c>
    </row>
    <row r="69" customFormat="false" ht="12.75" hidden="false" customHeight="false" outlineLevel="0" collapsed="false">
      <c r="A69" s="1" t="n">
        <v>1958</v>
      </c>
      <c r="B69" s="1" t="n">
        <f aca="false">B68+1</f>
        <v>63</v>
      </c>
      <c r="C69" s="1" t="n">
        <v>3</v>
      </c>
      <c r="D69" s="1" t="n">
        <v>3</v>
      </c>
      <c r="F69" s="1" t="n">
        <v>7.535</v>
      </c>
      <c r="G69" s="1" t="n">
        <v>388</v>
      </c>
      <c r="H69" s="1" t="n">
        <v>984</v>
      </c>
    </row>
    <row r="70" customFormat="false" ht="12.75" hidden="false" customHeight="false" outlineLevel="0" collapsed="false">
      <c r="A70" s="1" t="n">
        <v>1957</v>
      </c>
      <c r="B70" s="1" t="n">
        <f aca="false">B69+1</f>
        <v>64</v>
      </c>
      <c r="C70" s="1" t="n">
        <v>13</v>
      </c>
      <c r="D70" s="1" t="n">
        <v>3</v>
      </c>
      <c r="E70" s="1" t="n">
        <v>2.3675</v>
      </c>
      <c r="F70" s="1" t="n">
        <v>10.335</v>
      </c>
      <c r="G70" s="1" t="n">
        <v>314</v>
      </c>
      <c r="H70" s="1" t="n">
        <v>1009</v>
      </c>
    </row>
    <row r="71" customFormat="false" ht="12.75" hidden="false" customHeight="false" outlineLevel="0" collapsed="false">
      <c r="A71" s="1" t="n">
        <v>1955</v>
      </c>
      <c r="B71" s="1" t="n">
        <f aca="false">B70+1</f>
        <v>65</v>
      </c>
      <c r="C71" s="1" t="n">
        <v>1</v>
      </c>
      <c r="E71" s="1" t="n">
        <v>1.832</v>
      </c>
      <c r="F71" s="1" t="n">
        <v>6.22</v>
      </c>
      <c r="G71" s="1" t="n">
        <v>326.833333333333</v>
      </c>
    </row>
    <row r="72" customFormat="false" ht="12.75" hidden="false" customHeight="false" outlineLevel="0" collapsed="false">
      <c r="A72" s="1" t="n">
        <v>1954</v>
      </c>
      <c r="B72" s="1" t="n">
        <f aca="false">B71+1</f>
        <v>66</v>
      </c>
      <c r="C72" s="1" t="n">
        <v>14</v>
      </c>
      <c r="D72" s="1" t="n">
        <v>1</v>
      </c>
      <c r="E72" s="1" t="n">
        <v>3.626</v>
      </c>
      <c r="F72" s="1" t="n">
        <v>7.07</v>
      </c>
      <c r="G72" s="1" t="n">
        <v>259.5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2020-02-11T18:11:01Z</dcterms:created>
  <dc:creator>Sergio</dc:creator>
  <dc:description/>
  <dc:language>en-US</dc:language>
  <cp:lastModifiedBy/>
  <dcterms:modified xsi:type="dcterms:W3CDTF">2026-09-11T10:02:01Z</dcterms:modified>
  <cp:revision>319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