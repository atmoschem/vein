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6.png" ContentType="image/png"/>
  <Override PartName="/xl/drawings/_rels/drawing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1.vml" ContentType="application/vnd.openxmlformats-officedocument.vmlDrawing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metadata" sheetId="1" state="visible" r:id="rId2"/>
    <sheet name="fleet_age" sheetId="2" state="visible" r:id="rId3"/>
    <sheet name="tfs" sheetId="3" state="visible" r:id="rId4"/>
    <sheet name="mileage" sheetId="4" state="visible" r:id="rId5"/>
    <sheet name="fuel" sheetId="5" state="visible" r:id="rId6"/>
    <sheet name="euro" sheetId="6" state="visible" r:id="rId7"/>
    <sheet name="old_euro" sheetId="7" state="visible" r:id="rId8"/>
    <sheet name="tech" sheetId="8" state="visible" r:id="rId9"/>
    <sheet name="met" sheetId="9" state="visible" r:id="rId10"/>
    <sheet name="pmonth" sheetId="10" state="visible" r:id="rId11"/>
    <sheet name="fuel_spec" sheetId="11" state="visible" r:id="rId12"/>
    <sheet name="base_fleet" sheetId="12" state="visible" r:id="rId13"/>
    <sheet name="im_ok" sheetId="13" state="visible" r:id="rId14"/>
    <sheet name="im_co" sheetId="14" state="visible" r:id="rId15"/>
    <sheet name="im_hc" sheetId="15" state="visible" r:id="rId16"/>
    <sheet name="im_nox" sheetId="16" state="visible" r:id="rId17"/>
    <sheet name="im_pm25" sheetId="17" state="visible" r:id="rId18"/>
    <sheet name="composicion_manizales" sheetId="18" state="visible" r:id="rId19"/>
  </sheets>
  <definedNames>
    <definedName function="false" hidden="true" localSheetId="1" name="_xlnm._FilterDatabase" vbProcedure="false">fleet_age!$A$1:$AN$60</definedName>
    <definedName function="false" hidden="true" localSheetId="4" name="_xlnm._FilterDatabase" vbProcedure="false">fuel!$A$1:$G$3</definedName>
    <definedName function="false" hidden="true" localSheetId="8" name="_xlnm._FilterDatabase" vbProcedure="false">met!$A$1:$J$13</definedName>
    <definedName function="false" hidden="true" localSheetId="0" name="_xlnm._FilterDatabase" vbProcedure="false">metadata!$A$1:$X$63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" authorId="0">
      <text>
        <r>
          <rPr>
            <sz val="10"/>
            <rFont val="Arial"/>
            <family val="2"/>
            <charset val="1"/>
          </rPr>
          <t xml:space="preserve">Sergio:
</t>
        </r>
        <r>
          <rPr>
            <sz val="9"/>
            <color rgb="FF000000"/>
            <rFont val="Segoe UI"/>
            <family val="0"/>
            <charset val="1"/>
          </rPr>
          <t xml:space="preserve">Valores default EEA
Estos valores cambian por tipo de vehiculo?</t>
        </r>
      </text>
    </comment>
  </commentList>
</comments>
</file>

<file path=xl/sharedStrings.xml><?xml version="1.0" encoding="utf-8"?>
<sst xmlns="http://schemas.openxmlformats.org/spreadsheetml/2006/main" count="8808" uniqueCount="428">
  <si>
    <t xml:space="preserve">family</t>
  </si>
  <si>
    <t xml:space="preserve">vehicles</t>
  </si>
  <si>
    <t xml:space="preserve">name</t>
  </si>
  <si>
    <t xml:space="preserve">fuel</t>
  </si>
  <si>
    <t xml:space="preserve">size</t>
  </si>
  <si>
    <t xml:space="preserve">trips_day</t>
  </si>
  <si>
    <t xml:space="preserve">survival</t>
  </si>
  <si>
    <t xml:space="preserve">survival_param_a</t>
  </si>
  <si>
    <t xml:space="preserve">survival_param_b</t>
  </si>
  <si>
    <t xml:space="preserve">sppm</t>
  </si>
  <si>
    <t xml:space="preserve">Category_EEA</t>
  </si>
  <si>
    <t xml:space="preserve">Fuel_EEA</t>
  </si>
  <si>
    <t xml:space="preserve">Segment_EEA</t>
  </si>
  <si>
    <t xml:space="preserve">Mode_EEA</t>
  </si>
  <si>
    <t xml:space="preserve">Slope_EEA</t>
  </si>
  <si>
    <t xml:space="preserve">Load_EEA</t>
  </si>
  <si>
    <t xml:space="preserve">speed</t>
  </si>
  <si>
    <t xml:space="preserve">driving_cycle</t>
  </si>
  <si>
    <t xml:space="preserve">km_cycle</t>
  </si>
  <si>
    <t xml:space="preserve">note</t>
  </si>
  <si>
    <t xml:space="preserve">v_eea_old</t>
  </si>
  <si>
    <t xml:space="preserve">t_eea_old</t>
  </si>
  <si>
    <t xml:space="preserve">cc_eea_old</t>
  </si>
  <si>
    <t xml:space="preserve">fuel_eea_old</t>
  </si>
  <si>
    <t xml:space="preserve">PC</t>
  </si>
  <si>
    <t xml:space="preserve">PC_MINI_G</t>
  </si>
  <si>
    <t xml:space="preserve">Passenger cars mini with gasoline</t>
  </si>
  <si>
    <t xml:space="preserve">G</t>
  </si>
  <si>
    <t xml:space="preserve">&lt;1400cc</t>
  </si>
  <si>
    <t xml:space="preserve">gompertz</t>
  </si>
  <si>
    <t xml:space="preserve">Passenger Cars</t>
  </si>
  <si>
    <t xml:space="preserve">Small</t>
  </si>
  <si>
    <t xml:space="preserve">FTP-75</t>
  </si>
  <si>
    <t xml:space="preserve">4S</t>
  </si>
  <si>
    <t xml:space="preserve">&lt;=1400</t>
  </si>
  <si>
    <t xml:space="preserve">PC_SMALL_G</t>
  </si>
  <si>
    <t xml:space="preserve">Passenger cars small with gasoline</t>
  </si>
  <si>
    <t xml:space="preserve">1400-2000cc</t>
  </si>
  <si>
    <t xml:space="preserve">PC_MEDIUM_G</t>
  </si>
  <si>
    <t xml:space="preserve">Passenger cars medium with gasoline</t>
  </si>
  <si>
    <t xml:space="preserve">&gt;2000cc</t>
  </si>
  <si>
    <t xml:space="preserve">Medium</t>
  </si>
  <si>
    <t xml:space="preserve">1400_2000</t>
  </si>
  <si>
    <t xml:space="preserve">PC_SUV_G</t>
  </si>
  <si>
    <t xml:space="preserve">Sport utility vehicle with gasoline</t>
  </si>
  <si>
    <t xml:space="preserve">&gt;1400cc</t>
  </si>
  <si>
    <t xml:space="preserve">Large-SUV-Executive</t>
  </si>
  <si>
    <t xml:space="preserve">&gt;2000</t>
  </si>
  <si>
    <t xml:space="preserve">PC_MINI_D</t>
  </si>
  <si>
    <t xml:space="preserve">D</t>
  </si>
  <si>
    <t xml:space="preserve">PC_SMALL_D</t>
  </si>
  <si>
    <t xml:space="preserve">PC_MEDIUM_D</t>
  </si>
  <si>
    <t xml:space="preserve">PC_SUV_D</t>
  </si>
  <si>
    <t xml:space="preserve">PC_ELEC</t>
  </si>
  <si>
    <t xml:space="preserve">Passenger cars electric</t>
  </si>
  <si>
    <t xml:space="preserve">ELEC</t>
  </si>
  <si>
    <t xml:space="preserve">all</t>
  </si>
  <si>
    <t xml:space="preserve">PC_SMALL_HY</t>
  </si>
  <si>
    <t xml:space="preserve">HY</t>
  </si>
  <si>
    <t xml:space="preserve">FH</t>
  </si>
  <si>
    <t xml:space="preserve">TAXI_SMALL_G</t>
  </si>
  <si>
    <t xml:space="preserve">Taxi small with gasoline</t>
  </si>
  <si>
    <t xml:space="preserve">TAXI_SMALL_GLP</t>
  </si>
  <si>
    <t xml:space="preserve">Taxi small with glp</t>
  </si>
  <si>
    <t xml:space="preserve">GLP</t>
  </si>
  <si>
    <t xml:space="preserve">LPG</t>
  </si>
  <si>
    <t xml:space="preserve">LCV</t>
  </si>
  <si>
    <t xml:space="preserve">LCV_NI_G</t>
  </si>
  <si>
    <t xml:space="preserve">Light commercial vehicles N1 with gasoline</t>
  </si>
  <si>
    <t xml:space="preserve">&lt;=1.305t</t>
  </si>
  <si>
    <t xml:space="preserve">Light Commercial Vehicles</t>
  </si>
  <si>
    <t xml:space="preserve">N1-I</t>
  </si>
  <si>
    <t xml:space="preserve">&lt;3.5</t>
  </si>
  <si>
    <t xml:space="preserve">LCV_NII_G</t>
  </si>
  <si>
    <t xml:space="preserve">Light commercial vehicles N2 with gasoline</t>
  </si>
  <si>
    <t xml:space="preserve">1.305-1.76t</t>
  </si>
  <si>
    <t xml:space="preserve">N1-II</t>
  </si>
  <si>
    <t xml:space="preserve">LCV_NIII_G</t>
  </si>
  <si>
    <t xml:space="preserve">Light commercial vehicles N3 with gasoline</t>
  </si>
  <si>
    <t xml:space="preserve">&gt;=1.76t</t>
  </si>
  <si>
    <t xml:space="preserve">N1-III</t>
  </si>
  <si>
    <t xml:space="preserve">LCV_NI_D</t>
  </si>
  <si>
    <t xml:space="preserve">Light commercial vehicles N1 with diesel</t>
  </si>
  <si>
    <t xml:space="preserve">double_logistic</t>
  </si>
  <si>
    <t xml:space="preserve">LCV_NII_D</t>
  </si>
  <si>
    <t xml:space="preserve">Light commercial vehicles N2 with diesel</t>
  </si>
  <si>
    <t xml:space="preserve">LCV_NIII_D</t>
  </si>
  <si>
    <t xml:space="preserve">Light commercial vehicles N3 with diesel</t>
  </si>
  <si>
    <t xml:space="preserve">LCV_ELEC</t>
  </si>
  <si>
    <t xml:space="preserve">Light commercial vehicles electric</t>
  </si>
  <si>
    <t xml:space="preserve">LCV_HY</t>
  </si>
  <si>
    <t xml:space="preserve">TRUCKS</t>
  </si>
  <si>
    <t xml:space="preserve">TRUCKS_RT_7_D</t>
  </si>
  <si>
    <t xml:space="preserve">&lt;=7.5t</t>
  </si>
  <si>
    <t xml:space="preserve">Heavy Duty Trucks</t>
  </si>
  <si>
    <t xml:space="preserve">Rigid &lt;=7,5 t</t>
  </si>
  <si>
    <t xml:space="preserve">City Suburban cycle</t>
  </si>
  <si>
    <t xml:space="preserve">Trucks</t>
  </si>
  <si>
    <t xml:space="preserve">RT</t>
  </si>
  <si>
    <t xml:space="preserve">&lt;=7.5</t>
  </si>
  <si>
    <t xml:space="preserve">TRUCKS_RT_7_12_D</t>
  </si>
  <si>
    <t xml:space="preserve">7.5-12t</t>
  </si>
  <si>
    <t xml:space="preserve">Rigid 7,5 - 12 t</t>
  </si>
  <si>
    <t xml:space="preserve">&gt;7.5 &amp; &lt;=12</t>
  </si>
  <si>
    <t xml:space="preserve">TRUCKS_RT_12_14_D</t>
  </si>
  <si>
    <t xml:space="preserve">12-14t</t>
  </si>
  <si>
    <t xml:space="preserve">Rigid 12 - 14 t</t>
  </si>
  <si>
    <t xml:space="preserve">&gt;12 &amp; &lt;=14</t>
  </si>
  <si>
    <t xml:space="preserve">TRUCKS_RT_14_16_D</t>
  </si>
  <si>
    <t xml:space="preserve">14-16t</t>
  </si>
  <si>
    <t xml:space="preserve">Rigid 14 - 20 t</t>
  </si>
  <si>
    <t xml:space="preserve">&gt;14 &amp; &lt;=20</t>
  </si>
  <si>
    <t xml:space="preserve">TRUCKS_RT_16_20_D</t>
  </si>
  <si>
    <t xml:space="preserve">16-20t</t>
  </si>
  <si>
    <t xml:space="preserve">TRUCKS_RT_20_26_D</t>
  </si>
  <si>
    <t xml:space="preserve">20-26t</t>
  </si>
  <si>
    <t xml:space="preserve">Rigid 20 - 26 t</t>
  </si>
  <si>
    <t xml:space="preserve">&gt;20 &amp; &lt;=26</t>
  </si>
  <si>
    <t xml:space="preserve">TRUCKS_RT_26_28_D</t>
  </si>
  <si>
    <t xml:space="preserve">26-28t</t>
  </si>
  <si>
    <t xml:space="preserve">Rigid 26 - 28 t</t>
  </si>
  <si>
    <t xml:space="preserve">&gt;26 &amp; &lt;=28</t>
  </si>
  <si>
    <t xml:space="preserve">TRUCKS_RT_28_32_D</t>
  </si>
  <si>
    <t xml:space="preserve">38-32t</t>
  </si>
  <si>
    <t xml:space="preserve">Rigid 28 - 32 t</t>
  </si>
  <si>
    <t xml:space="preserve">&gt;28 &amp; &lt;=32</t>
  </si>
  <si>
    <t xml:space="preserve">TRUCKS_RT_32_D</t>
  </si>
  <si>
    <t xml:space="preserve">&gt;=32t</t>
  </si>
  <si>
    <t xml:space="preserve">Rigid &gt;32 t</t>
  </si>
  <si>
    <t xml:space="preserve">&gt;32</t>
  </si>
  <si>
    <t xml:space="preserve">TRUCKS_RT_7_G</t>
  </si>
  <si>
    <t xml:space="preserve">tratados como PC para incorporar euro. Camiones gasolineros solo tienen pre-euro</t>
  </si>
  <si>
    <t xml:space="preserve">TRUCKS_RT_7_12_G</t>
  </si>
  <si>
    <t xml:space="preserve">TRUCKS_RT_12_14_G</t>
  </si>
  <si>
    <t xml:space="preserve">TRUCKS_RT_14_16_G</t>
  </si>
  <si>
    <t xml:space="preserve">TRUCKS_RT_16_20_G</t>
  </si>
  <si>
    <t xml:space="preserve">TRUCKS_RT_20_26_G</t>
  </si>
  <si>
    <t xml:space="preserve">TRUCKS_RT_26_28_G</t>
  </si>
  <si>
    <t xml:space="preserve">TRUCKS_RT_28_32_G</t>
  </si>
  <si>
    <t xml:space="preserve">TRUCKS_RT_32_G</t>
  </si>
  <si>
    <t xml:space="preserve">TRUCKS_AT_16_20_D</t>
  </si>
  <si>
    <t xml:space="preserve">Articulated 14 - 20 t</t>
  </si>
  <si>
    <t xml:space="preserve">TT</t>
  </si>
  <si>
    <t xml:space="preserve">&gt;20 &amp; &lt;=28</t>
  </si>
  <si>
    <t xml:space="preserve">TRUCKS_AT_20_28_D</t>
  </si>
  <si>
    <t xml:space="preserve">20-28t</t>
  </si>
  <si>
    <t xml:space="preserve">Articulated 20 - 28 t</t>
  </si>
  <si>
    <t xml:space="preserve">TRUCKS_AT_28_34_D</t>
  </si>
  <si>
    <t xml:space="preserve">28-34t</t>
  </si>
  <si>
    <t xml:space="preserve">Articulated 28 - 34 t</t>
  </si>
  <si>
    <t xml:space="preserve">&gt;28 &amp; &lt;=34</t>
  </si>
  <si>
    <t xml:space="preserve">TRUCKS_AT_34_40_D</t>
  </si>
  <si>
    <t xml:space="preserve">34-40t</t>
  </si>
  <si>
    <t xml:space="preserve">Articulated 34 - 40 t</t>
  </si>
  <si>
    <t xml:space="preserve">&gt;34 &amp; &lt;=40</t>
  </si>
  <si>
    <t xml:space="preserve">TRUCKS_AT_40_50_D</t>
  </si>
  <si>
    <t xml:space="preserve">40-50t</t>
  </si>
  <si>
    <t xml:space="preserve">Articulated 40 - 50 t</t>
  </si>
  <si>
    <t xml:space="preserve">&gt;40 &amp; &lt;=50</t>
  </si>
  <si>
    <t xml:space="preserve">TRUCKS_AT_50_60_D</t>
  </si>
  <si>
    <t xml:space="preserve">50-60t</t>
  </si>
  <si>
    <t xml:space="preserve">Articulated 50 - 60 t</t>
  </si>
  <si>
    <t xml:space="preserve">&gt;50 &amp; &lt;=60</t>
  </si>
  <si>
    <t xml:space="preserve">TRUCKS_ELEC</t>
  </si>
  <si>
    <t xml:space="preserve">Trucks electric</t>
  </si>
  <si>
    <t xml:space="preserve">&gt;3,5 t</t>
  </si>
  <si>
    <t xml:space="preserve">BUS</t>
  </si>
  <si>
    <t xml:space="preserve">BUS_UB_15_D</t>
  </si>
  <si>
    <t xml:space="preserve">&lt;=15t</t>
  </si>
  <si>
    <t xml:space="preserve">Buses</t>
  </si>
  <si>
    <t xml:space="preserve">Urban Buses Midi &lt;=15 t</t>
  </si>
  <si>
    <t xml:space="preserve">Ubus</t>
  </si>
  <si>
    <t xml:space="preserve">Midi</t>
  </si>
  <si>
    <t xml:space="preserve">&lt;=15</t>
  </si>
  <si>
    <t xml:space="preserve">BUS_UB_15_18_D</t>
  </si>
  <si>
    <t xml:space="preserve">15-18t</t>
  </si>
  <si>
    <t xml:space="preserve">Urban Buses Standard 15 - 18 t</t>
  </si>
  <si>
    <t xml:space="preserve">Std</t>
  </si>
  <si>
    <t xml:space="preserve">&gt;15 &amp; &lt;=18</t>
  </si>
  <si>
    <t xml:space="preserve">BUS_UB_18_D</t>
  </si>
  <si>
    <t xml:space="preserve">&gt;=18t</t>
  </si>
  <si>
    <t xml:space="preserve">Urban Buses Articulated &gt;18 t</t>
  </si>
  <si>
    <t xml:space="preserve">Artic</t>
  </si>
  <si>
    <t xml:space="preserve">&gt;18</t>
  </si>
  <si>
    <t xml:space="preserve">BUS_UB_15_G</t>
  </si>
  <si>
    <t xml:space="preserve">No hay EF de buses usando gasolina, asi que seran usados de SUV (better than nothing)</t>
  </si>
  <si>
    <t xml:space="preserve">BUS_UB_15_18_G</t>
  </si>
  <si>
    <t xml:space="preserve">BUS_UB_18_G</t>
  </si>
  <si>
    <t xml:space="preserve">BUS_COACH_17_D</t>
  </si>
  <si>
    <t xml:space="preserve">&lt;=18</t>
  </si>
  <si>
    <t xml:space="preserve">Coaches Standard &lt;=18 t</t>
  </si>
  <si>
    <t xml:space="preserve">Coach</t>
  </si>
  <si>
    <t xml:space="preserve">BUS_COACH_18_D</t>
  </si>
  <si>
    <t xml:space="preserve">&gt;18t</t>
  </si>
  <si>
    <t xml:space="preserve">Coaches Articulated &gt;18 t</t>
  </si>
  <si>
    <t xml:space="preserve">3Axes</t>
  </si>
  <si>
    <t xml:space="preserve">BUS_COACH_17_G</t>
  </si>
  <si>
    <t xml:space="preserve">BUS_COACH_18_G</t>
  </si>
  <si>
    <t xml:space="preserve">BUS_UB_15_HY</t>
  </si>
  <si>
    <t xml:space="preserve">Bus hybrid</t>
  </si>
  <si>
    <t xml:space="preserve">Diesel Hybrid ~ Diesel</t>
  </si>
  <si>
    <t xml:space="preserve">BUS_ELEC</t>
  </si>
  <si>
    <t xml:space="preserve">Bus electric</t>
  </si>
  <si>
    <t xml:space="preserve">Diesel Hybrid ~ Electricity</t>
  </si>
  <si>
    <t xml:space="preserve">MC</t>
  </si>
  <si>
    <t xml:space="preserve">MC_2S_50_G</t>
  </si>
  <si>
    <t xml:space="preserve">Motorcycle 2 strokes &gt;=50 cc gasoline</t>
  </si>
  <si>
    <t xml:space="preserve">50cc</t>
  </si>
  <si>
    <t xml:space="preserve">L-Category</t>
  </si>
  <si>
    <t xml:space="preserve">Mopeds 2-stroke &lt;50 cm³</t>
  </si>
  <si>
    <t xml:space="preserve">WMTC</t>
  </si>
  <si>
    <t xml:space="preserve">espacio en blanco significa NA en R, que es diferente de 0</t>
  </si>
  <si>
    <t xml:space="preserve">Motorcycle</t>
  </si>
  <si>
    <t xml:space="preserve">2S</t>
  </si>
  <si>
    <t xml:space="preserve">&gt;=50</t>
  </si>
  <si>
    <t xml:space="preserve">MC_4S_50_250_G</t>
  </si>
  <si>
    <t xml:space="preserve">Motorcycle 4 strokes &lt;=250 cc gasoline</t>
  </si>
  <si>
    <t xml:space="preserve">50_250</t>
  </si>
  <si>
    <t xml:space="preserve">Motorcycles 4-stroke &lt;250 cm³</t>
  </si>
  <si>
    <t xml:space="preserve">&lt;=250</t>
  </si>
  <si>
    <t xml:space="preserve">MC_4S_250_750_G</t>
  </si>
  <si>
    <t xml:space="preserve">Motorcycle 4 strokes 250-750 cc gasoline</t>
  </si>
  <si>
    <t xml:space="preserve">250-750cc</t>
  </si>
  <si>
    <t xml:space="preserve">Motorcycles 4-stroke 250 - 750 cm³</t>
  </si>
  <si>
    <t xml:space="preserve">250_750</t>
  </si>
  <si>
    <t xml:space="preserve">MC_4S_750_G</t>
  </si>
  <si>
    <t xml:space="preserve">Motorcycle 4 strokes &gt;=750 cc gasoline</t>
  </si>
  <si>
    <t xml:space="preserve">&gt;=750cc</t>
  </si>
  <si>
    <t xml:space="preserve">Motorcycles 4-stroke &gt;750 cm³</t>
  </si>
  <si>
    <t xml:space="preserve">&gt;=750</t>
  </si>
  <si>
    <t xml:space="preserve">MC_ELEC</t>
  </si>
  <si>
    <t xml:space="preserve">Motorcycle electric</t>
  </si>
  <si>
    <t xml:space="preserve">Year</t>
  </si>
  <si>
    <t xml:space="preserve">Age</t>
  </si>
  <si>
    <t xml:space="preserve">density_tm3</t>
  </si>
  <si>
    <t xml:space="preserve">consumption_lt</t>
  </si>
  <si>
    <t xml:space="preserve">UF</t>
  </si>
  <si>
    <t xml:space="preserve">region</t>
  </si>
  <si>
    <t xml:space="preserve">FUEL_M3</t>
  </si>
  <si>
    <t xml:space="preserve">FUEL</t>
  </si>
  <si>
    <t xml:space="preserve">gallons</t>
  </si>
  <si>
    <t xml:space="preserve">CO</t>
  </si>
  <si>
    <t xml:space="preserve">MANIZALES</t>
  </si>
  <si>
    <t xml:space="preserve">GASOLINE</t>
  </si>
  <si>
    <t xml:space="preserve">DIESEL</t>
  </si>
  <si>
    <t xml:space="preserve">Euro 3</t>
  </si>
  <si>
    <t xml:space="preserve">Euro 4</t>
  </si>
  <si>
    <t xml:space="preserve">Euro 2</t>
  </si>
  <si>
    <t xml:space="preserve">Euro 1</t>
  </si>
  <si>
    <t xml:space="preserve">Open Loop</t>
  </si>
  <si>
    <t xml:space="preserve">Conventional</t>
  </si>
  <si>
    <t xml:space="preserve">PRE</t>
  </si>
  <si>
    <t xml:space="preserve">ECE 15/04</t>
  </si>
  <si>
    <t xml:space="preserve">III</t>
  </si>
  <si>
    <t xml:space="preserve">IV</t>
  </si>
  <si>
    <t xml:space="preserve">II</t>
  </si>
  <si>
    <t xml:space="preserve">I</t>
  </si>
  <si>
    <t xml:space="preserve">PFI</t>
  </si>
  <si>
    <t xml:space="preserve">DPF</t>
  </si>
  <si>
    <t xml:space="preserve">capitals</t>
  </si>
  <si>
    <t xml:space="preserve">variable</t>
  </si>
  <si>
    <t xml:space="preserve">value</t>
  </si>
  <si>
    <t xml:space="preserve">Estados</t>
  </si>
  <si>
    <t xml:space="preserve">Temperature</t>
  </si>
  <si>
    <t xml:space="preserve">date</t>
  </si>
  <si>
    <t xml:space="preserve">Month</t>
  </si>
  <si>
    <t xml:space="preserve">EC</t>
  </si>
  <si>
    <t xml:space="preserve">X2017.01.01</t>
  </si>
  <si>
    <t xml:space="preserve">X2017.02.01</t>
  </si>
  <si>
    <t xml:space="preserve">X2017.03.01</t>
  </si>
  <si>
    <t xml:space="preserve">X2017.04.01</t>
  </si>
  <si>
    <t xml:space="preserve">X2017.05.01</t>
  </si>
  <si>
    <t xml:space="preserve">X2017.06.01</t>
  </si>
  <si>
    <t xml:space="preserve">X2017.07.01</t>
  </si>
  <si>
    <t xml:space="preserve">X2017.08.01</t>
  </si>
  <si>
    <t xml:space="preserve">X2017.09.01</t>
  </si>
  <si>
    <t xml:space="preserve">X2017.10.01</t>
  </si>
  <si>
    <t xml:space="preserve">X2017.11.01</t>
  </si>
  <si>
    <t xml:space="preserve">X2017.12.01</t>
  </si>
  <si>
    <t xml:space="preserve">parameter</t>
  </si>
  <si>
    <t xml:space="preserve">definition</t>
  </si>
  <si>
    <t xml:space="preserve">e100</t>
  </si>
  <si>
    <t xml:space="preserve">Mid range volatility in</t>
  </si>
  <si>
    <t xml:space="preserve">aro</t>
  </si>
  <si>
    <t xml:space="preserve">Aromatics content in</t>
  </si>
  <si>
    <t xml:space="preserve">o2</t>
  </si>
  <si>
    <t xml:space="preserve">Oxygenates</t>
  </si>
  <si>
    <t xml:space="preserve">e150</t>
  </si>
  <si>
    <t xml:space="preserve">Tail-end volatility in</t>
  </si>
  <si>
    <t xml:space="preserve">olefin</t>
  </si>
  <si>
    <t xml:space="preserve">Olefins content in</t>
  </si>
  <si>
    <t xml:space="preserve">s</t>
  </si>
  <si>
    <t xml:space="preserve">Sulphur content in ppm</t>
  </si>
  <si>
    <t xml:space="preserve">den</t>
  </si>
  <si>
    <t xml:space="preserve">Density at 15 C (kg/m3)</t>
  </si>
  <si>
    <t xml:space="preserve">pah</t>
  </si>
  <si>
    <t xml:space="preserve">cn</t>
  </si>
  <si>
    <t xml:space="preserve">Cetane number</t>
  </si>
  <si>
    <t xml:space="preserve">t95</t>
  </si>
  <si>
    <t xml:space="preserve">Back-end distillation in o C.</t>
  </si>
  <si>
    <t xml:space="preserve">MODELO</t>
  </si>
  <si>
    <t xml:space="preserve">PC_MEDIUM_DIESEL</t>
  </si>
  <si>
    <t xml:space="preserve">PC_MEDIUM_ELECTRICO</t>
  </si>
  <si>
    <t xml:space="preserve">PC_MEDIUM_GASOLINA</t>
  </si>
  <si>
    <t xml:space="preserve">PC_MEDIUM_HIBRIDO</t>
  </si>
  <si>
    <t xml:space="preserve">PC_MINI_DIESEL</t>
  </si>
  <si>
    <t xml:space="preserve">PC_MINI_ELECTRICO</t>
  </si>
  <si>
    <t xml:space="preserve">PC_MINI_GASOLINA</t>
  </si>
  <si>
    <t xml:space="preserve">PC_MINI_GLP</t>
  </si>
  <si>
    <t xml:space="preserve">PC_MINI_HIBRIDO</t>
  </si>
  <si>
    <t xml:space="preserve">PC_SMALL_DIESEL</t>
  </si>
  <si>
    <t xml:space="preserve">PC_SMALL_ELECTRICO</t>
  </si>
  <si>
    <t xml:space="preserve">PC_SMALL_GASOLINA</t>
  </si>
  <si>
    <t xml:space="preserve">PC_SMALL_GLP</t>
  </si>
  <si>
    <t xml:space="preserve">PC_SMALL_HIBRIDO</t>
  </si>
  <si>
    <t xml:space="preserve">SUV__DIESEL</t>
  </si>
  <si>
    <t xml:space="preserve">SUV__ELECTRICO</t>
  </si>
  <si>
    <t xml:space="preserve">SUV__GASOLINA</t>
  </si>
  <si>
    <t xml:space="preserve">SUV__GLP</t>
  </si>
  <si>
    <t xml:space="preserve">SUV__HIBRIDO</t>
  </si>
  <si>
    <t xml:space="preserve">LCV_N1-III_DIESEL</t>
  </si>
  <si>
    <t xml:space="preserve">LCV_N1-III_GASOLINA</t>
  </si>
  <si>
    <t xml:space="preserve">LCV_N1-III_GLP</t>
  </si>
  <si>
    <t xml:space="preserve">LCV_N1-III_HIBRIDO</t>
  </si>
  <si>
    <t xml:space="preserve">LCV_N1-II_DIESEL</t>
  </si>
  <si>
    <t xml:space="preserve">LCV_N1-II_ELECTRICO</t>
  </si>
  <si>
    <t xml:space="preserve">LCV_N1-II_GASOLINA</t>
  </si>
  <si>
    <t xml:space="preserve">LCV_N1-II_GLP</t>
  </si>
  <si>
    <t xml:space="preserve">LCV_N1-II_HIBRIDO</t>
  </si>
  <si>
    <t xml:space="preserve">LCV_N1-I_DIESEL</t>
  </si>
  <si>
    <t xml:space="preserve">LCV_N1-I_ELECTRICO</t>
  </si>
  <si>
    <t xml:space="preserve">LCV_N1-I_GASOLINA</t>
  </si>
  <si>
    <t xml:space="preserve">LCV_N1-I_GLP</t>
  </si>
  <si>
    <t xml:space="preserve">LCV_N1-I_HIBRIDO</t>
  </si>
  <si>
    <t xml:space="preserve">TRUCKS_RT_&lt;=7.5_DIESEL</t>
  </si>
  <si>
    <t xml:space="preserve">TRUCKS_RT_&lt;=7.5_ELECTRICO</t>
  </si>
  <si>
    <t xml:space="preserve">TRUCKS_RT_&lt;=7.5_GASOLINA</t>
  </si>
  <si>
    <t xml:space="preserve">TRUCKS_RT_&lt;=7.5_HIBRIDO</t>
  </si>
  <si>
    <t xml:space="preserve">TRUCKS_RT_7.5-12_DIESEL</t>
  </si>
  <si>
    <t xml:space="preserve">TRUCKS_RT_7.5-12_ELECTRICO</t>
  </si>
  <si>
    <t xml:space="preserve">TRUCKS_RT_7.5-12_GASOLINA</t>
  </si>
  <si>
    <t xml:space="preserve">TRUCKS_RT_12-14_DIESEL</t>
  </si>
  <si>
    <t xml:space="preserve">TRUCKS_RT_12-14_ELECTRICO</t>
  </si>
  <si>
    <t xml:space="preserve">TRUCKS_RT_12-14_GASOLINA</t>
  </si>
  <si>
    <t xml:space="preserve">TRUCKS_RT_14-16_DIESEL</t>
  </si>
  <si>
    <t xml:space="preserve">TRUCKS_RT_14-16_GASOLINA</t>
  </si>
  <si>
    <t xml:space="preserve">TRUCKS_RT_16-20_DIESEL</t>
  </si>
  <si>
    <t xml:space="preserve">TRUCKS_RT_16-20_GASOLINA</t>
  </si>
  <si>
    <t xml:space="preserve">TRUCKS_RT_20-26_DIESEL</t>
  </si>
  <si>
    <t xml:space="preserve">TRUCKS_RT_20-26_GASOLINA</t>
  </si>
  <si>
    <t xml:space="preserve">TRUCKS_RT_26-28_DIESEL</t>
  </si>
  <si>
    <t xml:space="preserve">TRUCKS_RT_26-28_GASOLINA</t>
  </si>
  <si>
    <t xml:space="preserve">TRUCKS_RT_26-32_DIESEL</t>
  </si>
  <si>
    <t xml:space="preserve">TRUCKS_RT_&gt;32_DIESEL</t>
  </si>
  <si>
    <t xml:space="preserve">TRUCKS_RT_26-32_GASOLINA</t>
  </si>
  <si>
    <t xml:space="preserve">TRUCKS_AT_16-20_DIESEL</t>
  </si>
  <si>
    <t xml:space="preserve">TRUCKS_AT_20-28_DIESEL</t>
  </si>
  <si>
    <t xml:space="preserve">TRUCKS_AT_28-34_DIESEL</t>
  </si>
  <si>
    <t xml:space="preserve">TRUCKS_AT_34-40_DIESEL</t>
  </si>
  <si>
    <t xml:space="preserve">TRUCKS_AT_40-50_DIESEL</t>
  </si>
  <si>
    <t xml:space="preserve">TRUCKS_AT_50-60_DIESEL</t>
  </si>
  <si>
    <t xml:space="preserve">BUS_UB_15-18_DIESEL</t>
  </si>
  <si>
    <t xml:space="preserve">BUS_UB_15-18_GASOLINA</t>
  </si>
  <si>
    <t xml:space="preserve">BUS_UB_&lt;15t_DIESEL</t>
  </si>
  <si>
    <t xml:space="preserve">BUS_UB_&lt;15t_GASOLINA</t>
  </si>
  <si>
    <t xml:space="preserve">BUS_UB_&gt;=18_DIESEL</t>
  </si>
  <si>
    <t xml:space="preserve">BUS_UB_&gt;=18_GASOLINA</t>
  </si>
  <si>
    <t xml:space="preserve">BUS_COACH_&lt;18t_DIESEL</t>
  </si>
  <si>
    <t xml:space="preserve">BUS_COACH_&lt;18t_GASOLINA</t>
  </si>
  <si>
    <t xml:space="preserve">BUS_COACH_&gt;=18_DIESEL</t>
  </si>
  <si>
    <t xml:space="preserve">BUS_COACH_&gt;=18_GASOLINA</t>
  </si>
  <si>
    <t xml:space="preserve">MOTORCYCLES_250-750cc_DIESEL</t>
  </si>
  <si>
    <t xml:space="preserve">MOTORCYCLES_250-750cc_ELECTRICO</t>
  </si>
  <si>
    <t xml:space="preserve">MOTORCYCLES_250-750cc_GASOLINA</t>
  </si>
  <si>
    <t xml:space="preserve">MOTORCYCLES_250-750cc_GLP</t>
  </si>
  <si>
    <t xml:space="preserve">MOTORCYCLES_250-750cc_HIBRIDO</t>
  </si>
  <si>
    <t xml:space="preserve">MOTORCYCLES_50-250cc_DIESEL</t>
  </si>
  <si>
    <t xml:space="preserve">MOTORCYCLES_50-250cc_ELECTRICO</t>
  </si>
  <si>
    <t xml:space="preserve">MOTORCYCLES_50-250cc_GASOLINA</t>
  </si>
  <si>
    <t xml:space="preserve">MOTORCYCLES_50-250cc_GLP</t>
  </si>
  <si>
    <t xml:space="preserve">MOTORCYCLES_50-250cc_HIBRIDO</t>
  </si>
  <si>
    <t xml:space="preserve">MOTORCYCLES_&lt;=50cc_ELECTRICO</t>
  </si>
  <si>
    <t xml:space="preserve">MOTORCYCLES_&lt;=50cc_GASOLINA</t>
  </si>
  <si>
    <t xml:space="preserve">MOTORCYCLES_&lt;=50cc_GLP</t>
  </si>
  <si>
    <t xml:space="preserve">MOTORCYCLES_&gt;750cc_DIESEL</t>
  </si>
  <si>
    <t xml:space="preserve">MOTORCYCLES_&gt;750cc_GASOLINA</t>
  </si>
  <si>
    <t xml:space="preserve">Categoría vehicular </t>
  </si>
  <si>
    <t xml:space="preserve">Combustible</t>
  </si>
  <si>
    <t xml:space="preserve">Subcategoria</t>
  </si>
  <si>
    <t xml:space="preserve">COPERT</t>
  </si>
  <si>
    <t xml:space="preserve"># Vehiculos</t>
  </si>
  <si>
    <t xml:space="preserve">Distribución por tecnologia vehicular, combustible y PBV-Cilindraje</t>
  </si>
  <si>
    <t xml:space="preserve">Manizales</t>
  </si>
  <si>
    <t xml:space="preserve">Data</t>
  </si>
  <si>
    <t xml:space="preserve">%</t>
  </si>
  <si>
    <t xml:space="preserve">Autos</t>
  </si>
  <si>
    <t xml:space="preserve">Gasolina</t>
  </si>
  <si>
    <t xml:space="preserve">Light</t>
  </si>
  <si>
    <t xml:space="preserve">LDV</t>
  </si>
  <si>
    <t xml:space="preserve">Euro I</t>
  </si>
  <si>
    <t xml:space="preserve">Bus</t>
  </si>
  <si>
    <t xml:space="preserve">Euro II</t>
  </si>
  <si>
    <t xml:space="preserve">Euro III</t>
  </si>
  <si>
    <t xml:space="preserve">Taxi</t>
  </si>
  <si>
    <t xml:space="preserve">Diesel</t>
  </si>
  <si>
    <t xml:space="preserve">Convencional</t>
  </si>
  <si>
    <t xml:space="preserve">Euro IV</t>
  </si>
  <si>
    <t xml:space="preserve">Gas Gasolina</t>
  </si>
  <si>
    <t xml:space="preserve">Heavy</t>
  </si>
  <si>
    <t xml:space="preserve">Camiones C2</t>
  </si>
  <si>
    <t xml:space="preserve">&lt;=7500</t>
  </si>
  <si>
    <t xml:space="preserve">7500-12000</t>
  </si>
  <si>
    <t xml:space="preserve">12000-14000</t>
  </si>
  <si>
    <t xml:space="preserve">Camión C2+</t>
  </si>
  <si>
    <t xml:space="preserve">14000-20000</t>
  </si>
  <si>
    <t xml:space="preserve">&gt;20000</t>
  </si>
  <si>
    <t xml:space="preserve">&gt;26000</t>
  </si>
  <si>
    <t xml:space="preserve">&gt;28000</t>
  </si>
  <si>
    <t xml:space="preserve">&lt;=15000</t>
  </si>
  <si>
    <t xml:space="preserve">EuroII</t>
  </si>
  <si>
    <t xml:space="preserve">EuroIII</t>
  </si>
  <si>
    <t xml:space="preserve">&gt;15000</t>
  </si>
  <si>
    <t xml:space="preserve">Motocicletas 2 tiempos</t>
  </si>
  <si>
    <t xml:space="preserve">&gt;50</t>
  </si>
  <si>
    <t xml:space="preserve">Motocicletas 4 tiempos</t>
  </si>
  <si>
    <t xml:space="preserve">&lt;250</t>
  </si>
  <si>
    <t xml:space="preserve">&gt;=250</t>
  </si>
  <si>
    <t xml:space="preserve">&gt;750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</si>
</sst>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"/>
    <numFmt numFmtId="167" formatCode="0.0"/>
    <numFmt numFmtId="168" formatCode="m/d/yyyy\ h:mm"/>
    <numFmt numFmtId="169" formatCode="yyyy\-mm\-dd"/>
    <numFmt numFmtId="170" formatCode="0.00"/>
    <numFmt numFmtId="171" formatCode="0%"/>
    <numFmt numFmtId="172" formatCode="0.00%"/>
    <numFmt numFmtId="173" formatCode="0.00000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9"/>
      <color rgb="FF000000"/>
      <name val="Segoe UI"/>
      <family val="0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b val="true"/>
      <sz val="11"/>
      <color rgb="FF000000"/>
      <name val="Arial Narrow"/>
      <family val="2"/>
      <charset val="1"/>
    </font>
    <font>
      <sz val="11"/>
      <color rgb="FF000000"/>
      <name val="Arial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D7"/>
        <bgColor rgb="FFF2F2F2"/>
      </patternFill>
    </fill>
    <fill>
      <patternFill patternType="solid">
        <fgColor rgb="FFA9D18E"/>
        <bgColor rgb="FFC5E0B4"/>
      </patternFill>
    </fill>
    <fill>
      <patternFill patternType="solid">
        <fgColor rgb="FFC5E0B4"/>
        <bgColor rgb="FFD9D9D9"/>
      </patternFill>
    </fill>
    <fill>
      <patternFill patternType="solid">
        <fgColor rgb="FFBDD7EE"/>
        <bgColor rgb="FFADD8E6"/>
      </patternFill>
    </fill>
    <fill>
      <patternFill patternType="solid">
        <fgColor rgb="FFD9D9D9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87CEFA"/>
        <bgColor rgb="FFADD8E6"/>
      </patternFill>
    </fill>
    <fill>
      <patternFill patternType="solid">
        <fgColor rgb="FFFFC0CB"/>
        <bgColor rgb="FFFFB6C1"/>
      </patternFill>
    </fill>
    <fill>
      <patternFill patternType="solid">
        <fgColor rgb="FFFFB6C1"/>
        <bgColor rgb="FFFFC0CB"/>
      </patternFill>
    </fill>
    <fill>
      <patternFill patternType="solid">
        <fgColor rgb="FFE0FFFF"/>
        <bgColor rgb="FFF2F2F2"/>
      </patternFill>
    </fill>
    <fill>
      <patternFill patternType="solid">
        <fgColor rgb="FFADD8E6"/>
        <bgColor rgb="FFBDD7EE"/>
      </patternFill>
    </fill>
    <fill>
      <patternFill patternType="solid">
        <fgColor rgb="FFF2F2F2"/>
        <bgColor rgb="FFE0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fgColor rgb="FF2E3436"/>
          <bgColor rgb="FFFFFFFF"/>
        </patternFill>
      </fill>
    </dxf>
    <dxf>
      <fill>
        <patternFill patternType="solid">
          <bgColor rgb="FFF2F2F2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ADD8E6"/>
      <rgbColor rgb="FF993366"/>
      <rgbColor rgb="FFFFFFD7"/>
      <rgbColor rgb="FFE0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FF99"/>
      <rgbColor rgb="FF87CEFA"/>
      <rgbColor rgb="FFFFB6C1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64</xdr:col>
      <xdr:colOff>826200</xdr:colOff>
      <xdr:row>1</xdr:row>
      <xdr:rowOff>5400</xdr:rowOff>
    </xdr:from>
    <xdr:to>
      <xdr:col>74</xdr:col>
      <xdr:colOff>387360</xdr:colOff>
      <xdr:row>32</xdr:row>
      <xdr:rowOff>117360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72289440" y="167760"/>
          <a:ext cx="7860600" cy="5151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6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31" activeCellId="0" sqref="A31"/>
    </sheetView>
  </sheetViews>
  <sheetFormatPr defaultColWidth="11.77734375" defaultRowHeight="13.2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.33"/>
    <col collapsed="false" customWidth="true" hidden="false" outlineLevel="0" max="3" min="3" style="0" width="39.11"/>
    <col collapsed="false" customWidth="true" hidden="false" outlineLevel="0" max="4" min="4" style="0" width="7.67"/>
    <col collapsed="false" customWidth="true" hidden="false" outlineLevel="0" max="6" min="5" style="0" width="12.78"/>
    <col collapsed="false" customWidth="true" hidden="false" outlineLevel="0" max="7" min="7" style="0" width="14.43"/>
    <col collapsed="false" customWidth="true" hidden="false" outlineLevel="0" max="9" min="8" style="0" width="20.64"/>
    <col collapsed="false" customWidth="true" hidden="false" outlineLevel="0" max="10" min="10" style="0" width="9.13"/>
    <col collapsed="false" customWidth="true" hidden="false" outlineLevel="0" max="11" min="11" style="0" width="24.56"/>
    <col collapsed="false" customWidth="true" hidden="false" outlineLevel="0" max="12" min="12" style="0" width="24.11"/>
    <col collapsed="false" customWidth="true" hidden="false" outlineLevel="0" max="13" min="13" style="0" width="32.87"/>
    <col collapsed="false" customWidth="true" hidden="false" outlineLevel="0" max="14" min="14" style="0" width="13.89"/>
    <col collapsed="false" customWidth="true" hidden="false" outlineLevel="0" max="15" min="15" style="0" width="14.01"/>
    <col collapsed="false" customWidth="true" hidden="false" outlineLevel="0" max="16" min="16" style="0" width="13.43"/>
    <col collapsed="false" customWidth="true" hidden="false" outlineLevel="0" max="17" min="17" style="0" width="9.56"/>
    <col collapsed="false" customWidth="true" hidden="false" outlineLevel="0" max="19" min="18" style="0" width="17.78"/>
    <col collapsed="false" customWidth="true" hidden="false" outlineLevel="0" max="20" min="20" style="0" width="80.56"/>
    <col collapsed="false" customWidth="true" hidden="false" outlineLevel="0" max="21" min="21" style="0" width="13.22"/>
    <col collapsed="false" customWidth="true" hidden="false" outlineLevel="0" max="22" min="22" style="0" width="12.78"/>
    <col collapsed="false" customWidth="true" hidden="false" outlineLevel="0" max="23" min="23" style="0" width="14.22"/>
    <col collapsed="false" customWidth="true" hidden="false" outlineLevel="0" max="24" min="24" style="0" width="15.34"/>
  </cols>
  <sheetData>
    <row r="1" customFormat="false" ht="13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customFormat="false" ht="13.2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n">
        <v>4.5</v>
      </c>
      <c r="G2" s="0" t="s">
        <v>29</v>
      </c>
      <c r="H2" s="0" t="n">
        <v>1.798</v>
      </c>
      <c r="I2" s="0" t="n">
        <v>-0.137</v>
      </c>
      <c r="J2" s="4" t="n">
        <f aca="false">IF(D2="D", 250, 50)</f>
        <v>50</v>
      </c>
      <c r="K2" s="0" t="s">
        <v>30</v>
      </c>
      <c r="L2" s="0" t="str">
        <f aca="false">IF(D2="G","Petrol",IF(D2="D","Diesel",IF(D2="HY","Petrol Hybrid",IF(D2="GLP","LPG Bifuell ~ LPG",D2))))</f>
        <v>Petrol</v>
      </c>
      <c r="M2" s="0" t="s">
        <v>31</v>
      </c>
      <c r="Q2" s="0" t="n">
        <v>34.2</v>
      </c>
      <c r="R2" s="0" t="s">
        <v>32</v>
      </c>
      <c r="S2" s="0" t="n">
        <v>17.787</v>
      </c>
      <c r="U2" s="0" t="s">
        <v>24</v>
      </c>
      <c r="V2" s="0" t="s">
        <v>33</v>
      </c>
      <c r="W2" s="3" t="s">
        <v>34</v>
      </c>
      <c r="X2" s="0" t="str">
        <f aca="false">D2</f>
        <v>G</v>
      </c>
    </row>
    <row r="3" customFormat="false" ht="13.2" hidden="false" customHeight="false" outlineLevel="0" collapsed="false">
      <c r="A3" s="0" t="s">
        <v>24</v>
      </c>
      <c r="B3" s="0" t="s">
        <v>35</v>
      </c>
      <c r="C3" s="0" t="s">
        <v>36</v>
      </c>
      <c r="D3" s="0" t="s">
        <v>27</v>
      </c>
      <c r="E3" s="0" t="s">
        <v>37</v>
      </c>
      <c r="F3" s="0" t="n">
        <v>4.5</v>
      </c>
      <c r="G3" s="0" t="s">
        <v>29</v>
      </c>
      <c r="H3" s="0" t="n">
        <v>1.798</v>
      </c>
      <c r="I3" s="0" t="n">
        <v>-0.137</v>
      </c>
      <c r="J3" s="4" t="n">
        <f aca="false">IF(D3="D", 250, 50)</f>
        <v>50</v>
      </c>
      <c r="K3" s="0" t="s">
        <v>30</v>
      </c>
      <c r="L3" s="0" t="str">
        <f aca="false">IF(D3="G","Petrol",IF(D3="D","Diesel",IF(D3="HY","Petrol Hybrid",IF(D3="GLP","LPG Bifuell ~ LPG",D3))))</f>
        <v>Petrol</v>
      </c>
      <c r="M3" s="0" t="s">
        <v>31</v>
      </c>
      <c r="Q3" s="0" t="n">
        <v>34.2</v>
      </c>
      <c r="R3" s="0" t="s">
        <v>32</v>
      </c>
      <c r="S3" s="0" t="n">
        <v>17.787</v>
      </c>
      <c r="U3" s="0" t="s">
        <v>24</v>
      </c>
      <c r="V3" s="0" t="s">
        <v>33</v>
      </c>
      <c r="W3" s="3" t="s">
        <v>34</v>
      </c>
      <c r="X3" s="0" t="str">
        <f aca="false">D3</f>
        <v>G</v>
      </c>
    </row>
    <row r="4" customFormat="false" ht="13.2" hidden="false" customHeight="false" outlineLevel="0" collapsed="false">
      <c r="A4" s="0" t="s">
        <v>24</v>
      </c>
      <c r="B4" s="0" t="s">
        <v>38</v>
      </c>
      <c r="C4" s="0" t="s">
        <v>39</v>
      </c>
      <c r="D4" s="0" t="s">
        <v>27</v>
      </c>
      <c r="E4" s="0" t="s">
        <v>40</v>
      </c>
      <c r="F4" s="0" t="n">
        <v>4.5</v>
      </c>
      <c r="G4" s="0" t="s">
        <v>29</v>
      </c>
      <c r="H4" s="0" t="n">
        <v>1.798</v>
      </c>
      <c r="I4" s="0" t="n">
        <v>-0.137</v>
      </c>
      <c r="J4" s="4" t="n">
        <f aca="false">IF(D4="D", 250, 50)</f>
        <v>50</v>
      </c>
      <c r="K4" s="0" t="s">
        <v>30</v>
      </c>
      <c r="L4" s="0" t="str">
        <f aca="false">IF(D4="G","Petrol",IF(D4="D","Diesel",IF(D4="HY","Petrol Hybrid",IF(D4="GLP","LPG Bifuell ~ LPG",D4))))</f>
        <v>Petrol</v>
      </c>
      <c r="M4" s="0" t="s">
        <v>41</v>
      </c>
      <c r="Q4" s="0" t="n">
        <v>34.2</v>
      </c>
      <c r="R4" s="0" t="s">
        <v>32</v>
      </c>
      <c r="S4" s="0" t="n">
        <v>17.787</v>
      </c>
      <c r="U4" s="0" t="s">
        <v>24</v>
      </c>
      <c r="V4" s="0" t="s">
        <v>33</v>
      </c>
      <c r="W4" s="3" t="s">
        <v>42</v>
      </c>
      <c r="X4" s="0" t="str">
        <f aca="false">D4</f>
        <v>G</v>
      </c>
    </row>
    <row r="5" customFormat="false" ht="13.2" hidden="false" customHeight="false" outlineLevel="0" collapsed="false">
      <c r="A5" s="0" t="s">
        <v>24</v>
      </c>
      <c r="B5" s="0" t="s">
        <v>43</v>
      </c>
      <c r="C5" s="0" t="s">
        <v>44</v>
      </c>
      <c r="D5" s="0" t="s">
        <v>27</v>
      </c>
      <c r="E5" s="0" t="s">
        <v>45</v>
      </c>
      <c r="F5" s="0" t="n">
        <v>4.5</v>
      </c>
      <c r="G5" s="0" t="s">
        <v>29</v>
      </c>
      <c r="H5" s="0" t="n">
        <v>1.798</v>
      </c>
      <c r="I5" s="0" t="n">
        <v>-0.137</v>
      </c>
      <c r="J5" s="4" t="n">
        <f aca="false">IF(D5="D", 250, 50)</f>
        <v>50</v>
      </c>
      <c r="K5" s="0" t="s">
        <v>30</v>
      </c>
      <c r="L5" s="0" t="str">
        <f aca="false">IF(D5="G","Petrol",IF(D5="D","Diesel",IF(D5="HY","Petrol Hybrid",IF(D5="GLP","LPG Bifuell ~ LPG",D5))))</f>
        <v>Petrol</v>
      </c>
      <c r="M5" s="0" t="s">
        <v>46</v>
      </c>
      <c r="Q5" s="0" t="n">
        <v>34.2</v>
      </c>
      <c r="R5" s="0" t="s">
        <v>32</v>
      </c>
      <c r="S5" s="0" t="n">
        <v>17.787</v>
      </c>
      <c r="U5" s="0" t="s">
        <v>24</v>
      </c>
      <c r="V5" s="0" t="s">
        <v>33</v>
      </c>
      <c r="W5" s="3" t="s">
        <v>47</v>
      </c>
      <c r="X5" s="0" t="str">
        <f aca="false">D5</f>
        <v>G</v>
      </c>
    </row>
    <row r="6" customFormat="false" ht="13.2" hidden="false" customHeight="false" outlineLevel="0" collapsed="false">
      <c r="A6" s="0" t="s">
        <v>24</v>
      </c>
      <c r="B6" s="0" t="s">
        <v>48</v>
      </c>
      <c r="C6" s="0" t="s">
        <v>26</v>
      </c>
      <c r="D6" s="0" t="s">
        <v>49</v>
      </c>
      <c r="E6" s="0" t="s">
        <v>28</v>
      </c>
      <c r="F6" s="0" t="n">
        <v>4.5</v>
      </c>
      <c r="G6" s="0" t="s">
        <v>29</v>
      </c>
      <c r="H6" s="0" t="n">
        <v>1.798</v>
      </c>
      <c r="I6" s="0" t="n">
        <v>-0.137</v>
      </c>
      <c r="J6" s="4" t="n">
        <f aca="false">IF(D6="D", 250, 50)</f>
        <v>250</v>
      </c>
      <c r="K6" s="0" t="s">
        <v>30</v>
      </c>
      <c r="L6" s="0" t="str">
        <f aca="false">IF(D6="G","Petrol",IF(D6="D","Diesel",IF(D6="HY","Petrol Hybrid",IF(D6="GLP","LPG Bifuell ~ LPG",D6))))</f>
        <v>Diesel</v>
      </c>
      <c r="M6" s="0" t="s">
        <v>31</v>
      </c>
      <c r="Q6" s="0" t="n">
        <v>34.2</v>
      </c>
      <c r="R6" s="0" t="s">
        <v>32</v>
      </c>
      <c r="S6" s="0" t="n">
        <v>17.787</v>
      </c>
      <c r="U6" s="0" t="s">
        <v>24</v>
      </c>
      <c r="V6" s="0" t="s">
        <v>33</v>
      </c>
      <c r="W6" s="3" t="s">
        <v>34</v>
      </c>
      <c r="X6" s="0" t="str">
        <f aca="false">D6</f>
        <v>D</v>
      </c>
    </row>
    <row r="7" customFormat="false" ht="13.2" hidden="false" customHeight="false" outlineLevel="0" collapsed="false">
      <c r="A7" s="0" t="s">
        <v>24</v>
      </c>
      <c r="B7" s="0" t="s">
        <v>50</v>
      </c>
      <c r="C7" s="0" t="s">
        <v>36</v>
      </c>
      <c r="D7" s="0" t="s">
        <v>49</v>
      </c>
      <c r="E7" s="0" t="s">
        <v>37</v>
      </c>
      <c r="F7" s="0" t="n">
        <v>4.5</v>
      </c>
      <c r="G7" s="0" t="s">
        <v>29</v>
      </c>
      <c r="H7" s="0" t="n">
        <v>1.798</v>
      </c>
      <c r="I7" s="0" t="n">
        <v>-0.137</v>
      </c>
      <c r="J7" s="4" t="n">
        <f aca="false">IF(D7="D", 250, 50)</f>
        <v>250</v>
      </c>
      <c r="K7" s="0" t="s">
        <v>30</v>
      </c>
      <c r="L7" s="0" t="str">
        <f aca="false">IF(D7="G","Petrol",IF(D7="D","Diesel",IF(D7="HY","Petrol Hybrid",IF(D7="GLP","LPG Bifuell ~ LPG",D7))))</f>
        <v>Diesel</v>
      </c>
      <c r="M7" s="0" t="s">
        <v>31</v>
      </c>
      <c r="Q7" s="0" t="n">
        <v>34.2</v>
      </c>
      <c r="R7" s="0" t="s">
        <v>32</v>
      </c>
      <c r="S7" s="0" t="n">
        <v>17.787</v>
      </c>
      <c r="U7" s="0" t="s">
        <v>24</v>
      </c>
      <c r="V7" s="0" t="s">
        <v>33</v>
      </c>
      <c r="W7" s="3" t="s">
        <v>34</v>
      </c>
      <c r="X7" s="0" t="str">
        <f aca="false">D7</f>
        <v>D</v>
      </c>
    </row>
    <row r="8" customFormat="false" ht="13.2" hidden="false" customHeight="false" outlineLevel="0" collapsed="false">
      <c r="A8" s="0" t="s">
        <v>24</v>
      </c>
      <c r="B8" s="0" t="s">
        <v>51</v>
      </c>
      <c r="C8" s="0" t="s">
        <v>39</v>
      </c>
      <c r="D8" s="0" t="s">
        <v>49</v>
      </c>
      <c r="E8" s="0" t="s">
        <v>40</v>
      </c>
      <c r="F8" s="0" t="n">
        <v>4.5</v>
      </c>
      <c r="G8" s="0" t="s">
        <v>29</v>
      </c>
      <c r="H8" s="0" t="n">
        <v>1.798</v>
      </c>
      <c r="I8" s="0" t="n">
        <v>-0.137</v>
      </c>
      <c r="J8" s="4" t="n">
        <f aca="false">IF(D8="D", 250, 50)</f>
        <v>250</v>
      </c>
      <c r="K8" s="0" t="s">
        <v>30</v>
      </c>
      <c r="L8" s="0" t="str">
        <f aca="false">IF(D8="G","Petrol",IF(D8="D","Diesel",IF(D8="HY","Petrol Hybrid",IF(D8="GLP","LPG Bifuell ~ LPG",D8))))</f>
        <v>Diesel</v>
      </c>
      <c r="M8" s="0" t="s">
        <v>41</v>
      </c>
      <c r="Q8" s="0" t="n">
        <v>34.2</v>
      </c>
      <c r="R8" s="0" t="s">
        <v>32</v>
      </c>
      <c r="S8" s="0" t="n">
        <v>17.787</v>
      </c>
      <c r="U8" s="0" t="s">
        <v>24</v>
      </c>
      <c r="V8" s="0" t="s">
        <v>33</v>
      </c>
      <c r="W8" s="3" t="s">
        <v>42</v>
      </c>
      <c r="X8" s="0" t="str">
        <f aca="false">D8</f>
        <v>D</v>
      </c>
    </row>
    <row r="9" customFormat="false" ht="13.2" hidden="false" customHeight="false" outlineLevel="0" collapsed="false">
      <c r="A9" s="0" t="s">
        <v>24</v>
      </c>
      <c r="B9" s="0" t="s">
        <v>52</v>
      </c>
      <c r="C9" s="0" t="s">
        <v>44</v>
      </c>
      <c r="D9" s="0" t="s">
        <v>49</v>
      </c>
      <c r="E9" s="0" t="s">
        <v>45</v>
      </c>
      <c r="F9" s="0" t="n">
        <v>4.5</v>
      </c>
      <c r="G9" s="0" t="s">
        <v>29</v>
      </c>
      <c r="H9" s="0" t="n">
        <v>1.798</v>
      </c>
      <c r="I9" s="0" t="n">
        <v>-0.137</v>
      </c>
      <c r="J9" s="4" t="n">
        <f aca="false">IF(D9="D", 250, 50)</f>
        <v>250</v>
      </c>
      <c r="K9" s="0" t="s">
        <v>30</v>
      </c>
      <c r="L9" s="0" t="str">
        <f aca="false">IF(D9="G","Petrol",IF(D9="D","Diesel",IF(D9="HY","Petrol Hybrid",IF(D9="GLP","LPG Bifuell ~ LPG",D9))))</f>
        <v>Diesel</v>
      </c>
      <c r="M9" s="0" t="s">
        <v>46</v>
      </c>
      <c r="Q9" s="0" t="n">
        <v>34.2</v>
      </c>
      <c r="R9" s="0" t="s">
        <v>32</v>
      </c>
      <c r="S9" s="0" t="n">
        <v>17.787</v>
      </c>
      <c r="U9" s="0" t="s">
        <v>24</v>
      </c>
      <c r="V9" s="0" t="s">
        <v>33</v>
      </c>
      <c r="W9" s="3" t="s">
        <v>47</v>
      </c>
      <c r="X9" s="0" t="str">
        <f aca="false">D9</f>
        <v>D</v>
      </c>
    </row>
    <row r="10" customFormat="false" ht="13.2" hidden="false" customHeight="false" outlineLevel="0" collapsed="false">
      <c r="A10" s="0" t="s">
        <v>24</v>
      </c>
      <c r="B10" s="0" t="s">
        <v>53</v>
      </c>
      <c r="C10" s="0" t="s">
        <v>54</v>
      </c>
      <c r="D10" s="0" t="s">
        <v>55</v>
      </c>
      <c r="E10" s="0" t="s">
        <v>56</v>
      </c>
      <c r="F10" s="0" t="n">
        <v>4.5</v>
      </c>
      <c r="G10" s="0" t="s">
        <v>29</v>
      </c>
      <c r="H10" s="0" t="n">
        <v>1.798</v>
      </c>
      <c r="I10" s="0" t="n">
        <v>-0.137</v>
      </c>
      <c r="J10" s="4" t="n">
        <f aca="false">IF(D10="D", 250, 50)</f>
        <v>50</v>
      </c>
      <c r="K10" s="0" t="s">
        <v>30</v>
      </c>
      <c r="L10" s="0" t="str">
        <f aca="false">IF(D10="G","Petrol",IF(D10="D","Diesel",IF(D10="HY","Petrol Hybrid",IF(D10="GLP","LPG Bifuell ~ LPG",D10))))</f>
        <v>ELEC</v>
      </c>
      <c r="M10" s="0" t="s">
        <v>31</v>
      </c>
      <c r="Q10" s="0" t="n">
        <v>34.2</v>
      </c>
      <c r="R10" s="0" t="s">
        <v>32</v>
      </c>
      <c r="S10" s="0" t="n">
        <v>17.787</v>
      </c>
      <c r="U10" s="0" t="s">
        <v>24</v>
      </c>
      <c r="V10" s="0" t="s">
        <v>33</v>
      </c>
      <c r="W10" s="3" t="s">
        <v>34</v>
      </c>
      <c r="X10" s="0" t="str">
        <f aca="false">D10</f>
        <v>ELEC</v>
      </c>
    </row>
    <row r="11" customFormat="false" ht="13.2" hidden="false" customHeight="false" outlineLevel="0" collapsed="false">
      <c r="A11" s="0" t="s">
        <v>24</v>
      </c>
      <c r="B11" s="0" t="s">
        <v>57</v>
      </c>
      <c r="C11" s="0" t="s">
        <v>36</v>
      </c>
      <c r="D11" s="0" t="s">
        <v>58</v>
      </c>
      <c r="E11" s="0" t="s">
        <v>37</v>
      </c>
      <c r="F11" s="0" t="n">
        <v>4.5</v>
      </c>
      <c r="G11" s="0" t="s">
        <v>29</v>
      </c>
      <c r="H11" s="0" t="n">
        <v>1.798</v>
      </c>
      <c r="I11" s="0" t="n">
        <v>-0.137</v>
      </c>
      <c r="J11" s="4" t="n">
        <f aca="false">IF(D11="D", 250, 50)</f>
        <v>50</v>
      </c>
      <c r="K11" s="0" t="s">
        <v>30</v>
      </c>
      <c r="L11" s="0" t="str">
        <f aca="false">IF(D11="G","Petrol",IF(D11="D","Diesel",IF(D11="HY","Petrol Hybrid",IF(D11="GLP","LPG Bifuell ~ LPG",D11))))</f>
        <v>Petrol Hybrid</v>
      </c>
      <c r="M11" s="0" t="s">
        <v>31</v>
      </c>
      <c r="Q11" s="0" t="n">
        <v>34.2</v>
      </c>
      <c r="R11" s="0" t="s">
        <v>32</v>
      </c>
      <c r="S11" s="0" t="n">
        <v>17.787</v>
      </c>
      <c r="U11" s="0" t="s">
        <v>24</v>
      </c>
      <c r="V11" s="0" t="s">
        <v>33</v>
      </c>
      <c r="W11" s="3" t="s">
        <v>42</v>
      </c>
      <c r="X11" s="0" t="s">
        <v>59</v>
      </c>
    </row>
    <row r="12" customFormat="false" ht="13.2" hidden="false" customHeight="false" outlineLevel="0" collapsed="false">
      <c r="A12" s="0" t="s">
        <v>24</v>
      </c>
      <c r="B12" s="0" t="s">
        <v>60</v>
      </c>
      <c r="C12" s="0" t="s">
        <v>61</v>
      </c>
      <c r="D12" s="0" t="s">
        <v>27</v>
      </c>
      <c r="E12" s="0" t="s">
        <v>37</v>
      </c>
      <c r="F12" s="0" t="n">
        <v>4.5</v>
      </c>
      <c r="G12" s="0" t="s">
        <v>29</v>
      </c>
      <c r="H12" s="0" t="n">
        <v>1.798</v>
      </c>
      <c r="I12" s="0" t="n">
        <v>-0.137</v>
      </c>
      <c r="J12" s="4" t="n">
        <f aca="false">IF(D12="D", 250, 50)</f>
        <v>50</v>
      </c>
      <c r="K12" s="0" t="s">
        <v>30</v>
      </c>
      <c r="L12" s="0" t="str">
        <f aca="false">IF(D12="G","Petrol",IF(D12="D","Diesel",IF(D12="HY","Petrol Hybrid",IF(D12="GLP","LPG Bifuell ~ LPG",D12))))</f>
        <v>Petrol</v>
      </c>
      <c r="M12" s="0" t="s">
        <v>31</v>
      </c>
      <c r="Q12" s="0" t="n">
        <v>34.2</v>
      </c>
      <c r="R12" s="0" t="s">
        <v>32</v>
      </c>
      <c r="S12" s="0" t="n">
        <v>17.787</v>
      </c>
      <c r="U12" s="0" t="s">
        <v>24</v>
      </c>
      <c r="V12" s="0" t="s">
        <v>33</v>
      </c>
      <c r="W12" s="3" t="s">
        <v>42</v>
      </c>
      <c r="X12" s="0" t="str">
        <f aca="false">D12</f>
        <v>G</v>
      </c>
    </row>
    <row r="13" customFormat="false" ht="13.2" hidden="false" customHeight="false" outlineLevel="0" collapsed="false">
      <c r="A13" s="0" t="s">
        <v>24</v>
      </c>
      <c r="B13" s="0" t="s">
        <v>62</v>
      </c>
      <c r="C13" s="0" t="s">
        <v>63</v>
      </c>
      <c r="D13" s="0" t="s">
        <v>64</v>
      </c>
      <c r="E13" s="0" t="s">
        <v>37</v>
      </c>
      <c r="F13" s="0" t="n">
        <v>4.5</v>
      </c>
      <c r="G13" s="0" t="s">
        <v>29</v>
      </c>
      <c r="H13" s="0" t="n">
        <v>1.798</v>
      </c>
      <c r="I13" s="0" t="n">
        <v>-0.137</v>
      </c>
      <c r="J13" s="4" t="n">
        <f aca="false">IF(D13="D", 250, 50)</f>
        <v>50</v>
      </c>
      <c r="K13" s="0" t="s">
        <v>30</v>
      </c>
      <c r="L13" s="0" t="str">
        <f aca="false">IF(D13="G","Petrol",IF(D13="D","Diesel",IF(D13="HY","Petrol Hybrid",IF(D13="GLP","LPG Bifuell ~ LPG",D13))))</f>
        <v>LPG Bifuell ~ LPG</v>
      </c>
      <c r="M13" s="0" t="s">
        <v>31</v>
      </c>
      <c r="Q13" s="0" t="n">
        <v>34.2</v>
      </c>
      <c r="R13" s="0" t="s">
        <v>32</v>
      </c>
      <c r="S13" s="0" t="n">
        <v>17.787</v>
      </c>
      <c r="U13" s="0" t="s">
        <v>24</v>
      </c>
      <c r="V13" s="0" t="s">
        <v>33</v>
      </c>
      <c r="W13" s="3" t="s">
        <v>42</v>
      </c>
      <c r="X13" s="0" t="s">
        <v>65</v>
      </c>
    </row>
    <row r="14" customFormat="false" ht="13.2" hidden="false" customHeight="false" outlineLevel="0" collapsed="false">
      <c r="A14" s="0" t="s">
        <v>66</v>
      </c>
      <c r="B14" s="0" t="s">
        <v>67</v>
      </c>
      <c r="C14" s="0" t="s">
        <v>68</v>
      </c>
      <c r="D14" s="0" t="s">
        <v>27</v>
      </c>
      <c r="E14" s="0" t="s">
        <v>69</v>
      </c>
      <c r="F14" s="0" t="n">
        <v>4.5</v>
      </c>
      <c r="G14" s="0" t="s">
        <v>29</v>
      </c>
      <c r="H14" s="0" t="n">
        <v>1.618</v>
      </c>
      <c r="I14" s="0" t="n">
        <v>-0.141</v>
      </c>
      <c r="J14" s="4" t="n">
        <f aca="false">IF(D14="D", 250, 50)</f>
        <v>50</v>
      </c>
      <c r="K14" s="0" t="s">
        <v>70</v>
      </c>
      <c r="L14" s="0" t="str">
        <f aca="false">IF(D14="G","Petrol",IF(D14="D","Diesel",IF(D14="HY","Petrol Hybrid",IF(D14="GLP","LPG Bifuell ~ LPG",D14))))</f>
        <v>Petrol</v>
      </c>
      <c r="M14" s="0" t="s">
        <v>71</v>
      </c>
      <c r="Q14" s="0" t="n">
        <v>34.2</v>
      </c>
      <c r="R14" s="0" t="s">
        <v>32</v>
      </c>
      <c r="S14" s="0" t="n">
        <v>17.787</v>
      </c>
      <c r="U14" s="0" t="s">
        <v>66</v>
      </c>
      <c r="V14" s="0" t="s">
        <v>33</v>
      </c>
      <c r="W14" s="3" t="s">
        <v>72</v>
      </c>
      <c r="X14" s="0" t="str">
        <f aca="false">D14</f>
        <v>G</v>
      </c>
    </row>
    <row r="15" customFormat="false" ht="13.2" hidden="false" customHeight="false" outlineLevel="0" collapsed="false">
      <c r="A15" s="0" t="s">
        <v>66</v>
      </c>
      <c r="B15" s="0" t="s">
        <v>73</v>
      </c>
      <c r="C15" s="0" t="s">
        <v>74</v>
      </c>
      <c r="D15" s="0" t="s">
        <v>27</v>
      </c>
      <c r="E15" s="0" t="s">
        <v>75</v>
      </c>
      <c r="F15" s="0" t="n">
        <v>4.5</v>
      </c>
      <c r="G15" s="0" t="s">
        <v>29</v>
      </c>
      <c r="H15" s="0" t="n">
        <v>1.618</v>
      </c>
      <c r="I15" s="0" t="n">
        <v>-0.141</v>
      </c>
      <c r="J15" s="4" t="n">
        <f aca="false">IF(D15="D", 250, 50)</f>
        <v>50</v>
      </c>
      <c r="K15" s="0" t="s">
        <v>70</v>
      </c>
      <c r="L15" s="0" t="str">
        <f aca="false">IF(D15="G","Petrol",IF(D15="D","Diesel",IF(D15="HY","Petrol Hybrid",IF(D15="GLP","LPG Bifuell ~ LPG",D15))))</f>
        <v>Petrol</v>
      </c>
      <c r="M15" s="0" t="s">
        <v>76</v>
      </c>
      <c r="Q15" s="0" t="n">
        <v>34.2</v>
      </c>
      <c r="R15" s="0" t="s">
        <v>32</v>
      </c>
      <c r="S15" s="0" t="n">
        <v>17.787</v>
      </c>
      <c r="U15" s="0" t="s">
        <v>66</v>
      </c>
      <c r="V15" s="0" t="s">
        <v>33</v>
      </c>
      <c r="W15" s="3" t="s">
        <v>72</v>
      </c>
      <c r="X15" s="0" t="str">
        <f aca="false">D15</f>
        <v>G</v>
      </c>
    </row>
    <row r="16" customFormat="false" ht="13.2" hidden="false" customHeight="false" outlineLevel="0" collapsed="false">
      <c r="A16" s="0" t="s">
        <v>66</v>
      </c>
      <c r="B16" s="0" t="s">
        <v>77</v>
      </c>
      <c r="C16" s="0" t="s">
        <v>78</v>
      </c>
      <c r="D16" s="0" t="s">
        <v>27</v>
      </c>
      <c r="E16" s="0" t="s">
        <v>79</v>
      </c>
      <c r="F16" s="0" t="n">
        <v>4.5</v>
      </c>
      <c r="G16" s="0" t="s">
        <v>29</v>
      </c>
      <c r="H16" s="0" t="n">
        <v>1.618</v>
      </c>
      <c r="I16" s="0" t="n">
        <v>-0.141</v>
      </c>
      <c r="J16" s="4" t="n">
        <f aca="false">IF(D16="D", 250, 50)</f>
        <v>50</v>
      </c>
      <c r="K16" s="0" t="s">
        <v>70</v>
      </c>
      <c r="L16" s="0" t="str">
        <f aca="false">IF(D16="G","Petrol",IF(D16="D","Diesel",IF(D16="HY","Petrol Hybrid",IF(D16="GLP","LPG Bifuell ~ LPG",D16))))</f>
        <v>Petrol</v>
      </c>
      <c r="M16" s="0" t="s">
        <v>80</v>
      </c>
      <c r="Q16" s="0" t="n">
        <v>34.2</v>
      </c>
      <c r="R16" s="0" t="s">
        <v>32</v>
      </c>
      <c r="S16" s="0" t="n">
        <v>17.787</v>
      </c>
      <c r="U16" s="0" t="s">
        <v>66</v>
      </c>
      <c r="V16" s="0" t="s">
        <v>33</v>
      </c>
      <c r="W16" s="3" t="s">
        <v>72</v>
      </c>
      <c r="X16" s="0" t="str">
        <f aca="false">D16</f>
        <v>G</v>
      </c>
    </row>
    <row r="17" customFormat="false" ht="13.2" hidden="false" customHeight="false" outlineLevel="0" collapsed="false">
      <c r="A17" s="0" t="s">
        <v>66</v>
      </c>
      <c r="B17" s="0" t="s">
        <v>81</v>
      </c>
      <c r="C17" s="0" t="s">
        <v>82</v>
      </c>
      <c r="D17" s="0" t="s">
        <v>49</v>
      </c>
      <c r="E17" s="0" t="s">
        <v>69</v>
      </c>
      <c r="F17" s="0" t="n">
        <v>4.5</v>
      </c>
      <c r="G17" s="0" t="s">
        <v>83</v>
      </c>
      <c r="H17" s="0" t="n">
        <v>0.1</v>
      </c>
      <c r="I17" s="0" t="n">
        <v>17</v>
      </c>
      <c r="J17" s="4" t="n">
        <f aca="false">IF(D17="D", 250, 50)</f>
        <v>250</v>
      </c>
      <c r="K17" s="0" t="s">
        <v>70</v>
      </c>
      <c r="L17" s="0" t="str">
        <f aca="false">IF(D17="G","Petrol",IF(D17="D","Diesel",IF(D17="HY","Petrol Hybrid",IF(D17="GLP","LPG Bifuell ~ LPG",D17))))</f>
        <v>Diesel</v>
      </c>
      <c r="M17" s="0" t="s">
        <v>71</v>
      </c>
      <c r="Q17" s="0" t="n">
        <v>34.2</v>
      </c>
      <c r="R17" s="0" t="s">
        <v>32</v>
      </c>
      <c r="S17" s="0" t="n">
        <v>17.787</v>
      </c>
      <c r="U17" s="0" t="s">
        <v>66</v>
      </c>
      <c r="V17" s="0" t="s">
        <v>33</v>
      </c>
      <c r="W17" s="3" t="s">
        <v>72</v>
      </c>
      <c r="X17" s="0" t="str">
        <f aca="false">D17</f>
        <v>D</v>
      </c>
    </row>
    <row r="18" customFormat="false" ht="13.2" hidden="false" customHeight="false" outlineLevel="0" collapsed="false">
      <c r="A18" s="0" t="s">
        <v>66</v>
      </c>
      <c r="B18" s="0" t="s">
        <v>84</v>
      </c>
      <c r="C18" s="0" t="s">
        <v>85</v>
      </c>
      <c r="D18" s="0" t="s">
        <v>49</v>
      </c>
      <c r="E18" s="0" t="s">
        <v>75</v>
      </c>
      <c r="F18" s="0" t="n">
        <v>4.5</v>
      </c>
      <c r="G18" s="0" t="s">
        <v>83</v>
      </c>
      <c r="H18" s="0" t="n">
        <v>0.1</v>
      </c>
      <c r="I18" s="0" t="n">
        <v>17</v>
      </c>
      <c r="J18" s="4" t="n">
        <f aca="false">IF(D18="D", 250, 50)</f>
        <v>250</v>
      </c>
      <c r="K18" s="0" t="s">
        <v>70</v>
      </c>
      <c r="L18" s="0" t="str">
        <f aca="false">IF(D18="G","Petrol",IF(D18="D","Diesel",IF(D18="HY","Petrol Hybrid",IF(D18="GLP","LPG Bifuell ~ LPG",D18))))</f>
        <v>Diesel</v>
      </c>
      <c r="M18" s="0" t="s">
        <v>76</v>
      </c>
      <c r="Q18" s="0" t="n">
        <v>34.2</v>
      </c>
      <c r="R18" s="0" t="s">
        <v>32</v>
      </c>
      <c r="S18" s="0" t="n">
        <v>17.787</v>
      </c>
      <c r="U18" s="0" t="s">
        <v>66</v>
      </c>
      <c r="V18" s="0" t="s">
        <v>33</v>
      </c>
      <c r="W18" s="3" t="s">
        <v>72</v>
      </c>
      <c r="X18" s="0" t="str">
        <f aca="false">D18</f>
        <v>D</v>
      </c>
    </row>
    <row r="19" customFormat="false" ht="13.2" hidden="false" customHeight="false" outlineLevel="0" collapsed="false">
      <c r="A19" s="0" t="s">
        <v>66</v>
      </c>
      <c r="B19" s="0" t="s">
        <v>86</v>
      </c>
      <c r="C19" s="0" t="s">
        <v>87</v>
      </c>
      <c r="D19" s="0" t="s">
        <v>49</v>
      </c>
      <c r="E19" s="0" t="s">
        <v>79</v>
      </c>
      <c r="F19" s="0" t="n">
        <v>4.5</v>
      </c>
      <c r="G19" s="0" t="s">
        <v>83</v>
      </c>
      <c r="H19" s="0" t="n">
        <v>0.1</v>
      </c>
      <c r="I19" s="0" t="n">
        <v>17</v>
      </c>
      <c r="J19" s="4" t="n">
        <f aca="false">IF(D19="D", 250, 50)</f>
        <v>250</v>
      </c>
      <c r="K19" s="0" t="s">
        <v>70</v>
      </c>
      <c r="L19" s="0" t="str">
        <f aca="false">IF(D19="G","Petrol",IF(D19="D","Diesel",IF(D19="HY","Petrol Hybrid",IF(D19="GLP","LPG Bifuell ~ LPG",D19))))</f>
        <v>Diesel</v>
      </c>
      <c r="M19" s="0" t="s">
        <v>80</v>
      </c>
      <c r="Q19" s="0" t="n">
        <v>34.2</v>
      </c>
      <c r="R19" s="0" t="s">
        <v>32</v>
      </c>
      <c r="S19" s="0" t="n">
        <v>17.787</v>
      </c>
      <c r="U19" s="0" t="s">
        <v>66</v>
      </c>
      <c r="V19" s="0" t="s">
        <v>33</v>
      </c>
      <c r="W19" s="3" t="s">
        <v>72</v>
      </c>
      <c r="X19" s="0" t="str">
        <f aca="false">D19</f>
        <v>D</v>
      </c>
    </row>
    <row r="20" customFormat="false" ht="13.2" hidden="false" customHeight="false" outlineLevel="0" collapsed="false">
      <c r="A20" s="0" t="s">
        <v>66</v>
      </c>
      <c r="B20" s="0" t="s">
        <v>88</v>
      </c>
      <c r="C20" s="0" t="s">
        <v>89</v>
      </c>
      <c r="D20" s="0" t="s">
        <v>55</v>
      </c>
      <c r="E20" s="0" t="s">
        <v>56</v>
      </c>
      <c r="F20" s="0" t="n">
        <v>4.5</v>
      </c>
      <c r="G20" s="0" t="s">
        <v>29</v>
      </c>
      <c r="H20" s="0" t="n">
        <v>1.798</v>
      </c>
      <c r="I20" s="0" t="n">
        <v>-0.137</v>
      </c>
      <c r="J20" s="4" t="n">
        <f aca="false">IF(D20="D", 250, 50)</f>
        <v>50</v>
      </c>
      <c r="K20" s="0" t="s">
        <v>70</v>
      </c>
      <c r="L20" s="0" t="str">
        <f aca="false">IF(D20="G","Petrol",IF(D20="D","Diesel",IF(D20="HY","Petrol Hybrid",IF(D20="GLP","LPG Bifuell ~ LPG",D20))))</f>
        <v>ELEC</v>
      </c>
      <c r="M20" s="0" t="s">
        <v>71</v>
      </c>
      <c r="Q20" s="0" t="n">
        <v>34.2</v>
      </c>
      <c r="R20" s="0" t="s">
        <v>32</v>
      </c>
      <c r="S20" s="0" t="n">
        <v>17.787</v>
      </c>
      <c r="U20" s="0" t="s">
        <v>66</v>
      </c>
      <c r="V20" s="0" t="s">
        <v>33</v>
      </c>
      <c r="W20" s="3" t="s">
        <v>72</v>
      </c>
      <c r="X20" s="0" t="str">
        <f aca="false">D20</f>
        <v>ELEC</v>
      </c>
    </row>
    <row r="21" customFormat="false" ht="13.2" hidden="false" customHeight="false" outlineLevel="0" collapsed="false">
      <c r="A21" s="0" t="s">
        <v>66</v>
      </c>
      <c r="B21" s="0" t="s">
        <v>90</v>
      </c>
      <c r="C21" s="0" t="s">
        <v>89</v>
      </c>
      <c r="D21" s="0" t="s">
        <v>58</v>
      </c>
      <c r="E21" s="0" t="s">
        <v>56</v>
      </c>
      <c r="F21" s="0" t="n">
        <v>4.5</v>
      </c>
      <c r="G21" s="0" t="s">
        <v>29</v>
      </c>
      <c r="H21" s="0" t="n">
        <v>1.798</v>
      </c>
      <c r="I21" s="0" t="n">
        <v>-0.137</v>
      </c>
      <c r="J21" s="4" t="n">
        <f aca="false">IF(D21="D", 250, 50)</f>
        <v>50</v>
      </c>
      <c r="K21" s="0" t="s">
        <v>70</v>
      </c>
      <c r="L21" s="0" t="str">
        <f aca="false">IF(D21="G","Petrol",IF(D21="D","Diesel",IF(D21="HY","Petrol Hybrid",IF(D21="GLP","LPG Bifuell ~ LPG",D21))))</f>
        <v>Petrol Hybrid</v>
      </c>
      <c r="M21" s="0" t="s">
        <v>71</v>
      </c>
      <c r="Q21" s="0" t="n">
        <v>34.2</v>
      </c>
      <c r="R21" s="0" t="s">
        <v>32</v>
      </c>
      <c r="S21" s="0" t="n">
        <v>17.787</v>
      </c>
      <c r="U21" s="0" t="s">
        <v>24</v>
      </c>
      <c r="V21" s="0" t="s">
        <v>33</v>
      </c>
      <c r="W21" s="3" t="s">
        <v>42</v>
      </c>
      <c r="X21" s="0" t="s">
        <v>59</v>
      </c>
    </row>
    <row r="22" customFormat="false" ht="13.2" hidden="false" customHeight="false" outlineLevel="0" collapsed="false">
      <c r="A22" s="0" t="s">
        <v>91</v>
      </c>
      <c r="B22" s="0" t="s">
        <v>92</v>
      </c>
      <c r="C22" s="0" t="str">
        <f aca="false">CONCATENATE("Rigid trucks diesel ", E22)</f>
        <v>Rigid trucks diesel &lt;=7.5t</v>
      </c>
      <c r="D22" s="0" t="s">
        <v>49</v>
      </c>
      <c r="E22" s="0" t="s">
        <v>93</v>
      </c>
      <c r="G22" s="0" t="s">
        <v>83</v>
      </c>
      <c r="H22" s="0" t="n">
        <v>0.1</v>
      </c>
      <c r="I22" s="0" t="n">
        <v>17</v>
      </c>
      <c r="J22" s="4" t="n">
        <f aca="false">IF(D22="D", 250, 50)</f>
        <v>250</v>
      </c>
      <c r="K22" s="0" t="s">
        <v>94</v>
      </c>
      <c r="L22" s="0" t="str">
        <f aca="false">IF(D22="G","Petrol",IF(D22="D","Diesel",IF(D22="HY","Petrol Hybrid",IF(D22="GLP","LPG Bifuell ~ LPG",D22))))</f>
        <v>Diesel</v>
      </c>
      <c r="M22" s="0" t="s">
        <v>95</v>
      </c>
      <c r="O22" s="0" t="n">
        <v>0</v>
      </c>
      <c r="P22" s="0" t="n">
        <v>0.5</v>
      </c>
      <c r="Q22" s="0" t="n">
        <v>22.8</v>
      </c>
      <c r="R22" s="0" t="s">
        <v>96</v>
      </c>
      <c r="S22" s="0" t="n">
        <v>10.752</v>
      </c>
      <c r="U22" s="0" t="s">
        <v>97</v>
      </c>
      <c r="V22" s="0" t="s">
        <v>98</v>
      </c>
      <c r="W22" s="3" t="s">
        <v>99</v>
      </c>
      <c r="X22" s="0" t="str">
        <f aca="false">D22</f>
        <v>D</v>
      </c>
    </row>
    <row r="23" customFormat="false" ht="13.2" hidden="false" customHeight="false" outlineLevel="0" collapsed="false">
      <c r="A23" s="0" t="s">
        <v>91</v>
      </c>
      <c r="B23" s="0" t="s">
        <v>100</v>
      </c>
      <c r="C23" s="0" t="str">
        <f aca="false">CONCATENATE("Rigid trucks diesel ", E23)</f>
        <v>Rigid trucks diesel 7.5-12t</v>
      </c>
      <c r="D23" s="0" t="s">
        <v>49</v>
      </c>
      <c r="E23" s="0" t="s">
        <v>101</v>
      </c>
      <c r="G23" s="0" t="s">
        <v>83</v>
      </c>
      <c r="H23" s="0" t="n">
        <v>0.1</v>
      </c>
      <c r="I23" s="0" t="n">
        <v>17</v>
      </c>
      <c r="J23" s="4" t="n">
        <f aca="false">IF(D23="D", 250, 50)</f>
        <v>250</v>
      </c>
      <c r="K23" s="0" t="s">
        <v>94</v>
      </c>
      <c r="L23" s="0" t="str">
        <f aca="false">IF(D23="G","Petrol",IF(D23="D","Diesel",IF(D23="HY","Petrol Hybrid",IF(D23="GLP","LPG Bifuell ~ LPG",D23))))</f>
        <v>Diesel</v>
      </c>
      <c r="M23" s="0" t="s">
        <v>102</v>
      </c>
      <c r="O23" s="0" t="n">
        <v>0</v>
      </c>
      <c r="P23" s="0" t="n">
        <v>0.5</v>
      </c>
      <c r="Q23" s="0" t="n">
        <v>22.8</v>
      </c>
      <c r="R23" s="0" t="s">
        <v>96</v>
      </c>
      <c r="S23" s="0" t="n">
        <v>10.752</v>
      </c>
      <c r="U23" s="0" t="s">
        <v>97</v>
      </c>
      <c r="V23" s="0" t="s">
        <v>98</v>
      </c>
      <c r="W23" s="3" t="s">
        <v>103</v>
      </c>
      <c r="X23" s="0" t="str">
        <f aca="false">D23</f>
        <v>D</v>
      </c>
    </row>
    <row r="24" customFormat="false" ht="13.2" hidden="false" customHeight="false" outlineLevel="0" collapsed="false">
      <c r="A24" s="0" t="s">
        <v>91</v>
      </c>
      <c r="B24" s="0" t="s">
        <v>104</v>
      </c>
      <c r="C24" s="0" t="str">
        <f aca="false">CONCATENATE("Rigid trucks diesel ", E24)</f>
        <v>Rigid trucks diesel 12-14t</v>
      </c>
      <c r="D24" s="0" t="s">
        <v>49</v>
      </c>
      <c r="E24" s="0" t="s">
        <v>105</v>
      </c>
      <c r="G24" s="0" t="s">
        <v>83</v>
      </c>
      <c r="H24" s="0" t="n">
        <v>0.1</v>
      </c>
      <c r="I24" s="0" t="n">
        <v>17</v>
      </c>
      <c r="J24" s="4" t="n">
        <f aca="false">IF(D24="D", 250, 50)</f>
        <v>250</v>
      </c>
      <c r="K24" s="0" t="s">
        <v>94</v>
      </c>
      <c r="L24" s="0" t="str">
        <f aca="false">IF(D24="G","Petrol",IF(D24="D","Diesel",IF(D24="HY","Petrol Hybrid",IF(D24="GLP","LPG Bifuell ~ LPG",D24))))</f>
        <v>Diesel</v>
      </c>
      <c r="M24" s="0" t="s">
        <v>106</v>
      </c>
      <c r="O24" s="0" t="n">
        <v>0</v>
      </c>
      <c r="P24" s="0" t="n">
        <v>0.5</v>
      </c>
      <c r="Q24" s="0" t="n">
        <v>22.8</v>
      </c>
      <c r="R24" s="0" t="s">
        <v>96</v>
      </c>
      <c r="S24" s="0" t="n">
        <v>10.752</v>
      </c>
      <c r="U24" s="0" t="s">
        <v>97</v>
      </c>
      <c r="V24" s="0" t="s">
        <v>98</v>
      </c>
      <c r="W24" s="3" t="s">
        <v>107</v>
      </c>
      <c r="X24" s="0" t="str">
        <f aca="false">D24</f>
        <v>D</v>
      </c>
    </row>
    <row r="25" customFormat="false" ht="13.2" hidden="false" customHeight="false" outlineLevel="0" collapsed="false">
      <c r="A25" s="0" t="s">
        <v>91</v>
      </c>
      <c r="B25" s="0" t="s">
        <v>108</v>
      </c>
      <c r="C25" s="0" t="str">
        <f aca="false">CONCATENATE("Rigid trucks diesel ", E25)</f>
        <v>Rigid trucks diesel 14-16t</v>
      </c>
      <c r="D25" s="0" t="s">
        <v>49</v>
      </c>
      <c r="E25" s="0" t="s">
        <v>109</v>
      </c>
      <c r="G25" s="0" t="s">
        <v>83</v>
      </c>
      <c r="H25" s="0" t="n">
        <v>0.1</v>
      </c>
      <c r="I25" s="0" t="n">
        <v>17</v>
      </c>
      <c r="J25" s="4" t="n">
        <f aca="false">IF(D25="D", 250, 50)</f>
        <v>250</v>
      </c>
      <c r="K25" s="0" t="s">
        <v>94</v>
      </c>
      <c r="L25" s="0" t="str">
        <f aca="false">IF(D25="G","Petrol",IF(D25="D","Diesel",IF(D25="HY","Petrol Hybrid",IF(D25="GLP","LPG Bifuell ~ LPG",D25))))</f>
        <v>Diesel</v>
      </c>
      <c r="M25" s="0" t="s">
        <v>110</v>
      </c>
      <c r="O25" s="0" t="n">
        <v>0</v>
      </c>
      <c r="P25" s="0" t="n">
        <v>0.5</v>
      </c>
      <c r="Q25" s="0" t="n">
        <v>22.8</v>
      </c>
      <c r="R25" s="0" t="s">
        <v>96</v>
      </c>
      <c r="S25" s="0" t="n">
        <v>10.752</v>
      </c>
      <c r="U25" s="0" t="s">
        <v>97</v>
      </c>
      <c r="V25" s="0" t="s">
        <v>98</v>
      </c>
      <c r="W25" s="3" t="s">
        <v>111</v>
      </c>
      <c r="X25" s="0" t="str">
        <f aca="false">D25</f>
        <v>D</v>
      </c>
    </row>
    <row r="26" customFormat="false" ht="13.2" hidden="false" customHeight="false" outlineLevel="0" collapsed="false">
      <c r="A26" s="0" t="s">
        <v>91</v>
      </c>
      <c r="B26" s="0" t="s">
        <v>112</v>
      </c>
      <c r="C26" s="0" t="str">
        <f aca="false">CONCATENATE("Rigid trucks diesel ", E26)</f>
        <v>Rigid trucks diesel 16-20t</v>
      </c>
      <c r="D26" s="0" t="s">
        <v>49</v>
      </c>
      <c r="E26" s="0" t="s">
        <v>113</v>
      </c>
      <c r="G26" s="0" t="s">
        <v>83</v>
      </c>
      <c r="H26" s="0" t="n">
        <v>0.1</v>
      </c>
      <c r="I26" s="0" t="n">
        <v>17</v>
      </c>
      <c r="J26" s="4" t="n">
        <f aca="false">IF(D26="D", 250, 50)</f>
        <v>250</v>
      </c>
      <c r="K26" s="0" t="s">
        <v>94</v>
      </c>
      <c r="L26" s="0" t="str">
        <f aca="false">IF(D26="G","Petrol",IF(D26="D","Diesel",IF(D26="HY","Petrol Hybrid",IF(D26="GLP","LPG Bifuell ~ LPG",D26))))</f>
        <v>Diesel</v>
      </c>
      <c r="M26" s="0" t="s">
        <v>110</v>
      </c>
      <c r="O26" s="0" t="n">
        <v>0</v>
      </c>
      <c r="P26" s="0" t="n">
        <v>0.5</v>
      </c>
      <c r="Q26" s="0" t="n">
        <v>22.8</v>
      </c>
      <c r="R26" s="0" t="s">
        <v>96</v>
      </c>
      <c r="S26" s="0" t="n">
        <v>10.752</v>
      </c>
      <c r="U26" s="0" t="s">
        <v>97</v>
      </c>
      <c r="V26" s="0" t="s">
        <v>98</v>
      </c>
      <c r="W26" s="3" t="s">
        <v>111</v>
      </c>
      <c r="X26" s="0" t="str">
        <f aca="false">D26</f>
        <v>D</v>
      </c>
    </row>
    <row r="27" customFormat="false" ht="13.2" hidden="false" customHeight="false" outlineLevel="0" collapsed="false">
      <c r="A27" s="0" t="s">
        <v>91</v>
      </c>
      <c r="B27" s="0" t="s">
        <v>114</v>
      </c>
      <c r="C27" s="0" t="str">
        <f aca="false">CONCATENATE("Rigid trucks diesel ", E27)</f>
        <v>Rigid trucks diesel 20-26t</v>
      </c>
      <c r="D27" s="0" t="s">
        <v>49</v>
      </c>
      <c r="E27" s="0" t="s">
        <v>115</v>
      </c>
      <c r="G27" s="0" t="s">
        <v>83</v>
      </c>
      <c r="H27" s="0" t="n">
        <v>0.1</v>
      </c>
      <c r="I27" s="0" t="n">
        <v>17</v>
      </c>
      <c r="J27" s="4" t="n">
        <f aca="false">IF(D27="D", 250, 50)</f>
        <v>250</v>
      </c>
      <c r="K27" s="0" t="s">
        <v>94</v>
      </c>
      <c r="L27" s="0" t="str">
        <f aca="false">IF(D27="G","Petrol",IF(D27="D","Diesel",IF(D27="HY","Petrol Hybrid",IF(D27="GLP","LPG Bifuell ~ LPG",D27))))</f>
        <v>Diesel</v>
      </c>
      <c r="M27" s="0" t="s">
        <v>116</v>
      </c>
      <c r="O27" s="0" t="n">
        <v>0</v>
      </c>
      <c r="P27" s="0" t="n">
        <v>0.5</v>
      </c>
      <c r="Q27" s="0" t="n">
        <v>22.8</v>
      </c>
      <c r="R27" s="0" t="s">
        <v>96</v>
      </c>
      <c r="S27" s="0" t="n">
        <v>10.752</v>
      </c>
      <c r="U27" s="0" t="s">
        <v>97</v>
      </c>
      <c r="V27" s="0" t="s">
        <v>98</v>
      </c>
      <c r="W27" s="3" t="s">
        <v>117</v>
      </c>
      <c r="X27" s="0" t="str">
        <f aca="false">D27</f>
        <v>D</v>
      </c>
    </row>
    <row r="28" customFormat="false" ht="13.2" hidden="false" customHeight="false" outlineLevel="0" collapsed="false">
      <c r="A28" s="0" t="s">
        <v>91</v>
      </c>
      <c r="B28" s="0" t="s">
        <v>118</v>
      </c>
      <c r="C28" s="0" t="str">
        <f aca="false">CONCATENATE("Rigid trucks diesel ", E28)</f>
        <v>Rigid trucks diesel 26-28t</v>
      </c>
      <c r="D28" s="0" t="s">
        <v>49</v>
      </c>
      <c r="E28" s="0" t="s">
        <v>119</v>
      </c>
      <c r="G28" s="0" t="s">
        <v>83</v>
      </c>
      <c r="H28" s="0" t="n">
        <v>0.1</v>
      </c>
      <c r="I28" s="0" t="n">
        <v>17</v>
      </c>
      <c r="J28" s="4" t="n">
        <f aca="false">IF(D28="D", 250, 50)</f>
        <v>250</v>
      </c>
      <c r="K28" s="0" t="s">
        <v>94</v>
      </c>
      <c r="L28" s="0" t="str">
        <f aca="false">IF(D28="G","Petrol",IF(D28="D","Diesel",IF(D28="HY","Petrol Hybrid",IF(D28="GLP","LPG Bifuell ~ LPG",D28))))</f>
        <v>Diesel</v>
      </c>
      <c r="M28" s="0" t="s">
        <v>120</v>
      </c>
      <c r="O28" s="0" t="n">
        <v>0</v>
      </c>
      <c r="P28" s="0" t="n">
        <v>0.5</v>
      </c>
      <c r="Q28" s="0" t="n">
        <v>22.8</v>
      </c>
      <c r="R28" s="0" t="s">
        <v>96</v>
      </c>
      <c r="S28" s="0" t="n">
        <v>10.752</v>
      </c>
      <c r="U28" s="0" t="s">
        <v>97</v>
      </c>
      <c r="V28" s="0" t="s">
        <v>98</v>
      </c>
      <c r="W28" s="3" t="s">
        <v>121</v>
      </c>
      <c r="X28" s="0" t="str">
        <f aca="false">D28</f>
        <v>D</v>
      </c>
    </row>
    <row r="29" customFormat="false" ht="13.2" hidden="false" customHeight="false" outlineLevel="0" collapsed="false">
      <c r="A29" s="0" t="s">
        <v>91</v>
      </c>
      <c r="B29" s="0" t="s">
        <v>122</v>
      </c>
      <c r="C29" s="0" t="str">
        <f aca="false">CONCATENATE("Rigid trucks diesel ", E29)</f>
        <v>Rigid trucks diesel 38-32t</v>
      </c>
      <c r="D29" s="0" t="s">
        <v>49</v>
      </c>
      <c r="E29" s="0" t="s">
        <v>123</v>
      </c>
      <c r="G29" s="0" t="s">
        <v>83</v>
      </c>
      <c r="H29" s="0" t="n">
        <v>0.1</v>
      </c>
      <c r="I29" s="0" t="n">
        <v>17</v>
      </c>
      <c r="J29" s="4" t="n">
        <f aca="false">IF(D29="D", 250, 50)</f>
        <v>250</v>
      </c>
      <c r="K29" s="0" t="s">
        <v>94</v>
      </c>
      <c r="L29" s="0" t="str">
        <f aca="false">IF(D29="G","Petrol",IF(D29="D","Diesel",IF(D29="HY","Petrol Hybrid",IF(D29="GLP","LPG Bifuell ~ LPG",D29))))</f>
        <v>Diesel</v>
      </c>
      <c r="M29" s="0" t="s">
        <v>124</v>
      </c>
      <c r="O29" s="0" t="n">
        <v>0</v>
      </c>
      <c r="P29" s="0" t="n">
        <v>0.5</v>
      </c>
      <c r="Q29" s="0" t="n">
        <v>22.8</v>
      </c>
      <c r="R29" s="0" t="s">
        <v>96</v>
      </c>
      <c r="S29" s="0" t="n">
        <v>10.752</v>
      </c>
      <c r="U29" s="0" t="s">
        <v>97</v>
      </c>
      <c r="V29" s="0" t="s">
        <v>98</v>
      </c>
      <c r="W29" s="3" t="s">
        <v>125</v>
      </c>
      <c r="X29" s="0" t="str">
        <f aca="false">D29</f>
        <v>D</v>
      </c>
    </row>
    <row r="30" customFormat="false" ht="13.2" hidden="false" customHeight="false" outlineLevel="0" collapsed="false">
      <c r="A30" s="0" t="s">
        <v>91</v>
      </c>
      <c r="B30" s="0" t="s">
        <v>126</v>
      </c>
      <c r="C30" s="0" t="str">
        <f aca="false">CONCATENATE("Rigid trucks diesel ", E30)</f>
        <v>Rigid trucks diesel &gt;=32t</v>
      </c>
      <c r="D30" s="0" t="s">
        <v>49</v>
      </c>
      <c r="E30" s="0" t="s">
        <v>127</v>
      </c>
      <c r="G30" s="0" t="s">
        <v>83</v>
      </c>
      <c r="H30" s="0" t="n">
        <v>0.1</v>
      </c>
      <c r="I30" s="0" t="n">
        <v>17</v>
      </c>
      <c r="J30" s="4" t="n">
        <f aca="false">IF(D30="D", 250, 50)</f>
        <v>250</v>
      </c>
      <c r="K30" s="0" t="s">
        <v>94</v>
      </c>
      <c r="L30" s="0" t="str">
        <f aca="false">IF(D30="G","Petrol",IF(D30="D","Diesel",IF(D30="HY","Petrol Hybrid",IF(D30="GLP","LPG Bifuell ~ LPG",D30))))</f>
        <v>Diesel</v>
      </c>
      <c r="M30" s="0" t="s">
        <v>128</v>
      </c>
      <c r="O30" s="0" t="n">
        <v>0</v>
      </c>
      <c r="P30" s="0" t="n">
        <v>0.5</v>
      </c>
      <c r="Q30" s="0" t="n">
        <v>22.8</v>
      </c>
      <c r="R30" s="0" t="s">
        <v>96</v>
      </c>
      <c r="S30" s="0" t="n">
        <v>10.752</v>
      </c>
      <c r="U30" s="0" t="s">
        <v>97</v>
      </c>
      <c r="V30" s="0" t="s">
        <v>98</v>
      </c>
      <c r="W30" s="3" t="s">
        <v>129</v>
      </c>
      <c r="X30" s="0" t="str">
        <f aca="false">D30</f>
        <v>D</v>
      </c>
    </row>
    <row r="31" customFormat="false" ht="13.2" hidden="false" customHeight="false" outlineLevel="0" collapsed="false">
      <c r="A31" s="0" t="s">
        <v>91</v>
      </c>
      <c r="B31" s="0" t="s">
        <v>130</v>
      </c>
      <c r="C31" s="0" t="str">
        <f aca="false">CONCATENATE("Rigid trucks gasoline ", E31)</f>
        <v>Rigid trucks gasoline &lt;=7.5t</v>
      </c>
      <c r="D31" s="0" t="s">
        <v>27</v>
      </c>
      <c r="E31" s="0" t="s">
        <v>93</v>
      </c>
      <c r="G31" s="0" t="s">
        <v>83</v>
      </c>
      <c r="H31" s="0" t="n">
        <v>0.1</v>
      </c>
      <c r="I31" s="0" t="n">
        <v>17</v>
      </c>
      <c r="J31" s="4" t="n">
        <f aca="false">IF(D31="D", 250, 50)</f>
        <v>50</v>
      </c>
      <c r="K31" s="0" t="s">
        <v>30</v>
      </c>
      <c r="L31" s="0" t="str">
        <f aca="false">IF(D31="G","Petrol",IF(D31="D","Diesel",IF(D31="HY","Petrol Hybrid",IF(D31="GLP","LPG Bifuell ~ LPG",D31))))</f>
        <v>Petrol</v>
      </c>
      <c r="M31" s="0" t="s">
        <v>46</v>
      </c>
      <c r="Q31" s="0" t="n">
        <v>22.8</v>
      </c>
      <c r="R31" s="0" t="s">
        <v>96</v>
      </c>
      <c r="S31" s="0" t="n">
        <v>10.752</v>
      </c>
      <c r="T31" s="0" t="s">
        <v>131</v>
      </c>
      <c r="U31" s="0" t="s">
        <v>24</v>
      </c>
      <c r="V31" s="0" t="s">
        <v>33</v>
      </c>
      <c r="W31" s="3" t="s">
        <v>47</v>
      </c>
      <c r="X31" s="0" t="str">
        <f aca="false">D31</f>
        <v>G</v>
      </c>
    </row>
    <row r="32" customFormat="false" ht="13.2" hidden="false" customHeight="false" outlineLevel="0" collapsed="false">
      <c r="A32" s="0" t="s">
        <v>91</v>
      </c>
      <c r="B32" s="0" t="s">
        <v>132</v>
      </c>
      <c r="C32" s="0" t="str">
        <f aca="false">CONCATENATE("Rigid trucks gasoline ", E32)</f>
        <v>Rigid trucks gasoline 7.5-12t</v>
      </c>
      <c r="D32" s="0" t="s">
        <v>27</v>
      </c>
      <c r="E32" s="0" t="s">
        <v>101</v>
      </c>
      <c r="G32" s="0" t="s">
        <v>83</v>
      </c>
      <c r="H32" s="0" t="n">
        <v>0.1</v>
      </c>
      <c r="I32" s="0" t="n">
        <v>17</v>
      </c>
      <c r="J32" s="4" t="n">
        <f aca="false">IF(D32="D", 250, 50)</f>
        <v>50</v>
      </c>
      <c r="K32" s="0" t="s">
        <v>30</v>
      </c>
      <c r="L32" s="0" t="str">
        <f aca="false">IF(D32="G","Petrol",IF(D32="D","Diesel",IF(D32="HY","Petrol Hybrid",IF(D32="GLP","LPG Bifuell ~ LPG",D32))))</f>
        <v>Petrol</v>
      </c>
      <c r="M32" s="0" t="s">
        <v>46</v>
      </c>
      <c r="Q32" s="0" t="n">
        <v>22.8</v>
      </c>
      <c r="R32" s="0" t="s">
        <v>96</v>
      </c>
      <c r="S32" s="0" t="n">
        <v>10.752</v>
      </c>
      <c r="U32" s="0" t="s">
        <v>24</v>
      </c>
      <c r="V32" s="0" t="s">
        <v>33</v>
      </c>
      <c r="W32" s="3" t="s">
        <v>47</v>
      </c>
      <c r="X32" s="0" t="str">
        <f aca="false">D32</f>
        <v>G</v>
      </c>
    </row>
    <row r="33" customFormat="false" ht="13.2" hidden="false" customHeight="false" outlineLevel="0" collapsed="false">
      <c r="A33" s="0" t="s">
        <v>91</v>
      </c>
      <c r="B33" s="0" t="s">
        <v>133</v>
      </c>
      <c r="C33" s="0" t="str">
        <f aca="false">CONCATENATE("Rigid trucks gasoline ", E33)</f>
        <v>Rigid trucks gasoline 12-14t</v>
      </c>
      <c r="D33" s="0" t="s">
        <v>27</v>
      </c>
      <c r="E33" s="0" t="s">
        <v>105</v>
      </c>
      <c r="G33" s="0" t="s">
        <v>83</v>
      </c>
      <c r="H33" s="0" t="n">
        <v>0.1</v>
      </c>
      <c r="I33" s="0" t="n">
        <v>17</v>
      </c>
      <c r="J33" s="4" t="n">
        <f aca="false">IF(D33="D", 250, 50)</f>
        <v>50</v>
      </c>
      <c r="K33" s="0" t="s">
        <v>30</v>
      </c>
      <c r="L33" s="0" t="str">
        <f aca="false">IF(D33="G","Petrol",IF(D33="D","Diesel",IF(D33="HY","Petrol Hybrid",IF(D33="GLP","LPG Bifuell ~ LPG",D33))))</f>
        <v>Petrol</v>
      </c>
      <c r="M33" s="0" t="s">
        <v>46</v>
      </c>
      <c r="Q33" s="0" t="n">
        <v>22.8</v>
      </c>
      <c r="R33" s="0" t="s">
        <v>96</v>
      </c>
      <c r="S33" s="0" t="n">
        <v>10.752</v>
      </c>
      <c r="U33" s="0" t="s">
        <v>24</v>
      </c>
      <c r="V33" s="0" t="s">
        <v>33</v>
      </c>
      <c r="W33" s="3" t="s">
        <v>47</v>
      </c>
      <c r="X33" s="0" t="str">
        <f aca="false">D33</f>
        <v>G</v>
      </c>
    </row>
    <row r="34" customFormat="false" ht="13.2" hidden="false" customHeight="false" outlineLevel="0" collapsed="false">
      <c r="A34" s="0" t="s">
        <v>91</v>
      </c>
      <c r="B34" s="0" t="s">
        <v>134</v>
      </c>
      <c r="C34" s="0" t="str">
        <f aca="false">CONCATENATE("Rigid trucks gasoline ", E34)</f>
        <v>Rigid trucks gasoline 14-16t</v>
      </c>
      <c r="D34" s="0" t="s">
        <v>27</v>
      </c>
      <c r="E34" s="0" t="s">
        <v>109</v>
      </c>
      <c r="G34" s="0" t="s">
        <v>83</v>
      </c>
      <c r="H34" s="0" t="n">
        <v>0.1</v>
      </c>
      <c r="I34" s="0" t="n">
        <v>17</v>
      </c>
      <c r="J34" s="4" t="n">
        <f aca="false">IF(D34="D", 250, 50)</f>
        <v>50</v>
      </c>
      <c r="K34" s="0" t="s">
        <v>30</v>
      </c>
      <c r="L34" s="0" t="str">
        <f aca="false">IF(D34="G","Petrol",IF(D34="D","Diesel",IF(D34="HY","Petrol Hybrid",IF(D34="GLP","LPG Bifuell ~ LPG",D34))))</f>
        <v>Petrol</v>
      </c>
      <c r="M34" s="0" t="s">
        <v>46</v>
      </c>
      <c r="Q34" s="0" t="n">
        <v>22.8</v>
      </c>
      <c r="R34" s="0" t="s">
        <v>96</v>
      </c>
      <c r="S34" s="0" t="n">
        <v>10.752</v>
      </c>
      <c r="U34" s="0" t="s">
        <v>24</v>
      </c>
      <c r="V34" s="0" t="s">
        <v>33</v>
      </c>
      <c r="W34" s="3" t="s">
        <v>47</v>
      </c>
      <c r="X34" s="0" t="str">
        <f aca="false">D34</f>
        <v>G</v>
      </c>
    </row>
    <row r="35" customFormat="false" ht="13.2" hidden="false" customHeight="false" outlineLevel="0" collapsed="false">
      <c r="A35" s="0" t="s">
        <v>91</v>
      </c>
      <c r="B35" s="0" t="s">
        <v>135</v>
      </c>
      <c r="C35" s="0" t="str">
        <f aca="false">CONCATENATE("Rigid trucks gasoline ", E35)</f>
        <v>Rigid trucks gasoline 16-20t</v>
      </c>
      <c r="D35" s="0" t="s">
        <v>27</v>
      </c>
      <c r="E35" s="0" t="s">
        <v>113</v>
      </c>
      <c r="G35" s="0" t="s">
        <v>83</v>
      </c>
      <c r="H35" s="0" t="n">
        <v>0.1</v>
      </c>
      <c r="I35" s="0" t="n">
        <v>17</v>
      </c>
      <c r="J35" s="4" t="n">
        <f aca="false">IF(D35="D", 250, 50)</f>
        <v>50</v>
      </c>
      <c r="K35" s="0" t="s">
        <v>30</v>
      </c>
      <c r="L35" s="0" t="str">
        <f aca="false">IF(D35="G","Petrol",IF(D35="D","Diesel",IF(D35="HY","Petrol Hybrid",IF(D35="GLP","LPG Bifuell ~ LPG",D35))))</f>
        <v>Petrol</v>
      </c>
      <c r="M35" s="0" t="s">
        <v>46</v>
      </c>
      <c r="Q35" s="0" t="n">
        <v>22.8</v>
      </c>
      <c r="R35" s="0" t="s">
        <v>96</v>
      </c>
      <c r="S35" s="0" t="n">
        <v>10.752</v>
      </c>
      <c r="U35" s="0" t="s">
        <v>24</v>
      </c>
      <c r="V35" s="0" t="s">
        <v>33</v>
      </c>
      <c r="W35" s="3" t="s">
        <v>47</v>
      </c>
      <c r="X35" s="0" t="str">
        <f aca="false">D35</f>
        <v>G</v>
      </c>
    </row>
    <row r="36" customFormat="false" ht="13.2" hidden="false" customHeight="false" outlineLevel="0" collapsed="false">
      <c r="A36" s="0" t="s">
        <v>91</v>
      </c>
      <c r="B36" s="0" t="s">
        <v>136</v>
      </c>
      <c r="C36" s="0" t="str">
        <f aca="false">CONCATENATE("Rigid trucks gasoline ", E36)</f>
        <v>Rigid trucks gasoline 20-26t</v>
      </c>
      <c r="D36" s="0" t="s">
        <v>27</v>
      </c>
      <c r="E36" s="0" t="s">
        <v>115</v>
      </c>
      <c r="G36" s="0" t="s">
        <v>83</v>
      </c>
      <c r="H36" s="0" t="n">
        <v>0.1</v>
      </c>
      <c r="I36" s="0" t="n">
        <v>17</v>
      </c>
      <c r="J36" s="4" t="n">
        <f aca="false">IF(D36="D", 250, 50)</f>
        <v>50</v>
      </c>
      <c r="K36" s="0" t="s">
        <v>30</v>
      </c>
      <c r="L36" s="0" t="str">
        <f aca="false">IF(D36="G","Petrol",IF(D36="D","Diesel",IF(D36="HY","Petrol Hybrid",IF(D36="GLP","LPG Bifuell ~ LPG",D36))))</f>
        <v>Petrol</v>
      </c>
      <c r="M36" s="0" t="s">
        <v>46</v>
      </c>
      <c r="Q36" s="0" t="n">
        <v>22.8</v>
      </c>
      <c r="R36" s="0" t="s">
        <v>96</v>
      </c>
      <c r="S36" s="0" t="n">
        <v>10.752</v>
      </c>
      <c r="U36" s="0" t="s">
        <v>24</v>
      </c>
      <c r="V36" s="0" t="s">
        <v>33</v>
      </c>
      <c r="W36" s="3" t="s">
        <v>47</v>
      </c>
      <c r="X36" s="0" t="str">
        <f aca="false">D36</f>
        <v>G</v>
      </c>
    </row>
    <row r="37" customFormat="false" ht="13.2" hidden="false" customHeight="false" outlineLevel="0" collapsed="false">
      <c r="A37" s="0" t="s">
        <v>91</v>
      </c>
      <c r="B37" s="0" t="s">
        <v>137</v>
      </c>
      <c r="C37" s="0" t="str">
        <f aca="false">CONCATENATE("Rigid trucks gasoline ", E37)</f>
        <v>Rigid trucks gasoline 26-28t</v>
      </c>
      <c r="D37" s="0" t="s">
        <v>27</v>
      </c>
      <c r="E37" s="0" t="s">
        <v>119</v>
      </c>
      <c r="G37" s="0" t="s">
        <v>83</v>
      </c>
      <c r="H37" s="0" t="n">
        <v>0.1</v>
      </c>
      <c r="I37" s="0" t="n">
        <v>17</v>
      </c>
      <c r="J37" s="4" t="n">
        <f aca="false">IF(D37="D", 250, 50)</f>
        <v>50</v>
      </c>
      <c r="K37" s="0" t="s">
        <v>30</v>
      </c>
      <c r="L37" s="0" t="str">
        <f aca="false">IF(D37="G","Petrol",IF(D37="D","Diesel",IF(D37="HY","Petrol Hybrid",IF(D37="GLP","LPG Bifuell ~ LPG",D37))))</f>
        <v>Petrol</v>
      </c>
      <c r="M37" s="0" t="s">
        <v>46</v>
      </c>
      <c r="Q37" s="0" t="n">
        <v>22.8</v>
      </c>
      <c r="R37" s="0" t="s">
        <v>96</v>
      </c>
      <c r="S37" s="0" t="n">
        <v>10.752</v>
      </c>
      <c r="U37" s="0" t="s">
        <v>24</v>
      </c>
      <c r="V37" s="0" t="s">
        <v>33</v>
      </c>
      <c r="W37" s="3" t="s">
        <v>47</v>
      </c>
      <c r="X37" s="0" t="str">
        <f aca="false">D37</f>
        <v>G</v>
      </c>
    </row>
    <row r="38" customFormat="false" ht="13.2" hidden="false" customHeight="false" outlineLevel="0" collapsed="false">
      <c r="A38" s="0" t="s">
        <v>91</v>
      </c>
      <c r="B38" s="0" t="s">
        <v>138</v>
      </c>
      <c r="C38" s="0" t="str">
        <f aca="false">CONCATENATE("Rigid trucks gasoline ", E38)</f>
        <v>Rigid trucks gasoline 38-32t</v>
      </c>
      <c r="D38" s="0" t="s">
        <v>27</v>
      </c>
      <c r="E38" s="0" t="s">
        <v>123</v>
      </c>
      <c r="G38" s="0" t="s">
        <v>83</v>
      </c>
      <c r="H38" s="0" t="n">
        <v>0.1</v>
      </c>
      <c r="I38" s="0" t="n">
        <v>17</v>
      </c>
      <c r="J38" s="4" t="n">
        <f aca="false">IF(D38="D", 250, 50)</f>
        <v>50</v>
      </c>
      <c r="K38" s="0" t="s">
        <v>30</v>
      </c>
      <c r="L38" s="0" t="str">
        <f aca="false">IF(D38="G","Petrol",IF(D38="D","Diesel",IF(D38="HY","Petrol Hybrid",IF(D38="GLP","LPG Bifuell ~ LPG",D38))))</f>
        <v>Petrol</v>
      </c>
      <c r="M38" s="0" t="s">
        <v>46</v>
      </c>
      <c r="Q38" s="0" t="n">
        <v>22.8</v>
      </c>
      <c r="R38" s="0" t="s">
        <v>96</v>
      </c>
      <c r="S38" s="0" t="n">
        <v>10.752</v>
      </c>
      <c r="U38" s="0" t="s">
        <v>24</v>
      </c>
      <c r="V38" s="0" t="s">
        <v>33</v>
      </c>
      <c r="W38" s="3" t="s">
        <v>47</v>
      </c>
      <c r="X38" s="0" t="str">
        <f aca="false">D38</f>
        <v>G</v>
      </c>
    </row>
    <row r="39" customFormat="false" ht="13.2" hidden="false" customHeight="false" outlineLevel="0" collapsed="false">
      <c r="A39" s="0" t="s">
        <v>91</v>
      </c>
      <c r="B39" s="0" t="s">
        <v>139</v>
      </c>
      <c r="C39" s="0" t="str">
        <f aca="false">CONCATENATE("Rigid trucks gasoline ", E39)</f>
        <v>Rigid trucks gasoline &gt;=32t</v>
      </c>
      <c r="D39" s="0" t="s">
        <v>27</v>
      </c>
      <c r="E39" s="0" t="s">
        <v>127</v>
      </c>
      <c r="G39" s="0" t="s">
        <v>83</v>
      </c>
      <c r="H39" s="0" t="n">
        <v>0.1</v>
      </c>
      <c r="I39" s="0" t="n">
        <v>17</v>
      </c>
      <c r="J39" s="4" t="n">
        <f aca="false">IF(D39="D", 250, 50)</f>
        <v>50</v>
      </c>
      <c r="K39" s="0" t="s">
        <v>30</v>
      </c>
      <c r="L39" s="0" t="str">
        <f aca="false">IF(D39="G","Petrol",IF(D39="D","Diesel",IF(D39="HY","Petrol Hybrid",IF(D39="GLP","LPG Bifuell ~ LPG",D39))))</f>
        <v>Petrol</v>
      </c>
      <c r="M39" s="0" t="s">
        <v>46</v>
      </c>
      <c r="Q39" s="0" t="n">
        <v>22.8</v>
      </c>
      <c r="R39" s="0" t="s">
        <v>96</v>
      </c>
      <c r="S39" s="0" t="n">
        <v>10.752</v>
      </c>
      <c r="U39" s="0" t="s">
        <v>24</v>
      </c>
      <c r="V39" s="0" t="s">
        <v>33</v>
      </c>
      <c r="W39" s="3" t="s">
        <v>47</v>
      </c>
      <c r="X39" s="0" t="str">
        <f aca="false">D39</f>
        <v>G</v>
      </c>
    </row>
    <row r="40" customFormat="false" ht="13.2" hidden="false" customHeight="false" outlineLevel="0" collapsed="false">
      <c r="A40" s="0" t="s">
        <v>91</v>
      </c>
      <c r="B40" s="0" t="s">
        <v>140</v>
      </c>
      <c r="C40" s="0" t="str">
        <f aca="false">CONCATENATE("Articulated trucks diesel ", E40)</f>
        <v>Articulated trucks diesel 16-20t</v>
      </c>
      <c r="D40" s="0" t="s">
        <v>49</v>
      </c>
      <c r="E40" s="0" t="s">
        <v>113</v>
      </c>
      <c r="G40" s="0" t="s">
        <v>83</v>
      </c>
      <c r="H40" s="0" t="n">
        <v>0.1</v>
      </c>
      <c r="I40" s="0" t="n">
        <v>17</v>
      </c>
      <c r="J40" s="4" t="n">
        <f aca="false">IF(D40="D", 250, 50)</f>
        <v>250</v>
      </c>
      <c r="K40" s="0" t="s">
        <v>94</v>
      </c>
      <c r="L40" s="0" t="str">
        <f aca="false">IF(D40="G","Petrol",IF(D40="D","Diesel",IF(D40="HY","Petrol Hybrid",IF(D40="GLP","LPG Bifuell ~ LPG",D40))))</f>
        <v>Diesel</v>
      </c>
      <c r="M40" s="0" t="s">
        <v>141</v>
      </c>
      <c r="O40" s="0" t="n">
        <v>0</v>
      </c>
      <c r="P40" s="0" t="n">
        <v>0.5</v>
      </c>
      <c r="Q40" s="0" t="n">
        <v>22.8</v>
      </c>
      <c r="R40" s="0" t="s">
        <v>96</v>
      </c>
      <c r="S40" s="0" t="n">
        <v>10.752</v>
      </c>
      <c r="U40" s="0" t="s">
        <v>97</v>
      </c>
      <c r="V40" s="0" t="s">
        <v>142</v>
      </c>
      <c r="W40" s="3" t="s">
        <v>143</v>
      </c>
      <c r="X40" s="0" t="str">
        <f aca="false">D40</f>
        <v>D</v>
      </c>
    </row>
    <row r="41" customFormat="false" ht="13.2" hidden="false" customHeight="false" outlineLevel="0" collapsed="false">
      <c r="A41" s="0" t="s">
        <v>91</v>
      </c>
      <c r="B41" s="0" t="s">
        <v>144</v>
      </c>
      <c r="C41" s="0" t="str">
        <f aca="false">CONCATENATE("Articulated trucks diesel ", E41)</f>
        <v>Articulated trucks diesel 20-28t</v>
      </c>
      <c r="D41" s="0" t="s">
        <v>49</v>
      </c>
      <c r="E41" s="0" t="s">
        <v>145</v>
      </c>
      <c r="G41" s="0" t="s">
        <v>83</v>
      </c>
      <c r="H41" s="0" t="n">
        <v>0.1</v>
      </c>
      <c r="I41" s="0" t="n">
        <v>17</v>
      </c>
      <c r="J41" s="4" t="n">
        <f aca="false">IF(D41="D", 250, 50)</f>
        <v>250</v>
      </c>
      <c r="K41" s="0" t="s">
        <v>94</v>
      </c>
      <c r="L41" s="0" t="str">
        <f aca="false">IF(D41="G","Petrol",IF(D41="D","Diesel",IF(D41="HY","Petrol Hybrid",IF(D41="GLP","LPG Bifuell ~ LPG",D41))))</f>
        <v>Diesel</v>
      </c>
      <c r="M41" s="0" t="s">
        <v>146</v>
      </c>
      <c r="O41" s="0" t="n">
        <v>0</v>
      </c>
      <c r="P41" s="0" t="n">
        <v>0.5</v>
      </c>
      <c r="Q41" s="0" t="n">
        <v>22.8</v>
      </c>
      <c r="R41" s="0" t="s">
        <v>96</v>
      </c>
      <c r="S41" s="0" t="n">
        <v>10.752</v>
      </c>
      <c r="U41" s="0" t="s">
        <v>97</v>
      </c>
      <c r="V41" s="0" t="s">
        <v>142</v>
      </c>
      <c r="W41" s="3" t="s">
        <v>143</v>
      </c>
      <c r="X41" s="0" t="str">
        <f aca="false">D41</f>
        <v>D</v>
      </c>
    </row>
    <row r="42" customFormat="false" ht="13.2" hidden="false" customHeight="false" outlineLevel="0" collapsed="false">
      <c r="A42" s="0" t="s">
        <v>91</v>
      </c>
      <c r="B42" s="0" t="s">
        <v>147</v>
      </c>
      <c r="C42" s="0" t="str">
        <f aca="false">CONCATENATE("Articulated trucks diesel ", E42)</f>
        <v>Articulated trucks diesel 28-34t</v>
      </c>
      <c r="D42" s="0" t="s">
        <v>49</v>
      </c>
      <c r="E42" s="0" t="s">
        <v>148</v>
      </c>
      <c r="G42" s="0" t="s">
        <v>83</v>
      </c>
      <c r="H42" s="0" t="n">
        <v>0.1</v>
      </c>
      <c r="I42" s="0" t="n">
        <v>17</v>
      </c>
      <c r="J42" s="4" t="n">
        <f aca="false">IF(D42="D", 250, 50)</f>
        <v>250</v>
      </c>
      <c r="K42" s="0" t="s">
        <v>94</v>
      </c>
      <c r="L42" s="0" t="str">
        <f aca="false">IF(D42="G","Petrol",IF(D42="D","Diesel",IF(D42="HY","Petrol Hybrid",IF(D42="GLP","LPG Bifuell ~ LPG",D42))))</f>
        <v>Diesel</v>
      </c>
      <c r="M42" s="0" t="s">
        <v>149</v>
      </c>
      <c r="O42" s="0" t="n">
        <v>0</v>
      </c>
      <c r="P42" s="0" t="n">
        <v>0.5</v>
      </c>
      <c r="Q42" s="0" t="n">
        <v>22.8</v>
      </c>
      <c r="R42" s="0" t="s">
        <v>96</v>
      </c>
      <c r="S42" s="0" t="n">
        <v>10.752</v>
      </c>
      <c r="U42" s="0" t="s">
        <v>97</v>
      </c>
      <c r="V42" s="0" t="s">
        <v>142</v>
      </c>
      <c r="W42" s="3" t="s">
        <v>150</v>
      </c>
      <c r="X42" s="0" t="str">
        <f aca="false">D42</f>
        <v>D</v>
      </c>
    </row>
    <row r="43" customFormat="false" ht="13.2" hidden="false" customHeight="false" outlineLevel="0" collapsed="false">
      <c r="A43" s="0" t="s">
        <v>91</v>
      </c>
      <c r="B43" s="0" t="s">
        <v>151</v>
      </c>
      <c r="C43" s="0" t="str">
        <f aca="false">CONCATENATE("Articulated trucks diesel ", E43)</f>
        <v>Articulated trucks diesel 34-40t</v>
      </c>
      <c r="D43" s="0" t="s">
        <v>49</v>
      </c>
      <c r="E43" s="0" t="s">
        <v>152</v>
      </c>
      <c r="G43" s="0" t="s">
        <v>83</v>
      </c>
      <c r="H43" s="0" t="n">
        <v>0.1</v>
      </c>
      <c r="I43" s="0" t="n">
        <v>17</v>
      </c>
      <c r="J43" s="4" t="n">
        <f aca="false">IF(D43="D", 250, 50)</f>
        <v>250</v>
      </c>
      <c r="K43" s="0" t="s">
        <v>94</v>
      </c>
      <c r="L43" s="0" t="str">
        <f aca="false">IF(D43="G","Petrol",IF(D43="D","Diesel",IF(D43="HY","Petrol Hybrid",IF(D43="GLP","LPG Bifuell ~ LPG",D43))))</f>
        <v>Diesel</v>
      </c>
      <c r="M43" s="0" t="s">
        <v>153</v>
      </c>
      <c r="O43" s="0" t="n">
        <v>0</v>
      </c>
      <c r="P43" s="0" t="n">
        <v>0.5</v>
      </c>
      <c r="Q43" s="0" t="n">
        <v>22.8</v>
      </c>
      <c r="R43" s="0" t="s">
        <v>96</v>
      </c>
      <c r="S43" s="0" t="n">
        <v>10.752</v>
      </c>
      <c r="U43" s="0" t="s">
        <v>97</v>
      </c>
      <c r="V43" s="0" t="s">
        <v>142</v>
      </c>
      <c r="W43" s="3" t="s">
        <v>154</v>
      </c>
      <c r="X43" s="0" t="str">
        <f aca="false">D43</f>
        <v>D</v>
      </c>
    </row>
    <row r="44" customFormat="false" ht="13.2" hidden="false" customHeight="false" outlineLevel="0" collapsed="false">
      <c r="A44" s="0" t="s">
        <v>91</v>
      </c>
      <c r="B44" s="0" t="s">
        <v>155</v>
      </c>
      <c r="C44" s="0" t="str">
        <f aca="false">CONCATENATE("Articulated trucks diesel ", E44)</f>
        <v>Articulated trucks diesel 40-50t</v>
      </c>
      <c r="D44" s="0" t="s">
        <v>49</v>
      </c>
      <c r="E44" s="0" t="s">
        <v>156</v>
      </c>
      <c r="G44" s="0" t="s">
        <v>83</v>
      </c>
      <c r="H44" s="0" t="n">
        <v>0.1</v>
      </c>
      <c r="I44" s="0" t="n">
        <v>17</v>
      </c>
      <c r="J44" s="4" t="n">
        <f aca="false">IF(D44="D", 250, 50)</f>
        <v>250</v>
      </c>
      <c r="K44" s="0" t="s">
        <v>94</v>
      </c>
      <c r="L44" s="0" t="str">
        <f aca="false">IF(D44="G","Petrol",IF(D44="D","Diesel",IF(D44="HY","Petrol Hybrid",IF(D44="GLP","LPG Bifuell ~ LPG",D44))))</f>
        <v>Diesel</v>
      </c>
      <c r="M44" s="0" t="s">
        <v>157</v>
      </c>
      <c r="O44" s="0" t="n">
        <v>0</v>
      </c>
      <c r="P44" s="0" t="n">
        <v>0.5</v>
      </c>
      <c r="Q44" s="0" t="n">
        <v>22.8</v>
      </c>
      <c r="R44" s="0" t="s">
        <v>96</v>
      </c>
      <c r="S44" s="0" t="n">
        <v>10.752</v>
      </c>
      <c r="U44" s="0" t="s">
        <v>97</v>
      </c>
      <c r="V44" s="0" t="s">
        <v>142</v>
      </c>
      <c r="W44" s="3" t="s">
        <v>158</v>
      </c>
      <c r="X44" s="0" t="str">
        <f aca="false">D44</f>
        <v>D</v>
      </c>
    </row>
    <row r="45" customFormat="false" ht="13.2" hidden="false" customHeight="false" outlineLevel="0" collapsed="false">
      <c r="A45" s="0" t="s">
        <v>91</v>
      </c>
      <c r="B45" s="0" t="s">
        <v>159</v>
      </c>
      <c r="C45" s="0" t="str">
        <f aca="false">CONCATENATE("Articulated trucks diesel ", E45)</f>
        <v>Articulated trucks diesel 50-60t</v>
      </c>
      <c r="D45" s="0" t="s">
        <v>49</v>
      </c>
      <c r="E45" s="0" t="s">
        <v>160</v>
      </c>
      <c r="G45" s="0" t="s">
        <v>83</v>
      </c>
      <c r="H45" s="0" t="n">
        <v>0.1</v>
      </c>
      <c r="I45" s="0" t="n">
        <v>17</v>
      </c>
      <c r="J45" s="4" t="n">
        <f aca="false">IF(D45="D", 250, 50)</f>
        <v>250</v>
      </c>
      <c r="K45" s="0" t="s">
        <v>94</v>
      </c>
      <c r="L45" s="0" t="str">
        <f aca="false">IF(D45="G","Petrol",IF(D45="D","Diesel",IF(D45="HY","Petrol Hybrid",IF(D45="GLP","LPG Bifuell ~ LPG",D45))))</f>
        <v>Diesel</v>
      </c>
      <c r="M45" s="0" t="s">
        <v>161</v>
      </c>
      <c r="O45" s="0" t="n">
        <v>0</v>
      </c>
      <c r="P45" s="0" t="n">
        <v>0.5</v>
      </c>
      <c r="Q45" s="0" t="n">
        <v>22.8</v>
      </c>
      <c r="R45" s="0" t="s">
        <v>96</v>
      </c>
      <c r="S45" s="0" t="n">
        <v>10.752</v>
      </c>
      <c r="U45" s="0" t="s">
        <v>97</v>
      </c>
      <c r="V45" s="0" t="s">
        <v>142</v>
      </c>
      <c r="W45" s="3" t="s">
        <v>162</v>
      </c>
      <c r="X45" s="0" t="str">
        <f aca="false">D45</f>
        <v>D</v>
      </c>
    </row>
    <row r="46" customFormat="false" ht="13.2" hidden="false" customHeight="false" outlineLevel="0" collapsed="false">
      <c r="A46" s="0" t="s">
        <v>91</v>
      </c>
      <c r="B46" s="0" t="s">
        <v>163</v>
      </c>
      <c r="C46" s="0" t="s">
        <v>164</v>
      </c>
      <c r="D46" s="0" t="s">
        <v>55</v>
      </c>
      <c r="E46" s="0" t="s">
        <v>56</v>
      </c>
      <c r="G46" s="0" t="s">
        <v>83</v>
      </c>
      <c r="H46" s="0" t="n">
        <v>0.1</v>
      </c>
      <c r="I46" s="0" t="n">
        <v>17</v>
      </c>
      <c r="J46" s="4" t="n">
        <f aca="false">IF(D46="D", 250, 50)</f>
        <v>50</v>
      </c>
      <c r="K46" s="0" t="s">
        <v>94</v>
      </c>
      <c r="L46" s="0" t="str">
        <f aca="false">IF(D46="G","Petrol",IF(D46="D","Diesel",IF(D46="HY","Petrol Hybrid",IF(D46="GLP","LPG Bifuell ~ LPG",D46))))</f>
        <v>ELEC</v>
      </c>
      <c r="M46" s="0" t="s">
        <v>165</v>
      </c>
      <c r="O46" s="0" t="n">
        <v>0</v>
      </c>
      <c r="P46" s="0" t="n">
        <v>0.5</v>
      </c>
      <c r="Q46" s="0" t="n">
        <v>22.8</v>
      </c>
      <c r="R46" s="0" t="s">
        <v>96</v>
      </c>
      <c r="S46" s="0" t="n">
        <v>10.752</v>
      </c>
      <c r="U46" s="0" t="s">
        <v>97</v>
      </c>
      <c r="V46" s="0" t="s">
        <v>55</v>
      </c>
      <c r="X46" s="0" t="str">
        <f aca="false">D46</f>
        <v>ELEC</v>
      </c>
    </row>
    <row r="47" customFormat="false" ht="13.2" hidden="false" customHeight="false" outlineLevel="0" collapsed="false">
      <c r="A47" s="0" t="s">
        <v>166</v>
      </c>
      <c r="B47" s="0" t="s">
        <v>167</v>
      </c>
      <c r="C47" s="0" t="str">
        <f aca="false">CONCATENATE("Urban bus diesel ", E47)</f>
        <v>Urban bus diesel &lt;=15t</v>
      </c>
      <c r="D47" s="0" t="s">
        <v>49</v>
      </c>
      <c r="E47" s="0" t="s">
        <v>168</v>
      </c>
      <c r="G47" s="0" t="s">
        <v>83</v>
      </c>
      <c r="H47" s="0" t="n">
        <v>0.1</v>
      </c>
      <c r="I47" s="0" t="n">
        <v>17</v>
      </c>
      <c r="J47" s="4" t="n">
        <f aca="false">IF(D47="D", 250, 50)</f>
        <v>250</v>
      </c>
      <c r="K47" s="0" t="s">
        <v>169</v>
      </c>
      <c r="L47" s="0" t="str">
        <f aca="false">IF(D47="G","Petrol",IF(D47="D","Diesel",IF(D47="HY","Petrol Hybrid",IF(D47="GLP","LPG Bifuell ~ LPG",D47))))</f>
        <v>Diesel</v>
      </c>
      <c r="M47" s="0" t="s">
        <v>170</v>
      </c>
      <c r="O47" s="0" t="n">
        <v>0</v>
      </c>
      <c r="P47" s="0" t="n">
        <v>0.5</v>
      </c>
      <c r="Q47" s="0" t="n">
        <v>22.8</v>
      </c>
      <c r="R47" s="0" t="s">
        <v>96</v>
      </c>
      <c r="S47" s="0" t="n">
        <v>10.752</v>
      </c>
      <c r="U47" s="0" t="s">
        <v>171</v>
      </c>
      <c r="V47" s="0" t="s">
        <v>172</v>
      </c>
      <c r="W47" s="3" t="s">
        <v>173</v>
      </c>
      <c r="X47" s="0" t="str">
        <f aca="false">D47</f>
        <v>D</v>
      </c>
    </row>
    <row r="48" customFormat="false" ht="13.2" hidden="false" customHeight="false" outlineLevel="0" collapsed="false">
      <c r="A48" s="0" t="s">
        <v>166</v>
      </c>
      <c r="B48" s="0" t="s">
        <v>174</v>
      </c>
      <c r="C48" s="0" t="str">
        <f aca="false">CONCATENATE("Urban bus diesel ", E48)</f>
        <v>Urban bus diesel 15-18t</v>
      </c>
      <c r="D48" s="0" t="s">
        <v>49</v>
      </c>
      <c r="E48" s="0" t="s">
        <v>175</v>
      </c>
      <c r="G48" s="0" t="s">
        <v>83</v>
      </c>
      <c r="H48" s="0" t="n">
        <v>0.1</v>
      </c>
      <c r="I48" s="0" t="n">
        <v>17</v>
      </c>
      <c r="J48" s="4" t="n">
        <f aca="false">IF(D48="D", 250, 50)</f>
        <v>250</v>
      </c>
      <c r="K48" s="0" t="s">
        <v>169</v>
      </c>
      <c r="L48" s="0" t="str">
        <f aca="false">IF(D48="G","Petrol",IF(D48="D","Diesel",IF(D48="HY","Petrol Hybrid",IF(D48="GLP","LPG Bifuell ~ LPG",D48))))</f>
        <v>Diesel</v>
      </c>
      <c r="M48" s="0" t="s">
        <v>176</v>
      </c>
      <c r="O48" s="0" t="n">
        <v>0</v>
      </c>
      <c r="P48" s="0" t="n">
        <v>0.5</v>
      </c>
      <c r="Q48" s="0" t="n">
        <v>22.8</v>
      </c>
      <c r="R48" s="0" t="s">
        <v>96</v>
      </c>
      <c r="S48" s="0" t="n">
        <v>10.752</v>
      </c>
      <c r="U48" s="0" t="s">
        <v>171</v>
      </c>
      <c r="V48" s="0" t="s">
        <v>177</v>
      </c>
      <c r="W48" s="3" t="s">
        <v>178</v>
      </c>
      <c r="X48" s="0" t="str">
        <f aca="false">D48</f>
        <v>D</v>
      </c>
    </row>
    <row r="49" customFormat="false" ht="13.2" hidden="false" customHeight="false" outlineLevel="0" collapsed="false">
      <c r="A49" s="0" t="s">
        <v>166</v>
      </c>
      <c r="B49" s="0" t="s">
        <v>179</v>
      </c>
      <c r="C49" s="0" t="str">
        <f aca="false">CONCATENATE("Urban bus diesel ", E49)</f>
        <v>Urban bus diesel &gt;=18t</v>
      </c>
      <c r="D49" s="0" t="s">
        <v>49</v>
      </c>
      <c r="E49" s="0" t="s">
        <v>180</v>
      </c>
      <c r="G49" s="0" t="s">
        <v>83</v>
      </c>
      <c r="H49" s="0" t="n">
        <v>0.1</v>
      </c>
      <c r="I49" s="0" t="n">
        <v>17</v>
      </c>
      <c r="J49" s="4" t="n">
        <f aca="false">IF(D49="D", 250, 50)</f>
        <v>250</v>
      </c>
      <c r="K49" s="0" t="s">
        <v>169</v>
      </c>
      <c r="L49" s="0" t="str">
        <f aca="false">IF(D49="G","Petrol",IF(D49="D","Diesel",IF(D49="HY","Petrol Hybrid",IF(D49="GLP","LPG Bifuell ~ LPG",D49))))</f>
        <v>Diesel</v>
      </c>
      <c r="M49" s="0" t="s">
        <v>181</v>
      </c>
      <c r="O49" s="0" t="n">
        <v>0</v>
      </c>
      <c r="P49" s="0" t="n">
        <v>0.5</v>
      </c>
      <c r="Q49" s="0" t="n">
        <v>22.8</v>
      </c>
      <c r="R49" s="0" t="s">
        <v>96</v>
      </c>
      <c r="S49" s="0" t="n">
        <v>10.752</v>
      </c>
      <c r="U49" s="0" t="s">
        <v>171</v>
      </c>
      <c r="V49" s="0" t="s">
        <v>182</v>
      </c>
      <c r="W49" s="3" t="s">
        <v>183</v>
      </c>
      <c r="X49" s="0" t="str">
        <f aca="false">D49</f>
        <v>D</v>
      </c>
    </row>
    <row r="50" customFormat="false" ht="13.2" hidden="false" customHeight="false" outlineLevel="0" collapsed="false">
      <c r="A50" s="0" t="s">
        <v>166</v>
      </c>
      <c r="B50" s="0" t="s">
        <v>184</v>
      </c>
      <c r="C50" s="0" t="str">
        <f aca="false">CONCATENATE("Urban bus gasoline", E50)</f>
        <v>Urban bus gasoline&lt;=15t</v>
      </c>
      <c r="D50" s="0" t="s">
        <v>27</v>
      </c>
      <c r="E50" s="0" t="s">
        <v>168</v>
      </c>
      <c r="G50" s="0" t="s">
        <v>83</v>
      </c>
      <c r="H50" s="0" t="n">
        <v>0.1</v>
      </c>
      <c r="I50" s="0" t="n">
        <v>17</v>
      </c>
      <c r="J50" s="4" t="n">
        <f aca="false">IF(D50="D", 250, 50)</f>
        <v>50</v>
      </c>
      <c r="K50" s="0" t="s">
        <v>30</v>
      </c>
      <c r="L50" s="0" t="str">
        <f aca="false">IF(D50="G","Petrol",IF(D50="D","Diesel",IF(D50="HY","Petrol Hybrid",IF(D50="GLP","LPG Bifuell ~ LPG",D50))))</f>
        <v>Petrol</v>
      </c>
      <c r="M50" s="0" t="s">
        <v>46</v>
      </c>
      <c r="O50" s="0" t="n">
        <v>0</v>
      </c>
      <c r="P50" s="0" t="n">
        <v>0.5</v>
      </c>
      <c r="Q50" s="0" t="n">
        <v>22.8</v>
      </c>
      <c r="R50" s="0" t="s">
        <v>96</v>
      </c>
      <c r="S50" s="0" t="n">
        <v>10.752</v>
      </c>
      <c r="T50" s="0" t="s">
        <v>185</v>
      </c>
      <c r="U50" s="0" t="s">
        <v>24</v>
      </c>
      <c r="V50" s="0" t="s">
        <v>33</v>
      </c>
      <c r="W50" s="3" t="s">
        <v>47</v>
      </c>
      <c r="X50" s="0" t="str">
        <f aca="false">D50</f>
        <v>G</v>
      </c>
    </row>
    <row r="51" customFormat="false" ht="13.2" hidden="false" customHeight="false" outlineLevel="0" collapsed="false">
      <c r="A51" s="0" t="s">
        <v>166</v>
      </c>
      <c r="B51" s="0" t="s">
        <v>186</v>
      </c>
      <c r="C51" s="0" t="str">
        <f aca="false">CONCATENATE("Urban bus gasoline", E51)</f>
        <v>Urban bus gasoline15-18t</v>
      </c>
      <c r="D51" s="0" t="s">
        <v>27</v>
      </c>
      <c r="E51" s="0" t="s">
        <v>175</v>
      </c>
      <c r="G51" s="0" t="s">
        <v>83</v>
      </c>
      <c r="H51" s="0" t="n">
        <v>0.1</v>
      </c>
      <c r="I51" s="0" t="n">
        <v>17</v>
      </c>
      <c r="J51" s="4" t="n">
        <f aca="false">IF(D51="D", 250, 50)</f>
        <v>50</v>
      </c>
      <c r="K51" s="0" t="s">
        <v>30</v>
      </c>
      <c r="L51" s="0" t="str">
        <f aca="false">IF(D51="G","Petrol",IF(D51="D","Diesel",IF(D51="HY","Petrol Hybrid",IF(D51="GLP","LPG Bifuell ~ LPG",D51))))</f>
        <v>Petrol</v>
      </c>
      <c r="M51" s="0" t="s">
        <v>46</v>
      </c>
      <c r="O51" s="0" t="n">
        <v>0</v>
      </c>
      <c r="P51" s="0" t="n">
        <v>0.5</v>
      </c>
      <c r="Q51" s="0" t="n">
        <v>22.8</v>
      </c>
      <c r="R51" s="0" t="s">
        <v>96</v>
      </c>
      <c r="S51" s="0" t="n">
        <v>10.752</v>
      </c>
      <c r="U51" s="0" t="s">
        <v>24</v>
      </c>
      <c r="V51" s="0" t="s">
        <v>33</v>
      </c>
      <c r="W51" s="3" t="s">
        <v>47</v>
      </c>
      <c r="X51" s="0" t="str">
        <f aca="false">D51</f>
        <v>G</v>
      </c>
    </row>
    <row r="52" customFormat="false" ht="13.2" hidden="false" customHeight="false" outlineLevel="0" collapsed="false">
      <c r="A52" s="0" t="s">
        <v>166</v>
      </c>
      <c r="B52" s="0" t="s">
        <v>187</v>
      </c>
      <c r="C52" s="0" t="str">
        <f aca="false">CONCATENATE("Urban bus gasoline", E52)</f>
        <v>Urban bus gasoline&gt;=18t</v>
      </c>
      <c r="D52" s="0" t="s">
        <v>27</v>
      </c>
      <c r="E52" s="0" t="s">
        <v>180</v>
      </c>
      <c r="G52" s="0" t="s">
        <v>83</v>
      </c>
      <c r="H52" s="0" t="n">
        <v>0.1</v>
      </c>
      <c r="I52" s="0" t="n">
        <v>17</v>
      </c>
      <c r="J52" s="4" t="n">
        <f aca="false">IF(D52="D", 250, 50)</f>
        <v>50</v>
      </c>
      <c r="K52" s="0" t="s">
        <v>30</v>
      </c>
      <c r="L52" s="0" t="str">
        <f aca="false">IF(D52="G","Petrol",IF(D52="D","Diesel",IF(D52="HY","Petrol Hybrid",IF(D52="GLP","LPG Bifuell ~ LPG",D52))))</f>
        <v>Petrol</v>
      </c>
      <c r="M52" s="0" t="s">
        <v>46</v>
      </c>
      <c r="O52" s="0" t="n">
        <v>0</v>
      </c>
      <c r="P52" s="0" t="n">
        <v>0.5</v>
      </c>
      <c r="Q52" s="0" t="n">
        <v>22.8</v>
      </c>
      <c r="R52" s="0" t="s">
        <v>96</v>
      </c>
      <c r="S52" s="0" t="n">
        <v>10.752</v>
      </c>
      <c r="U52" s="0" t="s">
        <v>24</v>
      </c>
      <c r="V52" s="0" t="s">
        <v>33</v>
      </c>
      <c r="W52" s="3" t="s">
        <v>47</v>
      </c>
      <c r="X52" s="0" t="str">
        <f aca="false">D52</f>
        <v>G</v>
      </c>
    </row>
    <row r="53" customFormat="false" ht="13.2" hidden="false" customHeight="false" outlineLevel="0" collapsed="false">
      <c r="A53" s="0" t="s">
        <v>166</v>
      </c>
      <c r="B53" s="0" t="s">
        <v>188</v>
      </c>
      <c r="C53" s="0" t="str">
        <f aca="false">CONCATENATE("Coach bus diesel ", E53)</f>
        <v>Coach bus diesel &lt;=18</v>
      </c>
      <c r="D53" s="0" t="s">
        <v>49</v>
      </c>
      <c r="E53" s="0" t="s">
        <v>189</v>
      </c>
      <c r="G53" s="0" t="s">
        <v>83</v>
      </c>
      <c r="H53" s="0" t="n">
        <v>0.1</v>
      </c>
      <c r="I53" s="0" t="n">
        <v>17</v>
      </c>
      <c r="J53" s="4" t="n">
        <f aca="false">IF(D53="D", 250, 50)</f>
        <v>250</v>
      </c>
      <c r="K53" s="0" t="s">
        <v>169</v>
      </c>
      <c r="L53" s="0" t="str">
        <f aca="false">IF(D53="G","Petrol",IF(D53="D","Diesel",IF(D53="HY","Petrol Hybrid",IF(D53="GLP","LPG Bifuell ~ LPG",D53))))</f>
        <v>Diesel</v>
      </c>
      <c r="M53" s="0" t="s">
        <v>190</v>
      </c>
      <c r="O53" s="0" t="n">
        <v>0</v>
      </c>
      <c r="P53" s="0" t="n">
        <v>0.5</v>
      </c>
      <c r="Q53" s="0" t="n">
        <v>22.8</v>
      </c>
      <c r="R53" s="0" t="s">
        <v>96</v>
      </c>
      <c r="S53" s="0" t="n">
        <v>10.752</v>
      </c>
      <c r="U53" s="0" t="s">
        <v>191</v>
      </c>
      <c r="V53" s="0" t="s">
        <v>177</v>
      </c>
      <c r="W53" s="3" t="s">
        <v>189</v>
      </c>
      <c r="X53" s="0" t="str">
        <f aca="false">D53</f>
        <v>D</v>
      </c>
    </row>
    <row r="54" customFormat="false" ht="13.2" hidden="false" customHeight="false" outlineLevel="0" collapsed="false">
      <c r="A54" s="0" t="s">
        <v>166</v>
      </c>
      <c r="B54" s="0" t="s">
        <v>192</v>
      </c>
      <c r="C54" s="0" t="str">
        <f aca="false">CONCATENATE("Coach bus diesel ", E54)</f>
        <v>Coach bus diesel &gt;18t</v>
      </c>
      <c r="D54" s="0" t="s">
        <v>49</v>
      </c>
      <c r="E54" s="0" t="s">
        <v>193</v>
      </c>
      <c r="G54" s="0" t="s">
        <v>83</v>
      </c>
      <c r="H54" s="0" t="n">
        <v>0.1</v>
      </c>
      <c r="I54" s="0" t="n">
        <v>17</v>
      </c>
      <c r="J54" s="4" t="n">
        <f aca="false">IF(D54="D", 250, 50)</f>
        <v>250</v>
      </c>
      <c r="K54" s="0" t="s">
        <v>169</v>
      </c>
      <c r="L54" s="0" t="str">
        <f aca="false">IF(D54="G","Petrol",IF(D54="D","Diesel",IF(D54="HY","Petrol Hybrid",IF(D54="GLP","LPG Bifuell ~ LPG",D54))))</f>
        <v>Diesel</v>
      </c>
      <c r="M54" s="0" t="s">
        <v>194</v>
      </c>
      <c r="O54" s="0" t="n">
        <v>0</v>
      </c>
      <c r="P54" s="0" t="n">
        <v>0.5</v>
      </c>
      <c r="Q54" s="0" t="n">
        <v>22.8</v>
      </c>
      <c r="R54" s="0" t="s">
        <v>96</v>
      </c>
      <c r="S54" s="0" t="n">
        <v>10.752</v>
      </c>
      <c r="U54" s="0" t="s">
        <v>191</v>
      </c>
      <c r="V54" s="0" t="s">
        <v>195</v>
      </c>
      <c r="W54" s="3" t="s">
        <v>183</v>
      </c>
      <c r="X54" s="0" t="str">
        <f aca="false">D54</f>
        <v>D</v>
      </c>
    </row>
    <row r="55" customFormat="false" ht="13.2" hidden="false" customHeight="false" outlineLevel="0" collapsed="false">
      <c r="A55" s="0" t="s">
        <v>166</v>
      </c>
      <c r="B55" s="0" t="s">
        <v>196</v>
      </c>
      <c r="C55" s="0" t="str">
        <f aca="false">CONCATENATE("Coach bus gasoline ", E55)</f>
        <v>Coach bus gasoline &lt;=18</v>
      </c>
      <c r="D55" s="0" t="s">
        <v>27</v>
      </c>
      <c r="E55" s="0" t="s">
        <v>189</v>
      </c>
      <c r="G55" s="0" t="s">
        <v>83</v>
      </c>
      <c r="H55" s="0" t="n">
        <v>0.1</v>
      </c>
      <c r="I55" s="0" t="n">
        <v>17</v>
      </c>
      <c r="J55" s="4" t="n">
        <f aca="false">IF(D55="D", 250, 50)</f>
        <v>50</v>
      </c>
      <c r="K55" s="0" t="s">
        <v>30</v>
      </c>
      <c r="L55" s="0" t="str">
        <f aca="false">IF(D55="G","Petrol",IF(D55="D","Diesel",IF(D55="HY","Petrol Hybrid",IF(D55="GLP","LPG Bifuell ~ LPG",D55))))</f>
        <v>Petrol</v>
      </c>
      <c r="M55" s="0" t="s">
        <v>46</v>
      </c>
      <c r="O55" s="0" t="n">
        <v>0</v>
      </c>
      <c r="P55" s="0" t="n">
        <v>0.5</v>
      </c>
      <c r="Q55" s="0" t="n">
        <v>22.8</v>
      </c>
      <c r="R55" s="0" t="s">
        <v>96</v>
      </c>
      <c r="S55" s="0" t="n">
        <v>10.752</v>
      </c>
      <c r="U55" s="0" t="s">
        <v>24</v>
      </c>
      <c r="V55" s="0" t="s">
        <v>33</v>
      </c>
      <c r="W55" s="3" t="s">
        <v>47</v>
      </c>
      <c r="X55" s="0" t="str">
        <f aca="false">D55</f>
        <v>G</v>
      </c>
    </row>
    <row r="56" customFormat="false" ht="13.2" hidden="false" customHeight="false" outlineLevel="0" collapsed="false">
      <c r="A56" s="0" t="s">
        <v>166</v>
      </c>
      <c r="B56" s="0" t="s">
        <v>197</v>
      </c>
      <c r="C56" s="0" t="str">
        <f aca="false">CONCATENATE("Coach bus gasoline ", E56)</f>
        <v>Coach bus gasoline &gt;18t</v>
      </c>
      <c r="D56" s="0" t="s">
        <v>27</v>
      </c>
      <c r="E56" s="0" t="s">
        <v>193</v>
      </c>
      <c r="G56" s="0" t="s">
        <v>83</v>
      </c>
      <c r="H56" s="0" t="n">
        <v>0.1</v>
      </c>
      <c r="I56" s="0" t="n">
        <v>17</v>
      </c>
      <c r="J56" s="4" t="n">
        <f aca="false">IF(D56="D", 250, 50)</f>
        <v>50</v>
      </c>
      <c r="K56" s="0" t="s">
        <v>30</v>
      </c>
      <c r="L56" s="0" t="str">
        <f aca="false">IF(D56="G","Petrol",IF(D56="D","Diesel",IF(D56="HY","Petrol Hybrid",IF(D56="GLP","LPG Bifuell ~ LPG",D56))))</f>
        <v>Petrol</v>
      </c>
      <c r="M56" s="0" t="s">
        <v>46</v>
      </c>
      <c r="O56" s="0" t="n">
        <v>0</v>
      </c>
      <c r="P56" s="0" t="n">
        <v>0.5</v>
      </c>
      <c r="Q56" s="0" t="n">
        <v>22.8</v>
      </c>
      <c r="R56" s="0" t="s">
        <v>96</v>
      </c>
      <c r="S56" s="0" t="n">
        <v>10.752</v>
      </c>
      <c r="U56" s="0" t="s">
        <v>24</v>
      </c>
      <c r="V56" s="0" t="s">
        <v>33</v>
      </c>
      <c r="W56" s="3" t="s">
        <v>47</v>
      </c>
      <c r="X56" s="0" t="str">
        <f aca="false">D56</f>
        <v>G</v>
      </c>
    </row>
    <row r="57" customFormat="false" ht="13.2" hidden="false" customHeight="false" outlineLevel="0" collapsed="false">
      <c r="A57" s="0" t="s">
        <v>166</v>
      </c>
      <c r="B57" s="0" t="s">
        <v>198</v>
      </c>
      <c r="C57" s="0" t="s">
        <v>199</v>
      </c>
      <c r="D57" s="0" t="s">
        <v>58</v>
      </c>
      <c r="E57" s="0" t="s">
        <v>56</v>
      </c>
      <c r="G57" s="0" t="s">
        <v>83</v>
      </c>
      <c r="H57" s="0" t="n">
        <v>0.1</v>
      </c>
      <c r="I57" s="0" t="n">
        <v>17</v>
      </c>
      <c r="J57" s="4" t="n">
        <f aca="false">IF(D57="D", 250, 50)</f>
        <v>50</v>
      </c>
      <c r="K57" s="0" t="s">
        <v>169</v>
      </c>
      <c r="L57" s="0" t="s">
        <v>200</v>
      </c>
      <c r="M57" s="0" t="s">
        <v>170</v>
      </c>
      <c r="O57" s="0" t="n">
        <v>0</v>
      </c>
      <c r="P57" s="0" t="n">
        <v>0.5</v>
      </c>
      <c r="Q57" s="0" t="n">
        <v>22.8</v>
      </c>
      <c r="R57" s="0" t="s">
        <v>96</v>
      </c>
      <c r="S57" s="0" t="n">
        <v>10.752</v>
      </c>
      <c r="U57" s="0" t="s">
        <v>24</v>
      </c>
      <c r="V57" s="0" t="s">
        <v>33</v>
      </c>
      <c r="W57" s="3" t="s">
        <v>42</v>
      </c>
      <c r="X57" s="0" t="s">
        <v>59</v>
      </c>
    </row>
    <row r="58" customFormat="false" ht="13.2" hidden="false" customHeight="false" outlineLevel="0" collapsed="false">
      <c r="A58" s="0" t="s">
        <v>166</v>
      </c>
      <c r="B58" s="0" t="s">
        <v>201</v>
      </c>
      <c r="C58" s="0" t="s">
        <v>202</v>
      </c>
      <c r="D58" s="0" t="s">
        <v>55</v>
      </c>
      <c r="E58" s="0" t="s">
        <v>56</v>
      </c>
      <c r="G58" s="0" t="s">
        <v>83</v>
      </c>
      <c r="H58" s="0" t="n">
        <v>0.1</v>
      </c>
      <c r="I58" s="0" t="n">
        <v>17</v>
      </c>
      <c r="J58" s="4" t="n">
        <f aca="false">IF(D58="D", 250, 50)</f>
        <v>50</v>
      </c>
      <c r="K58" s="0" t="s">
        <v>169</v>
      </c>
      <c r="L58" s="0" t="s">
        <v>203</v>
      </c>
      <c r="M58" s="0" t="s">
        <v>170</v>
      </c>
      <c r="O58" s="0" t="n">
        <v>0</v>
      </c>
      <c r="P58" s="0" t="n">
        <v>0.5</v>
      </c>
      <c r="Q58" s="0" t="n">
        <v>22.8</v>
      </c>
      <c r="R58" s="0" t="s">
        <v>96</v>
      </c>
      <c r="S58" s="0" t="n">
        <v>10.752</v>
      </c>
      <c r="U58" s="0" t="s">
        <v>166</v>
      </c>
      <c r="V58" s="0" t="s">
        <v>55</v>
      </c>
      <c r="X58" s="0" t="str">
        <f aca="false">D58</f>
        <v>ELEC</v>
      </c>
    </row>
    <row r="59" customFormat="false" ht="13.2" hidden="false" customHeight="false" outlineLevel="0" collapsed="false">
      <c r="A59" s="0" t="s">
        <v>204</v>
      </c>
      <c r="B59" s="0" t="s">
        <v>205</v>
      </c>
      <c r="C59" s="0" t="s">
        <v>206</v>
      </c>
      <c r="D59" s="0" t="s">
        <v>27</v>
      </c>
      <c r="E59" s="0" t="s">
        <v>207</v>
      </c>
      <c r="F59" s="0" t="n">
        <v>4.5</v>
      </c>
      <c r="G59" s="0" t="s">
        <v>29</v>
      </c>
      <c r="H59" s="0" t="n">
        <v>1.618</v>
      </c>
      <c r="I59" s="0" t="n">
        <v>-0.141</v>
      </c>
      <c r="J59" s="4" t="n">
        <f aca="false">IF(D59="D", 250, 50)</f>
        <v>50</v>
      </c>
      <c r="K59" s="3" t="s">
        <v>208</v>
      </c>
      <c r="L59" s="0" t="str">
        <f aca="false">IF(D59="G","Petrol",IF(D59="D","Diesel",IF(D59="HY","Petrol Hybrid",IF(D59="GLP","LPG Bifuell ~ LPG",D59))))</f>
        <v>Petrol</v>
      </c>
      <c r="M59" s="0" t="s">
        <v>209</v>
      </c>
      <c r="Q59" s="0" t="n">
        <v>54.7</v>
      </c>
      <c r="R59" s="0" t="s">
        <v>210</v>
      </c>
      <c r="S59" s="0" t="n">
        <v>9.111</v>
      </c>
      <c r="T59" s="0" t="s">
        <v>211</v>
      </c>
      <c r="U59" s="0" t="s">
        <v>212</v>
      </c>
      <c r="V59" s="0" t="s">
        <v>213</v>
      </c>
      <c r="W59" s="3" t="s">
        <v>214</v>
      </c>
      <c r="X59" s="0" t="str">
        <f aca="false">D59</f>
        <v>G</v>
      </c>
    </row>
    <row r="60" customFormat="false" ht="13.2" hidden="false" customHeight="false" outlineLevel="0" collapsed="false">
      <c r="A60" s="0" t="s">
        <v>204</v>
      </c>
      <c r="B60" s="0" t="s">
        <v>215</v>
      </c>
      <c r="C60" s="0" t="s">
        <v>216</v>
      </c>
      <c r="D60" s="0" t="s">
        <v>27</v>
      </c>
      <c r="E60" s="0" t="s">
        <v>217</v>
      </c>
      <c r="F60" s="0" t="n">
        <v>4.5</v>
      </c>
      <c r="G60" s="0" t="s">
        <v>29</v>
      </c>
      <c r="H60" s="0" t="n">
        <v>1.618</v>
      </c>
      <c r="I60" s="0" t="n">
        <v>-0.141</v>
      </c>
      <c r="J60" s="4" t="n">
        <f aca="false">IF(D60="D", 250, 50)</f>
        <v>50</v>
      </c>
      <c r="K60" s="3" t="s">
        <v>208</v>
      </c>
      <c r="L60" s="0" t="str">
        <f aca="false">IF(D60="G","Petrol",IF(D60="D","Diesel",IF(D60="HY","Petrol Hybrid",IF(D60="GLP","LPG Bifuell ~ LPG",D60))))</f>
        <v>Petrol</v>
      </c>
      <c r="M60" s="0" t="s">
        <v>218</v>
      </c>
      <c r="Q60" s="0" t="n">
        <v>54.7</v>
      </c>
      <c r="R60" s="0" t="s">
        <v>210</v>
      </c>
      <c r="S60" s="0" t="n">
        <v>9.111</v>
      </c>
      <c r="U60" s="0" t="s">
        <v>212</v>
      </c>
      <c r="V60" s="0" t="s">
        <v>33</v>
      </c>
      <c r="W60" s="3" t="s">
        <v>219</v>
      </c>
      <c r="X60" s="0" t="str">
        <f aca="false">D60</f>
        <v>G</v>
      </c>
    </row>
    <row r="61" customFormat="false" ht="13.2" hidden="false" customHeight="false" outlineLevel="0" collapsed="false">
      <c r="A61" s="0" t="s">
        <v>204</v>
      </c>
      <c r="B61" s="0" t="s">
        <v>220</v>
      </c>
      <c r="C61" s="0" t="s">
        <v>221</v>
      </c>
      <c r="D61" s="0" t="s">
        <v>27</v>
      </c>
      <c r="E61" s="0" t="s">
        <v>222</v>
      </c>
      <c r="F61" s="0" t="n">
        <v>4.5</v>
      </c>
      <c r="G61" s="0" t="s">
        <v>29</v>
      </c>
      <c r="H61" s="0" t="n">
        <v>1.618</v>
      </c>
      <c r="I61" s="0" t="n">
        <v>-0.141</v>
      </c>
      <c r="J61" s="4" t="n">
        <f aca="false">IF(D61="D", 250, 50)</f>
        <v>50</v>
      </c>
      <c r="K61" s="3" t="s">
        <v>208</v>
      </c>
      <c r="L61" s="0" t="str">
        <f aca="false">IF(D61="G","Petrol",IF(D61="D","Diesel",IF(D61="HY","Petrol Hybrid",IF(D61="GLP","LPG Bifuell ~ LPG",D61))))</f>
        <v>Petrol</v>
      </c>
      <c r="M61" s="0" t="s">
        <v>223</v>
      </c>
      <c r="Q61" s="0" t="n">
        <v>54.7</v>
      </c>
      <c r="R61" s="0" t="s">
        <v>210</v>
      </c>
      <c r="S61" s="0" t="n">
        <v>9.111</v>
      </c>
      <c r="U61" s="0" t="s">
        <v>212</v>
      </c>
      <c r="V61" s="0" t="s">
        <v>33</v>
      </c>
      <c r="W61" s="3" t="s">
        <v>224</v>
      </c>
      <c r="X61" s="0" t="str">
        <f aca="false">D61</f>
        <v>G</v>
      </c>
    </row>
    <row r="62" customFormat="false" ht="13.2" hidden="false" customHeight="false" outlineLevel="0" collapsed="false">
      <c r="A62" s="0" t="s">
        <v>204</v>
      </c>
      <c r="B62" s="0" t="s">
        <v>225</v>
      </c>
      <c r="C62" s="0" t="s">
        <v>226</v>
      </c>
      <c r="D62" s="0" t="s">
        <v>27</v>
      </c>
      <c r="E62" s="0" t="s">
        <v>227</v>
      </c>
      <c r="F62" s="0" t="n">
        <v>4.5</v>
      </c>
      <c r="G62" s="0" t="s">
        <v>29</v>
      </c>
      <c r="H62" s="0" t="n">
        <v>1.618</v>
      </c>
      <c r="I62" s="0" t="n">
        <v>-0.141</v>
      </c>
      <c r="J62" s="4" t="n">
        <f aca="false">IF(D62="D", 250, 50)</f>
        <v>50</v>
      </c>
      <c r="K62" s="3" t="s">
        <v>208</v>
      </c>
      <c r="L62" s="0" t="str">
        <f aca="false">IF(D62="G","Petrol",IF(D62="D","Diesel",IF(D62="HY","Petrol Hybrid",IF(D62="GLP","LPG Bifuell ~ LPG",D62))))</f>
        <v>Petrol</v>
      </c>
      <c r="M62" s="0" t="s">
        <v>228</v>
      </c>
      <c r="Q62" s="0" t="n">
        <v>54.7</v>
      </c>
      <c r="R62" s="0" t="s">
        <v>210</v>
      </c>
      <c r="S62" s="0" t="n">
        <v>9.111</v>
      </c>
      <c r="U62" s="0" t="s">
        <v>212</v>
      </c>
      <c r="V62" s="0" t="s">
        <v>33</v>
      </c>
      <c r="W62" s="3" t="s">
        <v>229</v>
      </c>
      <c r="X62" s="0" t="str">
        <f aca="false">D62</f>
        <v>G</v>
      </c>
    </row>
    <row r="63" customFormat="false" ht="13.2" hidden="false" customHeight="false" outlineLevel="0" collapsed="false">
      <c r="A63" s="0" t="s">
        <v>204</v>
      </c>
      <c r="B63" s="0" t="s">
        <v>230</v>
      </c>
      <c r="C63" s="0" t="s">
        <v>231</v>
      </c>
      <c r="D63" s="0" t="s">
        <v>55</v>
      </c>
      <c r="E63" s="0" t="s">
        <v>56</v>
      </c>
      <c r="F63" s="0" t="n">
        <v>4.5</v>
      </c>
      <c r="G63" s="0" t="s">
        <v>29</v>
      </c>
      <c r="H63" s="0" t="n">
        <v>1.618</v>
      </c>
      <c r="I63" s="0" t="n">
        <v>-0.141</v>
      </c>
      <c r="J63" s="4" t="n">
        <f aca="false">IF(D63="D", 250, 50)</f>
        <v>50</v>
      </c>
      <c r="K63" s="3" t="s">
        <v>208</v>
      </c>
      <c r="L63" s="0" t="str">
        <f aca="false">IF(D63="G","Petrol",IF(D63="D","Diesel",IF(D63="HY","Petrol Hybrid",IF(D63="GLP","LPG Bifuell ~ LPG",D63))))</f>
        <v>ELEC</v>
      </c>
      <c r="M63" s="0" t="s">
        <v>209</v>
      </c>
      <c r="Q63" s="0" t="n">
        <v>54.7</v>
      </c>
      <c r="R63" s="0" t="s">
        <v>210</v>
      </c>
      <c r="S63" s="0" t="n">
        <v>9.111</v>
      </c>
      <c r="U63" s="0" t="s">
        <v>212</v>
      </c>
      <c r="V63" s="0" t="s">
        <v>33</v>
      </c>
      <c r="W63" s="3" t="s">
        <v>219</v>
      </c>
      <c r="X63" s="0" t="str">
        <f aca="false">D63</f>
        <v>ELEC</v>
      </c>
    </row>
  </sheetData>
  <autoFilter ref="A1:X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M15" activeCellId="0" sqref="M15"/>
    </sheetView>
  </sheetViews>
  <sheetFormatPr defaultColWidth="11.77734375" defaultRowHeight="13.2" zeroHeight="false" outlineLevelRow="0" outlineLevelCol="0"/>
  <cols>
    <col collapsed="false" customWidth="true" hidden="false" outlineLevel="0" max="1" min="1" style="0" width="7.87"/>
    <col collapsed="false" customWidth="true" hidden="false" outlineLevel="0" max="2" min="2" style="0" width="13.89"/>
    <col collapsed="false" customWidth="true" hidden="false" outlineLevel="0" max="3" min="3" style="0" width="15.8"/>
    <col collapsed="false" customWidth="true" hidden="false" outlineLevel="0" max="4" min="4" style="0" width="17.21"/>
    <col collapsed="false" customWidth="true" hidden="false" outlineLevel="0" max="5" min="5" style="0" width="13.66"/>
    <col collapsed="false" customWidth="true" hidden="false" outlineLevel="0" max="6" min="6" style="0" width="13.78"/>
    <col collapsed="false" customWidth="true" hidden="false" outlineLevel="0" max="7" min="7" style="0" width="15.66"/>
    <col collapsed="false" customWidth="true" hidden="false" outlineLevel="0" max="8" min="8" style="0" width="17.11"/>
    <col collapsed="false" customWidth="true" hidden="false" outlineLevel="0" max="9" min="9" style="0" width="13.55"/>
    <col collapsed="false" customWidth="true" hidden="false" outlineLevel="0" max="10" min="10" style="0" width="12.22"/>
    <col collapsed="false" customWidth="true" hidden="false" outlineLevel="0" max="11" min="11" style="0" width="16.79"/>
    <col collapsed="false" customWidth="true" hidden="false" outlineLevel="0" max="12" min="12" style="0" width="17.11"/>
    <col collapsed="false" customWidth="true" hidden="false" outlineLevel="0" max="13" min="13" style="0" width="19.33"/>
    <col collapsed="false" customWidth="true" hidden="false" outlineLevel="0" max="14" min="14" style="0" width="12.78"/>
    <col collapsed="false" customWidth="true" hidden="false" outlineLevel="0" max="15" min="15" style="0" width="13.33"/>
    <col collapsed="false" customWidth="true" hidden="false" outlineLevel="0" max="16" min="16" style="0" width="13.89"/>
    <col collapsed="false" customWidth="true" hidden="false" outlineLevel="0" max="17" min="17" style="0" width="12.66"/>
    <col collapsed="false" customWidth="true" hidden="false" outlineLevel="0" max="18" min="18" style="0" width="13.22"/>
    <col collapsed="false" customWidth="true" hidden="false" outlineLevel="0" max="19" min="19" style="0" width="13.78"/>
    <col collapsed="false" customWidth="true" hidden="false" outlineLevel="0" max="20" min="20" style="0" width="13.22"/>
    <col collapsed="false" customWidth="true" hidden="false" outlineLevel="0" max="21" min="21" style="0" width="11.11"/>
    <col collapsed="false" customWidth="true" hidden="false" outlineLevel="0" max="22" min="22" style="0" width="19"/>
    <col collapsed="false" customWidth="true" hidden="false" outlineLevel="0" max="23" min="23" style="0" width="21.89"/>
    <col collapsed="false" customWidth="true" hidden="false" outlineLevel="0" max="29" min="24" style="0" width="22.78"/>
    <col collapsed="false" customWidth="true" hidden="false" outlineLevel="0" max="30" min="30" style="0" width="19.89"/>
    <col collapsed="false" customWidth="true" hidden="false" outlineLevel="0" max="31" min="31" style="0" width="19.12"/>
    <col collapsed="false" customWidth="true" hidden="false" outlineLevel="0" max="32" min="32" style="0" width="22.01"/>
    <col collapsed="false" customWidth="true" hidden="false" outlineLevel="0" max="38" min="33" style="0" width="22.89"/>
    <col collapsed="false" customWidth="true" hidden="false" outlineLevel="0" max="39" min="39" style="0" width="19.99"/>
    <col collapsed="false" customWidth="true" hidden="false" outlineLevel="0" max="40" min="40" style="0" width="22.66"/>
    <col collapsed="false" customWidth="true" hidden="false" outlineLevel="0" max="45" min="41" style="0" width="19.89"/>
    <col collapsed="false" customWidth="true" hidden="false" outlineLevel="0" max="46" min="46" style="0" width="14.22"/>
    <col collapsed="false" customWidth="true" hidden="false" outlineLevel="0" max="47" min="47" style="0" width="16.44"/>
    <col collapsed="false" customWidth="true" hidden="false" outlineLevel="0" max="48" min="48" style="0" width="16.56"/>
    <col collapsed="false" customWidth="true" hidden="false" outlineLevel="0" max="49" min="49" style="0" width="13.66"/>
    <col collapsed="false" customWidth="true" hidden="false" outlineLevel="0" max="50" min="50" style="0" width="13.78"/>
    <col collapsed="false" customWidth="true" hidden="false" outlineLevel="0" max="51" min="51" style="0" width="16.56"/>
    <col collapsed="false" customWidth="true" hidden="false" outlineLevel="0" max="52" min="52" style="0" width="13.78"/>
    <col collapsed="false" customWidth="true" hidden="false" outlineLevel="0" max="54" min="53" style="0" width="17.56"/>
    <col collapsed="false" customWidth="true" hidden="false" outlineLevel="0" max="56" min="55" style="0" width="17.67"/>
    <col collapsed="false" customWidth="true" hidden="false" outlineLevel="0" max="57" min="57" style="0" width="14.78"/>
    <col collapsed="false" customWidth="true" hidden="false" outlineLevel="0" max="58" min="58" style="0" width="10.65"/>
    <col collapsed="false" customWidth="true" hidden="false" outlineLevel="0" max="59" min="59" style="0" width="12.56"/>
    <col collapsed="false" customWidth="true" hidden="false" outlineLevel="0" max="60" min="60" style="0" width="13.55"/>
    <col collapsed="false" customWidth="true" hidden="false" outlineLevel="0" max="61" min="61" style="0" width="17.33"/>
    <col collapsed="false" customWidth="true" hidden="false" outlineLevel="0" max="62" min="62" style="0" width="13.55"/>
    <col collapsed="false" customWidth="true" hidden="false" outlineLevel="0" max="63" min="63" style="0" width="9.78"/>
  </cols>
  <sheetData>
    <row r="1" customFormat="false" ht="13.2" hidden="false" customHeight="false" outlineLevel="0" collapsed="false">
      <c r="A1" s="5" t="s">
        <v>232</v>
      </c>
      <c r="B1" s="5" t="str">
        <f aca="false">metadata!B2</f>
        <v>PC_MINI_G</v>
      </c>
      <c r="C1" s="5" t="str">
        <f aca="false">metadata!B3</f>
        <v>PC_SMALL_G</v>
      </c>
      <c r="D1" s="5" t="str">
        <f aca="false">metadata!B4</f>
        <v>PC_MEDIUM_G</v>
      </c>
      <c r="E1" s="5" t="str">
        <f aca="false">metadata!B5</f>
        <v>PC_SUV_G</v>
      </c>
      <c r="F1" s="5" t="str">
        <f aca="false">metadata!B6</f>
        <v>PC_MINI_D</v>
      </c>
      <c r="G1" s="5" t="str">
        <f aca="false">metadata!B7</f>
        <v>PC_SMALL_D</v>
      </c>
      <c r="H1" s="5" t="str">
        <f aca="false">metadata!B8</f>
        <v>PC_MEDIUM_D</v>
      </c>
      <c r="I1" s="5" t="str">
        <f aca="false">metadata!B9</f>
        <v>PC_SUV_D</v>
      </c>
      <c r="J1" s="5" t="str">
        <f aca="false">metadata!B10</f>
        <v>PC_ELEC</v>
      </c>
      <c r="K1" s="5" t="str">
        <f aca="false">metadata!B11</f>
        <v>PC_SMALL_HY</v>
      </c>
      <c r="L1" s="5" t="str">
        <f aca="false">metadata!B12</f>
        <v>TAXI_SMALL_G</v>
      </c>
      <c r="M1" s="5" t="str">
        <f aca="false">metadata!B13</f>
        <v>TAXI_SMALL_GLP</v>
      </c>
      <c r="N1" s="5" t="str">
        <f aca="false">metadata!B14</f>
        <v>LCV_NI_G</v>
      </c>
      <c r="O1" s="5" t="str">
        <f aca="false">metadata!B15</f>
        <v>LCV_NII_G</v>
      </c>
      <c r="P1" s="5" t="str">
        <f aca="false">metadata!B16</f>
        <v>LCV_NIII_G</v>
      </c>
      <c r="Q1" s="5" t="str">
        <f aca="false">metadata!B17</f>
        <v>LCV_NI_D</v>
      </c>
      <c r="R1" s="5" t="str">
        <f aca="false">metadata!B18</f>
        <v>LCV_NII_D</v>
      </c>
      <c r="S1" s="5" t="str">
        <f aca="false">metadata!B19</f>
        <v>LCV_NIII_D</v>
      </c>
      <c r="T1" s="5" t="str">
        <f aca="false">metadata!B20</f>
        <v>LCV_ELEC</v>
      </c>
      <c r="U1" s="5" t="str">
        <f aca="false">metadata!B21</f>
        <v>LCV_HY</v>
      </c>
      <c r="V1" s="5" t="str">
        <f aca="false">metadata!B22</f>
        <v>TRUCKS_RT_7_D</v>
      </c>
      <c r="W1" s="5" t="str">
        <f aca="false">metadata!B23</f>
        <v>TRUCKS_RT_7_12_D</v>
      </c>
      <c r="X1" s="5" t="str">
        <f aca="false">metadata!B24</f>
        <v>TRUCKS_RT_12_14_D</v>
      </c>
      <c r="Y1" s="5" t="str">
        <f aca="false">metadata!B25</f>
        <v>TRUCKS_RT_14_16_D</v>
      </c>
      <c r="Z1" s="5" t="str">
        <f aca="false">metadata!B26</f>
        <v>TRUCKS_RT_16_20_D</v>
      </c>
      <c r="AA1" s="5" t="str">
        <f aca="false">metadata!B27</f>
        <v>TRUCKS_RT_20_26_D</v>
      </c>
      <c r="AB1" s="5" t="str">
        <f aca="false">metadata!B28</f>
        <v>TRUCKS_RT_26_28_D</v>
      </c>
      <c r="AC1" s="5" t="str">
        <f aca="false">metadata!B29</f>
        <v>TRUCKS_RT_28_32_D</v>
      </c>
      <c r="AD1" s="3" t="str">
        <f aca="false">metadata!B30</f>
        <v>TRUCKS_RT_32_D</v>
      </c>
      <c r="AE1" s="3" t="str">
        <f aca="false">metadata!B31</f>
        <v>TRUCKS_RT_7_G</v>
      </c>
      <c r="AF1" s="3" t="str">
        <f aca="false">metadata!B32</f>
        <v>TRUCKS_RT_7_12_G</v>
      </c>
      <c r="AG1" s="3" t="str">
        <f aca="false">metadata!B33</f>
        <v>TRUCKS_RT_12_14_G</v>
      </c>
      <c r="AH1" s="3" t="str">
        <f aca="false">metadata!B34</f>
        <v>TRUCKS_RT_14_16_G</v>
      </c>
      <c r="AI1" s="3" t="str">
        <f aca="false">metadata!B35</f>
        <v>TRUCKS_RT_16_20_G</v>
      </c>
      <c r="AJ1" s="3" t="str">
        <f aca="false">metadata!B36</f>
        <v>TRUCKS_RT_20_26_G</v>
      </c>
      <c r="AK1" s="3" t="str">
        <f aca="false">metadata!B37</f>
        <v>TRUCKS_RT_26_28_G</v>
      </c>
      <c r="AL1" s="3" t="str">
        <f aca="false">metadata!B38</f>
        <v>TRUCKS_RT_28_32_G</v>
      </c>
      <c r="AM1" s="3" t="str">
        <f aca="false">metadata!B39</f>
        <v>TRUCKS_RT_32_G</v>
      </c>
      <c r="AN1" s="3" t="str">
        <f aca="false">metadata!B40</f>
        <v>TRUCKS_AT_16_20_D</v>
      </c>
      <c r="AO1" s="6" t="str">
        <f aca="false">metadata!B41</f>
        <v>TRUCKS_AT_20_28_D</v>
      </c>
      <c r="AP1" s="6" t="str">
        <f aca="false">metadata!B42</f>
        <v>TRUCKS_AT_28_34_D</v>
      </c>
      <c r="AQ1" s="0" t="str">
        <f aca="false">metadata!B43</f>
        <v>TRUCKS_AT_34_40_D</v>
      </c>
      <c r="AR1" s="0" t="str">
        <f aca="false">metadata!B44</f>
        <v>TRUCKS_AT_40_50_D</v>
      </c>
      <c r="AS1" s="0" t="str">
        <f aca="false">metadata!B45</f>
        <v>TRUCKS_AT_50_60_D</v>
      </c>
      <c r="AT1" s="0" t="str">
        <f aca="false">metadata!B46</f>
        <v>TRUCKS_ELEC</v>
      </c>
      <c r="AU1" s="0" t="str">
        <f aca="false">metadata!B47</f>
        <v>BUS_UB_15_D</v>
      </c>
      <c r="AV1" s="0" t="str">
        <f aca="false">metadata!B48</f>
        <v>BUS_UB_15_18_D</v>
      </c>
      <c r="AW1" s="0" t="str">
        <f aca="false">metadata!B49</f>
        <v>BUS_UB_18_D</v>
      </c>
      <c r="AX1" s="0" t="str">
        <f aca="false">metadata!B50</f>
        <v>BUS_UB_15_G</v>
      </c>
      <c r="AY1" s="0" t="str">
        <f aca="false">metadata!B51</f>
        <v>BUS_UB_15_18_G</v>
      </c>
      <c r="AZ1" s="0" t="str">
        <f aca="false">metadata!B52</f>
        <v>BUS_UB_18_G</v>
      </c>
      <c r="BA1" s="0" t="str">
        <f aca="false">metadata!B53</f>
        <v>BUS_COACH_17_D</v>
      </c>
      <c r="BB1" s="0" t="str">
        <f aca="false">metadata!B54</f>
        <v>BUS_COACH_18_D</v>
      </c>
      <c r="BC1" s="0" t="str">
        <f aca="false">metadata!B55</f>
        <v>BUS_COACH_17_G</v>
      </c>
      <c r="BD1" s="0" t="str">
        <f aca="false">metadata!B56</f>
        <v>BUS_COACH_18_G</v>
      </c>
      <c r="BE1" s="0" t="str">
        <f aca="false">metadata!B57</f>
        <v>BUS_UB_15_HY</v>
      </c>
      <c r="BF1" s="0" t="str">
        <f aca="false">metadata!B58</f>
        <v>BUS_ELEC</v>
      </c>
      <c r="BG1" s="0" t="str">
        <f aca="false">metadata!B59</f>
        <v>MC_2S_50_G</v>
      </c>
      <c r="BH1" s="0" t="str">
        <f aca="false">metadata!B60</f>
        <v>MC_4S_50_250_G</v>
      </c>
      <c r="BI1" s="0" t="str">
        <f aca="false">metadata!B61</f>
        <v>MC_4S_250_750_G</v>
      </c>
      <c r="BJ1" s="0" t="str">
        <f aca="false">metadata!B62</f>
        <v>MC_4S_750_G</v>
      </c>
      <c r="BK1" s="0" t="str">
        <f aca="false">metadata!B63</f>
        <v>MC_ELEC</v>
      </c>
    </row>
    <row r="2" customFormat="false" ht="12.8" hidden="false" customHeight="false" outlineLevel="0" collapsed="false">
      <c r="A2" s="0" t="n">
        <v>2017</v>
      </c>
      <c r="B2" s="7" t="n">
        <f aca="false">base_fleet!H4</f>
        <v>5522</v>
      </c>
      <c r="C2" s="7" t="n">
        <f aca="false">base_fleet!M4*0.95</f>
        <v>15650.3</v>
      </c>
      <c r="D2" s="7" t="n">
        <f aca="false">base_fleet!D4</f>
        <v>106</v>
      </c>
      <c r="E2" s="7" t="n">
        <f aca="false">base_fleet!R4</f>
        <v>24392</v>
      </c>
      <c r="F2" s="7" t="n">
        <f aca="false">base_fleet!F4</f>
        <v>1</v>
      </c>
      <c r="G2" s="7" t="n">
        <f aca="false">base_fleet!K4</f>
        <v>10</v>
      </c>
      <c r="H2" s="7" t="n">
        <f aca="false">base_fleet!B4</f>
        <v>0</v>
      </c>
      <c r="I2" s="7" t="n">
        <f aca="false">base_fleet!P4</f>
        <v>525</v>
      </c>
      <c r="J2" s="7" t="n">
        <f aca="false">base_fleet!C4+base_fleet!G4+base_fleet!L4+base_fleet!Q4</f>
        <v>87</v>
      </c>
      <c r="K2" s="7" t="n">
        <f aca="false">base_fleet!E4+base_fleet!J4+base_fleet!O4+base_fleet!T4</f>
        <v>1571</v>
      </c>
      <c r="L2" s="7" t="n">
        <f aca="false">base_fleet!M4*0.05</f>
        <v>823.7</v>
      </c>
      <c r="M2" s="7" t="n">
        <f aca="false">base_fleet!I4+base_fleet!N4+base_fleet!S4</f>
        <v>0</v>
      </c>
      <c r="N2" s="7" t="n">
        <f aca="false">base_fleet!AF4</f>
        <v>4790</v>
      </c>
      <c r="O2" s="7" t="n">
        <f aca="false">base_fleet!AA4</f>
        <v>488</v>
      </c>
      <c r="P2" s="8" t="n">
        <f aca="false">base_fleet!V4</f>
        <v>435</v>
      </c>
      <c r="Q2" s="8" t="n">
        <f aca="false">base_fleet!AD4</f>
        <v>8926</v>
      </c>
      <c r="R2" s="8" t="n">
        <f aca="false">base_fleet!Y4</f>
        <v>552</v>
      </c>
      <c r="S2" s="8" t="n">
        <f aca="false">base_fleet!U4</f>
        <v>493</v>
      </c>
      <c r="T2" s="7" t="n">
        <f aca="false">base_fleet!Z4+base_fleet!AE4</f>
        <v>0</v>
      </c>
      <c r="U2" s="8" t="n">
        <f aca="false">base_fleet!X4+base_fleet!AC4+base_fleet!AH4</f>
        <v>2</v>
      </c>
      <c r="V2" s="8" t="n">
        <f aca="false">base_fleet!AI4</f>
        <v>2936</v>
      </c>
      <c r="W2" s="8" t="n">
        <f aca="false">base_fleet!AM4</f>
        <v>342</v>
      </c>
      <c r="X2" s="8" t="n">
        <f aca="false">base_fleet!AP4</f>
        <v>222</v>
      </c>
      <c r="Y2" s="8" t="n">
        <f aca="false">base_fleet!AS4</f>
        <v>73</v>
      </c>
      <c r="Z2" s="8" t="n">
        <f aca="false">base_fleet!AU4</f>
        <v>203</v>
      </c>
      <c r="AA2" s="8" t="n">
        <f aca="false">base_fleet!AW4</f>
        <v>15</v>
      </c>
      <c r="AB2" s="8" t="n">
        <f aca="false">base_fleet!AY4/2</f>
        <v>16</v>
      </c>
      <c r="AC2" s="8" t="n">
        <f aca="false">base_fleet!AY4/2</f>
        <v>16</v>
      </c>
      <c r="AD2" s="7" t="n">
        <f aca="false">base_fleet!BB4</f>
        <v>4</v>
      </c>
      <c r="AE2" s="7" t="n">
        <f aca="false">base_fleet!AK4</f>
        <v>9</v>
      </c>
      <c r="AF2" s="7" t="n">
        <f aca="false">base_fleet!AO4</f>
        <v>0</v>
      </c>
      <c r="AG2" s="7" t="n">
        <f aca="false">base_fleet!AR4</f>
        <v>0</v>
      </c>
      <c r="AH2" s="7" t="n">
        <f aca="false">base_fleet!AT4</f>
        <v>0</v>
      </c>
      <c r="AI2" s="7" t="n">
        <f aca="false">base_fleet!AV4</f>
        <v>0</v>
      </c>
      <c r="AJ2" s="7" t="n">
        <f aca="false">base_fleet!AX4</f>
        <v>0</v>
      </c>
      <c r="AK2" s="7" t="n">
        <f aca="false">base_fleet!AZ4</f>
        <v>0</v>
      </c>
      <c r="AL2" s="7" t="n">
        <f aca="false">base_fleet!BC4</f>
        <v>0</v>
      </c>
      <c r="AM2" s="7" t="n">
        <v>0</v>
      </c>
      <c r="AN2" s="7" t="n">
        <f aca="false">base_fleet!BD4</f>
        <v>164</v>
      </c>
      <c r="AO2" s="7" t="n">
        <f aca="false">base_fleet!BE4</f>
        <v>90</v>
      </c>
      <c r="AP2" s="7" t="n">
        <f aca="false">base_fleet!BF4</f>
        <v>1</v>
      </c>
      <c r="AQ2" s="7" t="n">
        <f aca="false">base_fleet!BG4</f>
        <v>22</v>
      </c>
      <c r="AR2" s="7" t="n">
        <f aca="false">base_fleet!BH4</f>
        <v>71</v>
      </c>
      <c r="AS2" s="7" t="n">
        <f aca="false">base_fleet!BI4</f>
        <v>7</v>
      </c>
      <c r="AT2" s="7" t="n">
        <f aca="false">base_fleet!AQ4+base_fleet!AN4+base_fleet!AJ4</f>
        <v>0</v>
      </c>
      <c r="AU2" s="7" t="n">
        <f aca="false">base_fleet!BL4</f>
        <v>1210.4</v>
      </c>
      <c r="AV2" s="7" t="n">
        <f aca="false">base_fleet!BJ4</f>
        <v>302.6</v>
      </c>
      <c r="AW2" s="7" t="n">
        <f aca="false">base_fleet!BN4</f>
        <v>66.3</v>
      </c>
      <c r="AX2" s="7" t="n">
        <f aca="false">base_fleet!BM4</f>
        <v>3.4</v>
      </c>
      <c r="AY2" s="7" t="n">
        <f aca="false">base_fleet!BK4</f>
        <v>0</v>
      </c>
      <c r="AZ2" s="7" t="n">
        <f aca="false">base_fleet!BO4</f>
        <v>0</v>
      </c>
      <c r="BA2" s="7" t="n">
        <f aca="false">base_fleet!BP4</f>
        <v>224.1</v>
      </c>
      <c r="BB2" s="7" t="n">
        <f aca="false">base_fleet!BR4</f>
        <v>0.15</v>
      </c>
      <c r="BC2" s="7" t="n">
        <f aca="false">base_fleet!BQ4</f>
        <v>1.8</v>
      </c>
      <c r="BD2" s="7" t="n">
        <f aca="false">base_fleet!BS4</f>
        <v>0</v>
      </c>
      <c r="BE2" s="7" t="n">
        <v>0</v>
      </c>
      <c r="BF2" s="7" t="n">
        <v>0</v>
      </c>
      <c r="BG2" s="7" t="n">
        <f aca="false">base_fleet!CE4</f>
        <v>3</v>
      </c>
      <c r="BH2" s="7" t="n">
        <f aca="false">base_fleet!CA4</f>
        <v>73869</v>
      </c>
      <c r="BI2" s="7" t="n">
        <f aca="false">base_fleet!BV4</f>
        <v>1485</v>
      </c>
      <c r="BJ2" s="7" t="n">
        <f aca="false">base_fleet!CH4</f>
        <v>2</v>
      </c>
      <c r="BK2" s="7" t="n">
        <f aca="false">base_fleet!BU4+base_fleet!BZ4+base_fleet!CD4</f>
        <v>76</v>
      </c>
    </row>
    <row r="3" customFormat="false" ht="12.8" hidden="false" customHeight="false" outlineLevel="0" collapsed="false">
      <c r="A3" s="0" t="n">
        <f aca="false">A2-1</f>
        <v>2016</v>
      </c>
      <c r="B3" s="9" t="n">
        <f aca="false">base_fleet!H5</f>
        <v>4030</v>
      </c>
      <c r="C3" s="9" t="n">
        <f aca="false">base_fleet!M5*0.95</f>
        <v>13349.4</v>
      </c>
      <c r="D3" s="9" t="n">
        <f aca="false">base_fleet!D5</f>
        <v>201</v>
      </c>
      <c r="E3" s="9" t="n">
        <f aca="false">base_fleet!R5</f>
        <v>14707</v>
      </c>
      <c r="F3" s="9" t="n">
        <f aca="false">base_fleet!F5</f>
        <v>1</v>
      </c>
      <c r="G3" s="9" t="n">
        <f aca="false">base_fleet!K5</f>
        <v>193</v>
      </c>
      <c r="H3" s="9" t="n">
        <f aca="false">base_fleet!B5</f>
        <v>1</v>
      </c>
      <c r="I3" s="9" t="n">
        <f aca="false">base_fleet!P5</f>
        <v>460</v>
      </c>
      <c r="J3" s="9" t="n">
        <f aca="false">base_fleet!C5+base_fleet!G5+base_fleet!L5+base_fleet!Q5</f>
        <v>43</v>
      </c>
      <c r="K3" s="9" t="n">
        <f aca="false">base_fleet!E5+base_fleet!J5+base_fleet!O5+base_fleet!T5</f>
        <v>553</v>
      </c>
      <c r="L3" s="9" t="n">
        <f aca="false">base_fleet!M5*0.05</f>
        <v>702.6</v>
      </c>
      <c r="M3" s="9" t="n">
        <f aca="false">base_fleet!I5+base_fleet!N5+base_fleet!S5</f>
        <v>1</v>
      </c>
      <c r="N3" s="9" t="n">
        <f aca="false">base_fleet!AF5</f>
        <v>2649</v>
      </c>
      <c r="O3" s="9" t="n">
        <f aca="false">base_fleet!AA5</f>
        <v>390</v>
      </c>
      <c r="P3" s="10" t="n">
        <f aca="false">base_fleet!V5</f>
        <v>365</v>
      </c>
      <c r="Q3" s="10" t="n">
        <f aca="false">base_fleet!AD5</f>
        <v>5916</v>
      </c>
      <c r="R3" s="10" t="n">
        <f aca="false">base_fleet!Y5</f>
        <v>353</v>
      </c>
      <c r="S3" s="10" t="n">
        <f aca="false">base_fleet!U5</f>
        <v>801</v>
      </c>
      <c r="T3" s="9" t="n">
        <f aca="false">base_fleet!Z5+base_fleet!AE5</f>
        <v>0</v>
      </c>
      <c r="U3" s="10" t="n">
        <f aca="false">base_fleet!X5+base_fleet!AC5+base_fleet!AH5</f>
        <v>0</v>
      </c>
      <c r="V3" s="10" t="n">
        <f aca="false">base_fleet!AI5</f>
        <v>1045</v>
      </c>
      <c r="W3" s="10" t="n">
        <f aca="false">base_fleet!AM5</f>
        <v>159</v>
      </c>
      <c r="X3" s="10" t="n">
        <f aca="false">base_fleet!AP5</f>
        <v>18</v>
      </c>
      <c r="Y3" s="10" t="n">
        <f aca="false">base_fleet!AS5</f>
        <v>45</v>
      </c>
      <c r="Z3" s="10" t="n">
        <f aca="false">base_fleet!AU5</f>
        <v>43</v>
      </c>
      <c r="AA3" s="10" t="n">
        <f aca="false">base_fleet!AW5</f>
        <v>10</v>
      </c>
      <c r="AB3" s="10" t="n">
        <f aca="false">base_fleet!AY5/2</f>
        <v>4</v>
      </c>
      <c r="AC3" s="10" t="n">
        <f aca="false">base_fleet!AY5/2</f>
        <v>4</v>
      </c>
      <c r="AD3" s="9" t="n">
        <f aca="false">base_fleet!BB5</f>
        <v>1</v>
      </c>
      <c r="AE3" s="9" t="n">
        <f aca="false">base_fleet!AK5</f>
        <v>13</v>
      </c>
      <c r="AF3" s="9" t="n">
        <f aca="false">base_fleet!AO5</f>
        <v>1</v>
      </c>
      <c r="AG3" s="9" t="n">
        <f aca="false">base_fleet!AR5</f>
        <v>0</v>
      </c>
      <c r="AH3" s="9" t="n">
        <f aca="false">base_fleet!AT5</f>
        <v>0</v>
      </c>
      <c r="AI3" s="9" t="n">
        <f aca="false">base_fleet!AV5</f>
        <v>0</v>
      </c>
      <c r="AJ3" s="9" t="n">
        <f aca="false">base_fleet!AX5</f>
        <v>0</v>
      </c>
      <c r="AK3" s="9" t="n">
        <f aca="false">base_fleet!AZ5</f>
        <v>0</v>
      </c>
      <c r="AL3" s="9" t="n">
        <f aca="false">base_fleet!BC5</f>
        <v>0</v>
      </c>
      <c r="AM3" s="9" t="n">
        <v>0</v>
      </c>
      <c r="AN3" s="9" t="n">
        <f aca="false">base_fleet!BD5</f>
        <v>21</v>
      </c>
      <c r="AO3" s="9" t="n">
        <f aca="false">base_fleet!BE5</f>
        <v>1</v>
      </c>
      <c r="AP3" s="9" t="n">
        <f aca="false">base_fleet!BF5</f>
        <v>0</v>
      </c>
      <c r="AQ3" s="9" t="n">
        <f aca="false">base_fleet!BG5</f>
        <v>0</v>
      </c>
      <c r="AR3" s="9" t="n">
        <f aca="false">base_fleet!BH5</f>
        <v>1</v>
      </c>
      <c r="AS3" s="9" t="n">
        <f aca="false">base_fleet!BI5</f>
        <v>0</v>
      </c>
      <c r="AT3" s="9" t="n">
        <f aca="false">base_fleet!AQ5+base_fleet!AN5+base_fleet!AJ5</f>
        <v>0</v>
      </c>
      <c r="AU3" s="9" t="n">
        <f aca="false">base_fleet!BL5</f>
        <v>939.250000000001</v>
      </c>
      <c r="AV3" s="9" t="n">
        <f aca="false">base_fleet!BJ5</f>
        <v>75.65</v>
      </c>
      <c r="AW3" s="9" t="n">
        <f aca="false">base_fleet!BN5</f>
        <v>17</v>
      </c>
      <c r="AX3" s="9" t="n">
        <f aca="false">base_fleet!BM5</f>
        <v>1.7</v>
      </c>
      <c r="AY3" s="9" t="n">
        <f aca="false">base_fleet!BK5</f>
        <v>0</v>
      </c>
      <c r="AZ3" s="9" t="n">
        <f aca="false">base_fleet!BO5</f>
        <v>0</v>
      </c>
      <c r="BA3" s="9" t="n">
        <f aca="false">base_fleet!BP5</f>
        <v>162.15</v>
      </c>
      <c r="BB3" s="9" t="n">
        <f aca="false">base_fleet!BR5</f>
        <v>1.35</v>
      </c>
      <c r="BC3" s="9" t="n">
        <f aca="false">base_fleet!BQ5</f>
        <v>1.35</v>
      </c>
      <c r="BD3" s="9" t="n">
        <f aca="false">base_fleet!BS5</f>
        <v>0</v>
      </c>
      <c r="BE3" s="9" t="n">
        <v>0</v>
      </c>
      <c r="BF3" s="9" t="n">
        <v>0</v>
      </c>
      <c r="BG3" s="9" t="n">
        <f aca="false">base_fleet!CE5</f>
        <v>0</v>
      </c>
      <c r="BH3" s="9" t="n">
        <f aca="false">base_fleet!CA5</f>
        <v>37270</v>
      </c>
      <c r="BI3" s="9" t="n">
        <f aca="false">base_fleet!BV5</f>
        <v>465</v>
      </c>
      <c r="BJ3" s="9" t="n">
        <f aca="false">base_fleet!CH5</f>
        <v>0</v>
      </c>
      <c r="BK3" s="9" t="n">
        <f aca="false">base_fleet!BU5+base_fleet!BZ5+base_fleet!CD5</f>
        <v>6</v>
      </c>
    </row>
    <row r="4" customFormat="false" ht="12.8" hidden="false" customHeight="false" outlineLevel="0" collapsed="false">
      <c r="A4" s="0" t="n">
        <f aca="false">A3-1</f>
        <v>2015</v>
      </c>
      <c r="B4" s="9" t="n">
        <f aca="false">base_fleet!H6</f>
        <v>9792</v>
      </c>
      <c r="C4" s="9" t="n">
        <f aca="false">base_fleet!M6*0.95</f>
        <v>23799.4</v>
      </c>
      <c r="D4" s="9" t="n">
        <f aca="false">base_fleet!D6</f>
        <v>36</v>
      </c>
      <c r="E4" s="9" t="n">
        <f aca="false">base_fleet!R6</f>
        <v>12476</v>
      </c>
      <c r="F4" s="9" t="n">
        <f aca="false">base_fleet!F6</f>
        <v>1</v>
      </c>
      <c r="G4" s="9" t="n">
        <f aca="false">base_fleet!K6</f>
        <v>15</v>
      </c>
      <c r="H4" s="9" t="n">
        <f aca="false">base_fleet!B6</f>
        <v>2</v>
      </c>
      <c r="I4" s="9" t="n">
        <f aca="false">base_fleet!P6</f>
        <v>123</v>
      </c>
      <c r="J4" s="9" t="n">
        <f aca="false">base_fleet!C6+base_fleet!G6+base_fleet!L6+base_fleet!Q6</f>
        <v>68</v>
      </c>
      <c r="K4" s="9" t="n">
        <f aca="false">base_fleet!E6+base_fleet!J6+base_fleet!O6+base_fleet!T6</f>
        <v>717</v>
      </c>
      <c r="L4" s="9" t="n">
        <f aca="false">base_fleet!M6*0.05</f>
        <v>1252.6</v>
      </c>
      <c r="M4" s="9" t="n">
        <f aca="false">base_fleet!I6+base_fleet!N6+base_fleet!S6</f>
        <v>1</v>
      </c>
      <c r="N4" s="9" t="n">
        <f aca="false">base_fleet!AF6</f>
        <v>3757</v>
      </c>
      <c r="O4" s="9" t="n">
        <f aca="false">base_fleet!AA6</f>
        <v>293</v>
      </c>
      <c r="P4" s="10" t="n">
        <f aca="false">base_fleet!V6</f>
        <v>1085</v>
      </c>
      <c r="Q4" s="10" t="n">
        <f aca="false">base_fleet!AD6</f>
        <v>4351</v>
      </c>
      <c r="R4" s="10" t="n">
        <f aca="false">base_fleet!Y6</f>
        <v>192</v>
      </c>
      <c r="S4" s="10" t="n">
        <f aca="false">base_fleet!U6</f>
        <v>961</v>
      </c>
      <c r="T4" s="9" t="n">
        <f aca="false">base_fleet!Z6+base_fleet!AE6</f>
        <v>3</v>
      </c>
      <c r="U4" s="10" t="n">
        <f aca="false">base_fleet!X6+base_fleet!AC6+base_fleet!AH6</f>
        <v>1</v>
      </c>
      <c r="V4" s="10" t="n">
        <f aca="false">base_fleet!AI6</f>
        <v>3185</v>
      </c>
      <c r="W4" s="10" t="n">
        <f aca="false">base_fleet!AM6</f>
        <v>328</v>
      </c>
      <c r="X4" s="10" t="n">
        <f aca="false">base_fleet!AP6</f>
        <v>81</v>
      </c>
      <c r="Y4" s="10" t="n">
        <f aca="false">base_fleet!AS6</f>
        <v>200</v>
      </c>
      <c r="Z4" s="10" t="n">
        <f aca="false">base_fleet!AU6</f>
        <v>165</v>
      </c>
      <c r="AA4" s="10" t="n">
        <f aca="false">base_fleet!AW6</f>
        <v>18</v>
      </c>
      <c r="AB4" s="10" t="n">
        <f aca="false">base_fleet!AY6/2</f>
        <v>9.5</v>
      </c>
      <c r="AC4" s="10" t="n">
        <f aca="false">base_fleet!AY6/2</f>
        <v>9.5</v>
      </c>
      <c r="AD4" s="9" t="n">
        <f aca="false">base_fleet!BB6</f>
        <v>2</v>
      </c>
      <c r="AE4" s="9" t="n">
        <f aca="false">base_fleet!AK6</f>
        <v>45</v>
      </c>
      <c r="AF4" s="9" t="n">
        <f aca="false">base_fleet!AO6</f>
        <v>3</v>
      </c>
      <c r="AG4" s="9" t="n">
        <f aca="false">base_fleet!AR6</f>
        <v>0</v>
      </c>
      <c r="AH4" s="9" t="n">
        <f aca="false">base_fleet!AT6</f>
        <v>0</v>
      </c>
      <c r="AI4" s="9" t="n">
        <f aca="false">base_fleet!AV6</f>
        <v>2</v>
      </c>
      <c r="AJ4" s="9" t="n">
        <f aca="false">base_fleet!AX6</f>
        <v>0</v>
      </c>
      <c r="AK4" s="9" t="n">
        <f aca="false">base_fleet!AZ6</f>
        <v>1</v>
      </c>
      <c r="AL4" s="9" t="n">
        <f aca="false">base_fleet!BC6</f>
        <v>0</v>
      </c>
      <c r="AM4" s="9" t="n">
        <v>0</v>
      </c>
      <c r="AN4" s="9" t="n">
        <f aca="false">base_fleet!BD6</f>
        <v>118</v>
      </c>
      <c r="AO4" s="9" t="n">
        <f aca="false">base_fleet!BE6</f>
        <v>112</v>
      </c>
      <c r="AP4" s="9" t="n">
        <f aca="false">base_fleet!BF6</f>
        <v>3</v>
      </c>
      <c r="AQ4" s="9" t="n">
        <f aca="false">base_fleet!BG6</f>
        <v>14</v>
      </c>
      <c r="AR4" s="9" t="n">
        <f aca="false">base_fleet!BH6</f>
        <v>46</v>
      </c>
      <c r="AS4" s="9" t="n">
        <f aca="false">base_fleet!BI6</f>
        <v>11</v>
      </c>
      <c r="AT4" s="9" t="n">
        <f aca="false">base_fleet!AQ6+base_fleet!AN6+base_fleet!AJ6</f>
        <v>1</v>
      </c>
      <c r="AU4" s="9" t="n">
        <f aca="false">base_fleet!BL6</f>
        <v>1212.95</v>
      </c>
      <c r="AV4" s="9" t="n">
        <f aca="false">base_fleet!BJ6</f>
        <v>135.15</v>
      </c>
      <c r="AW4" s="9" t="n">
        <f aca="false">base_fleet!BN6</f>
        <v>61.2</v>
      </c>
      <c r="AX4" s="9" t="n">
        <f aca="false">base_fleet!BM6</f>
        <v>9.35</v>
      </c>
      <c r="AY4" s="9" t="n">
        <f aca="false">base_fleet!BK6</f>
        <v>0.85</v>
      </c>
      <c r="AZ4" s="9" t="n">
        <f aca="false">base_fleet!BO6</f>
        <v>0</v>
      </c>
      <c r="BA4" s="9" t="n">
        <f aca="false">base_fleet!BP6</f>
        <v>169.65</v>
      </c>
      <c r="BB4" s="9" t="n">
        <f aca="false">base_fleet!BR6</f>
        <v>0.3</v>
      </c>
      <c r="BC4" s="9" t="n">
        <f aca="false">base_fleet!BQ6</f>
        <v>1.35</v>
      </c>
      <c r="BD4" s="9" t="n">
        <f aca="false">base_fleet!BS6</f>
        <v>0</v>
      </c>
      <c r="BE4" s="9" t="n">
        <v>0</v>
      </c>
      <c r="BF4" s="9" t="n">
        <v>0</v>
      </c>
      <c r="BG4" s="9" t="n">
        <f aca="false">base_fleet!CE6</f>
        <v>6</v>
      </c>
      <c r="BH4" s="9" t="n">
        <f aca="false">base_fleet!CA6</f>
        <v>24810</v>
      </c>
      <c r="BI4" s="9" t="n">
        <f aca="false">base_fleet!BV6</f>
        <v>86</v>
      </c>
      <c r="BJ4" s="9" t="n">
        <f aca="false">base_fleet!CH6</f>
        <v>2</v>
      </c>
      <c r="BK4" s="9" t="n">
        <f aca="false">base_fleet!BU6+base_fleet!BZ6+base_fleet!CD6</f>
        <v>1</v>
      </c>
    </row>
    <row r="5" customFormat="false" ht="12.8" hidden="false" customHeight="false" outlineLevel="0" collapsed="false">
      <c r="A5" s="0" t="n">
        <f aca="false">A4-1</f>
        <v>2014</v>
      </c>
      <c r="B5" s="9" t="n">
        <f aca="false">base_fleet!H7</f>
        <v>15449</v>
      </c>
      <c r="C5" s="9" t="n">
        <f aca="false">base_fleet!M7*0.95</f>
        <v>17061.05</v>
      </c>
      <c r="D5" s="9" t="n">
        <f aca="false">base_fleet!D7</f>
        <v>78</v>
      </c>
      <c r="E5" s="9" t="n">
        <f aca="false">base_fleet!R7</f>
        <v>24529</v>
      </c>
      <c r="F5" s="9" t="n">
        <f aca="false">base_fleet!F7</f>
        <v>1</v>
      </c>
      <c r="G5" s="9" t="n">
        <f aca="false">base_fleet!K7</f>
        <v>25</v>
      </c>
      <c r="H5" s="9" t="n">
        <f aca="false">base_fleet!B7</f>
        <v>2</v>
      </c>
      <c r="I5" s="9" t="n">
        <f aca="false">base_fleet!P7</f>
        <v>93</v>
      </c>
      <c r="J5" s="9" t="n">
        <f aca="false">base_fleet!C7+base_fleet!G7+base_fleet!L7+base_fleet!Q7</f>
        <v>2</v>
      </c>
      <c r="K5" s="9" t="n">
        <f aca="false">base_fleet!E7+base_fleet!J7+base_fleet!O7+base_fleet!T7</f>
        <v>85</v>
      </c>
      <c r="L5" s="9" t="n">
        <f aca="false">base_fleet!M7*0.05</f>
        <v>897.95</v>
      </c>
      <c r="M5" s="9" t="n">
        <f aca="false">base_fleet!I7+base_fleet!N7+base_fleet!S7</f>
        <v>3</v>
      </c>
      <c r="N5" s="9" t="n">
        <f aca="false">base_fleet!AF7</f>
        <v>7747</v>
      </c>
      <c r="O5" s="9" t="n">
        <f aca="false">base_fleet!AA7</f>
        <v>886</v>
      </c>
      <c r="P5" s="10" t="n">
        <f aca="false">base_fleet!V7</f>
        <v>1496</v>
      </c>
      <c r="Q5" s="10" t="n">
        <f aca="false">base_fleet!AD7</f>
        <v>8830</v>
      </c>
      <c r="R5" s="10" t="n">
        <f aca="false">base_fleet!Y7</f>
        <v>648</v>
      </c>
      <c r="S5" s="10" t="n">
        <f aca="false">base_fleet!U7</f>
        <v>1991</v>
      </c>
      <c r="T5" s="9" t="n">
        <f aca="false">base_fleet!Z7+base_fleet!AE7</f>
        <v>0</v>
      </c>
      <c r="U5" s="10" t="n">
        <f aca="false">base_fleet!X7+base_fleet!AC7+base_fleet!AH7</f>
        <v>1</v>
      </c>
      <c r="V5" s="10" t="n">
        <f aca="false">base_fleet!AI7</f>
        <v>6124</v>
      </c>
      <c r="W5" s="10" t="n">
        <f aca="false">base_fleet!AM7</f>
        <v>1072</v>
      </c>
      <c r="X5" s="10" t="n">
        <f aca="false">base_fleet!AP7</f>
        <v>197</v>
      </c>
      <c r="Y5" s="10" t="n">
        <f aca="false">base_fleet!AS7</f>
        <v>591</v>
      </c>
      <c r="Z5" s="10" t="n">
        <f aca="false">base_fleet!AU7</f>
        <v>495</v>
      </c>
      <c r="AA5" s="10" t="n">
        <f aca="false">base_fleet!AW7</f>
        <v>162</v>
      </c>
      <c r="AB5" s="10" t="n">
        <f aca="false">base_fleet!AY7/2</f>
        <v>103.5</v>
      </c>
      <c r="AC5" s="10" t="n">
        <f aca="false">base_fleet!AY7/2</f>
        <v>103.5</v>
      </c>
      <c r="AD5" s="9" t="n">
        <f aca="false">base_fleet!BB7</f>
        <v>8</v>
      </c>
      <c r="AE5" s="9" t="n">
        <f aca="false">base_fleet!AK7</f>
        <v>60</v>
      </c>
      <c r="AF5" s="9" t="n">
        <f aca="false">base_fleet!AO7</f>
        <v>5</v>
      </c>
      <c r="AG5" s="9" t="n">
        <f aca="false">base_fleet!AR7</f>
        <v>2</v>
      </c>
      <c r="AH5" s="9" t="n">
        <f aca="false">base_fleet!AT7</f>
        <v>2</v>
      </c>
      <c r="AI5" s="9" t="n">
        <f aca="false">base_fleet!AV7</f>
        <v>5</v>
      </c>
      <c r="AJ5" s="9" t="n">
        <f aca="false">base_fleet!AX7</f>
        <v>0</v>
      </c>
      <c r="AK5" s="9" t="n">
        <f aca="false">base_fleet!AZ7</f>
        <v>4</v>
      </c>
      <c r="AL5" s="9" t="n">
        <f aca="false">base_fleet!BC7</f>
        <v>0</v>
      </c>
      <c r="AM5" s="9" t="n">
        <v>0</v>
      </c>
      <c r="AN5" s="9" t="n">
        <f aca="false">base_fleet!BD7</f>
        <v>224</v>
      </c>
      <c r="AO5" s="9" t="n">
        <f aca="false">base_fleet!BE7</f>
        <v>661</v>
      </c>
      <c r="AP5" s="9" t="n">
        <f aca="false">base_fleet!BF7</f>
        <v>7</v>
      </c>
      <c r="AQ5" s="9" t="n">
        <f aca="false">base_fleet!BG7</f>
        <v>174</v>
      </c>
      <c r="AR5" s="9" t="n">
        <f aca="false">base_fleet!BH7</f>
        <v>307</v>
      </c>
      <c r="AS5" s="9" t="n">
        <f aca="false">base_fleet!BI7</f>
        <v>5</v>
      </c>
      <c r="AT5" s="9" t="n">
        <f aca="false">base_fleet!AQ7+base_fleet!AN7+base_fleet!AJ7</f>
        <v>0</v>
      </c>
      <c r="AU5" s="9" t="n">
        <f aca="false">base_fleet!BL7</f>
        <v>1134.75</v>
      </c>
      <c r="AV5" s="9" t="n">
        <f aca="false">base_fleet!BJ7</f>
        <v>112.2</v>
      </c>
      <c r="AW5" s="9" t="n">
        <f aca="false">base_fleet!BN7</f>
        <v>68</v>
      </c>
      <c r="AX5" s="9" t="n">
        <f aca="false">base_fleet!BM7</f>
        <v>10.2</v>
      </c>
      <c r="AY5" s="9" t="n">
        <f aca="false">base_fleet!BK7</f>
        <v>0</v>
      </c>
      <c r="AZ5" s="9" t="n">
        <f aca="false">base_fleet!BO7</f>
        <v>0</v>
      </c>
      <c r="BA5" s="9" t="n">
        <f aca="false">base_fleet!BP7</f>
        <v>198.6</v>
      </c>
      <c r="BB5" s="9" t="n">
        <f aca="false">base_fleet!BR7</f>
        <v>2.85</v>
      </c>
      <c r="BC5" s="9" t="n">
        <f aca="false">base_fleet!BQ7</f>
        <v>1.65</v>
      </c>
      <c r="BD5" s="9" t="n">
        <f aca="false">base_fleet!BS7</f>
        <v>0</v>
      </c>
      <c r="BE5" s="9" t="n">
        <v>0</v>
      </c>
      <c r="BF5" s="9" t="n">
        <v>0</v>
      </c>
      <c r="BG5" s="9" t="n">
        <f aca="false">base_fleet!CE7</f>
        <v>67</v>
      </c>
      <c r="BH5" s="9" t="n">
        <f aca="false">base_fleet!CA7</f>
        <v>53787</v>
      </c>
      <c r="BI5" s="9" t="n">
        <f aca="false">base_fleet!BV7</f>
        <v>127</v>
      </c>
      <c r="BJ5" s="9" t="n">
        <f aca="false">base_fleet!CH7</f>
        <v>4</v>
      </c>
      <c r="BK5" s="9" t="n">
        <f aca="false">base_fleet!BU7+base_fleet!BZ7+base_fleet!CD7</f>
        <v>0</v>
      </c>
    </row>
    <row r="6" customFormat="false" ht="12.8" hidden="false" customHeight="false" outlineLevel="0" collapsed="false">
      <c r="A6" s="0" t="n">
        <f aca="false">A5-1</f>
        <v>2013</v>
      </c>
      <c r="B6" s="9" t="n">
        <f aca="false">base_fleet!H8</f>
        <v>20796</v>
      </c>
      <c r="C6" s="9" t="n">
        <f aca="false">base_fleet!M8*0.95</f>
        <v>19845.5</v>
      </c>
      <c r="D6" s="9" t="n">
        <f aca="false">base_fleet!D8</f>
        <v>64</v>
      </c>
      <c r="E6" s="9" t="n">
        <f aca="false">base_fleet!R8</f>
        <v>21361</v>
      </c>
      <c r="F6" s="9" t="n">
        <f aca="false">base_fleet!F8</f>
        <v>3</v>
      </c>
      <c r="G6" s="9" t="n">
        <f aca="false">base_fleet!K8</f>
        <v>30</v>
      </c>
      <c r="H6" s="9" t="n">
        <f aca="false">base_fleet!B8</f>
        <v>2</v>
      </c>
      <c r="I6" s="9" t="n">
        <f aca="false">base_fleet!P8</f>
        <v>74</v>
      </c>
      <c r="J6" s="9" t="n">
        <f aca="false">base_fleet!C8+base_fleet!G8+base_fleet!L8+base_fleet!Q8</f>
        <v>1</v>
      </c>
      <c r="K6" s="9" t="n">
        <f aca="false">base_fleet!E8+base_fleet!J8+base_fleet!O8+base_fleet!T8</f>
        <v>342</v>
      </c>
      <c r="L6" s="9" t="n">
        <f aca="false">base_fleet!M8*0.05</f>
        <v>1044.5</v>
      </c>
      <c r="M6" s="9" t="n">
        <f aca="false">base_fleet!I8+base_fleet!N8+base_fleet!S8</f>
        <v>2</v>
      </c>
      <c r="N6" s="9" t="n">
        <f aca="false">base_fleet!AF8</f>
        <v>7038</v>
      </c>
      <c r="O6" s="9" t="n">
        <f aca="false">base_fleet!AA8</f>
        <v>731</v>
      </c>
      <c r="P6" s="10" t="n">
        <f aca="false">base_fleet!V8</f>
        <v>1226</v>
      </c>
      <c r="Q6" s="10" t="n">
        <f aca="false">base_fleet!AD8</f>
        <v>7922</v>
      </c>
      <c r="R6" s="10" t="n">
        <f aca="false">base_fleet!Y8</f>
        <v>745</v>
      </c>
      <c r="S6" s="10" t="n">
        <f aca="false">base_fleet!U8</f>
        <v>1266</v>
      </c>
      <c r="T6" s="9" t="n">
        <f aca="false">base_fleet!Z8+base_fleet!AE8</f>
        <v>0</v>
      </c>
      <c r="U6" s="10" t="n">
        <f aca="false">base_fleet!X8+base_fleet!AC8+base_fleet!AH8</f>
        <v>1</v>
      </c>
      <c r="V6" s="10" t="n">
        <f aca="false">base_fleet!AI8</f>
        <v>4776</v>
      </c>
      <c r="W6" s="10" t="n">
        <f aca="false">base_fleet!AM8</f>
        <v>588</v>
      </c>
      <c r="X6" s="10" t="n">
        <f aca="false">base_fleet!AP8</f>
        <v>259</v>
      </c>
      <c r="Y6" s="10" t="n">
        <f aca="false">base_fleet!AS8</f>
        <v>128</v>
      </c>
      <c r="Z6" s="10" t="n">
        <f aca="false">base_fleet!AU8</f>
        <v>501</v>
      </c>
      <c r="AA6" s="10" t="n">
        <f aca="false">base_fleet!AW8</f>
        <v>131</v>
      </c>
      <c r="AB6" s="10" t="n">
        <f aca="false">base_fleet!AY8/2</f>
        <v>68</v>
      </c>
      <c r="AC6" s="10" t="n">
        <f aca="false">base_fleet!AY8/2</f>
        <v>68</v>
      </c>
      <c r="AD6" s="9" t="n">
        <f aca="false">base_fleet!BB8</f>
        <v>17</v>
      </c>
      <c r="AE6" s="9" t="n">
        <f aca="false">base_fleet!AK8</f>
        <v>17</v>
      </c>
      <c r="AF6" s="9" t="n">
        <f aca="false">base_fleet!AO8</f>
        <v>3</v>
      </c>
      <c r="AG6" s="9" t="n">
        <f aca="false">base_fleet!AR8</f>
        <v>0</v>
      </c>
      <c r="AH6" s="9" t="n">
        <f aca="false">base_fleet!AT8</f>
        <v>0</v>
      </c>
      <c r="AI6" s="9" t="n">
        <f aca="false">base_fleet!AV8</f>
        <v>2</v>
      </c>
      <c r="AJ6" s="9" t="n">
        <f aca="false">base_fleet!AX8</f>
        <v>2</v>
      </c>
      <c r="AK6" s="9" t="n">
        <f aca="false">base_fleet!AZ8</f>
        <v>0</v>
      </c>
      <c r="AL6" s="9" t="n">
        <f aca="false">base_fleet!BC8</f>
        <v>1</v>
      </c>
      <c r="AM6" s="9" t="n">
        <v>0</v>
      </c>
      <c r="AN6" s="9" t="n">
        <f aca="false">base_fleet!BD8</f>
        <v>217</v>
      </c>
      <c r="AO6" s="9" t="n">
        <f aca="false">base_fleet!BE8</f>
        <v>552</v>
      </c>
      <c r="AP6" s="9" t="n">
        <f aca="false">base_fleet!BF8</f>
        <v>16</v>
      </c>
      <c r="AQ6" s="9" t="n">
        <f aca="false">base_fleet!BG8</f>
        <v>174</v>
      </c>
      <c r="AR6" s="9" t="n">
        <f aca="false">base_fleet!BH8</f>
        <v>183</v>
      </c>
      <c r="AS6" s="9" t="n">
        <f aca="false">base_fleet!BI8</f>
        <v>8</v>
      </c>
      <c r="AT6" s="9" t="n">
        <f aca="false">base_fleet!AQ8+base_fleet!AN8+base_fleet!AJ8</f>
        <v>0</v>
      </c>
      <c r="AU6" s="9" t="n">
        <f aca="false">base_fleet!BL8</f>
        <v>1153.45</v>
      </c>
      <c r="AV6" s="9" t="n">
        <f aca="false">base_fleet!BJ8</f>
        <v>281.35</v>
      </c>
      <c r="AW6" s="9" t="n">
        <f aca="false">base_fleet!BN8</f>
        <v>24.65</v>
      </c>
      <c r="AX6" s="9" t="n">
        <f aca="false">base_fleet!BM8</f>
        <v>1.7</v>
      </c>
      <c r="AY6" s="9" t="n">
        <f aca="false">base_fleet!BK8</f>
        <v>0</v>
      </c>
      <c r="AZ6" s="9" t="n">
        <f aca="false">base_fleet!BO8</f>
        <v>0</v>
      </c>
      <c r="BA6" s="9" t="n">
        <f aca="false">base_fleet!BP8</f>
        <v>114.15</v>
      </c>
      <c r="BB6" s="9" t="n">
        <f aca="false">base_fleet!BR8</f>
        <v>0.45</v>
      </c>
      <c r="BC6" s="9" t="n">
        <f aca="false">base_fleet!BQ8</f>
        <v>1.05</v>
      </c>
      <c r="BD6" s="9" t="n">
        <f aca="false">base_fleet!BS8</f>
        <v>0</v>
      </c>
      <c r="BE6" s="9" t="n">
        <v>0</v>
      </c>
      <c r="BF6" s="9" t="n">
        <v>0</v>
      </c>
      <c r="BG6" s="9" t="n">
        <f aca="false">base_fleet!CE8</f>
        <v>35</v>
      </c>
      <c r="BH6" s="9" t="n">
        <f aca="false">base_fleet!CA8</f>
        <v>46591</v>
      </c>
      <c r="BI6" s="9" t="n">
        <f aca="false">base_fleet!BV8</f>
        <v>365</v>
      </c>
      <c r="BJ6" s="9" t="n">
        <f aca="false">base_fleet!CH8</f>
        <v>10</v>
      </c>
      <c r="BK6" s="9" t="n">
        <f aca="false">base_fleet!BU8+base_fleet!BZ8+base_fleet!CD8</f>
        <v>5</v>
      </c>
    </row>
    <row r="7" customFormat="false" ht="12.8" hidden="false" customHeight="false" outlineLevel="0" collapsed="false">
      <c r="A7" s="0" t="n">
        <f aca="false">A6-1</f>
        <v>2012</v>
      </c>
      <c r="B7" s="9" t="n">
        <f aca="false">base_fleet!H9</f>
        <v>17643</v>
      </c>
      <c r="C7" s="9" t="n">
        <f aca="false">base_fleet!M9*0.95</f>
        <v>25065.75</v>
      </c>
      <c r="D7" s="9" t="n">
        <f aca="false">base_fleet!D9</f>
        <v>64</v>
      </c>
      <c r="E7" s="9" t="n">
        <f aca="false">base_fleet!R9</f>
        <v>23514</v>
      </c>
      <c r="F7" s="9" t="n">
        <f aca="false">base_fleet!F9</f>
        <v>6</v>
      </c>
      <c r="G7" s="9" t="n">
        <f aca="false">base_fleet!K9</f>
        <v>35</v>
      </c>
      <c r="H7" s="9" t="n">
        <f aca="false">base_fleet!B9</f>
        <v>1</v>
      </c>
      <c r="I7" s="9" t="n">
        <f aca="false">base_fleet!P9</f>
        <v>124</v>
      </c>
      <c r="J7" s="9" t="n">
        <f aca="false">base_fleet!C9+base_fleet!G9+base_fleet!L9+base_fleet!Q9</f>
        <v>1</v>
      </c>
      <c r="K7" s="9" t="n">
        <f aca="false">base_fleet!E9+base_fleet!J9+base_fleet!O9+base_fleet!T9</f>
        <v>272</v>
      </c>
      <c r="L7" s="9" t="n">
        <f aca="false">base_fleet!M9*0.05</f>
        <v>1319.25</v>
      </c>
      <c r="M7" s="9" t="n">
        <f aca="false">base_fleet!I9+base_fleet!N9+base_fleet!S9</f>
        <v>2</v>
      </c>
      <c r="N7" s="9" t="n">
        <f aca="false">base_fleet!AF9</f>
        <v>12369</v>
      </c>
      <c r="O7" s="9" t="n">
        <f aca="false">base_fleet!AA9</f>
        <v>1400</v>
      </c>
      <c r="P7" s="10" t="n">
        <f aca="false">base_fleet!V9</f>
        <v>569</v>
      </c>
      <c r="Q7" s="10" t="n">
        <f aca="false">base_fleet!AD9</f>
        <v>9792</v>
      </c>
      <c r="R7" s="10" t="n">
        <f aca="false">base_fleet!Y9</f>
        <v>908</v>
      </c>
      <c r="S7" s="10" t="n">
        <f aca="false">base_fleet!U9</f>
        <v>456</v>
      </c>
      <c r="T7" s="9" t="n">
        <f aca="false">base_fleet!Z9+base_fleet!AE9</f>
        <v>3</v>
      </c>
      <c r="U7" s="10" t="n">
        <f aca="false">base_fleet!X9+base_fleet!AC9+base_fleet!AH9</f>
        <v>0</v>
      </c>
      <c r="V7" s="10" t="n">
        <f aca="false">base_fleet!AI9</f>
        <v>5860</v>
      </c>
      <c r="W7" s="10" t="n">
        <f aca="false">base_fleet!AM9</f>
        <v>532</v>
      </c>
      <c r="X7" s="10" t="n">
        <f aca="false">base_fleet!AP9</f>
        <v>335</v>
      </c>
      <c r="Y7" s="10" t="n">
        <f aca="false">base_fleet!AS9</f>
        <v>126</v>
      </c>
      <c r="Z7" s="10" t="n">
        <f aca="false">base_fleet!AU9</f>
        <v>412</v>
      </c>
      <c r="AA7" s="10" t="n">
        <f aca="false">base_fleet!AW9</f>
        <v>343</v>
      </c>
      <c r="AB7" s="10" t="n">
        <f aca="false">base_fleet!AY9/2</f>
        <v>56</v>
      </c>
      <c r="AC7" s="10" t="n">
        <f aca="false">base_fleet!AY9/2</f>
        <v>56</v>
      </c>
      <c r="AD7" s="9" t="n">
        <f aca="false">base_fleet!BB9</f>
        <v>69</v>
      </c>
      <c r="AE7" s="9" t="n">
        <f aca="false">base_fleet!AK9</f>
        <v>50</v>
      </c>
      <c r="AF7" s="9" t="n">
        <f aca="false">base_fleet!AO9</f>
        <v>6</v>
      </c>
      <c r="AG7" s="9" t="n">
        <f aca="false">base_fleet!AR9</f>
        <v>1</v>
      </c>
      <c r="AH7" s="9" t="n">
        <f aca="false">base_fleet!AT9</f>
        <v>1</v>
      </c>
      <c r="AI7" s="9" t="n">
        <f aca="false">base_fleet!AV9</f>
        <v>1</v>
      </c>
      <c r="AJ7" s="9" t="n">
        <f aca="false">base_fleet!AX9</f>
        <v>6</v>
      </c>
      <c r="AK7" s="9" t="n">
        <f aca="false">base_fleet!AZ9</f>
        <v>0</v>
      </c>
      <c r="AL7" s="9" t="n">
        <f aca="false">base_fleet!BC9</f>
        <v>0</v>
      </c>
      <c r="AM7" s="9" t="n">
        <v>0</v>
      </c>
      <c r="AN7" s="9" t="n">
        <f aca="false">base_fleet!BD9</f>
        <v>219</v>
      </c>
      <c r="AO7" s="9" t="n">
        <f aca="false">base_fleet!BE9</f>
        <v>523</v>
      </c>
      <c r="AP7" s="9" t="n">
        <f aca="false">base_fleet!BF9</f>
        <v>15</v>
      </c>
      <c r="AQ7" s="9" t="n">
        <f aca="false">base_fleet!BG9</f>
        <v>163</v>
      </c>
      <c r="AR7" s="9" t="n">
        <f aca="false">base_fleet!BH9</f>
        <v>213</v>
      </c>
      <c r="AS7" s="9" t="n">
        <f aca="false">base_fleet!BI9</f>
        <v>0</v>
      </c>
      <c r="AT7" s="9" t="n">
        <f aca="false">base_fleet!AQ9+base_fleet!AN9+base_fleet!AJ9</f>
        <v>1</v>
      </c>
      <c r="AU7" s="9" t="n">
        <f aca="false">base_fleet!BL9</f>
        <v>848.300000000001</v>
      </c>
      <c r="AV7" s="9" t="n">
        <f aca="false">base_fleet!BJ9</f>
        <v>272</v>
      </c>
      <c r="AW7" s="9" t="n">
        <f aca="false">base_fleet!BN9</f>
        <v>10.2</v>
      </c>
      <c r="AX7" s="9" t="n">
        <f aca="false">base_fleet!BM9</f>
        <v>2.55</v>
      </c>
      <c r="AY7" s="9" t="n">
        <f aca="false">base_fleet!BK9</f>
        <v>0</v>
      </c>
      <c r="AZ7" s="9" t="n">
        <f aca="false">base_fleet!BO9</f>
        <v>0</v>
      </c>
      <c r="BA7" s="9" t="n">
        <f aca="false">base_fleet!BP9</f>
        <v>230.7</v>
      </c>
      <c r="BB7" s="9" t="n">
        <f aca="false">base_fleet!BR9</f>
        <v>2.7</v>
      </c>
      <c r="BC7" s="9" t="n">
        <f aca="false">base_fleet!BQ9</f>
        <v>2.1</v>
      </c>
      <c r="BD7" s="9" t="n">
        <f aca="false">base_fleet!BS9</f>
        <v>0</v>
      </c>
      <c r="BE7" s="9" t="n">
        <v>0</v>
      </c>
      <c r="BF7" s="9" t="n">
        <v>0</v>
      </c>
      <c r="BG7" s="9" t="n">
        <f aca="false">base_fleet!CE9</f>
        <v>11</v>
      </c>
      <c r="BH7" s="9" t="n">
        <f aca="false">base_fleet!CA9</f>
        <v>34545</v>
      </c>
      <c r="BI7" s="9" t="n">
        <f aca="false">base_fleet!BV9</f>
        <v>398</v>
      </c>
      <c r="BJ7" s="9" t="n">
        <f aca="false">base_fleet!CH9</f>
        <v>31</v>
      </c>
      <c r="BK7" s="9" t="n">
        <f aca="false">base_fleet!BU9+base_fleet!BZ9+base_fleet!CD9</f>
        <v>4</v>
      </c>
    </row>
    <row r="8" customFormat="false" ht="12.8" hidden="false" customHeight="false" outlineLevel="0" collapsed="false">
      <c r="A8" s="0" t="n">
        <f aca="false">A7-1</f>
        <v>2011</v>
      </c>
      <c r="B8" s="9" t="n">
        <f aca="false">base_fleet!H10</f>
        <v>16182</v>
      </c>
      <c r="C8" s="9" t="n">
        <f aca="false">base_fleet!M10*0.95</f>
        <v>32241.1</v>
      </c>
      <c r="D8" s="9" t="n">
        <f aca="false">base_fleet!D10</f>
        <v>172</v>
      </c>
      <c r="E8" s="9" t="n">
        <f aca="false">base_fleet!R10</f>
        <v>22476</v>
      </c>
      <c r="F8" s="9" t="n">
        <f aca="false">base_fleet!F10</f>
        <v>18</v>
      </c>
      <c r="G8" s="9" t="n">
        <f aca="false">base_fleet!K10</f>
        <v>100</v>
      </c>
      <c r="H8" s="9" t="n">
        <f aca="false">base_fleet!B10</f>
        <v>1</v>
      </c>
      <c r="I8" s="9" t="n">
        <f aca="false">base_fleet!P10</f>
        <v>81</v>
      </c>
      <c r="J8" s="9" t="n">
        <f aca="false">base_fleet!C10+base_fleet!G10+base_fleet!L10+base_fleet!Q10</f>
        <v>2</v>
      </c>
      <c r="K8" s="9" t="n">
        <f aca="false">base_fleet!E10+base_fleet!J10+base_fleet!O10+base_fleet!T10</f>
        <v>241</v>
      </c>
      <c r="L8" s="9" t="n">
        <f aca="false">base_fleet!M10*0.05</f>
        <v>1696.9</v>
      </c>
      <c r="M8" s="9" t="n">
        <f aca="false">base_fleet!I10+base_fleet!N10+base_fleet!S10</f>
        <v>7</v>
      </c>
      <c r="N8" s="9" t="n">
        <f aca="false">base_fleet!AF10</f>
        <v>11933</v>
      </c>
      <c r="O8" s="9" t="n">
        <f aca="false">base_fleet!AA10</f>
        <v>2066</v>
      </c>
      <c r="P8" s="10" t="n">
        <f aca="false">base_fleet!V10</f>
        <v>246</v>
      </c>
      <c r="Q8" s="10" t="n">
        <f aca="false">base_fleet!AD10</f>
        <v>7033</v>
      </c>
      <c r="R8" s="10" t="n">
        <f aca="false">base_fleet!Y10</f>
        <v>696</v>
      </c>
      <c r="S8" s="10" t="n">
        <f aca="false">base_fleet!U10</f>
        <v>586</v>
      </c>
      <c r="T8" s="9" t="n">
        <f aca="false">base_fleet!Z10+base_fleet!AE10</f>
        <v>0</v>
      </c>
      <c r="U8" s="10" t="n">
        <f aca="false">base_fleet!X10+base_fleet!AC10+base_fleet!AH10</f>
        <v>1</v>
      </c>
      <c r="V8" s="10" t="n">
        <f aca="false">base_fleet!AI10</f>
        <v>4794</v>
      </c>
      <c r="W8" s="10" t="n">
        <f aca="false">base_fleet!AM10</f>
        <v>688</v>
      </c>
      <c r="X8" s="10" t="n">
        <f aca="false">base_fleet!AP10</f>
        <v>607</v>
      </c>
      <c r="Y8" s="10" t="n">
        <f aca="false">base_fleet!AS10</f>
        <v>81</v>
      </c>
      <c r="Z8" s="10" t="n">
        <f aca="false">base_fleet!AU10</f>
        <v>304</v>
      </c>
      <c r="AA8" s="10" t="n">
        <f aca="false">base_fleet!AW10</f>
        <v>311</v>
      </c>
      <c r="AB8" s="10" t="n">
        <f aca="false">base_fleet!AY10/2</f>
        <v>4.5</v>
      </c>
      <c r="AC8" s="10" t="n">
        <f aca="false">base_fleet!AY10/2</f>
        <v>4.5</v>
      </c>
      <c r="AD8" s="9" t="n">
        <f aca="false">base_fleet!BB10</f>
        <v>36</v>
      </c>
      <c r="AE8" s="9" t="n">
        <f aca="false">base_fleet!AK10</f>
        <v>50</v>
      </c>
      <c r="AF8" s="9" t="n">
        <f aca="false">base_fleet!AO10</f>
        <v>4</v>
      </c>
      <c r="AG8" s="9" t="n">
        <f aca="false">base_fleet!AR10</f>
        <v>4</v>
      </c>
      <c r="AH8" s="9" t="n">
        <f aca="false">base_fleet!AT10</f>
        <v>0</v>
      </c>
      <c r="AI8" s="9" t="n">
        <f aca="false">base_fleet!AV10</f>
        <v>1</v>
      </c>
      <c r="AJ8" s="9" t="n">
        <f aca="false">base_fleet!AX10</f>
        <v>4</v>
      </c>
      <c r="AK8" s="9" t="n">
        <f aca="false">base_fleet!AZ10</f>
        <v>0</v>
      </c>
      <c r="AL8" s="9" t="n">
        <f aca="false">base_fleet!BC10</f>
        <v>0</v>
      </c>
      <c r="AM8" s="9" t="n">
        <v>0</v>
      </c>
      <c r="AN8" s="9" t="n">
        <f aca="false">base_fleet!BD10</f>
        <v>243</v>
      </c>
      <c r="AO8" s="9" t="n">
        <f aca="false">base_fleet!BE10</f>
        <v>338</v>
      </c>
      <c r="AP8" s="9" t="n">
        <f aca="false">base_fleet!BF10</f>
        <v>28</v>
      </c>
      <c r="AQ8" s="9" t="n">
        <f aca="false">base_fleet!BG10</f>
        <v>159</v>
      </c>
      <c r="AR8" s="9" t="n">
        <f aca="false">base_fleet!BH10</f>
        <v>180</v>
      </c>
      <c r="AS8" s="9" t="n">
        <f aca="false">base_fleet!BI10</f>
        <v>2</v>
      </c>
      <c r="AT8" s="9" t="n">
        <f aca="false">base_fleet!AQ10+base_fleet!AN10+base_fleet!AJ10</f>
        <v>0</v>
      </c>
      <c r="AU8" s="9" t="n">
        <f aca="false">base_fleet!BL10</f>
        <v>935.000000000001</v>
      </c>
      <c r="AV8" s="9" t="n">
        <f aca="false">base_fleet!BJ10</f>
        <v>165.75</v>
      </c>
      <c r="AW8" s="9" t="n">
        <f aca="false">base_fleet!BN10</f>
        <v>4.25</v>
      </c>
      <c r="AX8" s="9" t="n">
        <f aca="false">base_fleet!BM10</f>
        <v>4.25</v>
      </c>
      <c r="AY8" s="9" t="n">
        <f aca="false">base_fleet!BK10</f>
        <v>2.55</v>
      </c>
      <c r="AZ8" s="9" t="n">
        <f aca="false">base_fleet!BO10</f>
        <v>0</v>
      </c>
      <c r="BA8" s="9" t="n">
        <f aca="false">base_fleet!BP10</f>
        <v>194.25</v>
      </c>
      <c r="BB8" s="9" t="n">
        <f aca="false">base_fleet!BR10</f>
        <v>0.75</v>
      </c>
      <c r="BC8" s="9" t="n">
        <f aca="false">base_fleet!BQ10</f>
        <v>1.2</v>
      </c>
      <c r="BD8" s="9" t="n">
        <f aca="false">base_fleet!BS10</f>
        <v>0</v>
      </c>
      <c r="BE8" s="9" t="n">
        <v>0</v>
      </c>
      <c r="BF8" s="9" t="n">
        <v>0</v>
      </c>
      <c r="BG8" s="9" t="n">
        <f aca="false">base_fleet!CE10</f>
        <v>4</v>
      </c>
      <c r="BH8" s="9" t="n">
        <f aca="false">base_fleet!CA10</f>
        <v>36287</v>
      </c>
      <c r="BI8" s="9" t="n">
        <f aca="false">base_fleet!BV10</f>
        <v>318</v>
      </c>
      <c r="BJ8" s="9" t="n">
        <f aca="false">base_fleet!CH10</f>
        <v>1</v>
      </c>
      <c r="BK8" s="9" t="n">
        <f aca="false">base_fleet!BU10+base_fleet!BZ10+base_fleet!CD10</f>
        <v>1</v>
      </c>
    </row>
    <row r="9" customFormat="false" ht="12.8" hidden="false" customHeight="false" outlineLevel="0" collapsed="false">
      <c r="A9" s="0" t="n">
        <f aca="false">A8-1</f>
        <v>2010</v>
      </c>
      <c r="B9" s="9" t="n">
        <f aca="false">base_fleet!H11</f>
        <v>11486</v>
      </c>
      <c r="C9" s="9" t="n">
        <f aca="false">base_fleet!M11*0.95</f>
        <v>16687.7</v>
      </c>
      <c r="D9" s="9" t="n">
        <f aca="false">base_fleet!D11</f>
        <v>11</v>
      </c>
      <c r="E9" s="9" t="n">
        <f aca="false">base_fleet!R11</f>
        <v>25762</v>
      </c>
      <c r="F9" s="9" t="n">
        <f aca="false">base_fleet!F11</f>
        <v>15</v>
      </c>
      <c r="G9" s="9" t="n">
        <f aca="false">base_fleet!K11</f>
        <v>116</v>
      </c>
      <c r="H9" s="9" t="n">
        <f aca="false">base_fleet!B11</f>
        <v>3</v>
      </c>
      <c r="I9" s="9" t="n">
        <f aca="false">base_fleet!P11</f>
        <v>135</v>
      </c>
      <c r="J9" s="9" t="n">
        <f aca="false">base_fleet!C11+base_fleet!G11+base_fleet!L11+base_fleet!Q11</f>
        <v>2</v>
      </c>
      <c r="K9" s="9" t="n">
        <f aca="false">base_fleet!E11+base_fleet!J11+base_fleet!O11+base_fleet!T11</f>
        <v>1154</v>
      </c>
      <c r="L9" s="9" t="n">
        <f aca="false">base_fleet!M11*0.05</f>
        <v>878.3</v>
      </c>
      <c r="M9" s="9" t="n">
        <f aca="false">base_fleet!I11+base_fleet!N11+base_fleet!S11</f>
        <v>4</v>
      </c>
      <c r="N9" s="9" t="n">
        <f aca="false">base_fleet!AF11</f>
        <v>13738</v>
      </c>
      <c r="O9" s="9" t="n">
        <f aca="false">base_fleet!AA11</f>
        <v>1114</v>
      </c>
      <c r="P9" s="10" t="n">
        <f aca="false">base_fleet!V11</f>
        <v>184</v>
      </c>
      <c r="Q9" s="10" t="n">
        <f aca="false">base_fleet!AD11</f>
        <v>9413</v>
      </c>
      <c r="R9" s="10" t="n">
        <f aca="false">base_fleet!Y11</f>
        <v>914</v>
      </c>
      <c r="S9" s="10" t="n">
        <f aca="false">base_fleet!U11</f>
        <v>758</v>
      </c>
      <c r="T9" s="9" t="n">
        <f aca="false">base_fleet!Z11+base_fleet!AE11</f>
        <v>0</v>
      </c>
      <c r="U9" s="10" t="n">
        <f aca="false">base_fleet!X11+base_fleet!AC11+base_fleet!AH11</f>
        <v>73</v>
      </c>
      <c r="V9" s="10" t="n">
        <f aca="false">base_fleet!AI11</f>
        <v>4665</v>
      </c>
      <c r="W9" s="10" t="n">
        <f aca="false">base_fleet!AM11</f>
        <v>962</v>
      </c>
      <c r="X9" s="10" t="n">
        <f aca="false">base_fleet!AP11</f>
        <v>450</v>
      </c>
      <c r="Y9" s="10" t="n">
        <f aca="false">base_fleet!AS11</f>
        <v>125</v>
      </c>
      <c r="Z9" s="10" t="n">
        <f aca="false">base_fleet!AU11</f>
        <v>243</v>
      </c>
      <c r="AA9" s="10" t="n">
        <f aca="false">base_fleet!AW11</f>
        <v>80</v>
      </c>
      <c r="AB9" s="10" t="n">
        <f aca="false">base_fleet!AY11/2</f>
        <v>17</v>
      </c>
      <c r="AC9" s="10" t="n">
        <f aca="false">base_fleet!AY11/2</f>
        <v>17</v>
      </c>
      <c r="AD9" s="9" t="n">
        <f aca="false">base_fleet!BB11</f>
        <v>12</v>
      </c>
      <c r="AE9" s="9" t="n">
        <f aca="false">base_fleet!AK11</f>
        <v>72</v>
      </c>
      <c r="AF9" s="9" t="n">
        <f aca="false">base_fleet!AO11</f>
        <v>5</v>
      </c>
      <c r="AG9" s="9" t="n">
        <f aca="false">base_fleet!AR11</f>
        <v>2</v>
      </c>
      <c r="AH9" s="9" t="n">
        <f aca="false">base_fleet!AT11</f>
        <v>3</v>
      </c>
      <c r="AI9" s="9" t="n">
        <f aca="false">base_fleet!AV11</f>
        <v>1</v>
      </c>
      <c r="AJ9" s="9" t="n">
        <f aca="false">base_fleet!AX11</f>
        <v>1</v>
      </c>
      <c r="AK9" s="9" t="n">
        <f aca="false">base_fleet!AZ11</f>
        <v>0</v>
      </c>
      <c r="AL9" s="9" t="n">
        <f aca="false">base_fleet!BC11</f>
        <v>0</v>
      </c>
      <c r="AM9" s="9" t="n">
        <v>0</v>
      </c>
      <c r="AN9" s="9" t="n">
        <f aca="false">base_fleet!BD11</f>
        <v>217</v>
      </c>
      <c r="AO9" s="9" t="n">
        <f aca="false">base_fleet!BE11</f>
        <v>343</v>
      </c>
      <c r="AP9" s="9" t="n">
        <f aca="false">base_fleet!BF11</f>
        <v>34</v>
      </c>
      <c r="AQ9" s="9" t="n">
        <f aca="false">base_fleet!BG11</f>
        <v>96</v>
      </c>
      <c r="AR9" s="9" t="n">
        <f aca="false">base_fleet!BH11</f>
        <v>75</v>
      </c>
      <c r="AS9" s="9" t="n">
        <f aca="false">base_fleet!BI11</f>
        <v>0</v>
      </c>
      <c r="AT9" s="9" t="n">
        <f aca="false">base_fleet!AQ11+base_fleet!AN11+base_fleet!AJ11</f>
        <v>0</v>
      </c>
      <c r="AU9" s="9" t="n">
        <f aca="false">base_fleet!BL11</f>
        <v>1021.7</v>
      </c>
      <c r="AV9" s="9" t="n">
        <f aca="false">base_fleet!BJ11</f>
        <v>285.6</v>
      </c>
      <c r="AW9" s="9" t="n">
        <f aca="false">base_fleet!BN11</f>
        <v>15.3</v>
      </c>
      <c r="AX9" s="9" t="n">
        <f aca="false">base_fleet!BM11</f>
        <v>10.2</v>
      </c>
      <c r="AY9" s="9" t="n">
        <f aca="false">base_fleet!BK11</f>
        <v>1.7</v>
      </c>
      <c r="AZ9" s="9" t="n">
        <f aca="false">base_fleet!BO11</f>
        <v>0</v>
      </c>
      <c r="BA9" s="9" t="n">
        <f aca="false">base_fleet!BP11</f>
        <v>197.7</v>
      </c>
      <c r="BB9" s="9" t="n">
        <f aca="false">base_fleet!BR11</f>
        <v>1.8</v>
      </c>
      <c r="BC9" s="9" t="n">
        <f aca="false">base_fleet!BQ11</f>
        <v>0.45</v>
      </c>
      <c r="BD9" s="9" t="n">
        <f aca="false">base_fleet!BS11</f>
        <v>0</v>
      </c>
      <c r="BE9" s="9" t="n">
        <v>0</v>
      </c>
      <c r="BF9" s="9" t="n">
        <v>0</v>
      </c>
      <c r="BG9" s="9" t="n">
        <f aca="false">base_fleet!CE11</f>
        <v>5</v>
      </c>
      <c r="BH9" s="9" t="n">
        <f aca="false">base_fleet!CA11</f>
        <v>22764</v>
      </c>
      <c r="BI9" s="9" t="n">
        <f aca="false">base_fleet!BV11</f>
        <v>50</v>
      </c>
      <c r="BJ9" s="9" t="n">
        <f aca="false">base_fleet!CH11</f>
        <v>3</v>
      </c>
      <c r="BK9" s="9" t="n">
        <f aca="false">base_fleet!BU11+base_fleet!BZ11+base_fleet!CD11</f>
        <v>1</v>
      </c>
    </row>
    <row r="10" customFormat="false" ht="12.8" hidden="false" customHeight="false" outlineLevel="0" collapsed="false">
      <c r="A10" s="0" t="n">
        <f aca="false">A9-1</f>
        <v>2009</v>
      </c>
      <c r="B10" s="9" t="n">
        <f aca="false">base_fleet!H12</f>
        <v>16179</v>
      </c>
      <c r="C10" s="9" t="n">
        <f aca="false">base_fleet!M12*0.95</f>
        <v>16883.4</v>
      </c>
      <c r="D10" s="9" t="n">
        <f aca="false">base_fleet!D12</f>
        <v>9</v>
      </c>
      <c r="E10" s="9" t="n">
        <f aca="false">base_fleet!R12</f>
        <v>18996</v>
      </c>
      <c r="F10" s="9" t="n">
        <f aca="false">base_fleet!F12</f>
        <v>46</v>
      </c>
      <c r="G10" s="9" t="n">
        <f aca="false">base_fleet!K12</f>
        <v>125</v>
      </c>
      <c r="H10" s="9" t="n">
        <f aca="false">base_fleet!B12</f>
        <v>2</v>
      </c>
      <c r="I10" s="9" t="n">
        <f aca="false">base_fleet!P12</f>
        <v>604</v>
      </c>
      <c r="J10" s="9" t="n">
        <f aca="false">base_fleet!C12+base_fleet!G12+base_fleet!L12+base_fleet!Q12</f>
        <v>4</v>
      </c>
      <c r="K10" s="9" t="n">
        <f aca="false">base_fleet!E12+base_fleet!J12+base_fleet!O12+base_fleet!T12</f>
        <v>1619</v>
      </c>
      <c r="L10" s="9" t="n">
        <f aca="false">base_fleet!M12*0.05</f>
        <v>888.6</v>
      </c>
      <c r="M10" s="9" t="n">
        <f aca="false">base_fleet!I12+base_fleet!N12+base_fleet!S12</f>
        <v>8</v>
      </c>
      <c r="N10" s="9" t="n">
        <f aca="false">base_fleet!AF12</f>
        <v>11742</v>
      </c>
      <c r="O10" s="9" t="n">
        <f aca="false">base_fleet!AA12</f>
        <v>710</v>
      </c>
      <c r="P10" s="10" t="n">
        <f aca="false">base_fleet!V12</f>
        <v>144</v>
      </c>
      <c r="Q10" s="10" t="n">
        <f aca="false">base_fleet!AD12</f>
        <v>5850</v>
      </c>
      <c r="R10" s="10" t="n">
        <f aca="false">base_fleet!Y12</f>
        <v>539</v>
      </c>
      <c r="S10" s="10" t="n">
        <f aca="false">base_fleet!U12</f>
        <v>344</v>
      </c>
      <c r="T10" s="9" t="n">
        <f aca="false">base_fleet!Z12+base_fleet!AE12</f>
        <v>0</v>
      </c>
      <c r="U10" s="10" t="n">
        <f aca="false">base_fleet!X12+base_fleet!AC12+base_fleet!AH12</f>
        <v>32</v>
      </c>
      <c r="V10" s="10" t="n">
        <f aca="false">base_fleet!AI12</f>
        <v>2385</v>
      </c>
      <c r="W10" s="10" t="n">
        <f aca="false">base_fleet!AM12</f>
        <v>567</v>
      </c>
      <c r="X10" s="10" t="n">
        <f aca="false">base_fleet!AP12</f>
        <v>404</v>
      </c>
      <c r="Y10" s="10" t="n">
        <f aca="false">base_fleet!AS12</f>
        <v>226</v>
      </c>
      <c r="Z10" s="10" t="n">
        <f aca="false">base_fleet!AU12</f>
        <v>256</v>
      </c>
      <c r="AA10" s="10" t="n">
        <f aca="false">base_fleet!AW12</f>
        <v>119</v>
      </c>
      <c r="AB10" s="10" t="n">
        <f aca="false">base_fleet!AY12/2</f>
        <v>4.5</v>
      </c>
      <c r="AC10" s="10" t="n">
        <f aca="false">base_fleet!AY12/2</f>
        <v>4.5</v>
      </c>
      <c r="AD10" s="9" t="n">
        <f aca="false">base_fleet!BB12</f>
        <v>15</v>
      </c>
      <c r="AE10" s="9" t="n">
        <f aca="false">base_fleet!AK12</f>
        <v>39</v>
      </c>
      <c r="AF10" s="9" t="n">
        <f aca="false">base_fleet!AO12</f>
        <v>5</v>
      </c>
      <c r="AG10" s="9" t="n">
        <f aca="false">base_fleet!AR12</f>
        <v>1</v>
      </c>
      <c r="AH10" s="9" t="n">
        <f aca="false">base_fleet!AT12</f>
        <v>3</v>
      </c>
      <c r="AI10" s="9" t="n">
        <f aca="false">base_fleet!AV12</f>
        <v>0</v>
      </c>
      <c r="AJ10" s="9" t="n">
        <f aca="false">base_fleet!AX12</f>
        <v>1</v>
      </c>
      <c r="AK10" s="9" t="n">
        <f aca="false">base_fleet!AZ12</f>
        <v>0</v>
      </c>
      <c r="AL10" s="9" t="n">
        <f aca="false">base_fleet!BC12</f>
        <v>0</v>
      </c>
      <c r="AM10" s="9" t="n">
        <v>0</v>
      </c>
      <c r="AN10" s="9" t="n">
        <f aca="false">base_fleet!BD12</f>
        <v>176</v>
      </c>
      <c r="AO10" s="9" t="n">
        <f aca="false">base_fleet!BE12</f>
        <v>206</v>
      </c>
      <c r="AP10" s="9" t="n">
        <f aca="false">base_fleet!BF12</f>
        <v>31</v>
      </c>
      <c r="AQ10" s="9" t="n">
        <f aca="false">base_fleet!BG12</f>
        <v>92</v>
      </c>
      <c r="AR10" s="9" t="n">
        <f aca="false">base_fleet!BH12</f>
        <v>58</v>
      </c>
      <c r="AS10" s="9" t="n">
        <f aca="false">base_fleet!BI12</f>
        <v>0</v>
      </c>
      <c r="AT10" s="9" t="n">
        <f aca="false">base_fleet!AQ12+base_fleet!AN12+base_fleet!AJ12</f>
        <v>0</v>
      </c>
      <c r="AU10" s="9" t="n">
        <f aca="false">base_fleet!BL12</f>
        <v>609.45</v>
      </c>
      <c r="AV10" s="9" t="n">
        <f aca="false">base_fleet!BJ12</f>
        <v>37.4</v>
      </c>
      <c r="AW10" s="9" t="n">
        <f aca="false">base_fleet!BN12</f>
        <v>2.55</v>
      </c>
      <c r="AX10" s="9" t="n">
        <f aca="false">base_fleet!BM12</f>
        <v>5.95</v>
      </c>
      <c r="AY10" s="9" t="n">
        <f aca="false">base_fleet!BK12</f>
        <v>0</v>
      </c>
      <c r="AZ10" s="9" t="n">
        <f aca="false">base_fleet!BO12</f>
        <v>0</v>
      </c>
      <c r="BA10" s="9" t="n">
        <f aca="false">base_fleet!BP12</f>
        <v>253.2</v>
      </c>
      <c r="BB10" s="9" t="n">
        <f aca="false">base_fleet!BR12</f>
        <v>4.35</v>
      </c>
      <c r="BC10" s="9" t="n">
        <f aca="false">base_fleet!BQ12</f>
        <v>0.3</v>
      </c>
      <c r="BD10" s="9" t="n">
        <f aca="false">base_fleet!BS12</f>
        <v>0</v>
      </c>
      <c r="BE10" s="9" t="n">
        <v>0</v>
      </c>
      <c r="BF10" s="9" t="n">
        <v>0</v>
      </c>
      <c r="BG10" s="9" t="n">
        <f aca="false">base_fleet!CE12</f>
        <v>1</v>
      </c>
      <c r="BH10" s="9" t="n">
        <f aca="false">base_fleet!CA12</f>
        <v>18274</v>
      </c>
      <c r="BI10" s="9" t="n">
        <f aca="false">base_fleet!BV12</f>
        <v>65</v>
      </c>
      <c r="BJ10" s="9" t="n">
        <f aca="false">base_fleet!CH12</f>
        <v>0</v>
      </c>
      <c r="BK10" s="9" t="n">
        <f aca="false">base_fleet!BU12+base_fleet!BZ12+base_fleet!CD12</f>
        <v>0</v>
      </c>
    </row>
    <row r="11" customFormat="false" ht="12.8" hidden="false" customHeight="false" outlineLevel="0" collapsed="false">
      <c r="A11" s="0" t="n">
        <f aca="false">A10-1</f>
        <v>2008</v>
      </c>
      <c r="B11" s="9" t="n">
        <f aca="false">base_fleet!H13</f>
        <v>13810</v>
      </c>
      <c r="C11" s="9" t="n">
        <f aca="false">base_fleet!M13*0.95</f>
        <v>12139.1</v>
      </c>
      <c r="D11" s="9" t="n">
        <f aca="false">base_fleet!D13</f>
        <v>5</v>
      </c>
      <c r="E11" s="9" t="n">
        <f aca="false">base_fleet!R13</f>
        <v>19637</v>
      </c>
      <c r="F11" s="9" t="n">
        <f aca="false">base_fleet!F13</f>
        <v>91</v>
      </c>
      <c r="G11" s="9" t="n">
        <f aca="false">base_fleet!K13</f>
        <v>216</v>
      </c>
      <c r="H11" s="9" t="n">
        <f aca="false">base_fleet!B13</f>
        <v>1</v>
      </c>
      <c r="I11" s="9" t="n">
        <f aca="false">base_fleet!P13</f>
        <v>929</v>
      </c>
      <c r="J11" s="9" t="n">
        <f aca="false">base_fleet!C13+base_fleet!G13+base_fleet!L13+base_fleet!Q13</f>
        <v>8</v>
      </c>
      <c r="K11" s="9" t="n">
        <f aca="false">base_fleet!E13+base_fleet!J13+base_fleet!O13+base_fleet!T13</f>
        <v>151</v>
      </c>
      <c r="L11" s="9" t="n">
        <f aca="false">base_fleet!M13*0.05</f>
        <v>638.9</v>
      </c>
      <c r="M11" s="9" t="n">
        <f aca="false">base_fleet!I13+base_fleet!N13+base_fleet!S13</f>
        <v>3</v>
      </c>
      <c r="N11" s="9" t="n">
        <f aca="false">base_fleet!AF13</f>
        <v>13093</v>
      </c>
      <c r="O11" s="9" t="n">
        <f aca="false">base_fleet!AA13</f>
        <v>1279</v>
      </c>
      <c r="P11" s="10" t="n">
        <f aca="false">base_fleet!V13</f>
        <v>234</v>
      </c>
      <c r="Q11" s="10" t="n">
        <f aca="false">base_fleet!AD13</f>
        <v>8180</v>
      </c>
      <c r="R11" s="10" t="n">
        <f aca="false">base_fleet!Y13</f>
        <v>1075</v>
      </c>
      <c r="S11" s="10" t="n">
        <f aca="false">base_fleet!U13</f>
        <v>477</v>
      </c>
      <c r="T11" s="9" t="n">
        <f aca="false">base_fleet!Z13+base_fleet!AE13</f>
        <v>2</v>
      </c>
      <c r="U11" s="10" t="n">
        <f aca="false">base_fleet!X13+base_fleet!AC13+base_fleet!AH13</f>
        <v>22</v>
      </c>
      <c r="V11" s="10" t="n">
        <f aca="false">base_fleet!AI13</f>
        <v>4624</v>
      </c>
      <c r="W11" s="10" t="n">
        <f aca="false">base_fleet!AM13</f>
        <v>767</v>
      </c>
      <c r="X11" s="10" t="n">
        <f aca="false">base_fleet!AP13</f>
        <v>590</v>
      </c>
      <c r="Y11" s="10" t="n">
        <f aca="false">base_fleet!AS13</f>
        <v>237</v>
      </c>
      <c r="Z11" s="10" t="n">
        <f aca="false">base_fleet!AU13</f>
        <v>421</v>
      </c>
      <c r="AA11" s="10" t="n">
        <f aca="false">base_fleet!AW13</f>
        <v>216</v>
      </c>
      <c r="AB11" s="10" t="n">
        <f aca="false">base_fleet!AY13/2</f>
        <v>13.5</v>
      </c>
      <c r="AC11" s="10" t="n">
        <f aca="false">base_fleet!AY13/2</f>
        <v>13.5</v>
      </c>
      <c r="AD11" s="9" t="n">
        <f aca="false">base_fleet!BB13</f>
        <v>31</v>
      </c>
      <c r="AE11" s="9" t="n">
        <f aca="false">base_fleet!AK13</f>
        <v>58</v>
      </c>
      <c r="AF11" s="9" t="n">
        <f aca="false">base_fleet!AO13</f>
        <v>10</v>
      </c>
      <c r="AG11" s="9" t="n">
        <f aca="false">base_fleet!AR13</f>
        <v>3</v>
      </c>
      <c r="AH11" s="9" t="n">
        <f aca="false">base_fleet!AT13</f>
        <v>3</v>
      </c>
      <c r="AI11" s="9" t="n">
        <f aca="false">base_fleet!AV13</f>
        <v>3</v>
      </c>
      <c r="AJ11" s="9" t="n">
        <f aca="false">base_fleet!AX13</f>
        <v>2</v>
      </c>
      <c r="AK11" s="9" t="n">
        <f aca="false">base_fleet!AZ13</f>
        <v>0</v>
      </c>
      <c r="AL11" s="9" t="n">
        <f aca="false">base_fleet!BC13</f>
        <v>0</v>
      </c>
      <c r="AM11" s="9" t="n">
        <v>0</v>
      </c>
      <c r="AN11" s="9" t="n">
        <f aca="false">base_fleet!BD13</f>
        <v>207</v>
      </c>
      <c r="AO11" s="9" t="n">
        <f aca="false">base_fleet!BE13</f>
        <v>162</v>
      </c>
      <c r="AP11" s="9" t="n">
        <f aca="false">base_fleet!BF13</f>
        <v>115</v>
      </c>
      <c r="AQ11" s="9" t="n">
        <f aca="false">base_fleet!BG13</f>
        <v>134</v>
      </c>
      <c r="AR11" s="9" t="n">
        <f aca="false">base_fleet!BH13</f>
        <v>71</v>
      </c>
      <c r="AS11" s="9" t="n">
        <f aca="false">base_fleet!BI13</f>
        <v>1</v>
      </c>
      <c r="AT11" s="9" t="n">
        <f aca="false">base_fleet!AQ13+base_fleet!AN13+base_fleet!AJ13</f>
        <v>0</v>
      </c>
      <c r="AU11" s="9" t="n">
        <f aca="false">base_fleet!BL13</f>
        <v>1017.45</v>
      </c>
      <c r="AV11" s="9" t="n">
        <f aca="false">base_fleet!BJ13</f>
        <v>107.95</v>
      </c>
      <c r="AW11" s="9" t="n">
        <f aca="false">base_fleet!BN13</f>
        <v>16.15</v>
      </c>
      <c r="AX11" s="9" t="n">
        <f aca="false">base_fleet!BM13</f>
        <v>9.35</v>
      </c>
      <c r="AY11" s="9" t="n">
        <f aca="false">base_fleet!BK13</f>
        <v>0</v>
      </c>
      <c r="AZ11" s="9" t="n">
        <f aca="false">base_fleet!BO13</f>
        <v>0</v>
      </c>
      <c r="BA11" s="9" t="n">
        <f aca="false">base_fleet!BP13</f>
        <v>220.05</v>
      </c>
      <c r="BB11" s="9" t="n">
        <f aca="false">base_fleet!BR13</f>
        <v>12</v>
      </c>
      <c r="BC11" s="9" t="n">
        <f aca="false">base_fleet!BQ13</f>
        <v>1.8</v>
      </c>
      <c r="BD11" s="9" t="n">
        <f aca="false">base_fleet!BS13</f>
        <v>0</v>
      </c>
      <c r="BE11" s="9" t="n">
        <v>0</v>
      </c>
      <c r="BF11" s="9" t="n">
        <v>0</v>
      </c>
      <c r="BG11" s="9" t="n">
        <f aca="false">base_fleet!CE13</f>
        <v>0</v>
      </c>
      <c r="BH11" s="9" t="n">
        <f aca="false">base_fleet!CA13</f>
        <v>14436</v>
      </c>
      <c r="BI11" s="9" t="n">
        <f aca="false">base_fleet!BV13</f>
        <v>100</v>
      </c>
      <c r="BJ11" s="9" t="n">
        <f aca="false">base_fleet!CH13</f>
        <v>0</v>
      </c>
      <c r="BK11" s="9" t="n">
        <f aca="false">base_fleet!BU13+base_fleet!BZ13+base_fleet!CD13</f>
        <v>0</v>
      </c>
    </row>
    <row r="12" customFormat="false" ht="12.8" hidden="false" customHeight="false" outlineLevel="0" collapsed="false">
      <c r="A12" s="0" t="n">
        <f aca="false">A11-1</f>
        <v>2007</v>
      </c>
      <c r="B12" s="9" t="n">
        <f aca="false">base_fleet!H14</f>
        <v>16222</v>
      </c>
      <c r="C12" s="9" t="n">
        <f aca="false">base_fleet!M14*0.95</f>
        <v>13208.8</v>
      </c>
      <c r="D12" s="9" t="n">
        <f aca="false">base_fleet!D14</f>
        <v>13</v>
      </c>
      <c r="E12" s="9" t="n">
        <f aca="false">base_fleet!R14</f>
        <v>11998</v>
      </c>
      <c r="F12" s="9" t="n">
        <f aca="false">base_fleet!F14</f>
        <v>125</v>
      </c>
      <c r="G12" s="9" t="n">
        <f aca="false">base_fleet!K14</f>
        <v>196</v>
      </c>
      <c r="H12" s="9" t="n">
        <f aca="false">base_fleet!B14</f>
        <v>2</v>
      </c>
      <c r="I12" s="9" t="n">
        <f aca="false">base_fleet!P14</f>
        <v>955</v>
      </c>
      <c r="J12" s="9" t="n">
        <f aca="false">base_fleet!C14+base_fleet!G14+base_fleet!L14+base_fleet!Q14</f>
        <v>1</v>
      </c>
      <c r="K12" s="9" t="n">
        <f aca="false">base_fleet!E14+base_fleet!J14+base_fleet!O14+base_fleet!T14</f>
        <v>1</v>
      </c>
      <c r="L12" s="9" t="n">
        <f aca="false">base_fleet!M14*0.05</f>
        <v>695.2</v>
      </c>
      <c r="M12" s="9" t="n">
        <f aca="false">base_fleet!I14+base_fleet!N14+base_fleet!S14</f>
        <v>10</v>
      </c>
      <c r="N12" s="9" t="n">
        <f aca="false">base_fleet!AF14</f>
        <v>11246</v>
      </c>
      <c r="O12" s="9" t="n">
        <f aca="false">base_fleet!AA14</f>
        <v>1780</v>
      </c>
      <c r="P12" s="10" t="n">
        <f aca="false">base_fleet!V14</f>
        <v>207</v>
      </c>
      <c r="Q12" s="10" t="n">
        <f aca="false">base_fleet!AD14</f>
        <v>3603</v>
      </c>
      <c r="R12" s="10" t="n">
        <f aca="false">base_fleet!Y14</f>
        <v>815</v>
      </c>
      <c r="S12" s="10" t="n">
        <f aca="false">base_fleet!U14</f>
        <v>295</v>
      </c>
      <c r="T12" s="9" t="n">
        <f aca="false">base_fleet!Z14+base_fleet!AE14</f>
        <v>0</v>
      </c>
      <c r="U12" s="10" t="n">
        <f aca="false">base_fleet!X14+base_fleet!AC14+base_fleet!AH14</f>
        <v>0</v>
      </c>
      <c r="V12" s="10" t="n">
        <f aca="false">base_fleet!AI14</f>
        <v>4223</v>
      </c>
      <c r="W12" s="10" t="n">
        <f aca="false">base_fleet!AM14</f>
        <v>616</v>
      </c>
      <c r="X12" s="10" t="n">
        <f aca="false">base_fleet!AP14</f>
        <v>550</v>
      </c>
      <c r="Y12" s="10" t="n">
        <f aca="false">base_fleet!AS14</f>
        <v>152</v>
      </c>
      <c r="Z12" s="10" t="n">
        <f aca="false">base_fleet!AU14</f>
        <v>252</v>
      </c>
      <c r="AA12" s="10" t="n">
        <f aca="false">base_fleet!AW14</f>
        <v>112</v>
      </c>
      <c r="AB12" s="10" t="n">
        <f aca="false">base_fleet!AY14/2</f>
        <v>3.5</v>
      </c>
      <c r="AC12" s="10" t="n">
        <f aca="false">base_fleet!AY14/2</f>
        <v>3.5</v>
      </c>
      <c r="AD12" s="9" t="n">
        <f aca="false">base_fleet!BB14</f>
        <v>23</v>
      </c>
      <c r="AE12" s="9" t="n">
        <f aca="false">base_fleet!AK14</f>
        <v>60</v>
      </c>
      <c r="AF12" s="9" t="n">
        <f aca="false">base_fleet!AO14</f>
        <v>4</v>
      </c>
      <c r="AG12" s="9" t="n">
        <f aca="false">base_fleet!AR14</f>
        <v>2</v>
      </c>
      <c r="AH12" s="9" t="n">
        <f aca="false">base_fleet!AT14</f>
        <v>3</v>
      </c>
      <c r="AI12" s="9" t="n">
        <f aca="false">base_fleet!AV14</f>
        <v>3</v>
      </c>
      <c r="AJ12" s="9" t="n">
        <f aca="false">base_fleet!AX14</f>
        <v>2</v>
      </c>
      <c r="AK12" s="9" t="n">
        <f aca="false">base_fleet!AZ14</f>
        <v>0</v>
      </c>
      <c r="AL12" s="9" t="n">
        <f aca="false">base_fleet!BC14</f>
        <v>0</v>
      </c>
      <c r="AM12" s="9" t="n">
        <v>0</v>
      </c>
      <c r="AN12" s="9" t="n">
        <f aca="false">base_fleet!BD14</f>
        <v>143</v>
      </c>
      <c r="AO12" s="9" t="n">
        <f aca="false">base_fleet!BE14</f>
        <v>119</v>
      </c>
      <c r="AP12" s="9" t="n">
        <f aca="false">base_fleet!BF14</f>
        <v>80</v>
      </c>
      <c r="AQ12" s="9" t="n">
        <f aca="false">base_fleet!BG14</f>
        <v>54</v>
      </c>
      <c r="AR12" s="9" t="n">
        <f aca="false">base_fleet!BH14</f>
        <v>49</v>
      </c>
      <c r="AS12" s="9" t="n">
        <f aca="false">base_fleet!BI14</f>
        <v>0</v>
      </c>
      <c r="AT12" s="9" t="n">
        <f aca="false">base_fleet!AQ14+base_fleet!AN14+base_fleet!AJ14</f>
        <v>1</v>
      </c>
      <c r="AU12" s="9" t="n">
        <f aca="false">base_fleet!BL14</f>
        <v>918.000000000001</v>
      </c>
      <c r="AV12" s="9" t="n">
        <f aca="false">base_fleet!BJ14</f>
        <v>43.35</v>
      </c>
      <c r="AW12" s="9" t="n">
        <f aca="false">base_fleet!BN14</f>
        <v>1.7</v>
      </c>
      <c r="AX12" s="9" t="n">
        <f aca="false">base_fleet!BM14</f>
        <v>6.8</v>
      </c>
      <c r="AY12" s="9" t="n">
        <f aca="false">base_fleet!BK14</f>
        <v>0.85</v>
      </c>
      <c r="AZ12" s="9" t="n">
        <f aca="false">base_fleet!BO14</f>
        <v>0</v>
      </c>
      <c r="BA12" s="9" t="n">
        <f aca="false">base_fleet!BP14</f>
        <v>237.9</v>
      </c>
      <c r="BB12" s="9" t="n">
        <f aca="false">base_fleet!BR14</f>
        <v>10.8</v>
      </c>
      <c r="BC12" s="9" t="n">
        <f aca="false">base_fleet!BQ14</f>
        <v>1.8</v>
      </c>
      <c r="BD12" s="9" t="n">
        <f aca="false">base_fleet!BS14</f>
        <v>0</v>
      </c>
      <c r="BE12" s="9" t="n">
        <v>0</v>
      </c>
      <c r="BF12" s="9" t="n">
        <v>0</v>
      </c>
      <c r="BG12" s="9" t="n">
        <f aca="false">base_fleet!CE14</f>
        <v>146</v>
      </c>
      <c r="BH12" s="9" t="n">
        <f aca="false">base_fleet!CA14</f>
        <v>12951</v>
      </c>
      <c r="BI12" s="9" t="n">
        <f aca="false">base_fleet!BV14</f>
        <v>92</v>
      </c>
      <c r="BJ12" s="9" t="n">
        <f aca="false">base_fleet!CH14</f>
        <v>1</v>
      </c>
      <c r="BK12" s="9" t="n">
        <f aca="false">base_fleet!BU14+base_fleet!BZ14+base_fleet!CD14</f>
        <v>0</v>
      </c>
    </row>
    <row r="13" customFormat="false" ht="12.8" hidden="false" customHeight="false" outlineLevel="0" collapsed="false">
      <c r="A13" s="0" t="n">
        <f aca="false">A12-1</f>
        <v>2006</v>
      </c>
      <c r="B13" s="9" t="n">
        <f aca="false">base_fleet!H15</f>
        <v>13552</v>
      </c>
      <c r="C13" s="9" t="n">
        <f aca="false">base_fleet!M15*0.95</f>
        <v>16204.15</v>
      </c>
      <c r="D13" s="9" t="n">
        <f aca="false">base_fleet!D15</f>
        <v>51</v>
      </c>
      <c r="E13" s="9" t="n">
        <f aca="false">base_fleet!R15</f>
        <v>12471</v>
      </c>
      <c r="F13" s="11" t="n">
        <f aca="false">$B$13/$B$12*F12</f>
        <v>104.426088028603</v>
      </c>
      <c r="G13" s="11" t="n">
        <f aca="false">$B$13/$B$12*G12</f>
        <v>163.74010602885</v>
      </c>
      <c r="H13" s="11" t="n">
        <f aca="false">$B$13/$B$12*H12</f>
        <v>1.67081740845765</v>
      </c>
      <c r="I13" s="9" t="n">
        <f aca="false">base_fleet!P15</f>
        <v>1365</v>
      </c>
      <c r="J13" s="9" t="n">
        <f aca="false">base_fleet!C15+base_fleet!G15+base_fleet!L15+base_fleet!Q15</f>
        <v>1</v>
      </c>
      <c r="K13" s="9" t="n">
        <f aca="false">base_fleet!E15+base_fleet!J15+base_fleet!O15+base_fleet!T15</f>
        <v>2</v>
      </c>
      <c r="L13" s="9" t="n">
        <f aca="false">base_fleet!M15*0.05</f>
        <v>852.85</v>
      </c>
      <c r="M13" s="9" t="n">
        <f aca="false">base_fleet!I15+base_fleet!N15+base_fleet!S15</f>
        <v>25</v>
      </c>
      <c r="N13" s="9" t="n">
        <f aca="false">base_fleet!AF15</f>
        <v>12755</v>
      </c>
      <c r="O13" s="9" t="n">
        <f aca="false">base_fleet!AA15</f>
        <v>1521</v>
      </c>
      <c r="P13" s="10" t="n">
        <f aca="false">base_fleet!V15</f>
        <v>197</v>
      </c>
      <c r="Q13" s="10" t="n">
        <f aca="false">base_fleet!AD15</f>
        <v>2611</v>
      </c>
      <c r="R13" s="10" t="n">
        <f aca="false">base_fleet!Y15</f>
        <v>342</v>
      </c>
      <c r="S13" s="10" t="n">
        <f aca="false">base_fleet!U15</f>
        <v>206</v>
      </c>
      <c r="T13" s="9" t="n">
        <f aca="false">base_fleet!Z15+base_fleet!AE15</f>
        <v>0</v>
      </c>
      <c r="U13" s="10" t="n">
        <f aca="false">base_fleet!X15+base_fleet!AC15+base_fleet!AH15</f>
        <v>0</v>
      </c>
      <c r="V13" s="10" t="n">
        <f aca="false">base_fleet!AI15</f>
        <v>4542</v>
      </c>
      <c r="W13" s="10" t="n">
        <f aca="false">base_fleet!AM15</f>
        <v>633</v>
      </c>
      <c r="X13" s="10" t="n">
        <f aca="false">base_fleet!AP15</f>
        <v>313</v>
      </c>
      <c r="Y13" s="10" t="n">
        <f aca="false">base_fleet!AS15</f>
        <v>117</v>
      </c>
      <c r="Z13" s="10" t="n">
        <f aca="false">base_fleet!AU15</f>
        <v>195</v>
      </c>
      <c r="AA13" s="10" t="n">
        <f aca="false">base_fleet!AW15</f>
        <v>36</v>
      </c>
      <c r="AB13" s="10" t="n">
        <f aca="false">base_fleet!AY15/2</f>
        <v>0.5</v>
      </c>
      <c r="AC13" s="10" t="n">
        <f aca="false">base_fleet!AY15/2</f>
        <v>0.5</v>
      </c>
      <c r="AD13" s="9" t="n">
        <f aca="false">base_fleet!BB15</f>
        <v>14</v>
      </c>
      <c r="AE13" s="9" t="n">
        <f aca="false">base_fleet!AK15</f>
        <v>71</v>
      </c>
      <c r="AF13" s="9" t="n">
        <f aca="false">base_fleet!AO15</f>
        <v>7</v>
      </c>
      <c r="AG13" s="9" t="n">
        <f aca="false">base_fleet!AR15</f>
        <v>3</v>
      </c>
      <c r="AH13" s="9" t="n">
        <f aca="false">base_fleet!AT15</f>
        <v>2</v>
      </c>
      <c r="AI13" s="9" t="n">
        <f aca="false">base_fleet!AV15</f>
        <v>5</v>
      </c>
      <c r="AJ13" s="9" t="n">
        <f aca="false">base_fleet!AX15</f>
        <v>0</v>
      </c>
      <c r="AK13" s="9" t="n">
        <f aca="false">base_fleet!AZ15</f>
        <v>0</v>
      </c>
      <c r="AL13" s="9" t="n">
        <f aca="false">base_fleet!BC15</f>
        <v>0</v>
      </c>
      <c r="AM13" s="9" t="n">
        <v>0</v>
      </c>
      <c r="AN13" s="9" t="n">
        <f aca="false">base_fleet!BD15</f>
        <v>100</v>
      </c>
      <c r="AO13" s="9" t="n">
        <f aca="false">base_fleet!BE15</f>
        <v>57</v>
      </c>
      <c r="AP13" s="9" t="n">
        <f aca="false">base_fleet!BF15</f>
        <v>41</v>
      </c>
      <c r="AQ13" s="9" t="n">
        <f aca="false">base_fleet!BG15</f>
        <v>44</v>
      </c>
      <c r="AR13" s="9" t="n">
        <f aca="false">base_fleet!BH15</f>
        <v>58</v>
      </c>
      <c r="AS13" s="9" t="n">
        <f aca="false">base_fleet!BI15</f>
        <v>0</v>
      </c>
      <c r="AT13" s="9" t="n">
        <f aca="false">base_fleet!AQ15+base_fleet!AN15+base_fleet!AJ15</f>
        <v>0</v>
      </c>
      <c r="AU13" s="9" t="n">
        <f aca="false">base_fleet!BL15</f>
        <v>729.3</v>
      </c>
      <c r="AV13" s="9" t="n">
        <f aca="false">base_fleet!BJ15</f>
        <v>189.55</v>
      </c>
      <c r="AW13" s="9" t="n">
        <f aca="false">base_fleet!BN15</f>
        <v>7.65</v>
      </c>
      <c r="AX13" s="9" t="n">
        <f aca="false">base_fleet!BM15</f>
        <v>7.65</v>
      </c>
      <c r="AY13" s="9" t="n">
        <f aca="false">base_fleet!BK15</f>
        <v>0</v>
      </c>
      <c r="AZ13" s="9" t="n">
        <f aca="false">base_fleet!BO15</f>
        <v>0</v>
      </c>
      <c r="BA13" s="9" t="n">
        <f aca="false">base_fleet!BP15</f>
        <v>179.1</v>
      </c>
      <c r="BB13" s="9" t="n">
        <f aca="false">base_fleet!BR15</f>
        <v>3</v>
      </c>
      <c r="BC13" s="9" t="n">
        <f aca="false">base_fleet!BQ15</f>
        <v>0.3</v>
      </c>
      <c r="BD13" s="9" t="n">
        <f aca="false">base_fleet!BS15</f>
        <v>0</v>
      </c>
      <c r="BE13" s="9" t="n">
        <v>0</v>
      </c>
      <c r="BF13" s="9" t="n">
        <v>0</v>
      </c>
      <c r="BG13" s="9" t="n">
        <f aca="false">base_fleet!CE15</f>
        <v>834</v>
      </c>
      <c r="BH13" s="9" t="n">
        <f aca="false">base_fleet!CA15</f>
        <v>8597</v>
      </c>
      <c r="BI13" s="9" t="n">
        <f aca="false">base_fleet!BV15</f>
        <v>78</v>
      </c>
      <c r="BJ13" s="9" t="n">
        <f aca="false">base_fleet!CH15</f>
        <v>0</v>
      </c>
      <c r="BK13" s="9" t="n">
        <f aca="false">base_fleet!BU15+base_fleet!BZ15+base_fleet!CD15</f>
        <v>0</v>
      </c>
    </row>
    <row r="14" customFormat="false" ht="12.8" hidden="false" customHeight="false" outlineLevel="0" collapsed="false">
      <c r="A14" s="0" t="n">
        <f aca="false">A13-1</f>
        <v>2005</v>
      </c>
      <c r="B14" s="11" t="n">
        <f aca="false">$B$13/$B$12*B13</f>
        <v>11321.458759709</v>
      </c>
      <c r="C14" s="9" t="n">
        <f aca="false">base_fleet!M16*0.95</f>
        <v>24537.55</v>
      </c>
      <c r="D14" s="9" t="n">
        <f aca="false">base_fleet!D16</f>
        <v>10</v>
      </c>
      <c r="E14" s="9" t="n">
        <f aca="false">base_fleet!R16</f>
        <v>8744</v>
      </c>
      <c r="F14" s="11" t="n">
        <f aca="false">$B$13/$B$12*F13</f>
        <v>87.2384628876606</v>
      </c>
      <c r="G14" s="11" t="n">
        <f aca="false">$B$13/$B$12*G13</f>
        <v>136.789909807852</v>
      </c>
      <c r="H14" s="11" t="n">
        <f aca="false">$B$13/$B$12*H13</f>
        <v>1.39581540620257</v>
      </c>
      <c r="I14" s="9" t="n">
        <f aca="false">base_fleet!P16</f>
        <v>1080</v>
      </c>
      <c r="J14" s="9" t="n">
        <f aca="false">base_fleet!C16+base_fleet!G16+base_fleet!L16+base_fleet!Q16</f>
        <v>0</v>
      </c>
      <c r="K14" s="9" t="n">
        <f aca="false">base_fleet!E16+base_fleet!J16+base_fleet!O16+base_fleet!T16</f>
        <v>0</v>
      </c>
      <c r="L14" s="9" t="n">
        <f aca="false">base_fleet!M16*0.05</f>
        <v>1291.45</v>
      </c>
      <c r="M14" s="9" t="n">
        <f aca="false">base_fleet!I16+base_fleet!N16+base_fleet!S16</f>
        <v>6</v>
      </c>
      <c r="N14" s="9" t="n">
        <f aca="false">base_fleet!AF16</f>
        <v>11361</v>
      </c>
      <c r="O14" s="9" t="n">
        <f aca="false">base_fleet!AA16</f>
        <v>906</v>
      </c>
      <c r="P14" s="10" t="n">
        <f aca="false">base_fleet!V16</f>
        <v>429</v>
      </c>
      <c r="Q14" s="10" t="n">
        <f aca="false">base_fleet!AD16</f>
        <v>2421</v>
      </c>
      <c r="R14" s="10" t="n">
        <f aca="false">base_fleet!Y16</f>
        <v>232</v>
      </c>
      <c r="S14" s="10" t="n">
        <f aca="false">base_fleet!U16</f>
        <v>101</v>
      </c>
      <c r="T14" s="9" t="n">
        <f aca="false">base_fleet!Z16+base_fleet!AE16</f>
        <v>0</v>
      </c>
      <c r="U14" s="10" t="n">
        <f aca="false">base_fleet!X16+base_fleet!AC16+base_fleet!AH16</f>
        <v>1</v>
      </c>
      <c r="V14" s="10" t="n">
        <f aca="false">base_fleet!AI16</f>
        <v>3215</v>
      </c>
      <c r="W14" s="10" t="n">
        <f aca="false">base_fleet!AM16</f>
        <v>673</v>
      </c>
      <c r="X14" s="10" t="n">
        <f aca="false">base_fleet!AP16</f>
        <v>151</v>
      </c>
      <c r="Y14" s="10" t="n">
        <f aca="false">base_fleet!AS16</f>
        <v>114</v>
      </c>
      <c r="Z14" s="10" t="n">
        <f aca="false">base_fleet!AU16</f>
        <v>228</v>
      </c>
      <c r="AA14" s="10" t="n">
        <f aca="false">base_fleet!AW16</f>
        <v>45</v>
      </c>
      <c r="AB14" s="10" t="n">
        <f aca="false">base_fleet!AY16/2</f>
        <v>1.5</v>
      </c>
      <c r="AC14" s="10" t="n">
        <f aca="false">base_fleet!AY16/2</f>
        <v>1.5</v>
      </c>
      <c r="AD14" s="9" t="n">
        <f aca="false">base_fleet!BB16</f>
        <v>13</v>
      </c>
      <c r="AE14" s="9" t="n">
        <f aca="false">base_fleet!AK16</f>
        <v>65</v>
      </c>
      <c r="AF14" s="9" t="n">
        <f aca="false">base_fleet!AO16</f>
        <v>8</v>
      </c>
      <c r="AG14" s="9" t="n">
        <f aca="false">base_fleet!AR16</f>
        <v>0</v>
      </c>
      <c r="AH14" s="9" t="n">
        <f aca="false">base_fleet!AT16</f>
        <v>2</v>
      </c>
      <c r="AI14" s="9" t="n">
        <f aca="false">base_fleet!AV16</f>
        <v>2</v>
      </c>
      <c r="AJ14" s="9" t="n">
        <f aca="false">base_fleet!AX16</f>
        <v>0</v>
      </c>
      <c r="AK14" s="9" t="n">
        <f aca="false">base_fleet!AZ16</f>
        <v>0</v>
      </c>
      <c r="AL14" s="9" t="n">
        <f aca="false">base_fleet!BC16</f>
        <v>0</v>
      </c>
      <c r="AM14" s="9" t="n">
        <v>0</v>
      </c>
      <c r="AN14" s="9" t="n">
        <f aca="false">base_fleet!BD16</f>
        <v>107</v>
      </c>
      <c r="AO14" s="9" t="n">
        <f aca="false">base_fleet!BE16</f>
        <v>89</v>
      </c>
      <c r="AP14" s="9" t="n">
        <f aca="false">base_fleet!BF16</f>
        <v>17</v>
      </c>
      <c r="AQ14" s="9" t="n">
        <f aca="false">base_fleet!BG16</f>
        <v>49</v>
      </c>
      <c r="AR14" s="9" t="n">
        <f aca="false">base_fleet!BH16</f>
        <v>30</v>
      </c>
      <c r="AS14" s="9" t="n">
        <f aca="false">base_fleet!BI16</f>
        <v>1</v>
      </c>
      <c r="AT14" s="9" t="n">
        <f aca="false">base_fleet!AQ16+base_fleet!AN16+base_fleet!AJ16</f>
        <v>1</v>
      </c>
      <c r="AU14" s="9" t="n">
        <f aca="false">base_fleet!BL16</f>
        <v>901.000000000001</v>
      </c>
      <c r="AV14" s="9" t="n">
        <f aca="false">base_fleet!BJ16</f>
        <v>368.9</v>
      </c>
      <c r="AW14" s="9" t="n">
        <f aca="false">base_fleet!BN16</f>
        <v>0.85</v>
      </c>
      <c r="AX14" s="9" t="n">
        <f aca="false">base_fleet!BM16</f>
        <v>9.35</v>
      </c>
      <c r="AY14" s="9" t="n">
        <f aca="false">base_fleet!BK16</f>
        <v>0.85</v>
      </c>
      <c r="AZ14" s="9" t="n">
        <f aca="false">base_fleet!BO16</f>
        <v>0</v>
      </c>
      <c r="BA14" s="9" t="n">
        <f aca="false">base_fleet!BP16</f>
        <v>267</v>
      </c>
      <c r="BB14" s="9" t="n">
        <f aca="false">base_fleet!BR16</f>
        <v>11.7</v>
      </c>
      <c r="BC14" s="9" t="n">
        <f aca="false">base_fleet!BQ16</f>
        <v>0.6</v>
      </c>
      <c r="BD14" s="9" t="n">
        <f aca="false">base_fleet!BS16</f>
        <v>0</v>
      </c>
      <c r="BE14" s="9" t="n">
        <v>0</v>
      </c>
      <c r="BF14" s="9" t="n">
        <v>0</v>
      </c>
      <c r="BG14" s="9" t="n">
        <f aca="false">base_fleet!CE16</f>
        <v>1079</v>
      </c>
      <c r="BH14" s="9" t="n">
        <f aca="false">base_fleet!CA16</f>
        <v>8126</v>
      </c>
      <c r="BI14" s="9" t="n">
        <f aca="false">base_fleet!BV16</f>
        <v>55</v>
      </c>
      <c r="BJ14" s="9" t="n">
        <f aca="false">base_fleet!CH16</f>
        <v>1</v>
      </c>
      <c r="BK14" s="9" t="n">
        <f aca="false">base_fleet!BU16+base_fleet!BZ16+base_fleet!CD16</f>
        <v>0</v>
      </c>
    </row>
    <row r="15" customFormat="false" ht="12.8" hidden="false" customHeight="false" outlineLevel="0" collapsed="false">
      <c r="A15" s="0" t="n">
        <f aca="false">A14-1</f>
        <v>2004</v>
      </c>
      <c r="B15" s="11" t="n">
        <f aca="false">$B$13/$B$12*B14</f>
        <v>9458.04519242861</v>
      </c>
      <c r="C15" s="9" t="n">
        <f aca="false">base_fleet!M17*0.95</f>
        <v>16937.55</v>
      </c>
      <c r="D15" s="9" t="n">
        <f aca="false">base_fleet!D17</f>
        <v>10</v>
      </c>
      <c r="E15" s="9" t="n">
        <f aca="false">base_fleet!R17</f>
        <v>7739</v>
      </c>
      <c r="F15" s="11" t="n">
        <f aca="false">$B$13/$B$12*F14</f>
        <v>72.879771239895</v>
      </c>
      <c r="G15" s="11" t="n">
        <f aca="false">$B$13/$B$12*G14</f>
        <v>114.275481304155</v>
      </c>
      <c r="H15" s="11" t="n">
        <f aca="false">$B$13/$B$12*H14</f>
        <v>1.16607633983832</v>
      </c>
      <c r="I15" s="11" t="n">
        <f aca="false">$B$13/$B$12*I14</f>
        <v>902.241400567131</v>
      </c>
      <c r="J15" s="9" t="n">
        <f aca="false">base_fleet!C17+base_fleet!G17+base_fleet!L17+base_fleet!Q17</f>
        <v>0</v>
      </c>
      <c r="K15" s="9" t="n">
        <f aca="false">base_fleet!E17+base_fleet!J17+base_fleet!O17+base_fleet!T17</f>
        <v>0</v>
      </c>
      <c r="L15" s="11" t="n">
        <f aca="false">$B$13/$B$12*L14</f>
        <v>1078.88857107632</v>
      </c>
      <c r="M15" s="9" t="n">
        <f aca="false">base_fleet!I17+base_fleet!N17</f>
        <v>0</v>
      </c>
      <c r="N15" s="9" t="n">
        <f aca="false">base_fleet!AF17</f>
        <v>10904</v>
      </c>
      <c r="O15" s="9" t="n">
        <f aca="false">base_fleet!AA17</f>
        <v>171</v>
      </c>
      <c r="P15" s="10" t="n">
        <f aca="false">base_fleet!V17</f>
        <v>763</v>
      </c>
      <c r="Q15" s="10" t="n">
        <f aca="false">base_fleet!AD17</f>
        <v>2084</v>
      </c>
      <c r="R15" s="10" t="n">
        <f aca="false">base_fleet!Y17</f>
        <v>296</v>
      </c>
      <c r="S15" s="10" t="n">
        <f aca="false">base_fleet!U17</f>
        <v>112</v>
      </c>
      <c r="T15" s="9" t="n">
        <f aca="false">base_fleet!Z17+base_fleet!AE17</f>
        <v>0</v>
      </c>
      <c r="U15" s="10" t="n">
        <f aca="false">base_fleet!X17+base_fleet!AC17+base_fleet!AH17</f>
        <v>0</v>
      </c>
      <c r="V15" s="11" t="n">
        <f aca="false">$B$13/$B$12*V14</f>
        <v>2685.83898409567</v>
      </c>
      <c r="W15" s="11" t="n">
        <f aca="false">$B$13/$B$12*W14</f>
        <v>562.230057945999</v>
      </c>
      <c r="X15" s="11" t="n">
        <f aca="false">$B$13/$B$12*X14</f>
        <v>126.146714338553</v>
      </c>
      <c r="Y15" s="11" t="n">
        <f aca="false">$B$13/$B$12*Y14</f>
        <v>95.2365922820861</v>
      </c>
      <c r="Z15" s="11" t="n">
        <f aca="false">$B$13/$B$12*Z14</f>
        <v>190.473184564172</v>
      </c>
      <c r="AA15" s="11" t="n">
        <f aca="false">$B$13/$B$12*AA14</f>
        <v>37.5933916902971</v>
      </c>
      <c r="AB15" s="11" t="n">
        <f aca="false">$B$13/$B$12*AB14</f>
        <v>1.25311305634324</v>
      </c>
      <c r="AC15" s="11" t="n">
        <f aca="false">$B$13/$B$12*AC14</f>
        <v>1.25311305634324</v>
      </c>
      <c r="AD15" s="11" t="n">
        <f aca="false">$B$13/$B$12*AD14</f>
        <v>10.8603131549747</v>
      </c>
      <c r="AE15" s="11" t="n">
        <f aca="false">$B$13/$B$12*AE14</f>
        <v>54.3015657748736</v>
      </c>
      <c r="AF15" s="11" t="n">
        <f aca="false">$B$13/$B$12*AF14</f>
        <v>6.6832696338306</v>
      </c>
      <c r="AG15" s="11" t="n">
        <f aca="false">$B$13/$B$12*AG14</f>
        <v>0</v>
      </c>
      <c r="AH15" s="11" t="n">
        <f aca="false">$B$13/$B$12*AH14</f>
        <v>1.67081740845765</v>
      </c>
      <c r="AI15" s="11" t="n">
        <f aca="false">$B$13/$B$12*AI14</f>
        <v>1.67081740845765</v>
      </c>
      <c r="AJ15" s="11" t="n">
        <f aca="false">$B$13/$B$12*AJ14</f>
        <v>0</v>
      </c>
      <c r="AK15" s="11" t="n">
        <f aca="false">$B$13/$B$12*AK14</f>
        <v>0</v>
      </c>
      <c r="AL15" s="11" t="n">
        <f aca="false">$B$13/$B$12*AL14</f>
        <v>0</v>
      </c>
      <c r="AM15" s="11" t="n">
        <f aca="false">$B$13/$B$12*AM14</f>
        <v>0</v>
      </c>
      <c r="AN15" s="11" t="n">
        <f aca="false">$B$13/$B$12*AN14</f>
        <v>89.3887313524843</v>
      </c>
      <c r="AO15" s="11" t="n">
        <f aca="false">$B$13/$B$12*AO14</f>
        <v>74.3513746763654</v>
      </c>
      <c r="AP15" s="11" t="n">
        <f aca="false">$B$13/$B$12*AP14</f>
        <v>14.20194797189</v>
      </c>
      <c r="AQ15" s="11" t="n">
        <f aca="false">$B$13/$B$12*AQ14</f>
        <v>40.9350265072124</v>
      </c>
      <c r="AR15" s="11" t="n">
        <f aca="false">$B$13/$B$12*AR14</f>
        <v>25.0622611268647</v>
      </c>
      <c r="AS15" s="11" t="n">
        <f aca="false">$B$13/$B$12*AS14</f>
        <v>0.835408704228825</v>
      </c>
      <c r="AT15" s="9" t="n">
        <f aca="false">base_fleet!AQ17+base_fleet!AN17+base_fleet!AJ17</f>
        <v>0</v>
      </c>
      <c r="AU15" s="9" t="n">
        <f aca="false">base_fleet!BL17</f>
        <v>994.5</v>
      </c>
      <c r="AV15" s="9" t="n">
        <f aca="false">base_fleet!BJ17</f>
        <v>238.85</v>
      </c>
      <c r="AW15" s="9" t="n">
        <f aca="false">base_fleet!BN17</f>
        <v>25.5</v>
      </c>
      <c r="AX15" s="9" t="n">
        <f aca="false">base_fleet!BM17</f>
        <v>10.2</v>
      </c>
      <c r="AY15" s="9" t="n">
        <f aca="false">base_fleet!BK17</f>
        <v>0</v>
      </c>
      <c r="AZ15" s="9" t="n">
        <f aca="false">base_fleet!BO17</f>
        <v>0</v>
      </c>
      <c r="BA15" s="9" t="n">
        <f aca="false">base_fleet!BP17</f>
        <v>237.75</v>
      </c>
      <c r="BB15" s="9" t="n">
        <f aca="false">base_fleet!BR17</f>
        <v>21.75</v>
      </c>
      <c r="BC15" s="9" t="n">
        <f aca="false">base_fleet!BQ17</f>
        <v>0.6</v>
      </c>
      <c r="BD15" s="9" t="n">
        <f aca="false">base_fleet!BS17</f>
        <v>0.15</v>
      </c>
      <c r="BE15" s="9" t="n">
        <v>0</v>
      </c>
      <c r="BF15" s="9" t="n">
        <v>0</v>
      </c>
      <c r="BG15" s="9" t="n">
        <f aca="false">base_fleet!CE17</f>
        <v>494</v>
      </c>
      <c r="BH15" s="9" t="n">
        <f aca="false">base_fleet!CA17</f>
        <v>3843</v>
      </c>
      <c r="BI15" s="9" t="n">
        <f aca="false">base_fleet!BV17</f>
        <v>30</v>
      </c>
      <c r="BJ15" s="9" t="n">
        <f aca="false">base_fleet!CH17</f>
        <v>0</v>
      </c>
      <c r="BK15" s="9" t="n">
        <f aca="false">base_fleet!BU17+base_fleet!BZ17+base_fleet!CD17</f>
        <v>0</v>
      </c>
    </row>
    <row r="16" customFormat="false" ht="13.2" hidden="false" customHeight="false" outlineLevel="0" collapsed="false">
      <c r="A16" s="0" t="n">
        <f aca="false">A15-1</f>
        <v>2003</v>
      </c>
      <c r="B16" s="11" t="n">
        <f aca="false">$B$13/$B$12*B15</f>
        <v>7901.33327874445</v>
      </c>
      <c r="C16" s="11" t="n">
        <f aca="false">$B$13/$B$12*C15</f>
        <v>14149.7766983109</v>
      </c>
      <c r="D16" s="11" t="n">
        <f aca="false">$B$13/$B$12*D15</f>
        <v>8.35408704228825</v>
      </c>
      <c r="E16" s="9" t="n">
        <f aca="false">base_fleet!R18</f>
        <v>5891</v>
      </c>
      <c r="F16" s="11" t="n">
        <f aca="false">$B$13/$B$12*F15</f>
        <v>60.8843952560138</v>
      </c>
      <c r="G16" s="11" t="n">
        <f aca="false">$B$13/$B$12*G15</f>
        <v>95.4667317614297</v>
      </c>
      <c r="H16" s="11" t="n">
        <f aca="false">$B$13/$B$12*H15</f>
        <v>0.974150324096221</v>
      </c>
      <c r="I16" s="11" t="n">
        <f aca="false">$B$13/$B$12*I15</f>
        <v>753.740319349387</v>
      </c>
      <c r="J16" s="9" t="n">
        <f aca="false">base_fleet!C18+base_fleet!G18+base_fleet!L18+base_fleet!Q18</f>
        <v>0</v>
      </c>
      <c r="K16" s="9" t="n">
        <f aca="false">base_fleet!E18+base_fleet!J18+base_fleet!O18+base_fleet!T18</f>
        <v>0</v>
      </c>
      <c r="L16" s="11" t="n">
        <f aca="false">$B$13/$B$12*L15</f>
        <v>901.312903170154</v>
      </c>
      <c r="M16" s="9" t="n">
        <f aca="false">base_fleet!I18+base_fleet!N18</f>
        <v>0</v>
      </c>
      <c r="N16" s="11" t="n">
        <f aca="false">$B$13/$B$12*N15</f>
        <v>9109.29651091111</v>
      </c>
      <c r="O16" s="11" t="n">
        <f aca="false">$B$13/$B$12*O15</f>
        <v>142.854888423129</v>
      </c>
      <c r="P16" s="11" t="n">
        <f aca="false">$B$13/$B$12*P15</f>
        <v>637.416841326594</v>
      </c>
      <c r="Q16" s="11" t="n">
        <f aca="false">$B$13/$B$12*Q15</f>
        <v>1740.99173961287</v>
      </c>
      <c r="R16" s="11" t="n">
        <f aca="false">$B$13/$B$12*R15</f>
        <v>247.280976451732</v>
      </c>
      <c r="S16" s="11" t="n">
        <f aca="false">$B$13/$B$12*S15</f>
        <v>93.5657748736284</v>
      </c>
      <c r="T16" s="9" t="n">
        <f aca="false">base_fleet!Z18+base_fleet!AE18</f>
        <v>1</v>
      </c>
      <c r="U16" s="10" t="n">
        <f aca="false">base_fleet!X18+base_fleet!AC18+base_fleet!AH18</f>
        <v>0</v>
      </c>
      <c r="V16" s="11" t="n">
        <f aca="false">$B$13/$B$12*V15</f>
        <v>2243.77326547063</v>
      </c>
      <c r="W16" s="11" t="n">
        <f aca="false">$B$13/$B$12*W15</f>
        <v>469.691884187165</v>
      </c>
      <c r="X16" s="11" t="n">
        <f aca="false">$B$13/$B$12*X15</f>
        <v>105.384063168294</v>
      </c>
      <c r="Y16" s="11" t="n">
        <f aca="false">$B$13/$B$12*Y15</f>
        <v>79.5614781535465</v>
      </c>
      <c r="Z16" s="11" t="n">
        <f aca="false">$B$13/$B$12*Z15</f>
        <v>159.122956307093</v>
      </c>
      <c r="AA16" s="11" t="n">
        <f aca="false">$B$13/$B$12*AA15</f>
        <v>31.4058466395578</v>
      </c>
      <c r="AB16" s="11" t="n">
        <f aca="false">$B$13/$B$12*AB15</f>
        <v>1.04686155465193</v>
      </c>
      <c r="AC16" s="11" t="n">
        <f aca="false">$B$13/$B$12*AC15</f>
        <v>1.04686155465193</v>
      </c>
      <c r="AD16" s="11" t="n">
        <f aca="false">$B$13/$B$12*AD15</f>
        <v>9.0728001403167</v>
      </c>
      <c r="AE16" s="11" t="n">
        <f aca="false">$B$13/$B$12*AE15</f>
        <v>45.3640007015835</v>
      </c>
      <c r="AF16" s="11" t="n">
        <f aca="false">$B$13/$B$12*AF15</f>
        <v>5.58326162481028</v>
      </c>
      <c r="AG16" s="11" t="n">
        <f aca="false">$B$13/$B$12*AG15</f>
        <v>0</v>
      </c>
      <c r="AH16" s="11" t="n">
        <f aca="false">$B$13/$B$12*AH15</f>
        <v>1.39581540620257</v>
      </c>
      <c r="AI16" s="11" t="n">
        <f aca="false">$B$13/$B$12*AI15</f>
        <v>1.39581540620257</v>
      </c>
      <c r="AJ16" s="11" t="n">
        <f aca="false">$B$13/$B$12*AJ15</f>
        <v>0</v>
      </c>
      <c r="AK16" s="11" t="n">
        <f aca="false">$B$13/$B$12*AK15</f>
        <v>0</v>
      </c>
      <c r="AL16" s="11" t="n">
        <f aca="false">$B$13/$B$12*AL15</f>
        <v>0</v>
      </c>
      <c r="AM16" s="11" t="n">
        <f aca="false">$B$13/$B$12*AM15</f>
        <v>0</v>
      </c>
      <c r="AN16" s="11" t="n">
        <f aca="false">$B$13/$B$12*AN15</f>
        <v>74.6761242318375</v>
      </c>
      <c r="AO16" s="11" t="n">
        <f aca="false">$B$13/$B$12*AO15</f>
        <v>62.1137855760143</v>
      </c>
      <c r="AP16" s="11" t="n">
        <f aca="false">$B$13/$B$12*AP15</f>
        <v>11.8644309527218</v>
      </c>
      <c r="AQ16" s="11" t="n">
        <f aca="false">$B$13/$B$12*AQ15</f>
        <v>34.1974774519629</v>
      </c>
      <c r="AR16" s="11" t="n">
        <f aca="false">$B$13/$B$12*AR15</f>
        <v>20.9372310930385</v>
      </c>
      <c r="AS16" s="11" t="n">
        <f aca="false">$B$13/$B$12*AS15</f>
        <v>0.697907703101285</v>
      </c>
      <c r="AT16" s="9" t="n">
        <f aca="false">base_fleet!AQ18+base_fleet!AN18+base_fleet!AJ18</f>
        <v>0</v>
      </c>
      <c r="AU16" s="9" t="n">
        <f aca="false">base_fleet!BL18</f>
        <v>957.1</v>
      </c>
      <c r="AV16" s="9" t="n">
        <f aca="false">base_fleet!BJ18</f>
        <v>87.55</v>
      </c>
      <c r="AW16" s="9" t="n">
        <f aca="false">base_fleet!BN18</f>
        <v>29.75</v>
      </c>
      <c r="AX16" s="9" t="n">
        <f aca="false">base_fleet!BM18</f>
        <v>11.05</v>
      </c>
      <c r="AY16" s="9" t="n">
        <f aca="false">base_fleet!BK18</f>
        <v>0</v>
      </c>
      <c r="AZ16" s="9" t="n">
        <f aca="false">base_fleet!BO18</f>
        <v>0.85</v>
      </c>
      <c r="BA16" s="11" t="n">
        <f aca="false">$B$13/$B$12*BA15</f>
        <v>198.618419430403</v>
      </c>
      <c r="BB16" s="11" t="n">
        <f aca="false">$B$13/$B$12*BB15</f>
        <v>18.1701393169769</v>
      </c>
      <c r="BC16" s="11" t="n">
        <f aca="false">$B$13/$B$12*BC15</f>
        <v>0.501245222537295</v>
      </c>
      <c r="BD16" s="11" t="n">
        <f aca="false">$B$13/$B$12*BD15</f>
        <v>0.125311305634324</v>
      </c>
      <c r="BE16" s="9" t="n">
        <v>0</v>
      </c>
      <c r="BF16" s="9" t="n">
        <v>0</v>
      </c>
      <c r="BG16" s="9" t="n">
        <f aca="false">base_fleet!CE18</f>
        <v>449</v>
      </c>
      <c r="BH16" s="9" t="n">
        <f aca="false">base_fleet!CA18</f>
        <v>3085</v>
      </c>
      <c r="BI16" s="9" t="n">
        <f aca="false">base_fleet!BV18</f>
        <v>19</v>
      </c>
      <c r="BJ16" s="9" t="n">
        <f aca="false">base_fleet!CH18</f>
        <v>0</v>
      </c>
      <c r="BK16" s="9" t="n">
        <f aca="false">base_fleet!BU18+base_fleet!BZ18+base_fleet!CD18</f>
        <v>0</v>
      </c>
    </row>
    <row r="17" customFormat="false" ht="13.2" hidden="false" customHeight="false" outlineLevel="0" collapsed="false">
      <c r="A17" s="0" t="n">
        <f aca="false">A16-1</f>
        <v>2002</v>
      </c>
      <c r="B17" s="11" t="n">
        <f aca="false">$B$13/$B$12*B16</f>
        <v>6600.842596076</v>
      </c>
      <c r="C17" s="11" t="n">
        <f aca="false">$B$13/$B$12*C16</f>
        <v>11820.8466166632</v>
      </c>
      <c r="D17" s="11" t="n">
        <f aca="false">$B$13/$B$12*D16</f>
        <v>6.97907703101285</v>
      </c>
      <c r="E17" s="11" t="n">
        <f aca="false">$B$13/$B$12*E16</f>
        <v>4921.39267661201</v>
      </c>
      <c r="F17" s="11" t="n">
        <f aca="false">$B$13/$B$12*F16</f>
        <v>50.8633537485821</v>
      </c>
      <c r="G17" s="11" t="n">
        <f aca="false">$B$13/$B$12*G16</f>
        <v>79.7537386777768</v>
      </c>
      <c r="H17" s="11" t="n">
        <f aca="false">$B$13/$B$12*H16</f>
        <v>0.813813659977314</v>
      </c>
      <c r="I17" s="11" t="n">
        <f aca="false">$B$13/$B$12*I16</f>
        <v>629.681223512692</v>
      </c>
      <c r="J17" s="9" t="n">
        <f aca="false">base_fleet!C19+base_fleet!G19+base_fleet!L19+base_fleet!Q19</f>
        <v>0</v>
      </c>
      <c r="K17" s="9" t="n">
        <f aca="false">base_fleet!E19+base_fleet!J19+base_fleet!O19+base_fleet!T19</f>
        <v>0</v>
      </c>
      <c r="L17" s="11" t="n">
        <f aca="false">$B$13/$B$12*L16</f>
        <v>752.964644542099</v>
      </c>
      <c r="M17" s="9" t="n">
        <f aca="false">base_fleet!I19+base_fleet!N19</f>
        <v>0</v>
      </c>
      <c r="N17" s="11" t="n">
        <f aca="false">$B$13/$B$12*N16</f>
        <v>7609.98559461641</v>
      </c>
      <c r="O17" s="11" t="n">
        <f aca="false">$B$13/$B$12*O16</f>
        <v>119.34221723032</v>
      </c>
      <c r="P17" s="11" t="n">
        <f aca="false">$B$13/$B$12*P16</f>
        <v>532.50357746628</v>
      </c>
      <c r="Q17" s="11" t="n">
        <f aca="false">$B$13/$B$12*Q16</f>
        <v>1454.43965326308</v>
      </c>
      <c r="R17" s="11" t="n">
        <f aca="false">$B$13/$B$12*R16</f>
        <v>206.58068011798</v>
      </c>
      <c r="S17" s="11" t="n">
        <f aca="false">$B$13/$B$12*S16</f>
        <v>78.1656627473439</v>
      </c>
      <c r="T17" s="9" t="n">
        <f aca="false">base_fleet!Z19+base_fleet!AE19</f>
        <v>0</v>
      </c>
      <c r="U17" s="10" t="n">
        <f aca="false">base_fleet!X19+base_fleet!AC19+base_fleet!AH19</f>
        <v>0</v>
      </c>
      <c r="V17" s="11" t="n">
        <f aca="false">$B$13/$B$12*V16</f>
        <v>1874.4677162901</v>
      </c>
      <c r="W17" s="11" t="n">
        <f aca="false">$B$13/$B$12*W16</f>
        <v>392.384688355594</v>
      </c>
      <c r="X17" s="11" t="n">
        <f aca="false">$B$13/$B$12*X16</f>
        <v>88.0387636577931</v>
      </c>
      <c r="Y17" s="11" t="n">
        <f aca="false">$B$13/$B$12*Y16</f>
        <v>66.4663513707842</v>
      </c>
      <c r="Z17" s="11" t="n">
        <f aca="false">$B$13/$B$12*Z16</f>
        <v>132.932702741568</v>
      </c>
      <c r="AA17" s="11" t="n">
        <f aca="false">$B$13/$B$12*AA16</f>
        <v>26.2367176463622</v>
      </c>
      <c r="AB17" s="11" t="n">
        <f aca="false">$B$13/$B$12*AB16</f>
        <v>0.874557254878739</v>
      </c>
      <c r="AC17" s="11" t="n">
        <f aca="false">$B$13/$B$12*AC16</f>
        <v>0.874557254878739</v>
      </c>
      <c r="AD17" s="11" t="n">
        <f aca="false">$B$13/$B$12*AD16</f>
        <v>7.57949620894908</v>
      </c>
      <c r="AE17" s="11" t="n">
        <f aca="false">$B$13/$B$12*AE16</f>
        <v>37.8974810447454</v>
      </c>
      <c r="AF17" s="11" t="n">
        <f aca="false">$B$13/$B$12*AF16</f>
        <v>4.66430535935328</v>
      </c>
      <c r="AG17" s="11" t="n">
        <f aca="false">$B$13/$B$12*AG16</f>
        <v>0</v>
      </c>
      <c r="AH17" s="11" t="n">
        <f aca="false">$B$13/$B$12*AH16</f>
        <v>1.16607633983832</v>
      </c>
      <c r="AI17" s="11" t="n">
        <f aca="false">$B$13/$B$12*AI16</f>
        <v>1.16607633983832</v>
      </c>
      <c r="AJ17" s="11" t="n">
        <f aca="false">$B$13/$B$12*AJ16</f>
        <v>0</v>
      </c>
      <c r="AK17" s="11" t="n">
        <f aca="false">$B$13/$B$12*AK16</f>
        <v>0</v>
      </c>
      <c r="AL17" s="11" t="n">
        <f aca="false">$B$13/$B$12*AL16</f>
        <v>0</v>
      </c>
      <c r="AM17" s="11" t="n">
        <f aca="false">$B$13/$B$12*AM16</f>
        <v>0</v>
      </c>
      <c r="AN17" s="11" t="n">
        <f aca="false">$B$13/$B$12*AN16</f>
        <v>62.3850841813501</v>
      </c>
      <c r="AO17" s="11" t="n">
        <f aca="false">$B$13/$B$12*AO16</f>
        <v>51.8903971228052</v>
      </c>
      <c r="AP17" s="11" t="n">
        <f aca="false">$B$13/$B$12*AP16</f>
        <v>9.91164888862572</v>
      </c>
      <c r="AQ17" s="11" t="n">
        <f aca="false">$B$13/$B$12*AQ16</f>
        <v>28.5688703260388</v>
      </c>
      <c r="AR17" s="11" t="n">
        <f aca="false">$B$13/$B$12*AR16</f>
        <v>17.4911450975748</v>
      </c>
      <c r="AS17" s="11" t="n">
        <f aca="false">$B$13/$B$12*AS16</f>
        <v>0.58303816991916</v>
      </c>
      <c r="AT17" s="9" t="n">
        <f aca="false">base_fleet!AQ19+base_fleet!AN19+base_fleet!AJ19</f>
        <v>0</v>
      </c>
      <c r="AU17" s="11" t="n">
        <f aca="false">$B$13/$B$12*AU16</f>
        <v>799.569670817408</v>
      </c>
      <c r="AV17" s="11" t="n">
        <f aca="false">$B$13/$B$12*AV16</f>
        <v>73.1400320552336</v>
      </c>
      <c r="AW17" s="11" t="n">
        <f aca="false">$B$13/$B$12*AW16</f>
        <v>24.8534089508075</v>
      </c>
      <c r="AX17" s="11" t="n">
        <f aca="false">$B$13/$B$12*AX16</f>
        <v>9.23126618172852</v>
      </c>
      <c r="AY17" s="11" t="n">
        <f aca="false">$B$13/$B$12*AY16</f>
        <v>0</v>
      </c>
      <c r="AZ17" s="11" t="n">
        <f aca="false">$B$13/$B$12*AZ16</f>
        <v>0.710097398594501</v>
      </c>
      <c r="BA17" s="11" t="n">
        <f aca="false">$B$13/$B$12*BA16</f>
        <v>165.92755641233</v>
      </c>
      <c r="BB17" s="11" t="n">
        <f aca="false">$B$13/$B$12*BB16</f>
        <v>15.1794925424529</v>
      </c>
      <c r="BC17" s="11" t="n">
        <f aca="false">$B$13/$B$12*BC16</f>
        <v>0.418744621860771</v>
      </c>
      <c r="BD17" s="11" t="n">
        <f aca="false">$B$13/$B$12*BD16</f>
        <v>0.104686155465193</v>
      </c>
      <c r="BE17" s="9" t="n">
        <v>0</v>
      </c>
      <c r="BF17" s="9" t="n">
        <v>0</v>
      </c>
      <c r="BG17" s="9" t="n">
        <f aca="false">base_fleet!CE19</f>
        <v>0</v>
      </c>
      <c r="BH17" s="9" t="n">
        <f aca="false">base_fleet!CA19</f>
        <v>0</v>
      </c>
      <c r="BI17" s="9" t="n">
        <f aca="false">base_fleet!BV19</f>
        <v>0</v>
      </c>
      <c r="BJ17" s="9" t="n">
        <f aca="false">base_fleet!CH19</f>
        <v>0</v>
      </c>
      <c r="BK17" s="9" t="n">
        <f aca="false">base_fleet!BU19+base_fleet!BZ19+base_fleet!CD19</f>
        <v>0</v>
      </c>
    </row>
    <row r="18" customFormat="false" ht="13.2" hidden="false" customHeight="false" outlineLevel="0" collapsed="false">
      <c r="A18" s="0" t="n">
        <f aca="false">A17-1</f>
        <v>2001</v>
      </c>
      <c r="B18" s="12" t="n">
        <f aca="false">$B$13/$B$12*B17</f>
        <v>5514.40136000628</v>
      </c>
      <c r="C18" s="12" t="n">
        <f aca="false">$B$13/$B$12*C17</f>
        <v>9875.23815491426</v>
      </c>
      <c r="D18" s="12" t="n">
        <f aca="false">$B$13/$B$12*D17</f>
        <v>5.8303816991916</v>
      </c>
      <c r="E18" s="12" t="n">
        <f aca="false">$B$13/$B$12*E17</f>
        <v>4111.37427896967</v>
      </c>
      <c r="F18" s="12" t="n">
        <f aca="false">$B$13/$B$12*F17</f>
        <v>42.4916884478354</v>
      </c>
      <c r="G18" s="12" t="n">
        <f aca="false">$B$13/$B$12*G17</f>
        <v>66.6269674862059</v>
      </c>
      <c r="H18" s="12" t="n">
        <f aca="false">$B$13/$B$12*H17</f>
        <v>0.679867015165366</v>
      </c>
      <c r="I18" s="12" t="n">
        <f aca="false">$B$13/$B$12*I17</f>
        <v>526.04117501196</v>
      </c>
      <c r="J18" s="13" t="n">
        <f aca="false">base_fleet!C20+base_fleet!G20+base_fleet!L20+base_fleet!Q20</f>
        <v>0</v>
      </c>
      <c r="K18" s="13" t="n">
        <f aca="false">base_fleet!E20+base_fleet!J20+base_fleet!O20+base_fleet!T20</f>
        <v>0</v>
      </c>
      <c r="L18" s="12" t="n">
        <f aca="false">$B$13/$B$12*L17</f>
        <v>629.033218027033</v>
      </c>
      <c r="M18" s="13" t="n">
        <f aca="false">base_fleet!I20+base_fleet!N20</f>
        <v>0</v>
      </c>
      <c r="N18" s="12" t="n">
        <f aca="false">$B$13/$B$12*N17</f>
        <v>6357.44820479852</v>
      </c>
      <c r="O18" s="12" t="n">
        <f aca="false">$B$13/$B$12*O17</f>
        <v>99.6995270561763</v>
      </c>
      <c r="P18" s="12" t="n">
        <f aca="false">$B$13/$B$12*P17</f>
        <v>444.858123648319</v>
      </c>
      <c r="Q18" s="12" t="n">
        <f aca="false">$B$13/$B$12*Q17</f>
        <v>1215.05154611153</v>
      </c>
      <c r="R18" s="12" t="n">
        <f aca="false">$B$13/$B$12*R17</f>
        <v>172.579298296071</v>
      </c>
      <c r="S18" s="12" t="n">
        <f aca="false">$B$13/$B$12*S17</f>
        <v>65.3002750309459</v>
      </c>
      <c r="T18" s="13" t="n">
        <f aca="false">base_fleet!Z20+base_fleet!AE20</f>
        <v>0</v>
      </c>
      <c r="U18" s="14" t="n">
        <f aca="false">base_fleet!X20+base_fleet!AC20+base_fleet!AH20</f>
        <v>0</v>
      </c>
      <c r="V18" s="12" t="n">
        <f aca="false">$B$13/$B$12*V17</f>
        <v>1565.94664598468</v>
      </c>
      <c r="W18" s="12" t="n">
        <f aca="false">$B$13/$B$12*W17</f>
        <v>327.801584058379</v>
      </c>
      <c r="X18" s="12" t="n">
        <f aca="false">$B$13/$B$12*X17</f>
        <v>73.5483494692647</v>
      </c>
      <c r="Y18" s="12" t="n">
        <f aca="false">$B$13/$B$12*Y17</f>
        <v>55.5265684734846</v>
      </c>
      <c r="Z18" s="12" t="n">
        <f aca="false">$B$13/$B$12*Z17</f>
        <v>111.053136946969</v>
      </c>
      <c r="AA18" s="12" t="n">
        <f aca="false">$B$13/$B$12*AA17</f>
        <v>21.918382292165</v>
      </c>
      <c r="AB18" s="12" t="n">
        <f aca="false">$B$13/$B$12*AB17</f>
        <v>0.730612743072166</v>
      </c>
      <c r="AC18" s="12" t="n">
        <f aca="false">$B$13/$B$12*AC17</f>
        <v>0.730612743072166</v>
      </c>
      <c r="AD18" s="12" t="n">
        <f aca="false">$B$13/$B$12*AD17</f>
        <v>6.33197710662544</v>
      </c>
      <c r="AE18" s="12" t="n">
        <f aca="false">$B$13/$B$12*AE17</f>
        <v>31.6598855331272</v>
      </c>
      <c r="AF18" s="12" t="n">
        <f aca="false">$B$13/$B$12*AF17</f>
        <v>3.89660129638489</v>
      </c>
      <c r="AG18" s="12" t="n">
        <f aca="false">$B$13/$B$12*AG17</f>
        <v>0</v>
      </c>
      <c r="AH18" s="12" t="n">
        <f aca="false">$B$13/$B$12*AH17</f>
        <v>0.974150324096221</v>
      </c>
      <c r="AI18" s="12" t="n">
        <f aca="false">$B$13/$B$12*AI17</f>
        <v>0.974150324096221</v>
      </c>
      <c r="AJ18" s="12" t="n">
        <f aca="false">$B$13/$B$12*AJ17</f>
        <v>0</v>
      </c>
      <c r="AK18" s="12" t="n">
        <f aca="false">$B$13/$B$12*AK17</f>
        <v>0</v>
      </c>
      <c r="AL18" s="12" t="n">
        <f aca="false">$B$13/$B$12*AL17</f>
        <v>0</v>
      </c>
      <c r="AM18" s="12" t="n">
        <f aca="false">$B$13/$B$12*AM17</f>
        <v>0</v>
      </c>
      <c r="AN18" s="12" t="n">
        <f aca="false">$B$13/$B$12*AN17</f>
        <v>52.1170423391479</v>
      </c>
      <c r="AO18" s="12" t="n">
        <f aca="false">$B$13/$B$12*AO17</f>
        <v>43.3496894222819</v>
      </c>
      <c r="AP18" s="12" t="n">
        <f aca="false">$B$13/$B$12*AP17</f>
        <v>8.28027775481788</v>
      </c>
      <c r="AQ18" s="12" t="n">
        <f aca="false">$B$13/$B$12*AQ17</f>
        <v>23.8666829403574</v>
      </c>
      <c r="AR18" s="12" t="n">
        <f aca="false">$B$13/$B$12*AR17</f>
        <v>14.6122548614433</v>
      </c>
      <c r="AS18" s="12" t="n">
        <f aca="false">$B$13/$B$12*AS17</f>
        <v>0.487075162048111</v>
      </c>
      <c r="AT18" s="13" t="n">
        <f aca="false">base_fleet!AQ20+base_fleet!AN20+base_fleet!AJ20</f>
        <v>0</v>
      </c>
      <c r="AU18" s="12" t="n">
        <f aca="false">$B$13/$B$12*AU17</f>
        <v>667.967462638239</v>
      </c>
      <c r="AV18" s="12" t="n">
        <f aca="false">$B$13/$B$12*AV17</f>
        <v>61.1018194065175</v>
      </c>
      <c r="AW18" s="12" t="n">
        <f aca="false">$B$13/$B$12*AW17</f>
        <v>20.7627541672632</v>
      </c>
      <c r="AX18" s="12" t="n">
        <f aca="false">$B$13/$B$12*AX17</f>
        <v>7.7118801192692</v>
      </c>
      <c r="AY18" s="12" t="n">
        <f aca="false">$B$13/$B$12*AY17</f>
        <v>0</v>
      </c>
      <c r="AZ18" s="12" t="n">
        <f aca="false">$B$13/$B$12*AZ17</f>
        <v>0.593221547636092</v>
      </c>
      <c r="BA18" s="12" t="n">
        <f aca="false">$B$13/$B$12*BA17</f>
        <v>138.61732489828</v>
      </c>
      <c r="BB18" s="12" t="n">
        <f aca="false">$B$13/$B$12*BB17</f>
        <v>12.6810801957417</v>
      </c>
      <c r="BC18" s="12" t="n">
        <f aca="false">$B$13/$B$12*BC17</f>
        <v>0.349822901951496</v>
      </c>
      <c r="BD18" s="12" t="n">
        <f aca="false">$B$13/$B$12*BD17</f>
        <v>0.0874557254878739</v>
      </c>
      <c r="BE18" s="13" t="n">
        <v>0</v>
      </c>
      <c r="BF18" s="13" t="n">
        <v>0</v>
      </c>
      <c r="BG18" s="13" t="n">
        <f aca="false">base_fleet!CE20</f>
        <v>0</v>
      </c>
      <c r="BH18" s="13" t="n">
        <f aca="false">base_fleet!CA20</f>
        <v>0</v>
      </c>
      <c r="BI18" s="13" t="n">
        <f aca="false">base_fleet!BV20</f>
        <v>0</v>
      </c>
      <c r="BJ18" s="13" t="n">
        <f aca="false">base_fleet!CH20</f>
        <v>0</v>
      </c>
      <c r="BK18" s="13" t="n">
        <f aca="false">base_fleet!BU20+base_fleet!BZ20+base_fleet!CD20</f>
        <v>0</v>
      </c>
    </row>
    <row r="19" customFormat="false" ht="13.2" hidden="false" customHeight="false" outlineLevel="0" collapsed="false">
      <c r="A19" s="0" t="n">
        <f aca="false">A18-1</f>
        <v>2000</v>
      </c>
      <c r="B19" s="12" t="n">
        <f aca="false">$B$13/$B$12*B18</f>
        <v>4606.77889476052</v>
      </c>
      <c r="C19" s="12" t="n">
        <f aca="false">$B$13/$B$12*C18</f>
        <v>8249.85991094798</v>
      </c>
      <c r="D19" s="12" t="n">
        <f aca="false">$B$13/$B$12*D18</f>
        <v>4.87075162048111</v>
      </c>
      <c r="E19" s="12" t="n">
        <f aca="false">$B$13/$B$12*E18</f>
        <v>3434.67785899377</v>
      </c>
      <c r="F19" s="12" t="n">
        <f aca="false">$B$13/$B$12*F18</f>
        <v>35.4979263867011</v>
      </c>
      <c r="G19" s="12" t="n">
        <f aca="false">$B$13/$B$12*G18</f>
        <v>55.6607485743473</v>
      </c>
      <c r="H19" s="12" t="n">
        <f aca="false">$B$13/$B$12*H18</f>
        <v>0.567966822187217</v>
      </c>
      <c r="I19" s="12" t="n">
        <f aca="false">$B$13/$B$12*I18</f>
        <v>439.45937638775</v>
      </c>
      <c r="J19" s="13" t="n">
        <f aca="false">base_fleet!C21+base_fleet!G21+base_fleet!L21+base_fleet!Q21</f>
        <v>0</v>
      </c>
      <c r="K19" s="13" t="n">
        <f aca="false">base_fleet!E21+base_fleet!J21+base_fleet!O21+base_fleet!T21</f>
        <v>0</v>
      </c>
      <c r="L19" s="12" t="n">
        <f aca="false">$B$13/$B$12*L18</f>
        <v>525.499825588851</v>
      </c>
      <c r="M19" s="13" t="n">
        <f aca="false">base_fleet!I21+base_fleet!N21</f>
        <v>0</v>
      </c>
      <c r="N19" s="12" t="n">
        <f aca="false">$B$13/$B$12*N18</f>
        <v>5311.0675669726</v>
      </c>
      <c r="O19" s="12" t="n">
        <f aca="false">$B$13/$B$12*O18</f>
        <v>83.2898527102269</v>
      </c>
      <c r="P19" s="12" t="n">
        <f aca="false">$B$13/$B$12*P18</f>
        <v>371.638348642708</v>
      </c>
      <c r="Q19" s="12" t="n">
        <f aca="false">$B$13/$B$12*Q18</f>
        <v>1015.06463770826</v>
      </c>
      <c r="R19" s="12" t="n">
        <f aca="false">$B$13/$B$12*R18</f>
        <v>144.174247966241</v>
      </c>
      <c r="S19" s="12" t="n">
        <f aca="false">$B$13/$B$12*S18</f>
        <v>54.5524181493884</v>
      </c>
      <c r="T19" s="13" t="n">
        <f aca="false">base_fleet!Z21+base_fleet!AE21</f>
        <v>0</v>
      </c>
      <c r="U19" s="14" t="n">
        <f aca="false">base_fleet!X21+base_fleet!AC21+base_fleet!AH21</f>
        <v>0</v>
      </c>
      <c r="V19" s="12" t="n">
        <f aca="false">$B$13/$B$12*V18</f>
        <v>1308.20545841353</v>
      </c>
      <c r="W19" s="12" t="n">
        <f aca="false">$B$13/$B$12*W18</f>
        <v>273.848296582366</v>
      </c>
      <c r="X19" s="12" t="n">
        <f aca="false">$B$13/$B$12*X18</f>
        <v>61.4429313282872</v>
      </c>
      <c r="Y19" s="12" t="n">
        <f aca="false">$B$13/$B$12*Y18</f>
        <v>46.3873786187069</v>
      </c>
      <c r="Z19" s="12" t="n">
        <f aca="false">$B$13/$B$12*Z18</f>
        <v>92.7747572374139</v>
      </c>
      <c r="AA19" s="12" t="n">
        <f aca="false">$B$13/$B$12*AA18</f>
        <v>18.3108073494896</v>
      </c>
      <c r="AB19" s="12" t="n">
        <f aca="false">$B$13/$B$12*AB18</f>
        <v>0.610360244982986</v>
      </c>
      <c r="AC19" s="12" t="n">
        <f aca="false">$B$13/$B$12*AC18</f>
        <v>0.610360244982986</v>
      </c>
      <c r="AD19" s="12" t="n">
        <f aca="false">$B$13/$B$12*AD18</f>
        <v>5.28978878985254</v>
      </c>
      <c r="AE19" s="12" t="n">
        <f aca="false">$B$13/$B$12*AE18</f>
        <v>26.4489439492627</v>
      </c>
      <c r="AF19" s="12" t="n">
        <f aca="false">$B$13/$B$12*AF18</f>
        <v>3.25525463990926</v>
      </c>
      <c r="AG19" s="12" t="n">
        <f aca="false">$B$13/$B$12*AG18</f>
        <v>0</v>
      </c>
      <c r="AH19" s="12" t="n">
        <f aca="false">$B$13/$B$12*AH18</f>
        <v>0.813813659977314</v>
      </c>
      <c r="AI19" s="12" t="n">
        <f aca="false">$B$13/$B$12*AI18</f>
        <v>0.813813659977314</v>
      </c>
      <c r="AJ19" s="12" t="n">
        <f aca="false">$B$13/$B$12*AJ18</f>
        <v>0</v>
      </c>
      <c r="AK19" s="12" t="n">
        <f aca="false">$B$13/$B$12*AK18</f>
        <v>0</v>
      </c>
      <c r="AL19" s="12" t="n">
        <f aca="false">$B$13/$B$12*AL18</f>
        <v>0</v>
      </c>
      <c r="AM19" s="12" t="n">
        <f aca="false">$B$13/$B$12*AM18</f>
        <v>0</v>
      </c>
      <c r="AN19" s="12" t="n">
        <f aca="false">$B$13/$B$12*AN18</f>
        <v>43.5390308087863</v>
      </c>
      <c r="AO19" s="12" t="n">
        <f aca="false">$B$13/$B$12*AO18</f>
        <v>36.2147078689905</v>
      </c>
      <c r="AP19" s="12" t="n">
        <f aca="false">$B$13/$B$12*AP18</f>
        <v>6.91741610980717</v>
      </c>
      <c r="AQ19" s="12" t="n">
        <f aca="false">$B$13/$B$12*AQ18</f>
        <v>19.9384346694442</v>
      </c>
      <c r="AR19" s="12" t="n">
        <f aca="false">$B$13/$B$12*AR18</f>
        <v>12.2072048996597</v>
      </c>
      <c r="AS19" s="12" t="n">
        <f aca="false">$B$13/$B$12*AS18</f>
        <v>0.406906829988657</v>
      </c>
      <c r="AT19" s="13" t="n">
        <f aca="false">base_fleet!AQ21+base_fleet!AN21+base_fleet!AJ21</f>
        <v>0</v>
      </c>
      <c r="AU19" s="12" t="n">
        <f aca="false">$B$13/$B$12*AU18</f>
        <v>558.025832429628</v>
      </c>
      <c r="AV19" s="12" t="n">
        <f aca="false">$B$13/$B$12*AV18</f>
        <v>51.0449917764224</v>
      </c>
      <c r="AW19" s="12" t="n">
        <f aca="false">$B$13/$B$12*AW18</f>
        <v>17.345385555095</v>
      </c>
      <c r="AX19" s="12" t="n">
        <f aca="false">$B$13/$B$12*AX18</f>
        <v>6.44257177760672</v>
      </c>
      <c r="AY19" s="12" t="n">
        <f aca="false">$B$13/$B$12*AY18</f>
        <v>0</v>
      </c>
      <c r="AZ19" s="12" t="n">
        <f aca="false">$B$13/$B$12*AZ18</f>
        <v>0.495582444431286</v>
      </c>
      <c r="BA19" s="12" t="n">
        <f aca="false">$B$13/$B$12*BA18</f>
        <v>115.802119776938</v>
      </c>
      <c r="BB19" s="12" t="n">
        <f aca="false">$B$13/$B$12*BB18</f>
        <v>10.5938847745464</v>
      </c>
      <c r="BC19" s="12" t="n">
        <f aca="false">$B$13/$B$12*BC18</f>
        <v>0.292245097228866</v>
      </c>
      <c r="BD19" s="12" t="n">
        <f aca="false">$B$13/$B$12*BD18</f>
        <v>0.0730612743072166</v>
      </c>
      <c r="BE19" s="13" t="n">
        <v>0</v>
      </c>
      <c r="BF19" s="13" t="n">
        <v>0</v>
      </c>
      <c r="BG19" s="13" t="n">
        <f aca="false">base_fleet!CE21</f>
        <v>0</v>
      </c>
      <c r="BH19" s="13" t="n">
        <f aca="false">base_fleet!CA21</f>
        <v>0</v>
      </c>
      <c r="BI19" s="13" t="n">
        <f aca="false">base_fleet!BV21</f>
        <v>0</v>
      </c>
      <c r="BJ19" s="13" t="n">
        <f aca="false">base_fleet!CH21</f>
        <v>0</v>
      </c>
      <c r="BK19" s="13" t="n">
        <f aca="false">base_fleet!BU21+base_fleet!BZ21+base_fleet!CD21</f>
        <v>0</v>
      </c>
    </row>
    <row r="20" customFormat="false" ht="13.2" hidden="false" customHeight="false" outlineLevel="0" collapsed="false">
      <c r="A20" s="0" t="n">
        <f aca="false">A19-1</f>
        <v>1999</v>
      </c>
      <c r="B20" s="15" t="n">
        <f aca="false">$B$13/$B$12*B19</f>
        <v>3848.54318714058</v>
      </c>
      <c r="C20" s="15" t="n">
        <f aca="false">$B$13/$B$12*C19</f>
        <v>6892.00477827438</v>
      </c>
      <c r="D20" s="15" t="n">
        <f aca="false">$B$13/$B$12*D19</f>
        <v>4.06906829988657</v>
      </c>
      <c r="E20" s="15" t="n">
        <f aca="false">$B$13/$B$12*E19</f>
        <v>2869.35977962542</v>
      </c>
      <c r="F20" s="15" t="n">
        <f aca="false">$B$13/$B$12*F19</f>
        <v>29.6552766855242</v>
      </c>
      <c r="G20" s="15" t="n">
        <f aca="false">$B$13/$B$12*G19</f>
        <v>46.4994738429019</v>
      </c>
      <c r="H20" s="15" t="n">
        <f aca="false">$B$13/$B$12*H19</f>
        <v>0.474484426968387</v>
      </c>
      <c r="I20" s="15" t="n">
        <f aca="false">$B$13/$B$12*I19</f>
        <v>367.128188189297</v>
      </c>
      <c r="J20" s="16" t="n">
        <f aca="false">base_fleet!C22+base_fleet!G22+base_fleet!L22+base_fleet!Q22</f>
        <v>0</v>
      </c>
      <c r="K20" s="16" t="n">
        <f aca="false">base_fleet!E22+base_fleet!J22+base_fleet!O22+base_fleet!T22</f>
        <v>0</v>
      </c>
      <c r="L20" s="15" t="n">
        <f aca="false">$B$13/$B$12*L19</f>
        <v>439.007128367656</v>
      </c>
      <c r="M20" s="16" t="n">
        <f aca="false">base_fleet!I22+base_fleet!N22</f>
        <v>0</v>
      </c>
      <c r="N20" s="15" t="n">
        <f aca="false">$B$13/$B$12*N19</f>
        <v>4436.91207419632</v>
      </c>
      <c r="O20" s="15" t="n">
        <f aca="false">$B$13/$B$12*O19</f>
        <v>69.5810679280604</v>
      </c>
      <c r="P20" s="15" t="n">
        <f aca="false">$B$13/$B$12*P19</f>
        <v>310.469911281345</v>
      </c>
      <c r="Q20" s="15" t="n">
        <f aca="false">$B$13/$B$12*Q19</f>
        <v>847.993833696362</v>
      </c>
      <c r="R20" s="15" t="n">
        <f aca="false">$B$13/$B$12*R19</f>
        <v>120.444421676643</v>
      </c>
      <c r="S20" s="15" t="n">
        <f aca="false">$B$13/$B$12*S19</f>
        <v>45.5735649587296</v>
      </c>
      <c r="T20" s="16" t="n">
        <f aca="false">base_fleet!Z22+base_fleet!AE22</f>
        <v>0</v>
      </c>
      <c r="U20" s="17" t="n">
        <f aca="false">base_fleet!X22+base_fleet!AC22+base_fleet!AH22</f>
        <v>0</v>
      </c>
      <c r="V20" s="15" t="n">
        <f aca="false">$B$13/$B$12*V19</f>
        <v>1092.88622687833</v>
      </c>
      <c r="W20" s="15" t="n">
        <f aca="false">$B$13/$B$12*W19</f>
        <v>228.775250603146</v>
      </c>
      <c r="X20" s="15" t="n">
        <f aca="false">$B$13/$B$12*X19</f>
        <v>51.3299596449851</v>
      </c>
      <c r="Y20" s="15" t="n">
        <f aca="false">$B$13/$B$12*Y19</f>
        <v>38.7524198644259</v>
      </c>
      <c r="Z20" s="15" t="n">
        <f aca="false">$B$13/$B$12*Z19</f>
        <v>77.5048397288517</v>
      </c>
      <c r="AA20" s="15" t="n">
        <f aca="false">$B$13/$B$12*AA19</f>
        <v>15.2970078412207</v>
      </c>
      <c r="AB20" s="15" t="n">
        <f aca="false">$B$13/$B$12*AB19</f>
        <v>0.509900261374024</v>
      </c>
      <c r="AC20" s="15" t="n">
        <f aca="false">$B$13/$B$12*AC19</f>
        <v>0.509900261374024</v>
      </c>
      <c r="AD20" s="15" t="n">
        <f aca="false">$B$13/$B$12*AD19</f>
        <v>4.41913559857488</v>
      </c>
      <c r="AE20" s="15" t="n">
        <f aca="false">$B$13/$B$12*AE19</f>
        <v>22.0956779928744</v>
      </c>
      <c r="AF20" s="15" t="n">
        <f aca="false">$B$13/$B$12*AF19</f>
        <v>2.71946806066146</v>
      </c>
      <c r="AG20" s="15" t="n">
        <f aca="false">$B$13/$B$12*AG19</f>
        <v>0</v>
      </c>
      <c r="AH20" s="15" t="n">
        <f aca="false">$B$13/$B$12*AH19</f>
        <v>0.679867015165366</v>
      </c>
      <c r="AI20" s="15" t="n">
        <f aca="false">$B$13/$B$12*AI19</f>
        <v>0.679867015165366</v>
      </c>
      <c r="AJ20" s="15" t="n">
        <f aca="false">$B$13/$B$12*AJ19</f>
        <v>0</v>
      </c>
      <c r="AK20" s="15" t="n">
        <f aca="false">$B$13/$B$12*AK19</f>
        <v>0</v>
      </c>
      <c r="AL20" s="15" t="n">
        <f aca="false">$B$13/$B$12*AL19</f>
        <v>0</v>
      </c>
      <c r="AM20" s="15" t="n">
        <f aca="false">$B$13/$B$12*AM19</f>
        <v>0</v>
      </c>
      <c r="AN20" s="15" t="n">
        <f aca="false">$B$13/$B$12*AN19</f>
        <v>36.3728853113471</v>
      </c>
      <c r="AO20" s="15" t="n">
        <f aca="false">$B$13/$B$12*AO19</f>
        <v>30.2540821748588</v>
      </c>
      <c r="AP20" s="15" t="n">
        <f aca="false">$B$13/$B$12*AP19</f>
        <v>5.77886962890561</v>
      </c>
      <c r="AQ20" s="15" t="n">
        <f aca="false">$B$13/$B$12*AQ19</f>
        <v>16.6567418715515</v>
      </c>
      <c r="AR20" s="15" t="n">
        <f aca="false">$B$13/$B$12*AR19</f>
        <v>10.1980052274805</v>
      </c>
      <c r="AS20" s="15" t="n">
        <f aca="false">$B$13/$B$12*AS19</f>
        <v>0.339933507582683</v>
      </c>
      <c r="AT20" s="16" t="n">
        <f aca="false">base_fleet!AQ22+base_fleet!AN22+base_fleet!AJ22</f>
        <v>0</v>
      </c>
      <c r="AU20" s="15" t="n">
        <f aca="false">$B$13/$B$12*AU19</f>
        <v>466.179637596247</v>
      </c>
      <c r="AV20" s="15" t="n">
        <f aca="false">$B$13/$B$12*AV19</f>
        <v>42.6434304373121</v>
      </c>
      <c r="AW20" s="15" t="n">
        <f aca="false">$B$13/$B$12*AW19</f>
        <v>14.4904860709313</v>
      </c>
      <c r="AX20" s="15" t="n">
        <f aca="false">$B$13/$B$12*AX19</f>
        <v>5.38218054063162</v>
      </c>
      <c r="AY20" s="15" t="n">
        <f aca="false">$B$13/$B$12*AY19</f>
        <v>0</v>
      </c>
      <c r="AZ20" s="15" t="n">
        <f aca="false">$B$13/$B$12*AZ19</f>
        <v>0.414013887740894</v>
      </c>
      <c r="BA20" s="15" t="n">
        <f aca="false">$B$13/$B$12*BA19</f>
        <v>96.7420988298033</v>
      </c>
      <c r="BB20" s="15" t="n">
        <f aca="false">$B$13/$B$12*BB19</f>
        <v>8.85022355225329</v>
      </c>
      <c r="BC20" s="15" t="n">
        <f aca="false">$B$13/$B$12*BC19</f>
        <v>0.244144097993194</v>
      </c>
      <c r="BD20" s="15" t="n">
        <f aca="false">$B$13/$B$12*BD19</f>
        <v>0.0610360244982986</v>
      </c>
      <c r="BE20" s="16" t="n">
        <v>0</v>
      </c>
      <c r="BF20" s="16" t="n">
        <v>0</v>
      </c>
      <c r="BG20" s="16" t="n">
        <f aca="false">base_fleet!CE22</f>
        <v>0</v>
      </c>
      <c r="BH20" s="16" t="n">
        <f aca="false">base_fleet!CA22</f>
        <v>0</v>
      </c>
      <c r="BI20" s="16" t="n">
        <f aca="false">base_fleet!BV22</f>
        <v>0</v>
      </c>
      <c r="BJ20" s="16" t="n">
        <f aca="false">base_fleet!CH22</f>
        <v>0</v>
      </c>
      <c r="BK20" s="16" t="n">
        <f aca="false">base_fleet!BU22+base_fleet!BZ22+base_fleet!CD22</f>
        <v>0</v>
      </c>
    </row>
    <row r="21" customFormat="false" ht="13.2" hidden="false" customHeight="false" outlineLevel="0" collapsed="false">
      <c r="A21" s="0" t="n">
        <f aca="false">A20-1</f>
        <v>1998</v>
      </c>
      <c r="B21" s="15" t="n">
        <f aca="false">$B$13/$B$12*B20</f>
        <v>3215.10647713779</v>
      </c>
      <c r="C21" s="15" t="n">
        <f aca="false">$B$13/$B$12*C20</f>
        <v>5757.64078135707</v>
      </c>
      <c r="D21" s="15" t="n">
        <f aca="false">$B$13/$B$12*D20</f>
        <v>3.39933507582683</v>
      </c>
      <c r="E21" s="15" t="n">
        <f aca="false">$B$13/$B$12*E20</f>
        <v>2397.08813546318</v>
      </c>
      <c r="F21" s="15" t="n">
        <f aca="false">$B$13/$B$12*F20</f>
        <v>24.774276269401</v>
      </c>
      <c r="G21" s="15" t="n">
        <f aca="false">$B$13/$B$12*G20</f>
        <v>38.8460651904208</v>
      </c>
      <c r="H21" s="15" t="n">
        <f aca="false">$B$13/$B$12*H20</f>
        <v>0.396388420310416</v>
      </c>
      <c r="I21" s="15" t="n">
        <f aca="false">$B$13/$B$12*I20</f>
        <v>306.702083981097</v>
      </c>
      <c r="J21" s="16" t="n">
        <f aca="false">base_fleet!C23+base_fleet!G23+base_fleet!L23+base_fleet!Q23</f>
        <v>0</v>
      </c>
      <c r="K21" s="16" t="n">
        <f aca="false">base_fleet!E23+base_fleet!J23+base_fleet!O23+base_fleet!T23</f>
        <v>0</v>
      </c>
      <c r="L21" s="15" t="n">
        <f aca="false">$B$13/$B$12*L20</f>
        <v>366.750376256841</v>
      </c>
      <c r="M21" s="16" t="n">
        <f aca="false">base_fleet!I23+base_fleet!N23</f>
        <v>0</v>
      </c>
      <c r="N21" s="15" t="n">
        <f aca="false">$B$13/$B$12*N20</f>
        <v>3706.63496668157</v>
      </c>
      <c r="O21" s="15" t="n">
        <f aca="false">$B$13/$B$12*O20</f>
        <v>58.1286297966388</v>
      </c>
      <c r="P21" s="15" t="n">
        <f aca="false">$B$13/$B$12*P20</f>
        <v>259.369266285587</v>
      </c>
      <c r="Q21" s="15" t="n">
        <f aca="false">$B$13/$B$12*Q20</f>
        <v>708.421429802311</v>
      </c>
      <c r="R21" s="15" t="n">
        <f aca="false">$B$13/$B$12*R20</f>
        <v>100.620318244474</v>
      </c>
      <c r="S21" s="15" t="n">
        <f aca="false">$B$13/$B$12*S20</f>
        <v>38.0725528492605</v>
      </c>
      <c r="T21" s="16" t="n">
        <f aca="false">base_fleet!Z23+base_fleet!AE23</f>
        <v>0</v>
      </c>
      <c r="U21" s="17" t="n">
        <f aca="false">base_fleet!X23+base_fleet!AC23+base_fleet!AH23</f>
        <v>0</v>
      </c>
      <c r="V21" s="15" t="n">
        <f aca="false">$B$13/$B$12*V20</f>
        <v>913.006666665951</v>
      </c>
      <c r="W21" s="15" t="n">
        <f aca="false">$B$13/$B$12*W20</f>
        <v>191.120835665999</v>
      </c>
      <c r="X21" s="15" t="n">
        <f aca="false">$B$13/$B$12*X20</f>
        <v>42.8814950751349</v>
      </c>
      <c r="Y21" s="15" t="n">
        <f aca="false">$B$13/$B$12*Y20</f>
        <v>32.3741088646714</v>
      </c>
      <c r="Z21" s="15" t="n">
        <f aca="false">$B$13/$B$12*Z20</f>
        <v>64.7482177293428</v>
      </c>
      <c r="AA21" s="15" t="n">
        <f aca="false">$B$13/$B$12*AA20</f>
        <v>12.7792534992124</v>
      </c>
      <c r="AB21" s="15" t="n">
        <f aca="false">$B$13/$B$12*AB20</f>
        <v>0.425975116640413</v>
      </c>
      <c r="AC21" s="15" t="n">
        <f aca="false">$B$13/$B$12*AC20</f>
        <v>0.425975116640413</v>
      </c>
      <c r="AD21" s="15" t="n">
        <f aca="false">$B$13/$B$12*AD20</f>
        <v>3.69178434421691</v>
      </c>
      <c r="AE21" s="15" t="n">
        <f aca="false">$B$13/$B$12*AE20</f>
        <v>18.4589217210846</v>
      </c>
      <c r="AF21" s="15" t="n">
        <f aca="false">$B$13/$B$12*AF20</f>
        <v>2.27186728874887</v>
      </c>
      <c r="AG21" s="15" t="n">
        <f aca="false">$B$13/$B$12*AG20</f>
        <v>0</v>
      </c>
      <c r="AH21" s="15" t="n">
        <f aca="false">$B$13/$B$12*AH20</f>
        <v>0.567966822187217</v>
      </c>
      <c r="AI21" s="15" t="n">
        <f aca="false">$B$13/$B$12*AI20</f>
        <v>0.567966822187217</v>
      </c>
      <c r="AJ21" s="15" t="n">
        <f aca="false">$B$13/$B$12*AJ20</f>
        <v>0</v>
      </c>
      <c r="AK21" s="15" t="n">
        <f aca="false">$B$13/$B$12*AK20</f>
        <v>0</v>
      </c>
      <c r="AL21" s="15" t="n">
        <f aca="false">$B$13/$B$12*AL20</f>
        <v>0</v>
      </c>
      <c r="AM21" s="15" t="n">
        <f aca="false">$B$13/$B$12*AM20</f>
        <v>0</v>
      </c>
      <c r="AN21" s="15" t="n">
        <f aca="false">$B$13/$B$12*AN20</f>
        <v>30.3862249870161</v>
      </c>
      <c r="AO21" s="15" t="n">
        <f aca="false">$B$13/$B$12*AO20</f>
        <v>25.2745235873312</v>
      </c>
      <c r="AP21" s="15" t="n">
        <f aca="false">$B$13/$B$12*AP20</f>
        <v>4.82771798859135</v>
      </c>
      <c r="AQ21" s="15" t="n">
        <f aca="false">$B$13/$B$12*AQ20</f>
        <v>13.9151871435868</v>
      </c>
      <c r="AR21" s="15" t="n">
        <f aca="false">$B$13/$B$12*AR20</f>
        <v>8.51950233280826</v>
      </c>
      <c r="AS21" s="15" t="n">
        <f aca="false">$B$13/$B$12*AS20</f>
        <v>0.283983411093609</v>
      </c>
      <c r="AT21" s="16" t="n">
        <f aca="false">base_fleet!AQ23+base_fleet!AN23+base_fleet!AJ23</f>
        <v>0</v>
      </c>
      <c r="AU21" s="15" t="n">
        <f aca="false">$B$13/$B$12*AU20</f>
        <v>389.450526982144</v>
      </c>
      <c r="AV21" s="15" t="n">
        <f aca="false">$B$13/$B$12*AV20</f>
        <v>35.6246929655069</v>
      </c>
      <c r="AW21" s="15" t="n">
        <f aca="false">$B$13/$B$12*AW20</f>
        <v>12.1054781921626</v>
      </c>
      <c r="AX21" s="15" t="n">
        <f aca="false">$B$13/$B$12*AX20</f>
        <v>4.49632047137466</v>
      </c>
      <c r="AY21" s="15" t="n">
        <f aca="false">$B$13/$B$12*AY20</f>
        <v>0</v>
      </c>
      <c r="AZ21" s="15" t="n">
        <f aca="false">$B$13/$B$12*AZ20</f>
        <v>0.345870805490359</v>
      </c>
      <c r="BA21" s="15" t="n">
        <f aca="false">$B$13/$B$12*BA20</f>
        <v>80.8191914277829</v>
      </c>
      <c r="BB21" s="15" t="n">
        <f aca="false">$B$13/$B$12*BB20</f>
        <v>7.39355378992335</v>
      </c>
      <c r="BC21" s="15" t="n">
        <f aca="false">$B$13/$B$12*BC20</f>
        <v>0.20396010454961</v>
      </c>
      <c r="BD21" s="15" t="n">
        <f aca="false">$B$13/$B$12*BD20</f>
        <v>0.0509900261374024</v>
      </c>
      <c r="BE21" s="16" t="n">
        <v>0</v>
      </c>
      <c r="BF21" s="16" t="n">
        <v>0</v>
      </c>
      <c r="BG21" s="16" t="n">
        <f aca="false">base_fleet!CE23</f>
        <v>0</v>
      </c>
      <c r="BH21" s="16" t="n">
        <f aca="false">base_fleet!CA23</f>
        <v>0</v>
      </c>
      <c r="BI21" s="16" t="n">
        <f aca="false">base_fleet!BV23</f>
        <v>0</v>
      </c>
      <c r="BJ21" s="16" t="n">
        <f aca="false">base_fleet!CH23</f>
        <v>0</v>
      </c>
      <c r="BK21" s="16" t="n">
        <f aca="false">base_fleet!BU23+base_fleet!BZ23+base_fleet!CD23</f>
        <v>0</v>
      </c>
    </row>
    <row r="22" customFormat="false" ht="13.2" hidden="false" customHeight="false" outlineLevel="0" collapsed="false">
      <c r="A22" s="0" t="n">
        <f aca="false">A21-1</f>
        <v>1997</v>
      </c>
      <c r="B22" s="15" t="n">
        <f aca="false">$B$13/$B$12*B21</f>
        <v>2685.92793602338</v>
      </c>
      <c r="C22" s="15" t="n">
        <f aca="false">$B$13/$B$12*C21</f>
        <v>4809.98322456855</v>
      </c>
      <c r="D22" s="15" t="n">
        <f aca="false">$B$13/$B$12*D21</f>
        <v>2.83983411093609</v>
      </c>
      <c r="E22" s="15" t="n">
        <f aca="false">$B$13/$B$12*E21</f>
        <v>2002.54829316958</v>
      </c>
      <c r="F22" s="15" t="n">
        <f aca="false">$B$13/$B$12*F21</f>
        <v>20.6966460364272</v>
      </c>
      <c r="G22" s="15" t="n">
        <f aca="false">$B$13/$B$12*G21</f>
        <v>32.4523409851179</v>
      </c>
      <c r="H22" s="15" t="n">
        <f aca="false">$B$13/$B$12*H21</f>
        <v>0.331146336582836</v>
      </c>
      <c r="I22" s="15" t="n">
        <f aca="false">$B$13/$B$12*I21</f>
        <v>256.221590562929</v>
      </c>
      <c r="J22" s="16" t="n">
        <f aca="false">base_fleet!C24+base_fleet!G24+base_fleet!L24+base_fleet!Q24</f>
        <v>0</v>
      </c>
      <c r="K22" s="16" t="n">
        <f aca="false">base_fleet!E24+base_fleet!J24+base_fleet!O24+base_fleet!T24</f>
        <v>0</v>
      </c>
      <c r="L22" s="15" t="n">
        <f aca="false">$B$13/$B$12*L21</f>
        <v>306.386456604161</v>
      </c>
      <c r="M22" s="16" t="n">
        <f aca="false">base_fleet!I24+base_fleet!N24</f>
        <v>0</v>
      </c>
      <c r="N22" s="15" t="n">
        <f aca="false">$B$13/$B$12*N21</f>
        <v>3096.55511456471</v>
      </c>
      <c r="O22" s="15" t="n">
        <f aca="false">$B$13/$B$12*O21</f>
        <v>48.5611632970071</v>
      </c>
      <c r="P22" s="15" t="n">
        <f aca="false">$B$13/$B$12*P21</f>
        <v>216.679342664423</v>
      </c>
      <c r="Q22" s="15" t="n">
        <f aca="false">$B$13/$B$12*Q21</f>
        <v>591.82142871908</v>
      </c>
      <c r="R22" s="15" t="n">
        <f aca="false">$B$13/$B$12*R21</f>
        <v>84.0590896837082</v>
      </c>
      <c r="S22" s="15" t="n">
        <f aca="false">$B$13/$B$12*S21</f>
        <v>31.8061420424842</v>
      </c>
      <c r="T22" s="16" t="n">
        <f aca="false">base_fleet!Z24+base_fleet!AE24</f>
        <v>0</v>
      </c>
      <c r="U22" s="17" t="n">
        <f aca="false">base_fleet!X24+base_fleet!AC24+base_fleet!AH24</f>
        <v>0</v>
      </c>
      <c r="V22" s="15" t="n">
        <f aca="false">$B$13/$B$12*V21</f>
        <v>762.733716351681</v>
      </c>
      <c r="W22" s="15" t="n">
        <f aca="false">$B$13/$B$12*W21</f>
        <v>159.664009674862</v>
      </c>
      <c r="X22" s="15" t="n">
        <f aca="false">$B$13/$B$12*X21</f>
        <v>35.8235742361132</v>
      </c>
      <c r="Y22" s="15" t="n">
        <f aca="false">$B$13/$B$12*Y21</f>
        <v>27.045612337198</v>
      </c>
      <c r="Z22" s="15" t="n">
        <f aca="false">$B$13/$B$12*Z21</f>
        <v>54.0912246743961</v>
      </c>
      <c r="AA22" s="15" t="n">
        <f aca="false">$B$13/$B$12*AA21</f>
        <v>10.6758996067887</v>
      </c>
      <c r="AB22" s="15" t="n">
        <f aca="false">$B$13/$B$12*AB21</f>
        <v>0.35586332022629</v>
      </c>
      <c r="AC22" s="15" t="n">
        <f aca="false">$B$13/$B$12*AC21</f>
        <v>0.35586332022629</v>
      </c>
      <c r="AD22" s="15" t="n">
        <f aca="false">$B$13/$B$12*AD21</f>
        <v>3.08414877529451</v>
      </c>
      <c r="AE22" s="15" t="n">
        <f aca="false">$B$13/$B$12*AE21</f>
        <v>15.4207438764726</v>
      </c>
      <c r="AF22" s="15" t="n">
        <f aca="false">$B$13/$B$12*AF21</f>
        <v>1.89793770787355</v>
      </c>
      <c r="AG22" s="15" t="n">
        <f aca="false">$B$13/$B$12*AG21</f>
        <v>0</v>
      </c>
      <c r="AH22" s="15" t="n">
        <f aca="false">$B$13/$B$12*AH21</f>
        <v>0.474484426968387</v>
      </c>
      <c r="AI22" s="15" t="n">
        <f aca="false">$B$13/$B$12*AI21</f>
        <v>0.474484426968387</v>
      </c>
      <c r="AJ22" s="15" t="n">
        <f aca="false">$B$13/$B$12*AJ21</f>
        <v>0</v>
      </c>
      <c r="AK22" s="15" t="n">
        <f aca="false">$B$13/$B$12*AK21</f>
        <v>0</v>
      </c>
      <c r="AL22" s="15" t="n">
        <f aca="false">$B$13/$B$12*AL21</f>
        <v>0</v>
      </c>
      <c r="AM22" s="15" t="n">
        <f aca="false">$B$13/$B$12*AM21</f>
        <v>0</v>
      </c>
      <c r="AN22" s="15" t="n">
        <f aca="false">$B$13/$B$12*AN21</f>
        <v>25.3849168428087</v>
      </c>
      <c r="AO22" s="15" t="n">
        <f aca="false">$B$13/$B$12*AO21</f>
        <v>21.1145570000932</v>
      </c>
      <c r="AP22" s="15" t="n">
        <f aca="false">$B$13/$B$12*AP21</f>
        <v>4.03311762923129</v>
      </c>
      <c r="AQ22" s="15" t="n">
        <f aca="false">$B$13/$B$12*AQ21</f>
        <v>11.6248684607255</v>
      </c>
      <c r="AR22" s="15" t="n">
        <f aca="false">$B$13/$B$12*AR21</f>
        <v>7.1172664045258</v>
      </c>
      <c r="AS22" s="15" t="n">
        <f aca="false">$B$13/$B$12*AS21</f>
        <v>0.237242213484193</v>
      </c>
      <c r="AT22" s="16" t="n">
        <f aca="false">base_fleet!AQ24+base_fleet!AN24+base_fleet!AJ24</f>
        <v>0</v>
      </c>
      <c r="AU22" s="15" t="n">
        <f aca="false">$B$13/$B$12*AU21</f>
        <v>325.350360107386</v>
      </c>
      <c r="AV22" s="15" t="n">
        <f aca="false">$B$13/$B$12*AV21</f>
        <v>29.7611785888639</v>
      </c>
      <c r="AW22" s="15" t="n">
        <f aca="false">$B$13/$B$12*AW21</f>
        <v>10.1130218505848</v>
      </c>
      <c r="AX22" s="15" t="n">
        <f aca="false">$B$13/$B$12*AX21</f>
        <v>3.75626525878865</v>
      </c>
      <c r="AY22" s="15" t="n">
        <f aca="false">$B$13/$B$12*AY21</f>
        <v>0</v>
      </c>
      <c r="AZ22" s="15" t="n">
        <f aca="false">$B$13/$B$12*AZ21</f>
        <v>0.28894348144528</v>
      </c>
      <c r="BA22" s="15" t="n">
        <f aca="false">$B$13/$B$12*BA21</f>
        <v>67.5170559875054</v>
      </c>
      <c r="BB22" s="15" t="n">
        <f aca="false">$B$13/$B$12*BB21</f>
        <v>6.17663919128599</v>
      </c>
      <c r="BC22" s="15" t="n">
        <f aca="false">$B$13/$B$12*BC21</f>
        <v>0.170390046656165</v>
      </c>
      <c r="BD22" s="15" t="n">
        <f aca="false">$B$13/$B$12*BD21</f>
        <v>0.0425975116640413</v>
      </c>
      <c r="BE22" s="16" t="n">
        <v>0</v>
      </c>
      <c r="BF22" s="16" t="n">
        <v>0</v>
      </c>
      <c r="BG22" s="16" t="n">
        <f aca="false">base_fleet!CE24</f>
        <v>0</v>
      </c>
      <c r="BH22" s="16" t="n">
        <f aca="false">base_fleet!CA24</f>
        <v>0</v>
      </c>
      <c r="BI22" s="16" t="n">
        <f aca="false">base_fleet!BV24</f>
        <v>0</v>
      </c>
      <c r="BJ22" s="16" t="n">
        <f aca="false">base_fleet!CH24</f>
        <v>0</v>
      </c>
      <c r="BK22" s="16" t="n">
        <f aca="false">base_fleet!BU24+base_fleet!BZ24+base_fleet!CD24</f>
        <v>0</v>
      </c>
    </row>
    <row r="23" customFormat="false" ht="13.2" hidden="false" customHeight="false" outlineLevel="0" collapsed="false">
      <c r="A23" s="0" t="n">
        <f aca="false">A22-1</f>
        <v>1996</v>
      </c>
      <c r="B23" s="15" t="n">
        <f aca="false">$B$13/$B$12*B22</f>
        <v>2243.8475766853</v>
      </c>
      <c r="C23" s="15" t="n">
        <f aca="false">$B$13/$B$12*C22</f>
        <v>4018.3018529992</v>
      </c>
      <c r="D23" s="15" t="n">
        <f aca="false">$B$13/$B$12*D22</f>
        <v>2.37242213484193</v>
      </c>
      <c r="E23" s="15" t="n">
        <f aca="false">$B$13/$B$12*E22</f>
        <v>1672.94627475245</v>
      </c>
      <c r="F23" s="15" t="n">
        <f aca="false">$B$13/$B$12*F22</f>
        <v>17.2901582471743</v>
      </c>
      <c r="G23" s="15" t="n">
        <f aca="false">$B$13/$B$12*G22</f>
        <v>27.1109681315694</v>
      </c>
      <c r="H23" s="15" t="n">
        <f aca="false">$B$13/$B$12*H22</f>
        <v>0.276642531954789</v>
      </c>
      <c r="I23" s="15" t="n">
        <f aca="false">$B$13/$B$12*I22</f>
        <v>214.049746967625</v>
      </c>
      <c r="J23" s="16" t="n">
        <f aca="false">base_fleet!C25+base_fleet!G25+base_fleet!L25+base_fleet!Q25</f>
        <v>0</v>
      </c>
      <c r="K23" s="16" t="n">
        <f aca="false">base_fleet!E25+base_fleet!J25+base_fleet!O25+base_fleet!T25</f>
        <v>0</v>
      </c>
      <c r="L23" s="15" t="n">
        <f aca="false">$B$13/$B$12*L22</f>
        <v>255.957912704944</v>
      </c>
      <c r="M23" s="16" t="n">
        <f aca="false">base_fleet!I25+base_fleet!N25</f>
        <v>0</v>
      </c>
      <c r="N23" s="15" t="n">
        <f aca="false">$B$13/$B$12*N22</f>
        <v>2586.88909583164</v>
      </c>
      <c r="O23" s="15" t="n">
        <f aca="false">$B$13/$B$12*O22</f>
        <v>40.5684185057971</v>
      </c>
      <c r="P23" s="15" t="n">
        <f aca="false">$B$13/$B$12*P22</f>
        <v>181.015808888439</v>
      </c>
      <c r="Q23" s="15" t="n">
        <f aca="false">$B$13/$B$12*Q22</f>
        <v>494.412772901059</v>
      </c>
      <c r="R23" s="15" t="n">
        <f aca="false">$B$13/$B$12*R22</f>
        <v>70.2236951913212</v>
      </c>
      <c r="S23" s="15" t="n">
        <f aca="false">$B$13/$B$12*S22</f>
        <v>26.5711279102297</v>
      </c>
      <c r="T23" s="16" t="n">
        <f aca="false">base_fleet!Z25+base_fleet!AE25</f>
        <v>0</v>
      </c>
      <c r="U23" s="17" t="n">
        <f aca="false">base_fleet!X25+base_fleet!AC25+base_fleet!AH25</f>
        <v>0</v>
      </c>
      <c r="V23" s="15" t="n">
        <f aca="false">$B$13/$B$12*V22</f>
        <v>637.194385648994</v>
      </c>
      <c r="W23" s="15" t="n">
        <f aca="false">$B$13/$B$12*W22</f>
        <v>133.384703434455</v>
      </c>
      <c r="X23" s="15" t="n">
        <f aca="false">$B$13/$B$12*X22</f>
        <v>29.9273257334364</v>
      </c>
      <c r="Y23" s="15" t="n">
        <f aca="false">$B$13/$B$12*Y22</f>
        <v>22.5941399576937</v>
      </c>
      <c r="Z23" s="15" t="n">
        <f aca="false">$B$13/$B$12*Z22</f>
        <v>45.1882799153875</v>
      </c>
      <c r="AA23" s="15" t="n">
        <f aca="false">$B$13/$B$12*AA22</f>
        <v>8.91873945698437</v>
      </c>
      <c r="AB23" s="15" t="n">
        <f aca="false">$B$13/$B$12*AB22</f>
        <v>0.297291315232812</v>
      </c>
      <c r="AC23" s="15" t="n">
        <f aca="false">$B$13/$B$12*AC22</f>
        <v>0.297291315232812</v>
      </c>
      <c r="AD23" s="15" t="n">
        <f aca="false">$B$13/$B$12*AD22</f>
        <v>2.57652473201771</v>
      </c>
      <c r="AE23" s="15" t="n">
        <f aca="false">$B$13/$B$12*AE22</f>
        <v>12.8826236600885</v>
      </c>
      <c r="AF23" s="15" t="n">
        <f aca="false">$B$13/$B$12*AF22</f>
        <v>1.58555368124167</v>
      </c>
      <c r="AG23" s="15" t="n">
        <f aca="false">$B$13/$B$12*AG22</f>
        <v>0</v>
      </c>
      <c r="AH23" s="15" t="n">
        <f aca="false">$B$13/$B$12*AH22</f>
        <v>0.396388420310416</v>
      </c>
      <c r="AI23" s="15" t="n">
        <f aca="false">$B$13/$B$12*AI22</f>
        <v>0.396388420310416</v>
      </c>
      <c r="AJ23" s="15" t="n">
        <f aca="false">$B$13/$B$12*AJ22</f>
        <v>0</v>
      </c>
      <c r="AK23" s="15" t="n">
        <f aca="false">$B$13/$B$12*AK22</f>
        <v>0</v>
      </c>
      <c r="AL23" s="15" t="n">
        <f aca="false">$B$13/$B$12*AL22</f>
        <v>0</v>
      </c>
      <c r="AM23" s="15" t="n">
        <f aca="false">$B$13/$B$12*AM22</f>
        <v>0</v>
      </c>
      <c r="AN23" s="15" t="n">
        <f aca="false">$B$13/$B$12*AN22</f>
        <v>21.2067804866073</v>
      </c>
      <c r="AO23" s="15" t="n">
        <f aca="false">$B$13/$B$12*AO22</f>
        <v>17.6392847038135</v>
      </c>
      <c r="AP23" s="15" t="n">
        <f aca="false">$B$13/$B$12*AP22</f>
        <v>3.36930157263854</v>
      </c>
      <c r="AQ23" s="15" t="n">
        <f aca="false">$B$13/$B$12*AQ22</f>
        <v>9.71151629760521</v>
      </c>
      <c r="AR23" s="15" t="n">
        <f aca="false">$B$13/$B$12*AR22</f>
        <v>5.94582630465625</v>
      </c>
      <c r="AS23" s="15" t="n">
        <f aca="false">$B$13/$B$12*AS22</f>
        <v>0.198194210155208</v>
      </c>
      <c r="AT23" s="16" t="n">
        <f aca="false">base_fleet!AQ25+base_fleet!AN25+base_fleet!AJ25</f>
        <v>0</v>
      </c>
      <c r="AU23" s="15" t="n">
        <f aca="false">$B$13/$B$12*AU22</f>
        <v>271.800522757693</v>
      </c>
      <c r="AV23" s="15" t="n">
        <f aca="false">$B$13/$B$12*AV22</f>
        <v>24.8627476412454</v>
      </c>
      <c r="AW23" s="15" t="n">
        <f aca="false">$B$13/$B$12*AW22</f>
        <v>8.44850648003486</v>
      </c>
      <c r="AX23" s="15" t="n">
        <f aca="false">$B$13/$B$12*AX22</f>
        <v>3.13801669258437</v>
      </c>
      <c r="AY23" s="15" t="n">
        <f aca="false">$B$13/$B$12*AY22</f>
        <v>0</v>
      </c>
      <c r="AZ23" s="15" t="n">
        <f aca="false">$B$13/$B$12*AZ22</f>
        <v>0.241385899429567</v>
      </c>
      <c r="BA23" s="15" t="n">
        <f aca="false">$B$13/$B$12*BA22</f>
        <v>56.404336255867</v>
      </c>
      <c r="BB23" s="15" t="n">
        <f aca="false">$B$13/$B$12*BB22</f>
        <v>5.16001814328121</v>
      </c>
      <c r="BC23" s="15" t="n">
        <f aca="false">$B$13/$B$12*BC22</f>
        <v>0.142345328090516</v>
      </c>
      <c r="BD23" s="15" t="n">
        <f aca="false">$B$13/$B$12*BD22</f>
        <v>0.035586332022629</v>
      </c>
      <c r="BE23" s="16" t="n">
        <v>0</v>
      </c>
      <c r="BF23" s="16" t="n">
        <v>0</v>
      </c>
      <c r="BG23" s="16" t="n">
        <f aca="false">base_fleet!CE25</f>
        <v>0</v>
      </c>
      <c r="BH23" s="16" t="n">
        <f aca="false">base_fleet!CA25</f>
        <v>0</v>
      </c>
      <c r="BI23" s="16" t="n">
        <f aca="false">base_fleet!BV25</f>
        <v>0</v>
      </c>
      <c r="BJ23" s="16" t="n">
        <f aca="false">base_fleet!CH25</f>
        <v>0</v>
      </c>
      <c r="BK23" s="16" t="n">
        <f aca="false">base_fleet!BU25+base_fleet!BZ25+base_fleet!CD25</f>
        <v>0</v>
      </c>
    </row>
    <row r="24" customFormat="false" ht="13.2" hidden="false" customHeight="false" outlineLevel="0" collapsed="false">
      <c r="A24" s="0" t="n">
        <f aca="false">A23-1</f>
        <v>1995</v>
      </c>
      <c r="B24" s="15" t="n">
        <f aca="false">$B$13/$B$12*B23</f>
        <v>1874.52979652565</v>
      </c>
      <c r="C24" s="15" t="n">
        <f aca="false">$B$13/$B$12*C23</f>
        <v>3356.92434421435</v>
      </c>
      <c r="D24" s="15" t="n">
        <f aca="false">$B$13/$B$12*D23</f>
        <v>1.98194210155208</v>
      </c>
      <c r="E24" s="15" t="n">
        <f aca="false">$B$13/$B$12*E23</f>
        <v>1397.59387963538</v>
      </c>
      <c r="F24" s="15" t="n">
        <f aca="false">$B$13/$B$12*F23</f>
        <v>14.4443486971832</v>
      </c>
      <c r="G24" s="15" t="n">
        <f aca="false">$B$13/$B$12*G23</f>
        <v>22.6487387571833</v>
      </c>
      <c r="H24" s="15" t="n">
        <f aca="false">$B$13/$B$12*H23</f>
        <v>0.231109579154932</v>
      </c>
      <c r="I24" s="15" t="n">
        <f aca="false">$B$13/$B$12*I23</f>
        <v>178.819021754731</v>
      </c>
      <c r="J24" s="16" t="n">
        <f aca="false">base_fleet!C26+base_fleet!G26+base_fleet!L26+base_fleet!Q26</f>
        <v>0</v>
      </c>
      <c r="K24" s="16" t="n">
        <f aca="false">base_fleet!E26+base_fleet!J26+base_fleet!O26+base_fleet!T26</f>
        <v>0</v>
      </c>
      <c r="L24" s="15" t="n">
        <f aca="false">$B$13/$B$12*L23</f>
        <v>213.829468189952</v>
      </c>
      <c r="M24" s="16" t="n">
        <f aca="false">base_fleet!I26+base_fleet!N26</f>
        <v>0</v>
      </c>
      <c r="N24" s="15" t="n">
        <f aca="false">$B$13/$B$12*N23</f>
        <v>2161.10966753239</v>
      </c>
      <c r="O24" s="15" t="n">
        <f aca="false">$B$13/$B$12*O23</f>
        <v>33.8912099365406</v>
      </c>
      <c r="P24" s="15" t="n">
        <f aca="false">$B$13/$B$12*P23</f>
        <v>151.222182348424</v>
      </c>
      <c r="Q24" s="15" t="n">
        <f aca="false">$B$13/$B$12*Q23</f>
        <v>413.036733963454</v>
      </c>
      <c r="R24" s="15" t="n">
        <f aca="false">$B$13/$B$12*R23</f>
        <v>58.6654862059416</v>
      </c>
      <c r="S24" s="15" t="n">
        <f aca="false">$B$13/$B$12*S23</f>
        <v>22.1977515373833</v>
      </c>
      <c r="T24" s="16" t="n">
        <f aca="false">base_fleet!Z26+base_fleet!AE26</f>
        <v>0</v>
      </c>
      <c r="U24" s="17" t="n">
        <f aca="false">base_fleet!X26+base_fleet!AC26+base_fleet!AH26</f>
        <v>0</v>
      </c>
      <c r="V24" s="15" t="n">
        <f aca="false">$B$13/$B$12*V23</f>
        <v>532.317736056909</v>
      </c>
      <c r="W24" s="15" t="n">
        <f aca="false">$B$13/$B$12*W23</f>
        <v>111.430742260124</v>
      </c>
      <c r="X24" s="15" t="n">
        <f aca="false">$B$13/$B$12*X23</f>
        <v>25.0015484120041</v>
      </c>
      <c r="Y24" s="15" t="n">
        <f aca="false">$B$13/$B$12*Y23</f>
        <v>18.8753411852217</v>
      </c>
      <c r="Z24" s="15" t="n">
        <f aca="false">$B$13/$B$12*Z23</f>
        <v>37.7506823704433</v>
      </c>
      <c r="AA24" s="15" t="n">
        <f aca="false">$B$13/$B$12*AA23</f>
        <v>7.45079257311381</v>
      </c>
      <c r="AB24" s="15" t="n">
        <f aca="false">$B$13/$B$12*AB23</f>
        <v>0.248359752437127</v>
      </c>
      <c r="AC24" s="15" t="n">
        <f aca="false">$B$13/$B$12*AC23</f>
        <v>0.248359752437127</v>
      </c>
      <c r="AD24" s="15" t="n">
        <f aca="false">$B$13/$B$12*AD23</f>
        <v>2.15245118778843</v>
      </c>
      <c r="AE24" s="15" t="n">
        <f aca="false">$B$13/$B$12*AE23</f>
        <v>10.7622559389422</v>
      </c>
      <c r="AF24" s="15" t="n">
        <f aca="false">$B$13/$B$12*AF23</f>
        <v>1.32458534633134</v>
      </c>
      <c r="AG24" s="15" t="n">
        <f aca="false">$B$13/$B$12*AG23</f>
        <v>0</v>
      </c>
      <c r="AH24" s="15" t="n">
        <f aca="false">$B$13/$B$12*AH23</f>
        <v>0.331146336582836</v>
      </c>
      <c r="AI24" s="15" t="n">
        <f aca="false">$B$13/$B$12*AI23</f>
        <v>0.331146336582836</v>
      </c>
      <c r="AJ24" s="15" t="n">
        <f aca="false">$B$13/$B$12*AJ23</f>
        <v>0</v>
      </c>
      <c r="AK24" s="15" t="n">
        <f aca="false">$B$13/$B$12*AK23</f>
        <v>0</v>
      </c>
      <c r="AL24" s="15" t="n">
        <f aca="false">$B$13/$B$12*AL23</f>
        <v>0</v>
      </c>
      <c r="AM24" s="15" t="n">
        <f aca="false">$B$13/$B$12*AM23</f>
        <v>0</v>
      </c>
      <c r="AN24" s="15" t="n">
        <f aca="false">$B$13/$B$12*AN23</f>
        <v>17.7163290071817</v>
      </c>
      <c r="AO24" s="15" t="n">
        <f aca="false">$B$13/$B$12*AO23</f>
        <v>14.7360119779362</v>
      </c>
      <c r="AP24" s="15" t="n">
        <f aca="false">$B$13/$B$12*AP23</f>
        <v>2.8147438609541</v>
      </c>
      <c r="AQ24" s="15" t="n">
        <f aca="false">$B$13/$B$12*AQ23</f>
        <v>8.11308524627948</v>
      </c>
      <c r="AR24" s="15" t="n">
        <f aca="false">$B$13/$B$12*AR23</f>
        <v>4.96719504874254</v>
      </c>
      <c r="AS24" s="15" t="n">
        <f aca="false">$B$13/$B$12*AS23</f>
        <v>0.165573168291418</v>
      </c>
      <c r="AT24" s="16" t="n">
        <f aca="false">base_fleet!AQ26+base_fleet!AN26+base_fleet!AJ26</f>
        <v>0</v>
      </c>
      <c r="AU24" s="15" t="n">
        <f aca="false">$B$13/$B$12*AU23</f>
        <v>227.064522525721</v>
      </c>
      <c r="AV24" s="15" t="n">
        <f aca="false">$B$13/$B$12*AV23</f>
        <v>20.7705557905411</v>
      </c>
      <c r="AW24" s="15" t="n">
        <f aca="false">$B$13/$B$12*AW23</f>
        <v>7.05795585115475</v>
      </c>
      <c r="AX24" s="15" t="n">
        <f aca="false">$B$13/$B$12*AX23</f>
        <v>2.62152645900034</v>
      </c>
      <c r="AY24" s="15" t="n">
        <f aca="false">$B$13/$B$12*AY23</f>
        <v>0</v>
      </c>
      <c r="AZ24" s="15" t="n">
        <f aca="false">$B$13/$B$12*AZ23</f>
        <v>0.201655881461564</v>
      </c>
      <c r="BA24" s="15" t="n">
        <f aca="false">$B$13/$B$12*BA23</f>
        <v>47.1206734644008</v>
      </c>
      <c r="BB24" s="15" t="n">
        <f aca="false">$B$13/$B$12*BB23</f>
        <v>4.31072407087578</v>
      </c>
      <c r="BC24" s="15" t="n">
        <f aca="false">$B$13/$B$12*BC23</f>
        <v>0.118916526093125</v>
      </c>
      <c r="BD24" s="15" t="n">
        <f aca="false">$B$13/$B$12*BD23</f>
        <v>0.0297291315232812</v>
      </c>
      <c r="BE24" s="16" t="n">
        <v>0</v>
      </c>
      <c r="BF24" s="16" t="n">
        <v>0</v>
      </c>
      <c r="BG24" s="16" t="n">
        <f aca="false">base_fleet!CE26</f>
        <v>0</v>
      </c>
      <c r="BH24" s="16" t="n">
        <f aca="false">base_fleet!CA26</f>
        <v>0</v>
      </c>
      <c r="BI24" s="16" t="n">
        <f aca="false">base_fleet!BV26</f>
        <v>0</v>
      </c>
      <c r="BJ24" s="16" t="n">
        <f aca="false">base_fleet!CH26</f>
        <v>0</v>
      </c>
      <c r="BK24" s="16" t="n">
        <f aca="false">base_fleet!BU26+base_fleet!BZ26+base_fleet!CD26</f>
        <v>0</v>
      </c>
    </row>
    <row r="25" customFormat="false" ht="13.2" hidden="false" customHeight="false" outlineLevel="0" collapsed="false">
      <c r="A25" s="0" t="n">
        <f aca="false">A24-1</f>
        <v>1994</v>
      </c>
      <c r="B25" s="15" t="n">
        <f aca="false">$B$13/$B$12*B24</f>
        <v>1565.99850835382</v>
      </c>
      <c r="C25" s="15" t="n">
        <f aca="false">$B$13/$B$12*C24</f>
        <v>2804.40381659431</v>
      </c>
      <c r="D25" s="15" t="n">
        <f aca="false">$B$13/$B$12*D24</f>
        <v>1.65573168291418</v>
      </c>
      <c r="E25" s="15" t="n">
        <f aca="false">$B$13/$B$12*E24</f>
        <v>1167.56209202433</v>
      </c>
      <c r="F25" s="15" t="n">
        <f aca="false">$B$13/$B$12*F24</f>
        <v>12.0669346285432</v>
      </c>
      <c r="G25" s="15" t="n">
        <f aca="false">$B$13/$B$12*G24</f>
        <v>18.9209534975557</v>
      </c>
      <c r="H25" s="15" t="n">
        <f aca="false">$B$13/$B$12*H24</f>
        <v>0.193070954056691</v>
      </c>
      <c r="I25" s="15" t="n">
        <f aca="false">$B$13/$B$12*I24</f>
        <v>149.386967255586</v>
      </c>
      <c r="J25" s="16" t="n">
        <f aca="false">base_fleet!C27+base_fleet!G27+base_fleet!L27+base_fleet!Q27</f>
        <v>0</v>
      </c>
      <c r="K25" s="16" t="n">
        <f aca="false">base_fleet!E27+base_fleet!J27+base_fleet!O27+base_fleet!T27</f>
        <v>0</v>
      </c>
      <c r="L25" s="15" t="n">
        <f aca="false">$B$13/$B$12*L24</f>
        <v>178.634998946506</v>
      </c>
      <c r="M25" s="16" t="n">
        <f aca="false">base_fleet!I27+base_fleet!N27</f>
        <v>0</v>
      </c>
      <c r="N25" s="15" t="n">
        <f aca="false">$B$13/$B$12*N24</f>
        <v>1805.40982704962</v>
      </c>
      <c r="O25" s="15" t="n">
        <f aca="false">$B$13/$B$12*O24</f>
        <v>28.3130117778325</v>
      </c>
      <c r="P25" s="15" t="n">
        <f aca="false">$B$13/$B$12*P24</f>
        <v>126.332327406352</v>
      </c>
      <c r="Q25" s="15" t="n">
        <f aca="false">$B$13/$B$12*Q24</f>
        <v>345.054482719315</v>
      </c>
      <c r="R25" s="15" t="n">
        <f aca="false">$B$13/$B$12*R24</f>
        <v>49.0096578142597</v>
      </c>
      <c r="S25" s="15" t="n">
        <f aca="false">$B$13/$B$12*S24</f>
        <v>18.5441948486388</v>
      </c>
      <c r="T25" s="16" t="n">
        <f aca="false">base_fleet!Z27+base_fleet!AE27</f>
        <v>0</v>
      </c>
      <c r="U25" s="17" t="n">
        <f aca="false">base_fleet!X27+base_fleet!AC27+base_fleet!AH27</f>
        <v>0</v>
      </c>
      <c r="V25" s="15" t="n">
        <f aca="false">$B$13/$B$12*V24</f>
        <v>444.702870117324</v>
      </c>
      <c r="W25" s="15" t="n">
        <f aca="false">$B$13/$B$12*W24</f>
        <v>93.0902120027866</v>
      </c>
      <c r="X25" s="15" t="n">
        <f aca="false">$B$13/$B$12*X24</f>
        <v>20.8865111625866</v>
      </c>
      <c r="Y25" s="15" t="n">
        <f aca="false">$B$13/$B$12*Y24</f>
        <v>15.768624321423</v>
      </c>
      <c r="Z25" s="15" t="n">
        <f aca="false">$B$13/$B$12*Z24</f>
        <v>31.537248642846</v>
      </c>
      <c r="AA25" s="15" t="n">
        <f aca="false">$B$13/$B$12*AA24</f>
        <v>6.22445696898276</v>
      </c>
      <c r="AB25" s="15" t="n">
        <f aca="false">$B$13/$B$12*AB24</f>
        <v>0.207481898966092</v>
      </c>
      <c r="AC25" s="15" t="n">
        <f aca="false">$B$13/$B$12*AC24</f>
        <v>0.207481898966092</v>
      </c>
      <c r="AD25" s="15" t="n">
        <f aca="false">$B$13/$B$12*AD24</f>
        <v>1.79817645770613</v>
      </c>
      <c r="AE25" s="15" t="n">
        <f aca="false">$B$13/$B$12*AE24</f>
        <v>8.99088228853065</v>
      </c>
      <c r="AF25" s="15" t="n">
        <f aca="false">$B$13/$B$12*AF24</f>
        <v>1.10657012781916</v>
      </c>
      <c r="AG25" s="15" t="n">
        <f aca="false">$B$13/$B$12*AG24</f>
        <v>0</v>
      </c>
      <c r="AH25" s="15" t="n">
        <f aca="false">$B$13/$B$12*AH24</f>
        <v>0.276642531954789</v>
      </c>
      <c r="AI25" s="15" t="n">
        <f aca="false">$B$13/$B$12*AI24</f>
        <v>0.276642531954789</v>
      </c>
      <c r="AJ25" s="15" t="n">
        <f aca="false">$B$13/$B$12*AJ24</f>
        <v>0</v>
      </c>
      <c r="AK25" s="15" t="n">
        <f aca="false">$B$13/$B$12*AK24</f>
        <v>0</v>
      </c>
      <c r="AL25" s="15" t="n">
        <f aca="false">$B$13/$B$12*AL24</f>
        <v>0</v>
      </c>
      <c r="AM25" s="15" t="n">
        <f aca="false">$B$13/$B$12*AM24</f>
        <v>0</v>
      </c>
      <c r="AN25" s="15" t="n">
        <f aca="false">$B$13/$B$12*AN24</f>
        <v>14.8003754595812</v>
      </c>
      <c r="AO25" s="15" t="n">
        <f aca="false">$B$13/$B$12*AO24</f>
        <v>12.3105926719881</v>
      </c>
      <c r="AP25" s="15" t="n">
        <f aca="false">$B$13/$B$12*AP24</f>
        <v>2.35146152161571</v>
      </c>
      <c r="AQ25" s="15" t="n">
        <f aca="false">$B$13/$B$12*AQ24</f>
        <v>6.77774203289234</v>
      </c>
      <c r="AR25" s="15" t="n">
        <f aca="false">$B$13/$B$12*AR24</f>
        <v>4.14963797932184</v>
      </c>
      <c r="AS25" s="15" t="n">
        <f aca="false">$B$13/$B$12*AS24</f>
        <v>0.138321265977395</v>
      </c>
      <c r="AT25" s="16" t="n">
        <f aca="false">base_fleet!AQ27+base_fleet!AN27+base_fleet!AJ27</f>
        <v>0</v>
      </c>
      <c r="AU25" s="15" t="n">
        <f aca="false">$B$13/$B$12*AU24</f>
        <v>189.69167853955</v>
      </c>
      <c r="AV25" s="15" t="n">
        <f aca="false">$B$13/$B$12*AV24</f>
        <v>17.3519030990885</v>
      </c>
      <c r="AW25" s="15" t="n">
        <f aca="false">$B$13/$B$12*AW24</f>
        <v>5.89627775211745</v>
      </c>
      <c r="AX25" s="15" t="n">
        <f aca="false">$B$13/$B$12*AX24</f>
        <v>2.19004602221505</v>
      </c>
      <c r="AY25" s="15" t="n">
        <f aca="false">$B$13/$B$12*AY24</f>
        <v>0</v>
      </c>
      <c r="AZ25" s="15" t="n">
        <f aca="false">$B$13/$B$12*AZ24</f>
        <v>0.168465078631927</v>
      </c>
      <c r="BA25" s="15" t="n">
        <f aca="false">$B$13/$B$12*BA24</f>
        <v>39.3650207612846</v>
      </c>
      <c r="BB25" s="15" t="n">
        <f aca="false">$B$13/$B$12*BB24</f>
        <v>3.60121641033834</v>
      </c>
      <c r="BC25" s="15" t="n">
        <f aca="false">$B$13/$B$12*BC24</f>
        <v>0.0993439009748508</v>
      </c>
      <c r="BD25" s="15" t="n">
        <f aca="false">$B$13/$B$12*BD24</f>
        <v>0.0248359752437127</v>
      </c>
      <c r="BE25" s="16" t="n">
        <v>0</v>
      </c>
      <c r="BF25" s="16" t="n">
        <v>0</v>
      </c>
      <c r="BG25" s="16" t="n">
        <f aca="false">base_fleet!CE27</f>
        <v>0</v>
      </c>
      <c r="BH25" s="16" t="n">
        <f aca="false">base_fleet!CA27</f>
        <v>0</v>
      </c>
      <c r="BI25" s="16" t="n">
        <f aca="false">base_fleet!BV27</f>
        <v>0</v>
      </c>
      <c r="BJ25" s="16" t="n">
        <f aca="false">base_fleet!CH27</f>
        <v>0</v>
      </c>
      <c r="BK25" s="16" t="n">
        <f aca="false">base_fleet!BU27+base_fleet!BZ27+base_fleet!CD27</f>
        <v>0</v>
      </c>
    </row>
    <row r="26" customFormat="false" ht="13.2" hidden="false" customHeight="false" outlineLevel="0" collapsed="false">
      <c r="A26" s="0" t="n">
        <f aca="false">A25-1</f>
        <v>1993</v>
      </c>
      <c r="B26" s="15" t="n">
        <f aca="false">$B$13/$B$12*B25</f>
        <v>1308.24878468814</v>
      </c>
      <c r="C26" s="15" t="n">
        <f aca="false">$B$13/$B$12*C25</f>
        <v>2342.82335855542</v>
      </c>
      <c r="D26" s="15" t="n">
        <f aca="false">$B$13/$B$12*D25</f>
        <v>1.38321265977395</v>
      </c>
      <c r="E26" s="15" t="n">
        <f aca="false">$B$13/$B$12*E25</f>
        <v>975.391534404743</v>
      </c>
      <c r="F26" s="15" t="n">
        <f aca="false">$B$13/$B$12*F25</f>
        <v>10.0808222220452</v>
      </c>
      <c r="G26" s="15" t="n">
        <f aca="false">$B$13/$B$12*G25</f>
        <v>15.8067292441669</v>
      </c>
      <c r="H26" s="15" t="n">
        <f aca="false">$B$13/$B$12*H25</f>
        <v>0.161293155552723</v>
      </c>
      <c r="I26" s="15" t="n">
        <f aca="false">$B$13/$B$12*I25</f>
        <v>124.799172743663</v>
      </c>
      <c r="J26" s="16" t="n">
        <f aca="false">base_fleet!C28+base_fleet!G28+base_fleet!L28+base_fleet!Q28</f>
        <v>0</v>
      </c>
      <c r="K26" s="16" t="n">
        <f aca="false">base_fleet!E28+base_fleet!J28+base_fleet!O28+base_fleet!T28</f>
        <v>0</v>
      </c>
      <c r="L26" s="15" t="n">
        <f aca="false">$B$13/$B$12*L25</f>
        <v>149.233232999818</v>
      </c>
      <c r="M26" s="16" t="n">
        <f aca="false">base_fleet!I28+base_fleet!N28</f>
        <v>0</v>
      </c>
      <c r="N26" s="15" t="n">
        <f aca="false">$B$13/$B$12*N25</f>
        <v>1508.25508421751</v>
      </c>
      <c r="O26" s="15" t="n">
        <f aca="false">$B$13/$B$12*O25</f>
        <v>23.6529364821345</v>
      </c>
      <c r="P26" s="15" t="n">
        <f aca="false">$B$13/$B$12*P25</f>
        <v>105.539125940752</v>
      </c>
      <c r="Q26" s="15" t="n">
        <f aca="false">$B$13/$B$12*Q25</f>
        <v>288.26151829689</v>
      </c>
      <c r="R26" s="15" t="n">
        <f aca="false">$B$13/$B$12*R25</f>
        <v>40.9430947293088</v>
      </c>
      <c r="S26" s="15" t="n">
        <f aca="false">$B$13/$B$12*S25</f>
        <v>15.4919817894682</v>
      </c>
      <c r="T26" s="16" t="n">
        <f aca="false">base_fleet!Z28+base_fleet!AE28</f>
        <v>0</v>
      </c>
      <c r="U26" s="17" t="n">
        <f aca="false">base_fleet!X28+base_fleet!AC28+base_fleet!AH28</f>
        <v>0</v>
      </c>
      <c r="V26" s="15" t="n">
        <f aca="false">$B$13/$B$12*V25</f>
        <v>371.508648491553</v>
      </c>
      <c r="W26" s="15" t="n">
        <f aca="false">$B$13/$B$12*W25</f>
        <v>77.7683733856346</v>
      </c>
      <c r="X26" s="15" t="n">
        <f aca="false">$B$13/$B$12*X25</f>
        <v>17.4487732261974</v>
      </c>
      <c r="Y26" s="15" t="n">
        <f aca="false">$B$13/$B$12*Y25</f>
        <v>13.1732460118311</v>
      </c>
      <c r="Z26" s="15" t="n">
        <f aca="false">$B$13/$B$12*Z25</f>
        <v>26.3464920236622</v>
      </c>
      <c r="AA26" s="15" t="n">
        <f aca="false">$B$13/$B$12*AA25</f>
        <v>5.19996553098597</v>
      </c>
      <c r="AB26" s="15" t="n">
        <f aca="false">$B$13/$B$12*AB25</f>
        <v>0.173332184366199</v>
      </c>
      <c r="AC26" s="15" t="n">
        <f aca="false">$B$13/$B$12*AC25</f>
        <v>0.173332184366199</v>
      </c>
      <c r="AD26" s="15" t="n">
        <f aca="false">$B$13/$B$12*AD25</f>
        <v>1.50221226450706</v>
      </c>
      <c r="AE26" s="15" t="n">
        <f aca="false">$B$13/$B$12*AE25</f>
        <v>7.51106132253529</v>
      </c>
      <c r="AF26" s="15" t="n">
        <f aca="false">$B$13/$B$12*AF25</f>
        <v>0.924438316619728</v>
      </c>
      <c r="AG26" s="15" t="n">
        <f aca="false">$B$13/$B$12*AG25</f>
        <v>0</v>
      </c>
      <c r="AH26" s="15" t="n">
        <f aca="false">$B$13/$B$12*AH25</f>
        <v>0.231109579154932</v>
      </c>
      <c r="AI26" s="15" t="n">
        <f aca="false">$B$13/$B$12*AI25</f>
        <v>0.231109579154932</v>
      </c>
      <c r="AJ26" s="15" t="n">
        <f aca="false">$B$13/$B$12*AJ25</f>
        <v>0</v>
      </c>
      <c r="AK26" s="15" t="n">
        <f aca="false">$B$13/$B$12*AK25</f>
        <v>0</v>
      </c>
      <c r="AL26" s="15" t="n">
        <f aca="false">$B$13/$B$12*AL25</f>
        <v>0</v>
      </c>
      <c r="AM26" s="15" t="n">
        <f aca="false">$B$13/$B$12*AM25</f>
        <v>0</v>
      </c>
      <c r="AN26" s="15" t="n">
        <f aca="false">$B$13/$B$12*AN25</f>
        <v>12.3643624847889</v>
      </c>
      <c r="AO26" s="15" t="n">
        <f aca="false">$B$13/$B$12*AO25</f>
        <v>10.2843762723945</v>
      </c>
      <c r="AP26" s="15" t="n">
        <f aca="false">$B$13/$B$12*AP25</f>
        <v>1.96443142281692</v>
      </c>
      <c r="AQ26" s="15" t="n">
        <f aca="false">$B$13/$B$12*AQ25</f>
        <v>5.66218468929583</v>
      </c>
      <c r="AR26" s="15" t="n">
        <f aca="false">$B$13/$B$12*AR25</f>
        <v>3.46664368732398</v>
      </c>
      <c r="AS26" s="15" t="n">
        <f aca="false">$B$13/$B$12*AS25</f>
        <v>0.115554789577466</v>
      </c>
      <c r="AT26" s="16" t="n">
        <f aca="false">base_fleet!AQ28+base_fleet!AN28+base_fleet!AJ28</f>
        <v>0</v>
      </c>
      <c r="AU26" s="15" t="n">
        <f aca="false">$B$13/$B$12*AU25</f>
        <v>158.470079371716</v>
      </c>
      <c r="AV26" s="15" t="n">
        <f aca="false">$B$13/$B$12*AV25</f>
        <v>14.4959308839136</v>
      </c>
      <c r="AW26" s="15" t="n">
        <f aca="false">$B$13/$B$12*AW25</f>
        <v>4.92580175666968</v>
      </c>
      <c r="AX26" s="15" t="n">
        <f aca="false">$B$13/$B$12*AX25</f>
        <v>1.82958350962017</v>
      </c>
      <c r="AY26" s="15" t="n">
        <f aca="false">$B$13/$B$12*AY25</f>
        <v>0</v>
      </c>
      <c r="AZ26" s="15" t="n">
        <f aca="false">$B$13/$B$12*AZ25</f>
        <v>0.140737193047705</v>
      </c>
      <c r="BA26" s="15" t="n">
        <f aca="false">$B$13/$B$12*BA25</f>
        <v>32.8858809861256</v>
      </c>
      <c r="BB26" s="15" t="n">
        <f aca="false">$B$13/$B$12*BB25</f>
        <v>3.00848753500833</v>
      </c>
      <c r="BC26" s="15" t="n">
        <f aca="false">$B$13/$B$12*BC25</f>
        <v>0.0829927595864368</v>
      </c>
      <c r="BD26" s="15" t="n">
        <f aca="false">$B$13/$B$12*BD25</f>
        <v>0.0207481898966092</v>
      </c>
      <c r="BE26" s="16" t="n">
        <v>0</v>
      </c>
      <c r="BF26" s="16" t="n">
        <v>0</v>
      </c>
      <c r="BG26" s="16" t="n">
        <f aca="false">base_fleet!CE28</f>
        <v>0</v>
      </c>
      <c r="BH26" s="16" t="n">
        <f aca="false">base_fleet!CA28</f>
        <v>0</v>
      </c>
      <c r="BI26" s="16" t="n">
        <f aca="false">base_fleet!BV28</f>
        <v>0</v>
      </c>
      <c r="BJ26" s="16" t="n">
        <f aca="false">base_fleet!CH28</f>
        <v>0</v>
      </c>
      <c r="BK26" s="16" t="n">
        <f aca="false">base_fleet!BU28+base_fleet!BZ28+base_fleet!CD28</f>
        <v>0</v>
      </c>
    </row>
    <row r="27" customFormat="false" ht="13.2" hidden="false" customHeight="false" outlineLevel="0" collapsed="false">
      <c r="A27" s="0" t="n">
        <f aca="false">A26-1</f>
        <v>1992</v>
      </c>
      <c r="B27" s="15" t="n">
        <f aca="false">$B$13/$B$12*B26</f>
        <v>1092.92242202525</v>
      </c>
      <c r="C27" s="15" t="n">
        <f aca="false">$B$13/$B$12*C26</f>
        <v>1957.21502620781</v>
      </c>
      <c r="D27" s="15" t="n">
        <f aca="false">$B$13/$B$12*D26</f>
        <v>1.15554789577466</v>
      </c>
      <c r="E27" s="15" t="n">
        <f aca="false">$B$13/$B$12*E26</f>
        <v>814.850577872832</v>
      </c>
      <c r="F27" s="15" t="n">
        <f aca="false">$B$13/$B$12*F26</f>
        <v>8.42160663007991</v>
      </c>
      <c r="G27" s="15" t="n">
        <f aca="false">$B$13/$B$12*G26</f>
        <v>13.2050791959653</v>
      </c>
      <c r="H27" s="15" t="n">
        <f aca="false">$B$13/$B$12*H26</f>
        <v>0.134745706081279</v>
      </c>
      <c r="I27" s="15" t="n">
        <f aca="false">$B$13/$B$12*I26</f>
        <v>104.258315190613</v>
      </c>
      <c r="J27" s="16" t="n">
        <f aca="false">base_fleet!C29+base_fleet!G29+base_fleet!L29+base_fleet!Q29</f>
        <v>0</v>
      </c>
      <c r="K27" s="16" t="n">
        <f aca="false">base_fleet!E29+base_fleet!J29+base_fleet!O29+base_fleet!T29</f>
        <v>0</v>
      </c>
      <c r="L27" s="15" t="n">
        <f aca="false">$B$13/$B$12*L26</f>
        <v>124.670741808257</v>
      </c>
      <c r="M27" s="16" t="n">
        <f aca="false">base_fleet!I29+base_fleet!N29</f>
        <v>0</v>
      </c>
      <c r="N27" s="15" t="n">
        <f aca="false">$B$13/$B$12*N26</f>
        <v>1260.00942555269</v>
      </c>
      <c r="O27" s="15" t="n">
        <f aca="false">$B$13/$B$12*O26</f>
        <v>19.7598690177467</v>
      </c>
      <c r="P27" s="15" t="n">
        <f aca="false">$B$13/$B$12*P26</f>
        <v>88.1683044476065</v>
      </c>
      <c r="Q27" s="15" t="n">
        <f aca="false">$B$13/$B$12*Q26</f>
        <v>240.816181479439</v>
      </c>
      <c r="R27" s="15" t="n">
        <f aca="false">$B$13/$B$12*R26</f>
        <v>34.2042177149299</v>
      </c>
      <c r="S27" s="15" t="n">
        <f aca="false">$B$13/$B$12*S26</f>
        <v>12.9421364326762</v>
      </c>
      <c r="T27" s="16" t="n">
        <f aca="false">base_fleet!Z29+base_fleet!AE29</f>
        <v>0</v>
      </c>
      <c r="U27" s="17" t="n">
        <f aca="false">base_fleet!X29+base_fleet!AC29+base_fleet!AH29</f>
        <v>0</v>
      </c>
      <c r="V27" s="15" t="n">
        <f aca="false">$B$13/$B$12*V26</f>
        <v>310.36155864613</v>
      </c>
      <c r="W27" s="15" t="n">
        <f aca="false">$B$13/$B$12*W26</f>
        <v>64.9683760400764</v>
      </c>
      <c r="X27" s="15" t="n">
        <f aca="false">$B$13/$B$12*X26</f>
        <v>14.5768570312802</v>
      </c>
      <c r="Y27" s="15" t="n">
        <f aca="false">$B$13/$B$12*Y26</f>
        <v>11.0050443812314</v>
      </c>
      <c r="Z27" s="15" t="n">
        <f aca="false">$B$13/$B$12*Z26</f>
        <v>22.0100887624627</v>
      </c>
      <c r="AA27" s="15" t="n">
        <f aca="false">$B$13/$B$12*AA26</f>
        <v>4.34409646627554</v>
      </c>
      <c r="AB27" s="15" t="n">
        <f aca="false">$B$13/$B$12*AB26</f>
        <v>0.144803215542518</v>
      </c>
      <c r="AC27" s="15" t="n">
        <f aca="false">$B$13/$B$12*AC26</f>
        <v>0.144803215542518</v>
      </c>
      <c r="AD27" s="15" t="n">
        <f aca="false">$B$13/$B$12*AD26</f>
        <v>1.25496120136849</v>
      </c>
      <c r="AE27" s="15" t="n">
        <f aca="false">$B$13/$B$12*AE26</f>
        <v>6.27480600684245</v>
      </c>
      <c r="AF27" s="15" t="n">
        <f aca="false">$B$13/$B$12*AF26</f>
        <v>0.772283816226763</v>
      </c>
      <c r="AG27" s="15" t="n">
        <f aca="false">$B$13/$B$12*AG26</f>
        <v>0</v>
      </c>
      <c r="AH27" s="15" t="n">
        <f aca="false">$B$13/$B$12*AH26</f>
        <v>0.193070954056691</v>
      </c>
      <c r="AI27" s="15" t="n">
        <f aca="false">$B$13/$B$12*AI26</f>
        <v>0.193070954056691</v>
      </c>
      <c r="AJ27" s="15" t="n">
        <f aca="false">$B$13/$B$12*AJ26</f>
        <v>0</v>
      </c>
      <c r="AK27" s="15" t="n">
        <f aca="false">$B$13/$B$12*AK26</f>
        <v>0</v>
      </c>
      <c r="AL27" s="15" t="n">
        <f aca="false">$B$13/$B$12*AL26</f>
        <v>0</v>
      </c>
      <c r="AM27" s="15" t="n">
        <f aca="false">$B$13/$B$12*AM26</f>
        <v>0</v>
      </c>
      <c r="AN27" s="15" t="n">
        <f aca="false">$B$13/$B$12*AN26</f>
        <v>10.329296042033</v>
      </c>
      <c r="AO27" s="15" t="n">
        <f aca="false">$B$13/$B$12*AO26</f>
        <v>8.59165745552274</v>
      </c>
      <c r="AP27" s="15" t="n">
        <f aca="false">$B$13/$B$12*AP26</f>
        <v>1.64110310948187</v>
      </c>
      <c r="AQ27" s="15" t="n">
        <f aca="false">$B$13/$B$12*AQ26</f>
        <v>4.73023837438892</v>
      </c>
      <c r="AR27" s="15" t="n">
        <f aca="false">$B$13/$B$12*AR26</f>
        <v>2.89606431085036</v>
      </c>
      <c r="AS27" s="15" t="n">
        <f aca="false">$B$13/$B$12*AS26</f>
        <v>0.0965354770283454</v>
      </c>
      <c r="AT27" s="16" t="n">
        <f aca="false">base_fleet!AQ29+base_fleet!AN29+base_fleet!AJ29</f>
        <v>0</v>
      </c>
      <c r="AU27" s="15" t="n">
        <f aca="false">$B$13/$B$12*AU26</f>
        <v>132.387283666964</v>
      </c>
      <c r="AV27" s="15" t="n">
        <f aca="false">$B$13/$B$12*AV26</f>
        <v>12.1100268363209</v>
      </c>
      <c r="AW27" s="15" t="n">
        <f aca="false">$B$13/$B$12*AW26</f>
        <v>4.11505766282749</v>
      </c>
      <c r="AX27" s="15" t="n">
        <f aca="false">$B$13/$B$12*AX26</f>
        <v>1.52844998905021</v>
      </c>
      <c r="AY27" s="15" t="n">
        <f aca="false">$B$13/$B$12*AY26</f>
        <v>0</v>
      </c>
      <c r="AZ27" s="15" t="n">
        <f aca="false">$B$13/$B$12*AZ26</f>
        <v>0.117573076080785</v>
      </c>
      <c r="BA27" s="15" t="n">
        <f aca="false">$B$13/$B$12*BA26</f>
        <v>27.4731512220425</v>
      </c>
      <c r="BB27" s="15" t="n">
        <f aca="false">$B$13/$B$12*BB26</f>
        <v>2.51331667330988</v>
      </c>
      <c r="BC27" s="15" t="n">
        <f aca="false">$B$13/$B$12*BC26</f>
        <v>0.0693328737464795</v>
      </c>
      <c r="BD27" s="15" t="n">
        <f aca="false">$B$13/$B$12*BD26</f>
        <v>0.0173332184366199</v>
      </c>
      <c r="BE27" s="16" t="n">
        <v>0</v>
      </c>
      <c r="BF27" s="16" t="n">
        <v>0</v>
      </c>
      <c r="BG27" s="16" t="n">
        <f aca="false">base_fleet!CE29</f>
        <v>0</v>
      </c>
      <c r="BH27" s="16" t="n">
        <f aca="false">base_fleet!CA29</f>
        <v>0</v>
      </c>
      <c r="BI27" s="16" t="n">
        <f aca="false">base_fleet!BV29</f>
        <v>0</v>
      </c>
      <c r="BJ27" s="16" t="n">
        <f aca="false">base_fleet!CH29</f>
        <v>0</v>
      </c>
      <c r="BK27" s="16" t="n">
        <f aca="false">base_fleet!BU29+base_fleet!BZ29+base_fleet!CD29</f>
        <v>0</v>
      </c>
    </row>
    <row r="28" customFormat="false" ht="13.2" hidden="false" customHeight="false" outlineLevel="0" collapsed="false">
      <c r="A28" s="0" t="n">
        <f aca="false">A27-1</f>
        <v>1991</v>
      </c>
      <c r="B28" s="15" t="n">
        <f aca="false">$B$13/$B$12*B27</f>
        <v>913.036904406744</v>
      </c>
      <c r="C28" s="15" t="n">
        <f aca="false">$B$13/$B$12*C27</f>
        <v>1635.07446894145</v>
      </c>
      <c r="D28" s="15" t="n">
        <f aca="false">$B$13/$B$12*D27</f>
        <v>0.965354770283454</v>
      </c>
      <c r="E28" s="15" t="n">
        <f aca="false">$B$13/$B$12*E27</f>
        <v>680.733265400852</v>
      </c>
      <c r="F28" s="15" t="n">
        <f aca="false">$B$13/$B$12*F27</f>
        <v>7.03548348235994</v>
      </c>
      <c r="G28" s="15" t="n">
        <f aca="false">$B$13/$B$12*G27</f>
        <v>11.0316381003404</v>
      </c>
      <c r="H28" s="15" t="n">
        <f aca="false">$B$13/$B$12*H27</f>
        <v>0.112567735717759</v>
      </c>
      <c r="I28" s="15" t="n">
        <f aca="false">$B$13/$B$12*I27</f>
        <v>87.0983039984704</v>
      </c>
      <c r="J28" s="16" t="n">
        <f aca="false">base_fleet!C30+base_fleet!G30+base_fleet!L30+base_fleet!Q30</f>
        <v>0</v>
      </c>
      <c r="K28" s="16" t="n">
        <f aca="false">base_fleet!E30+base_fleet!J30+base_fleet!O30+base_fleet!T30</f>
        <v>0</v>
      </c>
      <c r="L28" s="15" t="n">
        <f aca="false">$B$13/$B$12*L27</f>
        <v>104.151022869282</v>
      </c>
      <c r="M28" s="16" t="n">
        <f aca="false">base_fleet!I30+base_fleet!N30</f>
        <v>0</v>
      </c>
      <c r="N28" s="15" t="n">
        <f aca="false">$B$13/$B$12*N27</f>
        <v>1052.62284151708</v>
      </c>
      <c r="O28" s="15" t="n">
        <f aca="false">$B$13/$B$12*O27</f>
        <v>16.5075665718471</v>
      </c>
      <c r="P28" s="15" t="n">
        <f aca="false">$B$13/$B$12*P27</f>
        <v>73.6565689726275</v>
      </c>
      <c r="Q28" s="15" t="n">
        <f aca="false">$B$13/$B$12*Q27</f>
        <v>201.179934127072</v>
      </c>
      <c r="R28" s="15" t="n">
        <f aca="false">$B$13/$B$12*R27</f>
        <v>28.5745012003902</v>
      </c>
      <c r="S28" s="15" t="n">
        <f aca="false">$B$13/$B$12*S27</f>
        <v>10.8119734271747</v>
      </c>
      <c r="T28" s="16" t="n">
        <f aca="false">base_fleet!Z30+base_fleet!AE30</f>
        <v>0</v>
      </c>
      <c r="U28" s="17" t="n">
        <f aca="false">base_fleet!X30+base_fleet!AC30+base_fleet!AH30</f>
        <v>0</v>
      </c>
      <c r="V28" s="15" t="n">
        <f aca="false">$B$13/$B$12*V27</f>
        <v>259.278747551002</v>
      </c>
      <c r="W28" s="15" t="n">
        <f aca="false">$B$13/$B$12*W27</f>
        <v>54.2751468434913</v>
      </c>
      <c r="X28" s="15" t="n">
        <f aca="false">$B$13/$B$12*X27</f>
        <v>12.1776332442306</v>
      </c>
      <c r="Y28" s="15" t="n">
        <f aca="false">$B$13/$B$12*Y27</f>
        <v>9.19370986650521</v>
      </c>
      <c r="Z28" s="15" t="n">
        <f aca="false">$B$13/$B$12*Z27</f>
        <v>18.3874197330104</v>
      </c>
      <c r="AA28" s="15" t="n">
        <f aca="false">$B$13/$B$12*AA27</f>
        <v>3.62909599993627</v>
      </c>
      <c r="AB28" s="15" t="n">
        <f aca="false">$B$13/$B$12*AB27</f>
        <v>0.120969866664542</v>
      </c>
      <c r="AC28" s="15" t="n">
        <f aca="false">$B$13/$B$12*AC27</f>
        <v>0.120969866664542</v>
      </c>
      <c r="AD28" s="15" t="n">
        <f aca="false">$B$13/$B$12*AD27</f>
        <v>1.0484055110927</v>
      </c>
      <c r="AE28" s="15" t="n">
        <f aca="false">$B$13/$B$12*AE27</f>
        <v>5.2420275554635</v>
      </c>
      <c r="AF28" s="15" t="n">
        <f aca="false">$B$13/$B$12*AF27</f>
        <v>0.645172622210892</v>
      </c>
      <c r="AG28" s="15" t="n">
        <f aca="false">$B$13/$B$12*AG27</f>
        <v>0</v>
      </c>
      <c r="AH28" s="15" t="n">
        <f aca="false">$B$13/$B$12*AH27</f>
        <v>0.161293155552723</v>
      </c>
      <c r="AI28" s="15" t="n">
        <f aca="false">$B$13/$B$12*AI27</f>
        <v>0.161293155552723</v>
      </c>
      <c r="AJ28" s="15" t="n">
        <f aca="false">$B$13/$B$12*AJ27</f>
        <v>0</v>
      </c>
      <c r="AK28" s="15" t="n">
        <f aca="false">$B$13/$B$12*AK27</f>
        <v>0</v>
      </c>
      <c r="AL28" s="15" t="n">
        <f aca="false">$B$13/$B$12*AL27</f>
        <v>0</v>
      </c>
      <c r="AM28" s="15" t="n">
        <f aca="false">$B$13/$B$12*AM27</f>
        <v>0</v>
      </c>
      <c r="AN28" s="15" t="n">
        <f aca="false">$B$13/$B$12*AN27</f>
        <v>8.62918382207068</v>
      </c>
      <c r="AO28" s="15" t="n">
        <f aca="false">$B$13/$B$12*AO27</f>
        <v>7.17754542209618</v>
      </c>
      <c r="AP28" s="15" t="n">
        <f aca="false">$B$13/$B$12*AP27</f>
        <v>1.37099182219815</v>
      </c>
      <c r="AQ28" s="15" t="n">
        <f aca="false">$B$13/$B$12*AQ27</f>
        <v>3.95168231104171</v>
      </c>
      <c r="AR28" s="15" t="n">
        <f aca="false">$B$13/$B$12*AR27</f>
        <v>2.41939733329085</v>
      </c>
      <c r="AS28" s="15" t="n">
        <f aca="false">$B$13/$B$12*AS27</f>
        <v>0.0806465777763615</v>
      </c>
      <c r="AT28" s="16" t="n">
        <f aca="false">base_fleet!AQ30+base_fleet!AN30+base_fleet!AJ30</f>
        <v>0</v>
      </c>
      <c r="AU28" s="15" t="n">
        <f aca="false">$B$13/$B$12*AU27</f>
        <v>110.597489104593</v>
      </c>
      <c r="AV28" s="15" t="n">
        <f aca="false">$B$13/$B$12*AV27</f>
        <v>10.1168218275071</v>
      </c>
      <c r="AW28" s="15" t="n">
        <f aca="false">$B$13/$B$12*AW27</f>
        <v>3.43775498992961</v>
      </c>
      <c r="AX28" s="15" t="n">
        <f aca="false">$B$13/$B$12*AX27</f>
        <v>1.276880424831</v>
      </c>
      <c r="AY28" s="15" t="n">
        <f aca="false">$B$13/$B$12*AY27</f>
        <v>0</v>
      </c>
      <c r="AZ28" s="15" t="n">
        <f aca="false">$B$13/$B$12*AZ27</f>
        <v>0.0982215711408461</v>
      </c>
      <c r="BA28" s="15" t="n">
        <f aca="false">$B$13/$B$12*BA27</f>
        <v>22.9513096634891</v>
      </c>
      <c r="BB28" s="15" t="n">
        <f aca="false">$B$13/$B$12*BB27</f>
        <v>2.09964662536651</v>
      </c>
      <c r="BC28" s="15" t="n">
        <f aca="false">$B$13/$B$12*BC27</f>
        <v>0.0579212862170072</v>
      </c>
      <c r="BD28" s="15" t="n">
        <f aca="false">$B$13/$B$12*BD27</f>
        <v>0.0144803215542518</v>
      </c>
      <c r="BE28" s="16" t="n">
        <v>0</v>
      </c>
      <c r="BF28" s="16" t="n">
        <v>0</v>
      </c>
      <c r="BG28" s="16" t="n">
        <f aca="false">base_fleet!CE30</f>
        <v>0</v>
      </c>
      <c r="BH28" s="16" t="n">
        <f aca="false">base_fleet!CA30</f>
        <v>0</v>
      </c>
      <c r="BI28" s="16" t="n">
        <f aca="false">base_fleet!BV30</f>
        <v>0</v>
      </c>
      <c r="BJ28" s="16" t="n">
        <f aca="false">base_fleet!CH30</f>
        <v>0</v>
      </c>
      <c r="BK28" s="16" t="n">
        <f aca="false">base_fleet!BU30+base_fleet!BZ30+base_fleet!CD30</f>
        <v>0</v>
      </c>
    </row>
    <row r="29" customFormat="false" ht="13.2" hidden="false" customHeight="false" outlineLevel="0" collapsed="false">
      <c r="A29" s="0" t="n">
        <f aca="false">A28-1</f>
        <v>1990</v>
      </c>
      <c r="B29" s="15" t="n">
        <f aca="false">$B$13/$B$12*B28</f>
        <v>762.758977223536</v>
      </c>
      <c r="C29" s="15" t="n">
        <f aca="false">$B$13/$B$12*C28</f>
        <v>1365.95544341601</v>
      </c>
      <c r="D29" s="15" t="n">
        <f aca="false">$B$13/$B$12*D28</f>
        <v>0.806465777763615</v>
      </c>
      <c r="E29" s="15" t="n">
        <f aca="false">$B$13/$B$12*E28</f>
        <v>568.690495173983</v>
      </c>
      <c r="F29" s="15" t="n">
        <f aca="false">$B$13/$B$12*F28</f>
        <v>5.87750413962162</v>
      </c>
      <c r="G29" s="15" t="n">
        <f aca="false">$B$13/$B$12*G28</f>
        <v>9.21592649092671</v>
      </c>
      <c r="H29" s="15" t="n">
        <f aca="false">$B$13/$B$12*H28</f>
        <v>0.094040066233946</v>
      </c>
      <c r="I29" s="15" t="n">
        <f aca="false">$B$13/$B$12*I28</f>
        <v>72.7626812838905</v>
      </c>
      <c r="J29" s="16" t="n">
        <f aca="false">base_fleet!C31+base_fleet!G31+base_fleet!L31+base_fleet!Q31</f>
        <v>0</v>
      </c>
      <c r="K29" s="16" t="n">
        <f aca="false">base_fleet!E31+base_fleet!J31+base_fleet!O31+base_fleet!T31</f>
        <v>0</v>
      </c>
      <c r="L29" s="15" t="n">
        <f aca="false">$B$13/$B$12*L28</f>
        <v>87.0086710593336</v>
      </c>
      <c r="M29" s="16" t="n">
        <f aca="false">base_fleet!I31+base_fleet!N31</f>
        <v>0</v>
      </c>
      <c r="N29" s="15" t="n">
        <f aca="false">$B$13/$B$12*N28</f>
        <v>879.370284073446</v>
      </c>
      <c r="O29" s="15" t="n">
        <f aca="false">$B$13/$B$12*O28</f>
        <v>13.7905647997578</v>
      </c>
      <c r="P29" s="15" t="n">
        <f aca="false">$B$13/$B$12*P28</f>
        <v>61.5333388433638</v>
      </c>
      <c r="Q29" s="15" t="n">
        <f aca="false">$B$13/$B$12*Q28</f>
        <v>168.067468085937</v>
      </c>
      <c r="R29" s="15" t="n">
        <f aca="false">$B$13/$B$12*R28</f>
        <v>23.871387021803</v>
      </c>
      <c r="S29" s="15" t="n">
        <f aca="false">$B$13/$B$12*S28</f>
        <v>9.03241671095249</v>
      </c>
      <c r="T29" s="16" t="n">
        <f aca="false">base_fleet!Z31+base_fleet!AE31</f>
        <v>0</v>
      </c>
      <c r="U29" s="17" t="n">
        <f aca="false">base_fleet!X31+base_fleet!AC31+base_fleet!AH31</f>
        <v>0</v>
      </c>
      <c r="V29" s="15" t="n">
        <f aca="false">$B$13/$B$12*V28</f>
        <v>216.603722525655</v>
      </c>
      <c r="W29" s="15" t="n">
        <f aca="false">$B$13/$B$12*W28</f>
        <v>45.3419300963503</v>
      </c>
      <c r="X29" s="15" t="n">
        <f aca="false">$B$13/$B$12*X28</f>
        <v>10.1733008091365</v>
      </c>
      <c r="Y29" s="15" t="n">
        <f aca="false">$B$13/$B$12*Y28</f>
        <v>7.68050524663289</v>
      </c>
      <c r="Z29" s="15" t="n">
        <f aca="false">$B$13/$B$12*Z28</f>
        <v>15.3610104932658</v>
      </c>
      <c r="AA29" s="15" t="n">
        <f aca="false">$B$13/$B$12*AA28</f>
        <v>3.03177838682877</v>
      </c>
      <c r="AB29" s="15" t="n">
        <f aca="false">$B$13/$B$12*AB28</f>
        <v>0.101059279560959</v>
      </c>
      <c r="AC29" s="15" t="n">
        <f aca="false">$B$13/$B$12*AC28</f>
        <v>0.101059279560959</v>
      </c>
      <c r="AD29" s="15" t="n">
        <f aca="false">$B$13/$B$12*AD28</f>
        <v>0.875847089528311</v>
      </c>
      <c r="AE29" s="15" t="n">
        <f aca="false">$B$13/$B$12*AE28</f>
        <v>4.37923544764156</v>
      </c>
      <c r="AF29" s="15" t="n">
        <f aca="false">$B$13/$B$12*AF28</f>
        <v>0.538982824325115</v>
      </c>
      <c r="AG29" s="15" t="n">
        <f aca="false">$B$13/$B$12*AG28</f>
        <v>0</v>
      </c>
      <c r="AH29" s="15" t="n">
        <f aca="false">$B$13/$B$12*AH28</f>
        <v>0.134745706081279</v>
      </c>
      <c r="AI29" s="15" t="n">
        <f aca="false">$B$13/$B$12*AI28</f>
        <v>0.134745706081279</v>
      </c>
      <c r="AJ29" s="15" t="n">
        <f aca="false">$B$13/$B$12*AJ28</f>
        <v>0</v>
      </c>
      <c r="AK29" s="15" t="n">
        <f aca="false">$B$13/$B$12*AK28</f>
        <v>0</v>
      </c>
      <c r="AL29" s="15" t="n">
        <f aca="false">$B$13/$B$12*AL28</f>
        <v>0</v>
      </c>
      <c r="AM29" s="15" t="n">
        <f aca="false">$B$13/$B$12*AM28</f>
        <v>0</v>
      </c>
      <c r="AN29" s="15" t="n">
        <f aca="false">$B$13/$B$12*AN28</f>
        <v>7.20889527534841</v>
      </c>
      <c r="AO29" s="15" t="n">
        <f aca="false">$B$13/$B$12*AO28</f>
        <v>5.9961839206169</v>
      </c>
      <c r="AP29" s="15" t="n">
        <f aca="false">$B$13/$B$12*AP28</f>
        <v>1.14533850169087</v>
      </c>
      <c r="AQ29" s="15" t="n">
        <f aca="false">$B$13/$B$12*AQ28</f>
        <v>3.30126979899133</v>
      </c>
      <c r="AR29" s="15" t="n">
        <f aca="false">$B$13/$B$12*AR28</f>
        <v>2.02118559121918</v>
      </c>
      <c r="AS29" s="15" t="n">
        <f aca="false">$B$13/$B$12*AS28</f>
        <v>0.0673728530406393</v>
      </c>
      <c r="AT29" s="16" t="n">
        <f aca="false">base_fleet!AQ31+base_fleet!AN31+base_fleet!AJ31</f>
        <v>0</v>
      </c>
      <c r="AU29" s="15" t="n">
        <f aca="false">$B$13/$B$12*AU28</f>
        <v>92.3941050638293</v>
      </c>
      <c r="AV29" s="15" t="n">
        <f aca="false">$B$13/$B$12*AV28</f>
        <v>8.45168101383164</v>
      </c>
      <c r="AW29" s="15" t="n">
        <f aca="false">$B$13/$B$12*AW28</f>
        <v>2.87193044159327</v>
      </c>
      <c r="AX29" s="15" t="n">
        <f aca="false">$B$13/$B$12*AX28</f>
        <v>1.06671702116322</v>
      </c>
      <c r="AY29" s="15" t="n">
        <f aca="false">$B$13/$B$12*AY28</f>
        <v>0</v>
      </c>
      <c r="AZ29" s="15" t="n">
        <f aca="false">$B$13/$B$12*AZ28</f>
        <v>0.0820551554740936</v>
      </c>
      <c r="BA29" s="15" t="n">
        <f aca="false">$B$13/$B$12*BA28</f>
        <v>19.1737238663299</v>
      </c>
      <c r="BB29" s="15" t="n">
        <f aca="false">$B$13/$B$12*BB28</f>
        <v>1.75406306663586</v>
      </c>
      <c r="BC29" s="15" t="n">
        <f aca="false">$B$13/$B$12*BC28</f>
        <v>0.0483879466658169</v>
      </c>
      <c r="BD29" s="15" t="n">
        <f aca="false">$B$13/$B$12*BD28</f>
        <v>0.0120969866664542</v>
      </c>
      <c r="BE29" s="16" t="n">
        <v>0</v>
      </c>
      <c r="BF29" s="16" t="n">
        <v>0</v>
      </c>
      <c r="BG29" s="16" t="n">
        <f aca="false">base_fleet!CE31</f>
        <v>0</v>
      </c>
      <c r="BH29" s="16" t="n">
        <f aca="false">base_fleet!CA31</f>
        <v>0</v>
      </c>
      <c r="BI29" s="16" t="n">
        <f aca="false">base_fleet!BV31</f>
        <v>0</v>
      </c>
      <c r="BJ29" s="16" t="n">
        <f aca="false">base_fleet!CH31</f>
        <v>0</v>
      </c>
      <c r="BK29" s="16" t="n">
        <f aca="false">base_fleet!BU31+base_fleet!BZ31+base_fleet!CD31</f>
        <v>0</v>
      </c>
    </row>
    <row r="30" customFormat="false" ht="13.2" hidden="false" customHeight="false" outlineLevel="0" collapsed="false">
      <c r="A30" s="0" t="n">
        <f aca="false">A29-1</f>
        <v>1989</v>
      </c>
      <c r="B30" s="15" t="n">
        <f aca="false">$B$13/$B$12*B29</f>
        <v>637.215488801218</v>
      </c>
      <c r="C30" s="15" t="n">
        <f aca="false">$B$13/$B$12*C29</f>
        <v>1141.13106701848</v>
      </c>
      <c r="D30" s="15" t="n">
        <f aca="false">$B$13/$B$12*D29</f>
        <v>0.673728530406393</v>
      </c>
      <c r="E30" s="15" t="n">
        <f aca="false">$B$13/$B$12*E29</f>
        <v>475.088989680546</v>
      </c>
      <c r="F30" s="15" t="n">
        <f aca="false">$B$13/$B$12*F29</f>
        <v>4.91011811738085</v>
      </c>
      <c r="G30" s="15" t="n">
        <f aca="false">$B$13/$B$12*G29</f>
        <v>7.69906520805318</v>
      </c>
      <c r="H30" s="15" t="n">
        <f aca="false">$B$13/$B$12*H29</f>
        <v>0.0785618898780937</v>
      </c>
      <c r="I30" s="15" t="n">
        <f aca="false">$B$13/$B$12*I29</f>
        <v>60.7865772875899</v>
      </c>
      <c r="J30" s="16" t="n">
        <f aca="false">base_fleet!C32+base_fleet!G32+base_fleet!L32+base_fleet!Q32</f>
        <v>0</v>
      </c>
      <c r="K30" s="16" t="n">
        <f aca="false">base_fleet!E32+base_fleet!J32+base_fleet!O32+base_fleet!T32</f>
        <v>0</v>
      </c>
      <c r="L30" s="15" t="n">
        <f aca="false">$B$13/$B$12*L29</f>
        <v>72.68780114635</v>
      </c>
      <c r="M30" s="16" t="n">
        <f aca="false">base_fleet!I32+base_fleet!N32</f>
        <v>0</v>
      </c>
      <c r="N30" s="15" t="n">
        <f aca="false">$B$13/$B$12*N29</f>
        <v>734.633589555131</v>
      </c>
      <c r="O30" s="15" t="n">
        <f aca="false">$B$13/$B$12*O29</f>
        <v>11.5207578699493</v>
      </c>
      <c r="P30" s="15" t="n">
        <f aca="false">$B$13/$B$12*P29</f>
        <v>51.4054868700078</v>
      </c>
      <c r="Q30" s="15" t="n">
        <f aca="false">$B$13/$B$12*Q29</f>
        <v>140.405025736692</v>
      </c>
      <c r="R30" s="15" t="n">
        <f aca="false">$B$13/$B$12*R29</f>
        <v>19.9423645000292</v>
      </c>
      <c r="S30" s="15" t="n">
        <f aca="false">$B$13/$B$12*S29</f>
        <v>7.54575954055161</v>
      </c>
      <c r="T30" s="16" t="n">
        <f aca="false">base_fleet!Z32+base_fleet!AE32</f>
        <v>0</v>
      </c>
      <c r="U30" s="17" t="n">
        <f aca="false">base_fleet!X32+base_fleet!AC32+base_fleet!AH32</f>
        <v>0</v>
      </c>
      <c r="V30" s="15" t="n">
        <f aca="false">$B$13/$B$12*V29</f>
        <v>180.952635166298</v>
      </c>
      <c r="W30" s="15" t="n">
        <f aca="false">$B$13/$B$12*W29</f>
        <v>37.8790430690259</v>
      </c>
      <c r="X30" s="15" t="n">
        <f aca="false">$B$13/$B$12*X29</f>
        <v>8.49886404669081</v>
      </c>
      <c r="Y30" s="15" t="n">
        <f aca="false">$B$13/$B$12*Y29</f>
        <v>6.41636093591227</v>
      </c>
      <c r="Z30" s="15" t="n">
        <f aca="false">$B$13/$B$12*Z29</f>
        <v>12.8327218718245</v>
      </c>
      <c r="AA30" s="15" t="n">
        <f aca="false">$B$13/$B$12*AA29</f>
        <v>2.53277405364958</v>
      </c>
      <c r="AB30" s="15" t="n">
        <f aca="false">$B$13/$B$12*AB29</f>
        <v>0.0844258017883193</v>
      </c>
      <c r="AC30" s="15" t="n">
        <f aca="false">$B$13/$B$12*AC29</f>
        <v>0.0844258017883193</v>
      </c>
      <c r="AD30" s="15" t="n">
        <f aca="false">$B$13/$B$12*AD29</f>
        <v>0.731690282165434</v>
      </c>
      <c r="AE30" s="15" t="n">
        <f aca="false">$B$13/$B$12*AE29</f>
        <v>3.65845141082717</v>
      </c>
      <c r="AF30" s="15" t="n">
        <f aca="false">$B$13/$B$12*AF29</f>
        <v>0.450270942871037</v>
      </c>
      <c r="AG30" s="15" t="n">
        <f aca="false">$B$13/$B$12*AG29</f>
        <v>0</v>
      </c>
      <c r="AH30" s="15" t="n">
        <f aca="false">$B$13/$B$12*AH29</f>
        <v>0.112567735717759</v>
      </c>
      <c r="AI30" s="15" t="n">
        <f aca="false">$B$13/$B$12*AI29</f>
        <v>0.112567735717759</v>
      </c>
      <c r="AJ30" s="15" t="n">
        <f aca="false">$B$13/$B$12*AJ29</f>
        <v>0</v>
      </c>
      <c r="AK30" s="15" t="n">
        <f aca="false">$B$13/$B$12*AK29</f>
        <v>0</v>
      </c>
      <c r="AL30" s="15" t="n">
        <f aca="false">$B$13/$B$12*AL29</f>
        <v>0</v>
      </c>
      <c r="AM30" s="15" t="n">
        <f aca="false">$B$13/$B$12*AM29</f>
        <v>0</v>
      </c>
      <c r="AN30" s="15" t="n">
        <f aca="false">$B$13/$B$12*AN29</f>
        <v>6.02237386090011</v>
      </c>
      <c r="AO30" s="15" t="n">
        <f aca="false">$B$13/$B$12*AO29</f>
        <v>5.00926423944028</v>
      </c>
      <c r="AP30" s="15" t="n">
        <f aca="false">$B$13/$B$12*AP29</f>
        <v>0.956825753600952</v>
      </c>
      <c r="AQ30" s="15" t="n">
        <f aca="false">$B$13/$B$12*AQ29</f>
        <v>2.7579095250851</v>
      </c>
      <c r="AR30" s="15" t="n">
        <f aca="false">$B$13/$B$12*AR29</f>
        <v>1.68851603576639</v>
      </c>
      <c r="AS30" s="15" t="n">
        <f aca="false">$B$13/$B$12*AS29</f>
        <v>0.0562838678588796</v>
      </c>
      <c r="AT30" s="16" t="n">
        <f aca="false">base_fleet!AQ32+base_fleet!AN32+base_fleet!AJ32</f>
        <v>0</v>
      </c>
      <c r="AU30" s="15" t="n">
        <f aca="false">$B$13/$B$12*AU29</f>
        <v>77.1868395897556</v>
      </c>
      <c r="AV30" s="15" t="n">
        <f aca="false">$B$13/$B$12*AV29</f>
        <v>7.06060788432045</v>
      </c>
      <c r="AW30" s="15" t="n">
        <f aca="false">$B$13/$B$12*AW29</f>
        <v>2.39923568884675</v>
      </c>
      <c r="AX30" s="15" t="n">
        <f aca="false">$B$13/$B$12*AX29</f>
        <v>0.891144684428794</v>
      </c>
      <c r="AY30" s="15" t="n">
        <f aca="false">$B$13/$B$12*AY29</f>
        <v>0</v>
      </c>
      <c r="AZ30" s="15" t="n">
        <f aca="false">$B$13/$B$12*AZ29</f>
        <v>0.0685495911099073</v>
      </c>
      <c r="BA30" s="15" t="n">
        <f aca="false">$B$13/$B$12*BA29</f>
        <v>16.017895810412</v>
      </c>
      <c r="BB30" s="15" t="n">
        <f aca="false">$B$13/$B$12*BB29</f>
        <v>1.46535955363391</v>
      </c>
      <c r="BC30" s="15" t="n">
        <f aca="false">$B$13/$B$12*BC29</f>
        <v>0.0404237118243836</v>
      </c>
      <c r="BD30" s="15" t="n">
        <f aca="false">$B$13/$B$12*BD29</f>
        <v>0.0101059279560959</v>
      </c>
      <c r="BE30" s="16" t="n">
        <v>0</v>
      </c>
      <c r="BF30" s="16" t="n">
        <v>0</v>
      </c>
      <c r="BG30" s="16" t="n">
        <f aca="false">base_fleet!CE32</f>
        <v>0</v>
      </c>
      <c r="BH30" s="16" t="n">
        <f aca="false">base_fleet!CA32</f>
        <v>0</v>
      </c>
      <c r="BI30" s="16" t="n">
        <f aca="false">base_fleet!BV32</f>
        <v>0</v>
      </c>
      <c r="BJ30" s="16" t="n">
        <f aca="false">base_fleet!CH32</f>
        <v>0</v>
      </c>
      <c r="BK30" s="16" t="n">
        <f aca="false">base_fleet!BU32+base_fleet!BZ32+base_fleet!CD32</f>
        <v>0</v>
      </c>
    </row>
    <row r="31" customFormat="false" ht="13.2" hidden="false" customHeight="false" outlineLevel="0" collapsed="false">
      <c r="A31" s="0" t="n">
        <f aca="false">A30-1</f>
        <v>1988</v>
      </c>
      <c r="B31" s="15" t="n">
        <f aca="false">$B$13/$B$12*B30</f>
        <v>532.335365813963</v>
      </c>
      <c r="C31" s="15" t="n">
        <f aca="false">$B$13/$B$12*C30</f>
        <v>953.310826053165</v>
      </c>
      <c r="D31" s="15" t="n">
        <f aca="false">$B$13/$B$12*D30</f>
        <v>0.562838678588796</v>
      </c>
      <c r="E31" s="15" t="n">
        <f aca="false">$B$13/$B$12*E30</f>
        <v>396.893477262406</v>
      </c>
      <c r="F31" s="15" t="n">
        <f aca="false">$B$13/$B$12*F30</f>
        <v>4.10195541405162</v>
      </c>
      <c r="G31" s="15" t="n">
        <f aca="false">$B$13/$B$12*G30</f>
        <v>6.43186608923294</v>
      </c>
      <c r="H31" s="15" t="n">
        <f aca="false">$B$13/$B$12*H30</f>
        <v>0.0656312866248259</v>
      </c>
      <c r="I31" s="15" t="n">
        <f aca="false">$B$13/$B$12*I30</f>
        <v>50.7816357663308</v>
      </c>
      <c r="J31" s="16" t="n">
        <f aca="false">base_fleet!C33+base_fleet!G33+base_fleet!L33+base_fleet!Q33</f>
        <v>0</v>
      </c>
      <c r="K31" s="16" t="n">
        <f aca="false">base_fleet!E33+base_fleet!J33+base_fleet!O33+base_fleet!T33</f>
        <v>0</v>
      </c>
      <c r="L31" s="15" t="n">
        <f aca="false">$B$13/$B$12*L30</f>
        <v>60.7240217689147</v>
      </c>
      <c r="M31" s="16" t="n">
        <f aca="false">base_fleet!I33+base_fleet!N33</f>
        <v>0</v>
      </c>
      <c r="N31" s="15" t="n">
        <f aca="false">$B$13/$B$12*N30</f>
        <v>613.719295133223</v>
      </c>
      <c r="O31" s="15" t="n">
        <f aca="false">$B$13/$B$12*O30</f>
        <v>9.6245414038684</v>
      </c>
      <c r="P31" s="15" t="n">
        <f aca="false">$B$13/$B$12*P30</f>
        <v>42.9445911763251</v>
      </c>
      <c r="Q31" s="15" t="n">
        <f aca="false">$B$13/$B$12*Q30</f>
        <v>117.295580617905</v>
      </c>
      <c r="R31" s="15" t="n">
        <f aca="false">$B$13/$B$12*R30</f>
        <v>16.6600248862284</v>
      </c>
      <c r="S31" s="15" t="n">
        <f aca="false">$B$13/$B$12*S30</f>
        <v>6.30379320019451</v>
      </c>
      <c r="T31" s="16" t="n">
        <f aca="false">base_fleet!Z33+base_fleet!AE33</f>
        <v>0</v>
      </c>
      <c r="U31" s="17" t="n">
        <f aca="false">base_fleet!X33+base_fleet!AC33+base_fleet!AH33</f>
        <v>0</v>
      </c>
      <c r="V31" s="15" t="n">
        <f aca="false">$B$13/$B$12*V30</f>
        <v>151.169406471068</v>
      </c>
      <c r="W31" s="15" t="n">
        <f aca="false">$B$13/$B$12*W30</f>
        <v>31.6444822877228</v>
      </c>
      <c r="X31" s="15" t="n">
        <f aca="false">$B$13/$B$12*X30</f>
        <v>7.10002500066292</v>
      </c>
      <c r="Y31" s="15" t="n">
        <f aca="false">$B$13/$B$12*Y30</f>
        <v>5.36028377533492</v>
      </c>
      <c r="Z31" s="15" t="n">
        <f aca="false">$B$13/$B$12*Z30</f>
        <v>10.7205675506698</v>
      </c>
      <c r="AA31" s="15" t="n">
        <f aca="false">$B$13/$B$12*AA30</f>
        <v>2.11590149026378</v>
      </c>
      <c r="AB31" s="15" t="n">
        <f aca="false">$B$13/$B$12*AB30</f>
        <v>0.0705300496754595</v>
      </c>
      <c r="AC31" s="15" t="n">
        <f aca="false">$B$13/$B$12*AC30</f>
        <v>0.0705300496754595</v>
      </c>
      <c r="AD31" s="15" t="n">
        <f aca="false">$B$13/$B$12*AD30</f>
        <v>0.611260430520649</v>
      </c>
      <c r="AE31" s="15" t="n">
        <f aca="false">$B$13/$B$12*AE30</f>
        <v>3.05630215260324</v>
      </c>
      <c r="AF31" s="15" t="n">
        <f aca="false">$B$13/$B$12*AF30</f>
        <v>0.376160264935784</v>
      </c>
      <c r="AG31" s="15" t="n">
        <f aca="false">$B$13/$B$12*AG30</f>
        <v>0</v>
      </c>
      <c r="AH31" s="15" t="n">
        <f aca="false">$B$13/$B$12*AH30</f>
        <v>0.094040066233946</v>
      </c>
      <c r="AI31" s="15" t="n">
        <f aca="false">$B$13/$B$12*AI30</f>
        <v>0.094040066233946</v>
      </c>
      <c r="AJ31" s="15" t="n">
        <f aca="false">$B$13/$B$12*AJ30</f>
        <v>0</v>
      </c>
      <c r="AK31" s="15" t="n">
        <f aca="false">$B$13/$B$12*AK30</f>
        <v>0</v>
      </c>
      <c r="AL31" s="15" t="n">
        <f aca="false">$B$13/$B$12*AL30</f>
        <v>0</v>
      </c>
      <c r="AM31" s="15" t="n">
        <f aca="false">$B$13/$B$12*AM30</f>
        <v>0</v>
      </c>
      <c r="AN31" s="15" t="n">
        <f aca="false">$B$13/$B$12*AN30</f>
        <v>5.03114354351611</v>
      </c>
      <c r="AO31" s="15" t="n">
        <f aca="false">$B$13/$B$12*AO30</f>
        <v>4.1847829474106</v>
      </c>
      <c r="AP31" s="15" t="n">
        <f aca="false">$B$13/$B$12*AP30</f>
        <v>0.799340562988541</v>
      </c>
      <c r="AQ31" s="15" t="n">
        <f aca="false">$B$13/$B$12*AQ30</f>
        <v>2.30398162273168</v>
      </c>
      <c r="AR31" s="15" t="n">
        <f aca="false">$B$13/$B$12*AR30</f>
        <v>1.41060099350919</v>
      </c>
      <c r="AS31" s="15" t="n">
        <f aca="false">$B$13/$B$12*AS30</f>
        <v>0.047020033116973</v>
      </c>
      <c r="AT31" s="16" t="n">
        <f aca="false">base_fleet!AQ33+base_fleet!AN33+base_fleet!AJ33</f>
        <v>0</v>
      </c>
      <c r="AU31" s="15" t="n">
        <f aca="false">$B$13/$B$12*AU30</f>
        <v>64.4825576451959</v>
      </c>
      <c r="AV31" s="15" t="n">
        <f aca="false">$B$13/$B$12*AV30</f>
        <v>5.89849328370797</v>
      </c>
      <c r="AW31" s="15" t="n">
        <f aca="false">$B$13/$B$12*AW30</f>
        <v>2.00434237795902</v>
      </c>
      <c r="AX31" s="15" t="n">
        <f aca="false">$B$13/$B$12*AX30</f>
        <v>0.744470026099064</v>
      </c>
      <c r="AY31" s="15" t="n">
        <f aca="false">$B$13/$B$12*AY30</f>
        <v>0</v>
      </c>
      <c r="AZ31" s="15" t="n">
        <f aca="false">$B$13/$B$12*AZ30</f>
        <v>0.0572669250845434</v>
      </c>
      <c r="BA31" s="15" t="n">
        <f aca="false">$B$13/$B$12*BA30</f>
        <v>13.3814895834486</v>
      </c>
      <c r="BB31" s="15" t="n">
        <f aca="false">$B$13/$B$12*BB30</f>
        <v>1.22417412593063</v>
      </c>
      <c r="BC31" s="15" t="n">
        <f aca="false">$B$13/$B$12*BC30</f>
        <v>0.0337703207153277</v>
      </c>
      <c r="BD31" s="15" t="n">
        <f aca="false">$B$13/$B$12*BD30</f>
        <v>0.00844258017883193</v>
      </c>
      <c r="BE31" s="16" t="n">
        <v>0</v>
      </c>
      <c r="BF31" s="16" t="n">
        <v>0</v>
      </c>
      <c r="BG31" s="16" t="n">
        <f aca="false">base_fleet!CE33</f>
        <v>0</v>
      </c>
      <c r="BH31" s="16" t="n">
        <f aca="false">base_fleet!CA33</f>
        <v>0</v>
      </c>
      <c r="BI31" s="16" t="n">
        <f aca="false">base_fleet!BV33</f>
        <v>0</v>
      </c>
      <c r="BJ31" s="16" t="n">
        <f aca="false">base_fleet!CH33</f>
        <v>0</v>
      </c>
      <c r="BK31" s="16" t="n">
        <f aca="false">base_fleet!BU33+base_fleet!BZ33+base_fleet!CD33</f>
        <v>0</v>
      </c>
    </row>
    <row r="32" customFormat="false" ht="13.2" hidden="false" customHeight="false" outlineLevel="0" collapsed="false">
      <c r="A32" s="0" t="n">
        <f aca="false">A31-1</f>
        <v>1987</v>
      </c>
      <c r="B32" s="15" t="n">
        <f aca="false">$B$13/$B$12*B31</f>
        <v>444.71759816982</v>
      </c>
      <c r="C32" s="15" t="n">
        <f aca="false">$B$13/$B$12*C31</f>
        <v>796.404161920386</v>
      </c>
      <c r="D32" s="15" t="n">
        <f aca="false">$B$13/$B$12*D31</f>
        <v>0.47020033116973</v>
      </c>
      <c r="E32" s="15" t="n">
        <f aca="false">$B$13/$B$12*E31</f>
        <v>331.568265556659</v>
      </c>
      <c r="F32" s="15" t="n">
        <f aca="false">$B$13/$B$12*F31</f>
        <v>3.42680925725727</v>
      </c>
      <c r="G32" s="15" t="n">
        <f aca="false">$B$13/$B$12*G31</f>
        <v>5.37323691537941</v>
      </c>
      <c r="H32" s="15" t="n">
        <f aca="false">$B$13/$B$12*H31</f>
        <v>0.0548289481161164</v>
      </c>
      <c r="I32" s="15" t="n">
        <f aca="false">$B$13/$B$12*I31</f>
        <v>42.4234205341706</v>
      </c>
      <c r="J32" s="16" t="n">
        <f aca="false">base_fleet!C34+base_fleet!G34+base_fleet!L34+base_fleet!Q34</f>
        <v>0</v>
      </c>
      <c r="K32" s="16" t="n">
        <f aca="false">base_fleet!E34+base_fleet!J34+base_fleet!O34+base_fleet!T34</f>
        <v>0</v>
      </c>
      <c r="L32" s="15" t="n">
        <f aca="false">$B$13/$B$12*L31</f>
        <v>50.729376341532</v>
      </c>
      <c r="M32" s="16" t="n">
        <f aca="false">base_fleet!I34+base_fleet!N34</f>
        <v>0</v>
      </c>
      <c r="N32" s="15" t="n">
        <f aca="false">$B$13/$B$12*N31</f>
        <v>512.706441107473</v>
      </c>
      <c r="O32" s="15" t="n">
        <f aca="false">$B$13/$B$12*O31</f>
        <v>8.04042566300238</v>
      </c>
      <c r="P32" s="15" t="n">
        <f aca="false">$B$13/$B$12*P31</f>
        <v>35.8762852682504</v>
      </c>
      <c r="Q32" s="15" t="n">
        <f aca="false">$B$13/$B$12*Q31</f>
        <v>97.9897490157717</v>
      </c>
      <c r="R32" s="15" t="n">
        <f aca="false">$B$13/$B$12*R31</f>
        <v>13.917929802624</v>
      </c>
      <c r="S32" s="15" t="n">
        <f aca="false">$B$13/$B$12*S31</f>
        <v>5.26624370910097</v>
      </c>
      <c r="T32" s="16" t="n">
        <f aca="false">base_fleet!Z34+base_fleet!AE34</f>
        <v>0</v>
      </c>
      <c r="U32" s="17" t="n">
        <f aca="false">base_fleet!X34+base_fleet!AC34+base_fleet!AH34</f>
        <v>0</v>
      </c>
      <c r="V32" s="15" t="n">
        <f aca="false">$B$13/$B$12*V31</f>
        <v>126.288237979036</v>
      </c>
      <c r="W32" s="15" t="n">
        <f aca="false">$B$13/$B$12*W31</f>
        <v>26.4360759439785</v>
      </c>
      <c r="X32" s="15" t="n">
        <f aca="false">$B$13/$B$12*X31</f>
        <v>5.93142268579607</v>
      </c>
      <c r="Y32" s="15" t="n">
        <f aca="false">$B$13/$B$12*Y31</f>
        <v>4.47802772305134</v>
      </c>
      <c r="Z32" s="15" t="n">
        <f aca="false">$B$13/$B$12*Z31</f>
        <v>8.95605544610268</v>
      </c>
      <c r="AA32" s="15" t="n">
        <f aca="false">$B$13/$B$12*AA31</f>
        <v>1.76764252225711</v>
      </c>
      <c r="AB32" s="15" t="n">
        <f aca="false">$B$13/$B$12*AB31</f>
        <v>0.0589214174085702</v>
      </c>
      <c r="AC32" s="15" t="n">
        <f aca="false">$B$13/$B$12*AC31</f>
        <v>0.0589214174085702</v>
      </c>
      <c r="AD32" s="15" t="n">
        <f aca="false">$B$13/$B$12*AD31</f>
        <v>0.510652284207609</v>
      </c>
      <c r="AE32" s="15" t="n">
        <f aca="false">$B$13/$B$12*AE31</f>
        <v>2.55326142103805</v>
      </c>
      <c r="AF32" s="15" t="n">
        <f aca="false">$B$13/$B$12*AF31</f>
        <v>0.314247559512375</v>
      </c>
      <c r="AG32" s="15" t="n">
        <f aca="false">$B$13/$B$12*AG31</f>
        <v>0</v>
      </c>
      <c r="AH32" s="15" t="n">
        <f aca="false">$B$13/$B$12*AH31</f>
        <v>0.0785618898780937</v>
      </c>
      <c r="AI32" s="15" t="n">
        <f aca="false">$B$13/$B$12*AI31</f>
        <v>0.0785618898780937</v>
      </c>
      <c r="AJ32" s="15" t="n">
        <f aca="false">$B$13/$B$12*AJ31</f>
        <v>0</v>
      </c>
      <c r="AK32" s="15" t="n">
        <f aca="false">$B$13/$B$12*AK31</f>
        <v>0</v>
      </c>
      <c r="AL32" s="15" t="n">
        <f aca="false">$B$13/$B$12*AL31</f>
        <v>0</v>
      </c>
      <c r="AM32" s="15" t="n">
        <f aca="false">$B$13/$B$12*AM31</f>
        <v>0</v>
      </c>
      <c r="AN32" s="15" t="n">
        <f aca="false">$B$13/$B$12*AN31</f>
        <v>4.20306110847801</v>
      </c>
      <c r="AO32" s="15" t="n">
        <f aca="false">$B$13/$B$12*AO31</f>
        <v>3.49600409957517</v>
      </c>
      <c r="AP32" s="15" t="n">
        <f aca="false">$B$13/$B$12*AP31</f>
        <v>0.667776063963796</v>
      </c>
      <c r="AQ32" s="15" t="n">
        <f aca="false">$B$13/$B$12*AQ31</f>
        <v>1.9247663020133</v>
      </c>
      <c r="AR32" s="15" t="n">
        <f aca="false">$B$13/$B$12*AR31</f>
        <v>1.17842834817141</v>
      </c>
      <c r="AS32" s="15" t="n">
        <f aca="false">$B$13/$B$12*AS31</f>
        <v>0.0392809449390469</v>
      </c>
      <c r="AT32" s="16" t="n">
        <f aca="false">base_fleet!AQ34+base_fleet!AN34+base_fleet!AJ34</f>
        <v>0</v>
      </c>
      <c r="AU32" s="15" t="n">
        <f aca="false">$B$13/$B$12*AU31</f>
        <v>53.8692899277336</v>
      </c>
      <c r="AV32" s="15" t="n">
        <f aca="false">$B$13/$B$12*AV31</f>
        <v>4.9276526310449</v>
      </c>
      <c r="AW32" s="15" t="n">
        <f aca="false">$B$13/$B$12*AW31</f>
        <v>1.67444506880167</v>
      </c>
      <c r="AX32" s="15" t="n">
        <f aca="false">$B$13/$B$12*AX31</f>
        <v>0.621936739840619</v>
      </c>
      <c r="AY32" s="15" t="n">
        <f aca="false">$B$13/$B$12*AY31</f>
        <v>0</v>
      </c>
      <c r="AZ32" s="15" t="n">
        <f aca="false">$B$13/$B$12*AZ31</f>
        <v>0.0478412876800476</v>
      </c>
      <c r="BA32" s="15" t="n">
        <f aca="false">$B$13/$B$12*BA31</f>
        <v>11.1790128735603</v>
      </c>
      <c r="BB32" s="15" t="n">
        <f aca="false">$B$13/$B$12*BB31</f>
        <v>1.02268572029416</v>
      </c>
      <c r="BC32" s="15" t="n">
        <f aca="false">$B$13/$B$12*BC31</f>
        <v>0.0282120198701838</v>
      </c>
      <c r="BD32" s="15" t="n">
        <f aca="false">$B$13/$B$12*BD31</f>
        <v>0.00705300496754595</v>
      </c>
      <c r="BE32" s="16" t="n">
        <v>0</v>
      </c>
      <c r="BF32" s="16" t="n">
        <v>0</v>
      </c>
      <c r="BG32" s="16" t="n">
        <f aca="false">base_fleet!CE34</f>
        <v>0</v>
      </c>
      <c r="BH32" s="16" t="n">
        <f aca="false">base_fleet!CA34</f>
        <v>0</v>
      </c>
      <c r="BI32" s="16" t="n">
        <f aca="false">base_fleet!BV34</f>
        <v>0</v>
      </c>
      <c r="BJ32" s="16" t="n">
        <f aca="false">base_fleet!CH34</f>
        <v>0</v>
      </c>
      <c r="BK32" s="16" t="n">
        <f aca="false">base_fleet!BU34+base_fleet!BZ34+base_fleet!CD34</f>
        <v>0</v>
      </c>
    </row>
    <row r="33" customFormat="false" ht="13.2" hidden="false" customHeight="false" outlineLevel="0" collapsed="false">
      <c r="A33" s="0" t="n">
        <f aca="false">A32-1</f>
        <v>1986</v>
      </c>
      <c r="B33" s="15" t="n">
        <f aca="false">$B$13/$B$12*B32</f>
        <v>371.520952434805</v>
      </c>
      <c r="C33" s="15" t="n">
        <f aca="false">$B$13/$B$12*C32</f>
        <v>665.322968952353</v>
      </c>
      <c r="D33" s="15" t="n">
        <f aca="false">$B$13/$B$12*D32</f>
        <v>0.392809449390468</v>
      </c>
      <c r="E33" s="15" t="n">
        <f aca="false">$B$13/$B$12*E32</f>
        <v>276.995015092088</v>
      </c>
      <c r="F33" s="15" t="n">
        <f aca="false">$B$13/$B$12*F32</f>
        <v>2.86278628124464</v>
      </c>
      <c r="G33" s="15" t="n">
        <f aca="false">$B$13/$B$12*G32</f>
        <v>4.4888488889916</v>
      </c>
      <c r="H33" s="15" t="n">
        <f aca="false">$B$13/$B$12*H32</f>
        <v>0.0458045804999143</v>
      </c>
      <c r="I33" s="15" t="n">
        <f aca="false">$B$13/$B$12*I32</f>
        <v>35.440894777406</v>
      </c>
      <c r="J33" s="16" t="n">
        <f aca="false">base_fleet!C35+base_fleet!G35+base_fleet!L35+base_fleet!Q35</f>
        <v>0</v>
      </c>
      <c r="K33" s="16" t="n">
        <f aca="false">base_fleet!E35+base_fleet!J35+base_fleet!O35+base_fleet!T35</f>
        <v>0</v>
      </c>
      <c r="L33" s="15" t="n">
        <f aca="false">$B$13/$B$12*L32</f>
        <v>42.3797625558157</v>
      </c>
      <c r="M33" s="16" t="n">
        <f aca="false">base_fleet!I35+base_fleet!N35</f>
        <v>0</v>
      </c>
      <c r="N33" s="15" t="n">
        <f aca="false">$B$13/$B$12*N32</f>
        <v>428.319423615367</v>
      </c>
      <c r="O33" s="15" t="n">
        <f aca="false">$B$13/$B$12*O32</f>
        <v>6.71704158457701</v>
      </c>
      <c r="P33" s="15" t="n">
        <f aca="false">$B$13/$B$12*P32</f>
        <v>29.9713609884927</v>
      </c>
      <c r="Q33" s="15" t="n">
        <f aca="false">$B$13/$B$12*Q32</f>
        <v>81.8614892529736</v>
      </c>
      <c r="R33" s="15" t="n">
        <f aca="false">$B$13/$B$12*R32</f>
        <v>11.6271597019579</v>
      </c>
      <c r="S33" s="15" t="n">
        <f aca="false">$B$13/$B$12*S32</f>
        <v>4.39946583317325</v>
      </c>
      <c r="T33" s="16" t="n">
        <f aca="false">base_fleet!Z35+base_fleet!AE35</f>
        <v>0</v>
      </c>
      <c r="U33" s="17" t="n">
        <f aca="false">base_fleet!X35+base_fleet!AC35+base_fleet!AH35</f>
        <v>0</v>
      </c>
      <c r="V33" s="15" t="n">
        <f aca="false">$B$13/$B$12*V32</f>
        <v>105.502293249408</v>
      </c>
      <c r="W33" s="15" t="n">
        <f aca="false">$B$13/$B$12*W32</f>
        <v>22.0849279492539</v>
      </c>
      <c r="X33" s="15" t="n">
        <f aca="false">$B$13/$B$12*X32</f>
        <v>4.95516214017436</v>
      </c>
      <c r="Y33" s="15" t="n">
        <f aca="false">$B$13/$B$12*Y32</f>
        <v>3.74098333761508</v>
      </c>
      <c r="Z33" s="15" t="n">
        <f aca="false">$B$13/$B$12*Z32</f>
        <v>7.48196667523015</v>
      </c>
      <c r="AA33" s="15" t="n">
        <f aca="false">$B$13/$B$12*AA32</f>
        <v>1.47670394905858</v>
      </c>
      <c r="AB33" s="15" t="n">
        <f aca="false">$B$13/$B$12*AB32</f>
        <v>0.0492234649686194</v>
      </c>
      <c r="AC33" s="15" t="n">
        <f aca="false">$B$13/$B$12*AC32</f>
        <v>0.0492234649686194</v>
      </c>
      <c r="AD33" s="15" t="n">
        <f aca="false">$B$13/$B$12*AD32</f>
        <v>0.426603363061368</v>
      </c>
      <c r="AE33" s="15" t="n">
        <f aca="false">$B$13/$B$12*AE32</f>
        <v>2.13301681530684</v>
      </c>
      <c r="AF33" s="15" t="n">
        <f aca="false">$B$13/$B$12*AF32</f>
        <v>0.262525146499304</v>
      </c>
      <c r="AG33" s="15" t="n">
        <f aca="false">$B$13/$B$12*AG32</f>
        <v>0</v>
      </c>
      <c r="AH33" s="15" t="n">
        <f aca="false">$B$13/$B$12*AH32</f>
        <v>0.0656312866248259</v>
      </c>
      <c r="AI33" s="15" t="n">
        <f aca="false">$B$13/$B$12*AI32</f>
        <v>0.0656312866248259</v>
      </c>
      <c r="AJ33" s="15" t="n">
        <f aca="false">$B$13/$B$12*AJ32</f>
        <v>0</v>
      </c>
      <c r="AK33" s="15" t="n">
        <f aca="false">$B$13/$B$12*AK32</f>
        <v>0</v>
      </c>
      <c r="AL33" s="15" t="n">
        <f aca="false">$B$13/$B$12*AL32</f>
        <v>0</v>
      </c>
      <c r="AM33" s="15" t="n">
        <f aca="false">$B$13/$B$12*AM32</f>
        <v>0</v>
      </c>
      <c r="AN33" s="15" t="n">
        <f aca="false">$B$13/$B$12*AN32</f>
        <v>3.51127383442819</v>
      </c>
      <c r="AO33" s="15" t="n">
        <f aca="false">$B$13/$B$12*AO32</f>
        <v>2.92059225480475</v>
      </c>
      <c r="AP33" s="15" t="n">
        <f aca="false">$B$13/$B$12*AP32</f>
        <v>0.55786593631102</v>
      </c>
      <c r="AQ33" s="15" t="n">
        <f aca="false">$B$13/$B$12*AQ32</f>
        <v>1.60796652230824</v>
      </c>
      <c r="AR33" s="15" t="n">
        <f aca="false">$B$13/$B$12*AR32</f>
        <v>0.984469299372388</v>
      </c>
      <c r="AS33" s="15" t="n">
        <f aca="false">$B$13/$B$12*AS32</f>
        <v>0.032815643312413</v>
      </c>
      <c r="AT33" s="16" t="n">
        <f aca="false">base_fleet!AQ35+base_fleet!AN35+base_fleet!AJ35</f>
        <v>0</v>
      </c>
      <c r="AU33" s="15" t="n">
        <f aca="false">$B$13/$B$12*AU32</f>
        <v>45.0028736962548</v>
      </c>
      <c r="AV33" s="15" t="n">
        <f aca="false">$B$13/$B$12*AV32</f>
        <v>4.11660389939098</v>
      </c>
      <c r="AW33" s="15" t="n">
        <f aca="false">$B$13/$B$12*AW32</f>
        <v>1.39884598522995</v>
      </c>
      <c r="AX33" s="15" t="n">
        <f aca="false">$B$13/$B$12*AX32</f>
        <v>0.519571365942551</v>
      </c>
      <c r="AY33" s="15" t="n">
        <f aca="false">$B$13/$B$12*AY32</f>
        <v>0</v>
      </c>
      <c r="AZ33" s="15" t="n">
        <f aca="false">$B$13/$B$12*AZ32</f>
        <v>0.039967028149427</v>
      </c>
      <c r="BA33" s="15" t="n">
        <f aca="false">$B$13/$B$12*BA32</f>
        <v>9.33904465925839</v>
      </c>
      <c r="BB33" s="15" t="n">
        <f aca="false">$B$13/$B$12*BB32</f>
        <v>0.854360552424269</v>
      </c>
      <c r="BC33" s="15" t="n">
        <f aca="false">$B$13/$B$12*BC32</f>
        <v>0.0235685669634281</v>
      </c>
      <c r="BD33" s="15" t="n">
        <f aca="false">$B$13/$B$12*BD32</f>
        <v>0.00589214174085703</v>
      </c>
      <c r="BE33" s="16" t="n">
        <v>0</v>
      </c>
      <c r="BF33" s="16" t="n">
        <v>0</v>
      </c>
      <c r="BG33" s="16" t="n">
        <f aca="false">base_fleet!CE35</f>
        <v>0</v>
      </c>
      <c r="BH33" s="16" t="n">
        <f aca="false">base_fleet!CA35</f>
        <v>0</v>
      </c>
      <c r="BI33" s="16" t="n">
        <f aca="false">base_fleet!BV35</f>
        <v>0</v>
      </c>
      <c r="BJ33" s="16" t="n">
        <f aca="false">base_fleet!CH35</f>
        <v>0</v>
      </c>
      <c r="BK33" s="16" t="n">
        <f aca="false">base_fleet!BU35+base_fleet!BZ35+base_fleet!CD35</f>
        <v>0</v>
      </c>
    </row>
    <row r="34" customFormat="false" ht="13.2" hidden="false" customHeight="false" outlineLevel="0" collapsed="false">
      <c r="A34" s="0" t="n">
        <f aca="false">A33-1</f>
        <v>1985</v>
      </c>
      <c r="B34" s="15" t="n">
        <f aca="false">$B$13/$B$12*B33</f>
        <v>310.371837467419</v>
      </c>
      <c r="C34" s="15" t="n">
        <f aca="false">$B$13/$B$12*C33</f>
        <v>555.81659938616</v>
      </c>
      <c r="D34" s="15" t="n">
        <f aca="false">$B$13/$B$12*D33</f>
        <v>0.328156433124129</v>
      </c>
      <c r="E34" s="15" t="n">
        <f aca="false">$B$13/$B$12*E33</f>
        <v>231.404046635925</v>
      </c>
      <c r="F34" s="15" t="n">
        <f aca="false">$B$13/$B$12*F33</f>
        <v>2.39159657769864</v>
      </c>
      <c r="G34" s="15" t="n">
        <f aca="false">$B$13/$B$12*G33</f>
        <v>3.75002343383148</v>
      </c>
      <c r="H34" s="15" t="n">
        <f aca="false">$B$13/$B$12*H33</f>
        <v>0.0382655452431783</v>
      </c>
      <c r="I34" s="15" t="n">
        <f aca="false">$B$13/$B$12*I33</f>
        <v>29.6076319827029</v>
      </c>
      <c r="J34" s="16" t="n">
        <f aca="false">base_fleet!C36+base_fleet!G36+base_fleet!L36+base_fleet!Q36</f>
        <v>0</v>
      </c>
      <c r="K34" s="16" t="n">
        <f aca="false">base_fleet!E36+base_fleet!J36+base_fleet!O36+base_fleet!T36</f>
        <v>0</v>
      </c>
      <c r="L34" s="15" t="n">
        <f aca="false">$B$13/$B$12*L33</f>
        <v>35.4044225222793</v>
      </c>
      <c r="M34" s="16" t="n">
        <f aca="false">base_fleet!I36+base_fleet!N36</f>
        <v>0</v>
      </c>
      <c r="N34" s="15" t="n">
        <f aca="false">$B$13/$B$12*N33</f>
        <v>357.821774678551</v>
      </c>
      <c r="O34" s="15" t="n">
        <f aca="false">$B$13/$B$12*O33</f>
        <v>5.61147500642261</v>
      </c>
      <c r="P34" s="15" t="n">
        <f aca="false">$B$13/$B$12*P33</f>
        <v>25.0383358473711</v>
      </c>
      <c r="Q34" s="15" t="n">
        <f aca="false">$B$13/$B$12*Q33</f>
        <v>68.3878006630686</v>
      </c>
      <c r="R34" s="15" t="n">
        <f aca="false">$B$13/$B$12*R33</f>
        <v>9.71343042047424</v>
      </c>
      <c r="S34" s="15" t="n">
        <f aca="false">$B$13/$B$12*S33</f>
        <v>3.67535205099025</v>
      </c>
      <c r="T34" s="16" t="n">
        <f aca="false">base_fleet!Z36+base_fleet!AE36</f>
        <v>0</v>
      </c>
      <c r="U34" s="17" t="n">
        <f aca="false">base_fleet!X36+base_fleet!AC36+base_fleet!AH36</f>
        <v>0</v>
      </c>
      <c r="V34" s="15" t="n">
        <f aca="false">$B$13/$B$12*V33</f>
        <v>88.1375340966571</v>
      </c>
      <c r="W34" s="15" t="n">
        <f aca="false">$B$13/$B$12*W33</f>
        <v>18.4499410410732</v>
      </c>
      <c r="X34" s="15" t="n">
        <f aca="false">$B$13/$B$12*X33</f>
        <v>4.13958558276679</v>
      </c>
      <c r="Y34" s="15" t="n">
        <f aca="false">$B$13/$B$12*Y33</f>
        <v>3.12525004261864</v>
      </c>
      <c r="Z34" s="15" t="n">
        <f aca="false">$B$13/$B$12*Z33</f>
        <v>6.25050008523727</v>
      </c>
      <c r="AA34" s="15" t="n">
        <f aca="false">$B$13/$B$12*AA33</f>
        <v>1.23365133261262</v>
      </c>
      <c r="AB34" s="15" t="n">
        <f aca="false">$B$13/$B$12*AB33</f>
        <v>0.0411217110870873</v>
      </c>
      <c r="AC34" s="15" t="n">
        <f aca="false">$B$13/$B$12*AC33</f>
        <v>0.0411217110870873</v>
      </c>
      <c r="AD34" s="15" t="n">
        <f aca="false">$B$13/$B$12*AD33</f>
        <v>0.356388162754757</v>
      </c>
      <c r="AE34" s="15" t="n">
        <f aca="false">$B$13/$B$12*AE33</f>
        <v>1.78194081377378</v>
      </c>
      <c r="AF34" s="15" t="n">
        <f aca="false">$B$13/$B$12*AF33</f>
        <v>0.219315792464466</v>
      </c>
      <c r="AG34" s="15" t="n">
        <f aca="false">$B$13/$B$12*AG33</f>
        <v>0</v>
      </c>
      <c r="AH34" s="15" t="n">
        <f aca="false">$B$13/$B$12*AH33</f>
        <v>0.0548289481161164</v>
      </c>
      <c r="AI34" s="15" t="n">
        <f aca="false">$B$13/$B$12*AI33</f>
        <v>0.0548289481161164</v>
      </c>
      <c r="AJ34" s="15" t="n">
        <f aca="false">$B$13/$B$12*AJ33</f>
        <v>0</v>
      </c>
      <c r="AK34" s="15" t="n">
        <f aca="false">$B$13/$B$12*AK33</f>
        <v>0</v>
      </c>
      <c r="AL34" s="15" t="n">
        <f aca="false">$B$13/$B$12*AL33</f>
        <v>0</v>
      </c>
      <c r="AM34" s="15" t="n">
        <f aca="false">$B$13/$B$12*AM33</f>
        <v>0</v>
      </c>
      <c r="AN34" s="15" t="n">
        <f aca="false">$B$13/$B$12*AN33</f>
        <v>2.93334872421223</v>
      </c>
      <c r="AO34" s="15" t="n">
        <f aca="false">$B$13/$B$12*AO33</f>
        <v>2.43988819116718</v>
      </c>
      <c r="AP34" s="15" t="n">
        <f aca="false">$B$13/$B$12*AP33</f>
        <v>0.46604605898699</v>
      </c>
      <c r="AQ34" s="15" t="n">
        <f aca="false">$B$13/$B$12*AQ33</f>
        <v>1.34330922884485</v>
      </c>
      <c r="AR34" s="15" t="n">
        <f aca="false">$B$13/$B$12*AR33</f>
        <v>0.822434221741746</v>
      </c>
      <c r="AS34" s="15" t="n">
        <f aca="false">$B$13/$B$12*AS33</f>
        <v>0.0274144740580582</v>
      </c>
      <c r="AT34" s="16" t="n">
        <f aca="false">base_fleet!AQ36+base_fleet!AN36+base_fleet!AJ36</f>
        <v>0</v>
      </c>
      <c r="AU34" s="15" t="n">
        <f aca="false">$B$13/$B$12*AU33</f>
        <v>37.5957924011617</v>
      </c>
      <c r="AV34" s="15" t="n">
        <f aca="false">$B$13/$B$12*AV33</f>
        <v>3.43904672941355</v>
      </c>
      <c r="AW34" s="15" t="n">
        <f aca="false">$B$13/$B$12*AW33</f>
        <v>1.16860811193664</v>
      </c>
      <c r="AX34" s="15" t="n">
        <f aca="false">$B$13/$B$12*AX33</f>
        <v>0.434054441576468</v>
      </c>
      <c r="AY34" s="15" t="n">
        <f aca="false">$B$13/$B$12*AY33</f>
        <v>0</v>
      </c>
      <c r="AZ34" s="15" t="n">
        <f aca="false">$B$13/$B$12*AZ33</f>
        <v>0.0333888031981898</v>
      </c>
      <c r="BA34" s="15" t="n">
        <f aca="false">$B$13/$B$12*BA33</f>
        <v>7.80191919752618</v>
      </c>
      <c r="BB34" s="15" t="n">
        <f aca="false">$B$13/$B$12*BB33</f>
        <v>0.713740242044982</v>
      </c>
      <c r="BC34" s="15" t="n">
        <f aca="false">$B$13/$B$12*BC33</f>
        <v>0.0196893859874478</v>
      </c>
      <c r="BD34" s="15" t="n">
        <f aca="false">$B$13/$B$12*BD33</f>
        <v>0.00492234649686194</v>
      </c>
      <c r="BE34" s="16" t="n">
        <v>0</v>
      </c>
      <c r="BF34" s="16" t="n">
        <v>0</v>
      </c>
      <c r="BG34" s="16" t="n">
        <f aca="false">base_fleet!CE36</f>
        <v>0</v>
      </c>
      <c r="BH34" s="16" t="n">
        <f aca="false">base_fleet!CA36</f>
        <v>0</v>
      </c>
      <c r="BI34" s="16" t="n">
        <f aca="false">base_fleet!BV36</f>
        <v>0</v>
      </c>
      <c r="BJ34" s="16" t="n">
        <f aca="false">base_fleet!CH36</f>
        <v>0</v>
      </c>
      <c r="BK34" s="16" t="n">
        <f aca="false">base_fleet!BU36+base_fleet!BZ36+base_fleet!CD36</f>
        <v>0</v>
      </c>
    </row>
    <row r="35" customFormat="false" ht="13.2" hidden="false" customHeight="false" outlineLevel="0" collapsed="false">
      <c r="A35" s="0" t="n">
        <f aca="false">A34-1</f>
        <v>1984</v>
      </c>
      <c r="B35" s="15" t="n">
        <f aca="false">$B$13/$B$12*B34</f>
        <v>259.287334567776</v>
      </c>
      <c r="C35" s="15" t="n">
        <f aca="false">$B$13/$B$12*C34</f>
        <v>464.334025082064</v>
      </c>
      <c r="D35" s="15" t="n">
        <f aca="false">$B$13/$B$12*D34</f>
        <v>0.274144740580582</v>
      </c>
      <c r="E35" s="15" t="n">
        <f aca="false">$B$13/$B$12*E34</f>
        <v>193.316954753425</v>
      </c>
      <c r="F35" s="15" t="n">
        <f aca="false">$B$13/$B$12*F34</f>
        <v>1.99796059801332</v>
      </c>
      <c r="G35" s="15" t="n">
        <f aca="false">$B$13/$B$12*G34</f>
        <v>3.13280221768488</v>
      </c>
      <c r="H35" s="15" t="n">
        <f aca="false">$B$13/$B$12*H34</f>
        <v>0.0319673695682131</v>
      </c>
      <c r="I35" s="15" t="n">
        <f aca="false">$B$13/$B$12*I34</f>
        <v>24.7344734699537</v>
      </c>
      <c r="J35" s="16" t="n">
        <f aca="false">base_fleet!C37+base_fleet!G37+base_fleet!L37+base_fleet!Q37</f>
        <v>0</v>
      </c>
      <c r="K35" s="16" t="n">
        <f aca="false">base_fleet!E37+base_fleet!J37+base_fleet!O37+base_fleet!T37</f>
        <v>0</v>
      </c>
      <c r="L35" s="15" t="n">
        <f aca="false">$B$13/$B$12*L34</f>
        <v>29.5771627433071</v>
      </c>
      <c r="M35" s="16" t="n">
        <f aca="false">base_fleet!I37+base_fleet!N37</f>
        <v>0</v>
      </c>
      <c r="N35" s="15" t="n">
        <f aca="false">$B$13/$B$12*N34</f>
        <v>298.927425129067</v>
      </c>
      <c r="O35" s="15" t="n">
        <f aca="false">$B$13/$B$12*O34</f>
        <v>4.68787506392795</v>
      </c>
      <c r="P35" s="15" t="n">
        <f aca="false">$B$13/$B$12*P34</f>
        <v>20.9172437062984</v>
      </c>
      <c r="Q35" s="15" t="n">
        <f aca="false">$B$13/$B$12*Q34</f>
        <v>57.1317639369933</v>
      </c>
      <c r="R35" s="15" t="n">
        <f aca="false">$B$13/$B$12*R34</f>
        <v>8.11468432118523</v>
      </c>
      <c r="S35" s="15" t="n">
        <f aca="false">$B$13/$B$12*S34</f>
        <v>3.07042109450252</v>
      </c>
      <c r="T35" s="16" t="n">
        <f aca="false">base_fleet!Z37+base_fleet!AE37</f>
        <v>0</v>
      </c>
      <c r="U35" s="17" t="n">
        <f aca="false">base_fleet!X37+base_fleet!AC37+base_fleet!AH37</f>
        <v>0</v>
      </c>
      <c r="V35" s="15" t="n">
        <f aca="false">$B$13/$B$12*V34</f>
        <v>73.6308631536122</v>
      </c>
      <c r="W35" s="15" t="n">
        <f aca="false">$B$13/$B$12*W34</f>
        <v>15.4132413382212</v>
      </c>
      <c r="X35" s="15" t="n">
        <f aca="false">$B$13/$B$12*X34</f>
        <v>3.45824582774353</v>
      </c>
      <c r="Y35" s="15" t="n">
        <f aca="false">$B$13/$B$12*Y34</f>
        <v>2.61086108849512</v>
      </c>
      <c r="Z35" s="15" t="n">
        <f aca="false">$B$13/$B$12*Z34</f>
        <v>5.22172217699023</v>
      </c>
      <c r="AA35" s="15" t="n">
        <f aca="false">$B$13/$B$12*AA34</f>
        <v>1.03060306124807</v>
      </c>
      <c r="AB35" s="15" t="n">
        <f aca="false">$B$13/$B$12*AB34</f>
        <v>0.0343534353749357</v>
      </c>
      <c r="AC35" s="15" t="n">
        <f aca="false">$B$13/$B$12*AC34</f>
        <v>0.0343534353749357</v>
      </c>
      <c r="AD35" s="15" t="n">
        <f aca="false">$B$13/$B$12*AD34</f>
        <v>0.297729773249443</v>
      </c>
      <c r="AE35" s="15" t="n">
        <f aca="false">$B$13/$B$12*AE34</f>
        <v>1.48864886624722</v>
      </c>
      <c r="AF35" s="15" t="n">
        <f aca="false">$B$13/$B$12*AF34</f>
        <v>0.183218321999657</v>
      </c>
      <c r="AG35" s="15" t="n">
        <f aca="false">$B$13/$B$12*AG34</f>
        <v>0</v>
      </c>
      <c r="AH35" s="15" t="n">
        <f aca="false">$B$13/$B$12*AH34</f>
        <v>0.0458045804999143</v>
      </c>
      <c r="AI35" s="15" t="n">
        <f aca="false">$B$13/$B$12*AI34</f>
        <v>0.0458045804999143</v>
      </c>
      <c r="AJ35" s="15" t="n">
        <f aca="false">$B$13/$B$12*AJ34</f>
        <v>0</v>
      </c>
      <c r="AK35" s="15" t="n">
        <f aca="false">$B$13/$B$12*AK34</f>
        <v>0</v>
      </c>
      <c r="AL35" s="15" t="n">
        <f aca="false">$B$13/$B$12*AL34</f>
        <v>0</v>
      </c>
      <c r="AM35" s="15" t="n">
        <f aca="false">$B$13/$B$12*AM34</f>
        <v>0</v>
      </c>
      <c r="AN35" s="15" t="n">
        <f aca="false">$B$13/$B$12*AN34</f>
        <v>2.45054505674542</v>
      </c>
      <c r="AO35" s="15" t="n">
        <f aca="false">$B$13/$B$12*AO34</f>
        <v>2.03830383224619</v>
      </c>
      <c r="AP35" s="15" t="n">
        <f aca="false">$B$13/$B$12*AP34</f>
        <v>0.389338934249272</v>
      </c>
      <c r="AQ35" s="15" t="n">
        <f aca="false">$B$13/$B$12*AQ34</f>
        <v>1.1222122222479</v>
      </c>
      <c r="AR35" s="15" t="n">
        <f aca="false">$B$13/$B$12*AR34</f>
        <v>0.687068707498714</v>
      </c>
      <c r="AS35" s="15" t="n">
        <f aca="false">$B$13/$B$12*AS34</f>
        <v>0.0229022902499572</v>
      </c>
      <c r="AT35" s="16" t="n">
        <f aca="false">base_fleet!AQ37+base_fleet!AN37+base_fleet!AJ37</f>
        <v>0</v>
      </c>
      <c r="AU35" s="15" t="n">
        <f aca="false">$B$13/$B$12*AU34</f>
        <v>31.4078522143104</v>
      </c>
      <c r="AV35" s="15" t="n">
        <f aca="false">$B$13/$B$12*AV34</f>
        <v>2.87300957200175</v>
      </c>
      <c r="AW35" s="15" t="n">
        <f aca="false">$B$13/$B$12*AW34</f>
        <v>0.976265388544285</v>
      </c>
      <c r="AX35" s="15" t="n">
        <f aca="false">$B$13/$B$12*AX34</f>
        <v>0.362612858602163</v>
      </c>
      <c r="AY35" s="15" t="n">
        <f aca="false">$B$13/$B$12*AY34</f>
        <v>0</v>
      </c>
      <c r="AZ35" s="15" t="n">
        <f aca="false">$B$13/$B$12*AZ34</f>
        <v>0.027893296815551</v>
      </c>
      <c r="BA35" s="15" t="n">
        <f aca="false">$B$13/$B$12*BA34</f>
        <v>6.51779120730334</v>
      </c>
      <c r="BB35" s="15" t="n">
        <f aca="false">$B$13/$B$12*BB34</f>
        <v>0.596264810762766</v>
      </c>
      <c r="BC35" s="15" t="n">
        <f aca="false">$B$13/$B$12*BC34</f>
        <v>0.0164486844348349</v>
      </c>
      <c r="BD35" s="15" t="n">
        <f aca="false">$B$13/$B$12*BD34</f>
        <v>0.00411217110870873</v>
      </c>
      <c r="BE35" s="16" t="n">
        <v>0</v>
      </c>
      <c r="BF35" s="16" t="n">
        <v>0</v>
      </c>
      <c r="BG35" s="16" t="n">
        <f aca="false">base_fleet!CE37</f>
        <v>0</v>
      </c>
      <c r="BH35" s="16" t="n">
        <f aca="false">base_fleet!CA37</f>
        <v>0</v>
      </c>
      <c r="BI35" s="16" t="n">
        <f aca="false">base_fleet!BV37</f>
        <v>0</v>
      </c>
      <c r="BJ35" s="16" t="n">
        <f aca="false">base_fleet!CH37</f>
        <v>0</v>
      </c>
      <c r="BK35" s="16" t="n">
        <f aca="false">base_fleet!BU37+base_fleet!BZ37+base_fleet!CD37</f>
        <v>0</v>
      </c>
    </row>
    <row r="36" customFormat="false" ht="13.2" hidden="false" customHeight="false" outlineLevel="0" collapsed="false">
      <c r="A36" s="0" t="n">
        <f aca="false">A35-1</f>
        <v>1983</v>
      </c>
      <c r="B36" s="15" t="n">
        <f aca="false">$B$13/$B$12*B35</f>
        <v>216.610896194212</v>
      </c>
      <c r="C36" s="15" t="n">
        <f aca="false">$B$13/$B$12*C35</f>
        <v>387.908686223162</v>
      </c>
      <c r="D36" s="15" t="n">
        <f aca="false">$B$13/$B$12*D35</f>
        <v>0.229022902499571</v>
      </c>
      <c r="E36" s="15" t="n">
        <f aca="false">$B$13/$B$12*E35</f>
        <v>161.498666676021</v>
      </c>
      <c r="F36" s="15" t="n">
        <f aca="false">$B$13/$B$12*F35</f>
        <v>1.66911367428655</v>
      </c>
      <c r="G36" s="15" t="n">
        <f aca="false">$B$13/$B$12*G35</f>
        <v>2.61717024128132</v>
      </c>
      <c r="H36" s="15" t="n">
        <f aca="false">$B$13/$B$12*H35</f>
        <v>0.0267058187885849</v>
      </c>
      <c r="I36" s="15" t="n">
        <f aca="false">$B$13/$B$12*I35</f>
        <v>20.6633944313163</v>
      </c>
      <c r="J36" s="16" t="n">
        <f aca="false">base_fleet!C38+base_fleet!G38+base_fleet!L38+base_fleet!Q38</f>
        <v>0</v>
      </c>
      <c r="K36" s="16" t="n">
        <f aca="false">base_fleet!E38+base_fleet!J38+base_fleet!O38+base_fleet!T38</f>
        <v>0</v>
      </c>
      <c r="L36" s="15" t="n">
        <f aca="false">$B$13/$B$12*L35</f>
        <v>24.7090192021513</v>
      </c>
      <c r="M36" s="16" t="n">
        <f aca="false">base_fleet!I38+base_fleet!N38</f>
        <v>0</v>
      </c>
      <c r="N36" s="15" t="n">
        <f aca="false">$B$13/$B$12*N35</f>
        <v>249.726572885533</v>
      </c>
      <c r="O36" s="15" t="n">
        <f aca="false">$B$13/$B$12*O35</f>
        <v>3.91629163274267</v>
      </c>
      <c r="P36" s="15" t="n">
        <f aca="false">$B$13/$B$12*P35</f>
        <v>17.4744474607173</v>
      </c>
      <c r="Q36" s="15" t="n">
        <f aca="false">$B$13/$B$12*Q35</f>
        <v>47.7283728809107</v>
      </c>
      <c r="R36" s="15" t="n">
        <f aca="false">$B$13/$B$12*R35</f>
        <v>6.77907791398732</v>
      </c>
      <c r="S36" s="15" t="n">
        <f aca="false">$B$13/$B$12*S35</f>
        <v>2.5650565079952</v>
      </c>
      <c r="T36" s="16" t="n">
        <f aca="false">base_fleet!Z38+base_fleet!AE38</f>
        <v>0</v>
      </c>
      <c r="U36" s="17" t="n">
        <f aca="false">base_fleet!X38+base_fleet!AC38+base_fleet!AH38</f>
        <v>0</v>
      </c>
      <c r="V36" s="15" t="n">
        <f aca="false">$B$13/$B$12*V35</f>
        <v>61.5118639784091</v>
      </c>
      <c r="W36" s="15" t="n">
        <f aca="false">$B$13/$B$12*W35</f>
        <v>12.8763559743295</v>
      </c>
      <c r="X36" s="15" t="n">
        <f aca="false">$B$13/$B$12*X35</f>
        <v>2.88904866585996</v>
      </c>
      <c r="Y36" s="15" t="n">
        <f aca="false">$B$13/$B$12*Y35</f>
        <v>2.18113607886116</v>
      </c>
      <c r="Z36" s="15" t="n">
        <f aca="false">$B$13/$B$12*Z35</f>
        <v>4.36227215772233</v>
      </c>
      <c r="AA36" s="15" t="n">
        <f aca="false">$B$13/$B$12*AA35</f>
        <v>0.860974767971512</v>
      </c>
      <c r="AB36" s="15" t="n">
        <f aca="false">$B$13/$B$12*AB35</f>
        <v>0.0286991589323837</v>
      </c>
      <c r="AC36" s="15" t="n">
        <f aca="false">$B$13/$B$12*AC35</f>
        <v>0.0286991589323837</v>
      </c>
      <c r="AD36" s="15" t="n">
        <f aca="false">$B$13/$B$12*AD35</f>
        <v>0.248726044080659</v>
      </c>
      <c r="AE36" s="15" t="n">
        <f aca="false">$B$13/$B$12*AE35</f>
        <v>1.2436302204033</v>
      </c>
      <c r="AF36" s="15" t="n">
        <f aca="false">$B$13/$B$12*AF35</f>
        <v>0.153062180972713</v>
      </c>
      <c r="AG36" s="15" t="n">
        <f aca="false">$B$13/$B$12*AG35</f>
        <v>0</v>
      </c>
      <c r="AH36" s="15" t="n">
        <f aca="false">$B$13/$B$12*AH35</f>
        <v>0.0382655452431783</v>
      </c>
      <c r="AI36" s="15" t="n">
        <f aca="false">$B$13/$B$12*AI35</f>
        <v>0.0382655452431783</v>
      </c>
      <c r="AJ36" s="15" t="n">
        <f aca="false">$B$13/$B$12*AJ35</f>
        <v>0</v>
      </c>
      <c r="AK36" s="15" t="n">
        <f aca="false">$B$13/$B$12*AK35</f>
        <v>0</v>
      </c>
      <c r="AL36" s="15" t="n">
        <f aca="false">$B$13/$B$12*AL35</f>
        <v>0</v>
      </c>
      <c r="AM36" s="15" t="n">
        <f aca="false">$B$13/$B$12*AM35</f>
        <v>0</v>
      </c>
      <c r="AN36" s="15" t="n">
        <f aca="false">$B$13/$B$12*AN35</f>
        <v>2.04720667051004</v>
      </c>
      <c r="AO36" s="15" t="n">
        <f aca="false">$B$13/$B$12*AO35</f>
        <v>1.70281676332144</v>
      </c>
      <c r="AP36" s="15" t="n">
        <f aca="false">$B$13/$B$12*AP35</f>
        <v>0.325257134567016</v>
      </c>
      <c r="AQ36" s="15" t="n">
        <f aca="false">$B$13/$B$12*AQ35</f>
        <v>0.937505858457869</v>
      </c>
      <c r="AR36" s="15" t="n">
        <f aca="false">$B$13/$B$12*AR35</f>
        <v>0.573983178647675</v>
      </c>
      <c r="AS36" s="15" t="n">
        <f aca="false">$B$13/$B$12*AS35</f>
        <v>0.0191327726215892</v>
      </c>
      <c r="AT36" s="16" t="n">
        <f aca="false">base_fleet!AQ38+base_fleet!AN38+base_fleet!AJ38</f>
        <v>0</v>
      </c>
      <c r="AU36" s="15" t="n">
        <f aca="false">$B$13/$B$12*AU35</f>
        <v>26.2383931209675</v>
      </c>
      <c r="AV36" s="15" t="n">
        <f aca="false">$B$13/$B$12*AV35</f>
        <v>2.400137203783</v>
      </c>
      <c r="AW36" s="15" t="n">
        <f aca="false">$B$13/$B$12*AW35</f>
        <v>0.815580603227232</v>
      </c>
      <c r="AX36" s="15" t="n">
        <f aca="false">$B$13/$B$12*AX35</f>
        <v>0.302929938341543</v>
      </c>
      <c r="AY36" s="15" t="n">
        <f aca="false">$B$13/$B$12*AY35</f>
        <v>0</v>
      </c>
      <c r="AZ36" s="15" t="n">
        <f aca="false">$B$13/$B$12*AZ35</f>
        <v>0.0233023029493495</v>
      </c>
      <c r="BA36" s="15" t="n">
        <f aca="false">$B$13/$B$12*BA35</f>
        <v>5.44501950692731</v>
      </c>
      <c r="BB36" s="15" t="n">
        <f aca="false">$B$13/$B$12*BB35</f>
        <v>0.498124812936568</v>
      </c>
      <c r="BC36" s="15" t="n">
        <f aca="false">$B$13/$B$12*BC35</f>
        <v>0.0137413741499743</v>
      </c>
      <c r="BD36" s="15" t="n">
        <f aca="false">$B$13/$B$12*BD35</f>
        <v>0.00343534353749357</v>
      </c>
      <c r="BE36" s="16" t="n">
        <v>0</v>
      </c>
      <c r="BF36" s="16" t="n">
        <v>0</v>
      </c>
      <c r="BG36" s="16" t="n">
        <f aca="false">base_fleet!CE38</f>
        <v>0</v>
      </c>
      <c r="BH36" s="16" t="n">
        <f aca="false">base_fleet!CA38</f>
        <v>0</v>
      </c>
      <c r="BI36" s="16" t="n">
        <f aca="false">base_fleet!BV38</f>
        <v>0</v>
      </c>
      <c r="BJ36" s="16" t="n">
        <f aca="false">base_fleet!CH38</f>
        <v>0</v>
      </c>
      <c r="BK36" s="16" t="n">
        <f aca="false">base_fleet!BU38+base_fleet!BZ38+base_fleet!CD38</f>
        <v>0</v>
      </c>
    </row>
    <row r="37" customFormat="false" ht="13.2" hidden="false" customHeight="false" outlineLevel="0" collapsed="false">
      <c r="A37" s="0" t="n">
        <f aca="false">A36-1</f>
        <v>1982</v>
      </c>
      <c r="B37" s="15" t="n">
        <f aca="false">$B$13/$B$12*B36</f>
        <v>180.958628111451</v>
      </c>
      <c r="C37" s="15" t="n">
        <f aca="false">$B$13/$B$12*C36</f>
        <v>324.062292916797</v>
      </c>
      <c r="D37" s="15" t="n">
        <f aca="false">$B$13/$B$12*D36</f>
        <v>0.191327726215892</v>
      </c>
      <c r="E37" s="15" t="n">
        <f aca="false">$B$13/$B$12*E36</f>
        <v>134.917391862498</v>
      </c>
      <c r="F37" s="15" t="n">
        <f aca="false">$B$13/$B$12*F36</f>
        <v>1.39439209184634</v>
      </c>
      <c r="G37" s="15" t="n">
        <f aca="false">$B$13/$B$12*G36</f>
        <v>2.18640680001507</v>
      </c>
      <c r="H37" s="15" t="n">
        <f aca="false">$B$13/$B$12*H36</f>
        <v>0.0223102734695415</v>
      </c>
      <c r="I37" s="15" t="n">
        <f aca="false">$B$13/$B$12*I36</f>
        <v>17.2623795668351</v>
      </c>
      <c r="J37" s="16" t="n">
        <f aca="false">base_fleet!C39+base_fleet!G39+base_fleet!L39+base_fleet!Q39</f>
        <v>0</v>
      </c>
      <c r="K37" s="16" t="n">
        <f aca="false">base_fleet!E39+base_fleet!J39+base_fleet!O39+base_fleet!T39</f>
        <v>0</v>
      </c>
      <c r="L37" s="15" t="n">
        <f aca="false">$B$13/$B$12*L36</f>
        <v>20.6421297144344</v>
      </c>
      <c r="M37" s="16" t="n">
        <f aca="false">base_fleet!I39+base_fleet!N39</f>
        <v>0</v>
      </c>
      <c r="N37" s="15" t="n">
        <f aca="false">$B$13/$B$12*N36</f>
        <v>208.623752665808</v>
      </c>
      <c r="O37" s="15" t="n">
        <f aca="false">$B$13/$B$12*O36</f>
        <v>3.27170411829174</v>
      </c>
      <c r="P37" s="15" t="n">
        <f aca="false">$B$13/$B$12*P36</f>
        <v>14.5983055102725</v>
      </c>
      <c r="Q37" s="15" t="n">
        <f aca="false">$B$13/$B$12*Q36</f>
        <v>39.8726981433918</v>
      </c>
      <c r="R37" s="15" t="n">
        <f aca="false">$B$13/$B$12*R36</f>
        <v>5.66330069599039</v>
      </c>
      <c r="S37" s="15" t="n">
        <f aca="false">$B$13/$B$12*S36</f>
        <v>2.14287053361799</v>
      </c>
      <c r="T37" s="16" t="n">
        <f aca="false">base_fleet!Z39+base_fleet!AE39</f>
        <v>0</v>
      </c>
      <c r="U37" s="17" t="n">
        <f aca="false">base_fleet!X39+base_fleet!AC39+base_fleet!AH39</f>
        <v>0</v>
      </c>
      <c r="V37" s="15" t="n">
        <f aca="false">$B$13/$B$12*V36</f>
        <v>51.3875465809025</v>
      </c>
      <c r="W37" s="15" t="n">
        <f aca="false">$B$13/$B$12*W36</f>
        <v>10.7570198597037</v>
      </c>
      <c r="X37" s="15" t="n">
        <f aca="false">$B$13/$B$12*X36</f>
        <v>2.41353640240009</v>
      </c>
      <c r="Y37" s="15" t="n">
        <f aca="false">$B$13/$B$12*Y36</f>
        <v>1.82214006538815</v>
      </c>
      <c r="Z37" s="15" t="n">
        <f aca="false">$B$13/$B$12*Z36</f>
        <v>3.64428013077629</v>
      </c>
      <c r="AA37" s="15" t="n">
        <f aca="false">$B$13/$B$12*AA36</f>
        <v>0.719265815284794</v>
      </c>
      <c r="AB37" s="15" t="n">
        <f aca="false">$B$13/$B$12*AB36</f>
        <v>0.0239755271761598</v>
      </c>
      <c r="AC37" s="15" t="n">
        <f aca="false">$B$13/$B$12*AC36</f>
        <v>0.0239755271761598</v>
      </c>
      <c r="AD37" s="15" t="n">
        <f aca="false">$B$13/$B$12*AD36</f>
        <v>0.207787902193385</v>
      </c>
      <c r="AE37" s="15" t="n">
        <f aca="false">$B$13/$B$12*AE36</f>
        <v>1.03893951096693</v>
      </c>
      <c r="AF37" s="15" t="n">
        <f aca="false">$B$13/$B$12*AF36</f>
        <v>0.127869478272852</v>
      </c>
      <c r="AG37" s="15" t="n">
        <f aca="false">$B$13/$B$12*AG36</f>
        <v>0</v>
      </c>
      <c r="AH37" s="15" t="n">
        <f aca="false">$B$13/$B$12*AH36</f>
        <v>0.0319673695682131</v>
      </c>
      <c r="AI37" s="15" t="n">
        <f aca="false">$B$13/$B$12*AI36</f>
        <v>0.0319673695682131</v>
      </c>
      <c r="AJ37" s="15" t="n">
        <f aca="false">$B$13/$B$12*AJ36</f>
        <v>0</v>
      </c>
      <c r="AK37" s="15" t="n">
        <f aca="false">$B$13/$B$12*AK36</f>
        <v>0</v>
      </c>
      <c r="AL37" s="15" t="n">
        <f aca="false">$B$13/$B$12*AL36</f>
        <v>0</v>
      </c>
      <c r="AM37" s="15" t="n">
        <f aca="false">$B$13/$B$12*AM36</f>
        <v>0</v>
      </c>
      <c r="AN37" s="15" t="n">
        <f aca="false">$B$13/$B$12*AN36</f>
        <v>1.7102542718994</v>
      </c>
      <c r="AO37" s="15" t="n">
        <f aca="false">$B$13/$B$12*AO36</f>
        <v>1.42254794578548</v>
      </c>
      <c r="AP37" s="15" t="n">
        <f aca="false">$B$13/$B$12*AP36</f>
        <v>0.271722641329811</v>
      </c>
      <c r="AQ37" s="15" t="n">
        <f aca="false">$B$13/$B$12*AQ36</f>
        <v>0.783200554421221</v>
      </c>
      <c r="AR37" s="15" t="n">
        <f aca="false">$B$13/$B$12*AR36</f>
        <v>0.479510543523196</v>
      </c>
      <c r="AS37" s="15" t="n">
        <f aca="false">$B$13/$B$12*AS36</f>
        <v>0.0159836847841065</v>
      </c>
      <c r="AT37" s="16" t="n">
        <f aca="false">base_fleet!AQ39+base_fleet!AN39+base_fleet!AJ39</f>
        <v>0</v>
      </c>
      <c r="AU37" s="15" t="n">
        <f aca="false">$B$13/$B$12*AU36</f>
        <v>21.919781998234</v>
      </c>
      <c r="AV37" s="15" t="n">
        <f aca="false">$B$13/$B$12*AV36</f>
        <v>2.00509551138375</v>
      </c>
      <c r="AW37" s="15" t="n">
        <f aca="false">$B$13/$B$12*AW36</f>
        <v>0.681343134936225</v>
      </c>
      <c r="AX37" s="15" t="n">
        <f aca="false">$B$13/$B$12*AX36</f>
        <v>0.253070307262026</v>
      </c>
      <c r="AY37" s="15" t="n">
        <f aca="false">$B$13/$B$12*AY36</f>
        <v>0</v>
      </c>
      <c r="AZ37" s="15" t="n">
        <f aca="false">$B$13/$B$12*AZ36</f>
        <v>0.0194669467124636</v>
      </c>
      <c r="BA37" s="15" t="n">
        <f aca="false">$B$13/$B$12*BA36</f>
        <v>4.54881669078282</v>
      </c>
      <c r="BB37" s="15" t="n">
        <f aca="false">$B$13/$B$12*BB36</f>
        <v>0.416137804519564</v>
      </c>
      <c r="BC37" s="15" t="n">
        <f aca="false">$B$13/$B$12*BC36</f>
        <v>0.0114796635729535</v>
      </c>
      <c r="BD37" s="15" t="n">
        <f aca="false">$B$13/$B$12*BD36</f>
        <v>0.00286991589323837</v>
      </c>
      <c r="BE37" s="16" t="n">
        <v>0</v>
      </c>
      <c r="BF37" s="16" t="n">
        <v>0</v>
      </c>
      <c r="BG37" s="16" t="n">
        <f aca="false">base_fleet!CE39</f>
        <v>0</v>
      </c>
      <c r="BH37" s="16" t="n">
        <f aca="false">base_fleet!CA39</f>
        <v>0</v>
      </c>
      <c r="BI37" s="16" t="n">
        <f aca="false">base_fleet!BV39</f>
        <v>0</v>
      </c>
      <c r="BJ37" s="16" t="n">
        <f aca="false">base_fleet!CH39</f>
        <v>0</v>
      </c>
      <c r="BK37" s="16" t="n">
        <f aca="false">base_fleet!BU39+base_fleet!BZ39+base_fleet!CD39</f>
        <v>0</v>
      </c>
    </row>
    <row r="38" customFormat="false" ht="13.2" hidden="false" customHeight="false" outlineLevel="0" collapsed="false">
      <c r="A38" s="0" t="n">
        <f aca="false">A37-1</f>
        <v>1981</v>
      </c>
      <c r="B38" s="15" t="n">
        <f aca="false">$B$13/$B$12*B37</f>
        <v>151.174413029613</v>
      </c>
      <c r="C38" s="15" t="n">
        <f aca="false">$B$13/$B$12*C37</f>
        <v>270.724460215044</v>
      </c>
      <c r="D38" s="15" t="n">
        <f aca="false">$B$13/$B$12*D37</f>
        <v>0.159836847841065</v>
      </c>
      <c r="E38" s="15" t="n">
        <f aca="false">$B$13/$B$12*E37</f>
        <v>112.711163513782</v>
      </c>
      <c r="F38" s="15" t="n">
        <f aca="false">$B$13/$B$12*F37</f>
        <v>1.16488729063627</v>
      </c>
      <c r="G38" s="15" t="n">
        <f aca="false">$B$13/$B$12*G37</f>
        <v>1.82654327171768</v>
      </c>
      <c r="H38" s="15" t="n">
        <f aca="false">$B$13/$B$12*H37</f>
        <v>0.0186381966501804</v>
      </c>
      <c r="I38" s="15" t="n">
        <f aca="false">$B$13/$B$12*I37</f>
        <v>14.4211421458358</v>
      </c>
      <c r="J38" s="16" t="n">
        <f aca="false">base_fleet!C40+base_fleet!G40+base_fleet!L40+base_fleet!Q40</f>
        <v>0</v>
      </c>
      <c r="K38" s="16" t="n">
        <f aca="false">base_fleet!E40+base_fleet!J40+base_fleet!O40+base_fleet!T40</f>
        <v>0</v>
      </c>
      <c r="L38" s="15" t="n">
        <f aca="false">$B$13/$B$12*L37</f>
        <v>17.2446148372589</v>
      </c>
      <c r="M38" s="16" t="n">
        <f aca="false">base_fleet!I40+base_fleet!N40</f>
        <v>0</v>
      </c>
      <c r="N38" s="15" t="n">
        <f aca="false">$B$13/$B$12*N37</f>
        <v>174.286098885898</v>
      </c>
      <c r="O38" s="15" t="n">
        <f aca="false">$B$13/$B$12*O37</f>
        <v>2.73321009808222</v>
      </c>
      <c r="P38" s="15" t="n">
        <f aca="false">$B$13/$B$12*P37</f>
        <v>12.1955514902733</v>
      </c>
      <c r="Q38" s="15" t="n">
        <f aca="false">$B$13/$B$12*Q37</f>
        <v>33.309999090078</v>
      </c>
      <c r="R38" s="15" t="n">
        <f aca="false">$B$13/$B$12*R37</f>
        <v>4.73117069609554</v>
      </c>
      <c r="S38" s="15" t="n">
        <f aca="false">$B$13/$B$12*S37</f>
        <v>1.79017269581993</v>
      </c>
      <c r="T38" s="16" t="n">
        <f aca="false">base_fleet!Z40+base_fleet!AE40</f>
        <v>0</v>
      </c>
      <c r="U38" s="17" t="n">
        <f aca="false">base_fleet!X40+base_fleet!AC40+base_fleet!AH40</f>
        <v>0</v>
      </c>
      <c r="V38" s="15" t="n">
        <f aca="false">$B$13/$B$12*V37</f>
        <v>42.9296037026502</v>
      </c>
      <c r="W38" s="15" t="n">
        <f aca="false">$B$13/$B$12*W37</f>
        <v>8.9865080223588</v>
      </c>
      <c r="X38" s="15" t="n">
        <f aca="false">$B$13/$B$12*X37</f>
        <v>2.01628931853816</v>
      </c>
      <c r="Y38" s="15" t="n">
        <f aca="false">$B$13/$B$12*Y37</f>
        <v>1.52223167094934</v>
      </c>
      <c r="Z38" s="15" t="n">
        <f aca="false">$B$13/$B$12*Z37</f>
        <v>3.04446334189868</v>
      </c>
      <c r="AA38" s="15" t="n">
        <f aca="false">$B$13/$B$12*AA37</f>
        <v>0.600880922743159</v>
      </c>
      <c r="AB38" s="15" t="n">
        <f aca="false">$B$13/$B$12*AB37</f>
        <v>0.0200293640914386</v>
      </c>
      <c r="AC38" s="15" t="n">
        <f aca="false">$B$13/$B$12*AC37</f>
        <v>0.0200293640914386</v>
      </c>
      <c r="AD38" s="15" t="n">
        <f aca="false">$B$13/$B$12*AD37</f>
        <v>0.173587822125802</v>
      </c>
      <c r="AE38" s="15" t="n">
        <f aca="false">$B$13/$B$12*AE37</f>
        <v>0.867939110629008</v>
      </c>
      <c r="AF38" s="15" t="n">
        <f aca="false">$B$13/$B$12*AF37</f>
        <v>0.106823275154339</v>
      </c>
      <c r="AG38" s="15" t="n">
        <f aca="false">$B$13/$B$12*AG37</f>
        <v>0</v>
      </c>
      <c r="AH38" s="15" t="n">
        <f aca="false">$B$13/$B$12*AH37</f>
        <v>0.0267058187885849</v>
      </c>
      <c r="AI38" s="15" t="n">
        <f aca="false">$B$13/$B$12*AI37</f>
        <v>0.0267058187885849</v>
      </c>
      <c r="AJ38" s="15" t="n">
        <f aca="false">$B$13/$B$12*AJ37</f>
        <v>0</v>
      </c>
      <c r="AK38" s="15" t="n">
        <f aca="false">$B$13/$B$12*AK37</f>
        <v>0</v>
      </c>
      <c r="AL38" s="15" t="n">
        <f aca="false">$B$13/$B$12*AL37</f>
        <v>0</v>
      </c>
      <c r="AM38" s="15" t="n">
        <f aca="false">$B$13/$B$12*AM37</f>
        <v>0</v>
      </c>
      <c r="AN38" s="15" t="n">
        <f aca="false">$B$13/$B$12*AN37</f>
        <v>1.42876130518929</v>
      </c>
      <c r="AO38" s="15" t="n">
        <f aca="false">$B$13/$B$12*AO37</f>
        <v>1.18840893609203</v>
      </c>
      <c r="AP38" s="15" t="n">
        <f aca="false">$B$13/$B$12*AP37</f>
        <v>0.226999459702971</v>
      </c>
      <c r="AQ38" s="15" t="n">
        <f aca="false">$B$13/$B$12*AQ37</f>
        <v>0.654292560320329</v>
      </c>
      <c r="AR38" s="15" t="n">
        <f aca="false">$B$13/$B$12*AR37</f>
        <v>0.400587281828773</v>
      </c>
      <c r="AS38" s="15" t="n">
        <f aca="false">$B$13/$B$12*AS37</f>
        <v>0.0133529093942924</v>
      </c>
      <c r="AT38" s="16" t="n">
        <f aca="false">base_fleet!AQ40+base_fleet!AN40+base_fleet!AJ40</f>
        <v>0</v>
      </c>
      <c r="AU38" s="15" t="n">
        <f aca="false">$B$13/$B$12*AU37</f>
        <v>18.311976676123</v>
      </c>
      <c r="AV38" s="15" t="n">
        <f aca="false">$B$13/$B$12*AV37</f>
        <v>1.67507424302013</v>
      </c>
      <c r="AW38" s="15" t="n">
        <f aca="false">$B$13/$B$12*AW37</f>
        <v>0.569199985492277</v>
      </c>
      <c r="AX38" s="15" t="n">
        <f aca="false">$B$13/$B$12*AX37</f>
        <v>0.21141713746856</v>
      </c>
      <c r="AY38" s="15" t="n">
        <f aca="false">$B$13/$B$12*AY37</f>
        <v>0</v>
      </c>
      <c r="AZ38" s="15" t="n">
        <f aca="false">$B$13/$B$12*AZ37</f>
        <v>0.0162628567283508</v>
      </c>
      <c r="BA38" s="15" t="n">
        <f aca="false">$B$13/$B$12*BA37</f>
        <v>3.80012105742133</v>
      </c>
      <c r="BB38" s="15" t="n">
        <f aca="false">$B$13/$B$12*BB37</f>
        <v>0.347645144054317</v>
      </c>
      <c r="BC38" s="15" t="n">
        <f aca="false">$B$13/$B$12*BC37</f>
        <v>0.00959021087046392</v>
      </c>
      <c r="BD38" s="15" t="n">
        <f aca="false">$B$13/$B$12*BD37</f>
        <v>0.00239755271761598</v>
      </c>
      <c r="BE38" s="16" t="n">
        <v>0</v>
      </c>
      <c r="BF38" s="16" t="n">
        <v>0</v>
      </c>
      <c r="BG38" s="16" t="n">
        <f aca="false">base_fleet!CE40</f>
        <v>0</v>
      </c>
      <c r="BH38" s="16" t="n">
        <f aca="false">base_fleet!CA40</f>
        <v>0</v>
      </c>
      <c r="BI38" s="16" t="n">
        <f aca="false">base_fleet!BV40</f>
        <v>0</v>
      </c>
      <c r="BJ38" s="16" t="n">
        <f aca="false">base_fleet!CH40</f>
        <v>0</v>
      </c>
      <c r="BK38" s="16" t="n">
        <f aca="false">base_fleet!BU40+base_fleet!BZ40+base_fleet!CD40</f>
        <v>0</v>
      </c>
    </row>
    <row r="39" customFormat="false" ht="13.2" hidden="false" customHeight="false" outlineLevel="0" collapsed="false">
      <c r="A39" s="0" t="n">
        <f aca="false">A38-1</f>
        <v>1980</v>
      </c>
      <c r="B39" s="15" t="n">
        <f aca="false">$B$13/$B$12*B38</f>
        <v>126.292420501622</v>
      </c>
      <c r="C39" s="15" t="n">
        <f aca="false">$B$13/$B$12*C38</f>
        <v>226.165570511298</v>
      </c>
      <c r="D39" s="15" t="n">
        <f aca="false">$B$13/$B$12*D38</f>
        <v>0.133529093942924</v>
      </c>
      <c r="E39" s="15" t="n">
        <f aca="false">$B$13/$B$12*E38</f>
        <v>94.1598870631716</v>
      </c>
      <c r="F39" s="15" t="n">
        <f aca="false">$B$13/$B$12*F38</f>
        <v>0.973156982043076</v>
      </c>
      <c r="G39" s="15" t="n">
        <f aca="false">$B$13/$B$12*G38</f>
        <v>1.52591014784354</v>
      </c>
      <c r="H39" s="15" t="n">
        <f aca="false">$B$13/$B$12*H38</f>
        <v>0.0155705117126892</v>
      </c>
      <c r="I39" s="15" t="n">
        <f aca="false">$B$13/$B$12*I38</f>
        <v>12.0475476735524</v>
      </c>
      <c r="J39" s="16" t="n">
        <f aca="false">base_fleet!C41+base_fleet!G41+base_fleet!L41+base_fleet!Q41</f>
        <v>0</v>
      </c>
      <c r="K39" s="16" t="n">
        <f aca="false">base_fleet!E41+base_fleet!J41+base_fleet!O41+base_fleet!T41</f>
        <v>0</v>
      </c>
      <c r="L39" s="15" t="n">
        <f aca="false">$B$13/$B$12*L38</f>
        <v>14.4063013361197</v>
      </c>
      <c r="M39" s="16" t="n">
        <f aca="false">base_fleet!I41+base_fleet!N41</f>
        <v>0</v>
      </c>
      <c r="N39" s="15" t="n">
        <f aca="false">$B$13/$B$12*N38</f>
        <v>145.600124035365</v>
      </c>
      <c r="O39" s="15" t="n">
        <f aca="false">$B$13/$B$12*O38</f>
        <v>2.283347506424</v>
      </c>
      <c r="P39" s="15" t="n">
        <f aca="false">$B$13/$B$12*P38</f>
        <v>10.1882698678451</v>
      </c>
      <c r="Q39" s="15" t="n">
        <f aca="false">$B$13/$B$12*Q38</f>
        <v>27.8274631777054</v>
      </c>
      <c r="R39" s="15" t="n">
        <f aca="false">$B$13/$B$12*R38</f>
        <v>3.95246118071056</v>
      </c>
      <c r="S39" s="15" t="n">
        <f aca="false">$B$13/$B$12*S38</f>
        <v>1.49552585216075</v>
      </c>
      <c r="T39" s="16" t="n">
        <f aca="false">base_fleet!Z41+base_fleet!AE41</f>
        <v>0</v>
      </c>
      <c r="U39" s="17" t="n">
        <f aca="false">base_fleet!X41+base_fleet!AC41+base_fleet!AH41</f>
        <v>0</v>
      </c>
      <c r="V39" s="15" t="n">
        <f aca="false">$B$13/$B$12*V38</f>
        <v>35.8637646022879</v>
      </c>
      <c r="W39" s="15" t="n">
        <f aca="false">$B$13/$B$12*W38</f>
        <v>7.50740702250071</v>
      </c>
      <c r="X39" s="15" t="n">
        <f aca="false">$B$13/$B$12*X38</f>
        <v>1.68442564695038</v>
      </c>
      <c r="Y39" s="15" t="n">
        <f aca="false">$B$13/$B$12*Y38</f>
        <v>1.27168558776387</v>
      </c>
      <c r="Z39" s="15" t="n">
        <f aca="false">$B$13/$B$12*Z38</f>
        <v>2.54337117552773</v>
      </c>
      <c r="AA39" s="15" t="n">
        <f aca="false">$B$13/$B$12*AA38</f>
        <v>0.501981153064684</v>
      </c>
      <c r="AB39" s="15" t="n">
        <f aca="false">$B$13/$B$12*AB38</f>
        <v>0.0167327051021561</v>
      </c>
      <c r="AC39" s="15" t="n">
        <f aca="false">$B$13/$B$12*AC38</f>
        <v>0.0167327051021561</v>
      </c>
      <c r="AD39" s="15" t="n">
        <f aca="false">$B$13/$B$12*AD38</f>
        <v>0.14501677755202</v>
      </c>
      <c r="AE39" s="15" t="n">
        <f aca="false">$B$13/$B$12*AE38</f>
        <v>0.725083887760098</v>
      </c>
      <c r="AF39" s="15" t="n">
        <f aca="false">$B$13/$B$12*AF38</f>
        <v>0.089241093878166</v>
      </c>
      <c r="AG39" s="15" t="n">
        <f aca="false">$B$13/$B$12*AG38</f>
        <v>0</v>
      </c>
      <c r="AH39" s="15" t="n">
        <f aca="false">$B$13/$B$12*AH38</f>
        <v>0.0223102734695415</v>
      </c>
      <c r="AI39" s="15" t="n">
        <f aca="false">$B$13/$B$12*AI38</f>
        <v>0.0223102734695415</v>
      </c>
      <c r="AJ39" s="15" t="n">
        <f aca="false">$B$13/$B$12*AJ38</f>
        <v>0</v>
      </c>
      <c r="AK39" s="15" t="n">
        <f aca="false">$B$13/$B$12*AK38</f>
        <v>0</v>
      </c>
      <c r="AL39" s="15" t="n">
        <f aca="false">$B$13/$B$12*AL38</f>
        <v>0</v>
      </c>
      <c r="AM39" s="15" t="n">
        <f aca="false">$B$13/$B$12*AM38</f>
        <v>0</v>
      </c>
      <c r="AN39" s="15" t="n">
        <f aca="false">$B$13/$B$12*AN38</f>
        <v>1.19359963062047</v>
      </c>
      <c r="AO39" s="15" t="n">
        <f aca="false">$B$13/$B$12*AO38</f>
        <v>0.992807169394597</v>
      </c>
      <c r="AP39" s="15" t="n">
        <f aca="false">$B$13/$B$12*AP38</f>
        <v>0.189637324491103</v>
      </c>
      <c r="AQ39" s="15" t="n">
        <f aca="false">$B$13/$B$12*AQ38</f>
        <v>0.546601700003767</v>
      </c>
      <c r="AR39" s="15" t="n">
        <f aca="false">$B$13/$B$12*AR38</f>
        <v>0.334654102043122</v>
      </c>
      <c r="AS39" s="15" t="n">
        <f aca="false">$B$13/$B$12*AS38</f>
        <v>0.0111551367347707</v>
      </c>
      <c r="AT39" s="16" t="n">
        <f aca="false">base_fleet!AQ41+base_fleet!AN41+base_fleet!AJ41</f>
        <v>0</v>
      </c>
      <c r="AU39" s="15" t="n">
        <f aca="false">$B$13/$B$12*AU38</f>
        <v>15.2979847068684</v>
      </c>
      <c r="AV39" s="15" t="n">
        <f aca="false">$B$13/$B$12*AV38</f>
        <v>1.39937160284853</v>
      </c>
      <c r="AW39" s="15" t="n">
        <f aca="false">$B$13/$B$12*AW38</f>
        <v>0.47551462232717</v>
      </c>
      <c r="AX39" s="15" t="n">
        <f aca="false">$B$13/$B$12*AX38</f>
        <v>0.176619716864377</v>
      </c>
      <c r="AY39" s="15" t="n">
        <f aca="false">$B$13/$B$12*AY38</f>
        <v>0</v>
      </c>
      <c r="AZ39" s="15" t="n">
        <f aca="false">$B$13/$B$12*AZ38</f>
        <v>0.0135861320664906</v>
      </c>
      <c r="BA39" s="15" t="n">
        <f aca="false">$B$13/$B$12*BA38</f>
        <v>3.17465420849302</v>
      </c>
      <c r="BB39" s="15" t="n">
        <f aca="false">$B$13/$B$12*BB38</f>
        <v>0.29042577932586</v>
      </c>
      <c r="BC39" s="15" t="n">
        <f aca="false">$B$13/$B$12*BC38</f>
        <v>0.00801174563657546</v>
      </c>
      <c r="BD39" s="15" t="n">
        <f aca="false">$B$13/$B$12*BD38</f>
        <v>0.00200293640914386</v>
      </c>
      <c r="BE39" s="16" t="n">
        <v>0</v>
      </c>
      <c r="BF39" s="16" t="n">
        <v>0</v>
      </c>
      <c r="BG39" s="16" t="n">
        <f aca="false">base_fleet!CE41</f>
        <v>0</v>
      </c>
      <c r="BH39" s="16" t="n">
        <f aca="false">base_fleet!CA41</f>
        <v>0</v>
      </c>
      <c r="BI39" s="16" t="n">
        <f aca="false">base_fleet!BV41</f>
        <v>0</v>
      </c>
      <c r="BJ39" s="16" t="n">
        <f aca="false">base_fleet!CH41</f>
        <v>0</v>
      </c>
      <c r="BK39" s="16" t="n">
        <f aca="false">base_fleet!BU41+base_fleet!BZ41+base_fleet!CD41</f>
        <v>0</v>
      </c>
    </row>
    <row r="40" customFormat="false" ht="13.2" hidden="false" customHeight="false" outlineLevel="0" collapsed="false">
      <c r="A40" s="0" t="n">
        <f aca="false">A39-1</f>
        <v>1979</v>
      </c>
      <c r="B40" s="15" t="n">
        <f aca="false">$B$13/$B$12*B39</f>
        <v>105.505787365182</v>
      </c>
      <c r="C40" s="15" t="n">
        <f aca="false">$B$13/$B$12*C39</f>
        <v>188.940686202016</v>
      </c>
      <c r="D40" s="15" t="n">
        <f aca="false">$B$13/$B$12*D39</f>
        <v>0.111551367347707</v>
      </c>
      <c r="E40" s="15" t="n">
        <f aca="false">$B$13/$B$12*E39</f>
        <v>78.6619892417767</v>
      </c>
      <c r="F40" s="15" t="n">
        <f aca="false">$B$13/$B$12*F39</f>
        <v>0.81298381337984</v>
      </c>
      <c r="G40" s="15" t="n">
        <f aca="false">$B$13/$B$12*G39</f>
        <v>1.27475861937959</v>
      </c>
      <c r="H40" s="15" t="n">
        <f aca="false">$B$13/$B$12*H39</f>
        <v>0.0130077410140775</v>
      </c>
      <c r="I40" s="15" t="n">
        <f aca="false">$B$13/$B$12*I39</f>
        <v>10.0646261910974</v>
      </c>
      <c r="J40" s="16" t="n">
        <f aca="false">base_fleet!C42+base_fleet!G42+base_fleet!L42+base_fleet!Q42</f>
        <v>0</v>
      </c>
      <c r="K40" s="16" t="n">
        <f aca="false">base_fleet!E42+base_fleet!J42+base_fleet!O42+base_fleet!T42</f>
        <v>0</v>
      </c>
      <c r="L40" s="15" t="n">
        <f aca="false">$B$13/$B$12*L39</f>
        <v>12.0351495319377</v>
      </c>
      <c r="M40" s="16" t="n">
        <f aca="false">base_fleet!I42+base_fleet!N42</f>
        <v>0</v>
      </c>
      <c r="N40" s="15" t="n">
        <f aca="false">$B$13/$B$12*N39</f>
        <v>121.63561095594</v>
      </c>
      <c r="O40" s="15" t="n">
        <f aca="false">$B$13/$B$12*O39</f>
        <v>1.9075283816458</v>
      </c>
      <c r="P40" s="15" t="n">
        <f aca="false">$B$13/$B$12*P39</f>
        <v>8.51136932863008</v>
      </c>
      <c r="Q40" s="15" t="n">
        <f aca="false">$B$13/$B$12*Q39</f>
        <v>23.2473049552622</v>
      </c>
      <c r="R40" s="15" t="n">
        <f aca="false">$B$13/$B$12*R39</f>
        <v>3.30192047349214</v>
      </c>
      <c r="S40" s="15" t="n">
        <f aca="false">$B$13/$B$12*S39</f>
        <v>1.24937531429432</v>
      </c>
      <c r="T40" s="16" t="n">
        <f aca="false">base_fleet!Z42+base_fleet!AE42</f>
        <v>0</v>
      </c>
      <c r="U40" s="17" t="n">
        <f aca="false">base_fleet!X42+base_fleet!AC42+base_fleet!AH42</f>
        <v>0</v>
      </c>
      <c r="V40" s="15" t="n">
        <f aca="false">$B$13/$B$12*V39</f>
        <v>29.960901115165</v>
      </c>
      <c r="W40" s="15" t="n">
        <f aca="false">$B$13/$B$12*W39</f>
        <v>6.2717531727857</v>
      </c>
      <c r="X40" s="15" t="n">
        <f aca="false">$B$13/$B$12*X39</f>
        <v>1.40718384708862</v>
      </c>
      <c r="Y40" s="15" t="n">
        <f aca="false">$B$13/$B$12*Y39</f>
        <v>1.06237720906028</v>
      </c>
      <c r="Z40" s="15" t="n">
        <f aca="false">$B$13/$B$12*Z39</f>
        <v>2.12475441812057</v>
      </c>
      <c r="AA40" s="15" t="n">
        <f aca="false">$B$13/$B$12*AA39</f>
        <v>0.419359424629059</v>
      </c>
      <c r="AB40" s="15" t="n">
        <f aca="false">$B$13/$B$12*AB39</f>
        <v>0.0139786474876353</v>
      </c>
      <c r="AC40" s="15" t="n">
        <f aca="false">$B$13/$B$12*AC39</f>
        <v>0.0139786474876353</v>
      </c>
      <c r="AD40" s="15" t="n">
        <f aca="false">$B$13/$B$12*AD39</f>
        <v>0.121148278226173</v>
      </c>
      <c r="AE40" s="15" t="n">
        <f aca="false">$B$13/$B$12*AE39</f>
        <v>0.605741391130863</v>
      </c>
      <c r="AF40" s="15" t="n">
        <f aca="false">$B$13/$B$12*AF39</f>
        <v>0.0745527866007216</v>
      </c>
      <c r="AG40" s="15" t="n">
        <f aca="false">$B$13/$B$12*AG39</f>
        <v>0</v>
      </c>
      <c r="AH40" s="15" t="n">
        <f aca="false">$B$13/$B$12*AH39</f>
        <v>0.0186381966501804</v>
      </c>
      <c r="AI40" s="15" t="n">
        <f aca="false">$B$13/$B$12*AI39</f>
        <v>0.0186381966501804</v>
      </c>
      <c r="AJ40" s="15" t="n">
        <f aca="false">$B$13/$B$12*AJ39</f>
        <v>0</v>
      </c>
      <c r="AK40" s="15" t="n">
        <f aca="false">$B$13/$B$12*AK39</f>
        <v>0</v>
      </c>
      <c r="AL40" s="15" t="n">
        <f aca="false">$B$13/$B$12*AL39</f>
        <v>0</v>
      </c>
      <c r="AM40" s="15" t="n">
        <f aca="false">$B$13/$B$12*AM39</f>
        <v>0</v>
      </c>
      <c r="AN40" s="15" t="n">
        <f aca="false">$B$13/$B$12*AN39</f>
        <v>0.997143520784651</v>
      </c>
      <c r="AO40" s="15" t="n">
        <f aca="false">$B$13/$B$12*AO39</f>
        <v>0.829399750933028</v>
      </c>
      <c r="AP40" s="15" t="n">
        <f aca="false">$B$13/$B$12*AP39</f>
        <v>0.158424671526533</v>
      </c>
      <c r="AQ40" s="15" t="n">
        <f aca="false">$B$13/$B$12*AQ39</f>
        <v>0.45663581792942</v>
      </c>
      <c r="AR40" s="15" t="n">
        <f aca="false">$B$13/$B$12*AR39</f>
        <v>0.279572949752706</v>
      </c>
      <c r="AS40" s="15" t="n">
        <f aca="false">$B$13/$B$12*AS39</f>
        <v>0.0093190983250902</v>
      </c>
      <c r="AT40" s="16" t="n">
        <f aca="false">base_fleet!AQ42+base_fleet!AN42+base_fleet!AJ42</f>
        <v>0</v>
      </c>
      <c r="AU40" s="15" t="n">
        <f aca="false">$B$13/$B$12*AU39</f>
        <v>12.7800695812773</v>
      </c>
      <c r="AV40" s="15" t="n">
        <f aca="false">$B$13/$B$12*AV39</f>
        <v>1.1690472174703</v>
      </c>
      <c r="AW40" s="15" t="n">
        <f aca="false">$B$13/$B$12*AW39</f>
        <v>0.3972490544802</v>
      </c>
      <c r="AX40" s="15" t="n">
        <f aca="false">$B$13/$B$12*AX39</f>
        <v>0.147549648806931</v>
      </c>
      <c r="AY40" s="15" t="n">
        <f aca="false">$B$13/$B$12*AY39</f>
        <v>0</v>
      </c>
      <c r="AZ40" s="15" t="n">
        <f aca="false">$B$13/$B$12*AZ39</f>
        <v>0.0113499729851486</v>
      </c>
      <c r="BA40" s="15" t="n">
        <f aca="false">$B$13/$B$12*BA39</f>
        <v>2.65213375869174</v>
      </c>
      <c r="BB40" s="15" t="n">
        <f aca="false">$B$13/$B$12*BB39</f>
        <v>0.242624223981264</v>
      </c>
      <c r="BC40" s="15" t="n">
        <f aca="false">$B$13/$B$12*BC39</f>
        <v>0.00669308204086244</v>
      </c>
      <c r="BD40" s="15" t="n">
        <f aca="false">$B$13/$B$12*BD39</f>
        <v>0.00167327051021561</v>
      </c>
      <c r="BE40" s="16" t="n">
        <v>0</v>
      </c>
      <c r="BF40" s="16" t="n">
        <v>0</v>
      </c>
      <c r="BG40" s="16" t="n">
        <f aca="false">base_fleet!CE42</f>
        <v>0</v>
      </c>
      <c r="BH40" s="16" t="n">
        <f aca="false">base_fleet!CA42</f>
        <v>0</v>
      </c>
      <c r="BI40" s="16" t="n">
        <f aca="false">base_fleet!BV42</f>
        <v>0</v>
      </c>
      <c r="BJ40" s="16" t="n">
        <f aca="false">base_fleet!CH42</f>
        <v>0</v>
      </c>
      <c r="BK40" s="16" t="n">
        <f aca="false">base_fleet!BU42+base_fleet!BZ42+base_fleet!CD42</f>
        <v>0</v>
      </c>
    </row>
    <row r="41" customFormat="false" ht="13.2" hidden="false" customHeight="false" outlineLevel="0" collapsed="false">
      <c r="A41" s="0" t="n">
        <f aca="false">A40-1</f>
        <v>1978</v>
      </c>
      <c r="B41" s="15" t="n">
        <f aca="false">$B$13/$B$12*B40</f>
        <v>88.1404531113888</v>
      </c>
      <c r="C41" s="15" t="n">
        <f aca="false">$B$13/$B$12*C40</f>
        <v>157.842693836131</v>
      </c>
      <c r="D41" s="15" t="n">
        <f aca="false">$B$13/$B$12*D40</f>
        <v>0.0931909832509019</v>
      </c>
      <c r="E41" s="15" t="n">
        <f aca="false">$B$13/$B$12*E40</f>
        <v>65.7149105045344</v>
      </c>
      <c r="F41" s="15" t="n">
        <f aca="false">$B$13/$B$12*F40</f>
        <v>0.679173754094661</v>
      </c>
      <c r="G41" s="15" t="n">
        <f aca="false">$B$13/$B$12*G40</f>
        <v>1.06494444642043</v>
      </c>
      <c r="H41" s="15" t="n">
        <f aca="false">$B$13/$B$12*H40</f>
        <v>0.0108667800655146</v>
      </c>
      <c r="I41" s="15" t="n">
        <f aca="false">$B$13/$B$12*I40</f>
        <v>8.40807632485218</v>
      </c>
      <c r="J41" s="16" t="n">
        <f aca="false">base_fleet!C43+base_fleet!G43+base_fleet!L43+base_fleet!Q43</f>
        <v>0</v>
      </c>
      <c r="K41" s="16" t="n">
        <f aca="false">base_fleet!E43+base_fleet!J43+base_fleet!O43+base_fleet!T43</f>
        <v>0</v>
      </c>
      <c r="L41" s="15" t="n">
        <f aca="false">$B$13/$B$12*L40</f>
        <v>10.0542686756762</v>
      </c>
      <c r="M41" s="16" t="n">
        <f aca="false">base_fleet!I43+base_fleet!N43</f>
        <v>0</v>
      </c>
      <c r="N41" s="15" t="n">
        <f aca="false">$B$13/$B$12*N40</f>
        <v>101.615448136784</v>
      </c>
      <c r="O41" s="15" t="n">
        <f aca="false">$B$13/$B$12*O40</f>
        <v>1.59356581359042</v>
      </c>
      <c r="P41" s="15" t="n">
        <f aca="false">$B$13/$B$12*P40</f>
        <v>7.11047202204382</v>
      </c>
      <c r="Q41" s="15" t="n">
        <f aca="false">$B$13/$B$12*Q40</f>
        <v>19.421000909488</v>
      </c>
      <c r="R41" s="15" t="n">
        <f aca="false">$B$13/$B$12*R40</f>
        <v>2.7584531042267</v>
      </c>
      <c r="S41" s="15" t="n">
        <f aca="false">$B$13/$B$12*S40</f>
        <v>1.0437390124101</v>
      </c>
      <c r="T41" s="16" t="n">
        <f aca="false">base_fleet!Z43+base_fleet!AE43</f>
        <v>0</v>
      </c>
      <c r="U41" s="17" t="n">
        <f aca="false">base_fleet!X43+base_fleet!AC43+base_fleet!AH43</f>
        <v>0</v>
      </c>
      <c r="V41" s="15" t="n">
        <f aca="false">$B$13/$B$12*V40</f>
        <v>25.0295975781479</v>
      </c>
      <c r="W41" s="15" t="n">
        <f aca="false">$B$13/$B$12*W40</f>
        <v>5.23947719131992</v>
      </c>
      <c r="X41" s="15" t="n">
        <f aca="false">$B$13/$B$12*X40</f>
        <v>1.17557363430804</v>
      </c>
      <c r="Y41" s="15" t="n">
        <f aca="false">$B$13/$B$12*Y40</f>
        <v>0.887519167623286</v>
      </c>
      <c r="Z41" s="15" t="n">
        <f aca="false">$B$13/$B$12*Z40</f>
        <v>1.77503833524657</v>
      </c>
      <c r="AA41" s="15" t="n">
        <f aca="false">$B$13/$B$12*AA40</f>
        <v>0.350336513535508</v>
      </c>
      <c r="AB41" s="15" t="n">
        <f aca="false">$B$13/$B$12*AB40</f>
        <v>0.0116778837845169</v>
      </c>
      <c r="AC41" s="15" t="n">
        <f aca="false">$B$13/$B$12*AC40</f>
        <v>0.0116778837845169</v>
      </c>
      <c r="AD41" s="15" t="n">
        <f aca="false">$B$13/$B$12*AD40</f>
        <v>0.10120832613248</v>
      </c>
      <c r="AE41" s="15" t="n">
        <f aca="false">$B$13/$B$12*AE40</f>
        <v>0.5060416306624</v>
      </c>
      <c r="AF41" s="15" t="n">
        <f aca="false">$B$13/$B$12*AF40</f>
        <v>0.0622820468507569</v>
      </c>
      <c r="AG41" s="15" t="n">
        <f aca="false">$B$13/$B$12*AG40</f>
        <v>0</v>
      </c>
      <c r="AH41" s="15" t="n">
        <f aca="false">$B$13/$B$12*AH40</f>
        <v>0.0155705117126892</v>
      </c>
      <c r="AI41" s="15" t="n">
        <f aca="false">$B$13/$B$12*AI40</f>
        <v>0.0155705117126892</v>
      </c>
      <c r="AJ41" s="15" t="n">
        <f aca="false">$B$13/$B$12*AJ40</f>
        <v>0</v>
      </c>
      <c r="AK41" s="15" t="n">
        <f aca="false">$B$13/$B$12*AK40</f>
        <v>0</v>
      </c>
      <c r="AL41" s="15" t="n">
        <f aca="false">$B$13/$B$12*AL40</f>
        <v>0</v>
      </c>
      <c r="AM41" s="15" t="n">
        <f aca="false">$B$13/$B$12*AM40</f>
        <v>0</v>
      </c>
      <c r="AN41" s="15" t="n">
        <f aca="false">$B$13/$B$12*AN40</f>
        <v>0.833022376628874</v>
      </c>
      <c r="AO41" s="15" t="n">
        <f aca="false">$B$13/$B$12*AO40</f>
        <v>0.692887771214671</v>
      </c>
      <c r="AP41" s="15" t="n">
        <f aca="false">$B$13/$B$12*AP40</f>
        <v>0.132349349557858</v>
      </c>
      <c r="AQ41" s="15" t="n">
        <f aca="false">$B$13/$B$12*AQ40</f>
        <v>0.381477536960886</v>
      </c>
      <c r="AR41" s="15" t="n">
        <f aca="false">$B$13/$B$12*AR40</f>
        <v>0.233557675690338</v>
      </c>
      <c r="AS41" s="15" t="n">
        <f aca="false">$B$13/$B$12*AS40</f>
        <v>0.00778525585634462</v>
      </c>
      <c r="AT41" s="16" t="n">
        <f aca="false">base_fleet!AQ43+base_fleet!AN43+base_fleet!AJ43</f>
        <v>0</v>
      </c>
      <c r="AU41" s="15" t="n">
        <f aca="false">$B$13/$B$12*AU40</f>
        <v>10.6765813688491</v>
      </c>
      <c r="AV41" s="15" t="n">
        <f aca="false">$B$13/$B$12*AV40</f>
        <v>0.976632221129179</v>
      </c>
      <c r="AW41" s="15" t="n">
        <f aca="false">$B$13/$B$12*AW40</f>
        <v>0.33186531785943</v>
      </c>
      <c r="AX41" s="15" t="n">
        <f aca="false">$B$13/$B$12*AX40</f>
        <v>0.123264260919217</v>
      </c>
      <c r="AY41" s="15" t="n">
        <f aca="false">$B$13/$B$12*AY40</f>
        <v>0</v>
      </c>
      <c r="AZ41" s="15" t="n">
        <f aca="false">$B$13/$B$12*AZ40</f>
        <v>0.00948186622455513</v>
      </c>
      <c r="BA41" s="15" t="n">
        <f aca="false">$B$13/$B$12*BA40</f>
        <v>2.21561562679019</v>
      </c>
      <c r="BB41" s="15" t="n">
        <f aca="false">$B$13/$B$12*BB40</f>
        <v>0.202690388570712</v>
      </c>
      <c r="BC41" s="15" t="n">
        <f aca="false">$B$13/$B$12*BC40</f>
        <v>0.00559145899505412</v>
      </c>
      <c r="BD41" s="15" t="n">
        <f aca="false">$B$13/$B$12*BD40</f>
        <v>0.00139786474876353</v>
      </c>
      <c r="BE41" s="16" t="n">
        <v>0</v>
      </c>
      <c r="BF41" s="16" t="n">
        <v>0</v>
      </c>
      <c r="BG41" s="16" t="n">
        <f aca="false">base_fleet!CE43</f>
        <v>0</v>
      </c>
      <c r="BH41" s="16" t="n">
        <f aca="false">base_fleet!CA43</f>
        <v>0</v>
      </c>
      <c r="BI41" s="16" t="n">
        <f aca="false">base_fleet!BV43</f>
        <v>0</v>
      </c>
      <c r="BJ41" s="16" t="n">
        <f aca="false">base_fleet!CH43</f>
        <v>0</v>
      </c>
      <c r="BK41" s="16" t="n">
        <f aca="false">base_fleet!BU43+base_fleet!BZ43+base_fleet!CD43</f>
        <v>0</v>
      </c>
    </row>
    <row r="42" customFormat="false" ht="13.2" hidden="false" customHeight="false" outlineLevel="0" collapsed="false">
      <c r="A42" s="0" t="n">
        <f aca="false">A41-1</f>
        <v>1977</v>
      </c>
      <c r="B42" s="15" t="n">
        <f aca="false">$B$13/$B$12*B41</f>
        <v>73.6333017239268</v>
      </c>
      <c r="C42" s="15" t="n">
        <f aca="false">$B$13/$B$12*C41</f>
        <v>131.86316032963</v>
      </c>
      <c r="D42" s="15" t="n">
        <f aca="false">$B$13/$B$12*D41</f>
        <v>0.0778525585634461</v>
      </c>
      <c r="E42" s="15" t="n">
        <f aca="false">$B$13/$B$12*E41</f>
        <v>54.8988082331063</v>
      </c>
      <c r="F42" s="15" t="n">
        <f aca="false">$B$13/$B$12*F41</f>
        <v>0.567387665854448</v>
      </c>
      <c r="G42" s="15" t="n">
        <f aca="false">$B$13/$B$12*G41</f>
        <v>0.889663860059775</v>
      </c>
      <c r="H42" s="15" t="n">
        <f aca="false">$B$13/$B$12*H41</f>
        <v>0.00907820265367117</v>
      </c>
      <c r="I42" s="15" t="n">
        <f aca="false">$B$13/$B$12*I41</f>
        <v>7.02418014760182</v>
      </c>
      <c r="J42" s="16" t="n">
        <f aca="false">base_fleet!C44+base_fleet!G44+base_fleet!L44+base_fleet!Q44</f>
        <v>0</v>
      </c>
      <c r="K42" s="16" t="n">
        <f aca="false">base_fleet!E44+base_fleet!J44+base_fleet!O44+base_fleet!T44</f>
        <v>0</v>
      </c>
      <c r="L42" s="15" t="n">
        <f aca="false">$B$13/$B$12*L41</f>
        <v>8.39942356631516</v>
      </c>
      <c r="M42" s="16" t="n">
        <f aca="false">base_fleet!I44+base_fleet!N44</f>
        <v>0</v>
      </c>
      <c r="N42" s="15" t="n">
        <f aca="false">$B$13/$B$12*N41</f>
        <v>84.8904298575817</v>
      </c>
      <c r="O42" s="15" t="n">
        <f aca="false">$B$13/$B$12*O41</f>
        <v>1.33127875143493</v>
      </c>
      <c r="P42" s="15" t="n">
        <f aca="false">$B$13/$B$12*P41</f>
        <v>5.94015021839094</v>
      </c>
      <c r="Q42" s="15" t="n">
        <f aca="false">$B$13/$B$12*Q41</f>
        <v>16.2244732046222</v>
      </c>
      <c r="R42" s="15" t="n">
        <f aca="false">$B$13/$B$12*R41</f>
        <v>2.30443573347801</v>
      </c>
      <c r="S42" s="15" t="n">
        <f aca="false">$B$13/$B$12*S41</f>
        <v>0.871948655910597</v>
      </c>
      <c r="T42" s="16" t="n">
        <f aca="false">base_fleet!Z44+base_fleet!AE44</f>
        <v>0</v>
      </c>
      <c r="U42" s="17" t="n">
        <f aca="false">base_fleet!X44+base_fleet!AC44+base_fleet!AH44</f>
        <v>0</v>
      </c>
      <c r="V42" s="15" t="n">
        <f aca="false">$B$13/$B$12*V41</f>
        <v>20.9099436801295</v>
      </c>
      <c r="W42" s="15" t="n">
        <f aca="false">$B$13/$B$12*W41</f>
        <v>4.37710485123706</v>
      </c>
      <c r="X42" s="15" t="n">
        <f aca="false">$B$13/$B$12*X41</f>
        <v>0.982084446562848</v>
      </c>
      <c r="Y42" s="15" t="n">
        <f aca="false">$B$13/$B$12*Y41</f>
        <v>0.741441237802415</v>
      </c>
      <c r="Z42" s="15" t="n">
        <f aca="false">$B$13/$B$12*Z41</f>
        <v>1.48288247560483</v>
      </c>
      <c r="AA42" s="15" t="n">
        <f aca="false">$B$13/$B$12*AA41</f>
        <v>0.292674172816743</v>
      </c>
      <c r="AB42" s="15" t="n">
        <f aca="false">$B$13/$B$12*AB41</f>
        <v>0.00975580576055808</v>
      </c>
      <c r="AC42" s="15" t="n">
        <f aca="false">$B$13/$B$12*AC41</f>
        <v>0.00975580576055808</v>
      </c>
      <c r="AD42" s="15" t="n">
        <f aca="false">$B$13/$B$12*AD41</f>
        <v>0.0845503165915035</v>
      </c>
      <c r="AE42" s="15" t="n">
        <f aca="false">$B$13/$B$12*AE41</f>
        <v>0.422751582957517</v>
      </c>
      <c r="AF42" s="15" t="n">
        <f aca="false">$B$13/$B$12*AF41</f>
        <v>0.0520309640563098</v>
      </c>
      <c r="AG42" s="15" t="n">
        <f aca="false">$B$13/$B$12*AG41</f>
        <v>0</v>
      </c>
      <c r="AH42" s="15" t="n">
        <f aca="false">$B$13/$B$12*AH41</f>
        <v>0.0130077410140775</v>
      </c>
      <c r="AI42" s="15" t="n">
        <f aca="false">$B$13/$B$12*AI41</f>
        <v>0.0130077410140775</v>
      </c>
      <c r="AJ42" s="15" t="n">
        <f aca="false">$B$13/$B$12*AJ41</f>
        <v>0</v>
      </c>
      <c r="AK42" s="15" t="n">
        <f aca="false">$B$13/$B$12*AK41</f>
        <v>0</v>
      </c>
      <c r="AL42" s="15" t="n">
        <f aca="false">$B$13/$B$12*AL41</f>
        <v>0</v>
      </c>
      <c r="AM42" s="15" t="n">
        <f aca="false">$B$13/$B$12*AM41</f>
        <v>0</v>
      </c>
      <c r="AN42" s="15" t="n">
        <f aca="false">$B$13/$B$12*AN41</f>
        <v>0.695914144253144</v>
      </c>
      <c r="AO42" s="15" t="n">
        <f aca="false">$B$13/$B$12*AO41</f>
        <v>0.578844475126447</v>
      </c>
      <c r="AP42" s="15" t="n">
        <f aca="false">$B$13/$B$12*AP41</f>
        <v>0.110565798619658</v>
      </c>
      <c r="AQ42" s="15" t="n">
        <f aca="false">$B$13/$B$12*AQ41</f>
        <v>0.318689654844898</v>
      </c>
      <c r="AR42" s="15" t="n">
        <f aca="false">$B$13/$B$12*AR41</f>
        <v>0.195116115211162</v>
      </c>
      <c r="AS42" s="15" t="n">
        <f aca="false">$B$13/$B$12*AS41</f>
        <v>0.00650387050703873</v>
      </c>
      <c r="AT42" s="16" t="n">
        <f aca="false">base_fleet!AQ44+base_fleet!AN44+base_fleet!AJ44</f>
        <v>0</v>
      </c>
      <c r="AU42" s="15" t="n">
        <f aca="false">$B$13/$B$12*AU41</f>
        <v>8.91930900694382</v>
      </c>
      <c r="AV42" s="15" t="n">
        <f aca="false">$B$13/$B$12*AV41</f>
        <v>0.815887058361646</v>
      </c>
      <c r="AW42" s="15" t="n">
        <f aca="false">$B$13/$B$12*AW41</f>
        <v>0.277243175171433</v>
      </c>
      <c r="AX42" s="15" t="n">
        <f aca="false">$B$13/$B$12*AX41</f>
        <v>0.102976036492247</v>
      </c>
      <c r="AY42" s="15" t="n">
        <f aca="false">$B$13/$B$12*AY41</f>
        <v>0</v>
      </c>
      <c r="AZ42" s="15" t="n">
        <f aca="false">$B$13/$B$12*AZ41</f>
        <v>0.00792123357632666</v>
      </c>
      <c r="BA42" s="15" t="n">
        <f aca="false">$B$13/$B$12*BA41</f>
        <v>1.85094457984593</v>
      </c>
      <c r="BB42" s="15" t="n">
        <f aca="false">$B$13/$B$12*BB41</f>
        <v>0.169329314875495</v>
      </c>
      <c r="BC42" s="15" t="n">
        <f aca="false">$B$13/$B$12*BC41</f>
        <v>0.00467115351380677</v>
      </c>
      <c r="BD42" s="15" t="n">
        <f aca="false">$B$13/$B$12*BD41</f>
        <v>0.00116778837845169</v>
      </c>
      <c r="BE42" s="16" t="n">
        <v>0</v>
      </c>
      <c r="BF42" s="16" t="n">
        <v>0</v>
      </c>
      <c r="BG42" s="16" t="n">
        <f aca="false">base_fleet!CE44</f>
        <v>0</v>
      </c>
      <c r="BH42" s="16" t="n">
        <f aca="false">base_fleet!CA44</f>
        <v>0</v>
      </c>
      <c r="BI42" s="16" t="n">
        <f aca="false">base_fleet!BV44</f>
        <v>0</v>
      </c>
      <c r="BJ42" s="16" t="n">
        <f aca="false">base_fleet!CH44</f>
        <v>0</v>
      </c>
      <c r="BK42" s="16" t="n">
        <f aca="false">base_fleet!BU44+base_fleet!BZ44+base_fleet!CD44</f>
        <v>0</v>
      </c>
    </row>
    <row r="43" customFormat="false" ht="13.2" hidden="false" customHeight="false" outlineLevel="0" collapsed="false">
      <c r="A43" s="0" t="n">
        <f aca="false">A42-1</f>
        <v>1976</v>
      </c>
      <c r="B43" s="15" t="n">
        <f aca="false">$B$13/$B$12*B42</f>
        <v>61.5139011812758</v>
      </c>
      <c r="C43" s="15" t="n">
        <f aca="false">$B$13/$B$12*C42</f>
        <v>110.159631906494</v>
      </c>
      <c r="D43" s="15" t="n">
        <f aca="false">$B$13/$B$12*D42</f>
        <v>0.0650387050703872</v>
      </c>
      <c r="E43" s="15" t="n">
        <f aca="false">$B$13/$B$12*E42</f>
        <v>45.8629422497261</v>
      </c>
      <c r="F43" s="15" t="n">
        <f aca="false">$B$13/$B$12*F42</f>
        <v>0.474000594726882</v>
      </c>
      <c r="G43" s="15" t="n">
        <f aca="false">$B$13/$B$12*G42</f>
        <v>0.743232932531751</v>
      </c>
      <c r="H43" s="15" t="n">
        <f aca="false">$B$13/$B$12*H42</f>
        <v>0.00758400951563011</v>
      </c>
      <c r="I43" s="15" t="n">
        <f aca="false">$B$13/$B$12*I42</f>
        <v>5.86806123537788</v>
      </c>
      <c r="J43" s="16" t="n">
        <f aca="false">base_fleet!C45+base_fleet!G45+base_fleet!L45+base_fleet!Q45</f>
        <v>0</v>
      </c>
      <c r="K43" s="16" t="n">
        <f aca="false">base_fleet!E45+base_fleet!J45+base_fleet!O45+base_fleet!T45</f>
        <v>0</v>
      </c>
      <c r="L43" s="15" t="n">
        <f aca="false">$B$13/$B$12*L42</f>
        <v>7.0169515578044</v>
      </c>
      <c r="M43" s="16" t="n">
        <f aca="false">base_fleet!I45+base_fleet!N45</f>
        <v>0</v>
      </c>
      <c r="N43" s="15" t="n">
        <f aca="false">$B$13/$B$12*N42</f>
        <v>70.9182040087503</v>
      </c>
      <c r="O43" s="15" t="n">
        <f aca="false">$B$13/$B$12*O42</f>
        <v>1.11216185670362</v>
      </c>
      <c r="P43" s="15" t="n">
        <f aca="false">$B$13/$B$12*P42</f>
        <v>4.96245319687055</v>
      </c>
      <c r="Q43" s="15" t="n">
        <f aca="false">$B$13/$B$12*Q42</f>
        <v>13.5540661366687</v>
      </c>
      <c r="R43" s="15" t="n">
        <f aca="false">$B$13/$B$12*R42</f>
        <v>1.92514567008346</v>
      </c>
      <c r="S43" s="15" t="n">
        <f aca="false">$B$13/$B$12*S42</f>
        <v>0.728433496788337</v>
      </c>
      <c r="T43" s="16" t="n">
        <f aca="false">base_fleet!Z45+base_fleet!AE45</f>
        <v>0</v>
      </c>
      <c r="U43" s="17" t="n">
        <f aca="false">base_fleet!X45+base_fleet!AC45+base_fleet!AH45</f>
        <v>0</v>
      </c>
      <c r="V43" s="15" t="n">
        <f aca="false">$B$13/$B$12*V42</f>
        <v>17.4683489553147</v>
      </c>
      <c r="W43" s="15" t="n">
        <f aca="false">$B$13/$B$12*W42</f>
        <v>3.65667149204566</v>
      </c>
      <c r="X43" s="15" t="n">
        <f aca="false">$B$13/$B$12*X42</f>
        <v>0.820441894946351</v>
      </c>
      <c r="Y43" s="15" t="n">
        <f aca="false">$B$13/$B$12*Y42</f>
        <v>0.619406463734332</v>
      </c>
      <c r="Z43" s="15" t="n">
        <f aca="false">$B$13/$B$12*Z42</f>
        <v>1.23881292746866</v>
      </c>
      <c r="AA43" s="15" t="n">
        <f aca="false">$B$13/$B$12*AA42</f>
        <v>0.244502551474078</v>
      </c>
      <c r="AB43" s="15" t="n">
        <f aca="false">$B$13/$B$12*AB42</f>
        <v>0.00815008504913594</v>
      </c>
      <c r="AC43" s="15" t="n">
        <f aca="false">$B$13/$B$12*AC42</f>
        <v>0.00815008504913594</v>
      </c>
      <c r="AD43" s="15" t="n">
        <f aca="false">$B$13/$B$12*AD42</f>
        <v>0.0706340704258448</v>
      </c>
      <c r="AE43" s="15" t="n">
        <f aca="false">$B$13/$B$12*AE42</f>
        <v>0.353170352129224</v>
      </c>
      <c r="AF43" s="15" t="n">
        <f aca="false">$B$13/$B$12*AF42</f>
        <v>0.0434671202620584</v>
      </c>
      <c r="AG43" s="15" t="n">
        <f aca="false">$B$13/$B$12*AG42</f>
        <v>0</v>
      </c>
      <c r="AH43" s="15" t="n">
        <f aca="false">$B$13/$B$12*AH42</f>
        <v>0.0108667800655146</v>
      </c>
      <c r="AI43" s="15" t="n">
        <f aca="false">$B$13/$B$12*AI42</f>
        <v>0.0108667800655146</v>
      </c>
      <c r="AJ43" s="15" t="n">
        <f aca="false">$B$13/$B$12*AJ42</f>
        <v>0</v>
      </c>
      <c r="AK43" s="15" t="n">
        <f aca="false">$B$13/$B$12*AK42</f>
        <v>0</v>
      </c>
      <c r="AL43" s="15" t="n">
        <f aca="false">$B$13/$B$12*AL42</f>
        <v>0</v>
      </c>
      <c r="AM43" s="15" t="n">
        <f aca="false">$B$13/$B$12*AM42</f>
        <v>0</v>
      </c>
      <c r="AN43" s="15" t="n">
        <f aca="false">$B$13/$B$12*AN42</f>
        <v>0.581372733505031</v>
      </c>
      <c r="AO43" s="15" t="n">
        <f aca="false">$B$13/$B$12*AO42</f>
        <v>0.483571712915399</v>
      </c>
      <c r="AP43" s="15" t="n">
        <f aca="false">$B$13/$B$12*AP42</f>
        <v>0.092367630556874</v>
      </c>
      <c r="AQ43" s="15" t="n">
        <f aca="false">$B$13/$B$12*AQ42</f>
        <v>0.266236111605107</v>
      </c>
      <c r="AR43" s="15" t="n">
        <f aca="false">$B$13/$B$12*AR42</f>
        <v>0.163001700982719</v>
      </c>
      <c r="AS43" s="15" t="n">
        <f aca="false">$B$13/$B$12*AS42</f>
        <v>0.0054333900327573</v>
      </c>
      <c r="AT43" s="16" t="n">
        <f aca="false">base_fleet!AQ45+base_fleet!AN45+base_fleet!AJ45</f>
        <v>0</v>
      </c>
      <c r="AU43" s="15" t="n">
        <f aca="false">$B$13/$B$12*AU42</f>
        <v>7.45126838010743</v>
      </c>
      <c r="AV43" s="15" t="n">
        <f aca="false">$B$13/$B$12*AV42</f>
        <v>0.681599150222971</v>
      </c>
      <c r="AW43" s="15" t="n">
        <f aca="false">$B$13/$B$12*AW42</f>
        <v>0.231611361726252</v>
      </c>
      <c r="AX43" s="15" t="n">
        <f aca="false">$B$13/$B$12*AX42</f>
        <v>0.086027077212608</v>
      </c>
      <c r="AY43" s="15" t="n">
        <f aca="false">$B$13/$B$12*AY42</f>
        <v>0</v>
      </c>
      <c r="AZ43" s="15" t="n">
        <f aca="false">$B$13/$B$12*AZ42</f>
        <v>0.00661746747789292</v>
      </c>
      <c r="BA43" s="15" t="n">
        <f aca="false">$B$13/$B$12*BA42</f>
        <v>1.54629521304846</v>
      </c>
      <c r="BB43" s="15" t="n">
        <f aca="false">$B$13/$B$12*BB42</f>
        <v>0.141459183528092</v>
      </c>
      <c r="BC43" s="15" t="n">
        <f aca="false">$B$13/$B$12*BC42</f>
        <v>0.00390232230422323</v>
      </c>
      <c r="BD43" s="15" t="n">
        <f aca="false">$B$13/$B$12*BD42</f>
        <v>0.000975580576055809</v>
      </c>
      <c r="BE43" s="16" t="n">
        <v>0</v>
      </c>
      <c r="BF43" s="16" t="n">
        <v>0</v>
      </c>
      <c r="BG43" s="16" t="n">
        <f aca="false">base_fleet!CE45</f>
        <v>0</v>
      </c>
      <c r="BH43" s="16" t="n">
        <f aca="false">base_fleet!CA45</f>
        <v>0</v>
      </c>
      <c r="BI43" s="16" t="n">
        <f aca="false">base_fleet!BV45</f>
        <v>0</v>
      </c>
      <c r="BJ43" s="16" t="n">
        <f aca="false">base_fleet!CH45</f>
        <v>0</v>
      </c>
      <c r="BK43" s="16" t="n">
        <f aca="false">base_fleet!BU45+base_fleet!BZ45+base_fleet!CD45</f>
        <v>0</v>
      </c>
    </row>
    <row r="44" customFormat="false" ht="13.2" hidden="false" customHeight="false" outlineLevel="0" collapsed="false">
      <c r="A44" s="0" t="n">
        <f aca="false">A43-1</f>
        <v>1975</v>
      </c>
      <c r="B44" s="15" t="n">
        <f aca="false">$B$13/$B$12*B43</f>
        <v>51.3892484779096</v>
      </c>
      <c r="C44" s="15" t="n">
        <f aca="false">$B$13/$B$12*C43</f>
        <v>92.0283153493283</v>
      </c>
      <c r="D44" s="15" t="n">
        <f aca="false">$B$13/$B$12*D43</f>
        <v>0.0543339003275729</v>
      </c>
      <c r="E44" s="15" t="n">
        <f aca="false">$B$13/$B$12*E43</f>
        <v>38.3143011569651</v>
      </c>
      <c r="F44" s="15" t="n">
        <f aca="false">$B$13/$B$12*F43</f>
        <v>0.395984222644477</v>
      </c>
      <c r="G44" s="15" t="n">
        <f aca="false">$B$13/$B$12*G43</f>
        <v>0.62090326110654</v>
      </c>
      <c r="H44" s="15" t="n">
        <f aca="false">$B$13/$B$12*H43</f>
        <v>0.00633574756231163</v>
      </c>
      <c r="I44" s="15" t="n">
        <f aca="false">$B$13/$B$12*I43</f>
        <v>4.90222943298243</v>
      </c>
      <c r="J44" s="16" t="n">
        <f aca="false">base_fleet!C46+base_fleet!G46+base_fleet!L46+base_fleet!Q46</f>
        <v>0</v>
      </c>
      <c r="K44" s="16" t="n">
        <f aca="false">base_fleet!E46+base_fleet!J46+base_fleet!O46+base_fleet!T46</f>
        <v>0</v>
      </c>
      <c r="L44" s="15" t="n">
        <f aca="false">$B$13/$B$12*L43</f>
        <v>5.86202240854181</v>
      </c>
      <c r="M44" s="16" t="n">
        <f aca="false">base_fleet!I46+base_fleet!N46</f>
        <v>0</v>
      </c>
      <c r="N44" s="15" t="n">
        <f aca="false">$B$13/$B$12*N43</f>
        <v>59.2456849171855</v>
      </c>
      <c r="O44" s="15" t="n">
        <f aca="false">$B$13/$B$12*O43</f>
        <v>0.929109695601497</v>
      </c>
      <c r="P44" s="15" t="n">
        <f aca="false">$B$13/$B$12*P43</f>
        <v>4.14567659499381</v>
      </c>
      <c r="Q44" s="15" t="n">
        <f aca="false">$B$13/$B$12*Q43</f>
        <v>11.3231848282662</v>
      </c>
      <c r="R44" s="15" t="n">
        <f aca="false">$B$13/$B$12*R43</f>
        <v>1.60828344969616</v>
      </c>
      <c r="S44" s="15" t="n">
        <f aca="false">$B$13/$B$12*S43</f>
        <v>0.608539683668817</v>
      </c>
      <c r="T44" s="16" t="n">
        <f aca="false">base_fleet!Z46+base_fleet!AE46</f>
        <v>0</v>
      </c>
      <c r="U44" s="17" t="n">
        <f aca="false">base_fleet!X46+base_fleet!AC46+base_fleet!AH46</f>
        <v>0</v>
      </c>
      <c r="V44" s="15" t="n">
        <f aca="false">$B$13/$B$12*V43</f>
        <v>14.5932107657764</v>
      </c>
      <c r="W44" s="15" t="n">
        <f aca="false">$B$13/$B$12*W43</f>
        <v>3.05481519296035</v>
      </c>
      <c r="X44" s="15" t="n">
        <f aca="false">$B$13/$B$12*X43</f>
        <v>0.685404300352173</v>
      </c>
      <c r="Y44" s="15" t="n">
        <f aca="false">$B$13/$B$12*Y43</f>
        <v>0.517457551259257</v>
      </c>
      <c r="Z44" s="15" t="n">
        <f aca="false">$B$13/$B$12*Z43</f>
        <v>1.03491510251851</v>
      </c>
      <c r="AA44" s="15" t="n">
        <f aca="false">$B$13/$B$12*AA43</f>
        <v>0.204259559707601</v>
      </c>
      <c r="AB44" s="15" t="n">
        <f aca="false">$B$13/$B$12*AB43</f>
        <v>0.00680865199025337</v>
      </c>
      <c r="AC44" s="15" t="n">
        <f aca="false">$B$13/$B$12*AC43</f>
        <v>0.00680865199025337</v>
      </c>
      <c r="AD44" s="15" t="n">
        <f aca="false">$B$13/$B$12*AD43</f>
        <v>0.0590083172488626</v>
      </c>
      <c r="AE44" s="15" t="n">
        <f aca="false">$B$13/$B$12*AE43</f>
        <v>0.295041586244313</v>
      </c>
      <c r="AF44" s="15" t="n">
        <f aca="false">$B$13/$B$12*AF43</f>
        <v>0.0363128106146847</v>
      </c>
      <c r="AG44" s="15" t="n">
        <f aca="false">$B$13/$B$12*AG43</f>
        <v>0</v>
      </c>
      <c r="AH44" s="15" t="n">
        <f aca="false">$B$13/$B$12*AH43</f>
        <v>0.00907820265367117</v>
      </c>
      <c r="AI44" s="15" t="n">
        <f aca="false">$B$13/$B$12*AI43</f>
        <v>0.00907820265367117</v>
      </c>
      <c r="AJ44" s="15" t="n">
        <f aca="false">$B$13/$B$12*AJ43</f>
        <v>0</v>
      </c>
      <c r="AK44" s="15" t="n">
        <f aca="false">$B$13/$B$12*AK43</f>
        <v>0</v>
      </c>
      <c r="AL44" s="15" t="n">
        <f aca="false">$B$13/$B$12*AL43</f>
        <v>0</v>
      </c>
      <c r="AM44" s="15" t="n">
        <f aca="false">$B$13/$B$12*AM43</f>
        <v>0</v>
      </c>
      <c r="AN44" s="15" t="n">
        <f aca="false">$B$13/$B$12*AN43</f>
        <v>0.485683841971408</v>
      </c>
      <c r="AO44" s="15" t="n">
        <f aca="false">$B$13/$B$12*AO43</f>
        <v>0.403980018088367</v>
      </c>
      <c r="AP44" s="15" t="n">
        <f aca="false">$B$13/$B$12*AP43</f>
        <v>0.077164722556205</v>
      </c>
      <c r="AQ44" s="15" t="n">
        <f aca="false">$B$13/$B$12*AQ43</f>
        <v>0.222415965014944</v>
      </c>
      <c r="AR44" s="15" t="n">
        <f aca="false">$B$13/$B$12*AR43</f>
        <v>0.136173039805068</v>
      </c>
      <c r="AS44" s="15" t="n">
        <f aca="false">$B$13/$B$12*AS43</f>
        <v>0.00453910132683559</v>
      </c>
      <c r="AT44" s="16" t="n">
        <f aca="false">base_fleet!AQ46+base_fleet!AN46+base_fleet!AJ46</f>
        <v>0</v>
      </c>
      <c r="AU44" s="15" t="n">
        <f aca="false">$B$13/$B$12*AU43</f>
        <v>6.22485446228676</v>
      </c>
      <c r="AV44" s="15" t="n">
        <f aca="false">$B$13/$B$12*AV43</f>
        <v>0.56941386289124</v>
      </c>
      <c r="AW44" s="15" t="n">
        <f aca="false">$B$13/$B$12*AW43</f>
        <v>0.193490147584402</v>
      </c>
      <c r="AX44" s="15" t="n">
        <f aca="false">$B$13/$B$12*AX43</f>
        <v>0.0718677691027779</v>
      </c>
      <c r="AY44" s="15" t="n">
        <f aca="false">$B$13/$B$12*AY43</f>
        <v>0</v>
      </c>
      <c r="AZ44" s="15" t="n">
        <f aca="false">$B$13/$B$12*AZ43</f>
        <v>0.00552828993098292</v>
      </c>
      <c r="BA44" s="15" t="n">
        <f aca="false">$B$13/$B$12*BA43</f>
        <v>1.29178848028805</v>
      </c>
      <c r="BB44" s="15" t="n">
        <f aca="false">$B$13/$B$12*BB43</f>
        <v>0.118176233212471</v>
      </c>
      <c r="BC44" s="15" t="n">
        <f aca="false">$B$13/$B$12*BC43</f>
        <v>0.00326003401965437</v>
      </c>
      <c r="BD44" s="15" t="n">
        <f aca="false">$B$13/$B$12*BD43</f>
        <v>0.000815008504913594</v>
      </c>
      <c r="BE44" s="16" t="n">
        <v>0</v>
      </c>
      <c r="BF44" s="16" t="n">
        <v>0</v>
      </c>
      <c r="BG44" s="16" t="n">
        <f aca="false">base_fleet!CE46</f>
        <v>0</v>
      </c>
      <c r="BH44" s="16" t="n">
        <f aca="false">base_fleet!CA46</f>
        <v>0</v>
      </c>
      <c r="BI44" s="16" t="n">
        <f aca="false">base_fleet!BV46</f>
        <v>0</v>
      </c>
      <c r="BJ44" s="16" t="n">
        <f aca="false">base_fleet!CH46</f>
        <v>0</v>
      </c>
      <c r="BK44" s="16" t="n">
        <f aca="false">base_fleet!BU46+base_fleet!BZ46+base_fleet!CD46</f>
        <v>0</v>
      </c>
    </row>
    <row r="45" customFormat="false" ht="13.2" hidden="false" customHeight="false" outlineLevel="0" collapsed="false">
      <c r="A45" s="0" t="n">
        <f aca="false">A44-1</f>
        <v>1974</v>
      </c>
      <c r="B45" s="15" t="n">
        <f aca="false">$B$13/$B$12*B44</f>
        <v>42.9310254822236</v>
      </c>
      <c r="C45" s="15" t="n">
        <f aca="false">$B$13/$B$12*C44</f>
        <v>76.881255678344</v>
      </c>
      <c r="D45" s="15" t="n">
        <f aca="false">$B$13/$B$12*D44</f>
        <v>0.0453910132683558</v>
      </c>
      <c r="E45" s="15" t="n">
        <f aca="false">$B$13/$B$12*E44</f>
        <v>32.0081006829732</v>
      </c>
      <c r="F45" s="15" t="n">
        <f aca="false">$B$13/$B$12*F44</f>
        <v>0.330808666334481</v>
      </c>
      <c r="G45" s="15" t="n">
        <f aca="false">$B$13/$B$12*G44</f>
        <v>0.518707988812466</v>
      </c>
      <c r="H45" s="15" t="n">
        <f aca="false">$B$13/$B$12*H44</f>
        <v>0.0052929386613517</v>
      </c>
      <c r="I45" s="15" t="n">
        <f aca="false">$B$13/$B$12*I44</f>
        <v>4.09536513844026</v>
      </c>
      <c r="J45" s="16" t="n">
        <f aca="false">base_fleet!C47+base_fleet!G47+base_fleet!L47+base_fleet!Q47</f>
        <v>0</v>
      </c>
      <c r="K45" s="16" t="n">
        <f aca="false">base_fleet!E47+base_fleet!J47+base_fleet!O47+base_fleet!T47</f>
        <v>0</v>
      </c>
      <c r="L45" s="15" t="n">
        <f aca="false">$B$13/$B$12*L44</f>
        <v>4.89718454448025</v>
      </c>
      <c r="M45" s="16" t="n">
        <f aca="false">base_fleet!I47+base_fleet!N47</f>
        <v>0</v>
      </c>
      <c r="N45" s="15" t="n">
        <f aca="false">$B$13/$B$12*N44</f>
        <v>49.4943608678152</v>
      </c>
      <c r="O45" s="15" t="n">
        <f aca="false">$B$13/$B$12*O44</f>
        <v>0.776186326888885</v>
      </c>
      <c r="P45" s="15" t="n">
        <f aca="false">$B$13/$B$12*P44</f>
        <v>3.46333431237555</v>
      </c>
      <c r="Q45" s="15" t="n">
        <f aca="false">$B$13/$B$12*Q44</f>
        <v>9.45948716512535</v>
      </c>
      <c r="R45" s="15" t="n">
        <f aca="false">$B$13/$B$12*R44</f>
        <v>1.34357399274333</v>
      </c>
      <c r="S45" s="15" t="n">
        <f aca="false">$B$13/$B$12*S44</f>
        <v>0.508379348605585</v>
      </c>
      <c r="T45" s="16" t="n">
        <f aca="false">base_fleet!Z47+base_fleet!AE47</f>
        <v>0</v>
      </c>
      <c r="U45" s="17" t="n">
        <f aca="false">base_fleet!X47+base_fleet!AC47+base_fleet!AH47</f>
        <v>0</v>
      </c>
      <c r="V45" s="15" t="n">
        <f aca="false">$B$13/$B$12*V44</f>
        <v>12.1912952963754</v>
      </c>
      <c r="W45" s="15" t="n">
        <f aca="false">$B$13/$B$12*W44</f>
        <v>2.55201920200953</v>
      </c>
      <c r="X45" s="15" t="n">
        <f aca="false">$B$13/$B$12*X44</f>
        <v>0.572592718430074</v>
      </c>
      <c r="Y45" s="15" t="n">
        <f aca="false">$B$13/$B$12*Y44</f>
        <v>0.432288542390917</v>
      </c>
      <c r="Z45" s="15" t="n">
        <f aca="false">$B$13/$B$12*Z44</f>
        <v>0.864577084781833</v>
      </c>
      <c r="AA45" s="15" t="n">
        <f aca="false">$B$13/$B$12*AA44</f>
        <v>0.170640214101678</v>
      </c>
      <c r="AB45" s="15" t="n">
        <f aca="false">$B$13/$B$12*AB44</f>
        <v>0.00568800713672258</v>
      </c>
      <c r="AC45" s="15" t="n">
        <f aca="false">$B$13/$B$12*AC44</f>
        <v>0.00568800713672258</v>
      </c>
      <c r="AD45" s="15" t="n">
        <f aca="false">$B$13/$B$12*AD44</f>
        <v>0.0492960618515957</v>
      </c>
      <c r="AE45" s="15" t="n">
        <f aca="false">$B$13/$B$12*AE44</f>
        <v>0.246480309257979</v>
      </c>
      <c r="AF45" s="15" t="n">
        <f aca="false">$B$13/$B$12*AF44</f>
        <v>0.0303360380625205</v>
      </c>
      <c r="AG45" s="15" t="n">
        <f aca="false">$B$13/$B$12*AG44</f>
        <v>0</v>
      </c>
      <c r="AH45" s="15" t="n">
        <f aca="false">$B$13/$B$12*AH44</f>
        <v>0.00758400951563011</v>
      </c>
      <c r="AI45" s="15" t="n">
        <f aca="false">$B$13/$B$12*AI44</f>
        <v>0.00758400951563011</v>
      </c>
      <c r="AJ45" s="15" t="n">
        <f aca="false">$B$13/$B$12*AJ44</f>
        <v>0</v>
      </c>
      <c r="AK45" s="15" t="n">
        <f aca="false">$B$13/$B$12*AK44</f>
        <v>0</v>
      </c>
      <c r="AL45" s="15" t="n">
        <f aca="false">$B$13/$B$12*AL44</f>
        <v>0</v>
      </c>
      <c r="AM45" s="15" t="n">
        <f aca="false">$B$13/$B$12*AM44</f>
        <v>0</v>
      </c>
      <c r="AN45" s="15" t="n">
        <f aca="false">$B$13/$B$12*AN44</f>
        <v>0.405744509086211</v>
      </c>
      <c r="AO45" s="15" t="n">
        <f aca="false">$B$13/$B$12*AO44</f>
        <v>0.33748842344554</v>
      </c>
      <c r="AP45" s="15" t="n">
        <f aca="false">$B$13/$B$12*AP44</f>
        <v>0.064464080882856</v>
      </c>
      <c r="AQ45" s="15" t="n">
        <f aca="false">$B$13/$B$12*AQ44</f>
        <v>0.185808233132938</v>
      </c>
      <c r="AR45" s="15" t="n">
        <f aca="false">$B$13/$B$12*AR44</f>
        <v>0.113760142734452</v>
      </c>
      <c r="AS45" s="15" t="n">
        <f aca="false">$B$13/$B$12*AS44</f>
        <v>0.00379200475781506</v>
      </c>
      <c r="AT45" s="16" t="n">
        <f aca="false">base_fleet!AQ47+base_fleet!AN47+base_fleet!AJ47</f>
        <v>0</v>
      </c>
      <c r="AU45" s="15" t="n">
        <f aca="false">$B$13/$B$12*AU44</f>
        <v>5.200297600352</v>
      </c>
      <c r="AV45" s="15" t="n">
        <f aca="false">$B$13/$B$12*AV44</f>
        <v>0.475693297367901</v>
      </c>
      <c r="AW45" s="15" t="n">
        <f aca="false">$B$13/$B$12*AW44</f>
        <v>0.161643353474529</v>
      </c>
      <c r="AX45" s="15" t="n">
        <f aca="false">$B$13/$B$12*AX44</f>
        <v>0.0600389598619681</v>
      </c>
      <c r="AY45" s="15" t="n">
        <f aca="false">$B$13/$B$12*AY44</f>
        <v>0</v>
      </c>
      <c r="AZ45" s="15" t="n">
        <f aca="false">$B$13/$B$12*AZ44</f>
        <v>0.0046183815278437</v>
      </c>
      <c r="BA45" s="15" t="n">
        <f aca="false">$B$13/$B$12*BA44</f>
        <v>1.07917134045516</v>
      </c>
      <c r="BB45" s="15" t="n">
        <f aca="false">$B$13/$B$12*BB44</f>
        <v>0.0987254538586739</v>
      </c>
      <c r="BC45" s="15" t="n">
        <f aca="false">$B$13/$B$12*BC44</f>
        <v>0.00272346079610135</v>
      </c>
      <c r="BD45" s="15" t="n">
        <f aca="false">$B$13/$B$12*BD44</f>
        <v>0.000680865199025337</v>
      </c>
      <c r="BE45" s="16" t="n">
        <v>0</v>
      </c>
      <c r="BF45" s="16" t="n">
        <v>0</v>
      </c>
      <c r="BG45" s="16" t="n">
        <f aca="false">base_fleet!CE47</f>
        <v>0</v>
      </c>
      <c r="BH45" s="16" t="n">
        <f aca="false">base_fleet!CA47</f>
        <v>0</v>
      </c>
      <c r="BI45" s="16" t="n">
        <f aca="false">base_fleet!BV47</f>
        <v>0</v>
      </c>
      <c r="BJ45" s="16" t="n">
        <f aca="false">base_fleet!CH47</f>
        <v>0</v>
      </c>
      <c r="BK45" s="16" t="n">
        <f aca="false">base_fleet!BU47+base_fleet!BZ47+base_fleet!CD47</f>
        <v>0</v>
      </c>
    </row>
    <row r="46" customFormat="false" ht="13.2" hidden="false" customHeight="false" outlineLevel="0" collapsed="false">
      <c r="A46" s="0" t="n">
        <f aca="false">A45-1</f>
        <v>1973</v>
      </c>
      <c r="B46" s="15" t="n">
        <f aca="false">$B$13/$B$12*B45</f>
        <v>35.8649523693191</v>
      </c>
      <c r="C46" s="15" t="n">
        <f aca="false">$B$13/$B$12*C45</f>
        <v>64.2272701857304</v>
      </c>
      <c r="D46" s="15" t="n">
        <f aca="false">$B$13/$B$12*D45</f>
        <v>0.0379200475781505</v>
      </c>
      <c r="E46" s="15" t="n">
        <f aca="false">$B$13/$B$12*E45</f>
        <v>26.7398459163884</v>
      </c>
      <c r="F46" s="15" t="n">
        <f aca="false">$B$13/$B$12*F45</f>
        <v>0.276360439290154</v>
      </c>
      <c r="G46" s="15" t="n">
        <f aca="false">$B$13/$B$12*G45</f>
        <v>0.433333168806963</v>
      </c>
      <c r="H46" s="15" t="n">
        <f aca="false">$B$13/$B$12*H45</f>
        <v>0.00442176702864247</v>
      </c>
      <c r="I46" s="15" t="n">
        <f aca="false">$B$13/$B$12*I45</f>
        <v>3.42130368364828</v>
      </c>
      <c r="J46" s="16" t="n">
        <f aca="false">base_fleet!C48+base_fleet!G48+base_fleet!L48+base_fleet!Q48</f>
        <v>0</v>
      </c>
      <c r="K46" s="16" t="n">
        <f aca="false">base_fleet!E48+base_fleet!J48+base_fleet!O48+base_fleet!T48</f>
        <v>0</v>
      </c>
      <c r="L46" s="15" t="n">
        <f aca="false">$B$13/$B$12*L45</f>
        <v>4.09115059467368</v>
      </c>
      <c r="M46" s="16" t="n">
        <f aca="false">base_fleet!I48+base_fleet!N48</f>
        <v>0</v>
      </c>
      <c r="N46" s="15" t="n">
        <f aca="false">$B$13/$B$12*N45</f>
        <v>41.3480198792154</v>
      </c>
      <c r="O46" s="15" t="n">
        <f aca="false">$B$13/$B$12*O45</f>
        <v>0.648432813586374</v>
      </c>
      <c r="P46" s="15" t="n">
        <f aca="false">$B$13/$B$12*P45</f>
        <v>2.89329963021289</v>
      </c>
      <c r="Q46" s="15" t="n">
        <f aca="false">$B$13/$B$12*Q45</f>
        <v>7.90253791528657</v>
      </c>
      <c r="R46" s="15" t="n">
        <f aca="false">$B$13/$B$12*R45</f>
        <v>1.12243340831326</v>
      </c>
      <c r="S46" s="15" t="n">
        <f aca="false">$B$13/$B$12*S45</f>
        <v>0.424704532875286</v>
      </c>
      <c r="T46" s="16" t="n">
        <f aca="false">base_fleet!Z48+base_fleet!AE48</f>
        <v>0</v>
      </c>
      <c r="U46" s="17" t="n">
        <f aca="false">base_fleet!X48+base_fleet!AC48+base_fleet!AH48</f>
        <v>0</v>
      </c>
      <c r="V46" s="15" t="n">
        <f aca="false">$B$13/$B$12*V45</f>
        <v>10.1847142064159</v>
      </c>
      <c r="W46" s="15" t="n">
        <f aca="false">$B$13/$B$12*W45</f>
        <v>2.13197905471786</v>
      </c>
      <c r="X46" s="15" t="n">
        <f aca="false">$B$13/$B$12*X45</f>
        <v>0.478348940954528</v>
      </c>
      <c r="Y46" s="15" t="n">
        <f aca="false">$B$13/$B$12*Y45</f>
        <v>0.361137611051763</v>
      </c>
      <c r="Z46" s="15" t="n">
        <f aca="false">$B$13/$B$12*Z45</f>
        <v>0.722275222103526</v>
      </c>
      <c r="AA46" s="15" t="n">
        <f aca="false">$B$13/$B$12*AA45</f>
        <v>0.142554320152012</v>
      </c>
      <c r="AB46" s="15" t="n">
        <f aca="false">$B$13/$B$12*AB45</f>
        <v>0.00475181067173372</v>
      </c>
      <c r="AC46" s="15" t="n">
        <f aca="false">$B$13/$B$12*AC45</f>
        <v>0.00475181067173372</v>
      </c>
      <c r="AD46" s="15" t="n">
        <f aca="false">$B$13/$B$12*AD45</f>
        <v>0.0411823591550256</v>
      </c>
      <c r="AE46" s="15" t="n">
        <f aca="false">$B$13/$B$12*AE45</f>
        <v>0.205911795775128</v>
      </c>
      <c r="AF46" s="15" t="n">
        <f aca="false">$B$13/$B$12*AF45</f>
        <v>0.0253429902492465</v>
      </c>
      <c r="AG46" s="15" t="n">
        <f aca="false">$B$13/$B$12*AG45</f>
        <v>0</v>
      </c>
      <c r="AH46" s="15" t="n">
        <f aca="false">$B$13/$B$12*AH45</f>
        <v>0.00633574756231163</v>
      </c>
      <c r="AI46" s="15" t="n">
        <f aca="false">$B$13/$B$12*AI45</f>
        <v>0.00633574756231163</v>
      </c>
      <c r="AJ46" s="15" t="n">
        <f aca="false">$B$13/$B$12*AJ45</f>
        <v>0</v>
      </c>
      <c r="AK46" s="15" t="n">
        <f aca="false">$B$13/$B$12*AK45</f>
        <v>0</v>
      </c>
      <c r="AL46" s="15" t="n">
        <f aca="false">$B$13/$B$12*AL45</f>
        <v>0</v>
      </c>
      <c r="AM46" s="15" t="n">
        <f aca="false">$B$13/$B$12*AM45</f>
        <v>0</v>
      </c>
      <c r="AN46" s="15" t="n">
        <f aca="false">$B$13/$B$12*AN45</f>
        <v>0.338962494583672</v>
      </c>
      <c r="AO46" s="15" t="n">
        <f aca="false">$B$13/$B$12*AO45</f>
        <v>0.281940766522868</v>
      </c>
      <c r="AP46" s="15" t="n">
        <f aca="false">$B$13/$B$12*AP45</f>
        <v>0.0538538542796489</v>
      </c>
      <c r="AQ46" s="15" t="n">
        <f aca="false">$B$13/$B$12*AQ45</f>
        <v>0.155225815276635</v>
      </c>
      <c r="AR46" s="15" t="n">
        <f aca="false">$B$13/$B$12*AR45</f>
        <v>0.0950362134346745</v>
      </c>
      <c r="AS46" s="15" t="n">
        <f aca="false">$B$13/$B$12*AS45</f>
        <v>0.00316787378115582</v>
      </c>
      <c r="AT46" s="16" t="n">
        <f aca="false">base_fleet!AQ48+base_fleet!AN48+base_fleet!AJ48</f>
        <v>0</v>
      </c>
      <c r="AU46" s="15" t="n">
        <f aca="false">$B$13/$B$12*AU45</f>
        <v>4.34437387991434</v>
      </c>
      <c r="AV46" s="15" t="n">
        <f aca="false">$B$13/$B$12*AV45</f>
        <v>0.397398321164455</v>
      </c>
      <c r="AW46" s="15" t="n">
        <f aca="false">$B$13/$B$12*AW45</f>
        <v>0.135038264473359</v>
      </c>
      <c r="AX46" s="15" t="n">
        <f aca="false">$B$13/$B$12*AX45</f>
        <v>0.0501570696615332</v>
      </c>
      <c r="AY46" s="15" t="n">
        <f aca="false">$B$13/$B$12*AY45</f>
        <v>0</v>
      </c>
      <c r="AZ46" s="15" t="n">
        <f aca="false">$B$13/$B$12*AZ45</f>
        <v>0.00385823612781025</v>
      </c>
      <c r="BA46" s="15" t="n">
        <f aca="false">$B$13/$B$12*BA45</f>
        <v>0.90154913117053</v>
      </c>
      <c r="BB46" s="15" t="n">
        <f aca="false">$B$13/$B$12*BB45</f>
        <v>0.0824761034824775</v>
      </c>
      <c r="BC46" s="15" t="n">
        <f aca="false">$B$13/$B$12*BC45</f>
        <v>0.00227520285468903</v>
      </c>
      <c r="BD46" s="15" t="n">
        <f aca="false">$B$13/$B$12*BD45</f>
        <v>0.000568800713672258</v>
      </c>
      <c r="BE46" s="16" t="n">
        <v>0</v>
      </c>
      <c r="BF46" s="16" t="n">
        <v>0</v>
      </c>
      <c r="BG46" s="16" t="n">
        <f aca="false">base_fleet!CE48</f>
        <v>0</v>
      </c>
      <c r="BH46" s="16" t="n">
        <f aca="false">base_fleet!CA48</f>
        <v>0</v>
      </c>
      <c r="BI46" s="16" t="n">
        <f aca="false">base_fleet!BV48</f>
        <v>0</v>
      </c>
      <c r="BJ46" s="16" t="n">
        <f aca="false">base_fleet!CH48</f>
        <v>0</v>
      </c>
      <c r="BK46" s="16" t="n">
        <f aca="false">base_fleet!BU48+base_fleet!BZ48+base_fleet!CD48</f>
        <v>0</v>
      </c>
    </row>
    <row r="47" customFormat="false" ht="13.2" hidden="false" customHeight="false" outlineLevel="0" collapsed="false">
      <c r="A47" s="0" t="n">
        <f aca="false">A46-1</f>
        <v>1972</v>
      </c>
      <c r="B47" s="15" t="n">
        <f aca="false">$B$13/$B$12*B46</f>
        <v>29.9618933860814</v>
      </c>
      <c r="C47" s="15" t="n">
        <f aca="false">$B$13/$B$12*C46</f>
        <v>53.6560205620157</v>
      </c>
      <c r="D47" s="15" t="n">
        <f aca="false">$B$13/$B$12*D46</f>
        <v>0.0316787378115581</v>
      </c>
      <c r="E47" s="15" t="n">
        <f aca="false">$B$13/$B$12*E46</f>
        <v>22.3387000282885</v>
      </c>
      <c r="F47" s="15" t="n">
        <f aca="false">$B$13/$B$12*F46</f>
        <v>0.230873916487497</v>
      </c>
      <c r="G47" s="15" t="n">
        <f aca="false">$B$13/$B$12*G46</f>
        <v>0.362010301052395</v>
      </c>
      <c r="H47" s="15" t="n">
        <f aca="false">$B$13/$B$12*H46</f>
        <v>0.00369398266379995</v>
      </c>
      <c r="I47" s="15" t="n">
        <f aca="false">$B$13/$B$12*I46</f>
        <v>2.85818687712992</v>
      </c>
      <c r="J47" s="16" t="n">
        <f aca="false">base_fleet!C49+base_fleet!G49+base_fleet!L49+base_fleet!Q49</f>
        <v>0</v>
      </c>
      <c r="K47" s="16" t="n">
        <f aca="false">base_fleet!E49+base_fleet!J49+base_fleet!O49+base_fleet!T49</f>
        <v>0</v>
      </c>
      <c r="L47" s="15" t="n">
        <f aca="false">$B$13/$B$12*L46</f>
        <v>3.41778281710132</v>
      </c>
      <c r="M47" s="16" t="n">
        <f aca="false">base_fleet!I49+base_fleet!N49</f>
        <v>0</v>
      </c>
      <c r="N47" s="15" t="n">
        <f aca="false">$B$13/$B$12*N46</f>
        <v>34.542495709723</v>
      </c>
      <c r="O47" s="15" t="n">
        <f aca="false">$B$13/$B$12*O46</f>
        <v>0.541706416577644</v>
      </c>
      <c r="P47" s="15" t="n">
        <f aca="false">$B$13/$B$12*P46</f>
        <v>2.41708769502189</v>
      </c>
      <c r="Q47" s="15" t="n">
        <f aca="false">$B$13/$B$12*Q46</f>
        <v>6.60184895992872</v>
      </c>
      <c r="R47" s="15" t="n">
        <f aca="false">$B$13/$B$12*R46</f>
        <v>0.937690639222121</v>
      </c>
      <c r="S47" s="15" t="n">
        <f aca="false">$B$13/$B$12*S46</f>
        <v>0.354801863489451</v>
      </c>
      <c r="T47" s="16" t="n">
        <f aca="false">base_fleet!Z49+base_fleet!AE49</f>
        <v>0</v>
      </c>
      <c r="U47" s="17" t="n">
        <f aca="false">base_fleet!X49+base_fleet!AC49+base_fleet!AH49</f>
        <v>0</v>
      </c>
      <c r="V47" s="15" t="n">
        <f aca="false">$B$13/$B$12*V46</f>
        <v>8.50839889812285</v>
      </c>
      <c r="W47" s="15" t="n">
        <f aca="false">$B$13/$B$12*W46</f>
        <v>1.78107385954485</v>
      </c>
      <c r="X47" s="15" t="n">
        <f aca="false">$B$13/$B$12*X46</f>
        <v>0.399616868932053</v>
      </c>
      <c r="Y47" s="15" t="n">
        <f aca="false">$B$13/$B$12*Y46</f>
        <v>0.301697503697047</v>
      </c>
      <c r="Z47" s="15" t="n">
        <f aca="false">$B$13/$B$12*Z46</f>
        <v>0.603395007394094</v>
      </c>
      <c r="AA47" s="15" t="n">
        <f aca="false">$B$13/$B$12*AA46</f>
        <v>0.119091119880413</v>
      </c>
      <c r="AB47" s="15" t="n">
        <f aca="false">$B$13/$B$12*AB46</f>
        <v>0.00396970399601377</v>
      </c>
      <c r="AC47" s="15" t="n">
        <f aca="false">$B$13/$B$12*AC46</f>
        <v>0.00396970399601377</v>
      </c>
      <c r="AD47" s="15" t="n">
        <f aca="false">$B$13/$B$12*AD46</f>
        <v>0.034404101298786</v>
      </c>
      <c r="AE47" s="15" t="n">
        <f aca="false">$B$13/$B$12*AE46</f>
        <v>0.17202050649393</v>
      </c>
      <c r="AF47" s="15" t="n">
        <f aca="false">$B$13/$B$12*AF46</f>
        <v>0.0211717546454068</v>
      </c>
      <c r="AG47" s="15" t="n">
        <f aca="false">$B$13/$B$12*AG46</f>
        <v>0</v>
      </c>
      <c r="AH47" s="15" t="n">
        <f aca="false">$B$13/$B$12*AH46</f>
        <v>0.0052929386613517</v>
      </c>
      <c r="AI47" s="15" t="n">
        <f aca="false">$B$13/$B$12*AI46</f>
        <v>0.0052929386613517</v>
      </c>
      <c r="AJ47" s="15" t="n">
        <f aca="false">$B$13/$B$12*AJ46</f>
        <v>0</v>
      </c>
      <c r="AK47" s="15" t="n">
        <f aca="false">$B$13/$B$12*AK46</f>
        <v>0</v>
      </c>
      <c r="AL47" s="15" t="n">
        <f aca="false">$B$13/$B$12*AL46</f>
        <v>0</v>
      </c>
      <c r="AM47" s="15" t="n">
        <f aca="false">$B$13/$B$12*AM46</f>
        <v>0</v>
      </c>
      <c r="AN47" s="15" t="n">
        <f aca="false">$B$13/$B$12*AN46</f>
        <v>0.283172218382316</v>
      </c>
      <c r="AO47" s="15" t="n">
        <f aca="false">$B$13/$B$12*AO46</f>
        <v>0.235535770430151</v>
      </c>
      <c r="AP47" s="15" t="n">
        <f aca="false">$B$13/$B$12*AP46</f>
        <v>0.0449899786214894</v>
      </c>
      <c r="AQ47" s="15" t="n">
        <f aca="false">$B$13/$B$12*AQ46</f>
        <v>0.129676997203117</v>
      </c>
      <c r="AR47" s="15" t="n">
        <f aca="false">$B$13/$B$12*AR46</f>
        <v>0.0793940799202754</v>
      </c>
      <c r="AS47" s="15" t="n">
        <f aca="false">$B$13/$B$12*AS46</f>
        <v>0.00264646933067585</v>
      </c>
      <c r="AT47" s="16" t="n">
        <f aca="false">base_fleet!AQ49+base_fleet!AN49+base_fleet!AJ49</f>
        <v>0</v>
      </c>
      <c r="AU47" s="15" t="n">
        <f aca="false">$B$13/$B$12*AU46</f>
        <v>3.62932775370479</v>
      </c>
      <c r="AV47" s="15" t="n">
        <f aca="false">$B$13/$B$12*AV46</f>
        <v>0.331990016546708</v>
      </c>
      <c r="AW47" s="15" t="n">
        <f aca="false">$B$13/$B$12*AW46</f>
        <v>0.112812141544998</v>
      </c>
      <c r="AX47" s="15" t="n">
        <f aca="false">$B$13/$B$12*AX46</f>
        <v>0.0419016525738564</v>
      </c>
      <c r="AY47" s="15" t="n">
        <f aca="false">$B$13/$B$12*AY46</f>
        <v>0</v>
      </c>
      <c r="AZ47" s="15" t="n">
        <f aca="false">$B$13/$B$12*AZ46</f>
        <v>0.0032232040441428</v>
      </c>
      <c r="BA47" s="15" t="n">
        <f aca="false">$B$13/$B$12*BA46</f>
        <v>0.753161991469795</v>
      </c>
      <c r="BB47" s="15" t="n">
        <f aca="false">$B$13/$B$12*BB46</f>
        <v>0.068901254740139</v>
      </c>
      <c r="BC47" s="15" t="n">
        <f aca="false">$B$13/$B$12*BC46</f>
        <v>0.00190072426869349</v>
      </c>
      <c r="BD47" s="15" t="n">
        <f aca="false">$B$13/$B$12*BD46</f>
        <v>0.000475181067173372</v>
      </c>
      <c r="BE47" s="16" t="n">
        <v>0</v>
      </c>
      <c r="BF47" s="16" t="n">
        <v>0</v>
      </c>
      <c r="BG47" s="16" t="n">
        <f aca="false">base_fleet!CE49</f>
        <v>0</v>
      </c>
      <c r="BH47" s="16" t="n">
        <f aca="false">base_fleet!CA49</f>
        <v>0</v>
      </c>
      <c r="BI47" s="16" t="n">
        <f aca="false">base_fleet!BV49</f>
        <v>0</v>
      </c>
      <c r="BJ47" s="16" t="n">
        <f aca="false">base_fleet!CH49</f>
        <v>0</v>
      </c>
      <c r="BK47" s="16" t="n">
        <f aca="false">base_fleet!BU49+base_fleet!BZ49+base_fleet!CD49</f>
        <v>0</v>
      </c>
    </row>
    <row r="48" customFormat="false" ht="13.2" hidden="false" customHeight="false" outlineLevel="0" collapsed="false">
      <c r="A48" s="0" t="n">
        <f aca="false">A47-1</f>
        <v>1971</v>
      </c>
      <c r="B48" s="15" t="n">
        <f aca="false">$B$13/$B$12*B47</f>
        <v>25.0304265299085</v>
      </c>
      <c r="C48" s="15" t="n">
        <f aca="false">$B$13/$B$12*C47</f>
        <v>44.8247066117887</v>
      </c>
      <c r="D48" s="15" t="n">
        <f aca="false">$B$13/$B$12*D47</f>
        <v>0.0264646933067585</v>
      </c>
      <c r="E48" s="15" t="n">
        <f aca="false">$B$13/$B$12*E47</f>
        <v>18.6619444447889</v>
      </c>
      <c r="F48" s="15" t="n">
        <f aca="false">$B$13/$B$12*F47</f>
        <v>0.192874079413054</v>
      </c>
      <c r="G48" s="15" t="n">
        <f aca="false">$B$13/$B$12*G47</f>
        <v>0.302426556519668</v>
      </c>
      <c r="H48" s="15" t="n">
        <f aca="false">$B$13/$B$12*H47</f>
        <v>0.00308598527060886</v>
      </c>
      <c r="I48" s="15" t="n">
        <f aca="false">$B$13/$B$12*I47</f>
        <v>2.38775419546694</v>
      </c>
      <c r="J48" s="16" t="n">
        <f aca="false">base_fleet!C50+base_fleet!G50+base_fleet!L50+base_fleet!Q50</f>
        <v>0</v>
      </c>
      <c r="K48" s="16" t="n">
        <f aca="false">base_fleet!E50+base_fleet!J50+base_fleet!O50+base_fleet!T50</f>
        <v>0</v>
      </c>
      <c r="L48" s="15" t="n">
        <f aca="false">$B$13/$B$12*L47</f>
        <v>2.85524551457016</v>
      </c>
      <c r="M48" s="16" t="n">
        <f aca="false">base_fleet!I50+base_fleet!N50</f>
        <v>0</v>
      </c>
      <c r="N48" s="15" t="n">
        <f aca="false">$B$13/$B$12*N47</f>
        <v>28.8571015816894</v>
      </c>
      <c r="O48" s="15" t="n">
        <f aca="false">$B$13/$B$12*O47</f>
        <v>0.45254625554557</v>
      </c>
      <c r="P48" s="15" t="n">
        <f aca="false">$B$13/$B$12*P47</f>
        <v>2.01925609930567</v>
      </c>
      <c r="Q48" s="15" t="n">
        <f aca="false">$B$13/$B$12*Q47</f>
        <v>5.51524208512847</v>
      </c>
      <c r="R48" s="15" t="n">
        <f aca="false">$B$13/$B$12*R47</f>
        <v>0.783354921880051</v>
      </c>
      <c r="S48" s="15" t="n">
        <f aca="false">$B$13/$B$12*S47</f>
        <v>0.296404565035695</v>
      </c>
      <c r="T48" s="16" t="n">
        <f aca="false">base_fleet!Z50+base_fleet!AE50</f>
        <v>0</v>
      </c>
      <c r="U48" s="17" t="n">
        <f aca="false">base_fleet!X50+base_fleet!AC50+base_fleet!AH50</f>
        <v>0</v>
      </c>
      <c r="V48" s="15" t="n">
        <f aca="false">$B$13/$B$12*V47</f>
        <v>7.10799049854277</v>
      </c>
      <c r="W48" s="15" t="n">
        <f aca="false">$B$13/$B$12*W47</f>
        <v>1.48792460513819</v>
      </c>
      <c r="X48" s="15" t="n">
        <f aca="false">$B$13/$B$12*X47</f>
        <v>0.333843410662507</v>
      </c>
      <c r="Y48" s="15" t="n">
        <f aca="false">$B$13/$B$12*Y47</f>
        <v>0.252040720632621</v>
      </c>
      <c r="Z48" s="15" t="n">
        <f aca="false">$B$13/$B$12*Z47</f>
        <v>0.504081441265242</v>
      </c>
      <c r="AA48" s="15" t="n">
        <f aca="false">$B$13/$B$12*AA47</f>
        <v>0.0994897581444556</v>
      </c>
      <c r="AB48" s="15" t="n">
        <f aca="false">$B$13/$B$12*AB47</f>
        <v>0.00331632527148185</v>
      </c>
      <c r="AC48" s="15" t="n">
        <f aca="false">$B$13/$B$12*AC47</f>
        <v>0.00331632527148185</v>
      </c>
      <c r="AD48" s="15" t="n">
        <f aca="false">$B$13/$B$12*AD47</f>
        <v>0.0287414856861761</v>
      </c>
      <c r="AE48" s="15" t="n">
        <f aca="false">$B$13/$B$12*AE47</f>
        <v>0.14370742843088</v>
      </c>
      <c r="AF48" s="15" t="n">
        <f aca="false">$B$13/$B$12*AF47</f>
        <v>0.0176870681145699</v>
      </c>
      <c r="AG48" s="15" t="n">
        <f aca="false">$B$13/$B$12*AG47</f>
        <v>0</v>
      </c>
      <c r="AH48" s="15" t="n">
        <f aca="false">$B$13/$B$12*AH47</f>
        <v>0.00442176702864247</v>
      </c>
      <c r="AI48" s="15" t="n">
        <f aca="false">$B$13/$B$12*AI47</f>
        <v>0.00442176702864247</v>
      </c>
      <c r="AJ48" s="15" t="n">
        <f aca="false">$B$13/$B$12*AJ47</f>
        <v>0</v>
      </c>
      <c r="AK48" s="15" t="n">
        <f aca="false">$B$13/$B$12*AK47</f>
        <v>0</v>
      </c>
      <c r="AL48" s="15" t="n">
        <f aca="false">$B$13/$B$12*AL47</f>
        <v>0</v>
      </c>
      <c r="AM48" s="15" t="n">
        <f aca="false">$B$13/$B$12*AM47</f>
        <v>0</v>
      </c>
      <c r="AN48" s="15" t="n">
        <f aca="false">$B$13/$B$12*AN47</f>
        <v>0.236564536032372</v>
      </c>
      <c r="AO48" s="15" t="n">
        <f aca="false">$B$13/$B$12*AO47</f>
        <v>0.19676863277459</v>
      </c>
      <c r="AP48" s="15" t="n">
        <f aca="false">$B$13/$B$12*AP47</f>
        <v>0.037585019743461</v>
      </c>
      <c r="AQ48" s="15" t="n">
        <f aca="false">$B$13/$B$12*AQ47</f>
        <v>0.108333292201741</v>
      </c>
      <c r="AR48" s="15" t="n">
        <f aca="false">$B$13/$B$12*AR47</f>
        <v>0.0663265054296371</v>
      </c>
      <c r="AS48" s="15" t="n">
        <f aca="false">$B$13/$B$12*AS47</f>
        <v>0.00221088351432124</v>
      </c>
      <c r="AT48" s="16" t="n">
        <f aca="false">base_fleet!AQ50+base_fleet!AN50+base_fleet!AJ50</f>
        <v>0</v>
      </c>
      <c r="AU48" s="15" t="n">
        <f aca="false">$B$13/$B$12*AU47</f>
        <v>3.03197199594423</v>
      </c>
      <c r="AV48" s="15" t="n">
        <f aca="false">$B$13/$B$12*AV47</f>
        <v>0.277347349540192</v>
      </c>
      <c r="AW48" s="15" t="n">
        <f aca="false">$B$13/$B$12*AW47</f>
        <v>0.0942442449893855</v>
      </c>
      <c r="AX48" s="15" t="n">
        <f aca="false">$B$13/$B$12*AX47</f>
        <v>0.0350050052817718</v>
      </c>
      <c r="AY48" s="15" t="n">
        <f aca="false">$B$13/$B$12*AY47</f>
        <v>0</v>
      </c>
      <c r="AZ48" s="15" t="n">
        <f aca="false">$B$13/$B$12*AZ47</f>
        <v>0.00269269271398244</v>
      </c>
      <c r="BA48" s="15" t="n">
        <f aca="false">$B$13/$B$12*BA47</f>
        <v>0.629198083368183</v>
      </c>
      <c r="BB48" s="15" t="n">
        <f aca="false">$B$13/$B$12*BB47</f>
        <v>0.0575607079421997</v>
      </c>
      <c r="BC48" s="15" t="n">
        <f aca="false">$B$13/$B$12*BC47</f>
        <v>0.00158788159840551</v>
      </c>
      <c r="BD48" s="15" t="n">
        <f aca="false">$B$13/$B$12*BD47</f>
        <v>0.000396970399601377</v>
      </c>
      <c r="BE48" s="16" t="n">
        <v>0</v>
      </c>
      <c r="BF48" s="16" t="n">
        <v>0</v>
      </c>
      <c r="BG48" s="16" t="n">
        <f aca="false">base_fleet!CE50</f>
        <v>0</v>
      </c>
      <c r="BH48" s="16" t="n">
        <f aca="false">base_fleet!CA50</f>
        <v>0</v>
      </c>
      <c r="BI48" s="16" t="n">
        <f aca="false">base_fleet!BV50</f>
        <v>0</v>
      </c>
      <c r="BJ48" s="16" t="n">
        <f aca="false">base_fleet!CH50</f>
        <v>0</v>
      </c>
      <c r="BK48" s="16" t="n">
        <f aca="false">base_fleet!BU50+base_fleet!BZ50+base_fleet!CD50</f>
        <v>0</v>
      </c>
    </row>
    <row r="49" customFormat="false" ht="13.2" hidden="false" customHeight="false" outlineLevel="0" collapsed="false">
      <c r="A49" s="0" t="n">
        <f aca="false">A48-1</f>
        <v>1970</v>
      </c>
      <c r="B49" s="15" t="n">
        <f aca="false">$B$13/$B$12*B48</f>
        <v>20.9106361936456</v>
      </c>
      <c r="C49" s="15" t="n">
        <f aca="false">$B$13/$B$12*C48</f>
        <v>37.4469500679916</v>
      </c>
      <c r="D49" s="15" t="n">
        <f aca="false">$B$13/$B$12*D48</f>
        <v>0.0221088351432124</v>
      </c>
      <c r="E49" s="15" t="n">
        <f aca="false">$B$13/$B$12*E48</f>
        <v>15.5903508270114</v>
      </c>
      <c r="F49" s="15" t="n">
        <f aca="false">$B$13/$B$12*F48</f>
        <v>0.161128684761787</v>
      </c>
      <c r="G49" s="15" t="n">
        <f aca="false">$B$13/$B$12*G48</f>
        <v>0.252649777706482</v>
      </c>
      <c r="H49" s="15" t="n">
        <f aca="false">$B$13/$B$12*H48</f>
        <v>0.00257805895618859</v>
      </c>
      <c r="I49" s="15" t="n">
        <f aca="false">$B$13/$B$12*I48</f>
        <v>1.99475063845197</v>
      </c>
      <c r="J49" s="16" t="n">
        <f aca="false">base_fleet!C51+base_fleet!G51+base_fleet!L51+base_fleet!Q51</f>
        <v>0</v>
      </c>
      <c r="K49" s="16" t="n">
        <f aca="false">base_fleet!E51+base_fleet!J51+base_fleet!O51+base_fleet!T51</f>
        <v>0</v>
      </c>
      <c r="L49" s="15" t="n">
        <f aca="false">$B$13/$B$12*L48</f>
        <v>2.38529695558222</v>
      </c>
      <c r="M49" s="16" t="n">
        <f aca="false">base_fleet!I51+base_fleet!N51</f>
        <v>0</v>
      </c>
      <c r="N49" s="15" t="n">
        <f aca="false">$B$13/$B$12*N48</f>
        <v>24.1074738401588</v>
      </c>
      <c r="O49" s="15" t="n">
        <f aca="false">$B$13/$B$12*O48</f>
        <v>0.378061080948931</v>
      </c>
      <c r="P49" s="15" t="n">
        <f aca="false">$B$13/$B$12*P48</f>
        <v>1.6869041214271</v>
      </c>
      <c r="Q49" s="15" t="n">
        <f aca="false">$B$13/$B$12*Q48</f>
        <v>4.60748124384546</v>
      </c>
      <c r="R49" s="15" t="n">
        <f aca="false">$B$13/$B$12*R48</f>
        <v>0.654421520239086</v>
      </c>
      <c r="S49" s="15" t="n">
        <f aca="false">$B$13/$B$12*S48</f>
        <v>0.247618953603978</v>
      </c>
      <c r="T49" s="16" t="n">
        <f aca="false">base_fleet!Z51+base_fleet!AE51</f>
        <v>0</v>
      </c>
      <c r="U49" s="17" t="n">
        <f aca="false">base_fleet!X51+base_fleet!AC51+base_fleet!AH51</f>
        <v>0</v>
      </c>
      <c r="V49" s="15" t="n">
        <f aca="false">$B$13/$B$12*V48</f>
        <v>5.93807713205842</v>
      </c>
      <c r="W49" s="15" t="n">
        <f aca="false">$B$13/$B$12*W48</f>
        <v>1.24302516636868</v>
      </c>
      <c r="X49" s="15" t="n">
        <f aca="false">$B$13/$B$12*X48</f>
        <v>0.278895691116896</v>
      </c>
      <c r="Y49" s="15" t="n">
        <f aca="false">$B$13/$B$12*Y48</f>
        <v>0.210557011836597</v>
      </c>
      <c r="Z49" s="15" t="n">
        <f aca="false">$B$13/$B$12*Z48</f>
        <v>0.421114023673194</v>
      </c>
      <c r="AA49" s="15" t="n">
        <f aca="false">$B$13/$B$12*AA48</f>
        <v>0.0831146099354989</v>
      </c>
      <c r="AB49" s="15" t="n">
        <f aca="false">$B$13/$B$12*AB48</f>
        <v>0.00277048699784996</v>
      </c>
      <c r="AC49" s="15" t="n">
        <f aca="false">$B$13/$B$12*AC48</f>
        <v>0.00277048699784996</v>
      </c>
      <c r="AD49" s="15" t="n">
        <f aca="false">$B$13/$B$12*AD48</f>
        <v>0.0240108873146997</v>
      </c>
      <c r="AE49" s="15" t="n">
        <f aca="false">$B$13/$B$12*AE48</f>
        <v>0.120054436573498</v>
      </c>
      <c r="AF49" s="15" t="n">
        <f aca="false">$B$13/$B$12*AF48</f>
        <v>0.0147759306551998</v>
      </c>
      <c r="AG49" s="15" t="n">
        <f aca="false">$B$13/$B$12*AG48</f>
        <v>0</v>
      </c>
      <c r="AH49" s="15" t="n">
        <f aca="false">$B$13/$B$12*AH48</f>
        <v>0.00369398266379995</v>
      </c>
      <c r="AI49" s="15" t="n">
        <f aca="false">$B$13/$B$12*AI48</f>
        <v>0.00369398266379995</v>
      </c>
      <c r="AJ49" s="15" t="n">
        <f aca="false">$B$13/$B$12*AJ48</f>
        <v>0</v>
      </c>
      <c r="AK49" s="15" t="n">
        <f aca="false">$B$13/$B$12*AK48</f>
        <v>0</v>
      </c>
      <c r="AL49" s="15" t="n">
        <f aca="false">$B$13/$B$12*AL48</f>
        <v>0</v>
      </c>
      <c r="AM49" s="15" t="n">
        <f aca="false">$B$13/$B$12*AM48</f>
        <v>0</v>
      </c>
      <c r="AN49" s="15" t="n">
        <f aca="false">$B$13/$B$12*AN48</f>
        <v>0.197628072513297</v>
      </c>
      <c r="AO49" s="15" t="n">
        <f aca="false">$B$13/$B$12*AO48</f>
        <v>0.164382228539098</v>
      </c>
      <c r="AP49" s="15" t="n">
        <f aca="false">$B$13/$B$12*AP48</f>
        <v>0.0313988526422996</v>
      </c>
      <c r="AQ49" s="15" t="n">
        <f aca="false">$B$13/$B$12*AQ48</f>
        <v>0.0905025752630988</v>
      </c>
      <c r="AR49" s="15" t="n">
        <f aca="false">$B$13/$B$12*AR48</f>
        <v>0.0554097399569992</v>
      </c>
      <c r="AS49" s="15" t="n">
        <f aca="false">$B$13/$B$12*AS48</f>
        <v>0.00184699133189998</v>
      </c>
      <c r="AT49" s="16" t="n">
        <f aca="false">base_fleet!AQ51+base_fleet!AN51+base_fleet!AJ51</f>
        <v>0</v>
      </c>
      <c r="AU49" s="15" t="n">
        <f aca="false">$B$13/$B$12*AU48</f>
        <v>2.53293579638985</v>
      </c>
      <c r="AV49" s="15" t="n">
        <f aca="false">$B$13/$B$12*AV48</f>
        <v>0.23169838990067</v>
      </c>
      <c r="AW49" s="15" t="n">
        <f aca="false">$B$13/$B$12*AW48</f>
        <v>0.0787324625876065</v>
      </c>
      <c r="AX49" s="15" t="n">
        <f aca="false">$B$13/$B$12*AX48</f>
        <v>0.0292434861039681</v>
      </c>
      <c r="AY49" s="15" t="n">
        <f aca="false">$B$13/$B$12*AY48</f>
        <v>0</v>
      </c>
      <c r="AZ49" s="15" t="n">
        <f aca="false">$B$13/$B$12*AZ48</f>
        <v>0.00224949893107447</v>
      </c>
      <c r="BA49" s="15" t="n">
        <f aca="false">$B$13/$B$12*BA48</f>
        <v>0.525637555529874</v>
      </c>
      <c r="BB49" s="15" t="n">
        <f aca="false">$B$13/$B$12*BB48</f>
        <v>0.0480867164364869</v>
      </c>
      <c r="BC49" s="15" t="n">
        <f aca="false">$B$13/$B$12*BC48</f>
        <v>0.00132653010859274</v>
      </c>
      <c r="BD49" s="15" t="n">
        <f aca="false">$B$13/$B$12*BD48</f>
        <v>0.000331632527148185</v>
      </c>
      <c r="BE49" s="16" t="n">
        <v>0</v>
      </c>
      <c r="BF49" s="16" t="n">
        <v>0</v>
      </c>
      <c r="BG49" s="16" t="n">
        <f aca="false">base_fleet!CE51</f>
        <v>0</v>
      </c>
      <c r="BH49" s="16" t="n">
        <f aca="false">base_fleet!CA51</f>
        <v>0</v>
      </c>
      <c r="BI49" s="16" t="n">
        <f aca="false">base_fleet!BV51</f>
        <v>0</v>
      </c>
      <c r="BJ49" s="16" t="n">
        <f aca="false">base_fleet!CH51</f>
        <v>0</v>
      </c>
      <c r="BK49" s="16" t="n">
        <f aca="false">base_fleet!BU51+base_fleet!BZ51+base_fleet!CD51</f>
        <v>0</v>
      </c>
    </row>
    <row r="50" customFormat="false" ht="13.2" hidden="false" customHeight="false" outlineLevel="0" collapsed="false">
      <c r="A50" s="0" t="n">
        <f aca="false">A49-1</f>
        <v>1969</v>
      </c>
      <c r="B50" s="15" t="n">
        <f aca="false">$B$13/$B$12*B49</f>
        <v>17.4689274871339</v>
      </c>
      <c r="C50" s="15" t="n">
        <f aca="false">$B$13/$B$12*C49</f>
        <v>31.2835080336224</v>
      </c>
      <c r="D50" s="15" t="n">
        <f aca="false">$B$13/$B$12*D49</f>
        <v>0.0184699133189997</v>
      </c>
      <c r="E50" s="15" t="n">
        <f aca="false">$B$13/$B$12*E49</f>
        <v>13.0243147828664</v>
      </c>
      <c r="F50" s="15" t="n">
        <f aca="false">$B$13/$B$12*F49</f>
        <v>0.134608305750939</v>
      </c>
      <c r="G50" s="15" t="n">
        <f aca="false">$B$13/$B$12*G49</f>
        <v>0.211065823417473</v>
      </c>
      <c r="H50" s="15" t="n">
        <f aca="false">$B$13/$B$12*H49</f>
        <v>0.00215373289201503</v>
      </c>
      <c r="I50" s="15" t="n">
        <f aca="false">$B$13/$B$12*I49</f>
        <v>1.66643204612878</v>
      </c>
      <c r="J50" s="16" t="n">
        <f aca="false">base_fleet!C52+base_fleet!G52+base_fleet!L52+base_fleet!Q52</f>
        <v>0</v>
      </c>
      <c r="K50" s="16" t="n">
        <f aca="false">base_fleet!E52+base_fleet!J52+base_fleet!O52+base_fleet!T52</f>
        <v>0</v>
      </c>
      <c r="L50" s="15" t="n">
        <f aca="false">$B$13/$B$12*L49</f>
        <v>1.99269783886391</v>
      </c>
      <c r="M50" s="16" t="n">
        <f aca="false">base_fleet!I52+base_fleet!N52</f>
        <v>0</v>
      </c>
      <c r="N50" s="15" t="n">
        <f aca="false">$B$13/$B$12*N49</f>
        <v>20.1395934830373</v>
      </c>
      <c r="O50" s="15" t="n">
        <f aca="false">$B$13/$B$12*O49</f>
        <v>0.315835517754896</v>
      </c>
      <c r="P50" s="15" t="n">
        <f aca="false">$B$13/$B$12*P49</f>
        <v>1.40925438623968</v>
      </c>
      <c r="Q50" s="15" t="n">
        <f aca="false">$B$13/$B$12*Q49</f>
        <v>3.84912993567955</v>
      </c>
      <c r="R50" s="15" t="n">
        <f aca="false">$B$13/$B$12*R49</f>
        <v>0.546709434242393</v>
      </c>
      <c r="S50" s="15" t="n">
        <f aca="false">$B$13/$B$12*S49</f>
        <v>0.206863029172797</v>
      </c>
      <c r="T50" s="16" t="n">
        <f aca="false">base_fleet!Z52+base_fleet!AE52</f>
        <v>0</v>
      </c>
      <c r="U50" s="17" t="n">
        <f aca="false">base_fleet!X52+base_fleet!AC52+base_fleet!AH52</f>
        <v>0</v>
      </c>
      <c r="V50" s="15" t="n">
        <f aca="false">$B$13/$B$12*V49</f>
        <v>4.96072132250374</v>
      </c>
      <c r="W50" s="15" t="n">
        <f aca="false">$B$13/$B$12*W49</f>
        <v>1.03843404355988</v>
      </c>
      <c r="X50" s="15" t="n">
        <f aca="false">$B$13/$B$12*X49</f>
        <v>0.232991887930969</v>
      </c>
      <c r="Y50" s="15" t="n">
        <f aca="false">$B$13/$B$12*Y49</f>
        <v>0.175901160424705</v>
      </c>
      <c r="Z50" s="15" t="n">
        <f aca="false">$B$13/$B$12*Z49</f>
        <v>0.35180232084941</v>
      </c>
      <c r="AA50" s="15" t="n">
        <f aca="false">$B$13/$B$12*AA49</f>
        <v>0.0694346685886993</v>
      </c>
      <c r="AB50" s="15" t="n">
        <f aca="false">$B$13/$B$12*AB49</f>
        <v>0.00231448895295664</v>
      </c>
      <c r="AC50" s="15" t="n">
        <f aca="false">$B$13/$B$12*AC49</f>
        <v>0.00231448895295664</v>
      </c>
      <c r="AD50" s="15" t="n">
        <f aca="false">$B$13/$B$12*AD49</f>
        <v>0.0200589042589576</v>
      </c>
      <c r="AE50" s="15" t="n">
        <f aca="false">$B$13/$B$12*AE49</f>
        <v>0.100294521294788</v>
      </c>
      <c r="AF50" s="15" t="n">
        <f aca="false">$B$13/$B$12*AF49</f>
        <v>0.0123439410824354</v>
      </c>
      <c r="AG50" s="15" t="n">
        <f aca="false">$B$13/$B$12*AG49</f>
        <v>0</v>
      </c>
      <c r="AH50" s="15" t="n">
        <f aca="false">$B$13/$B$12*AH49</f>
        <v>0.00308598527060886</v>
      </c>
      <c r="AI50" s="15" t="n">
        <f aca="false">$B$13/$B$12*AI49</f>
        <v>0.00308598527060886</v>
      </c>
      <c r="AJ50" s="15" t="n">
        <f aca="false">$B$13/$B$12*AJ49</f>
        <v>0</v>
      </c>
      <c r="AK50" s="15" t="n">
        <f aca="false">$B$13/$B$12*AK49</f>
        <v>0</v>
      </c>
      <c r="AL50" s="15" t="n">
        <f aca="false">$B$13/$B$12*AL49</f>
        <v>0</v>
      </c>
      <c r="AM50" s="15" t="n">
        <f aca="false">$B$13/$B$12*AM49</f>
        <v>0</v>
      </c>
      <c r="AN50" s="15" t="n">
        <f aca="false">$B$13/$B$12*AN49</f>
        <v>0.165100211977574</v>
      </c>
      <c r="AO50" s="15" t="n">
        <f aca="false">$B$13/$B$12*AO49</f>
        <v>0.137326344542094</v>
      </c>
      <c r="AP50" s="15" t="n">
        <f aca="false">$B$13/$B$12*AP49</f>
        <v>0.0262308748001753</v>
      </c>
      <c r="AQ50" s="15" t="n">
        <f aca="false">$B$13/$B$12*AQ49</f>
        <v>0.0756066391299171</v>
      </c>
      <c r="AR50" s="15" t="n">
        <f aca="false">$B$13/$B$12*AR49</f>
        <v>0.0462897790591329</v>
      </c>
      <c r="AS50" s="15" t="n">
        <f aca="false">$B$13/$B$12*AS49</f>
        <v>0.00154299263530443</v>
      </c>
      <c r="AT50" s="16" t="n">
        <f aca="false">base_fleet!AQ52+base_fleet!AN52+base_fleet!AJ52</f>
        <v>0</v>
      </c>
      <c r="AU50" s="15" t="n">
        <f aca="false">$B$13/$B$12*AU49</f>
        <v>2.11603661155685</v>
      </c>
      <c r="AV50" s="15" t="n">
        <f aca="false">$B$13/$B$12*AV49</f>
        <v>0.193562851678824</v>
      </c>
      <c r="AW50" s="15" t="n">
        <f aca="false">$B$13/$B$12*AW49</f>
        <v>0.0657737845510568</v>
      </c>
      <c r="AX50" s="15" t="n">
        <f aca="false">$B$13/$B$12*AX49</f>
        <v>0.0244302628332497</v>
      </c>
      <c r="AY50" s="15" t="n">
        <f aca="false">$B$13/$B$12*AY49</f>
        <v>0</v>
      </c>
      <c r="AZ50" s="15" t="n">
        <f aca="false">$B$13/$B$12*AZ49</f>
        <v>0.00187925098717305</v>
      </c>
      <c r="BA50" s="15" t="n">
        <f aca="false">$B$13/$B$12*BA49</f>
        <v>0.439122189159219</v>
      </c>
      <c r="BB50" s="15" t="n">
        <f aca="false">$B$13/$B$12*BB49</f>
        <v>0.0401720614688245</v>
      </c>
      <c r="BC50" s="15" t="n">
        <f aca="false">$B$13/$B$12*BC49</f>
        <v>0.00110819479913998</v>
      </c>
      <c r="BD50" s="15" t="n">
        <f aca="false">$B$13/$B$12*BD49</f>
        <v>0.000277048699784996</v>
      </c>
      <c r="BE50" s="16" t="n">
        <v>0</v>
      </c>
      <c r="BF50" s="16" t="n">
        <v>0</v>
      </c>
      <c r="BG50" s="16" t="n">
        <f aca="false">base_fleet!CE52</f>
        <v>0</v>
      </c>
      <c r="BH50" s="16" t="n">
        <f aca="false">base_fleet!CA52</f>
        <v>0</v>
      </c>
      <c r="BI50" s="16" t="n">
        <f aca="false">base_fleet!BV52</f>
        <v>0</v>
      </c>
      <c r="BJ50" s="16" t="n">
        <f aca="false">base_fleet!CH52</f>
        <v>0</v>
      </c>
      <c r="BK50" s="16" t="n">
        <f aca="false">base_fleet!BU52+base_fleet!BZ52+base_fleet!CD52</f>
        <v>0</v>
      </c>
    </row>
    <row r="51" customFormat="false" ht="13.2" hidden="false" customHeight="false" outlineLevel="0" collapsed="false">
      <c r="A51" s="0" t="n">
        <f aca="false">A50-1</f>
        <v>1968</v>
      </c>
      <c r="B51" s="15" t="n">
        <f aca="false">$B$13/$B$12*B50</f>
        <v>14.5936940762938</v>
      </c>
      <c r="C51" s="15" t="n">
        <f aca="false">$B$13/$B$12*C50</f>
        <v>26.1345149101005</v>
      </c>
      <c r="D51" s="15" t="n">
        <f aca="false">$B$13/$B$12*D50</f>
        <v>0.0154299263530443</v>
      </c>
      <c r="E51" s="15" t="n">
        <f aca="false">$B$13/$B$12*E50</f>
        <v>10.8806259362228</v>
      </c>
      <c r="F51" s="15" t="n">
        <f aca="false">$B$13/$B$12*F50</f>
        <v>0.112452950285829</v>
      </c>
      <c r="G51" s="15" t="n">
        <f aca="false">$B$13/$B$12*G50</f>
        <v>0.176326226048181</v>
      </c>
      <c r="H51" s="15" t="n">
        <f aca="false">$B$13/$B$12*H50</f>
        <v>0.00179924720457327</v>
      </c>
      <c r="I51" s="15" t="n">
        <f aca="false">$B$13/$B$12*I50</f>
        <v>1.39215183634184</v>
      </c>
      <c r="J51" s="16" t="n">
        <f aca="false">base_fleet!C53+base_fleet!G53+base_fleet!L53+base_fleet!Q53</f>
        <v>0</v>
      </c>
      <c r="K51" s="16" t="n">
        <f aca="false">base_fleet!E53+base_fleet!J53+base_fleet!O53+base_fleet!T53</f>
        <v>0</v>
      </c>
      <c r="L51" s="15" t="n">
        <f aca="false">$B$13/$B$12*L50</f>
        <v>1.66471711948488</v>
      </c>
      <c r="M51" s="16" t="n">
        <f aca="false">base_fleet!I53+base_fleet!N53</f>
        <v>0</v>
      </c>
      <c r="N51" s="15" t="n">
        <f aca="false">$B$13/$B$12*N50</f>
        <v>16.8247916953595</v>
      </c>
      <c r="O51" s="15" t="n">
        <f aca="false">$B$13/$B$12*O50</f>
        <v>0.263851740637057</v>
      </c>
      <c r="P51" s="15" t="n">
        <f aca="false">$B$13/$B$12*P50</f>
        <v>1.17730338073728</v>
      </c>
      <c r="Q51" s="15" t="n">
        <f aca="false">$B$13/$B$12*Q50</f>
        <v>3.21559665197443</v>
      </c>
      <c r="R51" s="15" t="n">
        <f aca="false">$B$13/$B$12*R50</f>
        <v>0.456725820050111</v>
      </c>
      <c r="S51" s="15" t="n">
        <f aca="false">$B$13/$B$12*S50</f>
        <v>0.172815175154096</v>
      </c>
      <c r="T51" s="16" t="n">
        <f aca="false">base_fleet!Z53+base_fleet!AE53</f>
        <v>0</v>
      </c>
      <c r="U51" s="17" t="n">
        <f aca="false">base_fleet!X53+base_fleet!AC53+base_fleet!AH53</f>
        <v>0</v>
      </c>
      <c r="V51" s="15" t="n">
        <f aca="false">$B$13/$B$12*V50</f>
        <v>4.14422977207315</v>
      </c>
      <c r="W51" s="15" t="n">
        <f aca="false">$B$13/$B$12*W50</f>
        <v>0.86751683875746</v>
      </c>
      <c r="X51" s="15" t="n">
        <f aca="false">$B$13/$B$12*X50</f>
        <v>0.194643451192238</v>
      </c>
      <c r="Y51" s="15" t="n">
        <f aca="false">$B$13/$B$12*Y50</f>
        <v>0.14694936050275</v>
      </c>
      <c r="Z51" s="15" t="n">
        <f aca="false">$B$13/$B$12*Z50</f>
        <v>0.293898721005499</v>
      </c>
      <c r="AA51" s="15" t="n">
        <f aca="false">$B$13/$B$12*AA50</f>
        <v>0.0580063265142432</v>
      </c>
      <c r="AB51" s="15" t="n">
        <f aca="false">$B$13/$B$12*AB50</f>
        <v>0.00193354421714144</v>
      </c>
      <c r="AC51" s="15" t="n">
        <f aca="false">$B$13/$B$12*AC50</f>
        <v>0.00193354421714144</v>
      </c>
      <c r="AD51" s="15" t="n">
        <f aca="false">$B$13/$B$12*AD50</f>
        <v>0.0167573832152258</v>
      </c>
      <c r="AE51" s="15" t="n">
        <f aca="false">$B$13/$B$12*AE50</f>
        <v>0.0837869160761291</v>
      </c>
      <c r="AF51" s="15" t="n">
        <f aca="false">$B$13/$B$12*AF50</f>
        <v>0.0103122358247544</v>
      </c>
      <c r="AG51" s="15" t="n">
        <f aca="false">$B$13/$B$12*AG50</f>
        <v>0</v>
      </c>
      <c r="AH51" s="15" t="n">
        <f aca="false">$B$13/$B$12*AH50</f>
        <v>0.00257805895618859</v>
      </c>
      <c r="AI51" s="15" t="n">
        <f aca="false">$B$13/$B$12*AI50</f>
        <v>0.00257805895618859</v>
      </c>
      <c r="AJ51" s="15" t="n">
        <f aca="false">$B$13/$B$12*AJ50</f>
        <v>0</v>
      </c>
      <c r="AK51" s="15" t="n">
        <f aca="false">$B$13/$B$12*AK50</f>
        <v>0</v>
      </c>
      <c r="AL51" s="15" t="n">
        <f aca="false">$B$13/$B$12*AL50</f>
        <v>0</v>
      </c>
      <c r="AM51" s="15" t="n">
        <f aca="false">$B$13/$B$12*AM50</f>
        <v>0</v>
      </c>
      <c r="AN51" s="15" t="n">
        <f aca="false">$B$13/$B$12*AN50</f>
        <v>0.137926154156089</v>
      </c>
      <c r="AO51" s="15" t="n">
        <f aca="false">$B$13/$B$12*AO50</f>
        <v>0.114723623550392</v>
      </c>
      <c r="AP51" s="15" t="n">
        <f aca="false">$B$13/$B$12*AP50</f>
        <v>0.021913501127603</v>
      </c>
      <c r="AQ51" s="15" t="n">
        <f aca="false">$B$13/$B$12*AQ50</f>
        <v>0.0631624444266204</v>
      </c>
      <c r="AR51" s="15" t="n">
        <f aca="false">$B$13/$B$12*AR50</f>
        <v>0.0386708843428288</v>
      </c>
      <c r="AS51" s="15" t="n">
        <f aca="false">$B$13/$B$12*AS50</f>
        <v>0.00128902947809429</v>
      </c>
      <c r="AT51" s="16" t="n">
        <f aca="false">base_fleet!AQ53+base_fleet!AN53+base_fleet!AJ53</f>
        <v>0</v>
      </c>
      <c r="AU51" s="15" t="n">
        <f aca="false">$B$13/$B$12*AU50</f>
        <v>1.76775540376147</v>
      </c>
      <c r="AV51" s="15" t="n">
        <f aca="false">$B$13/$B$12*AV50</f>
        <v>0.161704091107843</v>
      </c>
      <c r="AW51" s="15" t="n">
        <f aca="false">$B$13/$B$12*AW50</f>
        <v>0.0549479921240243</v>
      </c>
      <c r="AX51" s="15" t="n">
        <f aca="false">$B$13/$B$12*AX50</f>
        <v>0.0204092542174947</v>
      </c>
      <c r="AY51" s="15" t="n">
        <f aca="false">$B$13/$B$12*AY50</f>
        <v>0</v>
      </c>
      <c r="AZ51" s="15" t="n">
        <f aca="false">$B$13/$B$12*AZ50</f>
        <v>0.00156994263211498</v>
      </c>
      <c r="BA51" s="15" t="n">
        <f aca="false">$B$13/$B$12*BA50</f>
        <v>0.366846499043628</v>
      </c>
      <c r="BB51" s="15" t="n">
        <f aca="false">$B$13/$B$12*BB50</f>
        <v>0.0335600898178713</v>
      </c>
      <c r="BC51" s="15" t="n">
        <f aca="false">$B$13/$B$12*BC50</f>
        <v>0.000925795581182658</v>
      </c>
      <c r="BD51" s="15" t="n">
        <f aca="false">$B$13/$B$12*BD50</f>
        <v>0.000231448895295664</v>
      </c>
      <c r="BE51" s="16" t="n">
        <v>0</v>
      </c>
      <c r="BF51" s="16" t="n">
        <v>0</v>
      </c>
      <c r="BG51" s="16" t="n">
        <f aca="false">base_fleet!CE53</f>
        <v>0</v>
      </c>
      <c r="BH51" s="16" t="n">
        <f aca="false">base_fleet!CA53</f>
        <v>0</v>
      </c>
      <c r="BI51" s="16" t="n">
        <f aca="false">base_fleet!BV53</f>
        <v>0</v>
      </c>
      <c r="BJ51" s="16" t="n">
        <f aca="false">base_fleet!CH53</f>
        <v>0</v>
      </c>
      <c r="BK51" s="16" t="n">
        <f aca="false">base_fleet!BU53+base_fleet!BZ53+base_fleet!CD53</f>
        <v>0</v>
      </c>
    </row>
    <row r="52" customFormat="false" ht="13.2" hidden="false" customHeight="false" outlineLevel="0" collapsed="false">
      <c r="A52" s="0" t="n">
        <f aca="false">A51-1</f>
        <v>1967</v>
      </c>
      <c r="B52" s="15" t="n">
        <f aca="false">$B$13/$B$12*B51</f>
        <v>12.1916990581885</v>
      </c>
      <c r="C52" s="15" t="n">
        <f aca="false">$B$13/$B$12*C51</f>
        <v>21.833001236696</v>
      </c>
      <c r="D52" s="15" t="n">
        <f aca="false">$B$13/$B$12*D51</f>
        <v>0.0128902947809429</v>
      </c>
      <c r="E52" s="15" t="n">
        <f aca="false">$B$13/$B$12*E51</f>
        <v>9.08976961457839</v>
      </c>
      <c r="F52" s="15" t="n">
        <f aca="false">$B$13/$B$12*F51</f>
        <v>0.0939441734849933</v>
      </c>
      <c r="G52" s="15" t="n">
        <f aca="false">$B$13/$B$12*G51</f>
        <v>0.14730446402447</v>
      </c>
      <c r="H52" s="15" t="n">
        <f aca="false">$B$13/$B$12*H51</f>
        <v>0.00150310677575989</v>
      </c>
      <c r="I52" s="15" t="n">
        <f aca="false">$B$13/$B$12*I51</f>
        <v>1.16301576168811</v>
      </c>
      <c r="J52" s="16" t="n">
        <f aca="false">base_fleet!C54+base_fleet!G54+base_fleet!L54+base_fleet!Q54</f>
        <v>0</v>
      </c>
      <c r="K52" s="16" t="n">
        <f aca="false">base_fleet!E54+base_fleet!J54+base_fleet!O54+base_fleet!T54</f>
        <v>0</v>
      </c>
      <c r="L52" s="15" t="n">
        <f aca="false">$B$13/$B$12*L51</f>
        <v>1.3907191716964</v>
      </c>
      <c r="M52" s="16" t="n">
        <f aca="false">base_fleet!I54+base_fleet!N54</f>
        <v>0</v>
      </c>
      <c r="N52" s="15" t="n">
        <f aca="false">$B$13/$B$12*N51</f>
        <v>14.0555774291402</v>
      </c>
      <c r="O52" s="15" t="n">
        <f aca="false">$B$13/$B$12*O51</f>
        <v>0.220424040754124</v>
      </c>
      <c r="P52" s="15" t="n">
        <f aca="false">$B$13/$B$12*P51</f>
        <v>0.983529491785946</v>
      </c>
      <c r="Q52" s="15" t="n">
        <f aca="false">$B$13/$B$12*Q51</f>
        <v>2.68633743234851</v>
      </c>
      <c r="R52" s="15" t="n">
        <f aca="false">$B$13/$B$12*R51</f>
        <v>0.381552725515911</v>
      </c>
      <c r="S52" s="15" t="n">
        <f aca="false">$B$13/$B$12*S51</f>
        <v>0.144371301546561</v>
      </c>
      <c r="T52" s="16" t="n">
        <f aca="false">base_fleet!Z54+base_fleet!AE54</f>
        <v>0</v>
      </c>
      <c r="U52" s="17" t="n">
        <f aca="false">base_fleet!X54+base_fleet!AC54+base_fleet!AH54</f>
        <v>0</v>
      </c>
      <c r="V52" s="15" t="n">
        <f aca="false">$B$13/$B$12*V51</f>
        <v>3.46212562391415</v>
      </c>
      <c r="W52" s="15" t="n">
        <f aca="false">$B$13/$B$12*W51</f>
        <v>0.724731118163056</v>
      </c>
      <c r="X52" s="15" t="n">
        <f aca="false">$B$13/$B$12*X51</f>
        <v>0.162606833347134</v>
      </c>
      <c r="Y52" s="15" t="n">
        <f aca="false">$B$13/$B$12*Y51</f>
        <v>0.122762774844857</v>
      </c>
      <c r="Z52" s="15" t="n">
        <f aca="false">$B$13/$B$12*Z51</f>
        <v>0.245525549689713</v>
      </c>
      <c r="AA52" s="15" t="n">
        <f aca="false">$B$13/$B$12*AA51</f>
        <v>0.0484589900703381</v>
      </c>
      <c r="AB52" s="15" t="n">
        <f aca="false">$B$13/$B$12*AB51</f>
        <v>0.00161529966901127</v>
      </c>
      <c r="AC52" s="15" t="n">
        <f aca="false">$B$13/$B$12*AC51</f>
        <v>0.00161529966901127</v>
      </c>
      <c r="AD52" s="15" t="n">
        <f aca="false">$B$13/$B$12*AD51</f>
        <v>0.0139992637980977</v>
      </c>
      <c r="AE52" s="15" t="n">
        <f aca="false">$B$13/$B$12*AE51</f>
        <v>0.0699963189904883</v>
      </c>
      <c r="AF52" s="15" t="n">
        <f aca="false">$B$13/$B$12*AF51</f>
        <v>0.0086149315680601</v>
      </c>
      <c r="AG52" s="15" t="n">
        <f aca="false">$B$13/$B$12*AG51</f>
        <v>0</v>
      </c>
      <c r="AH52" s="15" t="n">
        <f aca="false">$B$13/$B$12*AH51</f>
        <v>0.00215373289201503</v>
      </c>
      <c r="AI52" s="15" t="n">
        <f aca="false">$B$13/$B$12*AI51</f>
        <v>0.00215373289201503</v>
      </c>
      <c r="AJ52" s="15" t="n">
        <f aca="false">$B$13/$B$12*AJ51</f>
        <v>0</v>
      </c>
      <c r="AK52" s="15" t="n">
        <f aca="false">$B$13/$B$12*AK51</f>
        <v>0</v>
      </c>
      <c r="AL52" s="15" t="n">
        <f aca="false">$B$13/$B$12*AL51</f>
        <v>0</v>
      </c>
      <c r="AM52" s="15" t="n">
        <f aca="false">$B$13/$B$12*AM51</f>
        <v>0</v>
      </c>
      <c r="AN52" s="15" t="n">
        <f aca="false">$B$13/$B$12*AN51</f>
        <v>0.115224709722804</v>
      </c>
      <c r="AO52" s="15" t="n">
        <f aca="false">$B$13/$B$12*AO51</f>
        <v>0.0958411136946687</v>
      </c>
      <c r="AP52" s="15" t="n">
        <f aca="false">$B$13/$B$12*AP51</f>
        <v>0.0183067295821277</v>
      </c>
      <c r="AQ52" s="15" t="n">
        <f aca="false">$B$13/$B$12*AQ51</f>
        <v>0.0527664558543682</v>
      </c>
      <c r="AR52" s="15" t="n">
        <f aca="false">$B$13/$B$12*AR51</f>
        <v>0.0323059933802254</v>
      </c>
      <c r="AS52" s="15" t="n">
        <f aca="false">$B$13/$B$12*AS51</f>
        <v>0.00107686644600751</v>
      </c>
      <c r="AT52" s="16" t="n">
        <f aca="false">base_fleet!AQ54+base_fleet!AN54+base_fleet!AJ54</f>
        <v>0</v>
      </c>
      <c r="AU52" s="15" t="n">
        <f aca="false">$B$13/$B$12*AU51</f>
        <v>1.47679825124987</v>
      </c>
      <c r="AV52" s="15" t="n">
        <f aca="false">$B$13/$B$12*AV51</f>
        <v>0.135089005220903</v>
      </c>
      <c r="AW52" s="15" t="n">
        <f aca="false">$B$13/$B$12*AW51</f>
        <v>0.0459040309003068</v>
      </c>
      <c r="AX52" s="15" t="n">
        <f aca="false">$B$13/$B$12*AX51</f>
        <v>0.017050068620114</v>
      </c>
      <c r="AY52" s="15" t="n">
        <f aca="false">$B$13/$B$12*AY51</f>
        <v>0</v>
      </c>
      <c r="AZ52" s="15" t="n">
        <f aca="false">$B$13/$B$12*AZ51</f>
        <v>0.00131154374000877</v>
      </c>
      <c r="BA52" s="15" t="n">
        <f aca="false">$B$13/$B$12*BA51</f>
        <v>0.306466758416918</v>
      </c>
      <c r="BB52" s="15" t="n">
        <f aca="false">$B$13/$B$12*BB51</f>
        <v>0.0280363911485509</v>
      </c>
      <c r="BC52" s="15" t="n">
        <f aca="false">$B$13/$B$12*BC51</f>
        <v>0.000773417686856576</v>
      </c>
      <c r="BD52" s="15" t="n">
        <f aca="false">$B$13/$B$12*BD51</f>
        <v>0.000193354421714144</v>
      </c>
      <c r="BE52" s="16" t="n">
        <v>0</v>
      </c>
      <c r="BF52" s="16" t="n">
        <v>0</v>
      </c>
      <c r="BG52" s="16" t="n">
        <f aca="false">base_fleet!CE54</f>
        <v>0</v>
      </c>
      <c r="BH52" s="16" t="n">
        <f aca="false">base_fleet!CA54</f>
        <v>0</v>
      </c>
      <c r="BI52" s="16" t="n">
        <f aca="false">base_fleet!BV54</f>
        <v>0</v>
      </c>
      <c r="BJ52" s="16" t="n">
        <f aca="false">base_fleet!CH54</f>
        <v>0</v>
      </c>
      <c r="BK52" s="16" t="n">
        <f aca="false">base_fleet!BU54+base_fleet!BZ54+base_fleet!CD54</f>
        <v>0</v>
      </c>
    </row>
    <row r="53" customFormat="false" ht="13.2" hidden="false" customHeight="false" outlineLevel="0" collapsed="false">
      <c r="A53" s="0" t="n">
        <f aca="false">A52-1</f>
        <v>1966</v>
      </c>
      <c r="B53" s="15" t="n">
        <f aca="false">$B$13/$B$12*B52</f>
        <v>10.185051512549</v>
      </c>
      <c r="C53" s="15" t="n">
        <f aca="false">$B$13/$B$12*C52</f>
        <v>18.2394792725745</v>
      </c>
      <c r="D53" s="15" t="n">
        <f aca="false">$B$13/$B$12*D52</f>
        <v>0.0107686644600751</v>
      </c>
      <c r="E53" s="15" t="n">
        <f aca="false">$B$13/$B$12*E52</f>
        <v>7.59367265545348</v>
      </c>
      <c r="F53" s="15" t="n">
        <f aca="false">$B$13/$B$12*F52</f>
        <v>0.0784817802409462</v>
      </c>
      <c r="G53" s="15" t="n">
        <f aca="false">$B$13/$B$12*G52</f>
        <v>0.123059431417804</v>
      </c>
      <c r="H53" s="15" t="n">
        <f aca="false">$B$13/$B$12*H52</f>
        <v>0.00125570848385514</v>
      </c>
      <c r="I53" s="15" t="n">
        <f aca="false">$B$13/$B$12*I52</f>
        <v>0.971593490469567</v>
      </c>
      <c r="J53" s="16" t="n">
        <f aca="false">base_fleet!C55+base_fleet!G55+base_fleet!L55+base_fleet!Q55</f>
        <v>0</v>
      </c>
      <c r="K53" s="16" t="n">
        <f aca="false">base_fleet!E55+base_fleet!J55+base_fleet!O55+base_fleet!T55</f>
        <v>0</v>
      </c>
      <c r="L53" s="15" t="n">
        <f aca="false">$B$13/$B$12*L52</f>
        <v>1.16181890117308</v>
      </c>
      <c r="M53" s="16" t="n">
        <f aca="false">base_fleet!I55+base_fleet!N55</f>
        <v>0</v>
      </c>
      <c r="N53" s="15" t="n">
        <f aca="false">$B$13/$B$12*N52</f>
        <v>11.7421517272659</v>
      </c>
      <c r="O53" s="15" t="n">
        <f aca="false">$B$13/$B$12*O52</f>
        <v>0.184144162267285</v>
      </c>
      <c r="P53" s="15" t="n">
        <f aca="false">$B$13/$B$12*P52</f>
        <v>0.821649098303732</v>
      </c>
      <c r="Q53" s="15" t="n">
        <f aca="false">$B$13/$B$12*Q52</f>
        <v>2.24418967347966</v>
      </c>
      <c r="R53" s="15" t="n">
        <f aca="false">$B$13/$B$12*R52</f>
        <v>0.318752468018224</v>
      </c>
      <c r="S53" s="15" t="n">
        <f aca="false">$B$13/$B$12*S52</f>
        <v>0.120609041952841</v>
      </c>
      <c r="T53" s="16" t="n">
        <f aca="false">base_fleet!Z55+base_fleet!AE55</f>
        <v>0</v>
      </c>
      <c r="U53" s="17" t="n">
        <f aca="false">base_fleet!X55+base_fleet!AC55+base_fleet!AH55</f>
        <v>0</v>
      </c>
      <c r="V53" s="15" t="n">
        <f aca="false">$B$13/$B$12*V52</f>
        <v>2.89228988135153</v>
      </c>
      <c r="W53" s="15" t="n">
        <f aca="false">$B$13/$B$12*W52</f>
        <v>0.605446684338906</v>
      </c>
      <c r="X53" s="15" t="n">
        <f aca="false">$B$13/$B$12*X52</f>
        <v>0.135843163945282</v>
      </c>
      <c r="Y53" s="15" t="n">
        <f aca="false">$B$13/$B$12*Y52</f>
        <v>0.102557090660677</v>
      </c>
      <c r="Z53" s="15" t="n">
        <f aca="false">$B$13/$B$12*Z52</f>
        <v>0.205114181321353</v>
      </c>
      <c r="AA53" s="15" t="n">
        <f aca="false">$B$13/$B$12*AA52</f>
        <v>0.0404830621028986</v>
      </c>
      <c r="AB53" s="15" t="n">
        <f aca="false">$B$13/$B$12*AB52</f>
        <v>0.00134943540342995</v>
      </c>
      <c r="AC53" s="15" t="n">
        <f aca="false">$B$13/$B$12*AC52</f>
        <v>0.00134943540342995</v>
      </c>
      <c r="AD53" s="15" t="n">
        <f aca="false">$B$13/$B$12*AD52</f>
        <v>0.0116951068297263</v>
      </c>
      <c r="AE53" s="15" t="n">
        <f aca="false">$B$13/$B$12*AE52</f>
        <v>0.0584755341486314</v>
      </c>
      <c r="AF53" s="15" t="n">
        <f aca="false">$B$13/$B$12*AF52</f>
        <v>0.00719698881829309</v>
      </c>
      <c r="AG53" s="15" t="n">
        <f aca="false">$B$13/$B$12*AG52</f>
        <v>0</v>
      </c>
      <c r="AH53" s="15" t="n">
        <f aca="false">$B$13/$B$12*AH52</f>
        <v>0.00179924720457327</v>
      </c>
      <c r="AI53" s="15" t="n">
        <f aca="false">$B$13/$B$12*AI52</f>
        <v>0.00179924720457327</v>
      </c>
      <c r="AJ53" s="15" t="n">
        <f aca="false">$B$13/$B$12*AJ52</f>
        <v>0</v>
      </c>
      <c r="AK53" s="15" t="n">
        <f aca="false">$B$13/$B$12*AK52</f>
        <v>0</v>
      </c>
      <c r="AL53" s="15" t="n">
        <f aca="false">$B$13/$B$12*AL52</f>
        <v>0</v>
      </c>
      <c r="AM53" s="15" t="n">
        <f aca="false">$B$13/$B$12*AM52</f>
        <v>0</v>
      </c>
      <c r="AN53" s="15" t="n">
        <f aca="false">$B$13/$B$12*AN52</f>
        <v>0.0962597254446701</v>
      </c>
      <c r="AO53" s="15" t="n">
        <f aca="false">$B$13/$B$12*AO52</f>
        <v>0.0800665006035106</v>
      </c>
      <c r="AP53" s="15" t="n">
        <f aca="false">$B$13/$B$12*AP52</f>
        <v>0.0152936012388728</v>
      </c>
      <c r="AQ53" s="15" t="n">
        <f aca="false">$B$13/$B$12*AQ52</f>
        <v>0.0440815565120452</v>
      </c>
      <c r="AR53" s="15" t="n">
        <f aca="false">$B$13/$B$12*AR52</f>
        <v>0.0269887080685991</v>
      </c>
      <c r="AS53" s="15" t="n">
        <f aca="false">$B$13/$B$12*AS52</f>
        <v>0.000899623602286636</v>
      </c>
      <c r="AT53" s="16" t="n">
        <f aca="false">base_fleet!AQ55+base_fleet!AN55+base_fleet!AJ55</f>
        <v>0</v>
      </c>
      <c r="AU53" s="15" t="n">
        <f aca="false">$B$13/$B$12*AU52</f>
        <v>1.23373011348405</v>
      </c>
      <c r="AV53" s="15" t="n">
        <f aca="false">$B$13/$B$12*AV52</f>
        <v>0.112854530807155</v>
      </c>
      <c r="AW53" s="15" t="n">
        <f aca="false">$B$13/$B$12*AW52</f>
        <v>0.0383486269733052</v>
      </c>
      <c r="AX53" s="15" t="n">
        <f aca="false">$B$13/$B$12*AX52</f>
        <v>0.014243775732942</v>
      </c>
      <c r="AY53" s="15" t="n">
        <f aca="false">$B$13/$B$12*AY52</f>
        <v>0</v>
      </c>
      <c r="AZ53" s="15" t="n">
        <f aca="false">$B$13/$B$12*AZ52</f>
        <v>0.00109567505638015</v>
      </c>
      <c r="BA53" s="15" t="n">
        <f aca="false">$B$13/$B$12*BA52</f>
        <v>0.256024997538286</v>
      </c>
      <c r="BB53" s="15" t="n">
        <f aca="false">$B$13/$B$12*BB52</f>
        <v>0.0234218452006634</v>
      </c>
      <c r="BC53" s="15" t="n">
        <f aca="false">$B$13/$B$12*BC52</f>
        <v>0.000646119867604507</v>
      </c>
      <c r="BD53" s="15" t="n">
        <f aca="false">$B$13/$B$12*BD52</f>
        <v>0.000161529966901127</v>
      </c>
      <c r="BE53" s="16" t="n">
        <v>0</v>
      </c>
      <c r="BF53" s="16" t="n">
        <v>0</v>
      </c>
      <c r="BG53" s="16" t="n">
        <f aca="false">base_fleet!CE55</f>
        <v>0</v>
      </c>
      <c r="BH53" s="16" t="n">
        <f aca="false">base_fleet!CA55</f>
        <v>0</v>
      </c>
      <c r="BI53" s="16" t="n">
        <f aca="false">base_fleet!BV55</f>
        <v>0</v>
      </c>
      <c r="BJ53" s="16" t="n">
        <f aca="false">base_fleet!CH55</f>
        <v>0</v>
      </c>
      <c r="BK53" s="16" t="n">
        <f aca="false">base_fleet!BU55+base_fleet!BZ55+base_fleet!CD55</f>
        <v>0</v>
      </c>
    </row>
    <row r="54" customFormat="false" ht="13.2" hidden="false" customHeight="false" outlineLevel="0" collapsed="false">
      <c r="A54" s="0" t="n">
        <f aca="false">A53-1</f>
        <v>1965</v>
      </c>
      <c r="B54" s="15" t="n">
        <f aca="false">$B$13/$B$12*B53</f>
        <v>8.50868068660242</v>
      </c>
      <c r="C54" s="15" t="n">
        <f aca="false">$B$13/$B$12*C53</f>
        <v>15.23741974491</v>
      </c>
      <c r="D54" s="15" t="n">
        <f aca="false">$B$13/$B$12*D53</f>
        <v>0.00899623602286636</v>
      </c>
      <c r="E54" s="15" t="n">
        <f aca="false">$B$13/$B$12*E53</f>
        <v>6.34382023343026</v>
      </c>
      <c r="F54" s="15" t="n">
        <f aca="false">$B$13/$B$12*F53</f>
        <v>0.0655643623366603</v>
      </c>
      <c r="G54" s="15" t="n">
        <f aca="false">$B$13/$B$12*G53</f>
        <v>0.102804920143883</v>
      </c>
      <c r="H54" s="15" t="n">
        <f aca="false">$B$13/$B$12*H53</f>
        <v>0.00104902979738657</v>
      </c>
      <c r="I54" s="15" t="n">
        <f aca="false">$B$13/$B$12*I53</f>
        <v>0.811677658910342</v>
      </c>
      <c r="J54" s="16" t="n">
        <f aca="false">base_fleet!C56+base_fleet!G56+base_fleet!L56+base_fleet!Q56</f>
        <v>0</v>
      </c>
      <c r="K54" s="16" t="n">
        <f aca="false">base_fleet!E56+base_fleet!J56+base_fleet!O56+base_fleet!T56</f>
        <v>0</v>
      </c>
      <c r="L54" s="15" t="n">
        <f aca="false">$B$13/$B$12*L53</f>
        <v>0.970593622777557</v>
      </c>
      <c r="M54" s="16" t="n">
        <f aca="false">base_fleet!I56+base_fleet!N56</f>
        <v>0</v>
      </c>
      <c r="N54" s="15" t="n">
        <f aca="false">$B$13/$B$12*N53</f>
        <v>9.80949575933348</v>
      </c>
      <c r="O54" s="15" t="n">
        <f aca="false">$B$13/$B$12*O53</f>
        <v>0.153835635991015</v>
      </c>
      <c r="P54" s="15" t="n">
        <f aca="false">$B$13/$B$12*P53</f>
        <v>0.686412808544703</v>
      </c>
      <c r="Q54" s="15" t="n">
        <f aca="false">$B$13/$B$12*Q53</f>
        <v>1.87481558716535</v>
      </c>
      <c r="R54" s="15" t="n">
        <f aca="false">$B$13/$B$12*R53</f>
        <v>0.266288586276844</v>
      </c>
      <c r="S54" s="15" t="n">
        <f aca="false">$B$13/$B$12*S53</f>
        <v>0.100757843456103</v>
      </c>
      <c r="T54" s="16" t="n">
        <f aca="false">base_fleet!Z56+base_fleet!AE56</f>
        <v>0</v>
      </c>
      <c r="U54" s="17" t="n">
        <f aca="false">base_fleet!X56+base_fleet!AC56+base_fleet!AH56</f>
        <v>0</v>
      </c>
      <c r="V54" s="15" t="n">
        <f aca="false">$B$13/$B$12*V53</f>
        <v>2.41624414203403</v>
      </c>
      <c r="W54" s="15" t="n">
        <f aca="false">$B$13/$B$12*W53</f>
        <v>0.505795430043204</v>
      </c>
      <c r="X54" s="15" t="n">
        <f aca="false">$B$13/$B$12*X53</f>
        <v>0.113484561569872</v>
      </c>
      <c r="Y54" s="15" t="n">
        <f aca="false">$B$13/$B$12*Y53</f>
        <v>0.085677086218314</v>
      </c>
      <c r="Z54" s="15" t="n">
        <f aca="false">$B$13/$B$12*Z53</f>
        <v>0.171354172436628</v>
      </c>
      <c r="AA54" s="15" t="n">
        <f aca="false">$B$13/$B$12*AA53</f>
        <v>0.0338199024545976</v>
      </c>
      <c r="AB54" s="15" t="n">
        <f aca="false">$B$13/$B$12*AB53</f>
        <v>0.00112733008181992</v>
      </c>
      <c r="AC54" s="15" t="n">
        <f aca="false">$B$13/$B$12*AC53</f>
        <v>0.00112733008181992</v>
      </c>
      <c r="AD54" s="15" t="n">
        <f aca="false">$B$13/$B$12*AD53</f>
        <v>0.00977019404243931</v>
      </c>
      <c r="AE54" s="15" t="n">
        <f aca="false">$B$13/$B$12*AE53</f>
        <v>0.0488509702121965</v>
      </c>
      <c r="AF54" s="15" t="n">
        <f aca="false">$B$13/$B$12*AF53</f>
        <v>0.00601242710303957</v>
      </c>
      <c r="AG54" s="15" t="n">
        <f aca="false">$B$13/$B$12*AG53</f>
        <v>0</v>
      </c>
      <c r="AH54" s="15" t="n">
        <f aca="false">$B$13/$B$12*AH53</f>
        <v>0.00150310677575989</v>
      </c>
      <c r="AI54" s="15" t="n">
        <f aca="false">$B$13/$B$12*AI53</f>
        <v>0.00150310677575989</v>
      </c>
      <c r="AJ54" s="15" t="n">
        <f aca="false">$B$13/$B$12*AJ53</f>
        <v>0</v>
      </c>
      <c r="AK54" s="15" t="n">
        <f aca="false">$B$13/$B$12*AK53</f>
        <v>0</v>
      </c>
      <c r="AL54" s="15" t="n">
        <f aca="false">$B$13/$B$12*AL53</f>
        <v>0</v>
      </c>
      <c r="AM54" s="15" t="n">
        <f aca="false">$B$13/$B$12*AM53</f>
        <v>0</v>
      </c>
      <c r="AN54" s="15" t="n">
        <f aca="false">$B$13/$B$12*AN53</f>
        <v>0.0804162125031543</v>
      </c>
      <c r="AO54" s="15" t="n">
        <f aca="false">$B$13/$B$12*AO53</f>
        <v>0.0668882515213153</v>
      </c>
      <c r="AP54" s="15" t="n">
        <f aca="false">$B$13/$B$12*AP53</f>
        <v>0.0127764075939591</v>
      </c>
      <c r="AQ54" s="15" t="n">
        <f aca="false">$B$13/$B$12*AQ53</f>
        <v>0.0368261160061174</v>
      </c>
      <c r="AR54" s="15" t="n">
        <f aca="false">$B$13/$B$12*AR53</f>
        <v>0.0225466016363984</v>
      </c>
      <c r="AS54" s="15" t="n">
        <f aca="false">$B$13/$B$12*AS53</f>
        <v>0.000751553387879947</v>
      </c>
      <c r="AT54" s="16" t="n">
        <f aca="false">base_fleet!AQ56+base_fleet!AN56+base_fleet!AJ56</f>
        <v>0</v>
      </c>
      <c r="AU54" s="15" t="n">
        <f aca="false">$B$13/$B$12*AU53</f>
        <v>1.03066887547379</v>
      </c>
      <c r="AV54" s="15" t="n">
        <f aca="false">$B$13/$B$12*AV53</f>
        <v>0.0942796573479577</v>
      </c>
      <c r="AW54" s="15" t="n">
        <f aca="false">$B$13/$B$12*AW53</f>
        <v>0.0320367767687235</v>
      </c>
      <c r="AX54" s="15" t="n">
        <f aca="false">$B$13/$B$12*AX53</f>
        <v>0.011899374228383</v>
      </c>
      <c r="AY54" s="15" t="n">
        <f aca="false">$B$13/$B$12*AY53</f>
        <v>0</v>
      </c>
      <c r="AZ54" s="15" t="n">
        <f aca="false">$B$13/$B$12*AZ53</f>
        <v>0.000915336479106385</v>
      </c>
      <c r="BA54" s="15" t="n">
        <f aca="false">$B$13/$B$12*BA53</f>
        <v>0.213885511443648</v>
      </c>
      <c r="BB54" s="15" t="n">
        <f aca="false">$B$13/$B$12*BB53</f>
        <v>0.0195668133497343</v>
      </c>
      <c r="BC54" s="15" t="n">
        <f aca="false">$B$13/$B$12*BC53</f>
        <v>0.000539774161371982</v>
      </c>
      <c r="BD54" s="15" t="n">
        <f aca="false">$B$13/$B$12*BD53</f>
        <v>0.000134943540342995</v>
      </c>
      <c r="BE54" s="16" t="n">
        <v>0</v>
      </c>
      <c r="BF54" s="16" t="n">
        <v>0</v>
      </c>
      <c r="BG54" s="16" t="n">
        <f aca="false">base_fleet!CE56</f>
        <v>0</v>
      </c>
      <c r="BH54" s="16" t="n">
        <f aca="false">base_fleet!CA56</f>
        <v>0</v>
      </c>
      <c r="BI54" s="16" t="n">
        <f aca="false">base_fleet!BV56</f>
        <v>0</v>
      </c>
      <c r="BJ54" s="16" t="n">
        <f aca="false">base_fleet!CH56</f>
        <v>0</v>
      </c>
      <c r="BK54" s="16" t="n">
        <f aca="false">base_fleet!BU56+base_fleet!BZ56+base_fleet!CD56</f>
        <v>0</v>
      </c>
    </row>
    <row r="55" customFormat="false" ht="13.2" hidden="false" customHeight="false" outlineLevel="0" collapsed="false">
      <c r="A55" s="0" t="n">
        <f aca="false">A54-1</f>
        <v>1964</v>
      </c>
      <c r="B55" s="15" t="n">
        <f aca="false">$B$13/$B$12*B54</f>
        <v>7.10822590709136</v>
      </c>
      <c r="C55" s="15" t="n">
        <f aca="false">$B$13/$B$12*C54</f>
        <v>12.729473084886</v>
      </c>
      <c r="D55" s="15" t="n">
        <f aca="false">$B$13/$B$12*D54</f>
        <v>0.00751553387879947</v>
      </c>
      <c r="E55" s="15" t="n">
        <f aca="false">$B$13/$B$12*E54</f>
        <v>5.29968264107057</v>
      </c>
      <c r="F55" s="15" t="n">
        <f aca="false">$B$13/$B$12*F54</f>
        <v>0.0547730389832585</v>
      </c>
      <c r="G55" s="15" t="n">
        <f aca="false">$B$13/$B$12*G54</f>
        <v>0.0858841251257495</v>
      </c>
      <c r="H55" s="15" t="n">
        <f aca="false">$B$13/$B$12*H54</f>
        <v>0.000876368623732137</v>
      </c>
      <c r="I55" s="15" t="n">
        <f aca="false">$B$13/$B$12*I54</f>
        <v>0.678082581281775</v>
      </c>
      <c r="J55" s="16" t="n">
        <f aca="false">base_fleet!C57+base_fleet!G57+base_fleet!L57+base_fleet!Q57</f>
        <v>0</v>
      </c>
      <c r="K55" s="16" t="n">
        <f aca="false">base_fleet!E57+base_fleet!J57+base_fleet!O57+base_fleet!T57</f>
        <v>0</v>
      </c>
      <c r="L55" s="15" t="n">
        <f aca="false">$B$13/$B$12*L54</f>
        <v>0.81084236073736</v>
      </c>
      <c r="M55" s="16" t="n">
        <f aca="false">base_fleet!I57+base_fleet!N57</f>
        <v>0</v>
      </c>
      <c r="N55" s="15" t="n">
        <f aca="false">$B$13/$B$12*N54</f>
        <v>8.19493814144294</v>
      </c>
      <c r="O55" s="15" t="n">
        <f aca="false">$B$13/$B$12*O54</f>
        <v>0.128515629327471</v>
      </c>
      <c r="P55" s="15" t="n">
        <f aca="false">$B$13/$B$12*P54</f>
        <v>0.573435234952399</v>
      </c>
      <c r="Q55" s="15" t="n">
        <f aca="false">$B$13/$B$12*Q54</f>
        <v>1.56623726034181</v>
      </c>
      <c r="R55" s="15" t="n">
        <f aca="false">$B$13/$B$12*R54</f>
        <v>0.222459802812464</v>
      </c>
      <c r="S55" s="15" t="n">
        <f aca="false">$B$13/$B$12*S54</f>
        <v>0.084173979442554</v>
      </c>
      <c r="T55" s="16" t="n">
        <f aca="false">base_fleet!Z57+base_fleet!AE57</f>
        <v>0</v>
      </c>
      <c r="U55" s="17" t="n">
        <f aca="false">base_fleet!X57+base_fleet!AC57+base_fleet!AH57</f>
        <v>0</v>
      </c>
      <c r="V55" s="15" t="n">
        <f aca="false">$B$13/$B$12*V54</f>
        <v>2.01855138779714</v>
      </c>
      <c r="W55" s="15" t="n">
        <f aca="false">$B$13/$B$12*W54</f>
        <v>0.422545904817254</v>
      </c>
      <c r="X55" s="15" t="n">
        <f aca="false">$B$13/$B$12*X54</f>
        <v>0.0948059905310631</v>
      </c>
      <c r="Y55" s="15" t="n">
        <f aca="false">$B$13/$B$12*Y54</f>
        <v>0.071575383579743</v>
      </c>
      <c r="Z55" s="15" t="n">
        <f aca="false">$B$13/$B$12*Z54</f>
        <v>0.143150767159486</v>
      </c>
      <c r="AA55" s="15" t="n">
        <f aca="false">$B$13/$B$12*AA54</f>
        <v>0.0282534408867406</v>
      </c>
      <c r="AB55" s="15" t="n">
        <f aca="false">$B$13/$B$12*AB54</f>
        <v>0.000941781362891354</v>
      </c>
      <c r="AC55" s="15" t="n">
        <f aca="false">$B$13/$B$12*AC54</f>
        <v>0.000941781362891354</v>
      </c>
      <c r="AD55" s="15" t="n">
        <f aca="false">$B$13/$B$12*AD54</f>
        <v>0.00816210514505841</v>
      </c>
      <c r="AE55" s="15" t="n">
        <f aca="false">$B$13/$B$12*AE54</f>
        <v>0.040810525725292</v>
      </c>
      <c r="AF55" s="15" t="n">
        <f aca="false">$B$13/$B$12*AF54</f>
        <v>0.00502283393542056</v>
      </c>
      <c r="AG55" s="15" t="n">
        <f aca="false">$B$13/$B$12*AG54</f>
        <v>0</v>
      </c>
      <c r="AH55" s="15" t="n">
        <f aca="false">$B$13/$B$12*AH54</f>
        <v>0.00125570848385514</v>
      </c>
      <c r="AI55" s="15" t="n">
        <f aca="false">$B$13/$B$12*AI54</f>
        <v>0.00125570848385514</v>
      </c>
      <c r="AJ55" s="15" t="n">
        <f aca="false">$B$13/$B$12*AJ54</f>
        <v>0</v>
      </c>
      <c r="AK55" s="15" t="n">
        <f aca="false">$B$13/$B$12*AK54</f>
        <v>0</v>
      </c>
      <c r="AL55" s="15" t="n">
        <f aca="false">$B$13/$B$12*AL54</f>
        <v>0</v>
      </c>
      <c r="AM55" s="15" t="n">
        <f aca="false">$B$13/$B$12*AM54</f>
        <v>0</v>
      </c>
      <c r="AN55" s="15" t="n">
        <f aca="false">$B$13/$B$12*AN54</f>
        <v>0.06718040388625</v>
      </c>
      <c r="AO55" s="15" t="n">
        <f aca="false">$B$13/$B$12*AO54</f>
        <v>0.0558790275315537</v>
      </c>
      <c r="AP55" s="15" t="n">
        <f aca="false">$B$13/$B$12*AP54</f>
        <v>0.0106735221127687</v>
      </c>
      <c r="AQ55" s="15" t="n">
        <f aca="false">$B$13/$B$12*AQ54</f>
        <v>0.0307648578544509</v>
      </c>
      <c r="AR55" s="15" t="n">
        <f aca="false">$B$13/$B$12*AR54</f>
        <v>0.0188356272578271</v>
      </c>
      <c r="AS55" s="15" t="n">
        <f aca="false">$B$13/$B$12*AS54</f>
        <v>0.00062785424192757</v>
      </c>
      <c r="AT55" s="16" t="n">
        <f aca="false">base_fleet!AQ57+base_fleet!AN57+base_fleet!AJ57</f>
        <v>0</v>
      </c>
      <c r="AU55" s="15" t="n">
        <f aca="false">$B$13/$B$12*AU54</f>
        <v>0.861029749748539</v>
      </c>
      <c r="AV55" s="15" t="n">
        <f aca="false">$B$13/$B$12*AV54</f>
        <v>0.078762046380195</v>
      </c>
      <c r="AW55" s="15" t="n">
        <f aca="false">$B$13/$B$12*AW54</f>
        <v>0.0267638021680274</v>
      </c>
      <c r="AX55" s="15" t="n">
        <f aca="false">$B$13/$B$12*AX54</f>
        <v>0.00994084080526733</v>
      </c>
      <c r="AY55" s="15" t="n">
        <f aca="false">$B$13/$B$12*AY54</f>
        <v>0</v>
      </c>
      <c r="AZ55" s="15" t="n">
        <f aca="false">$B$13/$B$12*AZ54</f>
        <v>0.000764680061943641</v>
      </c>
      <c r="BA55" s="15" t="n">
        <f aca="false">$B$13/$B$12*BA54</f>
        <v>0.178681817968457</v>
      </c>
      <c r="BB55" s="15" t="n">
        <f aca="false">$B$13/$B$12*BB54</f>
        <v>0.0163462861863888</v>
      </c>
      <c r="BC55" s="15" t="n">
        <f aca="false">$B$13/$B$12*BC54</f>
        <v>0.000450932032727968</v>
      </c>
      <c r="BD55" s="15" t="n">
        <f aca="false">$B$13/$B$12*BD54</f>
        <v>0.000112733008181992</v>
      </c>
      <c r="BE55" s="16" t="n">
        <v>0</v>
      </c>
      <c r="BF55" s="16" t="n">
        <v>0</v>
      </c>
      <c r="BG55" s="16" t="n">
        <f aca="false">base_fleet!CE57</f>
        <v>0</v>
      </c>
      <c r="BH55" s="16" t="n">
        <f aca="false">base_fleet!CA57</f>
        <v>0</v>
      </c>
      <c r="BI55" s="16" t="n">
        <f aca="false">base_fleet!BV57</f>
        <v>0</v>
      </c>
      <c r="BJ55" s="16" t="n">
        <f aca="false">base_fleet!CH57</f>
        <v>0</v>
      </c>
      <c r="BK55" s="16" t="n">
        <f aca="false">base_fleet!BU57+base_fleet!BZ57+base_fleet!CD57</f>
        <v>0</v>
      </c>
    </row>
    <row r="56" customFormat="false" ht="13.2" hidden="false" customHeight="false" outlineLevel="0" collapsed="false">
      <c r="A56" s="0" t="n">
        <f aca="false">A55-1</f>
        <v>1963</v>
      </c>
      <c r="B56" s="15" t="n">
        <f aca="false">$B$13/$B$12*B55</f>
        <v>5.93827379440896</v>
      </c>
      <c r="C56" s="15" t="n">
        <f aca="false">$B$13/$B$12*C55</f>
        <v>10.6343126153603</v>
      </c>
      <c r="D56" s="15" t="n">
        <f aca="false">$B$13/$B$12*D55</f>
        <v>0.0062785424192757</v>
      </c>
      <c r="E56" s="15" t="n">
        <f aca="false">$B$13/$B$12*E55</f>
        <v>4.42740100800076</v>
      </c>
      <c r="F56" s="15" t="n">
        <f aca="false">$B$13/$B$12*F55</f>
        <v>0.0457578735236789</v>
      </c>
      <c r="G56" s="15" t="n">
        <f aca="false">$B$13/$B$12*G55</f>
        <v>0.0717483456851286</v>
      </c>
      <c r="H56" s="15" t="n">
        <f aca="false">$B$13/$B$12*H55</f>
        <v>0.000732125976378863</v>
      </c>
      <c r="I56" s="15" t="n">
        <f aca="false">$B$13/$B$12*I55</f>
        <v>0.566476090588745</v>
      </c>
      <c r="J56" s="16" t="n">
        <f aca="false">base_fleet!C58+base_fleet!G58+base_fleet!L58+base_fleet!Q58</f>
        <v>0</v>
      </c>
      <c r="K56" s="16" t="n">
        <f aca="false">base_fleet!E58+base_fleet!J58+base_fleet!O58+base_fleet!T58</f>
        <v>0</v>
      </c>
      <c r="L56" s="15" t="n">
        <f aca="false">$B$13/$B$12*L55</f>
        <v>0.677384765917439</v>
      </c>
      <c r="M56" s="16" t="n">
        <f aca="false">base_fleet!I58+base_fleet!N58</f>
        <v>0</v>
      </c>
      <c r="N56" s="15" t="n">
        <f aca="false">$B$13/$B$12*N55</f>
        <v>6.84612265397822</v>
      </c>
      <c r="O56" s="15" t="n">
        <f aca="false">$B$13/$B$12*O55</f>
        <v>0.107363075369614</v>
      </c>
      <c r="P56" s="15" t="n">
        <f aca="false">$B$13/$B$12*P55</f>
        <v>0.479052786590736</v>
      </c>
      <c r="Q56" s="15" t="n">
        <f aca="false">$B$13/$B$12*Q55</f>
        <v>1.30844824017706</v>
      </c>
      <c r="R56" s="15" t="n">
        <f aca="false">$B$13/$B$12*R55</f>
        <v>0.185844855610561</v>
      </c>
      <c r="S56" s="15" t="n">
        <f aca="false">$B$13/$B$12*S55</f>
        <v>0.0703196750958878</v>
      </c>
      <c r="T56" s="16" t="n">
        <f aca="false">base_fleet!Z58+base_fleet!AE58</f>
        <v>0</v>
      </c>
      <c r="U56" s="17" t="n">
        <f aca="false">base_fleet!X58+base_fleet!AC58+base_fleet!AH58</f>
        <v>0</v>
      </c>
      <c r="V56" s="15" t="n">
        <f aca="false">$B$13/$B$12*V55</f>
        <v>1.6863153992989</v>
      </c>
      <c r="W56" s="15" t="n">
        <f aca="false">$B$13/$B$12*W55</f>
        <v>0.352998526820579</v>
      </c>
      <c r="X56" s="15" t="n">
        <f aca="false">$B$13/$B$12*X55</f>
        <v>0.0792017497026857</v>
      </c>
      <c r="Y56" s="15" t="n">
        <f aca="false">$B$13/$B$12*Y55</f>
        <v>0.0597946984510342</v>
      </c>
      <c r="Z56" s="15" t="n">
        <f aca="false">$B$13/$B$12*Z55</f>
        <v>0.119589396902068</v>
      </c>
      <c r="AA56" s="15" t="n">
        <f aca="false">$B$13/$B$12*AA55</f>
        <v>0.0236031704411977</v>
      </c>
      <c r="AB56" s="15" t="n">
        <f aca="false">$B$13/$B$12*AB55</f>
        <v>0.000786772348039923</v>
      </c>
      <c r="AC56" s="15" t="n">
        <f aca="false">$B$13/$B$12*AC55</f>
        <v>0.000786772348039923</v>
      </c>
      <c r="AD56" s="15" t="n">
        <f aca="false">$B$13/$B$12*AD55</f>
        <v>0.00681869368301267</v>
      </c>
      <c r="AE56" s="15" t="n">
        <f aca="false">$B$13/$B$12*AE55</f>
        <v>0.0340934684150634</v>
      </c>
      <c r="AF56" s="15" t="n">
        <f aca="false">$B$13/$B$12*AF55</f>
        <v>0.00419611918954626</v>
      </c>
      <c r="AG56" s="15" t="n">
        <f aca="false">$B$13/$B$12*AG55</f>
        <v>0</v>
      </c>
      <c r="AH56" s="15" t="n">
        <f aca="false">$B$13/$B$12*AH55</f>
        <v>0.00104902979738657</v>
      </c>
      <c r="AI56" s="15" t="n">
        <f aca="false">$B$13/$B$12*AI55</f>
        <v>0.00104902979738657</v>
      </c>
      <c r="AJ56" s="15" t="n">
        <f aca="false">$B$13/$B$12*AJ55</f>
        <v>0</v>
      </c>
      <c r="AK56" s="15" t="n">
        <f aca="false">$B$13/$B$12*AK55</f>
        <v>0</v>
      </c>
      <c r="AL56" s="15" t="n">
        <f aca="false">$B$13/$B$12*AL55</f>
        <v>0</v>
      </c>
      <c r="AM56" s="15" t="n">
        <f aca="false">$B$13/$B$12*AM55</f>
        <v>0</v>
      </c>
      <c r="AN56" s="15" t="n">
        <f aca="false">$B$13/$B$12*AN55</f>
        <v>0.0561230941601812</v>
      </c>
      <c r="AO56" s="15" t="n">
        <f aca="false">$B$13/$B$12*AO55</f>
        <v>0.0466818259837021</v>
      </c>
      <c r="AP56" s="15" t="n">
        <f aca="false">$B$13/$B$12*AP55</f>
        <v>0.0089167532777858</v>
      </c>
      <c r="AQ56" s="15" t="n">
        <f aca="false">$B$13/$B$12*AQ55</f>
        <v>0.0257012300359708</v>
      </c>
      <c r="AR56" s="15" t="n">
        <f aca="false">$B$13/$B$12*AR55</f>
        <v>0.0157354469607985</v>
      </c>
      <c r="AS56" s="15" t="n">
        <f aca="false">$B$13/$B$12*AS55</f>
        <v>0.000524514898693283</v>
      </c>
      <c r="AT56" s="16" t="n">
        <f aca="false">base_fleet!AQ58+base_fleet!AN58+base_fleet!AJ58</f>
        <v>0</v>
      </c>
      <c r="AU56" s="15" t="n">
        <f aca="false">$B$13/$B$12*AU55</f>
        <v>0.719311747539897</v>
      </c>
      <c r="AV56" s="15" t="n">
        <f aca="false">$B$13/$B$12*AV55</f>
        <v>0.0657984991088893</v>
      </c>
      <c r="AW56" s="15" t="n">
        <f aca="false">$B$13/$B$12*AW55</f>
        <v>0.0223587132894284</v>
      </c>
      <c r="AX56" s="15" t="n">
        <f aca="false">$B$13/$B$12*AX55</f>
        <v>0.00830466493607341</v>
      </c>
      <c r="AY56" s="15" t="n">
        <f aca="false">$B$13/$B$12*AY55</f>
        <v>0</v>
      </c>
      <c r="AZ56" s="15" t="n">
        <f aca="false">$B$13/$B$12*AZ55</f>
        <v>0.000638820379697954</v>
      </c>
      <c r="BA56" s="15" t="n">
        <f aca="false">$B$13/$B$12*BA55</f>
        <v>0.14927234601828</v>
      </c>
      <c r="BB56" s="15" t="n">
        <f aca="false">$B$13/$B$12*BB55</f>
        <v>0.0136558297619246</v>
      </c>
      <c r="BC56" s="15" t="n">
        <f aca="false">$B$13/$B$12*BC55</f>
        <v>0.000376712545156542</v>
      </c>
      <c r="BD56" s="15" t="n">
        <f aca="false">$B$13/$B$12*BD55</f>
        <v>9.41781362891354E-005</v>
      </c>
      <c r="BE56" s="16" t="n">
        <v>0</v>
      </c>
      <c r="BF56" s="16" t="n">
        <v>0</v>
      </c>
      <c r="BG56" s="16" t="n">
        <f aca="false">base_fleet!CE58</f>
        <v>0</v>
      </c>
      <c r="BH56" s="16" t="n">
        <f aca="false">base_fleet!CA58</f>
        <v>0</v>
      </c>
      <c r="BI56" s="16" t="n">
        <f aca="false">base_fleet!BV58</f>
        <v>0</v>
      </c>
      <c r="BJ56" s="16" t="n">
        <f aca="false">base_fleet!CH58</f>
        <v>0</v>
      </c>
      <c r="BK56" s="16" t="n">
        <f aca="false">base_fleet!BU58+base_fleet!BZ58+base_fleet!CD58</f>
        <v>0</v>
      </c>
    </row>
    <row r="57" customFormat="false" ht="13.2" hidden="false" customHeight="false" outlineLevel="0" collapsed="false">
      <c r="A57" s="0" t="n">
        <f aca="false">A56-1</f>
        <v>1962</v>
      </c>
      <c r="B57" s="15" t="n">
        <f aca="false">$B$13/$B$12*B56</f>
        <v>4.96088561594318</v>
      </c>
      <c r="C57" s="15" t="n">
        <f aca="false">$B$13/$B$12*C56</f>
        <v>8.8839973223624</v>
      </c>
      <c r="D57" s="15" t="n">
        <f aca="false">$B$13/$B$12*D56</f>
        <v>0.00524514898693282</v>
      </c>
      <c r="E57" s="15" t="n">
        <f aca="false">$B$13/$B$12*E56</f>
        <v>3.69868933919531</v>
      </c>
      <c r="F57" s="15" t="n">
        <f aca="false">$B$13/$B$12*F56</f>
        <v>0.0382265258286831</v>
      </c>
      <c r="G57" s="15" t="n">
        <f aca="false">$B$13/$B$12*G56</f>
        <v>0.0599391924993751</v>
      </c>
      <c r="H57" s="15" t="n">
        <f aca="false">$B$13/$B$12*H56</f>
        <v>0.00061162441325893</v>
      </c>
      <c r="I57" s="15" t="n">
        <f aca="false">$B$13/$B$12*I56</f>
        <v>0.473239056815354</v>
      </c>
      <c r="J57" s="16" t="n">
        <f aca="false">base_fleet!C59+base_fleet!G59+base_fleet!L59+base_fleet!Q59</f>
        <v>0</v>
      </c>
      <c r="K57" s="16" t="n">
        <f aca="false">base_fleet!E59+base_fleet!J59+base_fleet!O59+base_fleet!T59</f>
        <v>0</v>
      </c>
      <c r="L57" s="15" t="n">
        <f aca="false">$B$13/$B$12*L56</f>
        <v>0.565893129559434</v>
      </c>
      <c r="M57" s="16" t="n">
        <f aca="false">base_fleet!I59+base_fleet!N59</f>
        <v>0</v>
      </c>
      <c r="N57" s="15" t="n">
        <f aca="false">$B$13/$B$12*N56</f>
        <v>5.71931045535155</v>
      </c>
      <c r="O57" s="15" t="n">
        <f aca="false">$B$13/$B$12*O56</f>
        <v>0.0896920476765513</v>
      </c>
      <c r="P57" s="15" t="n">
        <f aca="false">$B$13/$B$12*P56</f>
        <v>0.400204867702974</v>
      </c>
      <c r="Q57" s="15" t="n">
        <f aca="false">$B$13/$B$12*Q56</f>
        <v>1.0930890488768</v>
      </c>
      <c r="R57" s="15" t="n">
        <f aca="false">$B$13/$B$12*R56</f>
        <v>0.155256410013212</v>
      </c>
      <c r="S57" s="15" t="n">
        <f aca="false">$B$13/$B$12*S56</f>
        <v>0.0587456686536476</v>
      </c>
      <c r="T57" s="16" t="n">
        <f aca="false">base_fleet!Z59+base_fleet!AE59</f>
        <v>0</v>
      </c>
      <c r="U57" s="17" t="n">
        <f aca="false">base_fleet!X59+base_fleet!AC59+base_fleet!AH59</f>
        <v>0</v>
      </c>
      <c r="V57" s="15" t="n">
        <f aca="false">$B$13/$B$12*V56</f>
        <v>1.40876256264941</v>
      </c>
      <c r="W57" s="15" t="n">
        <f aca="false">$B$13/$B$12*W56</f>
        <v>0.294898041885864</v>
      </c>
      <c r="X57" s="15" t="n">
        <f aca="false">$B$13/$B$12*X56</f>
        <v>0.0661658310917764</v>
      </c>
      <c r="Y57" s="15" t="n">
        <f aca="false">$B$13/$B$12*Y56</f>
        <v>0.0499530115527318</v>
      </c>
      <c r="Z57" s="15" t="n">
        <f aca="false">$B$13/$B$12*Z56</f>
        <v>0.0999060231054636</v>
      </c>
      <c r="AA57" s="15" t="n">
        <f aca="false">$B$13/$B$12*AA56</f>
        <v>0.0197182940339731</v>
      </c>
      <c r="AB57" s="15" t="n">
        <f aca="false">$B$13/$B$12*AB56</f>
        <v>0.000657276467799102</v>
      </c>
      <c r="AC57" s="15" t="n">
        <f aca="false">$B$13/$B$12*AC56</f>
        <v>0.000657276467799102</v>
      </c>
      <c r="AD57" s="15" t="n">
        <f aca="false">$B$13/$B$12*AD56</f>
        <v>0.00569639605425889</v>
      </c>
      <c r="AE57" s="15" t="n">
        <f aca="false">$B$13/$B$12*AE56</f>
        <v>0.0284819802712944</v>
      </c>
      <c r="AF57" s="15" t="n">
        <f aca="false">$B$13/$B$12*AF56</f>
        <v>0.00350547449492855</v>
      </c>
      <c r="AG57" s="15" t="n">
        <f aca="false">$B$13/$B$12*AG56</f>
        <v>0</v>
      </c>
      <c r="AH57" s="15" t="n">
        <f aca="false">$B$13/$B$12*AH56</f>
        <v>0.000876368623732137</v>
      </c>
      <c r="AI57" s="15" t="n">
        <f aca="false">$B$13/$B$12*AI56</f>
        <v>0.000876368623732137</v>
      </c>
      <c r="AJ57" s="15" t="n">
        <f aca="false">$B$13/$B$12*AJ56</f>
        <v>0</v>
      </c>
      <c r="AK57" s="15" t="n">
        <f aca="false">$B$13/$B$12*AK56</f>
        <v>0</v>
      </c>
      <c r="AL57" s="15" t="n">
        <f aca="false">$B$13/$B$12*AL56</f>
        <v>0</v>
      </c>
      <c r="AM57" s="15" t="n">
        <f aca="false">$B$13/$B$12*AM56</f>
        <v>0</v>
      </c>
      <c r="AN57" s="15" t="n">
        <f aca="false">$B$13/$B$12*AN56</f>
        <v>0.0468857213696693</v>
      </c>
      <c r="AO57" s="15" t="n">
        <f aca="false">$B$13/$B$12*AO56</f>
        <v>0.0389984037560801</v>
      </c>
      <c r="AP57" s="15" t="n">
        <f aca="false">$B$13/$B$12*AP56</f>
        <v>0.00744913330172316</v>
      </c>
      <c r="AQ57" s="15" t="n">
        <f aca="false">$B$13/$B$12*AQ56</f>
        <v>0.0214710312814374</v>
      </c>
      <c r="AR57" s="15" t="n">
        <f aca="false">$B$13/$B$12*AR56</f>
        <v>0.0131455293559821</v>
      </c>
      <c r="AS57" s="15" t="n">
        <f aca="false">$B$13/$B$12*AS56</f>
        <v>0.000438184311866069</v>
      </c>
      <c r="AT57" s="16" t="n">
        <f aca="false">base_fleet!AQ59+base_fleet!AN59+base_fleet!AJ59</f>
        <v>0</v>
      </c>
      <c r="AU57" s="15" t="n">
        <f aca="false">$B$13/$B$12*AU56</f>
        <v>0.600919294948877</v>
      </c>
      <c r="AV57" s="15" t="n">
        <f aca="false">$B$13/$B$12*AV56</f>
        <v>0.0549686388807587</v>
      </c>
      <c r="AW57" s="15" t="n">
        <f aca="false">$B$13/$B$12*AW56</f>
        <v>0.0186786636973452</v>
      </c>
      <c r="AX57" s="15" t="n">
        <f aca="false">$B$13/$B$12*AX56</f>
        <v>0.00693778937329965</v>
      </c>
      <c r="AY57" s="15" t="n">
        <f aca="false">$B$13/$B$12*AY56</f>
        <v>0</v>
      </c>
      <c r="AZ57" s="15" t="n">
        <f aca="false">$B$13/$B$12*AZ56</f>
        <v>0.000533676105638434</v>
      </c>
      <c r="BA57" s="15" t="n">
        <f aca="false">$B$13/$B$12*BA56</f>
        <v>0.124703417164328</v>
      </c>
      <c r="BB57" s="15" t="n">
        <f aca="false">$B$13/$B$12*BB56</f>
        <v>0.0114081990465789</v>
      </c>
      <c r="BC57" s="15" t="n">
        <f aca="false">$B$13/$B$12*BC56</f>
        <v>0.000314708939215969</v>
      </c>
      <c r="BD57" s="15" t="n">
        <f aca="false">$B$13/$B$12*BD56</f>
        <v>7.86772348039923E-005</v>
      </c>
      <c r="BE57" s="16" t="n">
        <v>0</v>
      </c>
      <c r="BF57" s="16" t="n">
        <v>0</v>
      </c>
      <c r="BG57" s="16" t="n">
        <f aca="false">base_fleet!CE59</f>
        <v>0</v>
      </c>
      <c r="BH57" s="16" t="n">
        <f aca="false">base_fleet!CA59</f>
        <v>0</v>
      </c>
      <c r="BI57" s="16" t="n">
        <f aca="false">base_fleet!BV59</f>
        <v>0</v>
      </c>
      <c r="BJ57" s="16" t="n">
        <f aca="false">base_fleet!CH59</f>
        <v>0</v>
      </c>
      <c r="BK57" s="16" t="n">
        <f aca="false">base_fleet!BU59+base_fleet!BZ59+base_fleet!CD59</f>
        <v>0</v>
      </c>
    </row>
    <row r="58" customFormat="false" ht="13.2" hidden="false" customHeight="false" outlineLevel="0" collapsed="false">
      <c r="A58" s="0" t="n">
        <f aca="false">A57-1</f>
        <v>1961</v>
      </c>
      <c r="B58" s="15" t="n">
        <f aca="false">$B$13/$B$12*B57</f>
        <v>4.14436702424251</v>
      </c>
      <c r="C58" s="15" t="n">
        <f aca="false">$B$13/$B$12*C57</f>
        <v>7.42176869144712</v>
      </c>
      <c r="D58" s="15" t="n">
        <f aca="false">$B$13/$B$12*D57</f>
        <v>0.00438184311866068</v>
      </c>
      <c r="E58" s="15" t="n">
        <f aca="false">$B$13/$B$12*E57</f>
        <v>3.08991726820212</v>
      </c>
      <c r="F58" s="15" t="n">
        <f aca="false">$B$13/$B$12*F57</f>
        <v>0.0319347724097098</v>
      </c>
      <c r="G58" s="15" t="n">
        <f aca="false">$B$13/$B$12*G57</f>
        <v>0.0500737231384251</v>
      </c>
      <c r="H58" s="15" t="n">
        <f aca="false">$B$13/$B$12*H57</f>
        <v>0.000510956358555358</v>
      </c>
      <c r="I58" s="15" t="n">
        <f aca="false">$B$13/$B$12*I57</f>
        <v>0.395348027244586</v>
      </c>
      <c r="J58" s="16" t="n">
        <f aca="false">base_fleet!C60+base_fleet!G60+base_fleet!L60+base_fleet!Q60</f>
        <v>0</v>
      </c>
      <c r="K58" s="16" t="n">
        <f aca="false">base_fleet!E60+base_fleet!J60+base_fleet!O60+base_fleet!T60</f>
        <v>0</v>
      </c>
      <c r="L58" s="15" t="n">
        <f aca="false">$B$13/$B$12*L57</f>
        <v>0.472752046097241</v>
      </c>
      <c r="M58" s="16" t="n">
        <f aca="false">base_fleet!I60+base_fleet!N60</f>
        <v>0</v>
      </c>
      <c r="N58" s="15" t="n">
        <f aca="false">$B$13/$B$12*N57</f>
        <v>4.77796173658761</v>
      </c>
      <c r="O58" s="15" t="n">
        <f aca="false">$B$13/$B$12*O57</f>
        <v>0.0749295173290977</v>
      </c>
      <c r="P58" s="15" t="n">
        <f aca="false">$B$13/$B$12*P57</f>
        <v>0.33433462995381</v>
      </c>
      <c r="Q58" s="15" t="n">
        <f aca="false">$B$13/$B$12*Q57</f>
        <v>0.913176105928886</v>
      </c>
      <c r="R58" s="15" t="n">
        <f aca="false">$B$13/$B$12*R57</f>
        <v>0.129702556312356</v>
      </c>
      <c r="S58" s="15" t="n">
        <f aca="false">$B$13/$B$12*S57</f>
        <v>0.0490766429289997</v>
      </c>
      <c r="T58" s="16" t="n">
        <f aca="false">base_fleet!Z60+base_fleet!AE60</f>
        <v>0</v>
      </c>
      <c r="U58" s="17" t="n">
        <f aca="false">base_fleet!X60+base_fleet!AC60+base_fleet!AH60</f>
        <v>0</v>
      </c>
      <c r="V58" s="15" t="n">
        <f aca="false">$B$13/$B$12*V57</f>
        <v>1.17689250702902</v>
      </c>
      <c r="W58" s="15" t="n">
        <f aca="false">$B$13/$B$12*W57</f>
        <v>0.246360391051487</v>
      </c>
      <c r="X58" s="15" t="n">
        <f aca="false">$B$13/$B$12*X57</f>
        <v>0.0552755112166042</v>
      </c>
      <c r="Y58" s="15" t="n">
        <f aca="false">$B$13/$B$12*Y57</f>
        <v>0.0417311806535952</v>
      </c>
      <c r="Z58" s="15" t="n">
        <f aca="false">$B$13/$B$12*Z57</f>
        <v>0.0834623613071904</v>
      </c>
      <c r="AA58" s="15" t="n">
        <f aca="false">$B$13/$B$12*AA57</f>
        <v>0.0164728344685244</v>
      </c>
      <c r="AB58" s="15" t="n">
        <f aca="false">$B$13/$B$12*AB57</f>
        <v>0.000549094482284147</v>
      </c>
      <c r="AC58" s="15" t="n">
        <f aca="false">$B$13/$B$12*AC57</f>
        <v>0.000549094482284147</v>
      </c>
      <c r="AD58" s="15" t="n">
        <f aca="false">$B$13/$B$12*AD57</f>
        <v>0.00475881884646261</v>
      </c>
      <c r="AE58" s="15" t="n">
        <f aca="false">$B$13/$B$12*AE57</f>
        <v>0.0237940942323131</v>
      </c>
      <c r="AF58" s="15" t="n">
        <f aca="false">$B$13/$B$12*AF57</f>
        <v>0.00292850390551545</v>
      </c>
      <c r="AG58" s="15" t="n">
        <f aca="false">$B$13/$B$12*AG57</f>
        <v>0</v>
      </c>
      <c r="AH58" s="15" t="n">
        <f aca="false">$B$13/$B$12*AH57</f>
        <v>0.000732125976378863</v>
      </c>
      <c r="AI58" s="15" t="n">
        <f aca="false">$B$13/$B$12*AI57</f>
        <v>0.000732125976378863</v>
      </c>
      <c r="AJ58" s="15" t="n">
        <f aca="false">$B$13/$B$12*AJ57</f>
        <v>0</v>
      </c>
      <c r="AK58" s="15" t="n">
        <f aca="false">$B$13/$B$12*AK57</f>
        <v>0</v>
      </c>
      <c r="AL58" s="15" t="n">
        <f aca="false">$B$13/$B$12*AL57</f>
        <v>0</v>
      </c>
      <c r="AM58" s="15" t="n">
        <f aca="false">$B$13/$B$12*AM57</f>
        <v>0</v>
      </c>
      <c r="AN58" s="15" t="n">
        <f aca="false">$B$13/$B$12*AN57</f>
        <v>0.0391687397362692</v>
      </c>
      <c r="AO58" s="15" t="n">
        <f aca="false">$B$13/$B$12*AO57</f>
        <v>0.0325796059488594</v>
      </c>
      <c r="AP58" s="15" t="n">
        <f aca="false">$B$13/$B$12*AP57</f>
        <v>0.00622307079922034</v>
      </c>
      <c r="AQ58" s="15" t="n">
        <f aca="false">$B$13/$B$12*AQ57</f>
        <v>0.0179370864212822</v>
      </c>
      <c r="AR58" s="15" t="n">
        <f aca="false">$B$13/$B$12*AR57</f>
        <v>0.0109818896456829</v>
      </c>
      <c r="AS58" s="15" t="n">
        <f aca="false">$B$13/$B$12*AS57</f>
        <v>0.000366062988189432</v>
      </c>
      <c r="AT58" s="16" t="n">
        <f aca="false">base_fleet!AQ60+base_fleet!AN60+base_fleet!AJ60</f>
        <v>0</v>
      </c>
      <c r="AU58" s="15" t="n">
        <f aca="false">$B$13/$B$12*AU57</f>
        <v>0.50201320953934</v>
      </c>
      <c r="AV58" s="15" t="n">
        <f aca="false">$B$13/$B$12*AV57</f>
        <v>0.0459212793805968</v>
      </c>
      <c r="AW58" s="15" t="n">
        <f aca="false">$B$13/$B$12*AW57</f>
        <v>0.0156043182361251</v>
      </c>
      <c r="AX58" s="15" t="n">
        <f aca="false">$B$13/$B$12*AX57</f>
        <v>0.00579588963056077</v>
      </c>
      <c r="AY58" s="15" t="n">
        <f aca="false">$B$13/$B$12*AY57</f>
        <v>0</v>
      </c>
      <c r="AZ58" s="15" t="n">
        <f aca="false">$B$13/$B$12*AZ57</f>
        <v>0.00044583766388929</v>
      </c>
      <c r="BA58" s="15" t="n">
        <f aca="false">$B$13/$B$12*BA57</f>
        <v>0.104178320146158</v>
      </c>
      <c r="BB58" s="15" t="n">
        <f aca="false">$B$13/$B$12*BB57</f>
        <v>0.00953050878308699</v>
      </c>
      <c r="BC58" s="15" t="n">
        <f aca="false">$B$13/$B$12*BC57</f>
        <v>0.000262910587119641</v>
      </c>
      <c r="BD58" s="15" t="n">
        <f aca="false">$B$13/$B$12*BD57</f>
        <v>6.57276467799102E-005</v>
      </c>
      <c r="BE58" s="16" t="n">
        <v>0</v>
      </c>
      <c r="BF58" s="16" t="n">
        <v>0</v>
      </c>
      <c r="BG58" s="16" t="n">
        <f aca="false">base_fleet!CE60</f>
        <v>0</v>
      </c>
      <c r="BH58" s="16" t="n">
        <f aca="false">base_fleet!CA60</f>
        <v>0</v>
      </c>
      <c r="BI58" s="16" t="n">
        <f aca="false">base_fleet!BV60</f>
        <v>0</v>
      </c>
      <c r="BJ58" s="16" t="n">
        <f aca="false">base_fleet!CH60</f>
        <v>0</v>
      </c>
      <c r="BK58" s="16" t="n">
        <f aca="false">base_fleet!BU60+base_fleet!BZ60+base_fleet!CD60</f>
        <v>0</v>
      </c>
    </row>
    <row r="59" customFormat="false" ht="13.2" hidden="false" customHeight="false" outlineLevel="0" collapsed="false">
      <c r="A59" s="0" t="n">
        <f aca="false">A58-1</f>
        <v>1960</v>
      </c>
      <c r="B59" s="15" t="n">
        <f aca="false">$B$13/$B$12*B58</f>
        <v>3.4622402855711</v>
      </c>
      <c r="C59" s="15" t="n">
        <f aca="false">$B$13/$B$12*C58</f>
        <v>6.2002101656079</v>
      </c>
      <c r="D59" s="15" t="n">
        <f aca="false">$B$13/$B$12*D58</f>
        <v>0.00366062988189431</v>
      </c>
      <c r="E59" s="15" t="n">
        <f aca="false">$B$13/$B$12*E58</f>
        <v>2.58134378120301</v>
      </c>
      <c r="F59" s="15" t="n">
        <f aca="false">$B$13/$B$12*F58</f>
        <v>0.0266785868386381</v>
      </c>
      <c r="G59" s="15" t="n">
        <f aca="false">$B$13/$B$12*G58</f>
        <v>0.0418320241629846</v>
      </c>
      <c r="H59" s="15" t="n">
        <f aca="false">$B$13/$B$12*H58</f>
        <v>0.00042685738941821</v>
      </c>
      <c r="I59" s="15" t="n">
        <f aca="false">$B$13/$B$12*I58</f>
        <v>0.330277183159822</v>
      </c>
      <c r="J59" s="16" t="n">
        <f aca="false">base_fleet!C61+base_fleet!G61+base_fleet!L61+base_fleet!Q61</f>
        <v>0</v>
      </c>
      <c r="K59" s="16" t="n">
        <f aca="false">base_fleet!E61+base_fleet!J61+base_fleet!O61+base_fleet!T61</f>
        <v>0</v>
      </c>
      <c r="L59" s="15" t="n">
        <f aca="false">$B$13/$B$12*L58</f>
        <v>0.394941174251622</v>
      </c>
      <c r="M59" s="16" t="n">
        <f aca="false">base_fleet!I61+base_fleet!N61</f>
        <v>0</v>
      </c>
      <c r="N59" s="15" t="n">
        <f aca="false">$B$13/$B$12*N58</f>
        <v>3.99155082321756</v>
      </c>
      <c r="O59" s="15" t="n">
        <f aca="false">$B$13/$B$12*O58</f>
        <v>0.0625967709803928</v>
      </c>
      <c r="P59" s="15" t="n">
        <f aca="false">$B$13/$B$12*P58</f>
        <v>0.279306059988536</v>
      </c>
      <c r="Q59" s="15" t="n">
        <f aca="false">$B$13/$B$12*Q58</f>
        <v>0.762875267386775</v>
      </c>
      <c r="R59" s="15" t="n">
        <f aca="false">$B$13/$B$12*R58</f>
        <v>0.108354644504072</v>
      </c>
      <c r="S59" s="15" t="n">
        <f aca="false">$B$13/$B$12*S58</f>
        <v>0.0409990546772163</v>
      </c>
      <c r="T59" s="16" t="n">
        <f aca="false">base_fleet!Z61+base_fleet!AE61</f>
        <v>0</v>
      </c>
      <c r="U59" s="17" t="n">
        <f aca="false">base_fleet!X61+base_fleet!AC61+base_fleet!AH61</f>
        <v>0</v>
      </c>
      <c r="V59" s="15" t="n">
        <f aca="false">$B$13/$B$12*V58</f>
        <v>0.983186244313729</v>
      </c>
      <c r="W59" s="15" t="n">
        <f aca="false">$B$13/$B$12*W58</f>
        <v>0.20581161506163</v>
      </c>
      <c r="X59" s="15" t="n">
        <f aca="false">$B$13/$B$12*X58</f>
        <v>0.0461776432010492</v>
      </c>
      <c r="Y59" s="15" t="n">
        <f aca="false">$B$13/$B$12*Y58</f>
        <v>0.034862591555759</v>
      </c>
      <c r="Z59" s="15" t="n">
        <f aca="false">$B$13/$B$12*Z58</f>
        <v>0.069725183111518</v>
      </c>
      <c r="AA59" s="15" t="n">
        <f aca="false">$B$13/$B$12*AA58</f>
        <v>0.0137615492983259</v>
      </c>
      <c r="AB59" s="15" t="n">
        <f aca="false">$B$13/$B$12*AB58</f>
        <v>0.000458718309944197</v>
      </c>
      <c r="AC59" s="15" t="n">
        <f aca="false">$B$13/$B$12*AC58</f>
        <v>0.000458718309944197</v>
      </c>
      <c r="AD59" s="15" t="n">
        <f aca="false">$B$13/$B$12*AD58</f>
        <v>0.00397555868618304</v>
      </c>
      <c r="AE59" s="15" t="n">
        <f aca="false">$B$13/$B$12*AE58</f>
        <v>0.0198777934309152</v>
      </c>
      <c r="AF59" s="15" t="n">
        <f aca="false">$B$13/$B$12*AF58</f>
        <v>0.00244649765303572</v>
      </c>
      <c r="AG59" s="15" t="n">
        <f aca="false">$B$13/$B$12*AG58</f>
        <v>0</v>
      </c>
      <c r="AH59" s="15" t="n">
        <f aca="false">$B$13/$B$12*AH58</f>
        <v>0.00061162441325893</v>
      </c>
      <c r="AI59" s="15" t="n">
        <f aca="false">$B$13/$B$12*AI58</f>
        <v>0.00061162441325893</v>
      </c>
      <c r="AJ59" s="15" t="n">
        <f aca="false">$B$13/$B$12*AJ58</f>
        <v>0</v>
      </c>
      <c r="AK59" s="15" t="n">
        <f aca="false">$B$13/$B$12*AK58</f>
        <v>0</v>
      </c>
      <c r="AL59" s="15" t="n">
        <f aca="false">$B$13/$B$12*AL58</f>
        <v>0</v>
      </c>
      <c r="AM59" s="15" t="n">
        <f aca="false">$B$13/$B$12*AM58</f>
        <v>0</v>
      </c>
      <c r="AN59" s="15" t="n">
        <f aca="false">$B$13/$B$12*AN58</f>
        <v>0.0327219061093527</v>
      </c>
      <c r="AO59" s="15" t="n">
        <f aca="false">$B$13/$B$12*AO58</f>
        <v>0.0272172863900224</v>
      </c>
      <c r="AP59" s="15" t="n">
        <f aca="false">$B$13/$B$12*AP58</f>
        <v>0.0051988075127009</v>
      </c>
      <c r="AQ59" s="15" t="n">
        <f aca="false">$B$13/$B$12*AQ58</f>
        <v>0.0149847981248438</v>
      </c>
      <c r="AR59" s="15" t="n">
        <f aca="false">$B$13/$B$12*AR58</f>
        <v>0.00917436619888394</v>
      </c>
      <c r="AS59" s="15" t="n">
        <f aca="false">$B$13/$B$12*AS58</f>
        <v>0.000305812206629465</v>
      </c>
      <c r="AT59" s="16" t="n">
        <f aca="false">base_fleet!AQ61+base_fleet!AN61+base_fleet!AJ61</f>
        <v>0</v>
      </c>
      <c r="AU59" s="15" t="n">
        <f aca="false">$B$13/$B$12*AU58</f>
        <v>0.419386204887014</v>
      </c>
      <c r="AV59" s="15" t="n">
        <f aca="false">$B$13/$B$12*AV58</f>
        <v>0.0383630365038743</v>
      </c>
      <c r="AW59" s="15" t="n">
        <f aca="false">$B$13/$B$12*AW58</f>
        <v>0.0130359832780155</v>
      </c>
      <c r="AX59" s="15" t="n">
        <f aca="false">$B$13/$B$12*AX58</f>
        <v>0.00484193664612006</v>
      </c>
      <c r="AY59" s="15" t="n">
        <f aca="false">$B$13/$B$12*AY58</f>
        <v>0</v>
      </c>
      <c r="AZ59" s="15" t="n">
        <f aca="false">$B$13/$B$12*AZ58</f>
        <v>0.000372456665086158</v>
      </c>
      <c r="BA59" s="15" t="n">
        <f aca="false">$B$13/$B$12*BA58</f>
        <v>0.0870314754420374</v>
      </c>
      <c r="BB59" s="15" t="n">
        <f aca="false">$B$13/$B$12*BB58</f>
        <v>0.00796186999312014</v>
      </c>
      <c r="BC59" s="15" t="n">
        <f aca="false">$B$13/$B$12*BC58</f>
        <v>0.000219637792913659</v>
      </c>
      <c r="BD59" s="15" t="n">
        <f aca="false">$B$13/$B$12*BD58</f>
        <v>5.49094482284147E-005</v>
      </c>
      <c r="BE59" s="16" t="n">
        <v>0</v>
      </c>
      <c r="BF59" s="16" t="n">
        <v>0</v>
      </c>
      <c r="BG59" s="16" t="n">
        <f aca="false">base_fleet!CE61</f>
        <v>0</v>
      </c>
      <c r="BH59" s="16" t="n">
        <f aca="false">base_fleet!CA61</f>
        <v>0</v>
      </c>
      <c r="BI59" s="16" t="n">
        <f aca="false">base_fleet!BV61</f>
        <v>0</v>
      </c>
      <c r="BJ59" s="16" t="n">
        <f aca="false">base_fleet!CH61</f>
        <v>0</v>
      </c>
      <c r="BK59" s="16" t="n">
        <f aca="false">base_fleet!BU61+base_fleet!BZ61+base_fleet!CD61</f>
        <v>0</v>
      </c>
    </row>
    <row r="60" customFormat="false" ht="13.2" hidden="false" customHeight="false" outlineLevel="0" collapsed="false">
      <c r="A60" s="0" t="n">
        <f aca="false">A59-1</f>
        <v>1959</v>
      </c>
      <c r="B60" s="15" t="n">
        <f aca="false">$B$13/$B$12*B59</f>
        <v>2.89238567069779</v>
      </c>
      <c r="C60" s="15" t="n">
        <f aca="false">$B$13/$B$12*C59</f>
        <v>5.17970954039689</v>
      </c>
      <c r="D60" s="15" t="n">
        <f aca="false">$B$13/$B$12*D59</f>
        <v>0.00305812206629465</v>
      </c>
      <c r="E60" s="15" t="n">
        <f aca="false">$B$13/$B$12*E59</f>
        <v>2.15647706342394</v>
      </c>
      <c r="F60" s="15" t="n">
        <f aca="false">$B$13/$B$12*F59</f>
        <v>0.0222875236615229</v>
      </c>
      <c r="G60" s="15" t="n">
        <f aca="false">$B$13/$B$12*G59</f>
        <v>0.0349468371012679</v>
      </c>
      <c r="H60" s="15" t="n">
        <f aca="false">$B$13/$B$12*H59</f>
        <v>0.000356600378584366</v>
      </c>
      <c r="I60" s="15" t="n">
        <f aca="false">$B$13/$B$12*I59</f>
        <v>0.275916433619893</v>
      </c>
      <c r="J60" s="16" t="n">
        <f aca="false">base_fleet!C62+base_fleet!G62+base_fleet!L62+base_fleet!Q62</f>
        <v>0</v>
      </c>
      <c r="K60" s="16" t="n">
        <f aca="false">base_fleet!E62+base_fleet!J62+base_fleet!O62+base_fleet!T62</f>
        <v>0</v>
      </c>
      <c r="L60" s="15" t="n">
        <f aca="false">$B$13/$B$12*L59</f>
        <v>0.329937294628158</v>
      </c>
      <c r="M60" s="16" t="n">
        <f aca="false">base_fleet!I62+base_fleet!N62</f>
        <v>0</v>
      </c>
      <c r="N60" s="15" t="n">
        <f aca="false">$B$13/$B$12*N59</f>
        <v>3.33457630108768</v>
      </c>
      <c r="O60" s="15" t="n">
        <f aca="false">$B$13/$B$12*O59</f>
        <v>0.0522938873336385</v>
      </c>
      <c r="P60" s="15" t="n">
        <f aca="false">$B$13/$B$12*P59</f>
        <v>0.233334713658282</v>
      </c>
      <c r="Q60" s="15" t="n">
        <f aca="false">$B$13/$B$12*Q59</f>
        <v>0.637312638615804</v>
      </c>
      <c r="R60" s="15" t="n">
        <f aca="false">$B$13/$B$12*R59</f>
        <v>0.0905204131623216</v>
      </c>
      <c r="S60" s="15" t="n">
        <f aca="false">$B$13/$B$12*S59</f>
        <v>0.0342509671425001</v>
      </c>
      <c r="T60" s="16" t="n">
        <f aca="false">base_fleet!Z62+base_fleet!AE62</f>
        <v>0</v>
      </c>
      <c r="U60" s="17" t="n">
        <f aca="false">base_fleet!X62+base_fleet!AC62+base_fleet!AH62</f>
        <v>0</v>
      </c>
      <c r="V60" s="15" t="n">
        <f aca="false">$B$13/$B$12*V59</f>
        <v>0.821362346377737</v>
      </c>
      <c r="W60" s="15" t="n">
        <f aca="false">$B$13/$B$12*W59</f>
        <v>0.171936814653878</v>
      </c>
      <c r="X60" s="15" t="n">
        <f aca="false">$B$13/$B$12*X59</f>
        <v>0.0385772050709295</v>
      </c>
      <c r="Y60" s="15" t="n">
        <f aca="false">$B$13/$B$12*Y59</f>
        <v>0.0291245124376554</v>
      </c>
      <c r="Z60" s="15" t="n">
        <f aca="false">$B$13/$B$12*Z59</f>
        <v>0.0582490248753108</v>
      </c>
      <c r="AA60" s="15" t="n">
        <f aca="false">$B$13/$B$12*AA59</f>
        <v>0.0114965180674955</v>
      </c>
      <c r="AB60" s="15" t="n">
        <f aca="false">$B$13/$B$12*AB59</f>
        <v>0.000383217268916518</v>
      </c>
      <c r="AC60" s="15" t="n">
        <f aca="false">$B$13/$B$12*AC59</f>
        <v>0.000383217268916518</v>
      </c>
      <c r="AD60" s="15" t="n">
        <f aca="false">$B$13/$B$12*AD59</f>
        <v>0.00332121633060983</v>
      </c>
      <c r="AE60" s="15" t="n">
        <f aca="false">$B$13/$B$12*AE59</f>
        <v>0.0166060816530491</v>
      </c>
      <c r="AF60" s="15" t="n">
        <f aca="false">$B$13/$B$12*AF59</f>
        <v>0.00204382543422143</v>
      </c>
      <c r="AG60" s="15" t="n">
        <f aca="false">$B$13/$B$12*AG59</f>
        <v>0</v>
      </c>
      <c r="AH60" s="15" t="n">
        <f aca="false">$B$13/$B$12*AH59</f>
        <v>0.000510956358555358</v>
      </c>
      <c r="AI60" s="15" t="n">
        <f aca="false">$B$13/$B$12*AI59</f>
        <v>0.000510956358555358</v>
      </c>
      <c r="AJ60" s="15" t="n">
        <f aca="false">$B$13/$B$12*AJ59</f>
        <v>0</v>
      </c>
      <c r="AK60" s="15" t="n">
        <f aca="false">$B$13/$B$12*AK59</f>
        <v>0</v>
      </c>
      <c r="AL60" s="15" t="n">
        <f aca="false">$B$13/$B$12*AL59</f>
        <v>0</v>
      </c>
      <c r="AM60" s="15" t="n">
        <f aca="false">$B$13/$B$12*AM59</f>
        <v>0</v>
      </c>
      <c r="AN60" s="15" t="n">
        <f aca="false">$B$13/$B$12*AN59</f>
        <v>0.0273361651827117</v>
      </c>
      <c r="AO60" s="15" t="n">
        <f aca="false">$B$13/$B$12*AO59</f>
        <v>0.0227375579557134</v>
      </c>
      <c r="AP60" s="15" t="n">
        <f aca="false">$B$13/$B$12*AP59</f>
        <v>0.00434312904772054</v>
      </c>
      <c r="AQ60" s="15" t="n">
        <f aca="false">$B$13/$B$12*AQ59</f>
        <v>0.0125184307846063</v>
      </c>
      <c r="AR60" s="15" t="n">
        <f aca="false">$B$13/$B$12*AR59</f>
        <v>0.00766434537833037</v>
      </c>
      <c r="AS60" s="15" t="n">
        <f aca="false">$B$13/$B$12*AS59</f>
        <v>0.000255478179277679</v>
      </c>
      <c r="AT60" s="16" t="n">
        <f aca="false">base_fleet!AQ62+base_fleet!AN62+base_fleet!AJ62</f>
        <v>0</v>
      </c>
      <c r="AU60" s="15" t="n">
        <f aca="false">$B$13/$B$12*AU59</f>
        <v>0.350358885996105</v>
      </c>
      <c r="AV60" s="15" t="n">
        <f aca="false">$B$13/$B$12*AV59</f>
        <v>0.0320488146159847</v>
      </c>
      <c r="AW60" s="15" t="n">
        <f aca="false">$B$13/$B$12*AW59</f>
        <v>0.0108903738986356</v>
      </c>
      <c r="AX60" s="15" t="n">
        <f aca="false">$B$13/$B$12*AX59</f>
        <v>0.00404499601949322</v>
      </c>
      <c r="AY60" s="15" t="n">
        <f aca="false">$B$13/$B$12*AY59</f>
        <v>0</v>
      </c>
      <c r="AZ60" s="15" t="n">
        <f aca="false">$B$13/$B$12*AZ59</f>
        <v>0.000311153539961017</v>
      </c>
      <c r="BA60" s="15" t="n">
        <f aca="false">$B$13/$B$12*BA59</f>
        <v>0.0727068521261553</v>
      </c>
      <c r="BB60" s="15" t="n">
        <f aca="false">$B$13/$B$12*BB59</f>
        <v>0.00665141549419086</v>
      </c>
      <c r="BC60" s="15" t="n">
        <f aca="false">$B$13/$B$12*BC59</f>
        <v>0.000183487323977679</v>
      </c>
      <c r="BD60" s="15" t="n">
        <f aca="false">$B$13/$B$12*BD59</f>
        <v>4.58718309944197E-005</v>
      </c>
      <c r="BE60" s="16" t="n">
        <v>0</v>
      </c>
      <c r="BF60" s="16" t="n">
        <v>0</v>
      </c>
      <c r="BG60" s="16" t="n">
        <f aca="false">base_fleet!CE62</f>
        <v>0</v>
      </c>
      <c r="BH60" s="16" t="n">
        <f aca="false">base_fleet!CA62</f>
        <v>0</v>
      </c>
      <c r="BI60" s="16" t="n">
        <f aca="false">base_fleet!BV62</f>
        <v>0</v>
      </c>
      <c r="BJ60" s="16" t="n">
        <f aca="false">base_fleet!CH62</f>
        <v>0</v>
      </c>
      <c r="BK60" s="16" t="n">
        <f aca="false">base_fleet!BU62+base_fleet!BZ62+base_fleet!CD62</f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N6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16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77734375" defaultRowHeight="13.2" zeroHeight="false" outlineLevelRow="0" outlineLevelCol="0"/>
  <cols>
    <col collapsed="false" customWidth="true" hidden="false" outlineLevel="0" max="1" min="1" style="0" width="13.78"/>
    <col collapsed="false" customWidth="true" hidden="false" outlineLevel="0" max="21" min="2" style="0" width="18.22"/>
    <col collapsed="false" customWidth="true" hidden="false" outlineLevel="0" max="22" min="22" style="0" width="16.67"/>
    <col collapsed="false" customWidth="true" hidden="false" outlineLevel="0" max="23" min="23" style="0" width="19.65"/>
    <col collapsed="false" customWidth="true" hidden="false" outlineLevel="0" max="29" min="24" style="0" width="20.78"/>
    <col collapsed="false" customWidth="true" hidden="false" outlineLevel="0" max="30" min="30" style="0" width="17.67"/>
    <col collapsed="false" customWidth="true" hidden="false" outlineLevel="0" max="31" min="31" style="0" width="16.89"/>
    <col collapsed="false" customWidth="true" hidden="false" outlineLevel="0" max="32" min="32" style="0" width="19.89"/>
    <col collapsed="false" customWidth="true" hidden="false" outlineLevel="0" max="38" min="33" style="0" width="20.89"/>
    <col collapsed="false" customWidth="true" hidden="false" outlineLevel="0" max="39" min="39" style="0" width="17.89"/>
    <col collapsed="false" customWidth="true" hidden="false" outlineLevel="0" max="45" min="40" style="0" width="20.64"/>
    <col collapsed="false" customWidth="true" hidden="false" outlineLevel="0" max="46" min="46" style="0" width="14.66"/>
    <col collapsed="false" customWidth="true" hidden="false" outlineLevel="0" max="54" min="47" style="0" width="18.22"/>
    <col collapsed="false" customWidth="true" hidden="false" outlineLevel="0" max="56" min="55" style="0" width="18.44"/>
    <col collapsed="false" customWidth="true" hidden="false" outlineLevel="0" max="63" min="57" style="0" width="18.22"/>
  </cols>
  <sheetData>
    <row r="1" customFormat="false" ht="12.8" hidden="false" customHeight="false" outlineLevel="0" collapsed="false">
      <c r="A1" s="18" t="s">
        <v>232</v>
      </c>
      <c r="B1" s="18" t="str">
        <f aca="false">metadata!B2</f>
        <v>PC_MINI_G</v>
      </c>
      <c r="C1" s="18" t="str">
        <f aca="false">metadata!B3</f>
        <v>PC_SMALL_G</v>
      </c>
      <c r="D1" s="18" t="str">
        <f aca="false">metadata!B4</f>
        <v>PC_MEDIUM_G</v>
      </c>
      <c r="E1" s="18" t="str">
        <f aca="false">metadata!B5</f>
        <v>PC_SUV_G</v>
      </c>
      <c r="F1" s="18" t="str">
        <f aca="false">metadata!B6</f>
        <v>PC_MINI_D</v>
      </c>
      <c r="G1" s="18" t="str">
        <f aca="false">metadata!B7</f>
        <v>PC_SMALL_D</v>
      </c>
      <c r="H1" s="18" t="str">
        <f aca="false">metadata!B8</f>
        <v>PC_MEDIUM_D</v>
      </c>
      <c r="I1" s="18" t="str">
        <f aca="false">metadata!B9</f>
        <v>PC_SUV_D</v>
      </c>
      <c r="J1" s="18" t="str">
        <f aca="false">metadata!B10</f>
        <v>PC_ELEC</v>
      </c>
      <c r="K1" s="18" t="str">
        <f aca="false">metadata!B11</f>
        <v>PC_SMALL_HY</v>
      </c>
      <c r="L1" s="18" t="str">
        <f aca="false">metadata!B12</f>
        <v>TAXI_SMALL_G</v>
      </c>
      <c r="M1" s="18" t="str">
        <f aca="false">metadata!B13</f>
        <v>TAXI_SMALL_GLP</v>
      </c>
      <c r="N1" s="18" t="str">
        <f aca="false">metadata!B14</f>
        <v>LCV_NI_G</v>
      </c>
      <c r="O1" s="18" t="str">
        <f aca="false">metadata!B15</f>
        <v>LCV_NII_G</v>
      </c>
      <c r="P1" s="18" t="str">
        <f aca="false">metadata!B16</f>
        <v>LCV_NIII_G</v>
      </c>
      <c r="Q1" s="18" t="str">
        <f aca="false">metadata!B17</f>
        <v>LCV_NI_D</v>
      </c>
      <c r="R1" s="18" t="str">
        <f aca="false">metadata!B18</f>
        <v>LCV_NII_D</v>
      </c>
      <c r="S1" s="18" t="str">
        <f aca="false">metadata!B19</f>
        <v>LCV_NIII_D</v>
      </c>
      <c r="T1" s="18" t="str">
        <f aca="false">metadata!B20</f>
        <v>LCV_ELEC</v>
      </c>
      <c r="U1" s="18" t="str">
        <f aca="false">metadata!B21</f>
        <v>LCV_HY</v>
      </c>
      <c r="V1" s="19" t="str">
        <f aca="false">metadata!B22</f>
        <v>TRUCKS_RT_7_D</v>
      </c>
      <c r="W1" s="19" t="str">
        <f aca="false">metadata!B23</f>
        <v>TRUCKS_RT_7_12_D</v>
      </c>
      <c r="X1" s="19" t="str">
        <f aca="false">metadata!B24</f>
        <v>TRUCKS_RT_12_14_D</v>
      </c>
      <c r="Y1" s="19" t="str">
        <f aca="false">metadata!B25</f>
        <v>TRUCKS_RT_14_16_D</v>
      </c>
      <c r="Z1" s="19" t="str">
        <f aca="false">metadata!B26</f>
        <v>TRUCKS_RT_16_20_D</v>
      </c>
      <c r="AA1" s="19" t="str">
        <f aca="false">metadata!B27</f>
        <v>TRUCKS_RT_20_26_D</v>
      </c>
      <c r="AB1" s="19" t="str">
        <f aca="false">metadata!B28</f>
        <v>TRUCKS_RT_26_28_D</v>
      </c>
      <c r="AC1" s="19" t="str">
        <f aca="false">metadata!B29</f>
        <v>TRUCKS_RT_28_32_D</v>
      </c>
      <c r="AD1" s="20" t="str">
        <f aca="false">metadata!B30</f>
        <v>TRUCKS_RT_32_D</v>
      </c>
      <c r="AE1" s="20" t="str">
        <f aca="false">metadata!B31</f>
        <v>TRUCKS_RT_7_G</v>
      </c>
      <c r="AF1" s="20" t="str">
        <f aca="false">metadata!B32</f>
        <v>TRUCKS_RT_7_12_G</v>
      </c>
      <c r="AG1" s="20" t="str">
        <f aca="false">metadata!B33</f>
        <v>TRUCKS_RT_12_14_G</v>
      </c>
      <c r="AH1" s="20" t="str">
        <f aca="false">metadata!B34</f>
        <v>TRUCKS_RT_14_16_G</v>
      </c>
      <c r="AI1" s="20" t="str">
        <f aca="false">metadata!B35</f>
        <v>TRUCKS_RT_16_20_G</v>
      </c>
      <c r="AJ1" s="20" t="str">
        <f aca="false">metadata!B36</f>
        <v>TRUCKS_RT_20_26_G</v>
      </c>
      <c r="AK1" s="20" t="str">
        <f aca="false">metadata!B37</f>
        <v>TRUCKS_RT_26_28_G</v>
      </c>
      <c r="AL1" s="20" t="str">
        <f aca="false">metadata!B38</f>
        <v>TRUCKS_RT_28_32_G</v>
      </c>
      <c r="AM1" s="20" t="str">
        <f aca="false">metadata!B39</f>
        <v>TRUCKS_RT_32_G</v>
      </c>
      <c r="AN1" s="20" t="str">
        <f aca="false">metadata!B40</f>
        <v>TRUCKS_AT_16_20_D</v>
      </c>
      <c r="AO1" s="19" t="str">
        <f aca="false">metadata!B41</f>
        <v>TRUCKS_AT_20_28_D</v>
      </c>
      <c r="AP1" s="19" t="str">
        <f aca="false">metadata!B42</f>
        <v>TRUCKS_AT_28_34_D</v>
      </c>
      <c r="AQ1" s="20" t="str">
        <f aca="false">metadata!B43</f>
        <v>TRUCKS_AT_34_40_D</v>
      </c>
      <c r="AR1" s="20" t="str">
        <f aca="false">metadata!B44</f>
        <v>TRUCKS_AT_40_50_D</v>
      </c>
      <c r="AS1" s="20" t="str">
        <f aca="false">metadata!B45</f>
        <v>TRUCKS_AT_50_60_D</v>
      </c>
      <c r="AT1" s="20" t="str">
        <f aca="false">metadata!B46</f>
        <v>TRUCKS_ELEC</v>
      </c>
      <c r="AU1" s="20" t="str">
        <f aca="false">metadata!B47</f>
        <v>BUS_UB_15_D</v>
      </c>
      <c r="AV1" s="20" t="str">
        <f aca="false">metadata!B48</f>
        <v>BUS_UB_15_18_D</v>
      </c>
      <c r="AW1" s="20" t="str">
        <f aca="false">metadata!B49</f>
        <v>BUS_UB_18_D</v>
      </c>
      <c r="AX1" s="20" t="str">
        <f aca="false">metadata!B50</f>
        <v>BUS_UB_15_G</v>
      </c>
      <c r="AY1" s="20" t="str">
        <f aca="false">metadata!B51</f>
        <v>BUS_UB_15_18_G</v>
      </c>
      <c r="AZ1" s="20" t="str">
        <f aca="false">metadata!B52</f>
        <v>BUS_UB_18_G</v>
      </c>
      <c r="BA1" s="20" t="str">
        <f aca="false">metadata!B53</f>
        <v>BUS_COACH_17_D</v>
      </c>
      <c r="BB1" s="20" t="str">
        <f aca="false">metadata!B54</f>
        <v>BUS_COACH_18_D</v>
      </c>
      <c r="BC1" s="20" t="str">
        <f aca="false">metadata!B55</f>
        <v>BUS_COACH_17_G</v>
      </c>
      <c r="BD1" s="20" t="str">
        <f aca="false">metadata!B56</f>
        <v>BUS_COACH_18_G</v>
      </c>
      <c r="BE1" s="20" t="str">
        <f aca="false">metadata!B57</f>
        <v>BUS_UB_15_HY</v>
      </c>
      <c r="BF1" s="20" t="str">
        <f aca="false">metadata!B58</f>
        <v>BUS_ELEC</v>
      </c>
      <c r="BG1" s="20" t="str">
        <f aca="false">metadata!B59</f>
        <v>MC_2S_50_G</v>
      </c>
      <c r="BH1" s="20" t="str">
        <f aca="false">metadata!B60</f>
        <v>MC_4S_50_250_G</v>
      </c>
      <c r="BI1" s="20" t="str">
        <f aca="false">metadata!B61</f>
        <v>MC_4S_250_750_G</v>
      </c>
      <c r="BJ1" s="20" t="str">
        <f aca="false">metadata!B62</f>
        <v>MC_4S_750_G</v>
      </c>
      <c r="BK1" s="20" t="str">
        <f aca="false">metadata!B63</f>
        <v>MC_ELEC</v>
      </c>
    </row>
    <row r="2" customFormat="false" ht="12.8" hidden="false" customHeight="false" outlineLevel="0" collapsed="false">
      <c r="A2" s="21" t="n">
        <v>43891.9999999999</v>
      </c>
      <c r="B2" s="0" t="n">
        <v>0.119397167727686</v>
      </c>
      <c r="C2" s="0" t="n">
        <v>0.119397167727686</v>
      </c>
      <c r="D2" s="0" t="n">
        <v>0.119397167727686</v>
      </c>
      <c r="E2" s="0" t="n">
        <v>0.119397167727686</v>
      </c>
      <c r="F2" s="0" t="n">
        <v>0.119397167727686</v>
      </c>
      <c r="G2" s="0" t="n">
        <v>0.119397167727686</v>
      </c>
      <c r="H2" s="0" t="n">
        <v>0.119397167727686</v>
      </c>
      <c r="I2" s="0" t="n">
        <v>0.119397167727686</v>
      </c>
      <c r="J2" s="0" t="n">
        <v>0.119397167727686</v>
      </c>
      <c r="K2" s="0" t="n">
        <v>0.119397167727686</v>
      </c>
      <c r="L2" s="0" t="n">
        <v>0.119397167727686</v>
      </c>
      <c r="M2" s="0" t="n">
        <v>0.119397167727686</v>
      </c>
      <c r="N2" s="0" t="n">
        <v>0.119397167727686</v>
      </c>
      <c r="O2" s="0" t="n">
        <v>0.119397167727686</v>
      </c>
      <c r="P2" s="0" t="n">
        <v>0.119397167727686</v>
      </c>
      <c r="Q2" s="0" t="n">
        <v>0.119397167727686</v>
      </c>
      <c r="R2" s="0" t="n">
        <v>0.119397167727686</v>
      </c>
      <c r="S2" s="0" t="n">
        <v>0.119397167727686</v>
      </c>
      <c r="T2" s="0" t="n">
        <v>0.119397167727686</v>
      </c>
      <c r="U2" s="0" t="n">
        <v>0.119397167727686</v>
      </c>
      <c r="V2" s="0" t="n">
        <v>0.355623100303951</v>
      </c>
      <c r="W2" s="0" t="n">
        <v>0.355623100303951</v>
      </c>
      <c r="X2" s="0" t="n">
        <v>0.355623100303951</v>
      </c>
      <c r="Y2" s="0" t="n">
        <v>0.355623100303951</v>
      </c>
      <c r="Z2" s="0" t="n">
        <v>0.355623100303951</v>
      </c>
      <c r="AA2" s="0" t="n">
        <v>0.355623100303951</v>
      </c>
      <c r="AB2" s="0" t="n">
        <v>0.355623100303951</v>
      </c>
      <c r="AC2" s="0" t="n">
        <v>0.355623100303951</v>
      </c>
      <c r="AD2" s="0" t="n">
        <v>0.355623100303951</v>
      </c>
      <c r="AE2" s="0" t="n">
        <v>0.355623100303951</v>
      </c>
      <c r="AF2" s="0" t="n">
        <v>0.355623100303951</v>
      </c>
      <c r="AG2" s="0" t="n">
        <v>0.355623100303951</v>
      </c>
      <c r="AH2" s="0" t="n">
        <v>0.355623100303951</v>
      </c>
      <c r="AI2" s="0" t="n">
        <v>0.355623100303951</v>
      </c>
      <c r="AJ2" s="0" t="n">
        <v>0.355623100303951</v>
      </c>
      <c r="AK2" s="0" t="n">
        <v>0.355623100303951</v>
      </c>
      <c r="AL2" s="0" t="n">
        <v>0.355623100303951</v>
      </c>
      <c r="AM2" s="0" t="n">
        <v>0.355623100303951</v>
      </c>
      <c r="AN2" s="0" t="n">
        <v>0.355623100303951</v>
      </c>
      <c r="AO2" s="0" t="n">
        <v>0.355623100303951</v>
      </c>
      <c r="AP2" s="0" t="n">
        <v>0.355623100303951</v>
      </c>
      <c r="AQ2" s="0" t="n">
        <v>0.355623100303951</v>
      </c>
      <c r="AR2" s="0" t="n">
        <v>0.355623100303951</v>
      </c>
      <c r="AS2" s="0" t="n">
        <v>0.355623100303951</v>
      </c>
      <c r="AT2" s="0" t="n">
        <v>0.355623100303951</v>
      </c>
      <c r="AU2" s="0" t="n">
        <v>0.75</v>
      </c>
      <c r="AV2" s="0" t="n">
        <v>0.75</v>
      </c>
      <c r="AW2" s="0" t="n">
        <v>0.75</v>
      </c>
      <c r="AX2" s="0" t="n">
        <v>0.75</v>
      </c>
      <c r="AY2" s="0" t="n">
        <v>0.75</v>
      </c>
      <c r="AZ2" s="0" t="n">
        <v>0.75</v>
      </c>
      <c r="BA2" s="0" t="n">
        <v>0.75</v>
      </c>
      <c r="BB2" s="0" t="n">
        <v>0.75</v>
      </c>
      <c r="BC2" s="0" t="n">
        <v>0.75</v>
      </c>
      <c r="BD2" s="0" t="n">
        <v>0.75</v>
      </c>
      <c r="BE2" s="0" t="n">
        <v>0.75</v>
      </c>
      <c r="BF2" s="0" t="n">
        <v>0.75</v>
      </c>
      <c r="BG2" s="0" t="n">
        <v>0.119397167727686</v>
      </c>
      <c r="BH2" s="0" t="n">
        <v>0.119397167727686</v>
      </c>
      <c r="BI2" s="0" t="n">
        <v>0.119397167727686</v>
      </c>
      <c r="BJ2" s="0" t="n">
        <v>0.119397167727686</v>
      </c>
      <c r="BK2" s="0" t="n">
        <v>0.119397167727686</v>
      </c>
    </row>
    <row r="3" customFormat="false" ht="12.8" hidden="false" customHeight="false" outlineLevel="0" collapsed="false">
      <c r="A3" s="21" t="n">
        <f aca="false">A2+1/24*1.00001</f>
        <v>43892.0416670833</v>
      </c>
      <c r="B3" s="0" t="n">
        <v>0.0613659001342514</v>
      </c>
      <c r="C3" s="0" t="n">
        <v>0.0613659001342514</v>
      </c>
      <c r="D3" s="0" t="n">
        <v>0.0613659001342514</v>
      </c>
      <c r="E3" s="0" t="n">
        <v>0.0613659001342514</v>
      </c>
      <c r="F3" s="0" t="n">
        <v>0.0613659001342514</v>
      </c>
      <c r="G3" s="0" t="n">
        <v>0.0613659001342514</v>
      </c>
      <c r="H3" s="0" t="n">
        <v>0.0613659001342514</v>
      </c>
      <c r="I3" s="0" t="n">
        <v>0.0613659001342514</v>
      </c>
      <c r="J3" s="0" t="n">
        <v>0.0613659001342514</v>
      </c>
      <c r="K3" s="0" t="n">
        <v>0.0613659001342514</v>
      </c>
      <c r="L3" s="0" t="n">
        <v>0.0613659001342514</v>
      </c>
      <c r="M3" s="0" t="n">
        <v>0.0613659001342514</v>
      </c>
      <c r="N3" s="0" t="n">
        <v>0.0613659001342514</v>
      </c>
      <c r="O3" s="0" t="n">
        <v>0.0613659001342514</v>
      </c>
      <c r="P3" s="0" t="n">
        <v>0.0613659001342514</v>
      </c>
      <c r="Q3" s="0" t="n">
        <v>0.0613659001342514</v>
      </c>
      <c r="R3" s="0" t="n">
        <v>0.0613659001342514</v>
      </c>
      <c r="S3" s="0" t="n">
        <v>0.0613659001342514</v>
      </c>
      <c r="T3" s="0" t="n">
        <v>0.0613659001342514</v>
      </c>
      <c r="U3" s="0" t="n">
        <v>0.0613659001342514</v>
      </c>
      <c r="V3" s="0" t="n">
        <v>0.323201621073961</v>
      </c>
      <c r="W3" s="0" t="n">
        <v>0.323201621073961</v>
      </c>
      <c r="X3" s="0" t="n">
        <v>0.323201621073961</v>
      </c>
      <c r="Y3" s="0" t="n">
        <v>0.323201621073961</v>
      </c>
      <c r="Z3" s="0" t="n">
        <v>0.323201621073961</v>
      </c>
      <c r="AA3" s="0" t="n">
        <v>0.323201621073961</v>
      </c>
      <c r="AB3" s="0" t="n">
        <v>0.323201621073961</v>
      </c>
      <c r="AC3" s="0" t="n">
        <v>0.323201621073961</v>
      </c>
      <c r="AD3" s="0" t="n">
        <v>0.323201621073961</v>
      </c>
      <c r="AE3" s="0" t="n">
        <v>0.323201621073961</v>
      </c>
      <c r="AF3" s="0" t="n">
        <v>0.323201621073961</v>
      </c>
      <c r="AG3" s="0" t="n">
        <v>0.323201621073961</v>
      </c>
      <c r="AH3" s="0" t="n">
        <v>0.323201621073961</v>
      </c>
      <c r="AI3" s="0" t="n">
        <v>0.323201621073961</v>
      </c>
      <c r="AJ3" s="0" t="n">
        <v>0.323201621073961</v>
      </c>
      <c r="AK3" s="0" t="n">
        <v>0.323201621073961</v>
      </c>
      <c r="AL3" s="0" t="n">
        <v>0.323201621073961</v>
      </c>
      <c r="AM3" s="0" t="n">
        <v>0.323201621073961</v>
      </c>
      <c r="AN3" s="0" t="n">
        <v>0.323201621073961</v>
      </c>
      <c r="AO3" s="0" t="n">
        <v>0.323201621073961</v>
      </c>
      <c r="AP3" s="0" t="n">
        <v>0.323201621073961</v>
      </c>
      <c r="AQ3" s="0" t="n">
        <v>0.323201621073961</v>
      </c>
      <c r="AR3" s="0" t="n">
        <v>0.323201621073961</v>
      </c>
      <c r="AS3" s="0" t="n">
        <v>0.323201621073961</v>
      </c>
      <c r="AT3" s="0" t="n">
        <v>0.323201621073961</v>
      </c>
      <c r="AU3" s="0" t="n">
        <v>0.375</v>
      </c>
      <c r="AV3" s="0" t="n">
        <v>0.375</v>
      </c>
      <c r="AW3" s="0" t="n">
        <v>0.375</v>
      </c>
      <c r="AX3" s="0" t="n">
        <v>0.375</v>
      </c>
      <c r="AY3" s="0" t="n">
        <v>0.375</v>
      </c>
      <c r="AZ3" s="0" t="n">
        <v>0.375</v>
      </c>
      <c r="BA3" s="0" t="n">
        <v>0.375</v>
      </c>
      <c r="BB3" s="0" t="n">
        <v>0.375</v>
      </c>
      <c r="BC3" s="0" t="n">
        <v>0.375</v>
      </c>
      <c r="BD3" s="0" t="n">
        <v>0.375</v>
      </c>
      <c r="BE3" s="0" t="n">
        <v>0.375</v>
      </c>
      <c r="BF3" s="0" t="n">
        <v>0.375</v>
      </c>
      <c r="BG3" s="0" t="n">
        <v>0.0613659001342514</v>
      </c>
      <c r="BH3" s="0" t="n">
        <v>0.0613659001342514</v>
      </c>
      <c r="BI3" s="0" t="n">
        <v>0.0613659001342514</v>
      </c>
      <c r="BJ3" s="0" t="n">
        <v>0.0613659001342514</v>
      </c>
      <c r="BK3" s="0" t="n">
        <v>0.0613659001342514</v>
      </c>
    </row>
    <row r="4" customFormat="false" ht="12.8" hidden="false" customHeight="false" outlineLevel="0" collapsed="false">
      <c r="A4" s="21" t="n">
        <f aca="false">A3+1/24</f>
        <v>43892.0833337499</v>
      </c>
      <c r="B4" s="0" t="n">
        <v>0.0403620458187173</v>
      </c>
      <c r="C4" s="0" t="n">
        <v>0.0403620458187173</v>
      </c>
      <c r="D4" s="0" t="n">
        <v>0.0403620458187173</v>
      </c>
      <c r="E4" s="0" t="n">
        <v>0.0403620458187173</v>
      </c>
      <c r="F4" s="0" t="n">
        <v>0.0403620458187173</v>
      </c>
      <c r="G4" s="0" t="n">
        <v>0.0403620458187173</v>
      </c>
      <c r="H4" s="0" t="n">
        <v>0.0403620458187173</v>
      </c>
      <c r="I4" s="0" t="n">
        <v>0.0403620458187173</v>
      </c>
      <c r="J4" s="0" t="n">
        <v>0.0403620458187173</v>
      </c>
      <c r="K4" s="0" t="n">
        <v>0.0403620458187173</v>
      </c>
      <c r="L4" s="0" t="n">
        <v>0.0403620458187173</v>
      </c>
      <c r="M4" s="0" t="n">
        <v>0.0403620458187173</v>
      </c>
      <c r="N4" s="0" t="n">
        <v>0.0403620458187173</v>
      </c>
      <c r="O4" s="0" t="n">
        <v>0.0403620458187173</v>
      </c>
      <c r="P4" s="0" t="n">
        <v>0.0403620458187173</v>
      </c>
      <c r="Q4" s="0" t="n">
        <v>0.0403620458187173</v>
      </c>
      <c r="R4" s="0" t="n">
        <v>0.0403620458187173</v>
      </c>
      <c r="S4" s="0" t="n">
        <v>0.0403620458187173</v>
      </c>
      <c r="T4" s="0" t="n">
        <v>0.0403620458187173</v>
      </c>
      <c r="U4" s="0" t="n">
        <v>0.0403620458187173</v>
      </c>
      <c r="V4" s="0" t="n">
        <v>0.377912867274569</v>
      </c>
      <c r="W4" s="0" t="n">
        <v>0.377912867274569</v>
      </c>
      <c r="X4" s="0" t="n">
        <v>0.377912867274569</v>
      </c>
      <c r="Y4" s="0" t="n">
        <v>0.377912867274569</v>
      </c>
      <c r="Z4" s="0" t="n">
        <v>0.377912867274569</v>
      </c>
      <c r="AA4" s="0" t="n">
        <v>0.377912867274569</v>
      </c>
      <c r="AB4" s="0" t="n">
        <v>0.377912867274569</v>
      </c>
      <c r="AC4" s="0" t="n">
        <v>0.377912867274569</v>
      </c>
      <c r="AD4" s="0" t="n">
        <v>0.377912867274569</v>
      </c>
      <c r="AE4" s="0" t="n">
        <v>0.377912867274569</v>
      </c>
      <c r="AF4" s="0" t="n">
        <v>0.377912867274569</v>
      </c>
      <c r="AG4" s="0" t="n">
        <v>0.377912867274569</v>
      </c>
      <c r="AH4" s="0" t="n">
        <v>0.377912867274569</v>
      </c>
      <c r="AI4" s="0" t="n">
        <v>0.377912867274569</v>
      </c>
      <c r="AJ4" s="0" t="n">
        <v>0.377912867274569</v>
      </c>
      <c r="AK4" s="0" t="n">
        <v>0.377912867274569</v>
      </c>
      <c r="AL4" s="0" t="n">
        <v>0.377912867274569</v>
      </c>
      <c r="AM4" s="0" t="n">
        <v>0.377912867274569</v>
      </c>
      <c r="AN4" s="0" t="n">
        <v>0.377912867274569</v>
      </c>
      <c r="AO4" s="0" t="n">
        <v>0.377912867274569</v>
      </c>
      <c r="AP4" s="0" t="n">
        <v>0.377912867274569</v>
      </c>
      <c r="AQ4" s="0" t="n">
        <v>0.377912867274569</v>
      </c>
      <c r="AR4" s="0" t="n">
        <v>0.377912867274569</v>
      </c>
      <c r="AS4" s="0" t="n">
        <v>0.377912867274569</v>
      </c>
      <c r="AT4" s="0" t="n">
        <v>0.377912867274569</v>
      </c>
      <c r="AU4" s="0" t="n">
        <v>0.125</v>
      </c>
      <c r="AV4" s="0" t="n">
        <v>0.125</v>
      </c>
      <c r="AW4" s="0" t="n">
        <v>0.125</v>
      </c>
      <c r="AX4" s="0" t="n">
        <v>0.125</v>
      </c>
      <c r="AY4" s="0" t="n">
        <v>0.125</v>
      </c>
      <c r="AZ4" s="0" t="n">
        <v>0.125</v>
      </c>
      <c r="BA4" s="0" t="n">
        <v>0.125</v>
      </c>
      <c r="BB4" s="0" t="n">
        <v>0.125</v>
      </c>
      <c r="BC4" s="0" t="n">
        <v>0.125</v>
      </c>
      <c r="BD4" s="0" t="n">
        <v>0.125</v>
      </c>
      <c r="BE4" s="0" t="n">
        <v>0.125</v>
      </c>
      <c r="BF4" s="0" t="n">
        <v>0.125</v>
      </c>
      <c r="BG4" s="0" t="n">
        <v>0.0403620458187173</v>
      </c>
      <c r="BH4" s="0" t="n">
        <v>0.0403620458187173</v>
      </c>
      <c r="BI4" s="0" t="n">
        <v>0.0403620458187173</v>
      </c>
      <c r="BJ4" s="0" t="n">
        <v>0.0403620458187173</v>
      </c>
      <c r="BK4" s="0" t="n">
        <v>0.0403620458187173</v>
      </c>
    </row>
    <row r="5" customFormat="false" ht="12.8" hidden="false" customHeight="false" outlineLevel="0" collapsed="false">
      <c r="A5" s="21" t="n">
        <f aca="false">A4+1/24</f>
        <v>43892.1250004166</v>
      </c>
      <c r="B5" s="0" t="n">
        <v>0.0471179247325798</v>
      </c>
      <c r="C5" s="0" t="n">
        <v>0.0471179247325798</v>
      </c>
      <c r="D5" s="0" t="n">
        <v>0.0471179247325798</v>
      </c>
      <c r="E5" s="0" t="n">
        <v>0.0471179247325798</v>
      </c>
      <c r="F5" s="0" t="n">
        <v>0.0471179247325798</v>
      </c>
      <c r="G5" s="0" t="n">
        <v>0.0471179247325798</v>
      </c>
      <c r="H5" s="0" t="n">
        <v>0.0471179247325798</v>
      </c>
      <c r="I5" s="0" t="n">
        <v>0.0471179247325798</v>
      </c>
      <c r="J5" s="0" t="n">
        <v>0.0471179247325798</v>
      </c>
      <c r="K5" s="0" t="n">
        <v>0.0471179247325798</v>
      </c>
      <c r="L5" s="0" t="n">
        <v>0.0471179247325798</v>
      </c>
      <c r="M5" s="0" t="n">
        <v>0.0471179247325798</v>
      </c>
      <c r="N5" s="0" t="n">
        <v>0.0471179247325798</v>
      </c>
      <c r="O5" s="0" t="n">
        <v>0.0471179247325798</v>
      </c>
      <c r="P5" s="0" t="n">
        <v>0.0471179247325798</v>
      </c>
      <c r="Q5" s="0" t="n">
        <v>0.0471179247325798</v>
      </c>
      <c r="R5" s="0" t="n">
        <v>0.0471179247325798</v>
      </c>
      <c r="S5" s="0" t="n">
        <v>0.0471179247325798</v>
      </c>
      <c r="T5" s="0" t="n">
        <v>0.0471179247325798</v>
      </c>
      <c r="U5" s="0" t="n">
        <v>0.0471179247325798</v>
      </c>
      <c r="V5" s="0" t="n">
        <v>0.506585612968592</v>
      </c>
      <c r="W5" s="0" t="n">
        <v>0.506585612968592</v>
      </c>
      <c r="X5" s="0" t="n">
        <v>0.506585612968592</v>
      </c>
      <c r="Y5" s="0" t="n">
        <v>0.506585612968592</v>
      </c>
      <c r="Z5" s="0" t="n">
        <v>0.506585612968592</v>
      </c>
      <c r="AA5" s="0" t="n">
        <v>0.506585612968592</v>
      </c>
      <c r="AB5" s="0" t="n">
        <v>0.506585612968592</v>
      </c>
      <c r="AC5" s="0" t="n">
        <v>0.506585612968592</v>
      </c>
      <c r="AD5" s="0" t="n">
        <v>0.506585612968592</v>
      </c>
      <c r="AE5" s="0" t="n">
        <v>0.506585612968592</v>
      </c>
      <c r="AF5" s="0" t="n">
        <v>0.506585612968592</v>
      </c>
      <c r="AG5" s="0" t="n">
        <v>0.506585612968592</v>
      </c>
      <c r="AH5" s="0" t="n">
        <v>0.506585612968592</v>
      </c>
      <c r="AI5" s="0" t="n">
        <v>0.506585612968592</v>
      </c>
      <c r="AJ5" s="0" t="n">
        <v>0.506585612968592</v>
      </c>
      <c r="AK5" s="0" t="n">
        <v>0.506585612968592</v>
      </c>
      <c r="AL5" s="0" t="n">
        <v>0.506585612968592</v>
      </c>
      <c r="AM5" s="0" t="n">
        <v>0.506585612968592</v>
      </c>
      <c r="AN5" s="0" t="n">
        <v>0.506585612968592</v>
      </c>
      <c r="AO5" s="0" t="n">
        <v>0.506585612968592</v>
      </c>
      <c r="AP5" s="0" t="n">
        <v>0.506585612968592</v>
      </c>
      <c r="AQ5" s="0" t="n">
        <v>0.506585612968592</v>
      </c>
      <c r="AR5" s="0" t="n">
        <v>0.506585612968592</v>
      </c>
      <c r="AS5" s="0" t="n">
        <v>0.506585612968592</v>
      </c>
      <c r="AT5" s="0" t="n">
        <v>0.506585612968592</v>
      </c>
      <c r="AU5" s="0" t="n">
        <v>0.375</v>
      </c>
      <c r="AV5" s="0" t="n">
        <v>0.375</v>
      </c>
      <c r="AW5" s="0" t="n">
        <v>0.375</v>
      </c>
      <c r="AX5" s="0" t="n">
        <v>0.375</v>
      </c>
      <c r="AY5" s="0" t="n">
        <v>0.375</v>
      </c>
      <c r="AZ5" s="0" t="n">
        <v>0.375</v>
      </c>
      <c r="BA5" s="0" t="n">
        <v>0.375</v>
      </c>
      <c r="BB5" s="0" t="n">
        <v>0.375</v>
      </c>
      <c r="BC5" s="0" t="n">
        <v>0.375</v>
      </c>
      <c r="BD5" s="0" t="n">
        <v>0.375</v>
      </c>
      <c r="BE5" s="0" t="n">
        <v>0.375</v>
      </c>
      <c r="BF5" s="0" t="n">
        <v>0.375</v>
      </c>
      <c r="BG5" s="0" t="n">
        <v>0.0471179247325798</v>
      </c>
      <c r="BH5" s="0" t="n">
        <v>0.0471179247325798</v>
      </c>
      <c r="BI5" s="0" t="n">
        <v>0.0471179247325798</v>
      </c>
      <c r="BJ5" s="0" t="n">
        <v>0.0471179247325798</v>
      </c>
      <c r="BK5" s="0" t="n">
        <v>0.0471179247325798</v>
      </c>
    </row>
    <row r="6" customFormat="false" ht="12.8" hidden="false" customHeight="false" outlineLevel="0" collapsed="false">
      <c r="A6" s="21" t="n">
        <f aca="false">A5+1/24</f>
        <v>43892.1666670833</v>
      </c>
      <c r="B6" s="0" t="n">
        <v>0.118747563985969</v>
      </c>
      <c r="C6" s="0" t="n">
        <v>0.118747563985969</v>
      </c>
      <c r="D6" s="0" t="n">
        <v>0.118747563985969</v>
      </c>
      <c r="E6" s="0" t="n">
        <v>0.118747563985969</v>
      </c>
      <c r="F6" s="0" t="n">
        <v>0.118747563985969</v>
      </c>
      <c r="G6" s="0" t="n">
        <v>0.118747563985969</v>
      </c>
      <c r="H6" s="0" t="n">
        <v>0.118747563985969</v>
      </c>
      <c r="I6" s="0" t="n">
        <v>0.118747563985969</v>
      </c>
      <c r="J6" s="0" t="n">
        <v>0.118747563985969</v>
      </c>
      <c r="K6" s="0" t="n">
        <v>0.118747563985969</v>
      </c>
      <c r="L6" s="0" t="n">
        <v>0.118747563985969</v>
      </c>
      <c r="M6" s="0" t="n">
        <v>0.118747563985969</v>
      </c>
      <c r="N6" s="0" t="n">
        <v>0.118747563985969</v>
      </c>
      <c r="O6" s="0" t="n">
        <v>0.118747563985969</v>
      </c>
      <c r="P6" s="0" t="n">
        <v>0.118747563985969</v>
      </c>
      <c r="Q6" s="0" t="n">
        <v>0.118747563985969</v>
      </c>
      <c r="R6" s="0" t="n">
        <v>0.118747563985969</v>
      </c>
      <c r="S6" s="0" t="n">
        <v>0.118747563985969</v>
      </c>
      <c r="T6" s="0" t="n">
        <v>0.118747563985969</v>
      </c>
      <c r="U6" s="0" t="n">
        <v>0.118747563985969</v>
      </c>
      <c r="V6" s="0" t="n">
        <v>0.597771023302938</v>
      </c>
      <c r="W6" s="0" t="n">
        <v>0.597771023302938</v>
      </c>
      <c r="X6" s="0" t="n">
        <v>0.597771023302938</v>
      </c>
      <c r="Y6" s="0" t="n">
        <v>0.597771023302938</v>
      </c>
      <c r="Z6" s="0" t="n">
        <v>0.597771023302938</v>
      </c>
      <c r="AA6" s="0" t="n">
        <v>0.597771023302938</v>
      </c>
      <c r="AB6" s="0" t="n">
        <v>0.597771023302938</v>
      </c>
      <c r="AC6" s="0" t="n">
        <v>0.597771023302938</v>
      </c>
      <c r="AD6" s="0" t="n">
        <v>0.597771023302938</v>
      </c>
      <c r="AE6" s="0" t="n">
        <v>0.597771023302938</v>
      </c>
      <c r="AF6" s="0" t="n">
        <v>0.597771023302938</v>
      </c>
      <c r="AG6" s="0" t="n">
        <v>0.597771023302938</v>
      </c>
      <c r="AH6" s="0" t="n">
        <v>0.597771023302938</v>
      </c>
      <c r="AI6" s="0" t="n">
        <v>0.597771023302938</v>
      </c>
      <c r="AJ6" s="0" t="n">
        <v>0.597771023302938</v>
      </c>
      <c r="AK6" s="0" t="n">
        <v>0.597771023302938</v>
      </c>
      <c r="AL6" s="0" t="n">
        <v>0.597771023302938</v>
      </c>
      <c r="AM6" s="0" t="n">
        <v>0.597771023302938</v>
      </c>
      <c r="AN6" s="0" t="n">
        <v>0.597771023302938</v>
      </c>
      <c r="AO6" s="0" t="n">
        <v>0.597771023302938</v>
      </c>
      <c r="AP6" s="0" t="n">
        <v>0.597771023302938</v>
      </c>
      <c r="AQ6" s="0" t="n">
        <v>0.597771023302938</v>
      </c>
      <c r="AR6" s="0" t="n">
        <v>0.597771023302938</v>
      </c>
      <c r="AS6" s="0" t="n">
        <v>0.597771023302938</v>
      </c>
      <c r="AT6" s="0" t="n">
        <v>0.597771023302938</v>
      </c>
      <c r="AU6" s="0" t="n">
        <v>0.75</v>
      </c>
      <c r="AV6" s="0" t="n">
        <v>0.75</v>
      </c>
      <c r="AW6" s="0" t="n">
        <v>0.75</v>
      </c>
      <c r="AX6" s="0" t="n">
        <v>0.75</v>
      </c>
      <c r="AY6" s="0" t="n">
        <v>0.75</v>
      </c>
      <c r="AZ6" s="0" t="n">
        <v>0.75</v>
      </c>
      <c r="BA6" s="0" t="n">
        <v>0.75</v>
      </c>
      <c r="BB6" s="0" t="n">
        <v>0.75</v>
      </c>
      <c r="BC6" s="0" t="n">
        <v>0.75</v>
      </c>
      <c r="BD6" s="0" t="n">
        <v>0.75</v>
      </c>
      <c r="BE6" s="0" t="n">
        <v>0.75</v>
      </c>
      <c r="BF6" s="0" t="n">
        <v>0.75</v>
      </c>
      <c r="BG6" s="0" t="n">
        <v>0.118747563985969</v>
      </c>
      <c r="BH6" s="0" t="n">
        <v>0.118747563985969</v>
      </c>
      <c r="BI6" s="0" t="n">
        <v>0.118747563985969</v>
      </c>
      <c r="BJ6" s="0" t="n">
        <v>0.118747563985969</v>
      </c>
      <c r="BK6" s="0" t="n">
        <v>0.118747563985969</v>
      </c>
    </row>
    <row r="7" customFormat="false" ht="12.8" hidden="false" customHeight="false" outlineLevel="0" collapsed="false">
      <c r="A7" s="21" t="n">
        <f aca="false">A6+1/24</f>
        <v>43892.2083337499</v>
      </c>
      <c r="B7" s="0" t="n">
        <v>0.427482568966264</v>
      </c>
      <c r="C7" s="0" t="n">
        <v>0.427482568966264</v>
      </c>
      <c r="D7" s="0" t="n">
        <v>0.427482568966264</v>
      </c>
      <c r="E7" s="0" t="n">
        <v>0.427482568966264</v>
      </c>
      <c r="F7" s="0" t="n">
        <v>0.427482568966264</v>
      </c>
      <c r="G7" s="0" t="n">
        <v>0.427482568966264</v>
      </c>
      <c r="H7" s="0" t="n">
        <v>0.427482568966264</v>
      </c>
      <c r="I7" s="0" t="n">
        <v>0.427482568966264</v>
      </c>
      <c r="J7" s="0" t="n">
        <v>0.427482568966264</v>
      </c>
      <c r="K7" s="0" t="n">
        <v>0.427482568966264</v>
      </c>
      <c r="L7" s="0" t="n">
        <v>0.427482568966264</v>
      </c>
      <c r="M7" s="0" t="n">
        <v>0.427482568966264</v>
      </c>
      <c r="N7" s="0" t="n">
        <v>0.427482568966264</v>
      </c>
      <c r="O7" s="0" t="n">
        <v>0.427482568966264</v>
      </c>
      <c r="P7" s="0" t="n">
        <v>0.427482568966264</v>
      </c>
      <c r="Q7" s="0" t="n">
        <v>0.427482568966264</v>
      </c>
      <c r="R7" s="0" t="n">
        <v>0.427482568966264</v>
      </c>
      <c r="S7" s="0" t="n">
        <v>0.427482568966264</v>
      </c>
      <c r="T7" s="0" t="n">
        <v>0.427482568966264</v>
      </c>
      <c r="U7" s="0" t="n">
        <v>0.427482568966264</v>
      </c>
      <c r="V7" s="0" t="n">
        <v>0.887537993920973</v>
      </c>
      <c r="W7" s="0" t="n">
        <v>0.887537993920973</v>
      </c>
      <c r="X7" s="0" t="n">
        <v>0.887537993920973</v>
      </c>
      <c r="Y7" s="0" t="n">
        <v>0.887537993920973</v>
      </c>
      <c r="Z7" s="0" t="n">
        <v>0.887537993920973</v>
      </c>
      <c r="AA7" s="0" t="n">
        <v>0.887537993920973</v>
      </c>
      <c r="AB7" s="0" t="n">
        <v>0.887537993920973</v>
      </c>
      <c r="AC7" s="0" t="n">
        <v>0.887537993920973</v>
      </c>
      <c r="AD7" s="0" t="n">
        <v>0.887537993920973</v>
      </c>
      <c r="AE7" s="0" t="n">
        <v>0.887537993920973</v>
      </c>
      <c r="AF7" s="0" t="n">
        <v>0.887537993920973</v>
      </c>
      <c r="AG7" s="0" t="n">
        <v>0.887537993920973</v>
      </c>
      <c r="AH7" s="0" t="n">
        <v>0.887537993920973</v>
      </c>
      <c r="AI7" s="0" t="n">
        <v>0.887537993920973</v>
      </c>
      <c r="AJ7" s="0" t="n">
        <v>0.887537993920973</v>
      </c>
      <c r="AK7" s="0" t="n">
        <v>0.887537993920973</v>
      </c>
      <c r="AL7" s="0" t="n">
        <v>0.887537993920973</v>
      </c>
      <c r="AM7" s="0" t="n">
        <v>0.887537993920973</v>
      </c>
      <c r="AN7" s="0" t="n">
        <v>0.887537993920973</v>
      </c>
      <c r="AO7" s="0" t="n">
        <v>0.887537993920973</v>
      </c>
      <c r="AP7" s="0" t="n">
        <v>0.887537993920973</v>
      </c>
      <c r="AQ7" s="0" t="n">
        <v>0.887537993920973</v>
      </c>
      <c r="AR7" s="0" t="n">
        <v>0.887537993920973</v>
      </c>
      <c r="AS7" s="0" t="n">
        <v>0.887537993920973</v>
      </c>
      <c r="AT7" s="0" t="n">
        <v>0.887537993920973</v>
      </c>
      <c r="AU7" s="0" t="n">
        <v>2</v>
      </c>
      <c r="AV7" s="0" t="n">
        <v>2</v>
      </c>
      <c r="AW7" s="0" t="n">
        <v>2</v>
      </c>
      <c r="AX7" s="0" t="n">
        <v>2</v>
      </c>
      <c r="AY7" s="0" t="n">
        <v>2</v>
      </c>
      <c r="AZ7" s="0" t="n">
        <v>2</v>
      </c>
      <c r="BA7" s="0" t="n">
        <v>2</v>
      </c>
      <c r="BB7" s="0" t="n">
        <v>2</v>
      </c>
      <c r="BC7" s="0" t="n">
        <v>2</v>
      </c>
      <c r="BD7" s="0" t="n">
        <v>2</v>
      </c>
      <c r="BE7" s="0" t="n">
        <v>2</v>
      </c>
      <c r="BF7" s="0" t="n">
        <v>2</v>
      </c>
      <c r="BG7" s="0" t="n">
        <v>0.427482568966264</v>
      </c>
      <c r="BH7" s="0" t="n">
        <v>0.427482568966264</v>
      </c>
      <c r="BI7" s="0" t="n">
        <v>0.427482568966264</v>
      </c>
      <c r="BJ7" s="0" t="n">
        <v>0.427482568966264</v>
      </c>
      <c r="BK7" s="0" t="n">
        <v>0.427482568966264</v>
      </c>
    </row>
    <row r="8" customFormat="false" ht="12.8" hidden="false" customHeight="false" outlineLevel="0" collapsed="false">
      <c r="A8" s="21" t="n">
        <f aca="false">A7+1/24</f>
        <v>43892.2500004166</v>
      </c>
      <c r="B8" s="0" t="n">
        <v>0.874280022519596</v>
      </c>
      <c r="C8" s="0" t="n">
        <v>0.874280022519596</v>
      </c>
      <c r="D8" s="0" t="n">
        <v>0.874280022519596</v>
      </c>
      <c r="E8" s="0" t="n">
        <v>0.874280022519596</v>
      </c>
      <c r="F8" s="0" t="n">
        <v>0.874280022519596</v>
      </c>
      <c r="G8" s="0" t="n">
        <v>0.874280022519596</v>
      </c>
      <c r="H8" s="0" t="n">
        <v>0.874280022519596</v>
      </c>
      <c r="I8" s="0" t="n">
        <v>0.874280022519596</v>
      </c>
      <c r="J8" s="0" t="n">
        <v>0.874280022519596</v>
      </c>
      <c r="K8" s="0" t="n">
        <v>0.874280022519596</v>
      </c>
      <c r="L8" s="0" t="n">
        <v>0.874280022519596</v>
      </c>
      <c r="M8" s="0" t="n">
        <v>0.874280022519596</v>
      </c>
      <c r="N8" s="0" t="n">
        <v>0.874280022519596</v>
      </c>
      <c r="O8" s="0" t="n">
        <v>0.874280022519596</v>
      </c>
      <c r="P8" s="0" t="n">
        <v>0.874280022519596</v>
      </c>
      <c r="Q8" s="0" t="n">
        <v>0.874280022519596</v>
      </c>
      <c r="R8" s="0" t="n">
        <v>0.874280022519596</v>
      </c>
      <c r="S8" s="0" t="n">
        <v>0.874280022519596</v>
      </c>
      <c r="T8" s="0" t="n">
        <v>0.874280022519596</v>
      </c>
      <c r="U8" s="0" t="n">
        <v>0.874280022519596</v>
      </c>
      <c r="V8" s="0" t="n">
        <v>1.09929078014184</v>
      </c>
      <c r="W8" s="0" t="n">
        <v>1.09929078014184</v>
      </c>
      <c r="X8" s="0" t="n">
        <v>1.09929078014184</v>
      </c>
      <c r="Y8" s="0" t="n">
        <v>1.09929078014184</v>
      </c>
      <c r="Z8" s="0" t="n">
        <v>1.09929078014184</v>
      </c>
      <c r="AA8" s="0" t="n">
        <v>1.09929078014184</v>
      </c>
      <c r="AB8" s="0" t="n">
        <v>1.09929078014184</v>
      </c>
      <c r="AC8" s="0" t="n">
        <v>1.09929078014184</v>
      </c>
      <c r="AD8" s="0" t="n">
        <v>1.09929078014184</v>
      </c>
      <c r="AE8" s="0" t="n">
        <v>1.09929078014184</v>
      </c>
      <c r="AF8" s="0" t="n">
        <v>1.09929078014184</v>
      </c>
      <c r="AG8" s="0" t="n">
        <v>1.09929078014184</v>
      </c>
      <c r="AH8" s="0" t="n">
        <v>1.09929078014184</v>
      </c>
      <c r="AI8" s="0" t="n">
        <v>1.09929078014184</v>
      </c>
      <c r="AJ8" s="0" t="n">
        <v>1.09929078014184</v>
      </c>
      <c r="AK8" s="0" t="n">
        <v>1.09929078014184</v>
      </c>
      <c r="AL8" s="0" t="n">
        <v>1.09929078014184</v>
      </c>
      <c r="AM8" s="0" t="n">
        <v>1.09929078014184</v>
      </c>
      <c r="AN8" s="0" t="n">
        <v>1.09929078014184</v>
      </c>
      <c r="AO8" s="0" t="n">
        <v>1.09929078014184</v>
      </c>
      <c r="AP8" s="0" t="n">
        <v>1.09929078014184</v>
      </c>
      <c r="AQ8" s="0" t="n">
        <v>1.09929078014184</v>
      </c>
      <c r="AR8" s="0" t="n">
        <v>1.09929078014184</v>
      </c>
      <c r="AS8" s="0" t="n">
        <v>1.09929078014184</v>
      </c>
      <c r="AT8" s="0" t="n">
        <v>1.09929078014184</v>
      </c>
      <c r="AU8" s="0" t="n">
        <v>1.5</v>
      </c>
      <c r="AV8" s="0" t="n">
        <v>1.5</v>
      </c>
      <c r="AW8" s="0" t="n">
        <v>1.5</v>
      </c>
      <c r="AX8" s="0" t="n">
        <v>1.5</v>
      </c>
      <c r="AY8" s="0" t="n">
        <v>1.5</v>
      </c>
      <c r="AZ8" s="0" t="n">
        <v>1.5</v>
      </c>
      <c r="BA8" s="0" t="n">
        <v>1.5</v>
      </c>
      <c r="BB8" s="0" t="n">
        <v>1.5</v>
      </c>
      <c r="BC8" s="0" t="n">
        <v>1.5</v>
      </c>
      <c r="BD8" s="0" t="n">
        <v>1.5</v>
      </c>
      <c r="BE8" s="0" t="n">
        <v>1.5</v>
      </c>
      <c r="BF8" s="0" t="n">
        <v>1.5</v>
      </c>
      <c r="BG8" s="0" t="n">
        <v>0.874280022519596</v>
      </c>
      <c r="BH8" s="0" t="n">
        <v>0.874280022519596</v>
      </c>
      <c r="BI8" s="0" t="n">
        <v>0.874280022519596</v>
      </c>
      <c r="BJ8" s="0" t="n">
        <v>0.874280022519596</v>
      </c>
      <c r="BK8" s="0" t="n">
        <v>0.874280022519596</v>
      </c>
    </row>
    <row r="9" customFormat="false" ht="12.8" hidden="false" customHeight="false" outlineLevel="0" collapsed="false">
      <c r="A9" s="21" t="n">
        <f aca="false">A8+1/24</f>
        <v>43892.2916670833</v>
      </c>
      <c r="B9" s="0" t="n">
        <v>1.01719284569746</v>
      </c>
      <c r="C9" s="0" t="n">
        <v>1.01719284569746</v>
      </c>
      <c r="D9" s="0" t="n">
        <v>1.01719284569746</v>
      </c>
      <c r="E9" s="0" t="n">
        <v>1.01719284569746</v>
      </c>
      <c r="F9" s="0" t="n">
        <v>1.01719284569746</v>
      </c>
      <c r="G9" s="0" t="n">
        <v>1.01719284569746</v>
      </c>
      <c r="H9" s="0" t="n">
        <v>1.01719284569746</v>
      </c>
      <c r="I9" s="0" t="n">
        <v>1.01719284569746</v>
      </c>
      <c r="J9" s="0" t="n">
        <v>1.01719284569746</v>
      </c>
      <c r="K9" s="0" t="n">
        <v>1.01719284569746</v>
      </c>
      <c r="L9" s="0" t="n">
        <v>1.01719284569746</v>
      </c>
      <c r="M9" s="0" t="n">
        <v>1.01719284569746</v>
      </c>
      <c r="N9" s="0" t="n">
        <v>1.01719284569746</v>
      </c>
      <c r="O9" s="0" t="n">
        <v>1.01719284569746</v>
      </c>
      <c r="P9" s="0" t="n">
        <v>1.01719284569746</v>
      </c>
      <c r="Q9" s="0" t="n">
        <v>1.01719284569746</v>
      </c>
      <c r="R9" s="0" t="n">
        <v>1.01719284569746</v>
      </c>
      <c r="S9" s="0" t="n">
        <v>1.01719284569746</v>
      </c>
      <c r="T9" s="0" t="n">
        <v>1.01719284569746</v>
      </c>
      <c r="U9" s="0" t="n">
        <v>1.01719284569746</v>
      </c>
      <c r="V9" s="0" t="n">
        <v>0.985815602836879</v>
      </c>
      <c r="W9" s="0" t="n">
        <v>0.985815602836879</v>
      </c>
      <c r="X9" s="0" t="n">
        <v>0.985815602836879</v>
      </c>
      <c r="Y9" s="0" t="n">
        <v>0.985815602836879</v>
      </c>
      <c r="Z9" s="0" t="n">
        <v>0.985815602836879</v>
      </c>
      <c r="AA9" s="0" t="n">
        <v>0.985815602836879</v>
      </c>
      <c r="AB9" s="0" t="n">
        <v>0.985815602836879</v>
      </c>
      <c r="AC9" s="0" t="n">
        <v>0.985815602836879</v>
      </c>
      <c r="AD9" s="0" t="n">
        <v>0.985815602836879</v>
      </c>
      <c r="AE9" s="0" t="n">
        <v>0.985815602836879</v>
      </c>
      <c r="AF9" s="0" t="n">
        <v>0.985815602836879</v>
      </c>
      <c r="AG9" s="0" t="n">
        <v>0.985815602836879</v>
      </c>
      <c r="AH9" s="0" t="n">
        <v>0.985815602836879</v>
      </c>
      <c r="AI9" s="0" t="n">
        <v>0.985815602836879</v>
      </c>
      <c r="AJ9" s="0" t="n">
        <v>0.985815602836879</v>
      </c>
      <c r="AK9" s="0" t="n">
        <v>0.985815602836879</v>
      </c>
      <c r="AL9" s="0" t="n">
        <v>0.985815602836879</v>
      </c>
      <c r="AM9" s="0" t="n">
        <v>0.985815602836879</v>
      </c>
      <c r="AN9" s="0" t="n">
        <v>0.985815602836879</v>
      </c>
      <c r="AO9" s="0" t="n">
        <v>0.985815602836879</v>
      </c>
      <c r="AP9" s="0" t="n">
        <v>0.985815602836879</v>
      </c>
      <c r="AQ9" s="0" t="n">
        <v>0.985815602836879</v>
      </c>
      <c r="AR9" s="0" t="n">
        <v>0.985815602836879</v>
      </c>
      <c r="AS9" s="0" t="n">
        <v>0.985815602836879</v>
      </c>
      <c r="AT9" s="0" t="n">
        <v>0.985815602836879</v>
      </c>
      <c r="AU9" s="0" t="n">
        <v>2.375</v>
      </c>
      <c r="AV9" s="0" t="n">
        <v>2.375</v>
      </c>
      <c r="AW9" s="0" t="n">
        <v>2.375</v>
      </c>
      <c r="AX9" s="0" t="n">
        <v>2.375</v>
      </c>
      <c r="AY9" s="0" t="n">
        <v>2.375</v>
      </c>
      <c r="AZ9" s="0" t="n">
        <v>2.375</v>
      </c>
      <c r="BA9" s="0" t="n">
        <v>2.375</v>
      </c>
      <c r="BB9" s="0" t="n">
        <v>2.375</v>
      </c>
      <c r="BC9" s="0" t="n">
        <v>2.375</v>
      </c>
      <c r="BD9" s="0" t="n">
        <v>2.375</v>
      </c>
      <c r="BE9" s="0" t="n">
        <v>2.375</v>
      </c>
      <c r="BF9" s="0" t="n">
        <v>2.375</v>
      </c>
      <c r="BG9" s="0" t="n">
        <v>1.01719284569746</v>
      </c>
      <c r="BH9" s="0" t="n">
        <v>1.01719284569746</v>
      </c>
      <c r="BI9" s="0" t="n">
        <v>1.01719284569746</v>
      </c>
      <c r="BJ9" s="0" t="n">
        <v>1.01719284569746</v>
      </c>
      <c r="BK9" s="0" t="n">
        <v>1.01719284569746</v>
      </c>
    </row>
    <row r="10" customFormat="false" ht="12.8" hidden="false" customHeight="false" outlineLevel="0" collapsed="false">
      <c r="A10" s="22" t="n">
        <f aca="false">A9+1/24</f>
        <v>43892.3333337499</v>
      </c>
      <c r="B10" s="1" t="n">
        <v>1</v>
      </c>
      <c r="C10" s="1" t="n">
        <v>1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v>1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1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20" t="n">
        <v>1</v>
      </c>
      <c r="AC10" s="20" t="n">
        <v>1</v>
      </c>
      <c r="AD10" s="20" t="n">
        <v>1</v>
      </c>
      <c r="AE10" s="20" t="n">
        <v>1</v>
      </c>
      <c r="AF10" s="20" t="n">
        <v>1</v>
      </c>
      <c r="AG10" s="20" t="n">
        <v>1</v>
      </c>
      <c r="AH10" s="20" t="n">
        <v>1</v>
      </c>
      <c r="AI10" s="20" t="n">
        <v>1</v>
      </c>
      <c r="AJ10" s="20" t="n">
        <v>1</v>
      </c>
      <c r="AK10" s="20" t="n">
        <v>1</v>
      </c>
      <c r="AL10" s="20" t="n">
        <v>1</v>
      </c>
      <c r="AM10" s="20" t="n">
        <v>1</v>
      </c>
      <c r="AN10" s="20" t="n">
        <v>1</v>
      </c>
      <c r="AO10" s="20" t="n">
        <v>1</v>
      </c>
      <c r="AP10" s="20" t="n">
        <v>1</v>
      </c>
      <c r="AQ10" s="20" t="n">
        <v>1</v>
      </c>
      <c r="AR10" s="20" t="n">
        <v>1</v>
      </c>
      <c r="AS10" s="20" t="n">
        <v>1</v>
      </c>
      <c r="AT10" s="20" t="n">
        <v>1</v>
      </c>
      <c r="AU10" s="20" t="n">
        <v>1</v>
      </c>
      <c r="AV10" s="20" t="n">
        <v>1</v>
      </c>
      <c r="AW10" s="20" t="n">
        <v>1</v>
      </c>
      <c r="AX10" s="20" t="n">
        <v>1</v>
      </c>
      <c r="AY10" s="20" t="n">
        <v>1</v>
      </c>
      <c r="AZ10" s="20" t="n">
        <v>1</v>
      </c>
      <c r="BA10" s="20" t="n">
        <v>1</v>
      </c>
      <c r="BB10" s="20" t="n">
        <v>1</v>
      </c>
      <c r="BC10" s="20" t="n">
        <v>1</v>
      </c>
      <c r="BD10" s="20" t="n">
        <v>1</v>
      </c>
      <c r="BE10" s="20" t="n">
        <v>1</v>
      </c>
      <c r="BF10" s="20" t="n">
        <v>1</v>
      </c>
      <c r="BG10" s="20" t="n">
        <v>1</v>
      </c>
      <c r="BH10" s="20" t="n">
        <v>1</v>
      </c>
      <c r="BI10" s="20" t="n">
        <v>1</v>
      </c>
      <c r="BJ10" s="20" t="n">
        <v>1</v>
      </c>
      <c r="BK10" s="20" t="n">
        <v>1</v>
      </c>
    </row>
    <row r="11" customFormat="false" ht="12.8" hidden="false" customHeight="false" outlineLevel="0" collapsed="false">
      <c r="A11" s="21" t="n">
        <f aca="false">A10+1/24</f>
        <v>43892.3750004166</v>
      </c>
      <c r="B11" s="0" t="n">
        <v>0.828504612186566</v>
      </c>
      <c r="C11" s="0" t="n">
        <v>0.828504612186566</v>
      </c>
      <c r="D11" s="0" t="n">
        <v>0.828504612186566</v>
      </c>
      <c r="E11" s="0" t="n">
        <v>0.828504612186566</v>
      </c>
      <c r="F11" s="0" t="n">
        <v>0.828504612186566</v>
      </c>
      <c r="G11" s="0" t="n">
        <v>0.828504612186566</v>
      </c>
      <c r="H11" s="0" t="n">
        <v>0.828504612186566</v>
      </c>
      <c r="I11" s="0" t="n">
        <v>0.828504612186566</v>
      </c>
      <c r="J11" s="0" t="n">
        <v>0.828504612186566</v>
      </c>
      <c r="K11" s="0" t="n">
        <v>0.828504612186566</v>
      </c>
      <c r="L11" s="0" t="n">
        <v>0.828504612186566</v>
      </c>
      <c r="M11" s="0" t="n">
        <v>0.828504612186566</v>
      </c>
      <c r="N11" s="0" t="n">
        <v>0.828504612186566</v>
      </c>
      <c r="O11" s="0" t="n">
        <v>0.828504612186566</v>
      </c>
      <c r="P11" s="0" t="n">
        <v>0.828504612186566</v>
      </c>
      <c r="Q11" s="0" t="n">
        <v>0.828504612186566</v>
      </c>
      <c r="R11" s="0" t="n">
        <v>0.828504612186566</v>
      </c>
      <c r="S11" s="0" t="n">
        <v>0.828504612186566</v>
      </c>
      <c r="T11" s="0" t="n">
        <v>0.828504612186566</v>
      </c>
      <c r="U11" s="0" t="n">
        <v>0.828504612186566</v>
      </c>
      <c r="V11" s="0" t="n">
        <v>1.20567375886525</v>
      </c>
      <c r="W11" s="0" t="n">
        <v>1.20567375886525</v>
      </c>
      <c r="X11" s="0" t="n">
        <v>1.20567375886525</v>
      </c>
      <c r="Y11" s="0" t="n">
        <v>1.20567375886525</v>
      </c>
      <c r="Z11" s="0" t="n">
        <v>1.20567375886525</v>
      </c>
      <c r="AA11" s="0" t="n">
        <v>1.20567375886525</v>
      </c>
      <c r="AB11" s="0" t="n">
        <v>1.20567375886525</v>
      </c>
      <c r="AC11" s="0" t="n">
        <v>1.20567375886525</v>
      </c>
      <c r="AD11" s="0" t="n">
        <v>1.20567375886525</v>
      </c>
      <c r="AE11" s="0" t="n">
        <v>1.20567375886525</v>
      </c>
      <c r="AF11" s="0" t="n">
        <v>1.20567375886525</v>
      </c>
      <c r="AG11" s="0" t="n">
        <v>1.20567375886525</v>
      </c>
      <c r="AH11" s="0" t="n">
        <v>1.20567375886525</v>
      </c>
      <c r="AI11" s="0" t="n">
        <v>1.20567375886525</v>
      </c>
      <c r="AJ11" s="0" t="n">
        <v>1.20567375886525</v>
      </c>
      <c r="AK11" s="0" t="n">
        <v>1.20567375886525</v>
      </c>
      <c r="AL11" s="0" t="n">
        <v>1.20567375886525</v>
      </c>
      <c r="AM11" s="0" t="n">
        <v>1.20567375886525</v>
      </c>
      <c r="AN11" s="0" t="n">
        <v>1.20567375886525</v>
      </c>
      <c r="AO11" s="0" t="n">
        <v>1.20567375886525</v>
      </c>
      <c r="AP11" s="0" t="n">
        <v>1.20567375886525</v>
      </c>
      <c r="AQ11" s="0" t="n">
        <v>1.20567375886525</v>
      </c>
      <c r="AR11" s="0" t="n">
        <v>1.20567375886525</v>
      </c>
      <c r="AS11" s="0" t="n">
        <v>1.20567375886525</v>
      </c>
      <c r="AT11" s="0" t="n">
        <v>1.20567375886525</v>
      </c>
      <c r="AU11" s="0" t="n">
        <v>0.5</v>
      </c>
      <c r="AV11" s="0" t="n">
        <v>0.5</v>
      </c>
      <c r="AW11" s="0" t="n">
        <v>0.5</v>
      </c>
      <c r="AX11" s="0" t="n">
        <v>0.5</v>
      </c>
      <c r="AY11" s="0" t="n">
        <v>0.5</v>
      </c>
      <c r="AZ11" s="0" t="n">
        <v>0.5</v>
      </c>
      <c r="BA11" s="0" t="n">
        <v>0.5</v>
      </c>
      <c r="BB11" s="0" t="n">
        <v>0.5</v>
      </c>
      <c r="BC11" s="0" t="n">
        <v>0.5</v>
      </c>
      <c r="BD11" s="0" t="n">
        <v>0.5</v>
      </c>
      <c r="BE11" s="0" t="n">
        <v>0.5</v>
      </c>
      <c r="BF11" s="0" t="n">
        <v>0.5</v>
      </c>
      <c r="BG11" s="0" t="n">
        <v>0.828504612186566</v>
      </c>
      <c r="BH11" s="0" t="n">
        <v>0.828504612186566</v>
      </c>
      <c r="BI11" s="0" t="n">
        <v>0.828504612186566</v>
      </c>
      <c r="BJ11" s="0" t="n">
        <v>0.828504612186566</v>
      </c>
      <c r="BK11" s="0" t="n">
        <v>0.828504612186566</v>
      </c>
    </row>
    <row r="12" customFormat="false" ht="12.8" hidden="false" customHeight="false" outlineLevel="0" collapsed="false">
      <c r="A12" s="21" t="n">
        <f aca="false">A11+1/24</f>
        <v>43892.4166670833</v>
      </c>
      <c r="B12" s="0" t="n">
        <v>0.840284093369711</v>
      </c>
      <c r="C12" s="0" t="n">
        <v>0.840284093369711</v>
      </c>
      <c r="D12" s="0" t="n">
        <v>0.840284093369711</v>
      </c>
      <c r="E12" s="0" t="n">
        <v>0.840284093369711</v>
      </c>
      <c r="F12" s="0" t="n">
        <v>0.840284093369711</v>
      </c>
      <c r="G12" s="0" t="n">
        <v>0.840284093369711</v>
      </c>
      <c r="H12" s="0" t="n">
        <v>0.840284093369711</v>
      </c>
      <c r="I12" s="0" t="n">
        <v>0.840284093369711</v>
      </c>
      <c r="J12" s="0" t="n">
        <v>0.840284093369711</v>
      </c>
      <c r="K12" s="0" t="n">
        <v>0.840284093369711</v>
      </c>
      <c r="L12" s="0" t="n">
        <v>0.840284093369711</v>
      </c>
      <c r="M12" s="0" t="n">
        <v>0.840284093369711</v>
      </c>
      <c r="N12" s="0" t="n">
        <v>0.840284093369711</v>
      </c>
      <c r="O12" s="0" t="n">
        <v>0.840284093369711</v>
      </c>
      <c r="P12" s="0" t="n">
        <v>0.840284093369711</v>
      </c>
      <c r="Q12" s="0" t="n">
        <v>0.840284093369711</v>
      </c>
      <c r="R12" s="0" t="n">
        <v>0.840284093369711</v>
      </c>
      <c r="S12" s="0" t="n">
        <v>0.840284093369711</v>
      </c>
      <c r="T12" s="0" t="n">
        <v>0.840284093369711</v>
      </c>
      <c r="U12" s="0" t="n">
        <v>0.840284093369711</v>
      </c>
      <c r="V12" s="0" t="n">
        <v>1.26139817629179</v>
      </c>
      <c r="W12" s="0" t="n">
        <v>1.26139817629179</v>
      </c>
      <c r="X12" s="0" t="n">
        <v>1.26139817629179</v>
      </c>
      <c r="Y12" s="0" t="n">
        <v>1.26139817629179</v>
      </c>
      <c r="Z12" s="0" t="n">
        <v>1.26139817629179</v>
      </c>
      <c r="AA12" s="0" t="n">
        <v>1.26139817629179</v>
      </c>
      <c r="AB12" s="0" t="n">
        <v>1.26139817629179</v>
      </c>
      <c r="AC12" s="0" t="n">
        <v>1.26139817629179</v>
      </c>
      <c r="AD12" s="0" t="n">
        <v>1.26139817629179</v>
      </c>
      <c r="AE12" s="0" t="n">
        <v>1.26139817629179</v>
      </c>
      <c r="AF12" s="0" t="n">
        <v>1.26139817629179</v>
      </c>
      <c r="AG12" s="0" t="n">
        <v>1.26139817629179</v>
      </c>
      <c r="AH12" s="0" t="n">
        <v>1.26139817629179</v>
      </c>
      <c r="AI12" s="0" t="n">
        <v>1.26139817629179</v>
      </c>
      <c r="AJ12" s="0" t="n">
        <v>1.26139817629179</v>
      </c>
      <c r="AK12" s="0" t="n">
        <v>1.26139817629179</v>
      </c>
      <c r="AL12" s="0" t="n">
        <v>1.26139817629179</v>
      </c>
      <c r="AM12" s="0" t="n">
        <v>1.26139817629179</v>
      </c>
      <c r="AN12" s="0" t="n">
        <v>1.26139817629179</v>
      </c>
      <c r="AO12" s="0" t="n">
        <v>1.26139817629179</v>
      </c>
      <c r="AP12" s="0" t="n">
        <v>1.26139817629179</v>
      </c>
      <c r="AQ12" s="0" t="n">
        <v>1.26139817629179</v>
      </c>
      <c r="AR12" s="0" t="n">
        <v>1.26139817629179</v>
      </c>
      <c r="AS12" s="0" t="n">
        <v>1.26139817629179</v>
      </c>
      <c r="AT12" s="0" t="n">
        <v>1.26139817629179</v>
      </c>
      <c r="AU12" s="0" t="n">
        <v>0.375</v>
      </c>
      <c r="AV12" s="0" t="n">
        <v>0.375</v>
      </c>
      <c r="AW12" s="0" t="n">
        <v>0.375</v>
      </c>
      <c r="AX12" s="0" t="n">
        <v>0.375</v>
      </c>
      <c r="AY12" s="0" t="n">
        <v>0.375</v>
      </c>
      <c r="AZ12" s="0" t="n">
        <v>0.375</v>
      </c>
      <c r="BA12" s="0" t="n">
        <v>0.375</v>
      </c>
      <c r="BB12" s="0" t="n">
        <v>0.375</v>
      </c>
      <c r="BC12" s="0" t="n">
        <v>0.375</v>
      </c>
      <c r="BD12" s="0" t="n">
        <v>0.375</v>
      </c>
      <c r="BE12" s="0" t="n">
        <v>0.375</v>
      </c>
      <c r="BF12" s="0" t="n">
        <v>0.375</v>
      </c>
      <c r="BG12" s="0" t="n">
        <v>0.840284093369711</v>
      </c>
      <c r="BH12" s="0" t="n">
        <v>0.840284093369711</v>
      </c>
      <c r="BI12" s="0" t="n">
        <v>0.840284093369711</v>
      </c>
      <c r="BJ12" s="0" t="n">
        <v>0.840284093369711</v>
      </c>
      <c r="BK12" s="0" t="n">
        <v>0.840284093369711</v>
      </c>
    </row>
    <row r="13" customFormat="false" ht="12.8" hidden="false" customHeight="false" outlineLevel="0" collapsed="false">
      <c r="A13" s="21" t="n">
        <f aca="false">A12+1/24</f>
        <v>43892.4583337499</v>
      </c>
      <c r="B13" s="0" t="n">
        <v>0.812740894720887</v>
      </c>
      <c r="C13" s="0" t="n">
        <v>0.812740894720887</v>
      </c>
      <c r="D13" s="0" t="n">
        <v>0.812740894720887</v>
      </c>
      <c r="E13" s="0" t="n">
        <v>0.812740894720887</v>
      </c>
      <c r="F13" s="0" t="n">
        <v>0.812740894720887</v>
      </c>
      <c r="G13" s="0" t="n">
        <v>0.812740894720887</v>
      </c>
      <c r="H13" s="0" t="n">
        <v>0.812740894720887</v>
      </c>
      <c r="I13" s="0" t="n">
        <v>0.812740894720887</v>
      </c>
      <c r="J13" s="0" t="n">
        <v>0.812740894720887</v>
      </c>
      <c r="K13" s="0" t="n">
        <v>0.812740894720887</v>
      </c>
      <c r="L13" s="0" t="n">
        <v>0.812740894720887</v>
      </c>
      <c r="M13" s="0" t="n">
        <v>0.812740894720887</v>
      </c>
      <c r="N13" s="0" t="n">
        <v>0.812740894720887</v>
      </c>
      <c r="O13" s="0" t="n">
        <v>0.812740894720887</v>
      </c>
      <c r="P13" s="0" t="n">
        <v>0.812740894720887</v>
      </c>
      <c r="Q13" s="0" t="n">
        <v>0.812740894720887</v>
      </c>
      <c r="R13" s="0" t="n">
        <v>0.812740894720887</v>
      </c>
      <c r="S13" s="0" t="n">
        <v>0.812740894720887</v>
      </c>
      <c r="T13" s="0" t="n">
        <v>0.812740894720887</v>
      </c>
      <c r="U13" s="0" t="n">
        <v>0.812740894720887</v>
      </c>
      <c r="V13" s="0" t="n">
        <v>1.21783181357649</v>
      </c>
      <c r="W13" s="0" t="n">
        <v>1.21783181357649</v>
      </c>
      <c r="X13" s="0" t="n">
        <v>1.21783181357649</v>
      </c>
      <c r="Y13" s="0" t="n">
        <v>1.21783181357649</v>
      </c>
      <c r="Z13" s="0" t="n">
        <v>1.21783181357649</v>
      </c>
      <c r="AA13" s="0" t="n">
        <v>1.21783181357649</v>
      </c>
      <c r="AB13" s="0" t="n">
        <v>1.21783181357649</v>
      </c>
      <c r="AC13" s="0" t="n">
        <v>1.21783181357649</v>
      </c>
      <c r="AD13" s="0" t="n">
        <v>1.21783181357649</v>
      </c>
      <c r="AE13" s="0" t="n">
        <v>1.21783181357649</v>
      </c>
      <c r="AF13" s="0" t="n">
        <v>1.21783181357649</v>
      </c>
      <c r="AG13" s="0" t="n">
        <v>1.21783181357649</v>
      </c>
      <c r="AH13" s="0" t="n">
        <v>1.21783181357649</v>
      </c>
      <c r="AI13" s="0" t="n">
        <v>1.21783181357649</v>
      </c>
      <c r="AJ13" s="0" t="n">
        <v>1.21783181357649</v>
      </c>
      <c r="AK13" s="0" t="n">
        <v>1.21783181357649</v>
      </c>
      <c r="AL13" s="0" t="n">
        <v>1.21783181357649</v>
      </c>
      <c r="AM13" s="0" t="n">
        <v>1.21783181357649</v>
      </c>
      <c r="AN13" s="0" t="n">
        <v>1.21783181357649</v>
      </c>
      <c r="AO13" s="0" t="n">
        <v>1.21783181357649</v>
      </c>
      <c r="AP13" s="0" t="n">
        <v>1.21783181357649</v>
      </c>
      <c r="AQ13" s="0" t="n">
        <v>1.21783181357649</v>
      </c>
      <c r="AR13" s="0" t="n">
        <v>1.21783181357649</v>
      </c>
      <c r="AS13" s="0" t="n">
        <v>1.21783181357649</v>
      </c>
      <c r="AT13" s="0" t="n">
        <v>1.21783181357649</v>
      </c>
      <c r="AU13" s="0" t="n">
        <v>0.625</v>
      </c>
      <c r="AV13" s="0" t="n">
        <v>0.625</v>
      </c>
      <c r="AW13" s="0" t="n">
        <v>0.625</v>
      </c>
      <c r="AX13" s="0" t="n">
        <v>0.625</v>
      </c>
      <c r="AY13" s="0" t="n">
        <v>0.625</v>
      </c>
      <c r="AZ13" s="0" t="n">
        <v>0.625</v>
      </c>
      <c r="BA13" s="0" t="n">
        <v>0.625</v>
      </c>
      <c r="BB13" s="0" t="n">
        <v>0.625</v>
      </c>
      <c r="BC13" s="0" t="n">
        <v>0.625</v>
      </c>
      <c r="BD13" s="0" t="n">
        <v>0.625</v>
      </c>
      <c r="BE13" s="0" t="n">
        <v>0.625</v>
      </c>
      <c r="BF13" s="0" t="n">
        <v>0.625</v>
      </c>
      <c r="BG13" s="0" t="n">
        <v>0.812740894720887</v>
      </c>
      <c r="BH13" s="0" t="n">
        <v>0.812740894720887</v>
      </c>
      <c r="BI13" s="0" t="n">
        <v>0.812740894720887</v>
      </c>
      <c r="BJ13" s="0" t="n">
        <v>0.812740894720887</v>
      </c>
      <c r="BK13" s="0" t="n">
        <v>0.812740894720887</v>
      </c>
    </row>
    <row r="14" customFormat="false" ht="12.8" hidden="false" customHeight="false" outlineLevel="0" collapsed="false">
      <c r="A14" s="21" t="n">
        <f aca="false">A13+1/24</f>
        <v>43892.5000004166</v>
      </c>
      <c r="B14" s="0" t="n">
        <v>0.773937897882292</v>
      </c>
      <c r="C14" s="0" t="n">
        <v>0.773937897882292</v>
      </c>
      <c r="D14" s="0" t="n">
        <v>0.773937897882292</v>
      </c>
      <c r="E14" s="0" t="n">
        <v>0.773937897882292</v>
      </c>
      <c r="F14" s="0" t="n">
        <v>0.773937897882292</v>
      </c>
      <c r="G14" s="0" t="n">
        <v>0.773937897882292</v>
      </c>
      <c r="H14" s="0" t="n">
        <v>0.773937897882292</v>
      </c>
      <c r="I14" s="0" t="n">
        <v>0.773937897882292</v>
      </c>
      <c r="J14" s="0" t="n">
        <v>0.773937897882292</v>
      </c>
      <c r="K14" s="0" t="n">
        <v>0.773937897882292</v>
      </c>
      <c r="L14" s="0" t="n">
        <v>0.773937897882292</v>
      </c>
      <c r="M14" s="0" t="n">
        <v>0.773937897882292</v>
      </c>
      <c r="N14" s="0" t="n">
        <v>0.773937897882292</v>
      </c>
      <c r="O14" s="0" t="n">
        <v>0.773937897882292</v>
      </c>
      <c r="P14" s="0" t="n">
        <v>0.773937897882292</v>
      </c>
      <c r="Q14" s="0" t="n">
        <v>0.773937897882292</v>
      </c>
      <c r="R14" s="0" t="n">
        <v>0.773937897882292</v>
      </c>
      <c r="S14" s="0" t="n">
        <v>0.773937897882292</v>
      </c>
      <c r="T14" s="0" t="n">
        <v>0.773937897882292</v>
      </c>
      <c r="U14" s="0" t="n">
        <v>0.773937897882292</v>
      </c>
      <c r="V14" s="0" t="n">
        <v>1.13677811550152</v>
      </c>
      <c r="W14" s="0" t="n">
        <v>1.13677811550152</v>
      </c>
      <c r="X14" s="0" t="n">
        <v>1.13677811550152</v>
      </c>
      <c r="Y14" s="0" t="n">
        <v>1.13677811550152</v>
      </c>
      <c r="Z14" s="0" t="n">
        <v>1.13677811550152</v>
      </c>
      <c r="AA14" s="0" t="n">
        <v>1.13677811550152</v>
      </c>
      <c r="AB14" s="0" t="n">
        <v>1.13677811550152</v>
      </c>
      <c r="AC14" s="0" t="n">
        <v>1.13677811550152</v>
      </c>
      <c r="AD14" s="0" t="n">
        <v>1.13677811550152</v>
      </c>
      <c r="AE14" s="0" t="n">
        <v>1.13677811550152</v>
      </c>
      <c r="AF14" s="0" t="n">
        <v>1.13677811550152</v>
      </c>
      <c r="AG14" s="0" t="n">
        <v>1.13677811550152</v>
      </c>
      <c r="AH14" s="0" t="n">
        <v>1.13677811550152</v>
      </c>
      <c r="AI14" s="0" t="n">
        <v>1.13677811550152</v>
      </c>
      <c r="AJ14" s="0" t="n">
        <v>1.13677811550152</v>
      </c>
      <c r="AK14" s="0" t="n">
        <v>1.13677811550152</v>
      </c>
      <c r="AL14" s="0" t="n">
        <v>1.13677811550152</v>
      </c>
      <c r="AM14" s="0" t="n">
        <v>1.13677811550152</v>
      </c>
      <c r="AN14" s="0" t="n">
        <v>1.13677811550152</v>
      </c>
      <c r="AO14" s="0" t="n">
        <v>1.13677811550152</v>
      </c>
      <c r="AP14" s="0" t="n">
        <v>1.13677811550152</v>
      </c>
      <c r="AQ14" s="0" t="n">
        <v>1.13677811550152</v>
      </c>
      <c r="AR14" s="0" t="n">
        <v>1.13677811550152</v>
      </c>
      <c r="AS14" s="0" t="n">
        <v>1.13677811550152</v>
      </c>
      <c r="AT14" s="0" t="n">
        <v>1.13677811550152</v>
      </c>
      <c r="AU14" s="0" t="n">
        <v>0.875</v>
      </c>
      <c r="AV14" s="0" t="n">
        <v>0.875</v>
      </c>
      <c r="AW14" s="0" t="n">
        <v>0.875</v>
      </c>
      <c r="AX14" s="0" t="n">
        <v>0.875</v>
      </c>
      <c r="AY14" s="0" t="n">
        <v>0.875</v>
      </c>
      <c r="AZ14" s="0" t="n">
        <v>0.875</v>
      </c>
      <c r="BA14" s="0" t="n">
        <v>0.875</v>
      </c>
      <c r="BB14" s="0" t="n">
        <v>0.875</v>
      </c>
      <c r="BC14" s="0" t="n">
        <v>0.875</v>
      </c>
      <c r="BD14" s="0" t="n">
        <v>0.875</v>
      </c>
      <c r="BE14" s="0" t="n">
        <v>0.875</v>
      </c>
      <c r="BF14" s="0" t="n">
        <v>0.875</v>
      </c>
      <c r="BG14" s="0" t="n">
        <v>0.773937897882292</v>
      </c>
      <c r="BH14" s="0" t="n">
        <v>0.773937897882292</v>
      </c>
      <c r="BI14" s="0" t="n">
        <v>0.773937897882292</v>
      </c>
      <c r="BJ14" s="0" t="n">
        <v>0.773937897882292</v>
      </c>
      <c r="BK14" s="0" t="n">
        <v>0.773937897882292</v>
      </c>
    </row>
    <row r="15" customFormat="false" ht="12.8" hidden="false" customHeight="false" outlineLevel="0" collapsed="false">
      <c r="A15" s="21" t="n">
        <f aca="false">A14+1/24</f>
        <v>43892.5416670833</v>
      </c>
      <c r="B15" s="0" t="n">
        <v>0.776449699016933</v>
      </c>
      <c r="C15" s="0" t="n">
        <v>0.776449699016933</v>
      </c>
      <c r="D15" s="0" t="n">
        <v>0.776449699016933</v>
      </c>
      <c r="E15" s="0" t="n">
        <v>0.776449699016933</v>
      </c>
      <c r="F15" s="0" t="n">
        <v>0.776449699016933</v>
      </c>
      <c r="G15" s="0" t="n">
        <v>0.776449699016933</v>
      </c>
      <c r="H15" s="0" t="n">
        <v>0.776449699016933</v>
      </c>
      <c r="I15" s="0" t="n">
        <v>0.776449699016933</v>
      </c>
      <c r="J15" s="0" t="n">
        <v>0.776449699016933</v>
      </c>
      <c r="K15" s="0" t="n">
        <v>0.776449699016933</v>
      </c>
      <c r="L15" s="0" t="n">
        <v>0.776449699016933</v>
      </c>
      <c r="M15" s="0" t="n">
        <v>0.776449699016933</v>
      </c>
      <c r="N15" s="0" t="n">
        <v>0.776449699016933</v>
      </c>
      <c r="O15" s="0" t="n">
        <v>0.776449699016933</v>
      </c>
      <c r="P15" s="0" t="n">
        <v>0.776449699016933</v>
      </c>
      <c r="Q15" s="0" t="n">
        <v>0.776449699016933</v>
      </c>
      <c r="R15" s="0" t="n">
        <v>0.776449699016933</v>
      </c>
      <c r="S15" s="0" t="n">
        <v>0.776449699016933</v>
      </c>
      <c r="T15" s="0" t="n">
        <v>0.776449699016933</v>
      </c>
      <c r="U15" s="0" t="n">
        <v>0.776449699016933</v>
      </c>
      <c r="V15" s="0" t="n">
        <v>1.06686930091185</v>
      </c>
      <c r="W15" s="0" t="n">
        <v>1.06686930091185</v>
      </c>
      <c r="X15" s="0" t="n">
        <v>1.06686930091185</v>
      </c>
      <c r="Y15" s="0" t="n">
        <v>1.06686930091185</v>
      </c>
      <c r="Z15" s="0" t="n">
        <v>1.06686930091185</v>
      </c>
      <c r="AA15" s="0" t="n">
        <v>1.06686930091185</v>
      </c>
      <c r="AB15" s="0" t="n">
        <v>1.06686930091185</v>
      </c>
      <c r="AC15" s="0" t="n">
        <v>1.06686930091185</v>
      </c>
      <c r="AD15" s="0" t="n">
        <v>1.06686930091185</v>
      </c>
      <c r="AE15" s="0" t="n">
        <v>1.06686930091185</v>
      </c>
      <c r="AF15" s="0" t="n">
        <v>1.06686930091185</v>
      </c>
      <c r="AG15" s="0" t="n">
        <v>1.06686930091185</v>
      </c>
      <c r="AH15" s="0" t="n">
        <v>1.06686930091185</v>
      </c>
      <c r="AI15" s="0" t="n">
        <v>1.06686930091185</v>
      </c>
      <c r="AJ15" s="0" t="n">
        <v>1.06686930091185</v>
      </c>
      <c r="AK15" s="0" t="n">
        <v>1.06686930091185</v>
      </c>
      <c r="AL15" s="0" t="n">
        <v>1.06686930091185</v>
      </c>
      <c r="AM15" s="0" t="n">
        <v>1.06686930091185</v>
      </c>
      <c r="AN15" s="0" t="n">
        <v>1.06686930091185</v>
      </c>
      <c r="AO15" s="0" t="n">
        <v>1.06686930091185</v>
      </c>
      <c r="AP15" s="0" t="n">
        <v>1.06686930091185</v>
      </c>
      <c r="AQ15" s="0" t="n">
        <v>1.06686930091185</v>
      </c>
      <c r="AR15" s="0" t="n">
        <v>1.06686930091185</v>
      </c>
      <c r="AS15" s="0" t="n">
        <v>1.06686930091185</v>
      </c>
      <c r="AT15" s="0" t="n">
        <v>1.06686930091185</v>
      </c>
      <c r="AU15" s="0" t="n">
        <v>0.625</v>
      </c>
      <c r="AV15" s="0" t="n">
        <v>0.625</v>
      </c>
      <c r="AW15" s="0" t="n">
        <v>0.625</v>
      </c>
      <c r="AX15" s="0" t="n">
        <v>0.625</v>
      </c>
      <c r="AY15" s="0" t="n">
        <v>0.625</v>
      </c>
      <c r="AZ15" s="0" t="n">
        <v>0.625</v>
      </c>
      <c r="BA15" s="0" t="n">
        <v>0.625</v>
      </c>
      <c r="BB15" s="0" t="n">
        <v>0.625</v>
      </c>
      <c r="BC15" s="0" t="n">
        <v>0.625</v>
      </c>
      <c r="BD15" s="0" t="n">
        <v>0.625</v>
      </c>
      <c r="BE15" s="0" t="n">
        <v>0.625</v>
      </c>
      <c r="BF15" s="0" t="n">
        <v>0.625</v>
      </c>
      <c r="BG15" s="0" t="n">
        <v>0.776449699016933</v>
      </c>
      <c r="BH15" s="0" t="n">
        <v>0.776449699016933</v>
      </c>
      <c r="BI15" s="0" t="n">
        <v>0.776449699016933</v>
      </c>
      <c r="BJ15" s="0" t="n">
        <v>0.776449699016933</v>
      </c>
      <c r="BK15" s="0" t="n">
        <v>0.776449699016933</v>
      </c>
    </row>
    <row r="16" customFormat="false" ht="12.8" hidden="false" customHeight="false" outlineLevel="0" collapsed="false">
      <c r="A16" s="21" t="n">
        <f aca="false">A15+1/24</f>
        <v>43892.5833337499</v>
      </c>
      <c r="B16" s="0" t="n">
        <v>0.770473344593132</v>
      </c>
      <c r="C16" s="0" t="n">
        <v>0.770473344593132</v>
      </c>
      <c r="D16" s="0" t="n">
        <v>0.770473344593132</v>
      </c>
      <c r="E16" s="0" t="n">
        <v>0.770473344593132</v>
      </c>
      <c r="F16" s="0" t="n">
        <v>0.770473344593132</v>
      </c>
      <c r="G16" s="0" t="n">
        <v>0.770473344593132</v>
      </c>
      <c r="H16" s="0" t="n">
        <v>0.770473344593132</v>
      </c>
      <c r="I16" s="0" t="n">
        <v>0.770473344593132</v>
      </c>
      <c r="J16" s="0" t="n">
        <v>0.770473344593132</v>
      </c>
      <c r="K16" s="0" t="n">
        <v>0.770473344593132</v>
      </c>
      <c r="L16" s="0" t="n">
        <v>0.770473344593132</v>
      </c>
      <c r="M16" s="0" t="n">
        <v>0.770473344593132</v>
      </c>
      <c r="N16" s="0" t="n">
        <v>0.770473344593132</v>
      </c>
      <c r="O16" s="0" t="n">
        <v>0.770473344593132</v>
      </c>
      <c r="P16" s="0" t="n">
        <v>0.770473344593132</v>
      </c>
      <c r="Q16" s="0" t="n">
        <v>0.770473344593132</v>
      </c>
      <c r="R16" s="0" t="n">
        <v>0.770473344593132</v>
      </c>
      <c r="S16" s="0" t="n">
        <v>0.770473344593132</v>
      </c>
      <c r="T16" s="0" t="n">
        <v>0.770473344593132</v>
      </c>
      <c r="U16" s="0" t="n">
        <v>0.770473344593132</v>
      </c>
      <c r="V16" s="0" t="n">
        <v>1.14589665653495</v>
      </c>
      <c r="W16" s="0" t="n">
        <v>1.14589665653495</v>
      </c>
      <c r="X16" s="0" t="n">
        <v>1.14589665653495</v>
      </c>
      <c r="Y16" s="0" t="n">
        <v>1.14589665653495</v>
      </c>
      <c r="Z16" s="0" t="n">
        <v>1.14589665653495</v>
      </c>
      <c r="AA16" s="0" t="n">
        <v>1.14589665653495</v>
      </c>
      <c r="AB16" s="0" t="n">
        <v>1.14589665653495</v>
      </c>
      <c r="AC16" s="0" t="n">
        <v>1.14589665653495</v>
      </c>
      <c r="AD16" s="0" t="n">
        <v>1.14589665653495</v>
      </c>
      <c r="AE16" s="0" t="n">
        <v>1.14589665653495</v>
      </c>
      <c r="AF16" s="0" t="n">
        <v>1.14589665653495</v>
      </c>
      <c r="AG16" s="0" t="n">
        <v>1.14589665653495</v>
      </c>
      <c r="AH16" s="0" t="n">
        <v>1.14589665653495</v>
      </c>
      <c r="AI16" s="0" t="n">
        <v>1.14589665653495</v>
      </c>
      <c r="AJ16" s="0" t="n">
        <v>1.14589665653495</v>
      </c>
      <c r="AK16" s="0" t="n">
        <v>1.14589665653495</v>
      </c>
      <c r="AL16" s="0" t="n">
        <v>1.14589665653495</v>
      </c>
      <c r="AM16" s="0" t="n">
        <v>1.14589665653495</v>
      </c>
      <c r="AN16" s="0" t="n">
        <v>1.14589665653495</v>
      </c>
      <c r="AO16" s="0" t="n">
        <v>1.14589665653495</v>
      </c>
      <c r="AP16" s="0" t="n">
        <v>1.14589665653495</v>
      </c>
      <c r="AQ16" s="0" t="n">
        <v>1.14589665653495</v>
      </c>
      <c r="AR16" s="0" t="n">
        <v>1.14589665653495</v>
      </c>
      <c r="AS16" s="0" t="n">
        <v>1.14589665653495</v>
      </c>
      <c r="AT16" s="0" t="n">
        <v>1.14589665653495</v>
      </c>
      <c r="AU16" s="0" t="n">
        <v>1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1</v>
      </c>
      <c r="BC16" s="0" t="n">
        <v>1</v>
      </c>
      <c r="BD16" s="0" t="n">
        <v>1</v>
      </c>
      <c r="BE16" s="0" t="n">
        <v>1</v>
      </c>
      <c r="BF16" s="0" t="n">
        <v>1</v>
      </c>
      <c r="BG16" s="0" t="n">
        <v>0.770473344593132</v>
      </c>
      <c r="BH16" s="0" t="n">
        <v>0.770473344593132</v>
      </c>
      <c r="BI16" s="0" t="n">
        <v>0.770473344593132</v>
      </c>
      <c r="BJ16" s="0" t="n">
        <v>0.770473344593132</v>
      </c>
      <c r="BK16" s="0" t="n">
        <v>0.770473344593132</v>
      </c>
    </row>
    <row r="17" customFormat="false" ht="12.8" hidden="false" customHeight="false" outlineLevel="0" collapsed="false">
      <c r="A17" s="21" t="n">
        <f aca="false">A16+1/24</f>
        <v>43892.6250004166</v>
      </c>
      <c r="B17" s="0" t="n">
        <v>0.772985145727773</v>
      </c>
      <c r="C17" s="0" t="n">
        <v>0.772985145727773</v>
      </c>
      <c r="D17" s="0" t="n">
        <v>0.772985145727773</v>
      </c>
      <c r="E17" s="0" t="n">
        <v>0.772985145727773</v>
      </c>
      <c r="F17" s="0" t="n">
        <v>0.772985145727773</v>
      </c>
      <c r="G17" s="0" t="n">
        <v>0.772985145727773</v>
      </c>
      <c r="H17" s="0" t="n">
        <v>0.772985145727773</v>
      </c>
      <c r="I17" s="0" t="n">
        <v>0.772985145727773</v>
      </c>
      <c r="J17" s="0" t="n">
        <v>0.772985145727773</v>
      </c>
      <c r="K17" s="0" t="n">
        <v>0.772985145727773</v>
      </c>
      <c r="L17" s="0" t="n">
        <v>0.772985145727773</v>
      </c>
      <c r="M17" s="0" t="n">
        <v>0.772985145727773</v>
      </c>
      <c r="N17" s="0" t="n">
        <v>0.772985145727773</v>
      </c>
      <c r="O17" s="0" t="n">
        <v>0.772985145727773</v>
      </c>
      <c r="P17" s="0" t="n">
        <v>0.772985145727773</v>
      </c>
      <c r="Q17" s="0" t="n">
        <v>0.772985145727773</v>
      </c>
      <c r="R17" s="0" t="n">
        <v>0.772985145727773</v>
      </c>
      <c r="S17" s="0" t="n">
        <v>0.772985145727773</v>
      </c>
      <c r="T17" s="0" t="n">
        <v>0.772985145727773</v>
      </c>
      <c r="U17" s="0" t="n">
        <v>0.772985145727773</v>
      </c>
      <c r="V17" s="0" t="n">
        <v>1.22289766970618</v>
      </c>
      <c r="W17" s="0" t="n">
        <v>1.22289766970618</v>
      </c>
      <c r="X17" s="0" t="n">
        <v>1.22289766970618</v>
      </c>
      <c r="Y17" s="0" t="n">
        <v>1.22289766970618</v>
      </c>
      <c r="Z17" s="0" t="n">
        <v>1.22289766970618</v>
      </c>
      <c r="AA17" s="0" t="n">
        <v>1.22289766970618</v>
      </c>
      <c r="AB17" s="0" t="n">
        <v>1.22289766970618</v>
      </c>
      <c r="AC17" s="0" t="n">
        <v>1.22289766970618</v>
      </c>
      <c r="AD17" s="0" t="n">
        <v>1.22289766970618</v>
      </c>
      <c r="AE17" s="0" t="n">
        <v>1.22289766970618</v>
      </c>
      <c r="AF17" s="0" t="n">
        <v>1.22289766970618</v>
      </c>
      <c r="AG17" s="0" t="n">
        <v>1.22289766970618</v>
      </c>
      <c r="AH17" s="0" t="n">
        <v>1.22289766970618</v>
      </c>
      <c r="AI17" s="0" t="n">
        <v>1.22289766970618</v>
      </c>
      <c r="AJ17" s="0" t="n">
        <v>1.22289766970618</v>
      </c>
      <c r="AK17" s="0" t="n">
        <v>1.22289766970618</v>
      </c>
      <c r="AL17" s="0" t="n">
        <v>1.22289766970618</v>
      </c>
      <c r="AM17" s="0" t="n">
        <v>1.22289766970618</v>
      </c>
      <c r="AN17" s="0" t="n">
        <v>1.22289766970618</v>
      </c>
      <c r="AO17" s="0" t="n">
        <v>1.22289766970618</v>
      </c>
      <c r="AP17" s="0" t="n">
        <v>1.22289766970618</v>
      </c>
      <c r="AQ17" s="0" t="n">
        <v>1.22289766970618</v>
      </c>
      <c r="AR17" s="0" t="n">
        <v>1.22289766970618</v>
      </c>
      <c r="AS17" s="0" t="n">
        <v>1.22289766970618</v>
      </c>
      <c r="AT17" s="0" t="n">
        <v>1.22289766970618</v>
      </c>
      <c r="AU17" s="0" t="n">
        <v>3.5</v>
      </c>
      <c r="AV17" s="0" t="n">
        <v>3.5</v>
      </c>
      <c r="AW17" s="0" t="n">
        <v>3.5</v>
      </c>
      <c r="AX17" s="0" t="n">
        <v>3.5</v>
      </c>
      <c r="AY17" s="0" t="n">
        <v>3.5</v>
      </c>
      <c r="AZ17" s="0" t="n">
        <v>3.5</v>
      </c>
      <c r="BA17" s="0" t="n">
        <v>3.5</v>
      </c>
      <c r="BB17" s="0" t="n">
        <v>3.5</v>
      </c>
      <c r="BC17" s="0" t="n">
        <v>3.5</v>
      </c>
      <c r="BD17" s="0" t="n">
        <v>3.5</v>
      </c>
      <c r="BE17" s="0" t="n">
        <v>3.5</v>
      </c>
      <c r="BF17" s="0" t="n">
        <v>3.5</v>
      </c>
      <c r="BG17" s="0" t="n">
        <v>0.772985145727773</v>
      </c>
      <c r="BH17" s="0" t="n">
        <v>0.772985145727773</v>
      </c>
      <c r="BI17" s="0" t="n">
        <v>0.772985145727773</v>
      </c>
      <c r="BJ17" s="0" t="n">
        <v>0.772985145727773</v>
      </c>
      <c r="BK17" s="0" t="n">
        <v>0.772985145727773</v>
      </c>
    </row>
    <row r="18" customFormat="false" ht="12.8" hidden="false" customHeight="false" outlineLevel="0" collapsed="false">
      <c r="A18" s="21" t="n">
        <f aca="false">A17+1/24</f>
        <v>43892.6666670832</v>
      </c>
      <c r="B18" s="0" t="n">
        <v>0.91672080031181</v>
      </c>
      <c r="C18" s="0" t="n">
        <v>0.91672080031181</v>
      </c>
      <c r="D18" s="0" t="n">
        <v>0.91672080031181</v>
      </c>
      <c r="E18" s="0" t="n">
        <v>0.91672080031181</v>
      </c>
      <c r="F18" s="0" t="n">
        <v>0.91672080031181</v>
      </c>
      <c r="G18" s="0" t="n">
        <v>0.91672080031181</v>
      </c>
      <c r="H18" s="0" t="n">
        <v>0.91672080031181</v>
      </c>
      <c r="I18" s="0" t="n">
        <v>0.91672080031181</v>
      </c>
      <c r="J18" s="0" t="n">
        <v>0.91672080031181</v>
      </c>
      <c r="K18" s="0" t="n">
        <v>0.91672080031181</v>
      </c>
      <c r="L18" s="0" t="n">
        <v>0.91672080031181</v>
      </c>
      <c r="M18" s="0" t="n">
        <v>0.91672080031181</v>
      </c>
      <c r="N18" s="0" t="n">
        <v>0.91672080031181</v>
      </c>
      <c r="O18" s="0" t="n">
        <v>0.91672080031181</v>
      </c>
      <c r="P18" s="0" t="n">
        <v>0.91672080031181</v>
      </c>
      <c r="Q18" s="0" t="n">
        <v>0.91672080031181</v>
      </c>
      <c r="R18" s="0" t="n">
        <v>0.91672080031181</v>
      </c>
      <c r="S18" s="0" t="n">
        <v>0.91672080031181</v>
      </c>
      <c r="T18" s="0" t="n">
        <v>0.91672080031181</v>
      </c>
      <c r="U18" s="0" t="n">
        <v>0.91672080031181</v>
      </c>
      <c r="V18" s="0" t="n">
        <v>1.15298885511651</v>
      </c>
      <c r="W18" s="0" t="n">
        <v>1.15298885511651</v>
      </c>
      <c r="X18" s="0" t="n">
        <v>1.15298885511651</v>
      </c>
      <c r="Y18" s="0" t="n">
        <v>1.15298885511651</v>
      </c>
      <c r="Z18" s="0" t="n">
        <v>1.15298885511651</v>
      </c>
      <c r="AA18" s="0" t="n">
        <v>1.15298885511651</v>
      </c>
      <c r="AB18" s="0" t="n">
        <v>1.15298885511651</v>
      </c>
      <c r="AC18" s="0" t="n">
        <v>1.15298885511651</v>
      </c>
      <c r="AD18" s="0" t="n">
        <v>1.15298885511651</v>
      </c>
      <c r="AE18" s="0" t="n">
        <v>1.15298885511651</v>
      </c>
      <c r="AF18" s="0" t="n">
        <v>1.15298885511651</v>
      </c>
      <c r="AG18" s="0" t="n">
        <v>1.15298885511651</v>
      </c>
      <c r="AH18" s="0" t="n">
        <v>1.15298885511651</v>
      </c>
      <c r="AI18" s="0" t="n">
        <v>1.15298885511651</v>
      </c>
      <c r="AJ18" s="0" t="n">
        <v>1.15298885511651</v>
      </c>
      <c r="AK18" s="0" t="n">
        <v>1.15298885511651</v>
      </c>
      <c r="AL18" s="0" t="n">
        <v>1.15298885511651</v>
      </c>
      <c r="AM18" s="0" t="n">
        <v>1.15298885511651</v>
      </c>
      <c r="AN18" s="0" t="n">
        <v>1.15298885511651</v>
      </c>
      <c r="AO18" s="0" t="n">
        <v>1.15298885511651</v>
      </c>
      <c r="AP18" s="0" t="n">
        <v>1.15298885511651</v>
      </c>
      <c r="AQ18" s="0" t="n">
        <v>1.15298885511651</v>
      </c>
      <c r="AR18" s="0" t="n">
        <v>1.15298885511651</v>
      </c>
      <c r="AS18" s="0" t="n">
        <v>1.15298885511651</v>
      </c>
      <c r="AT18" s="0" t="n">
        <v>1.15298885511651</v>
      </c>
      <c r="AU18" s="0" t="n">
        <v>2.875</v>
      </c>
      <c r="AV18" s="0" t="n">
        <v>2.875</v>
      </c>
      <c r="AW18" s="0" t="n">
        <v>2.875</v>
      </c>
      <c r="AX18" s="0" t="n">
        <v>2.875</v>
      </c>
      <c r="AY18" s="0" t="n">
        <v>2.875</v>
      </c>
      <c r="AZ18" s="0" t="n">
        <v>2.875</v>
      </c>
      <c r="BA18" s="0" t="n">
        <v>2.875</v>
      </c>
      <c r="BB18" s="0" t="n">
        <v>2.875</v>
      </c>
      <c r="BC18" s="0" t="n">
        <v>2.875</v>
      </c>
      <c r="BD18" s="0" t="n">
        <v>2.875</v>
      </c>
      <c r="BE18" s="0" t="n">
        <v>2.875</v>
      </c>
      <c r="BF18" s="0" t="n">
        <v>2.875</v>
      </c>
      <c r="BG18" s="0" t="n">
        <v>0.91672080031181</v>
      </c>
      <c r="BH18" s="0" t="n">
        <v>0.91672080031181</v>
      </c>
      <c r="BI18" s="0" t="n">
        <v>0.91672080031181</v>
      </c>
      <c r="BJ18" s="0" t="n">
        <v>0.91672080031181</v>
      </c>
      <c r="BK18" s="0" t="n">
        <v>0.91672080031181</v>
      </c>
    </row>
    <row r="19" customFormat="false" ht="12.8" hidden="false" customHeight="false" outlineLevel="0" collapsed="false">
      <c r="A19" s="21" t="n">
        <f aca="false">A18+1/24</f>
        <v>43892.7083337499</v>
      </c>
      <c r="B19" s="0" t="n">
        <v>1.01896842925815</v>
      </c>
      <c r="C19" s="0" t="n">
        <v>1.01896842925815</v>
      </c>
      <c r="D19" s="0" t="n">
        <v>1.01896842925815</v>
      </c>
      <c r="E19" s="0" t="n">
        <v>1.01896842925815</v>
      </c>
      <c r="F19" s="0" t="n">
        <v>1.01896842925815</v>
      </c>
      <c r="G19" s="0" t="n">
        <v>1.01896842925815</v>
      </c>
      <c r="H19" s="0" t="n">
        <v>1.01896842925815</v>
      </c>
      <c r="I19" s="0" t="n">
        <v>1.01896842925815</v>
      </c>
      <c r="J19" s="0" t="n">
        <v>1.01896842925815</v>
      </c>
      <c r="K19" s="0" t="n">
        <v>1.01896842925815</v>
      </c>
      <c r="L19" s="0" t="n">
        <v>1.01896842925815</v>
      </c>
      <c r="M19" s="0" t="n">
        <v>1.01896842925815</v>
      </c>
      <c r="N19" s="0" t="n">
        <v>1.01896842925815</v>
      </c>
      <c r="O19" s="0" t="n">
        <v>1.01896842925815</v>
      </c>
      <c r="P19" s="0" t="n">
        <v>1.01896842925815</v>
      </c>
      <c r="Q19" s="0" t="n">
        <v>1.01896842925815</v>
      </c>
      <c r="R19" s="0" t="n">
        <v>1.01896842925815</v>
      </c>
      <c r="S19" s="0" t="n">
        <v>1.01896842925815</v>
      </c>
      <c r="T19" s="0" t="n">
        <v>1.01896842925815</v>
      </c>
      <c r="U19" s="0" t="n">
        <v>1.01896842925815</v>
      </c>
      <c r="V19" s="0" t="n">
        <v>1.26646403242148</v>
      </c>
      <c r="W19" s="0" t="n">
        <v>1.26646403242148</v>
      </c>
      <c r="X19" s="0" t="n">
        <v>1.26646403242148</v>
      </c>
      <c r="Y19" s="0" t="n">
        <v>1.26646403242148</v>
      </c>
      <c r="Z19" s="0" t="n">
        <v>1.26646403242148</v>
      </c>
      <c r="AA19" s="0" t="n">
        <v>1.26646403242148</v>
      </c>
      <c r="AB19" s="0" t="n">
        <v>1.26646403242148</v>
      </c>
      <c r="AC19" s="0" t="n">
        <v>1.26646403242148</v>
      </c>
      <c r="AD19" s="0" t="n">
        <v>1.26646403242148</v>
      </c>
      <c r="AE19" s="0" t="n">
        <v>1.26646403242148</v>
      </c>
      <c r="AF19" s="0" t="n">
        <v>1.26646403242148</v>
      </c>
      <c r="AG19" s="0" t="n">
        <v>1.26646403242148</v>
      </c>
      <c r="AH19" s="0" t="n">
        <v>1.26646403242148</v>
      </c>
      <c r="AI19" s="0" t="n">
        <v>1.26646403242148</v>
      </c>
      <c r="AJ19" s="0" t="n">
        <v>1.26646403242148</v>
      </c>
      <c r="AK19" s="0" t="n">
        <v>1.26646403242148</v>
      </c>
      <c r="AL19" s="0" t="n">
        <v>1.26646403242148</v>
      </c>
      <c r="AM19" s="0" t="n">
        <v>1.26646403242148</v>
      </c>
      <c r="AN19" s="0" t="n">
        <v>1.26646403242148</v>
      </c>
      <c r="AO19" s="0" t="n">
        <v>1.26646403242148</v>
      </c>
      <c r="AP19" s="0" t="n">
        <v>1.26646403242148</v>
      </c>
      <c r="AQ19" s="0" t="n">
        <v>1.26646403242148</v>
      </c>
      <c r="AR19" s="0" t="n">
        <v>1.26646403242148</v>
      </c>
      <c r="AS19" s="0" t="n">
        <v>1.26646403242148</v>
      </c>
      <c r="AT19" s="0" t="n">
        <v>1.26646403242148</v>
      </c>
      <c r="AU19" s="0" t="n">
        <v>3.25</v>
      </c>
      <c r="AV19" s="0" t="n">
        <v>3.25</v>
      </c>
      <c r="AW19" s="0" t="n">
        <v>3.25</v>
      </c>
      <c r="AX19" s="0" t="n">
        <v>3.25</v>
      </c>
      <c r="AY19" s="0" t="n">
        <v>3.25</v>
      </c>
      <c r="AZ19" s="0" t="n">
        <v>3.25</v>
      </c>
      <c r="BA19" s="0" t="n">
        <v>3.25</v>
      </c>
      <c r="BB19" s="0" t="n">
        <v>3.25</v>
      </c>
      <c r="BC19" s="0" t="n">
        <v>3.25</v>
      </c>
      <c r="BD19" s="0" t="n">
        <v>3.25</v>
      </c>
      <c r="BE19" s="0" t="n">
        <v>3.25</v>
      </c>
      <c r="BF19" s="0" t="n">
        <v>3.25</v>
      </c>
      <c r="BG19" s="0" t="n">
        <v>1.01896842925815</v>
      </c>
      <c r="BH19" s="0" t="n">
        <v>1.01896842925815</v>
      </c>
      <c r="BI19" s="0" t="n">
        <v>1.01896842925815</v>
      </c>
      <c r="BJ19" s="0" t="n">
        <v>1.01896842925815</v>
      </c>
      <c r="BK19" s="0" t="n">
        <v>1.01896842925815</v>
      </c>
    </row>
    <row r="20" customFormat="false" ht="12.8" hidden="false" customHeight="false" outlineLevel="0" collapsed="false">
      <c r="A20" s="21" t="n">
        <f aca="false">A19+1/24</f>
        <v>43892.7500004166</v>
      </c>
      <c r="B20" s="0" t="n">
        <v>0.97336624658958</v>
      </c>
      <c r="C20" s="0" t="n">
        <v>0.97336624658958</v>
      </c>
      <c r="D20" s="0" t="n">
        <v>0.97336624658958</v>
      </c>
      <c r="E20" s="0" t="n">
        <v>0.97336624658958</v>
      </c>
      <c r="F20" s="0" t="n">
        <v>0.97336624658958</v>
      </c>
      <c r="G20" s="0" t="n">
        <v>0.97336624658958</v>
      </c>
      <c r="H20" s="0" t="n">
        <v>0.97336624658958</v>
      </c>
      <c r="I20" s="0" t="n">
        <v>0.97336624658958</v>
      </c>
      <c r="J20" s="0" t="n">
        <v>0.97336624658958</v>
      </c>
      <c r="K20" s="0" t="n">
        <v>0.97336624658958</v>
      </c>
      <c r="L20" s="0" t="n">
        <v>0.97336624658958</v>
      </c>
      <c r="M20" s="0" t="n">
        <v>0.97336624658958</v>
      </c>
      <c r="N20" s="0" t="n">
        <v>0.97336624658958</v>
      </c>
      <c r="O20" s="0" t="n">
        <v>0.97336624658958</v>
      </c>
      <c r="P20" s="0" t="n">
        <v>0.97336624658958</v>
      </c>
      <c r="Q20" s="0" t="n">
        <v>0.97336624658958</v>
      </c>
      <c r="R20" s="0" t="n">
        <v>0.97336624658958</v>
      </c>
      <c r="S20" s="0" t="n">
        <v>0.97336624658958</v>
      </c>
      <c r="T20" s="0" t="n">
        <v>0.97336624658958</v>
      </c>
      <c r="U20" s="0" t="n">
        <v>0.97336624658958</v>
      </c>
      <c r="V20" s="0" t="n">
        <v>1.07294832826748</v>
      </c>
      <c r="W20" s="0" t="n">
        <v>1.07294832826748</v>
      </c>
      <c r="X20" s="0" t="n">
        <v>1.07294832826748</v>
      </c>
      <c r="Y20" s="0" t="n">
        <v>1.07294832826748</v>
      </c>
      <c r="Z20" s="0" t="n">
        <v>1.07294832826748</v>
      </c>
      <c r="AA20" s="0" t="n">
        <v>1.07294832826748</v>
      </c>
      <c r="AB20" s="0" t="n">
        <v>1.07294832826748</v>
      </c>
      <c r="AC20" s="0" t="n">
        <v>1.07294832826748</v>
      </c>
      <c r="AD20" s="0" t="n">
        <v>1.07294832826748</v>
      </c>
      <c r="AE20" s="0" t="n">
        <v>1.07294832826748</v>
      </c>
      <c r="AF20" s="0" t="n">
        <v>1.07294832826748</v>
      </c>
      <c r="AG20" s="0" t="n">
        <v>1.07294832826748</v>
      </c>
      <c r="AH20" s="0" t="n">
        <v>1.07294832826748</v>
      </c>
      <c r="AI20" s="0" t="n">
        <v>1.07294832826748</v>
      </c>
      <c r="AJ20" s="0" t="n">
        <v>1.07294832826748</v>
      </c>
      <c r="AK20" s="0" t="n">
        <v>1.07294832826748</v>
      </c>
      <c r="AL20" s="0" t="n">
        <v>1.07294832826748</v>
      </c>
      <c r="AM20" s="0" t="n">
        <v>1.07294832826748</v>
      </c>
      <c r="AN20" s="0" t="n">
        <v>1.07294832826748</v>
      </c>
      <c r="AO20" s="0" t="n">
        <v>1.07294832826748</v>
      </c>
      <c r="AP20" s="0" t="n">
        <v>1.07294832826748</v>
      </c>
      <c r="AQ20" s="0" t="n">
        <v>1.07294832826748</v>
      </c>
      <c r="AR20" s="0" t="n">
        <v>1.07294832826748</v>
      </c>
      <c r="AS20" s="0" t="n">
        <v>1.07294832826748</v>
      </c>
      <c r="AT20" s="0" t="n">
        <v>1.07294832826748</v>
      </c>
      <c r="AU20" s="0" t="n">
        <v>1.75</v>
      </c>
      <c r="AV20" s="0" t="n">
        <v>1.75</v>
      </c>
      <c r="AW20" s="0" t="n">
        <v>1.75</v>
      </c>
      <c r="AX20" s="0" t="n">
        <v>1.75</v>
      </c>
      <c r="AY20" s="0" t="n">
        <v>1.75</v>
      </c>
      <c r="AZ20" s="0" t="n">
        <v>1.75</v>
      </c>
      <c r="BA20" s="0" t="n">
        <v>1.75</v>
      </c>
      <c r="BB20" s="0" t="n">
        <v>1.75</v>
      </c>
      <c r="BC20" s="0" t="n">
        <v>1.75</v>
      </c>
      <c r="BD20" s="0" t="n">
        <v>1.75</v>
      </c>
      <c r="BE20" s="0" t="n">
        <v>1.75</v>
      </c>
      <c r="BF20" s="0" t="n">
        <v>1.75</v>
      </c>
      <c r="BG20" s="0" t="n">
        <v>0.97336624658958</v>
      </c>
      <c r="BH20" s="0" t="n">
        <v>0.97336624658958</v>
      </c>
      <c r="BI20" s="0" t="n">
        <v>0.97336624658958</v>
      </c>
      <c r="BJ20" s="0" t="n">
        <v>0.97336624658958</v>
      </c>
      <c r="BK20" s="0" t="n">
        <v>0.97336624658958</v>
      </c>
    </row>
    <row r="21" customFormat="false" ht="12.8" hidden="false" customHeight="false" outlineLevel="0" collapsed="false">
      <c r="A21" s="21" t="n">
        <f aca="false">A20+1/24</f>
        <v>43892.7916670832</v>
      </c>
      <c r="B21" s="0" t="n">
        <v>0.895673639080161</v>
      </c>
      <c r="C21" s="0" t="n">
        <v>0.895673639080161</v>
      </c>
      <c r="D21" s="0" t="n">
        <v>0.895673639080161</v>
      </c>
      <c r="E21" s="0" t="n">
        <v>0.895673639080161</v>
      </c>
      <c r="F21" s="0" t="n">
        <v>0.895673639080161</v>
      </c>
      <c r="G21" s="0" t="n">
        <v>0.895673639080161</v>
      </c>
      <c r="H21" s="0" t="n">
        <v>0.895673639080161</v>
      </c>
      <c r="I21" s="0" t="n">
        <v>0.895673639080161</v>
      </c>
      <c r="J21" s="0" t="n">
        <v>0.895673639080161</v>
      </c>
      <c r="K21" s="0" t="n">
        <v>0.895673639080161</v>
      </c>
      <c r="L21" s="0" t="n">
        <v>0.895673639080161</v>
      </c>
      <c r="M21" s="0" t="n">
        <v>0.895673639080161</v>
      </c>
      <c r="N21" s="0" t="n">
        <v>0.895673639080161</v>
      </c>
      <c r="O21" s="0" t="n">
        <v>0.895673639080161</v>
      </c>
      <c r="P21" s="0" t="n">
        <v>0.895673639080161</v>
      </c>
      <c r="Q21" s="0" t="n">
        <v>0.895673639080161</v>
      </c>
      <c r="R21" s="0" t="n">
        <v>0.895673639080161</v>
      </c>
      <c r="S21" s="0" t="n">
        <v>0.895673639080161</v>
      </c>
      <c r="T21" s="0" t="n">
        <v>0.895673639080161</v>
      </c>
      <c r="U21" s="0" t="n">
        <v>0.895673639080161</v>
      </c>
      <c r="V21" s="0" t="n">
        <v>1.14792299898683</v>
      </c>
      <c r="W21" s="0" t="n">
        <v>1.14792299898683</v>
      </c>
      <c r="X21" s="0" t="n">
        <v>1.14792299898683</v>
      </c>
      <c r="Y21" s="0" t="n">
        <v>1.14792299898683</v>
      </c>
      <c r="Z21" s="0" t="n">
        <v>1.14792299898683</v>
      </c>
      <c r="AA21" s="0" t="n">
        <v>1.14792299898683</v>
      </c>
      <c r="AB21" s="0" t="n">
        <v>1.14792299898683</v>
      </c>
      <c r="AC21" s="0" t="n">
        <v>1.14792299898683</v>
      </c>
      <c r="AD21" s="0" t="n">
        <v>1.14792299898683</v>
      </c>
      <c r="AE21" s="0" t="n">
        <v>1.14792299898683</v>
      </c>
      <c r="AF21" s="0" t="n">
        <v>1.14792299898683</v>
      </c>
      <c r="AG21" s="0" t="n">
        <v>1.14792299898683</v>
      </c>
      <c r="AH21" s="0" t="n">
        <v>1.14792299898683</v>
      </c>
      <c r="AI21" s="0" t="n">
        <v>1.14792299898683</v>
      </c>
      <c r="AJ21" s="0" t="n">
        <v>1.14792299898683</v>
      </c>
      <c r="AK21" s="0" t="n">
        <v>1.14792299898683</v>
      </c>
      <c r="AL21" s="0" t="n">
        <v>1.14792299898683</v>
      </c>
      <c r="AM21" s="0" t="n">
        <v>1.14792299898683</v>
      </c>
      <c r="AN21" s="0" t="n">
        <v>1.14792299898683</v>
      </c>
      <c r="AO21" s="0" t="n">
        <v>1.14792299898683</v>
      </c>
      <c r="AP21" s="0" t="n">
        <v>1.14792299898683</v>
      </c>
      <c r="AQ21" s="0" t="n">
        <v>1.14792299898683</v>
      </c>
      <c r="AR21" s="0" t="n">
        <v>1.14792299898683</v>
      </c>
      <c r="AS21" s="0" t="n">
        <v>1.14792299898683</v>
      </c>
      <c r="AT21" s="0" t="n">
        <v>1.14792299898683</v>
      </c>
      <c r="AU21" s="0" t="n">
        <v>1.75</v>
      </c>
      <c r="AV21" s="0" t="n">
        <v>1.75</v>
      </c>
      <c r="AW21" s="0" t="n">
        <v>1.75</v>
      </c>
      <c r="AX21" s="0" t="n">
        <v>1.75</v>
      </c>
      <c r="AY21" s="0" t="n">
        <v>1.75</v>
      </c>
      <c r="AZ21" s="0" t="n">
        <v>1.75</v>
      </c>
      <c r="BA21" s="0" t="n">
        <v>1.75</v>
      </c>
      <c r="BB21" s="0" t="n">
        <v>1.75</v>
      </c>
      <c r="BC21" s="0" t="n">
        <v>1.75</v>
      </c>
      <c r="BD21" s="0" t="n">
        <v>1.75</v>
      </c>
      <c r="BE21" s="0" t="n">
        <v>1.75</v>
      </c>
      <c r="BF21" s="0" t="n">
        <v>1.75</v>
      </c>
      <c r="BG21" s="0" t="n">
        <v>0.895673639080161</v>
      </c>
      <c r="BH21" s="0" t="n">
        <v>0.895673639080161</v>
      </c>
      <c r="BI21" s="0" t="n">
        <v>0.895673639080161</v>
      </c>
      <c r="BJ21" s="0" t="n">
        <v>0.895673639080161</v>
      </c>
      <c r="BK21" s="0" t="n">
        <v>0.895673639080161</v>
      </c>
    </row>
    <row r="22" customFormat="false" ht="12.8" hidden="false" customHeight="false" outlineLevel="0" collapsed="false">
      <c r="A22" s="21" t="n">
        <f aca="false">A21+1/24</f>
        <v>43892.8333337499</v>
      </c>
      <c r="B22" s="0" t="n">
        <v>0.641072279242995</v>
      </c>
      <c r="C22" s="0" t="n">
        <v>0.641072279242995</v>
      </c>
      <c r="D22" s="0" t="n">
        <v>0.641072279242995</v>
      </c>
      <c r="E22" s="0" t="n">
        <v>0.641072279242995</v>
      </c>
      <c r="F22" s="0" t="n">
        <v>0.641072279242995</v>
      </c>
      <c r="G22" s="0" t="n">
        <v>0.641072279242995</v>
      </c>
      <c r="H22" s="0" t="n">
        <v>0.641072279242995</v>
      </c>
      <c r="I22" s="0" t="n">
        <v>0.641072279242995</v>
      </c>
      <c r="J22" s="0" t="n">
        <v>0.641072279242995</v>
      </c>
      <c r="K22" s="0" t="n">
        <v>0.641072279242995</v>
      </c>
      <c r="L22" s="0" t="n">
        <v>0.641072279242995</v>
      </c>
      <c r="M22" s="0" t="n">
        <v>0.641072279242995</v>
      </c>
      <c r="N22" s="0" t="n">
        <v>0.641072279242995</v>
      </c>
      <c r="O22" s="0" t="n">
        <v>0.641072279242995</v>
      </c>
      <c r="P22" s="0" t="n">
        <v>0.641072279242995</v>
      </c>
      <c r="Q22" s="0" t="n">
        <v>0.641072279242995</v>
      </c>
      <c r="R22" s="0" t="n">
        <v>0.641072279242995</v>
      </c>
      <c r="S22" s="0" t="n">
        <v>0.641072279242995</v>
      </c>
      <c r="T22" s="0" t="n">
        <v>0.641072279242995</v>
      </c>
      <c r="U22" s="0" t="n">
        <v>0.641072279242995</v>
      </c>
      <c r="V22" s="0" t="n">
        <v>1.02532928064843</v>
      </c>
      <c r="W22" s="0" t="n">
        <v>1.02532928064843</v>
      </c>
      <c r="X22" s="0" t="n">
        <v>1.02532928064843</v>
      </c>
      <c r="Y22" s="0" t="n">
        <v>1.02532928064843</v>
      </c>
      <c r="Z22" s="0" t="n">
        <v>1.02532928064843</v>
      </c>
      <c r="AA22" s="0" t="n">
        <v>1.02532928064843</v>
      </c>
      <c r="AB22" s="0" t="n">
        <v>1.02532928064843</v>
      </c>
      <c r="AC22" s="0" t="n">
        <v>1.02532928064843</v>
      </c>
      <c r="AD22" s="0" t="n">
        <v>1.02532928064843</v>
      </c>
      <c r="AE22" s="0" t="n">
        <v>1.02532928064843</v>
      </c>
      <c r="AF22" s="0" t="n">
        <v>1.02532928064843</v>
      </c>
      <c r="AG22" s="0" t="n">
        <v>1.02532928064843</v>
      </c>
      <c r="AH22" s="0" t="n">
        <v>1.02532928064843</v>
      </c>
      <c r="AI22" s="0" t="n">
        <v>1.02532928064843</v>
      </c>
      <c r="AJ22" s="0" t="n">
        <v>1.02532928064843</v>
      </c>
      <c r="AK22" s="0" t="n">
        <v>1.02532928064843</v>
      </c>
      <c r="AL22" s="0" t="n">
        <v>1.02532928064843</v>
      </c>
      <c r="AM22" s="0" t="n">
        <v>1.02532928064843</v>
      </c>
      <c r="AN22" s="0" t="n">
        <v>1.02532928064843</v>
      </c>
      <c r="AO22" s="0" t="n">
        <v>1.02532928064843</v>
      </c>
      <c r="AP22" s="0" t="n">
        <v>1.02532928064843</v>
      </c>
      <c r="AQ22" s="0" t="n">
        <v>1.02532928064843</v>
      </c>
      <c r="AR22" s="0" t="n">
        <v>1.02532928064843</v>
      </c>
      <c r="AS22" s="0" t="n">
        <v>1.02532928064843</v>
      </c>
      <c r="AT22" s="0" t="n">
        <v>1.02532928064843</v>
      </c>
      <c r="AU22" s="0" t="n">
        <v>1.25</v>
      </c>
      <c r="AV22" s="0" t="n">
        <v>1.25</v>
      </c>
      <c r="AW22" s="0" t="n">
        <v>1.25</v>
      </c>
      <c r="AX22" s="0" t="n">
        <v>1.25</v>
      </c>
      <c r="AY22" s="0" t="n">
        <v>1.25</v>
      </c>
      <c r="AZ22" s="0" t="n">
        <v>1.25</v>
      </c>
      <c r="BA22" s="0" t="n">
        <v>1.25</v>
      </c>
      <c r="BB22" s="0" t="n">
        <v>1.25</v>
      </c>
      <c r="BC22" s="0" t="n">
        <v>1.25</v>
      </c>
      <c r="BD22" s="0" t="n">
        <v>1.25</v>
      </c>
      <c r="BE22" s="0" t="n">
        <v>1.25</v>
      </c>
      <c r="BF22" s="0" t="n">
        <v>1.25</v>
      </c>
      <c r="BG22" s="0" t="n">
        <v>0.641072279242995</v>
      </c>
      <c r="BH22" s="0" t="n">
        <v>0.641072279242995</v>
      </c>
      <c r="BI22" s="0" t="n">
        <v>0.641072279242995</v>
      </c>
      <c r="BJ22" s="0" t="n">
        <v>0.641072279242995</v>
      </c>
      <c r="BK22" s="0" t="n">
        <v>0.641072279242995</v>
      </c>
    </row>
    <row r="23" customFormat="false" ht="12.8" hidden="false" customHeight="false" outlineLevel="0" collapsed="false">
      <c r="A23" s="21" t="n">
        <f aca="false">A22+1/24</f>
        <v>43892.8750004166</v>
      </c>
      <c r="B23" s="0" t="n">
        <v>0.396561430860508</v>
      </c>
      <c r="C23" s="0" t="n">
        <v>0.396561430860508</v>
      </c>
      <c r="D23" s="0" t="n">
        <v>0.396561430860508</v>
      </c>
      <c r="E23" s="0" t="n">
        <v>0.396561430860508</v>
      </c>
      <c r="F23" s="0" t="n">
        <v>0.396561430860508</v>
      </c>
      <c r="G23" s="0" t="n">
        <v>0.396561430860508</v>
      </c>
      <c r="H23" s="0" t="n">
        <v>0.396561430860508</v>
      </c>
      <c r="I23" s="0" t="n">
        <v>0.396561430860508</v>
      </c>
      <c r="J23" s="0" t="n">
        <v>0.396561430860508</v>
      </c>
      <c r="K23" s="0" t="n">
        <v>0.396561430860508</v>
      </c>
      <c r="L23" s="0" t="n">
        <v>0.396561430860508</v>
      </c>
      <c r="M23" s="0" t="n">
        <v>0.396561430860508</v>
      </c>
      <c r="N23" s="0" t="n">
        <v>0.396561430860508</v>
      </c>
      <c r="O23" s="0" t="n">
        <v>0.396561430860508</v>
      </c>
      <c r="P23" s="0" t="n">
        <v>0.396561430860508</v>
      </c>
      <c r="Q23" s="0" t="n">
        <v>0.396561430860508</v>
      </c>
      <c r="R23" s="0" t="n">
        <v>0.396561430860508</v>
      </c>
      <c r="S23" s="0" t="n">
        <v>0.396561430860508</v>
      </c>
      <c r="T23" s="0" t="n">
        <v>0.396561430860508</v>
      </c>
      <c r="U23" s="0" t="n">
        <v>0.396561430860508</v>
      </c>
      <c r="V23" s="0" t="n">
        <v>0.747720364741641</v>
      </c>
      <c r="W23" s="0" t="n">
        <v>0.747720364741641</v>
      </c>
      <c r="X23" s="0" t="n">
        <v>0.747720364741641</v>
      </c>
      <c r="Y23" s="0" t="n">
        <v>0.747720364741641</v>
      </c>
      <c r="Z23" s="0" t="n">
        <v>0.747720364741641</v>
      </c>
      <c r="AA23" s="0" t="n">
        <v>0.747720364741641</v>
      </c>
      <c r="AB23" s="0" t="n">
        <v>0.747720364741641</v>
      </c>
      <c r="AC23" s="0" t="n">
        <v>0.747720364741641</v>
      </c>
      <c r="AD23" s="0" t="n">
        <v>0.747720364741641</v>
      </c>
      <c r="AE23" s="0" t="n">
        <v>0.747720364741641</v>
      </c>
      <c r="AF23" s="0" t="n">
        <v>0.747720364741641</v>
      </c>
      <c r="AG23" s="0" t="n">
        <v>0.747720364741641</v>
      </c>
      <c r="AH23" s="0" t="n">
        <v>0.747720364741641</v>
      </c>
      <c r="AI23" s="0" t="n">
        <v>0.747720364741641</v>
      </c>
      <c r="AJ23" s="0" t="n">
        <v>0.747720364741641</v>
      </c>
      <c r="AK23" s="0" t="n">
        <v>0.747720364741641</v>
      </c>
      <c r="AL23" s="0" t="n">
        <v>0.747720364741641</v>
      </c>
      <c r="AM23" s="0" t="n">
        <v>0.747720364741641</v>
      </c>
      <c r="AN23" s="0" t="n">
        <v>0.747720364741641</v>
      </c>
      <c r="AO23" s="0" t="n">
        <v>0.747720364741641</v>
      </c>
      <c r="AP23" s="0" t="n">
        <v>0.747720364741641</v>
      </c>
      <c r="AQ23" s="0" t="n">
        <v>0.747720364741641</v>
      </c>
      <c r="AR23" s="0" t="n">
        <v>0.747720364741641</v>
      </c>
      <c r="AS23" s="0" t="n">
        <v>0.747720364741641</v>
      </c>
      <c r="AT23" s="0" t="n">
        <v>0.747720364741641</v>
      </c>
      <c r="AU23" s="0" t="n">
        <v>1.625</v>
      </c>
      <c r="AV23" s="0" t="n">
        <v>1.625</v>
      </c>
      <c r="AW23" s="0" t="n">
        <v>1.625</v>
      </c>
      <c r="AX23" s="0" t="n">
        <v>1.625</v>
      </c>
      <c r="AY23" s="0" t="n">
        <v>1.625</v>
      </c>
      <c r="AZ23" s="0" t="n">
        <v>1.625</v>
      </c>
      <c r="BA23" s="0" t="n">
        <v>1.625</v>
      </c>
      <c r="BB23" s="0" t="n">
        <v>1.625</v>
      </c>
      <c r="BC23" s="0" t="n">
        <v>1.625</v>
      </c>
      <c r="BD23" s="0" t="n">
        <v>1.625</v>
      </c>
      <c r="BE23" s="0" t="n">
        <v>1.625</v>
      </c>
      <c r="BF23" s="0" t="n">
        <v>1.625</v>
      </c>
      <c r="BG23" s="0" t="n">
        <v>0.396561430860508</v>
      </c>
      <c r="BH23" s="0" t="n">
        <v>0.396561430860508</v>
      </c>
      <c r="BI23" s="0" t="n">
        <v>0.396561430860508</v>
      </c>
      <c r="BJ23" s="0" t="n">
        <v>0.396561430860508</v>
      </c>
      <c r="BK23" s="0" t="n">
        <v>0.396561430860508</v>
      </c>
    </row>
    <row r="24" customFormat="false" ht="12.8" hidden="false" customHeight="false" outlineLevel="0" collapsed="false">
      <c r="A24" s="21" t="n">
        <f aca="false">A23+1/24</f>
        <v>43892.9166670832</v>
      </c>
      <c r="B24" s="0" t="n">
        <v>0.292971287514616</v>
      </c>
      <c r="C24" s="0" t="n">
        <v>0.292971287514616</v>
      </c>
      <c r="D24" s="0" t="n">
        <v>0.292971287514616</v>
      </c>
      <c r="E24" s="0" t="n">
        <v>0.292971287514616</v>
      </c>
      <c r="F24" s="0" t="n">
        <v>0.292971287514616</v>
      </c>
      <c r="G24" s="0" t="n">
        <v>0.292971287514616</v>
      </c>
      <c r="H24" s="0" t="n">
        <v>0.292971287514616</v>
      </c>
      <c r="I24" s="0" t="n">
        <v>0.292971287514616</v>
      </c>
      <c r="J24" s="0" t="n">
        <v>0.292971287514616</v>
      </c>
      <c r="K24" s="0" t="n">
        <v>0.292971287514616</v>
      </c>
      <c r="L24" s="0" t="n">
        <v>0.292971287514616</v>
      </c>
      <c r="M24" s="0" t="n">
        <v>0.292971287514616</v>
      </c>
      <c r="N24" s="0" t="n">
        <v>0.292971287514616</v>
      </c>
      <c r="O24" s="0" t="n">
        <v>0.292971287514616</v>
      </c>
      <c r="P24" s="0" t="n">
        <v>0.292971287514616</v>
      </c>
      <c r="Q24" s="0" t="n">
        <v>0.292971287514616</v>
      </c>
      <c r="R24" s="0" t="n">
        <v>0.292971287514616</v>
      </c>
      <c r="S24" s="0" t="n">
        <v>0.292971287514616</v>
      </c>
      <c r="T24" s="0" t="n">
        <v>0.292971287514616</v>
      </c>
      <c r="U24" s="0" t="n">
        <v>0.292971287514616</v>
      </c>
      <c r="V24" s="0" t="n">
        <v>0.680851063829787</v>
      </c>
      <c r="W24" s="0" t="n">
        <v>0.680851063829787</v>
      </c>
      <c r="X24" s="0" t="n">
        <v>0.680851063829787</v>
      </c>
      <c r="Y24" s="0" t="n">
        <v>0.680851063829787</v>
      </c>
      <c r="Z24" s="0" t="n">
        <v>0.680851063829787</v>
      </c>
      <c r="AA24" s="0" t="n">
        <v>0.680851063829787</v>
      </c>
      <c r="AB24" s="0" t="n">
        <v>0.680851063829787</v>
      </c>
      <c r="AC24" s="0" t="n">
        <v>0.680851063829787</v>
      </c>
      <c r="AD24" s="0" t="n">
        <v>0.680851063829787</v>
      </c>
      <c r="AE24" s="0" t="n">
        <v>0.680851063829787</v>
      </c>
      <c r="AF24" s="0" t="n">
        <v>0.680851063829787</v>
      </c>
      <c r="AG24" s="0" t="n">
        <v>0.680851063829787</v>
      </c>
      <c r="AH24" s="0" t="n">
        <v>0.680851063829787</v>
      </c>
      <c r="AI24" s="0" t="n">
        <v>0.680851063829787</v>
      </c>
      <c r="AJ24" s="0" t="n">
        <v>0.680851063829787</v>
      </c>
      <c r="AK24" s="0" t="n">
        <v>0.680851063829787</v>
      </c>
      <c r="AL24" s="0" t="n">
        <v>0.680851063829787</v>
      </c>
      <c r="AM24" s="0" t="n">
        <v>0.680851063829787</v>
      </c>
      <c r="AN24" s="0" t="n">
        <v>0.680851063829787</v>
      </c>
      <c r="AO24" s="0" t="n">
        <v>0.680851063829787</v>
      </c>
      <c r="AP24" s="0" t="n">
        <v>0.680851063829787</v>
      </c>
      <c r="AQ24" s="0" t="n">
        <v>0.680851063829787</v>
      </c>
      <c r="AR24" s="0" t="n">
        <v>0.680851063829787</v>
      </c>
      <c r="AS24" s="0" t="n">
        <v>0.680851063829787</v>
      </c>
      <c r="AT24" s="0" t="n">
        <v>0.680851063829787</v>
      </c>
      <c r="AU24" s="0" t="n">
        <v>2.5</v>
      </c>
      <c r="AV24" s="0" t="n">
        <v>2.5</v>
      </c>
      <c r="AW24" s="0" t="n">
        <v>2.5</v>
      </c>
      <c r="AX24" s="0" t="n">
        <v>2.5</v>
      </c>
      <c r="AY24" s="0" t="n">
        <v>2.5</v>
      </c>
      <c r="AZ24" s="0" t="n">
        <v>2.5</v>
      </c>
      <c r="BA24" s="0" t="n">
        <v>2.5</v>
      </c>
      <c r="BB24" s="0" t="n">
        <v>2.5</v>
      </c>
      <c r="BC24" s="0" t="n">
        <v>2.5</v>
      </c>
      <c r="BD24" s="0" t="n">
        <v>2.5</v>
      </c>
      <c r="BE24" s="0" t="n">
        <v>2.5</v>
      </c>
      <c r="BF24" s="0" t="n">
        <v>2.5</v>
      </c>
      <c r="BG24" s="0" t="n">
        <v>0.292971287514616</v>
      </c>
      <c r="BH24" s="0" t="n">
        <v>0.292971287514616</v>
      </c>
      <c r="BI24" s="0" t="n">
        <v>0.292971287514616</v>
      </c>
      <c r="BJ24" s="0" t="n">
        <v>0.292971287514616</v>
      </c>
      <c r="BK24" s="0" t="n">
        <v>0.292971287514616</v>
      </c>
    </row>
    <row r="25" customFormat="false" ht="12.8" hidden="false" customHeight="false" outlineLevel="0" collapsed="false">
      <c r="A25" s="21" t="n">
        <f aca="false">A24+1/24</f>
        <v>43892.9583337499</v>
      </c>
      <c r="B25" s="0" t="n">
        <v>0.173227664458014</v>
      </c>
      <c r="C25" s="0" t="n">
        <v>0.173227664458014</v>
      </c>
      <c r="D25" s="0" t="n">
        <v>0.173227664458014</v>
      </c>
      <c r="E25" s="0" t="n">
        <v>0.173227664458014</v>
      </c>
      <c r="F25" s="0" t="n">
        <v>0.173227664458014</v>
      </c>
      <c r="G25" s="0" t="n">
        <v>0.173227664458014</v>
      </c>
      <c r="H25" s="0" t="n">
        <v>0.173227664458014</v>
      </c>
      <c r="I25" s="0" t="n">
        <v>0.173227664458014</v>
      </c>
      <c r="J25" s="0" t="n">
        <v>0.173227664458014</v>
      </c>
      <c r="K25" s="0" t="n">
        <v>0.173227664458014</v>
      </c>
      <c r="L25" s="0" t="n">
        <v>0.173227664458014</v>
      </c>
      <c r="M25" s="0" t="n">
        <v>0.173227664458014</v>
      </c>
      <c r="N25" s="0" t="n">
        <v>0.173227664458014</v>
      </c>
      <c r="O25" s="0" t="n">
        <v>0.173227664458014</v>
      </c>
      <c r="P25" s="0" t="n">
        <v>0.173227664458014</v>
      </c>
      <c r="Q25" s="0" t="n">
        <v>0.173227664458014</v>
      </c>
      <c r="R25" s="0" t="n">
        <v>0.173227664458014</v>
      </c>
      <c r="S25" s="0" t="n">
        <v>0.173227664458014</v>
      </c>
      <c r="T25" s="0" t="n">
        <v>0.173227664458014</v>
      </c>
      <c r="U25" s="0" t="n">
        <v>0.173227664458014</v>
      </c>
      <c r="V25" s="0" t="n">
        <v>0.49645390070922</v>
      </c>
      <c r="W25" s="0" t="n">
        <v>0.49645390070922</v>
      </c>
      <c r="X25" s="0" t="n">
        <v>0.49645390070922</v>
      </c>
      <c r="Y25" s="0" t="n">
        <v>0.49645390070922</v>
      </c>
      <c r="Z25" s="0" t="n">
        <v>0.49645390070922</v>
      </c>
      <c r="AA25" s="0" t="n">
        <v>0.49645390070922</v>
      </c>
      <c r="AB25" s="0" t="n">
        <v>0.49645390070922</v>
      </c>
      <c r="AC25" s="0" t="n">
        <v>0.49645390070922</v>
      </c>
      <c r="AD25" s="0" t="n">
        <v>0.49645390070922</v>
      </c>
      <c r="AE25" s="0" t="n">
        <v>0.49645390070922</v>
      </c>
      <c r="AF25" s="0" t="n">
        <v>0.49645390070922</v>
      </c>
      <c r="AG25" s="0" t="n">
        <v>0.49645390070922</v>
      </c>
      <c r="AH25" s="0" t="n">
        <v>0.49645390070922</v>
      </c>
      <c r="AI25" s="0" t="n">
        <v>0.49645390070922</v>
      </c>
      <c r="AJ25" s="0" t="n">
        <v>0.49645390070922</v>
      </c>
      <c r="AK25" s="0" t="n">
        <v>0.49645390070922</v>
      </c>
      <c r="AL25" s="0" t="n">
        <v>0.49645390070922</v>
      </c>
      <c r="AM25" s="0" t="n">
        <v>0.49645390070922</v>
      </c>
      <c r="AN25" s="0" t="n">
        <v>0.49645390070922</v>
      </c>
      <c r="AO25" s="0" t="n">
        <v>0.49645390070922</v>
      </c>
      <c r="AP25" s="0" t="n">
        <v>0.49645390070922</v>
      </c>
      <c r="AQ25" s="0" t="n">
        <v>0.49645390070922</v>
      </c>
      <c r="AR25" s="0" t="n">
        <v>0.49645390070922</v>
      </c>
      <c r="AS25" s="0" t="n">
        <v>0.49645390070922</v>
      </c>
      <c r="AT25" s="0" t="n">
        <v>0.49645390070922</v>
      </c>
      <c r="AU25" s="0" t="n">
        <v>1.875</v>
      </c>
      <c r="AV25" s="0" t="n">
        <v>1.875</v>
      </c>
      <c r="AW25" s="0" t="n">
        <v>1.875</v>
      </c>
      <c r="AX25" s="0" t="n">
        <v>1.875</v>
      </c>
      <c r="AY25" s="0" t="n">
        <v>1.875</v>
      </c>
      <c r="AZ25" s="0" t="n">
        <v>1.875</v>
      </c>
      <c r="BA25" s="0" t="n">
        <v>1.875</v>
      </c>
      <c r="BB25" s="0" t="n">
        <v>1.875</v>
      </c>
      <c r="BC25" s="0" t="n">
        <v>1.875</v>
      </c>
      <c r="BD25" s="0" t="n">
        <v>1.875</v>
      </c>
      <c r="BE25" s="0" t="n">
        <v>1.875</v>
      </c>
      <c r="BF25" s="0" t="n">
        <v>1.875</v>
      </c>
      <c r="BG25" s="0" t="n">
        <v>0.173227664458014</v>
      </c>
      <c r="BH25" s="0" t="n">
        <v>0.173227664458014</v>
      </c>
      <c r="BI25" s="0" t="n">
        <v>0.173227664458014</v>
      </c>
      <c r="BJ25" s="0" t="n">
        <v>0.173227664458014</v>
      </c>
      <c r="BK25" s="0" t="n">
        <v>0.173227664458014</v>
      </c>
    </row>
    <row r="26" customFormat="false" ht="12.8" hidden="false" customHeight="false" outlineLevel="0" collapsed="false">
      <c r="A26" s="21" t="n">
        <f aca="false">A25+1/24</f>
        <v>43893.0000004166</v>
      </c>
      <c r="B26" s="0" t="n">
        <v>0.0836689619332207</v>
      </c>
      <c r="C26" s="0" t="n">
        <v>0.0836689619332207</v>
      </c>
      <c r="D26" s="0" t="n">
        <v>0.0836689619332207</v>
      </c>
      <c r="E26" s="0" t="n">
        <v>0.0836689619332207</v>
      </c>
      <c r="F26" s="0" t="n">
        <v>0.0836689619332207</v>
      </c>
      <c r="G26" s="0" t="n">
        <v>0.0836689619332207</v>
      </c>
      <c r="H26" s="0" t="n">
        <v>0.0836689619332207</v>
      </c>
      <c r="I26" s="0" t="n">
        <v>0.0836689619332207</v>
      </c>
      <c r="J26" s="0" t="n">
        <v>0.0836689619332207</v>
      </c>
      <c r="K26" s="0" t="n">
        <v>0.0836689619332207</v>
      </c>
      <c r="L26" s="0" t="n">
        <v>0.0836689619332207</v>
      </c>
      <c r="M26" s="0" t="n">
        <v>0.0836689619332207</v>
      </c>
      <c r="N26" s="0" t="n">
        <v>0.0836689619332207</v>
      </c>
      <c r="O26" s="0" t="n">
        <v>0.0836689619332207</v>
      </c>
      <c r="P26" s="0" t="n">
        <v>0.0836689619332207</v>
      </c>
      <c r="Q26" s="0" t="n">
        <v>0.0836689619332207</v>
      </c>
      <c r="R26" s="0" t="n">
        <v>0.0836689619332207</v>
      </c>
      <c r="S26" s="0" t="n">
        <v>0.0836689619332207</v>
      </c>
      <c r="T26" s="0" t="n">
        <v>0.0836689619332207</v>
      </c>
      <c r="U26" s="0" t="n">
        <v>0.0836689619332207</v>
      </c>
      <c r="V26" s="0" t="n">
        <v>0.38500506585613</v>
      </c>
      <c r="W26" s="0" t="n">
        <v>0.38500506585613</v>
      </c>
      <c r="X26" s="0" t="n">
        <v>0.38500506585613</v>
      </c>
      <c r="Y26" s="0" t="n">
        <v>0.38500506585613</v>
      </c>
      <c r="Z26" s="0" t="n">
        <v>0.38500506585613</v>
      </c>
      <c r="AA26" s="0" t="n">
        <v>0.38500506585613</v>
      </c>
      <c r="AB26" s="0" t="n">
        <v>0.38500506585613</v>
      </c>
      <c r="AC26" s="0" t="n">
        <v>0.38500506585613</v>
      </c>
      <c r="AD26" s="0" t="n">
        <v>0.38500506585613</v>
      </c>
      <c r="AE26" s="0" t="n">
        <v>0.38500506585613</v>
      </c>
      <c r="AF26" s="0" t="n">
        <v>0.38500506585613</v>
      </c>
      <c r="AG26" s="0" t="n">
        <v>0.38500506585613</v>
      </c>
      <c r="AH26" s="0" t="n">
        <v>0.38500506585613</v>
      </c>
      <c r="AI26" s="0" t="n">
        <v>0.38500506585613</v>
      </c>
      <c r="AJ26" s="0" t="n">
        <v>0.38500506585613</v>
      </c>
      <c r="AK26" s="0" t="n">
        <v>0.38500506585613</v>
      </c>
      <c r="AL26" s="0" t="n">
        <v>0.38500506585613</v>
      </c>
      <c r="AM26" s="0" t="n">
        <v>0.38500506585613</v>
      </c>
      <c r="AN26" s="0" t="n">
        <v>0.38500506585613</v>
      </c>
      <c r="AO26" s="0" t="n">
        <v>0.38500506585613</v>
      </c>
      <c r="AP26" s="0" t="n">
        <v>0.38500506585613</v>
      </c>
      <c r="AQ26" s="0" t="n">
        <v>0.38500506585613</v>
      </c>
      <c r="AR26" s="0" t="n">
        <v>0.38500506585613</v>
      </c>
      <c r="AS26" s="0" t="n">
        <v>0.38500506585613</v>
      </c>
      <c r="AT26" s="0" t="n">
        <v>0.38500506585613</v>
      </c>
      <c r="AU26" s="0" t="n">
        <v>0.625</v>
      </c>
      <c r="AV26" s="0" t="n">
        <v>0.625</v>
      </c>
      <c r="AW26" s="0" t="n">
        <v>0.625</v>
      </c>
      <c r="AX26" s="0" t="n">
        <v>0.625</v>
      </c>
      <c r="AY26" s="0" t="n">
        <v>0.625</v>
      </c>
      <c r="AZ26" s="0" t="n">
        <v>0.625</v>
      </c>
      <c r="BA26" s="0" t="n">
        <v>0.625</v>
      </c>
      <c r="BB26" s="0" t="n">
        <v>0.625</v>
      </c>
      <c r="BC26" s="0" t="n">
        <v>0.625</v>
      </c>
      <c r="BD26" s="0" t="n">
        <v>0.625</v>
      </c>
      <c r="BE26" s="0" t="n">
        <v>0.625</v>
      </c>
      <c r="BF26" s="0" t="n">
        <v>0.625</v>
      </c>
      <c r="BG26" s="0" t="n">
        <v>0.0836689619332207</v>
      </c>
      <c r="BH26" s="0" t="n">
        <v>0.0836689619332207</v>
      </c>
      <c r="BI26" s="0" t="n">
        <v>0.0836689619332207</v>
      </c>
      <c r="BJ26" s="0" t="n">
        <v>0.0836689619332207</v>
      </c>
      <c r="BK26" s="0" t="n">
        <v>0.0836689619332207</v>
      </c>
    </row>
    <row r="27" customFormat="false" ht="12.8" hidden="false" customHeight="false" outlineLevel="0" collapsed="false">
      <c r="A27" s="21" t="n">
        <f aca="false">A26+1/24</f>
        <v>43893.0416670832</v>
      </c>
      <c r="B27" s="0" t="n">
        <v>0.0471612316486943</v>
      </c>
      <c r="C27" s="0" t="n">
        <v>0.0471612316486943</v>
      </c>
      <c r="D27" s="0" t="n">
        <v>0.0471612316486943</v>
      </c>
      <c r="E27" s="0" t="n">
        <v>0.0471612316486943</v>
      </c>
      <c r="F27" s="0" t="n">
        <v>0.0471612316486943</v>
      </c>
      <c r="G27" s="0" t="n">
        <v>0.0471612316486943</v>
      </c>
      <c r="H27" s="0" t="n">
        <v>0.0471612316486943</v>
      </c>
      <c r="I27" s="0" t="n">
        <v>0.0471612316486943</v>
      </c>
      <c r="J27" s="0" t="n">
        <v>0.0471612316486943</v>
      </c>
      <c r="K27" s="0" t="n">
        <v>0.0471612316486943</v>
      </c>
      <c r="L27" s="0" t="n">
        <v>0.0471612316486943</v>
      </c>
      <c r="M27" s="0" t="n">
        <v>0.0471612316486943</v>
      </c>
      <c r="N27" s="0" t="n">
        <v>0.0471612316486943</v>
      </c>
      <c r="O27" s="0" t="n">
        <v>0.0471612316486943</v>
      </c>
      <c r="P27" s="0" t="n">
        <v>0.0471612316486943</v>
      </c>
      <c r="Q27" s="0" t="n">
        <v>0.0471612316486943</v>
      </c>
      <c r="R27" s="0" t="n">
        <v>0.0471612316486943</v>
      </c>
      <c r="S27" s="0" t="n">
        <v>0.0471612316486943</v>
      </c>
      <c r="T27" s="0" t="n">
        <v>0.0471612316486943</v>
      </c>
      <c r="U27" s="0" t="n">
        <v>0.0471612316486943</v>
      </c>
      <c r="V27" s="0" t="n">
        <v>0.316109422492401</v>
      </c>
      <c r="W27" s="0" t="n">
        <v>0.316109422492401</v>
      </c>
      <c r="X27" s="0" t="n">
        <v>0.316109422492401</v>
      </c>
      <c r="Y27" s="0" t="n">
        <v>0.316109422492401</v>
      </c>
      <c r="Z27" s="0" t="n">
        <v>0.316109422492401</v>
      </c>
      <c r="AA27" s="0" t="n">
        <v>0.316109422492401</v>
      </c>
      <c r="AB27" s="0" t="n">
        <v>0.316109422492401</v>
      </c>
      <c r="AC27" s="0" t="n">
        <v>0.316109422492401</v>
      </c>
      <c r="AD27" s="0" t="n">
        <v>0.316109422492401</v>
      </c>
      <c r="AE27" s="0" t="n">
        <v>0.316109422492401</v>
      </c>
      <c r="AF27" s="0" t="n">
        <v>0.316109422492401</v>
      </c>
      <c r="AG27" s="0" t="n">
        <v>0.316109422492401</v>
      </c>
      <c r="AH27" s="0" t="n">
        <v>0.316109422492401</v>
      </c>
      <c r="AI27" s="0" t="n">
        <v>0.316109422492401</v>
      </c>
      <c r="AJ27" s="0" t="n">
        <v>0.316109422492401</v>
      </c>
      <c r="AK27" s="0" t="n">
        <v>0.316109422492401</v>
      </c>
      <c r="AL27" s="0" t="n">
        <v>0.316109422492401</v>
      </c>
      <c r="AM27" s="0" t="n">
        <v>0.316109422492401</v>
      </c>
      <c r="AN27" s="0" t="n">
        <v>0.316109422492401</v>
      </c>
      <c r="AO27" s="0" t="n">
        <v>0.316109422492401</v>
      </c>
      <c r="AP27" s="0" t="n">
        <v>0.316109422492401</v>
      </c>
      <c r="AQ27" s="0" t="n">
        <v>0.316109422492401</v>
      </c>
      <c r="AR27" s="0" t="n">
        <v>0.316109422492401</v>
      </c>
      <c r="AS27" s="0" t="n">
        <v>0.316109422492401</v>
      </c>
      <c r="AT27" s="0" t="n">
        <v>0.316109422492401</v>
      </c>
      <c r="AU27" s="0" t="n">
        <v>0.125</v>
      </c>
      <c r="AV27" s="0" t="n">
        <v>0.125</v>
      </c>
      <c r="AW27" s="0" t="n">
        <v>0.125</v>
      </c>
      <c r="AX27" s="0" t="n">
        <v>0.125</v>
      </c>
      <c r="AY27" s="0" t="n">
        <v>0.125</v>
      </c>
      <c r="AZ27" s="0" t="n">
        <v>0.125</v>
      </c>
      <c r="BA27" s="0" t="n">
        <v>0.125</v>
      </c>
      <c r="BB27" s="0" t="n">
        <v>0.125</v>
      </c>
      <c r="BC27" s="0" t="n">
        <v>0.125</v>
      </c>
      <c r="BD27" s="0" t="n">
        <v>0.125</v>
      </c>
      <c r="BE27" s="0" t="n">
        <v>0.125</v>
      </c>
      <c r="BF27" s="0" t="n">
        <v>0.125</v>
      </c>
      <c r="BG27" s="0" t="n">
        <v>0.0471612316486943</v>
      </c>
      <c r="BH27" s="0" t="n">
        <v>0.0471612316486943</v>
      </c>
      <c r="BI27" s="0" t="n">
        <v>0.0471612316486943</v>
      </c>
      <c r="BJ27" s="0" t="n">
        <v>0.0471612316486943</v>
      </c>
      <c r="BK27" s="0" t="n">
        <v>0.0471612316486943</v>
      </c>
    </row>
    <row r="28" customFormat="false" ht="12.8" hidden="false" customHeight="false" outlineLevel="0" collapsed="false">
      <c r="A28" s="21" t="n">
        <f aca="false">A27+1/24</f>
        <v>43893.0833337499</v>
      </c>
      <c r="B28" s="0" t="n">
        <v>0.0354250573816638</v>
      </c>
      <c r="C28" s="0" t="n">
        <v>0.0354250573816638</v>
      </c>
      <c r="D28" s="0" t="n">
        <v>0.0354250573816638</v>
      </c>
      <c r="E28" s="0" t="n">
        <v>0.0354250573816638</v>
      </c>
      <c r="F28" s="0" t="n">
        <v>0.0354250573816638</v>
      </c>
      <c r="G28" s="0" t="n">
        <v>0.0354250573816638</v>
      </c>
      <c r="H28" s="0" t="n">
        <v>0.0354250573816638</v>
      </c>
      <c r="I28" s="0" t="n">
        <v>0.0354250573816638</v>
      </c>
      <c r="J28" s="0" t="n">
        <v>0.0354250573816638</v>
      </c>
      <c r="K28" s="0" t="n">
        <v>0.0354250573816638</v>
      </c>
      <c r="L28" s="0" t="n">
        <v>0.0354250573816638</v>
      </c>
      <c r="M28" s="0" t="n">
        <v>0.0354250573816638</v>
      </c>
      <c r="N28" s="0" t="n">
        <v>0.0354250573816638</v>
      </c>
      <c r="O28" s="0" t="n">
        <v>0.0354250573816638</v>
      </c>
      <c r="P28" s="0" t="n">
        <v>0.0354250573816638</v>
      </c>
      <c r="Q28" s="0" t="n">
        <v>0.0354250573816638</v>
      </c>
      <c r="R28" s="0" t="n">
        <v>0.0354250573816638</v>
      </c>
      <c r="S28" s="0" t="n">
        <v>0.0354250573816638</v>
      </c>
      <c r="T28" s="0" t="n">
        <v>0.0354250573816638</v>
      </c>
      <c r="U28" s="0" t="n">
        <v>0.0354250573816638</v>
      </c>
      <c r="V28" s="0" t="n">
        <v>0.291793313069909</v>
      </c>
      <c r="W28" s="0" t="n">
        <v>0.291793313069909</v>
      </c>
      <c r="X28" s="0" t="n">
        <v>0.291793313069909</v>
      </c>
      <c r="Y28" s="0" t="n">
        <v>0.291793313069909</v>
      </c>
      <c r="Z28" s="0" t="n">
        <v>0.291793313069909</v>
      </c>
      <c r="AA28" s="0" t="n">
        <v>0.291793313069909</v>
      </c>
      <c r="AB28" s="0" t="n">
        <v>0.291793313069909</v>
      </c>
      <c r="AC28" s="0" t="n">
        <v>0.291793313069909</v>
      </c>
      <c r="AD28" s="0" t="n">
        <v>0.291793313069909</v>
      </c>
      <c r="AE28" s="0" t="n">
        <v>0.291793313069909</v>
      </c>
      <c r="AF28" s="0" t="n">
        <v>0.291793313069909</v>
      </c>
      <c r="AG28" s="0" t="n">
        <v>0.291793313069909</v>
      </c>
      <c r="AH28" s="0" t="n">
        <v>0.291793313069909</v>
      </c>
      <c r="AI28" s="0" t="n">
        <v>0.291793313069909</v>
      </c>
      <c r="AJ28" s="0" t="n">
        <v>0.291793313069909</v>
      </c>
      <c r="AK28" s="0" t="n">
        <v>0.291793313069909</v>
      </c>
      <c r="AL28" s="0" t="n">
        <v>0.291793313069909</v>
      </c>
      <c r="AM28" s="0" t="n">
        <v>0.291793313069909</v>
      </c>
      <c r="AN28" s="0" t="n">
        <v>0.291793313069909</v>
      </c>
      <c r="AO28" s="0" t="n">
        <v>0.291793313069909</v>
      </c>
      <c r="AP28" s="0" t="n">
        <v>0.291793313069909</v>
      </c>
      <c r="AQ28" s="0" t="n">
        <v>0.291793313069909</v>
      </c>
      <c r="AR28" s="0" t="n">
        <v>0.291793313069909</v>
      </c>
      <c r="AS28" s="0" t="n">
        <v>0.291793313069909</v>
      </c>
      <c r="AT28" s="0" t="n">
        <v>0.291793313069909</v>
      </c>
      <c r="AU28" s="0" t="n">
        <v>0.375</v>
      </c>
      <c r="AV28" s="0" t="n">
        <v>0.375</v>
      </c>
      <c r="AW28" s="0" t="n">
        <v>0.375</v>
      </c>
      <c r="AX28" s="0" t="n">
        <v>0.375</v>
      </c>
      <c r="AY28" s="0" t="n">
        <v>0.375</v>
      </c>
      <c r="AZ28" s="0" t="n">
        <v>0.375</v>
      </c>
      <c r="BA28" s="0" t="n">
        <v>0.375</v>
      </c>
      <c r="BB28" s="0" t="n">
        <v>0.375</v>
      </c>
      <c r="BC28" s="0" t="n">
        <v>0.375</v>
      </c>
      <c r="BD28" s="0" t="n">
        <v>0.375</v>
      </c>
      <c r="BE28" s="0" t="n">
        <v>0.375</v>
      </c>
      <c r="BF28" s="0" t="n">
        <v>0.375</v>
      </c>
      <c r="BG28" s="0" t="n">
        <v>0.0354250573816638</v>
      </c>
      <c r="BH28" s="0" t="n">
        <v>0.0354250573816638</v>
      </c>
      <c r="BI28" s="0" t="n">
        <v>0.0354250573816638</v>
      </c>
      <c r="BJ28" s="0" t="n">
        <v>0.0354250573816638</v>
      </c>
      <c r="BK28" s="0" t="n">
        <v>0.0354250573816638</v>
      </c>
    </row>
    <row r="29" customFormat="false" ht="12.8" hidden="false" customHeight="false" outlineLevel="0" collapsed="false">
      <c r="A29" s="21" t="n">
        <f aca="false">A28+1/24</f>
        <v>43893.1250004165</v>
      </c>
      <c r="B29" s="0" t="n">
        <v>0.0424407777922134</v>
      </c>
      <c r="C29" s="0" t="n">
        <v>0.0424407777922134</v>
      </c>
      <c r="D29" s="0" t="n">
        <v>0.0424407777922134</v>
      </c>
      <c r="E29" s="0" t="n">
        <v>0.0424407777922134</v>
      </c>
      <c r="F29" s="0" t="n">
        <v>0.0424407777922134</v>
      </c>
      <c r="G29" s="0" t="n">
        <v>0.0424407777922134</v>
      </c>
      <c r="H29" s="0" t="n">
        <v>0.0424407777922134</v>
      </c>
      <c r="I29" s="0" t="n">
        <v>0.0424407777922134</v>
      </c>
      <c r="J29" s="0" t="n">
        <v>0.0424407777922134</v>
      </c>
      <c r="K29" s="0" t="n">
        <v>0.0424407777922134</v>
      </c>
      <c r="L29" s="0" t="n">
        <v>0.0424407777922134</v>
      </c>
      <c r="M29" s="0" t="n">
        <v>0.0424407777922134</v>
      </c>
      <c r="N29" s="0" t="n">
        <v>0.0424407777922134</v>
      </c>
      <c r="O29" s="0" t="n">
        <v>0.0424407777922134</v>
      </c>
      <c r="P29" s="0" t="n">
        <v>0.0424407777922134</v>
      </c>
      <c r="Q29" s="0" t="n">
        <v>0.0424407777922134</v>
      </c>
      <c r="R29" s="0" t="n">
        <v>0.0424407777922134</v>
      </c>
      <c r="S29" s="0" t="n">
        <v>0.0424407777922134</v>
      </c>
      <c r="T29" s="0" t="n">
        <v>0.0424407777922134</v>
      </c>
      <c r="U29" s="0" t="n">
        <v>0.0424407777922134</v>
      </c>
      <c r="V29" s="0" t="n">
        <v>0.328267477203647</v>
      </c>
      <c r="W29" s="0" t="n">
        <v>0.328267477203647</v>
      </c>
      <c r="X29" s="0" t="n">
        <v>0.328267477203647</v>
      </c>
      <c r="Y29" s="0" t="n">
        <v>0.328267477203647</v>
      </c>
      <c r="Z29" s="0" t="n">
        <v>0.328267477203647</v>
      </c>
      <c r="AA29" s="0" t="n">
        <v>0.328267477203647</v>
      </c>
      <c r="AB29" s="0" t="n">
        <v>0.328267477203647</v>
      </c>
      <c r="AC29" s="0" t="n">
        <v>0.328267477203647</v>
      </c>
      <c r="AD29" s="0" t="n">
        <v>0.328267477203647</v>
      </c>
      <c r="AE29" s="0" t="n">
        <v>0.328267477203647</v>
      </c>
      <c r="AF29" s="0" t="n">
        <v>0.328267477203647</v>
      </c>
      <c r="AG29" s="0" t="n">
        <v>0.328267477203647</v>
      </c>
      <c r="AH29" s="0" t="n">
        <v>0.328267477203647</v>
      </c>
      <c r="AI29" s="0" t="n">
        <v>0.328267477203647</v>
      </c>
      <c r="AJ29" s="0" t="n">
        <v>0.328267477203647</v>
      </c>
      <c r="AK29" s="0" t="n">
        <v>0.328267477203647</v>
      </c>
      <c r="AL29" s="0" t="n">
        <v>0.328267477203647</v>
      </c>
      <c r="AM29" s="0" t="n">
        <v>0.328267477203647</v>
      </c>
      <c r="AN29" s="0" t="n">
        <v>0.328267477203647</v>
      </c>
      <c r="AO29" s="0" t="n">
        <v>0.328267477203647</v>
      </c>
      <c r="AP29" s="0" t="n">
        <v>0.328267477203647</v>
      </c>
      <c r="AQ29" s="0" t="n">
        <v>0.328267477203647</v>
      </c>
      <c r="AR29" s="0" t="n">
        <v>0.328267477203647</v>
      </c>
      <c r="AS29" s="0" t="n">
        <v>0.328267477203647</v>
      </c>
      <c r="AT29" s="0" t="n">
        <v>0.328267477203647</v>
      </c>
      <c r="AU29" s="0" t="n">
        <v>0.375</v>
      </c>
      <c r="AV29" s="0" t="n">
        <v>0.375</v>
      </c>
      <c r="AW29" s="0" t="n">
        <v>0.375</v>
      </c>
      <c r="AX29" s="0" t="n">
        <v>0.375</v>
      </c>
      <c r="AY29" s="0" t="n">
        <v>0.375</v>
      </c>
      <c r="AZ29" s="0" t="n">
        <v>0.375</v>
      </c>
      <c r="BA29" s="0" t="n">
        <v>0.375</v>
      </c>
      <c r="BB29" s="0" t="n">
        <v>0.375</v>
      </c>
      <c r="BC29" s="0" t="n">
        <v>0.375</v>
      </c>
      <c r="BD29" s="0" t="n">
        <v>0.375</v>
      </c>
      <c r="BE29" s="0" t="n">
        <v>0.375</v>
      </c>
      <c r="BF29" s="0" t="n">
        <v>0.375</v>
      </c>
      <c r="BG29" s="0" t="n">
        <v>0.0424407777922134</v>
      </c>
      <c r="BH29" s="0" t="n">
        <v>0.0424407777922134</v>
      </c>
      <c r="BI29" s="0" t="n">
        <v>0.0424407777922134</v>
      </c>
      <c r="BJ29" s="0" t="n">
        <v>0.0424407777922134</v>
      </c>
      <c r="BK29" s="0" t="n">
        <v>0.0424407777922134</v>
      </c>
    </row>
    <row r="30" customFormat="false" ht="12.8" hidden="false" customHeight="false" outlineLevel="0" collapsed="false">
      <c r="A30" s="21" t="n">
        <f aca="false">A29+1/24</f>
        <v>43893.1666670832</v>
      </c>
      <c r="B30" s="0" t="n">
        <v>0.0944956909618466</v>
      </c>
      <c r="C30" s="0" t="n">
        <v>0.0944956909618466</v>
      </c>
      <c r="D30" s="0" t="n">
        <v>0.0944956909618466</v>
      </c>
      <c r="E30" s="0" t="n">
        <v>0.0944956909618466</v>
      </c>
      <c r="F30" s="0" t="n">
        <v>0.0944956909618466</v>
      </c>
      <c r="G30" s="0" t="n">
        <v>0.0944956909618466</v>
      </c>
      <c r="H30" s="0" t="n">
        <v>0.0944956909618466</v>
      </c>
      <c r="I30" s="0" t="n">
        <v>0.0944956909618466</v>
      </c>
      <c r="J30" s="0" t="n">
        <v>0.0944956909618466</v>
      </c>
      <c r="K30" s="0" t="n">
        <v>0.0944956909618466</v>
      </c>
      <c r="L30" s="0" t="n">
        <v>0.0944956909618466</v>
      </c>
      <c r="M30" s="0" t="n">
        <v>0.0944956909618466</v>
      </c>
      <c r="N30" s="0" t="n">
        <v>0.0944956909618466</v>
      </c>
      <c r="O30" s="0" t="n">
        <v>0.0944956909618466</v>
      </c>
      <c r="P30" s="0" t="n">
        <v>0.0944956909618466</v>
      </c>
      <c r="Q30" s="0" t="n">
        <v>0.0944956909618466</v>
      </c>
      <c r="R30" s="0" t="n">
        <v>0.0944956909618466</v>
      </c>
      <c r="S30" s="0" t="n">
        <v>0.0944956909618466</v>
      </c>
      <c r="T30" s="0" t="n">
        <v>0.0944956909618466</v>
      </c>
      <c r="U30" s="0" t="n">
        <v>0.0944956909618466</v>
      </c>
      <c r="V30" s="0" t="n">
        <v>0.477203647416413</v>
      </c>
      <c r="W30" s="0" t="n">
        <v>0.477203647416413</v>
      </c>
      <c r="X30" s="0" t="n">
        <v>0.477203647416413</v>
      </c>
      <c r="Y30" s="0" t="n">
        <v>0.477203647416413</v>
      </c>
      <c r="Z30" s="0" t="n">
        <v>0.477203647416413</v>
      </c>
      <c r="AA30" s="0" t="n">
        <v>0.477203647416413</v>
      </c>
      <c r="AB30" s="0" t="n">
        <v>0.477203647416413</v>
      </c>
      <c r="AC30" s="0" t="n">
        <v>0.477203647416413</v>
      </c>
      <c r="AD30" s="0" t="n">
        <v>0.477203647416413</v>
      </c>
      <c r="AE30" s="0" t="n">
        <v>0.477203647416413</v>
      </c>
      <c r="AF30" s="0" t="n">
        <v>0.477203647416413</v>
      </c>
      <c r="AG30" s="0" t="n">
        <v>0.477203647416413</v>
      </c>
      <c r="AH30" s="0" t="n">
        <v>0.477203647416413</v>
      </c>
      <c r="AI30" s="0" t="n">
        <v>0.477203647416413</v>
      </c>
      <c r="AJ30" s="0" t="n">
        <v>0.477203647416413</v>
      </c>
      <c r="AK30" s="0" t="n">
        <v>0.477203647416413</v>
      </c>
      <c r="AL30" s="0" t="n">
        <v>0.477203647416413</v>
      </c>
      <c r="AM30" s="0" t="n">
        <v>0.477203647416413</v>
      </c>
      <c r="AN30" s="0" t="n">
        <v>0.477203647416413</v>
      </c>
      <c r="AO30" s="0" t="n">
        <v>0.477203647416413</v>
      </c>
      <c r="AP30" s="0" t="n">
        <v>0.477203647416413</v>
      </c>
      <c r="AQ30" s="0" t="n">
        <v>0.477203647416413</v>
      </c>
      <c r="AR30" s="0" t="n">
        <v>0.477203647416413</v>
      </c>
      <c r="AS30" s="0" t="n">
        <v>0.477203647416413</v>
      </c>
      <c r="AT30" s="0" t="n">
        <v>0.477203647416413</v>
      </c>
      <c r="AU30" s="0" t="n">
        <v>0.875</v>
      </c>
      <c r="AV30" s="0" t="n">
        <v>0.875</v>
      </c>
      <c r="AW30" s="0" t="n">
        <v>0.875</v>
      </c>
      <c r="AX30" s="0" t="n">
        <v>0.875</v>
      </c>
      <c r="AY30" s="0" t="n">
        <v>0.875</v>
      </c>
      <c r="AZ30" s="0" t="n">
        <v>0.875</v>
      </c>
      <c r="BA30" s="0" t="n">
        <v>0.875</v>
      </c>
      <c r="BB30" s="0" t="n">
        <v>0.875</v>
      </c>
      <c r="BC30" s="0" t="n">
        <v>0.875</v>
      </c>
      <c r="BD30" s="0" t="n">
        <v>0.875</v>
      </c>
      <c r="BE30" s="0" t="n">
        <v>0.875</v>
      </c>
      <c r="BF30" s="0" t="n">
        <v>0.875</v>
      </c>
      <c r="BG30" s="0" t="n">
        <v>0.0944956909618466</v>
      </c>
      <c r="BH30" s="0" t="n">
        <v>0.0944956909618466</v>
      </c>
      <c r="BI30" s="0" t="n">
        <v>0.0944956909618466</v>
      </c>
      <c r="BJ30" s="0" t="n">
        <v>0.0944956909618466</v>
      </c>
      <c r="BK30" s="0" t="n">
        <v>0.0944956909618466</v>
      </c>
    </row>
    <row r="31" customFormat="false" ht="12.8" hidden="false" customHeight="false" outlineLevel="0" collapsed="false">
      <c r="A31" s="21" t="n">
        <f aca="false">A30+1/24</f>
        <v>43893.2083337499</v>
      </c>
      <c r="B31" s="0" t="n">
        <v>0.352388376423715</v>
      </c>
      <c r="C31" s="0" t="n">
        <v>0.352388376423715</v>
      </c>
      <c r="D31" s="0" t="n">
        <v>0.352388376423715</v>
      </c>
      <c r="E31" s="0" t="n">
        <v>0.352388376423715</v>
      </c>
      <c r="F31" s="0" t="n">
        <v>0.352388376423715</v>
      </c>
      <c r="G31" s="0" t="n">
        <v>0.352388376423715</v>
      </c>
      <c r="H31" s="0" t="n">
        <v>0.352388376423715</v>
      </c>
      <c r="I31" s="0" t="n">
        <v>0.352388376423715</v>
      </c>
      <c r="J31" s="0" t="n">
        <v>0.352388376423715</v>
      </c>
      <c r="K31" s="0" t="n">
        <v>0.352388376423715</v>
      </c>
      <c r="L31" s="0" t="n">
        <v>0.352388376423715</v>
      </c>
      <c r="M31" s="0" t="n">
        <v>0.352388376423715</v>
      </c>
      <c r="N31" s="0" t="n">
        <v>0.352388376423715</v>
      </c>
      <c r="O31" s="0" t="n">
        <v>0.352388376423715</v>
      </c>
      <c r="P31" s="0" t="n">
        <v>0.352388376423715</v>
      </c>
      <c r="Q31" s="0" t="n">
        <v>0.352388376423715</v>
      </c>
      <c r="R31" s="0" t="n">
        <v>0.352388376423715</v>
      </c>
      <c r="S31" s="0" t="n">
        <v>0.352388376423715</v>
      </c>
      <c r="T31" s="0" t="n">
        <v>0.352388376423715</v>
      </c>
      <c r="U31" s="0" t="n">
        <v>0.352388376423715</v>
      </c>
      <c r="V31" s="0" t="n">
        <v>0.855116514690983</v>
      </c>
      <c r="W31" s="0" t="n">
        <v>0.855116514690983</v>
      </c>
      <c r="X31" s="0" t="n">
        <v>0.855116514690983</v>
      </c>
      <c r="Y31" s="0" t="n">
        <v>0.855116514690983</v>
      </c>
      <c r="Z31" s="0" t="n">
        <v>0.855116514690983</v>
      </c>
      <c r="AA31" s="0" t="n">
        <v>0.855116514690983</v>
      </c>
      <c r="AB31" s="0" t="n">
        <v>0.855116514690983</v>
      </c>
      <c r="AC31" s="0" t="n">
        <v>0.855116514690983</v>
      </c>
      <c r="AD31" s="0" t="n">
        <v>0.855116514690983</v>
      </c>
      <c r="AE31" s="0" t="n">
        <v>0.855116514690983</v>
      </c>
      <c r="AF31" s="0" t="n">
        <v>0.855116514690983</v>
      </c>
      <c r="AG31" s="0" t="n">
        <v>0.855116514690983</v>
      </c>
      <c r="AH31" s="0" t="n">
        <v>0.855116514690983</v>
      </c>
      <c r="AI31" s="0" t="n">
        <v>0.855116514690983</v>
      </c>
      <c r="AJ31" s="0" t="n">
        <v>0.855116514690983</v>
      </c>
      <c r="AK31" s="0" t="n">
        <v>0.855116514690983</v>
      </c>
      <c r="AL31" s="0" t="n">
        <v>0.855116514690983</v>
      </c>
      <c r="AM31" s="0" t="n">
        <v>0.855116514690983</v>
      </c>
      <c r="AN31" s="0" t="n">
        <v>0.855116514690983</v>
      </c>
      <c r="AO31" s="0" t="n">
        <v>0.855116514690983</v>
      </c>
      <c r="AP31" s="0" t="n">
        <v>0.855116514690983</v>
      </c>
      <c r="AQ31" s="0" t="n">
        <v>0.855116514690983</v>
      </c>
      <c r="AR31" s="0" t="n">
        <v>0.855116514690983</v>
      </c>
      <c r="AS31" s="0" t="n">
        <v>0.855116514690983</v>
      </c>
      <c r="AT31" s="0" t="n">
        <v>0.855116514690983</v>
      </c>
      <c r="AU31" s="0" t="n">
        <v>2</v>
      </c>
      <c r="AV31" s="0" t="n">
        <v>2</v>
      </c>
      <c r="AW31" s="0" t="n">
        <v>2</v>
      </c>
      <c r="AX31" s="0" t="n">
        <v>2</v>
      </c>
      <c r="AY31" s="0" t="n">
        <v>2</v>
      </c>
      <c r="AZ31" s="0" t="n">
        <v>2</v>
      </c>
      <c r="BA31" s="0" t="n">
        <v>2</v>
      </c>
      <c r="BB31" s="0" t="n">
        <v>2</v>
      </c>
      <c r="BC31" s="0" t="n">
        <v>2</v>
      </c>
      <c r="BD31" s="0" t="n">
        <v>2</v>
      </c>
      <c r="BE31" s="0" t="n">
        <v>2</v>
      </c>
      <c r="BF31" s="0" t="n">
        <v>2</v>
      </c>
      <c r="BG31" s="0" t="n">
        <v>0.352388376423715</v>
      </c>
      <c r="BH31" s="0" t="n">
        <v>0.352388376423715</v>
      </c>
      <c r="BI31" s="0" t="n">
        <v>0.352388376423715</v>
      </c>
      <c r="BJ31" s="0" t="n">
        <v>0.352388376423715</v>
      </c>
      <c r="BK31" s="0" t="n">
        <v>0.352388376423715</v>
      </c>
    </row>
    <row r="32" customFormat="false" ht="12.8" hidden="false" customHeight="false" outlineLevel="0" collapsed="false">
      <c r="A32" s="21" t="n">
        <f aca="false">A31+1/24</f>
        <v>43893.2500004165</v>
      </c>
      <c r="B32" s="0" t="n">
        <v>0.775713481442986</v>
      </c>
      <c r="C32" s="0" t="n">
        <v>0.775713481442986</v>
      </c>
      <c r="D32" s="0" t="n">
        <v>0.775713481442986</v>
      </c>
      <c r="E32" s="0" t="n">
        <v>0.775713481442986</v>
      </c>
      <c r="F32" s="0" t="n">
        <v>0.775713481442986</v>
      </c>
      <c r="G32" s="0" t="n">
        <v>0.775713481442986</v>
      </c>
      <c r="H32" s="0" t="n">
        <v>0.775713481442986</v>
      </c>
      <c r="I32" s="0" t="n">
        <v>0.775713481442986</v>
      </c>
      <c r="J32" s="0" t="n">
        <v>0.775713481442986</v>
      </c>
      <c r="K32" s="0" t="n">
        <v>0.775713481442986</v>
      </c>
      <c r="L32" s="0" t="n">
        <v>0.775713481442986</v>
      </c>
      <c r="M32" s="0" t="n">
        <v>0.775713481442986</v>
      </c>
      <c r="N32" s="0" t="n">
        <v>0.775713481442986</v>
      </c>
      <c r="O32" s="0" t="n">
        <v>0.775713481442986</v>
      </c>
      <c r="P32" s="0" t="n">
        <v>0.775713481442986</v>
      </c>
      <c r="Q32" s="0" t="n">
        <v>0.775713481442986</v>
      </c>
      <c r="R32" s="0" t="n">
        <v>0.775713481442986</v>
      </c>
      <c r="S32" s="0" t="n">
        <v>0.775713481442986</v>
      </c>
      <c r="T32" s="0" t="n">
        <v>0.775713481442986</v>
      </c>
      <c r="U32" s="0" t="n">
        <v>0.775713481442986</v>
      </c>
      <c r="V32" s="0" t="n">
        <v>1.12765957446809</v>
      </c>
      <c r="W32" s="0" t="n">
        <v>1.12765957446809</v>
      </c>
      <c r="X32" s="0" t="n">
        <v>1.12765957446809</v>
      </c>
      <c r="Y32" s="0" t="n">
        <v>1.12765957446809</v>
      </c>
      <c r="Z32" s="0" t="n">
        <v>1.12765957446809</v>
      </c>
      <c r="AA32" s="0" t="n">
        <v>1.12765957446809</v>
      </c>
      <c r="AB32" s="0" t="n">
        <v>1.12765957446809</v>
      </c>
      <c r="AC32" s="0" t="n">
        <v>1.12765957446809</v>
      </c>
      <c r="AD32" s="0" t="n">
        <v>1.12765957446809</v>
      </c>
      <c r="AE32" s="0" t="n">
        <v>1.12765957446809</v>
      </c>
      <c r="AF32" s="0" t="n">
        <v>1.12765957446809</v>
      </c>
      <c r="AG32" s="0" t="n">
        <v>1.12765957446809</v>
      </c>
      <c r="AH32" s="0" t="n">
        <v>1.12765957446809</v>
      </c>
      <c r="AI32" s="0" t="n">
        <v>1.12765957446809</v>
      </c>
      <c r="AJ32" s="0" t="n">
        <v>1.12765957446809</v>
      </c>
      <c r="AK32" s="0" t="n">
        <v>1.12765957446809</v>
      </c>
      <c r="AL32" s="0" t="n">
        <v>1.12765957446809</v>
      </c>
      <c r="AM32" s="0" t="n">
        <v>1.12765957446809</v>
      </c>
      <c r="AN32" s="0" t="n">
        <v>1.12765957446809</v>
      </c>
      <c r="AO32" s="0" t="n">
        <v>1.12765957446809</v>
      </c>
      <c r="AP32" s="0" t="n">
        <v>1.12765957446809</v>
      </c>
      <c r="AQ32" s="0" t="n">
        <v>1.12765957446809</v>
      </c>
      <c r="AR32" s="0" t="n">
        <v>1.12765957446809</v>
      </c>
      <c r="AS32" s="0" t="n">
        <v>1.12765957446809</v>
      </c>
      <c r="AT32" s="0" t="n">
        <v>1.12765957446809</v>
      </c>
      <c r="AU32" s="0" t="n">
        <v>1.625</v>
      </c>
      <c r="AV32" s="0" t="n">
        <v>1.625</v>
      </c>
      <c r="AW32" s="0" t="n">
        <v>1.625</v>
      </c>
      <c r="AX32" s="0" t="n">
        <v>1.625</v>
      </c>
      <c r="AY32" s="0" t="n">
        <v>1.625</v>
      </c>
      <c r="AZ32" s="0" t="n">
        <v>1.625</v>
      </c>
      <c r="BA32" s="0" t="n">
        <v>1.625</v>
      </c>
      <c r="BB32" s="0" t="n">
        <v>1.625</v>
      </c>
      <c r="BC32" s="0" t="n">
        <v>1.625</v>
      </c>
      <c r="BD32" s="0" t="n">
        <v>1.625</v>
      </c>
      <c r="BE32" s="0" t="n">
        <v>1.625</v>
      </c>
      <c r="BF32" s="0" t="n">
        <v>1.625</v>
      </c>
      <c r="BG32" s="0" t="n">
        <v>0.775713481442986</v>
      </c>
      <c r="BH32" s="0" t="n">
        <v>0.775713481442986</v>
      </c>
      <c r="BI32" s="0" t="n">
        <v>0.775713481442986</v>
      </c>
      <c r="BJ32" s="0" t="n">
        <v>0.775713481442986</v>
      </c>
      <c r="BK32" s="0" t="n">
        <v>0.775713481442986</v>
      </c>
    </row>
    <row r="33" customFormat="false" ht="12.8" hidden="false" customHeight="false" outlineLevel="0" collapsed="false">
      <c r="A33" s="21" t="n">
        <f aca="false">A32+1/24</f>
        <v>43893.2916670832</v>
      </c>
      <c r="B33" s="0" t="n">
        <v>0.943224632973886</v>
      </c>
      <c r="C33" s="0" t="n">
        <v>0.943224632973886</v>
      </c>
      <c r="D33" s="0" t="n">
        <v>0.943224632973886</v>
      </c>
      <c r="E33" s="0" t="n">
        <v>0.943224632973886</v>
      </c>
      <c r="F33" s="0" t="n">
        <v>0.943224632973886</v>
      </c>
      <c r="G33" s="0" t="n">
        <v>0.943224632973886</v>
      </c>
      <c r="H33" s="0" t="n">
        <v>0.943224632973886</v>
      </c>
      <c r="I33" s="0" t="n">
        <v>0.943224632973886</v>
      </c>
      <c r="J33" s="0" t="n">
        <v>0.943224632973886</v>
      </c>
      <c r="K33" s="0" t="n">
        <v>0.943224632973886</v>
      </c>
      <c r="L33" s="0" t="n">
        <v>0.943224632973886</v>
      </c>
      <c r="M33" s="0" t="n">
        <v>0.943224632973886</v>
      </c>
      <c r="N33" s="0" t="n">
        <v>0.943224632973886</v>
      </c>
      <c r="O33" s="0" t="n">
        <v>0.943224632973886</v>
      </c>
      <c r="P33" s="0" t="n">
        <v>0.943224632973886</v>
      </c>
      <c r="Q33" s="0" t="n">
        <v>0.943224632973886</v>
      </c>
      <c r="R33" s="0" t="n">
        <v>0.943224632973886</v>
      </c>
      <c r="S33" s="0" t="n">
        <v>0.943224632973886</v>
      </c>
      <c r="T33" s="0" t="n">
        <v>0.943224632973886</v>
      </c>
      <c r="U33" s="0" t="n">
        <v>0.943224632973886</v>
      </c>
      <c r="V33" s="0" t="n">
        <v>1.16312056737589</v>
      </c>
      <c r="W33" s="0" t="n">
        <v>1.16312056737589</v>
      </c>
      <c r="X33" s="0" t="n">
        <v>1.16312056737589</v>
      </c>
      <c r="Y33" s="0" t="n">
        <v>1.16312056737589</v>
      </c>
      <c r="Z33" s="0" t="n">
        <v>1.16312056737589</v>
      </c>
      <c r="AA33" s="0" t="n">
        <v>1.16312056737589</v>
      </c>
      <c r="AB33" s="0" t="n">
        <v>1.16312056737589</v>
      </c>
      <c r="AC33" s="0" t="n">
        <v>1.16312056737589</v>
      </c>
      <c r="AD33" s="0" t="n">
        <v>1.16312056737589</v>
      </c>
      <c r="AE33" s="0" t="n">
        <v>1.16312056737589</v>
      </c>
      <c r="AF33" s="0" t="n">
        <v>1.16312056737589</v>
      </c>
      <c r="AG33" s="0" t="n">
        <v>1.16312056737589</v>
      </c>
      <c r="AH33" s="0" t="n">
        <v>1.16312056737589</v>
      </c>
      <c r="AI33" s="0" t="n">
        <v>1.16312056737589</v>
      </c>
      <c r="AJ33" s="0" t="n">
        <v>1.16312056737589</v>
      </c>
      <c r="AK33" s="0" t="n">
        <v>1.16312056737589</v>
      </c>
      <c r="AL33" s="0" t="n">
        <v>1.16312056737589</v>
      </c>
      <c r="AM33" s="0" t="n">
        <v>1.16312056737589</v>
      </c>
      <c r="AN33" s="0" t="n">
        <v>1.16312056737589</v>
      </c>
      <c r="AO33" s="0" t="n">
        <v>1.16312056737589</v>
      </c>
      <c r="AP33" s="0" t="n">
        <v>1.16312056737589</v>
      </c>
      <c r="AQ33" s="0" t="n">
        <v>1.16312056737589</v>
      </c>
      <c r="AR33" s="0" t="n">
        <v>1.16312056737589</v>
      </c>
      <c r="AS33" s="0" t="n">
        <v>1.16312056737589</v>
      </c>
      <c r="AT33" s="0" t="n">
        <v>1.16312056737589</v>
      </c>
      <c r="AU33" s="0" t="n">
        <v>2.125</v>
      </c>
      <c r="AV33" s="0" t="n">
        <v>2.125</v>
      </c>
      <c r="AW33" s="0" t="n">
        <v>2.125</v>
      </c>
      <c r="AX33" s="0" t="n">
        <v>2.125</v>
      </c>
      <c r="AY33" s="0" t="n">
        <v>2.125</v>
      </c>
      <c r="AZ33" s="0" t="n">
        <v>2.125</v>
      </c>
      <c r="BA33" s="0" t="n">
        <v>2.125</v>
      </c>
      <c r="BB33" s="0" t="n">
        <v>2.125</v>
      </c>
      <c r="BC33" s="0" t="n">
        <v>2.125</v>
      </c>
      <c r="BD33" s="0" t="n">
        <v>2.125</v>
      </c>
      <c r="BE33" s="0" t="n">
        <v>2.125</v>
      </c>
      <c r="BF33" s="0" t="n">
        <v>2.125</v>
      </c>
      <c r="BG33" s="0" t="n">
        <v>0.943224632973886</v>
      </c>
      <c r="BH33" s="0" t="n">
        <v>0.943224632973886</v>
      </c>
      <c r="BI33" s="0" t="n">
        <v>0.943224632973886</v>
      </c>
      <c r="BJ33" s="0" t="n">
        <v>0.943224632973886</v>
      </c>
      <c r="BK33" s="0" t="n">
        <v>0.943224632973886</v>
      </c>
    </row>
    <row r="34" customFormat="false" ht="12.8" hidden="false" customHeight="false" outlineLevel="0" collapsed="false">
      <c r="A34" s="21" t="n">
        <f aca="false">A33+1/24</f>
        <v>43893.3333337499</v>
      </c>
      <c r="B34" s="0" t="n">
        <v>0.858862760382833</v>
      </c>
      <c r="C34" s="0" t="n">
        <v>0.858862760382833</v>
      </c>
      <c r="D34" s="0" t="n">
        <v>0.858862760382833</v>
      </c>
      <c r="E34" s="0" t="n">
        <v>0.858862760382833</v>
      </c>
      <c r="F34" s="0" t="n">
        <v>0.858862760382833</v>
      </c>
      <c r="G34" s="0" t="n">
        <v>0.858862760382833</v>
      </c>
      <c r="H34" s="0" t="n">
        <v>0.858862760382833</v>
      </c>
      <c r="I34" s="0" t="n">
        <v>0.858862760382833</v>
      </c>
      <c r="J34" s="0" t="n">
        <v>0.858862760382833</v>
      </c>
      <c r="K34" s="0" t="n">
        <v>0.858862760382833</v>
      </c>
      <c r="L34" s="0" t="n">
        <v>0.858862760382833</v>
      </c>
      <c r="M34" s="0" t="n">
        <v>0.858862760382833</v>
      </c>
      <c r="N34" s="0" t="n">
        <v>0.858862760382833</v>
      </c>
      <c r="O34" s="0" t="n">
        <v>0.858862760382833</v>
      </c>
      <c r="P34" s="0" t="n">
        <v>0.858862760382833</v>
      </c>
      <c r="Q34" s="0" t="n">
        <v>0.858862760382833</v>
      </c>
      <c r="R34" s="0" t="n">
        <v>0.858862760382833</v>
      </c>
      <c r="S34" s="0" t="n">
        <v>0.858862760382833</v>
      </c>
      <c r="T34" s="0" t="n">
        <v>0.858862760382833</v>
      </c>
      <c r="U34" s="0" t="n">
        <v>0.858862760382833</v>
      </c>
      <c r="V34" s="0" t="n">
        <v>1.11955420466059</v>
      </c>
      <c r="W34" s="0" t="n">
        <v>1.11955420466059</v>
      </c>
      <c r="X34" s="0" t="n">
        <v>1.11955420466059</v>
      </c>
      <c r="Y34" s="0" t="n">
        <v>1.11955420466059</v>
      </c>
      <c r="Z34" s="0" t="n">
        <v>1.11955420466059</v>
      </c>
      <c r="AA34" s="0" t="n">
        <v>1.11955420466059</v>
      </c>
      <c r="AB34" s="0" t="n">
        <v>1.11955420466059</v>
      </c>
      <c r="AC34" s="0" t="n">
        <v>1.11955420466059</v>
      </c>
      <c r="AD34" s="0" t="n">
        <v>1.11955420466059</v>
      </c>
      <c r="AE34" s="0" t="n">
        <v>1.11955420466059</v>
      </c>
      <c r="AF34" s="0" t="n">
        <v>1.11955420466059</v>
      </c>
      <c r="AG34" s="0" t="n">
        <v>1.11955420466059</v>
      </c>
      <c r="AH34" s="0" t="n">
        <v>1.11955420466059</v>
      </c>
      <c r="AI34" s="0" t="n">
        <v>1.11955420466059</v>
      </c>
      <c r="AJ34" s="0" t="n">
        <v>1.11955420466059</v>
      </c>
      <c r="AK34" s="0" t="n">
        <v>1.11955420466059</v>
      </c>
      <c r="AL34" s="0" t="n">
        <v>1.11955420466059</v>
      </c>
      <c r="AM34" s="0" t="n">
        <v>1.11955420466059</v>
      </c>
      <c r="AN34" s="0" t="n">
        <v>1.11955420466059</v>
      </c>
      <c r="AO34" s="0" t="n">
        <v>1.11955420466059</v>
      </c>
      <c r="AP34" s="0" t="n">
        <v>1.11955420466059</v>
      </c>
      <c r="AQ34" s="0" t="n">
        <v>1.11955420466059</v>
      </c>
      <c r="AR34" s="0" t="n">
        <v>1.11955420466059</v>
      </c>
      <c r="AS34" s="0" t="n">
        <v>1.11955420466059</v>
      </c>
      <c r="AT34" s="0" t="n">
        <v>1.11955420466059</v>
      </c>
      <c r="AU34" s="0" t="n">
        <v>2.5</v>
      </c>
      <c r="AV34" s="0" t="n">
        <v>2.5</v>
      </c>
      <c r="AW34" s="0" t="n">
        <v>2.5</v>
      </c>
      <c r="AX34" s="0" t="n">
        <v>2.5</v>
      </c>
      <c r="AY34" s="0" t="n">
        <v>2.5</v>
      </c>
      <c r="AZ34" s="0" t="n">
        <v>2.5</v>
      </c>
      <c r="BA34" s="0" t="n">
        <v>2.5</v>
      </c>
      <c r="BB34" s="0" t="n">
        <v>2.5</v>
      </c>
      <c r="BC34" s="0" t="n">
        <v>2.5</v>
      </c>
      <c r="BD34" s="0" t="n">
        <v>2.5</v>
      </c>
      <c r="BE34" s="0" t="n">
        <v>2.5</v>
      </c>
      <c r="BF34" s="0" t="n">
        <v>2.5</v>
      </c>
      <c r="BG34" s="0" t="n">
        <v>0.858862760382833</v>
      </c>
      <c r="BH34" s="0" t="n">
        <v>0.858862760382833</v>
      </c>
      <c r="BI34" s="0" t="n">
        <v>0.858862760382833</v>
      </c>
      <c r="BJ34" s="0" t="n">
        <v>0.858862760382833</v>
      </c>
      <c r="BK34" s="0" t="n">
        <v>0.858862760382833</v>
      </c>
    </row>
    <row r="35" customFormat="false" ht="12.8" hidden="false" customHeight="false" outlineLevel="0" collapsed="false">
      <c r="A35" s="21" t="n">
        <f aca="false">A34+1/24</f>
        <v>43893.3750004165</v>
      </c>
      <c r="B35" s="0" t="n">
        <v>0.841106924775887</v>
      </c>
      <c r="C35" s="0" t="n">
        <v>0.841106924775887</v>
      </c>
      <c r="D35" s="0" t="n">
        <v>0.841106924775887</v>
      </c>
      <c r="E35" s="0" t="n">
        <v>0.841106924775887</v>
      </c>
      <c r="F35" s="0" t="n">
        <v>0.841106924775887</v>
      </c>
      <c r="G35" s="0" t="n">
        <v>0.841106924775887</v>
      </c>
      <c r="H35" s="0" t="n">
        <v>0.841106924775887</v>
      </c>
      <c r="I35" s="0" t="n">
        <v>0.841106924775887</v>
      </c>
      <c r="J35" s="0" t="n">
        <v>0.841106924775887</v>
      </c>
      <c r="K35" s="0" t="n">
        <v>0.841106924775887</v>
      </c>
      <c r="L35" s="0" t="n">
        <v>0.841106924775887</v>
      </c>
      <c r="M35" s="0" t="n">
        <v>0.841106924775887</v>
      </c>
      <c r="N35" s="0" t="n">
        <v>0.841106924775887</v>
      </c>
      <c r="O35" s="0" t="n">
        <v>0.841106924775887</v>
      </c>
      <c r="P35" s="0" t="n">
        <v>0.841106924775887</v>
      </c>
      <c r="Q35" s="0" t="n">
        <v>0.841106924775887</v>
      </c>
      <c r="R35" s="0" t="n">
        <v>0.841106924775887</v>
      </c>
      <c r="S35" s="0" t="n">
        <v>0.841106924775887</v>
      </c>
      <c r="T35" s="0" t="n">
        <v>0.841106924775887</v>
      </c>
      <c r="U35" s="0" t="n">
        <v>0.841106924775887</v>
      </c>
      <c r="V35" s="0" t="n">
        <v>1.19452887537994</v>
      </c>
      <c r="W35" s="0" t="n">
        <v>1.19452887537994</v>
      </c>
      <c r="X35" s="0" t="n">
        <v>1.19452887537994</v>
      </c>
      <c r="Y35" s="0" t="n">
        <v>1.19452887537994</v>
      </c>
      <c r="Z35" s="0" t="n">
        <v>1.19452887537994</v>
      </c>
      <c r="AA35" s="0" t="n">
        <v>1.19452887537994</v>
      </c>
      <c r="AB35" s="0" t="n">
        <v>1.19452887537994</v>
      </c>
      <c r="AC35" s="0" t="n">
        <v>1.19452887537994</v>
      </c>
      <c r="AD35" s="0" t="n">
        <v>1.19452887537994</v>
      </c>
      <c r="AE35" s="0" t="n">
        <v>1.19452887537994</v>
      </c>
      <c r="AF35" s="0" t="n">
        <v>1.19452887537994</v>
      </c>
      <c r="AG35" s="0" t="n">
        <v>1.19452887537994</v>
      </c>
      <c r="AH35" s="0" t="n">
        <v>1.19452887537994</v>
      </c>
      <c r="AI35" s="0" t="n">
        <v>1.19452887537994</v>
      </c>
      <c r="AJ35" s="0" t="n">
        <v>1.19452887537994</v>
      </c>
      <c r="AK35" s="0" t="n">
        <v>1.19452887537994</v>
      </c>
      <c r="AL35" s="0" t="n">
        <v>1.19452887537994</v>
      </c>
      <c r="AM35" s="0" t="n">
        <v>1.19452887537994</v>
      </c>
      <c r="AN35" s="0" t="n">
        <v>1.19452887537994</v>
      </c>
      <c r="AO35" s="0" t="n">
        <v>1.19452887537994</v>
      </c>
      <c r="AP35" s="0" t="n">
        <v>1.19452887537994</v>
      </c>
      <c r="AQ35" s="0" t="n">
        <v>1.19452887537994</v>
      </c>
      <c r="AR35" s="0" t="n">
        <v>1.19452887537994</v>
      </c>
      <c r="AS35" s="0" t="n">
        <v>1.19452887537994</v>
      </c>
      <c r="AT35" s="0" t="n">
        <v>1.19452887537994</v>
      </c>
      <c r="AU35" s="0" t="n">
        <v>0.5</v>
      </c>
      <c r="AV35" s="0" t="n">
        <v>0.5</v>
      </c>
      <c r="AW35" s="0" t="n">
        <v>0.5</v>
      </c>
      <c r="AX35" s="0" t="n">
        <v>0.5</v>
      </c>
      <c r="AY35" s="0" t="n">
        <v>0.5</v>
      </c>
      <c r="AZ35" s="0" t="n">
        <v>0.5</v>
      </c>
      <c r="BA35" s="0" t="n">
        <v>0.5</v>
      </c>
      <c r="BB35" s="0" t="n">
        <v>0.5</v>
      </c>
      <c r="BC35" s="0" t="n">
        <v>0.5</v>
      </c>
      <c r="BD35" s="0" t="n">
        <v>0.5</v>
      </c>
      <c r="BE35" s="0" t="n">
        <v>0.5</v>
      </c>
      <c r="BF35" s="0" t="n">
        <v>0.5</v>
      </c>
      <c r="BG35" s="0" t="n">
        <v>0.841106924775887</v>
      </c>
      <c r="BH35" s="0" t="n">
        <v>0.841106924775887</v>
      </c>
      <c r="BI35" s="0" t="n">
        <v>0.841106924775887</v>
      </c>
      <c r="BJ35" s="0" t="n">
        <v>0.841106924775887</v>
      </c>
      <c r="BK35" s="0" t="n">
        <v>0.841106924775887</v>
      </c>
    </row>
    <row r="36" customFormat="false" ht="12.8" hidden="false" customHeight="false" outlineLevel="0" collapsed="false">
      <c r="A36" s="21" t="n">
        <f aca="false">A35+1/24</f>
        <v>43893.4166670832</v>
      </c>
      <c r="B36" s="0" t="n">
        <v>0.770949720670391</v>
      </c>
      <c r="C36" s="0" t="n">
        <v>0.770949720670391</v>
      </c>
      <c r="D36" s="0" t="n">
        <v>0.770949720670391</v>
      </c>
      <c r="E36" s="0" t="n">
        <v>0.770949720670391</v>
      </c>
      <c r="F36" s="0" t="n">
        <v>0.770949720670391</v>
      </c>
      <c r="G36" s="0" t="n">
        <v>0.770949720670391</v>
      </c>
      <c r="H36" s="0" t="n">
        <v>0.770949720670391</v>
      </c>
      <c r="I36" s="0" t="n">
        <v>0.770949720670391</v>
      </c>
      <c r="J36" s="0" t="n">
        <v>0.770949720670391</v>
      </c>
      <c r="K36" s="0" t="n">
        <v>0.770949720670391</v>
      </c>
      <c r="L36" s="0" t="n">
        <v>0.770949720670391</v>
      </c>
      <c r="M36" s="0" t="n">
        <v>0.770949720670391</v>
      </c>
      <c r="N36" s="0" t="n">
        <v>0.770949720670391</v>
      </c>
      <c r="O36" s="0" t="n">
        <v>0.770949720670391</v>
      </c>
      <c r="P36" s="0" t="n">
        <v>0.770949720670391</v>
      </c>
      <c r="Q36" s="0" t="n">
        <v>0.770949720670391</v>
      </c>
      <c r="R36" s="0" t="n">
        <v>0.770949720670391</v>
      </c>
      <c r="S36" s="0" t="n">
        <v>0.770949720670391</v>
      </c>
      <c r="T36" s="0" t="n">
        <v>0.770949720670391</v>
      </c>
      <c r="U36" s="0" t="n">
        <v>0.770949720670391</v>
      </c>
      <c r="V36" s="0" t="n">
        <v>1.21276595744681</v>
      </c>
      <c r="W36" s="0" t="n">
        <v>1.21276595744681</v>
      </c>
      <c r="X36" s="0" t="n">
        <v>1.21276595744681</v>
      </c>
      <c r="Y36" s="0" t="n">
        <v>1.21276595744681</v>
      </c>
      <c r="Z36" s="0" t="n">
        <v>1.21276595744681</v>
      </c>
      <c r="AA36" s="0" t="n">
        <v>1.21276595744681</v>
      </c>
      <c r="AB36" s="0" t="n">
        <v>1.21276595744681</v>
      </c>
      <c r="AC36" s="0" t="n">
        <v>1.21276595744681</v>
      </c>
      <c r="AD36" s="0" t="n">
        <v>1.21276595744681</v>
      </c>
      <c r="AE36" s="0" t="n">
        <v>1.21276595744681</v>
      </c>
      <c r="AF36" s="0" t="n">
        <v>1.21276595744681</v>
      </c>
      <c r="AG36" s="0" t="n">
        <v>1.21276595744681</v>
      </c>
      <c r="AH36" s="0" t="n">
        <v>1.21276595744681</v>
      </c>
      <c r="AI36" s="0" t="n">
        <v>1.21276595744681</v>
      </c>
      <c r="AJ36" s="0" t="n">
        <v>1.21276595744681</v>
      </c>
      <c r="AK36" s="0" t="n">
        <v>1.21276595744681</v>
      </c>
      <c r="AL36" s="0" t="n">
        <v>1.21276595744681</v>
      </c>
      <c r="AM36" s="0" t="n">
        <v>1.21276595744681</v>
      </c>
      <c r="AN36" s="0" t="n">
        <v>1.21276595744681</v>
      </c>
      <c r="AO36" s="0" t="n">
        <v>1.21276595744681</v>
      </c>
      <c r="AP36" s="0" t="n">
        <v>1.21276595744681</v>
      </c>
      <c r="AQ36" s="0" t="n">
        <v>1.21276595744681</v>
      </c>
      <c r="AR36" s="0" t="n">
        <v>1.21276595744681</v>
      </c>
      <c r="AS36" s="0" t="n">
        <v>1.21276595744681</v>
      </c>
      <c r="AT36" s="0" t="n">
        <v>1.21276595744681</v>
      </c>
      <c r="AU36" s="0" t="n">
        <v>0.75</v>
      </c>
      <c r="AV36" s="0" t="n">
        <v>0.75</v>
      </c>
      <c r="AW36" s="0" t="n">
        <v>0.75</v>
      </c>
      <c r="AX36" s="0" t="n">
        <v>0.75</v>
      </c>
      <c r="AY36" s="0" t="n">
        <v>0.75</v>
      </c>
      <c r="AZ36" s="0" t="n">
        <v>0.75</v>
      </c>
      <c r="BA36" s="0" t="n">
        <v>0.75</v>
      </c>
      <c r="BB36" s="0" t="n">
        <v>0.75</v>
      </c>
      <c r="BC36" s="0" t="n">
        <v>0.75</v>
      </c>
      <c r="BD36" s="0" t="n">
        <v>0.75</v>
      </c>
      <c r="BE36" s="0" t="n">
        <v>0.75</v>
      </c>
      <c r="BF36" s="0" t="n">
        <v>0.75</v>
      </c>
      <c r="BG36" s="0" t="n">
        <v>0.770949720670391</v>
      </c>
      <c r="BH36" s="0" t="n">
        <v>0.770949720670391</v>
      </c>
      <c r="BI36" s="0" t="n">
        <v>0.770949720670391</v>
      </c>
      <c r="BJ36" s="0" t="n">
        <v>0.770949720670391</v>
      </c>
      <c r="BK36" s="0" t="n">
        <v>0.770949720670391</v>
      </c>
    </row>
    <row r="37" customFormat="false" ht="12.8" hidden="false" customHeight="false" outlineLevel="0" collapsed="false">
      <c r="A37" s="21" t="n">
        <f aca="false">A36+1/24</f>
        <v>43893.4583337499</v>
      </c>
      <c r="B37" s="0" t="n">
        <v>0.755402537785284</v>
      </c>
      <c r="C37" s="0" t="n">
        <v>0.755402537785284</v>
      </c>
      <c r="D37" s="0" t="n">
        <v>0.755402537785284</v>
      </c>
      <c r="E37" s="0" t="n">
        <v>0.755402537785284</v>
      </c>
      <c r="F37" s="0" t="n">
        <v>0.755402537785284</v>
      </c>
      <c r="G37" s="0" t="n">
        <v>0.755402537785284</v>
      </c>
      <c r="H37" s="0" t="n">
        <v>0.755402537785284</v>
      </c>
      <c r="I37" s="0" t="n">
        <v>0.755402537785284</v>
      </c>
      <c r="J37" s="0" t="n">
        <v>0.755402537785284</v>
      </c>
      <c r="K37" s="0" t="n">
        <v>0.755402537785284</v>
      </c>
      <c r="L37" s="0" t="n">
        <v>0.755402537785284</v>
      </c>
      <c r="M37" s="0" t="n">
        <v>0.755402537785284</v>
      </c>
      <c r="N37" s="0" t="n">
        <v>0.755402537785284</v>
      </c>
      <c r="O37" s="0" t="n">
        <v>0.755402537785284</v>
      </c>
      <c r="P37" s="0" t="n">
        <v>0.755402537785284</v>
      </c>
      <c r="Q37" s="0" t="n">
        <v>0.755402537785284</v>
      </c>
      <c r="R37" s="0" t="n">
        <v>0.755402537785284</v>
      </c>
      <c r="S37" s="0" t="n">
        <v>0.755402537785284</v>
      </c>
      <c r="T37" s="0" t="n">
        <v>0.755402537785284</v>
      </c>
      <c r="U37" s="0" t="n">
        <v>0.755402537785284</v>
      </c>
      <c r="V37" s="0" t="n">
        <v>1.22593718338399</v>
      </c>
      <c r="W37" s="0" t="n">
        <v>1.22593718338399</v>
      </c>
      <c r="X37" s="0" t="n">
        <v>1.22593718338399</v>
      </c>
      <c r="Y37" s="0" t="n">
        <v>1.22593718338399</v>
      </c>
      <c r="Z37" s="0" t="n">
        <v>1.22593718338399</v>
      </c>
      <c r="AA37" s="0" t="n">
        <v>1.22593718338399</v>
      </c>
      <c r="AB37" s="0" t="n">
        <v>1.22593718338399</v>
      </c>
      <c r="AC37" s="0" t="n">
        <v>1.22593718338399</v>
      </c>
      <c r="AD37" s="0" t="n">
        <v>1.22593718338399</v>
      </c>
      <c r="AE37" s="0" t="n">
        <v>1.22593718338399</v>
      </c>
      <c r="AF37" s="0" t="n">
        <v>1.22593718338399</v>
      </c>
      <c r="AG37" s="0" t="n">
        <v>1.22593718338399</v>
      </c>
      <c r="AH37" s="0" t="n">
        <v>1.22593718338399</v>
      </c>
      <c r="AI37" s="0" t="n">
        <v>1.22593718338399</v>
      </c>
      <c r="AJ37" s="0" t="n">
        <v>1.22593718338399</v>
      </c>
      <c r="AK37" s="0" t="n">
        <v>1.22593718338399</v>
      </c>
      <c r="AL37" s="0" t="n">
        <v>1.22593718338399</v>
      </c>
      <c r="AM37" s="0" t="n">
        <v>1.22593718338399</v>
      </c>
      <c r="AN37" s="0" t="n">
        <v>1.22593718338399</v>
      </c>
      <c r="AO37" s="0" t="n">
        <v>1.22593718338399</v>
      </c>
      <c r="AP37" s="0" t="n">
        <v>1.22593718338399</v>
      </c>
      <c r="AQ37" s="0" t="n">
        <v>1.22593718338399</v>
      </c>
      <c r="AR37" s="0" t="n">
        <v>1.22593718338399</v>
      </c>
      <c r="AS37" s="0" t="n">
        <v>1.22593718338399</v>
      </c>
      <c r="AT37" s="0" t="n">
        <v>1.22593718338399</v>
      </c>
      <c r="AU37" s="0" t="n">
        <v>0.875</v>
      </c>
      <c r="AV37" s="0" t="n">
        <v>0.875</v>
      </c>
      <c r="AW37" s="0" t="n">
        <v>0.875</v>
      </c>
      <c r="AX37" s="0" t="n">
        <v>0.875</v>
      </c>
      <c r="AY37" s="0" t="n">
        <v>0.875</v>
      </c>
      <c r="AZ37" s="0" t="n">
        <v>0.875</v>
      </c>
      <c r="BA37" s="0" t="n">
        <v>0.875</v>
      </c>
      <c r="BB37" s="0" t="n">
        <v>0.875</v>
      </c>
      <c r="BC37" s="0" t="n">
        <v>0.875</v>
      </c>
      <c r="BD37" s="0" t="n">
        <v>0.875</v>
      </c>
      <c r="BE37" s="0" t="n">
        <v>0.875</v>
      </c>
      <c r="BF37" s="0" t="n">
        <v>0.875</v>
      </c>
      <c r="BG37" s="0" t="n">
        <v>0.755402537785284</v>
      </c>
      <c r="BH37" s="0" t="n">
        <v>0.755402537785284</v>
      </c>
      <c r="BI37" s="0" t="n">
        <v>0.755402537785284</v>
      </c>
      <c r="BJ37" s="0" t="n">
        <v>0.755402537785284</v>
      </c>
      <c r="BK37" s="0" t="n">
        <v>0.755402537785284</v>
      </c>
    </row>
    <row r="38" customFormat="false" ht="12.8" hidden="false" customHeight="false" outlineLevel="0" collapsed="false">
      <c r="A38" s="21" t="n">
        <f aca="false">A37+1/24</f>
        <v>43893.5000004165</v>
      </c>
      <c r="B38" s="0" t="n">
        <v>0.778961500151574</v>
      </c>
      <c r="C38" s="0" t="n">
        <v>0.778961500151574</v>
      </c>
      <c r="D38" s="0" t="n">
        <v>0.778961500151574</v>
      </c>
      <c r="E38" s="0" t="n">
        <v>0.778961500151574</v>
      </c>
      <c r="F38" s="0" t="n">
        <v>0.778961500151574</v>
      </c>
      <c r="G38" s="0" t="n">
        <v>0.778961500151574</v>
      </c>
      <c r="H38" s="0" t="n">
        <v>0.778961500151574</v>
      </c>
      <c r="I38" s="0" t="n">
        <v>0.778961500151574</v>
      </c>
      <c r="J38" s="0" t="n">
        <v>0.778961500151574</v>
      </c>
      <c r="K38" s="0" t="n">
        <v>0.778961500151574</v>
      </c>
      <c r="L38" s="0" t="n">
        <v>0.778961500151574</v>
      </c>
      <c r="M38" s="0" t="n">
        <v>0.778961500151574</v>
      </c>
      <c r="N38" s="0" t="n">
        <v>0.778961500151574</v>
      </c>
      <c r="O38" s="0" t="n">
        <v>0.778961500151574</v>
      </c>
      <c r="P38" s="0" t="n">
        <v>0.778961500151574</v>
      </c>
      <c r="Q38" s="0" t="n">
        <v>0.778961500151574</v>
      </c>
      <c r="R38" s="0" t="n">
        <v>0.778961500151574</v>
      </c>
      <c r="S38" s="0" t="n">
        <v>0.778961500151574</v>
      </c>
      <c r="T38" s="0" t="n">
        <v>0.778961500151574</v>
      </c>
      <c r="U38" s="0" t="n">
        <v>0.778961500151574</v>
      </c>
      <c r="V38" s="0" t="n">
        <v>1.18642350557244</v>
      </c>
      <c r="W38" s="0" t="n">
        <v>1.18642350557244</v>
      </c>
      <c r="X38" s="0" t="n">
        <v>1.18642350557244</v>
      </c>
      <c r="Y38" s="0" t="n">
        <v>1.18642350557244</v>
      </c>
      <c r="Z38" s="0" t="n">
        <v>1.18642350557244</v>
      </c>
      <c r="AA38" s="0" t="n">
        <v>1.18642350557244</v>
      </c>
      <c r="AB38" s="0" t="n">
        <v>1.18642350557244</v>
      </c>
      <c r="AC38" s="0" t="n">
        <v>1.18642350557244</v>
      </c>
      <c r="AD38" s="0" t="n">
        <v>1.18642350557244</v>
      </c>
      <c r="AE38" s="0" t="n">
        <v>1.18642350557244</v>
      </c>
      <c r="AF38" s="0" t="n">
        <v>1.18642350557244</v>
      </c>
      <c r="AG38" s="0" t="n">
        <v>1.18642350557244</v>
      </c>
      <c r="AH38" s="0" t="n">
        <v>1.18642350557244</v>
      </c>
      <c r="AI38" s="0" t="n">
        <v>1.18642350557244</v>
      </c>
      <c r="AJ38" s="0" t="n">
        <v>1.18642350557244</v>
      </c>
      <c r="AK38" s="0" t="n">
        <v>1.18642350557244</v>
      </c>
      <c r="AL38" s="0" t="n">
        <v>1.18642350557244</v>
      </c>
      <c r="AM38" s="0" t="n">
        <v>1.18642350557244</v>
      </c>
      <c r="AN38" s="0" t="n">
        <v>1.18642350557244</v>
      </c>
      <c r="AO38" s="0" t="n">
        <v>1.18642350557244</v>
      </c>
      <c r="AP38" s="0" t="n">
        <v>1.18642350557244</v>
      </c>
      <c r="AQ38" s="0" t="n">
        <v>1.18642350557244</v>
      </c>
      <c r="AR38" s="0" t="n">
        <v>1.18642350557244</v>
      </c>
      <c r="AS38" s="0" t="n">
        <v>1.18642350557244</v>
      </c>
      <c r="AT38" s="0" t="n">
        <v>1.18642350557244</v>
      </c>
      <c r="AU38" s="0" t="n">
        <v>1</v>
      </c>
      <c r="AV38" s="0" t="n">
        <v>1</v>
      </c>
      <c r="AW38" s="0" t="n">
        <v>1</v>
      </c>
      <c r="AX38" s="0" t="n">
        <v>1</v>
      </c>
      <c r="AY38" s="0" t="n">
        <v>1</v>
      </c>
      <c r="AZ38" s="0" t="n">
        <v>1</v>
      </c>
      <c r="BA38" s="0" t="n">
        <v>1</v>
      </c>
      <c r="BB38" s="0" t="n">
        <v>1</v>
      </c>
      <c r="BC38" s="0" t="n">
        <v>1</v>
      </c>
      <c r="BD38" s="0" t="n">
        <v>1</v>
      </c>
      <c r="BE38" s="0" t="n">
        <v>1</v>
      </c>
      <c r="BF38" s="0" t="n">
        <v>1</v>
      </c>
      <c r="BG38" s="0" t="n">
        <v>0.778961500151574</v>
      </c>
      <c r="BH38" s="0" t="n">
        <v>0.778961500151574</v>
      </c>
      <c r="BI38" s="0" t="n">
        <v>0.778961500151574</v>
      </c>
      <c r="BJ38" s="0" t="n">
        <v>0.778961500151574</v>
      </c>
      <c r="BK38" s="0" t="n">
        <v>0.778961500151574</v>
      </c>
    </row>
    <row r="39" customFormat="false" ht="12.8" hidden="false" customHeight="false" outlineLevel="0" collapsed="false">
      <c r="A39" s="21" t="n">
        <f aca="false">A38+1/24</f>
        <v>43893.5416670832</v>
      </c>
      <c r="B39" s="0" t="n">
        <v>0.715343640379369</v>
      </c>
      <c r="C39" s="0" t="n">
        <v>0.715343640379369</v>
      </c>
      <c r="D39" s="0" t="n">
        <v>0.715343640379369</v>
      </c>
      <c r="E39" s="0" t="n">
        <v>0.715343640379369</v>
      </c>
      <c r="F39" s="0" t="n">
        <v>0.715343640379369</v>
      </c>
      <c r="G39" s="0" t="n">
        <v>0.715343640379369</v>
      </c>
      <c r="H39" s="0" t="n">
        <v>0.715343640379369</v>
      </c>
      <c r="I39" s="0" t="n">
        <v>0.715343640379369</v>
      </c>
      <c r="J39" s="0" t="n">
        <v>0.715343640379369</v>
      </c>
      <c r="K39" s="0" t="n">
        <v>0.715343640379369</v>
      </c>
      <c r="L39" s="0" t="n">
        <v>0.715343640379369</v>
      </c>
      <c r="M39" s="0" t="n">
        <v>0.715343640379369</v>
      </c>
      <c r="N39" s="0" t="n">
        <v>0.715343640379369</v>
      </c>
      <c r="O39" s="0" t="n">
        <v>0.715343640379369</v>
      </c>
      <c r="P39" s="0" t="n">
        <v>0.715343640379369</v>
      </c>
      <c r="Q39" s="0" t="n">
        <v>0.715343640379369</v>
      </c>
      <c r="R39" s="0" t="n">
        <v>0.715343640379369</v>
      </c>
      <c r="S39" s="0" t="n">
        <v>0.715343640379369</v>
      </c>
      <c r="T39" s="0" t="n">
        <v>0.715343640379369</v>
      </c>
      <c r="U39" s="0" t="n">
        <v>0.715343640379369</v>
      </c>
      <c r="V39" s="0" t="n">
        <v>1.15298885511651</v>
      </c>
      <c r="W39" s="0" t="n">
        <v>1.15298885511651</v>
      </c>
      <c r="X39" s="0" t="n">
        <v>1.15298885511651</v>
      </c>
      <c r="Y39" s="0" t="n">
        <v>1.15298885511651</v>
      </c>
      <c r="Z39" s="0" t="n">
        <v>1.15298885511651</v>
      </c>
      <c r="AA39" s="0" t="n">
        <v>1.15298885511651</v>
      </c>
      <c r="AB39" s="0" t="n">
        <v>1.15298885511651</v>
      </c>
      <c r="AC39" s="0" t="n">
        <v>1.15298885511651</v>
      </c>
      <c r="AD39" s="0" t="n">
        <v>1.15298885511651</v>
      </c>
      <c r="AE39" s="0" t="n">
        <v>1.15298885511651</v>
      </c>
      <c r="AF39" s="0" t="n">
        <v>1.15298885511651</v>
      </c>
      <c r="AG39" s="0" t="n">
        <v>1.15298885511651</v>
      </c>
      <c r="AH39" s="0" t="n">
        <v>1.15298885511651</v>
      </c>
      <c r="AI39" s="0" t="n">
        <v>1.15298885511651</v>
      </c>
      <c r="AJ39" s="0" t="n">
        <v>1.15298885511651</v>
      </c>
      <c r="AK39" s="0" t="n">
        <v>1.15298885511651</v>
      </c>
      <c r="AL39" s="0" t="n">
        <v>1.15298885511651</v>
      </c>
      <c r="AM39" s="0" t="n">
        <v>1.15298885511651</v>
      </c>
      <c r="AN39" s="0" t="n">
        <v>1.15298885511651</v>
      </c>
      <c r="AO39" s="0" t="n">
        <v>1.15298885511651</v>
      </c>
      <c r="AP39" s="0" t="n">
        <v>1.15298885511651</v>
      </c>
      <c r="AQ39" s="0" t="n">
        <v>1.15298885511651</v>
      </c>
      <c r="AR39" s="0" t="n">
        <v>1.15298885511651</v>
      </c>
      <c r="AS39" s="0" t="n">
        <v>1.15298885511651</v>
      </c>
      <c r="AT39" s="0" t="n">
        <v>1.15298885511651</v>
      </c>
      <c r="AU39" s="0" t="n">
        <v>0.5</v>
      </c>
      <c r="AV39" s="0" t="n">
        <v>0.5</v>
      </c>
      <c r="AW39" s="0" t="n">
        <v>0.5</v>
      </c>
      <c r="AX39" s="0" t="n">
        <v>0.5</v>
      </c>
      <c r="AY39" s="0" t="n">
        <v>0.5</v>
      </c>
      <c r="AZ39" s="0" t="n">
        <v>0.5</v>
      </c>
      <c r="BA39" s="0" t="n">
        <v>0.5</v>
      </c>
      <c r="BB39" s="0" t="n">
        <v>0.5</v>
      </c>
      <c r="BC39" s="0" t="n">
        <v>0.5</v>
      </c>
      <c r="BD39" s="0" t="n">
        <v>0.5</v>
      </c>
      <c r="BE39" s="0" t="n">
        <v>0.5</v>
      </c>
      <c r="BF39" s="0" t="n">
        <v>0.5</v>
      </c>
      <c r="BG39" s="0" t="n">
        <v>0.715343640379369</v>
      </c>
      <c r="BH39" s="0" t="n">
        <v>0.715343640379369</v>
      </c>
      <c r="BI39" s="0" t="n">
        <v>0.715343640379369</v>
      </c>
      <c r="BJ39" s="0" t="n">
        <v>0.715343640379369</v>
      </c>
      <c r="BK39" s="0" t="n">
        <v>0.715343640379369</v>
      </c>
    </row>
    <row r="40" customFormat="false" ht="12.8" hidden="false" customHeight="false" outlineLevel="0" collapsed="false">
      <c r="A40" s="21" t="n">
        <f aca="false">A39+1/24</f>
        <v>43893.5833337499</v>
      </c>
      <c r="B40" s="0" t="n">
        <v>0.780130786886666</v>
      </c>
      <c r="C40" s="0" t="n">
        <v>0.780130786886666</v>
      </c>
      <c r="D40" s="0" t="n">
        <v>0.780130786886666</v>
      </c>
      <c r="E40" s="0" t="n">
        <v>0.780130786886666</v>
      </c>
      <c r="F40" s="0" t="n">
        <v>0.780130786886666</v>
      </c>
      <c r="G40" s="0" t="n">
        <v>0.780130786886666</v>
      </c>
      <c r="H40" s="0" t="n">
        <v>0.780130786886666</v>
      </c>
      <c r="I40" s="0" t="n">
        <v>0.780130786886666</v>
      </c>
      <c r="J40" s="0" t="n">
        <v>0.780130786886666</v>
      </c>
      <c r="K40" s="0" t="n">
        <v>0.780130786886666</v>
      </c>
      <c r="L40" s="0" t="n">
        <v>0.780130786886666</v>
      </c>
      <c r="M40" s="0" t="n">
        <v>0.780130786886666</v>
      </c>
      <c r="N40" s="0" t="n">
        <v>0.780130786886666</v>
      </c>
      <c r="O40" s="0" t="n">
        <v>0.780130786886666</v>
      </c>
      <c r="P40" s="0" t="n">
        <v>0.780130786886666</v>
      </c>
      <c r="Q40" s="0" t="n">
        <v>0.780130786886666</v>
      </c>
      <c r="R40" s="0" t="n">
        <v>0.780130786886666</v>
      </c>
      <c r="S40" s="0" t="n">
        <v>0.780130786886666</v>
      </c>
      <c r="T40" s="0" t="n">
        <v>0.780130786886666</v>
      </c>
      <c r="U40" s="0" t="n">
        <v>0.780130786886666</v>
      </c>
      <c r="V40" s="0" t="n">
        <v>1.14893617021277</v>
      </c>
      <c r="W40" s="0" t="n">
        <v>1.14893617021277</v>
      </c>
      <c r="X40" s="0" t="n">
        <v>1.14893617021277</v>
      </c>
      <c r="Y40" s="0" t="n">
        <v>1.14893617021277</v>
      </c>
      <c r="Z40" s="0" t="n">
        <v>1.14893617021277</v>
      </c>
      <c r="AA40" s="0" t="n">
        <v>1.14893617021277</v>
      </c>
      <c r="AB40" s="0" t="n">
        <v>1.14893617021277</v>
      </c>
      <c r="AC40" s="0" t="n">
        <v>1.14893617021277</v>
      </c>
      <c r="AD40" s="0" t="n">
        <v>1.14893617021277</v>
      </c>
      <c r="AE40" s="0" t="n">
        <v>1.14893617021277</v>
      </c>
      <c r="AF40" s="0" t="n">
        <v>1.14893617021277</v>
      </c>
      <c r="AG40" s="0" t="n">
        <v>1.14893617021277</v>
      </c>
      <c r="AH40" s="0" t="n">
        <v>1.14893617021277</v>
      </c>
      <c r="AI40" s="0" t="n">
        <v>1.14893617021277</v>
      </c>
      <c r="AJ40" s="0" t="n">
        <v>1.14893617021277</v>
      </c>
      <c r="AK40" s="0" t="n">
        <v>1.14893617021277</v>
      </c>
      <c r="AL40" s="0" t="n">
        <v>1.14893617021277</v>
      </c>
      <c r="AM40" s="0" t="n">
        <v>1.14893617021277</v>
      </c>
      <c r="AN40" s="0" t="n">
        <v>1.14893617021277</v>
      </c>
      <c r="AO40" s="0" t="n">
        <v>1.14893617021277</v>
      </c>
      <c r="AP40" s="0" t="n">
        <v>1.14893617021277</v>
      </c>
      <c r="AQ40" s="0" t="n">
        <v>1.14893617021277</v>
      </c>
      <c r="AR40" s="0" t="n">
        <v>1.14893617021277</v>
      </c>
      <c r="AS40" s="0" t="n">
        <v>1.14893617021277</v>
      </c>
      <c r="AT40" s="0" t="n">
        <v>1.14893617021277</v>
      </c>
      <c r="AU40" s="0" t="n">
        <v>0.875</v>
      </c>
      <c r="AV40" s="0" t="n">
        <v>0.875</v>
      </c>
      <c r="AW40" s="0" t="n">
        <v>0.875</v>
      </c>
      <c r="AX40" s="0" t="n">
        <v>0.875</v>
      </c>
      <c r="AY40" s="0" t="n">
        <v>0.875</v>
      </c>
      <c r="AZ40" s="0" t="n">
        <v>0.875</v>
      </c>
      <c r="BA40" s="0" t="n">
        <v>0.875</v>
      </c>
      <c r="BB40" s="0" t="n">
        <v>0.875</v>
      </c>
      <c r="BC40" s="0" t="n">
        <v>0.875</v>
      </c>
      <c r="BD40" s="0" t="n">
        <v>0.875</v>
      </c>
      <c r="BE40" s="0" t="n">
        <v>0.875</v>
      </c>
      <c r="BF40" s="0" t="n">
        <v>0.875</v>
      </c>
      <c r="BG40" s="0" t="n">
        <v>0.780130786886666</v>
      </c>
      <c r="BH40" s="0" t="n">
        <v>0.780130786886666</v>
      </c>
      <c r="BI40" s="0" t="n">
        <v>0.780130786886666</v>
      </c>
      <c r="BJ40" s="0" t="n">
        <v>0.780130786886666</v>
      </c>
      <c r="BK40" s="0" t="n">
        <v>0.780130786886666</v>
      </c>
    </row>
    <row r="41" customFormat="false" ht="12.8" hidden="false" customHeight="false" outlineLevel="0" collapsed="false">
      <c r="A41" s="21" t="n">
        <f aca="false">A40+1/24</f>
        <v>43893.6250004165</v>
      </c>
      <c r="B41" s="0" t="n">
        <v>0.784374864665887</v>
      </c>
      <c r="C41" s="0" t="n">
        <v>0.784374864665887</v>
      </c>
      <c r="D41" s="0" t="n">
        <v>0.784374864665887</v>
      </c>
      <c r="E41" s="0" t="n">
        <v>0.784374864665887</v>
      </c>
      <c r="F41" s="0" t="n">
        <v>0.784374864665887</v>
      </c>
      <c r="G41" s="0" t="n">
        <v>0.784374864665887</v>
      </c>
      <c r="H41" s="0" t="n">
        <v>0.784374864665887</v>
      </c>
      <c r="I41" s="0" t="n">
        <v>0.784374864665887</v>
      </c>
      <c r="J41" s="0" t="n">
        <v>0.784374864665887</v>
      </c>
      <c r="K41" s="0" t="n">
        <v>0.784374864665887</v>
      </c>
      <c r="L41" s="0" t="n">
        <v>0.784374864665887</v>
      </c>
      <c r="M41" s="0" t="n">
        <v>0.784374864665887</v>
      </c>
      <c r="N41" s="0" t="n">
        <v>0.784374864665887</v>
      </c>
      <c r="O41" s="0" t="n">
        <v>0.784374864665887</v>
      </c>
      <c r="P41" s="0" t="n">
        <v>0.784374864665887</v>
      </c>
      <c r="Q41" s="0" t="n">
        <v>0.784374864665887</v>
      </c>
      <c r="R41" s="0" t="n">
        <v>0.784374864665887</v>
      </c>
      <c r="S41" s="0" t="n">
        <v>0.784374864665887</v>
      </c>
      <c r="T41" s="0" t="n">
        <v>0.784374864665887</v>
      </c>
      <c r="U41" s="0" t="n">
        <v>0.784374864665887</v>
      </c>
      <c r="V41" s="0" t="n">
        <v>1.23100303951368</v>
      </c>
      <c r="W41" s="0" t="n">
        <v>1.23100303951368</v>
      </c>
      <c r="X41" s="0" t="n">
        <v>1.23100303951368</v>
      </c>
      <c r="Y41" s="0" t="n">
        <v>1.23100303951368</v>
      </c>
      <c r="Z41" s="0" t="n">
        <v>1.23100303951368</v>
      </c>
      <c r="AA41" s="0" t="n">
        <v>1.23100303951368</v>
      </c>
      <c r="AB41" s="0" t="n">
        <v>1.23100303951368</v>
      </c>
      <c r="AC41" s="0" t="n">
        <v>1.23100303951368</v>
      </c>
      <c r="AD41" s="0" t="n">
        <v>1.23100303951368</v>
      </c>
      <c r="AE41" s="0" t="n">
        <v>1.23100303951368</v>
      </c>
      <c r="AF41" s="0" t="n">
        <v>1.23100303951368</v>
      </c>
      <c r="AG41" s="0" t="n">
        <v>1.23100303951368</v>
      </c>
      <c r="AH41" s="0" t="n">
        <v>1.23100303951368</v>
      </c>
      <c r="AI41" s="0" t="n">
        <v>1.23100303951368</v>
      </c>
      <c r="AJ41" s="0" t="n">
        <v>1.23100303951368</v>
      </c>
      <c r="AK41" s="0" t="n">
        <v>1.23100303951368</v>
      </c>
      <c r="AL41" s="0" t="n">
        <v>1.23100303951368</v>
      </c>
      <c r="AM41" s="0" t="n">
        <v>1.23100303951368</v>
      </c>
      <c r="AN41" s="0" t="n">
        <v>1.23100303951368</v>
      </c>
      <c r="AO41" s="0" t="n">
        <v>1.23100303951368</v>
      </c>
      <c r="AP41" s="0" t="n">
        <v>1.23100303951368</v>
      </c>
      <c r="AQ41" s="0" t="n">
        <v>1.23100303951368</v>
      </c>
      <c r="AR41" s="0" t="n">
        <v>1.23100303951368</v>
      </c>
      <c r="AS41" s="0" t="n">
        <v>1.23100303951368</v>
      </c>
      <c r="AT41" s="0" t="n">
        <v>1.23100303951368</v>
      </c>
      <c r="AU41" s="0" t="n">
        <v>2</v>
      </c>
      <c r="AV41" s="0" t="n">
        <v>2</v>
      </c>
      <c r="AW41" s="0" t="n">
        <v>2</v>
      </c>
      <c r="AX41" s="0" t="n">
        <v>2</v>
      </c>
      <c r="AY41" s="0" t="n">
        <v>2</v>
      </c>
      <c r="AZ41" s="0" t="n">
        <v>2</v>
      </c>
      <c r="BA41" s="0" t="n">
        <v>2</v>
      </c>
      <c r="BB41" s="0" t="n">
        <v>2</v>
      </c>
      <c r="BC41" s="0" t="n">
        <v>2</v>
      </c>
      <c r="BD41" s="0" t="n">
        <v>2</v>
      </c>
      <c r="BE41" s="0" t="n">
        <v>2</v>
      </c>
      <c r="BF41" s="0" t="n">
        <v>2</v>
      </c>
      <c r="BG41" s="0" t="n">
        <v>0.784374864665887</v>
      </c>
      <c r="BH41" s="0" t="n">
        <v>0.784374864665887</v>
      </c>
      <c r="BI41" s="0" t="n">
        <v>0.784374864665887</v>
      </c>
      <c r="BJ41" s="0" t="n">
        <v>0.784374864665887</v>
      </c>
      <c r="BK41" s="0" t="n">
        <v>0.784374864665887</v>
      </c>
    </row>
    <row r="42" customFormat="false" ht="12.8" hidden="false" customHeight="false" outlineLevel="0" collapsed="false">
      <c r="A42" s="21" t="n">
        <f aca="false">A41+1/24</f>
        <v>43893.6666670832</v>
      </c>
      <c r="B42" s="0" t="n">
        <v>0.931704993287428</v>
      </c>
      <c r="C42" s="0" t="n">
        <v>0.931704993287428</v>
      </c>
      <c r="D42" s="0" t="n">
        <v>0.931704993287428</v>
      </c>
      <c r="E42" s="0" t="n">
        <v>0.931704993287428</v>
      </c>
      <c r="F42" s="0" t="n">
        <v>0.931704993287428</v>
      </c>
      <c r="G42" s="0" t="n">
        <v>0.931704993287428</v>
      </c>
      <c r="H42" s="0" t="n">
        <v>0.931704993287428</v>
      </c>
      <c r="I42" s="0" t="n">
        <v>0.931704993287428</v>
      </c>
      <c r="J42" s="0" t="n">
        <v>0.931704993287428</v>
      </c>
      <c r="K42" s="0" t="n">
        <v>0.931704993287428</v>
      </c>
      <c r="L42" s="0" t="n">
        <v>0.931704993287428</v>
      </c>
      <c r="M42" s="0" t="n">
        <v>0.931704993287428</v>
      </c>
      <c r="N42" s="0" t="n">
        <v>0.931704993287428</v>
      </c>
      <c r="O42" s="0" t="n">
        <v>0.931704993287428</v>
      </c>
      <c r="P42" s="0" t="n">
        <v>0.931704993287428</v>
      </c>
      <c r="Q42" s="0" t="n">
        <v>0.931704993287428</v>
      </c>
      <c r="R42" s="0" t="n">
        <v>0.931704993287428</v>
      </c>
      <c r="S42" s="0" t="n">
        <v>0.931704993287428</v>
      </c>
      <c r="T42" s="0" t="n">
        <v>0.931704993287428</v>
      </c>
      <c r="U42" s="0" t="n">
        <v>0.931704993287428</v>
      </c>
      <c r="V42" s="0" t="n">
        <v>1.24316109422492</v>
      </c>
      <c r="W42" s="0" t="n">
        <v>1.24316109422492</v>
      </c>
      <c r="X42" s="0" t="n">
        <v>1.24316109422492</v>
      </c>
      <c r="Y42" s="0" t="n">
        <v>1.24316109422492</v>
      </c>
      <c r="Z42" s="0" t="n">
        <v>1.24316109422492</v>
      </c>
      <c r="AA42" s="0" t="n">
        <v>1.24316109422492</v>
      </c>
      <c r="AB42" s="0" t="n">
        <v>1.24316109422492</v>
      </c>
      <c r="AC42" s="0" t="n">
        <v>1.24316109422492</v>
      </c>
      <c r="AD42" s="0" t="n">
        <v>1.24316109422492</v>
      </c>
      <c r="AE42" s="0" t="n">
        <v>1.24316109422492</v>
      </c>
      <c r="AF42" s="0" t="n">
        <v>1.24316109422492</v>
      </c>
      <c r="AG42" s="0" t="n">
        <v>1.24316109422492</v>
      </c>
      <c r="AH42" s="0" t="n">
        <v>1.24316109422492</v>
      </c>
      <c r="AI42" s="0" t="n">
        <v>1.24316109422492</v>
      </c>
      <c r="AJ42" s="0" t="n">
        <v>1.24316109422492</v>
      </c>
      <c r="AK42" s="0" t="n">
        <v>1.24316109422492</v>
      </c>
      <c r="AL42" s="0" t="n">
        <v>1.24316109422492</v>
      </c>
      <c r="AM42" s="0" t="n">
        <v>1.24316109422492</v>
      </c>
      <c r="AN42" s="0" t="n">
        <v>1.24316109422492</v>
      </c>
      <c r="AO42" s="0" t="n">
        <v>1.24316109422492</v>
      </c>
      <c r="AP42" s="0" t="n">
        <v>1.24316109422492</v>
      </c>
      <c r="AQ42" s="0" t="n">
        <v>1.24316109422492</v>
      </c>
      <c r="AR42" s="0" t="n">
        <v>1.24316109422492</v>
      </c>
      <c r="AS42" s="0" t="n">
        <v>1.24316109422492</v>
      </c>
      <c r="AT42" s="0" t="n">
        <v>1.24316109422492</v>
      </c>
      <c r="AU42" s="0" t="n">
        <v>1.125</v>
      </c>
      <c r="AV42" s="0" t="n">
        <v>1.125</v>
      </c>
      <c r="AW42" s="0" t="n">
        <v>1.125</v>
      </c>
      <c r="AX42" s="0" t="n">
        <v>1.125</v>
      </c>
      <c r="AY42" s="0" t="n">
        <v>1.125</v>
      </c>
      <c r="AZ42" s="0" t="n">
        <v>1.125</v>
      </c>
      <c r="BA42" s="0" t="n">
        <v>1.125</v>
      </c>
      <c r="BB42" s="0" t="n">
        <v>1.125</v>
      </c>
      <c r="BC42" s="0" t="n">
        <v>1.125</v>
      </c>
      <c r="BD42" s="0" t="n">
        <v>1.125</v>
      </c>
      <c r="BE42" s="0" t="n">
        <v>1.125</v>
      </c>
      <c r="BF42" s="0" t="n">
        <v>1.125</v>
      </c>
      <c r="BG42" s="0" t="n">
        <v>0.931704993287428</v>
      </c>
      <c r="BH42" s="0" t="n">
        <v>0.931704993287428</v>
      </c>
      <c r="BI42" s="0" t="n">
        <v>0.931704993287428</v>
      </c>
      <c r="BJ42" s="0" t="n">
        <v>0.931704993287428</v>
      </c>
      <c r="BK42" s="0" t="n">
        <v>0.931704993287428</v>
      </c>
    </row>
    <row r="43" customFormat="false" ht="12.8" hidden="false" customHeight="false" outlineLevel="0" collapsed="false">
      <c r="A43" s="21" t="n">
        <f aca="false">A42+1/24</f>
        <v>43893.7083337498</v>
      </c>
      <c r="B43" s="0" t="n">
        <v>0.948854532068771</v>
      </c>
      <c r="C43" s="0" t="n">
        <v>0.948854532068771</v>
      </c>
      <c r="D43" s="0" t="n">
        <v>0.948854532068771</v>
      </c>
      <c r="E43" s="0" t="n">
        <v>0.948854532068771</v>
      </c>
      <c r="F43" s="0" t="n">
        <v>0.948854532068771</v>
      </c>
      <c r="G43" s="0" t="n">
        <v>0.948854532068771</v>
      </c>
      <c r="H43" s="0" t="n">
        <v>0.948854532068771</v>
      </c>
      <c r="I43" s="0" t="n">
        <v>0.948854532068771</v>
      </c>
      <c r="J43" s="0" t="n">
        <v>0.948854532068771</v>
      </c>
      <c r="K43" s="0" t="n">
        <v>0.948854532068771</v>
      </c>
      <c r="L43" s="0" t="n">
        <v>0.948854532068771</v>
      </c>
      <c r="M43" s="0" t="n">
        <v>0.948854532068771</v>
      </c>
      <c r="N43" s="0" t="n">
        <v>0.948854532068771</v>
      </c>
      <c r="O43" s="0" t="n">
        <v>0.948854532068771</v>
      </c>
      <c r="P43" s="0" t="n">
        <v>0.948854532068771</v>
      </c>
      <c r="Q43" s="0" t="n">
        <v>0.948854532068771</v>
      </c>
      <c r="R43" s="0" t="n">
        <v>0.948854532068771</v>
      </c>
      <c r="S43" s="0" t="n">
        <v>0.948854532068771</v>
      </c>
      <c r="T43" s="0" t="n">
        <v>0.948854532068771</v>
      </c>
      <c r="U43" s="0" t="n">
        <v>0.948854532068771</v>
      </c>
      <c r="V43" s="0" t="n">
        <v>1.193515704154</v>
      </c>
      <c r="W43" s="0" t="n">
        <v>1.193515704154</v>
      </c>
      <c r="X43" s="0" t="n">
        <v>1.193515704154</v>
      </c>
      <c r="Y43" s="0" t="n">
        <v>1.193515704154</v>
      </c>
      <c r="Z43" s="0" t="n">
        <v>1.193515704154</v>
      </c>
      <c r="AA43" s="0" t="n">
        <v>1.193515704154</v>
      </c>
      <c r="AB43" s="0" t="n">
        <v>1.193515704154</v>
      </c>
      <c r="AC43" s="0" t="n">
        <v>1.193515704154</v>
      </c>
      <c r="AD43" s="0" t="n">
        <v>1.193515704154</v>
      </c>
      <c r="AE43" s="0" t="n">
        <v>1.193515704154</v>
      </c>
      <c r="AF43" s="0" t="n">
        <v>1.193515704154</v>
      </c>
      <c r="AG43" s="0" t="n">
        <v>1.193515704154</v>
      </c>
      <c r="AH43" s="0" t="n">
        <v>1.193515704154</v>
      </c>
      <c r="AI43" s="0" t="n">
        <v>1.193515704154</v>
      </c>
      <c r="AJ43" s="0" t="n">
        <v>1.193515704154</v>
      </c>
      <c r="AK43" s="0" t="n">
        <v>1.193515704154</v>
      </c>
      <c r="AL43" s="0" t="n">
        <v>1.193515704154</v>
      </c>
      <c r="AM43" s="0" t="n">
        <v>1.193515704154</v>
      </c>
      <c r="AN43" s="0" t="n">
        <v>1.193515704154</v>
      </c>
      <c r="AO43" s="0" t="n">
        <v>1.193515704154</v>
      </c>
      <c r="AP43" s="0" t="n">
        <v>1.193515704154</v>
      </c>
      <c r="AQ43" s="0" t="n">
        <v>1.193515704154</v>
      </c>
      <c r="AR43" s="0" t="n">
        <v>1.193515704154</v>
      </c>
      <c r="AS43" s="0" t="n">
        <v>1.193515704154</v>
      </c>
      <c r="AT43" s="0" t="n">
        <v>1.193515704154</v>
      </c>
      <c r="AU43" s="0" t="n">
        <v>2.125</v>
      </c>
      <c r="AV43" s="0" t="n">
        <v>2.125</v>
      </c>
      <c r="AW43" s="0" t="n">
        <v>2.125</v>
      </c>
      <c r="AX43" s="0" t="n">
        <v>2.125</v>
      </c>
      <c r="AY43" s="0" t="n">
        <v>2.125</v>
      </c>
      <c r="AZ43" s="0" t="n">
        <v>2.125</v>
      </c>
      <c r="BA43" s="0" t="n">
        <v>2.125</v>
      </c>
      <c r="BB43" s="0" t="n">
        <v>2.125</v>
      </c>
      <c r="BC43" s="0" t="n">
        <v>2.125</v>
      </c>
      <c r="BD43" s="0" t="n">
        <v>2.125</v>
      </c>
      <c r="BE43" s="0" t="n">
        <v>2.125</v>
      </c>
      <c r="BF43" s="0" t="n">
        <v>2.125</v>
      </c>
      <c r="BG43" s="0" t="n">
        <v>0.948854532068771</v>
      </c>
      <c r="BH43" s="0" t="n">
        <v>0.948854532068771</v>
      </c>
      <c r="BI43" s="0" t="n">
        <v>0.948854532068771</v>
      </c>
      <c r="BJ43" s="0" t="n">
        <v>0.948854532068771</v>
      </c>
      <c r="BK43" s="0" t="n">
        <v>0.948854532068771</v>
      </c>
    </row>
    <row r="44" customFormat="false" ht="12.8" hidden="false" customHeight="false" outlineLevel="0" collapsed="false">
      <c r="A44" s="21" t="n">
        <f aca="false">A43+1/24</f>
        <v>43893.7500004165</v>
      </c>
      <c r="B44" s="0" t="n">
        <v>0.9289333506561</v>
      </c>
      <c r="C44" s="0" t="n">
        <v>0.9289333506561</v>
      </c>
      <c r="D44" s="0" t="n">
        <v>0.9289333506561</v>
      </c>
      <c r="E44" s="0" t="n">
        <v>0.9289333506561</v>
      </c>
      <c r="F44" s="0" t="n">
        <v>0.9289333506561</v>
      </c>
      <c r="G44" s="0" t="n">
        <v>0.9289333506561</v>
      </c>
      <c r="H44" s="0" t="n">
        <v>0.9289333506561</v>
      </c>
      <c r="I44" s="0" t="n">
        <v>0.9289333506561</v>
      </c>
      <c r="J44" s="0" t="n">
        <v>0.9289333506561</v>
      </c>
      <c r="K44" s="0" t="n">
        <v>0.9289333506561</v>
      </c>
      <c r="L44" s="0" t="n">
        <v>0.9289333506561</v>
      </c>
      <c r="M44" s="0" t="n">
        <v>0.9289333506561</v>
      </c>
      <c r="N44" s="0" t="n">
        <v>0.9289333506561</v>
      </c>
      <c r="O44" s="0" t="n">
        <v>0.9289333506561</v>
      </c>
      <c r="P44" s="0" t="n">
        <v>0.9289333506561</v>
      </c>
      <c r="Q44" s="0" t="n">
        <v>0.9289333506561</v>
      </c>
      <c r="R44" s="0" t="n">
        <v>0.9289333506561</v>
      </c>
      <c r="S44" s="0" t="n">
        <v>0.9289333506561</v>
      </c>
      <c r="T44" s="0" t="n">
        <v>0.9289333506561</v>
      </c>
      <c r="U44" s="0" t="n">
        <v>0.9289333506561</v>
      </c>
      <c r="V44" s="0" t="n">
        <v>1.01418439716312</v>
      </c>
      <c r="W44" s="0" t="n">
        <v>1.01418439716312</v>
      </c>
      <c r="X44" s="0" t="n">
        <v>1.01418439716312</v>
      </c>
      <c r="Y44" s="0" t="n">
        <v>1.01418439716312</v>
      </c>
      <c r="Z44" s="0" t="n">
        <v>1.01418439716312</v>
      </c>
      <c r="AA44" s="0" t="n">
        <v>1.01418439716312</v>
      </c>
      <c r="AB44" s="0" t="n">
        <v>1.01418439716312</v>
      </c>
      <c r="AC44" s="0" t="n">
        <v>1.01418439716312</v>
      </c>
      <c r="AD44" s="0" t="n">
        <v>1.01418439716312</v>
      </c>
      <c r="AE44" s="0" t="n">
        <v>1.01418439716312</v>
      </c>
      <c r="AF44" s="0" t="n">
        <v>1.01418439716312</v>
      </c>
      <c r="AG44" s="0" t="n">
        <v>1.01418439716312</v>
      </c>
      <c r="AH44" s="0" t="n">
        <v>1.01418439716312</v>
      </c>
      <c r="AI44" s="0" t="n">
        <v>1.01418439716312</v>
      </c>
      <c r="AJ44" s="0" t="n">
        <v>1.01418439716312</v>
      </c>
      <c r="AK44" s="0" t="n">
        <v>1.01418439716312</v>
      </c>
      <c r="AL44" s="0" t="n">
        <v>1.01418439716312</v>
      </c>
      <c r="AM44" s="0" t="n">
        <v>1.01418439716312</v>
      </c>
      <c r="AN44" s="0" t="n">
        <v>1.01418439716312</v>
      </c>
      <c r="AO44" s="0" t="n">
        <v>1.01418439716312</v>
      </c>
      <c r="AP44" s="0" t="n">
        <v>1.01418439716312</v>
      </c>
      <c r="AQ44" s="0" t="n">
        <v>1.01418439716312</v>
      </c>
      <c r="AR44" s="0" t="n">
        <v>1.01418439716312</v>
      </c>
      <c r="AS44" s="0" t="n">
        <v>1.01418439716312</v>
      </c>
      <c r="AT44" s="0" t="n">
        <v>1.01418439716312</v>
      </c>
      <c r="AU44" s="0" t="n">
        <v>1.25</v>
      </c>
      <c r="AV44" s="0" t="n">
        <v>1.25</v>
      </c>
      <c r="AW44" s="0" t="n">
        <v>1.25</v>
      </c>
      <c r="AX44" s="0" t="n">
        <v>1.25</v>
      </c>
      <c r="AY44" s="0" t="n">
        <v>1.25</v>
      </c>
      <c r="AZ44" s="0" t="n">
        <v>1.25</v>
      </c>
      <c r="BA44" s="0" t="n">
        <v>1.25</v>
      </c>
      <c r="BB44" s="0" t="n">
        <v>1.25</v>
      </c>
      <c r="BC44" s="0" t="n">
        <v>1.25</v>
      </c>
      <c r="BD44" s="0" t="n">
        <v>1.25</v>
      </c>
      <c r="BE44" s="0" t="n">
        <v>1.25</v>
      </c>
      <c r="BF44" s="0" t="n">
        <v>1.25</v>
      </c>
      <c r="BG44" s="0" t="n">
        <v>0.9289333506561</v>
      </c>
      <c r="BH44" s="0" t="n">
        <v>0.9289333506561</v>
      </c>
      <c r="BI44" s="0" t="n">
        <v>0.9289333506561</v>
      </c>
      <c r="BJ44" s="0" t="n">
        <v>0.9289333506561</v>
      </c>
      <c r="BK44" s="0" t="n">
        <v>0.9289333506561</v>
      </c>
    </row>
    <row r="45" customFormat="false" ht="12.8" hidden="false" customHeight="false" outlineLevel="0" collapsed="false">
      <c r="A45" s="21" t="n">
        <f aca="false">A44+1/24</f>
        <v>43893.7916670832</v>
      </c>
      <c r="B45" s="0" t="n">
        <v>0.847819496773635</v>
      </c>
      <c r="C45" s="0" t="n">
        <v>0.847819496773635</v>
      </c>
      <c r="D45" s="0" t="n">
        <v>0.847819496773635</v>
      </c>
      <c r="E45" s="0" t="n">
        <v>0.847819496773635</v>
      </c>
      <c r="F45" s="0" t="n">
        <v>0.847819496773635</v>
      </c>
      <c r="G45" s="0" t="n">
        <v>0.847819496773635</v>
      </c>
      <c r="H45" s="0" t="n">
        <v>0.847819496773635</v>
      </c>
      <c r="I45" s="0" t="n">
        <v>0.847819496773635</v>
      </c>
      <c r="J45" s="0" t="n">
        <v>0.847819496773635</v>
      </c>
      <c r="K45" s="0" t="n">
        <v>0.847819496773635</v>
      </c>
      <c r="L45" s="0" t="n">
        <v>0.847819496773635</v>
      </c>
      <c r="M45" s="0" t="n">
        <v>0.847819496773635</v>
      </c>
      <c r="N45" s="0" t="n">
        <v>0.847819496773635</v>
      </c>
      <c r="O45" s="0" t="n">
        <v>0.847819496773635</v>
      </c>
      <c r="P45" s="0" t="n">
        <v>0.847819496773635</v>
      </c>
      <c r="Q45" s="0" t="n">
        <v>0.847819496773635</v>
      </c>
      <c r="R45" s="0" t="n">
        <v>0.847819496773635</v>
      </c>
      <c r="S45" s="0" t="n">
        <v>0.847819496773635</v>
      </c>
      <c r="T45" s="0" t="n">
        <v>0.847819496773635</v>
      </c>
      <c r="U45" s="0" t="n">
        <v>0.847819496773635</v>
      </c>
      <c r="V45" s="0" t="n">
        <v>0.998986828774063</v>
      </c>
      <c r="W45" s="0" t="n">
        <v>0.998986828774063</v>
      </c>
      <c r="X45" s="0" t="n">
        <v>0.998986828774063</v>
      </c>
      <c r="Y45" s="0" t="n">
        <v>0.998986828774063</v>
      </c>
      <c r="Z45" s="0" t="n">
        <v>0.998986828774063</v>
      </c>
      <c r="AA45" s="0" t="n">
        <v>0.998986828774063</v>
      </c>
      <c r="AB45" s="0" t="n">
        <v>0.998986828774063</v>
      </c>
      <c r="AC45" s="0" t="n">
        <v>0.998986828774063</v>
      </c>
      <c r="AD45" s="0" t="n">
        <v>0.998986828774063</v>
      </c>
      <c r="AE45" s="0" t="n">
        <v>0.998986828774063</v>
      </c>
      <c r="AF45" s="0" t="n">
        <v>0.998986828774063</v>
      </c>
      <c r="AG45" s="0" t="n">
        <v>0.998986828774063</v>
      </c>
      <c r="AH45" s="0" t="n">
        <v>0.998986828774063</v>
      </c>
      <c r="AI45" s="0" t="n">
        <v>0.998986828774063</v>
      </c>
      <c r="AJ45" s="0" t="n">
        <v>0.998986828774063</v>
      </c>
      <c r="AK45" s="0" t="n">
        <v>0.998986828774063</v>
      </c>
      <c r="AL45" s="0" t="n">
        <v>0.998986828774063</v>
      </c>
      <c r="AM45" s="0" t="n">
        <v>0.998986828774063</v>
      </c>
      <c r="AN45" s="0" t="n">
        <v>0.998986828774063</v>
      </c>
      <c r="AO45" s="0" t="n">
        <v>0.998986828774063</v>
      </c>
      <c r="AP45" s="0" t="n">
        <v>0.998986828774063</v>
      </c>
      <c r="AQ45" s="0" t="n">
        <v>0.998986828774063</v>
      </c>
      <c r="AR45" s="0" t="n">
        <v>0.998986828774063</v>
      </c>
      <c r="AS45" s="0" t="n">
        <v>0.998986828774063</v>
      </c>
      <c r="AT45" s="0" t="n">
        <v>0.998986828774063</v>
      </c>
      <c r="AU45" s="0" t="n">
        <v>1.125</v>
      </c>
      <c r="AV45" s="0" t="n">
        <v>1.125</v>
      </c>
      <c r="AW45" s="0" t="n">
        <v>1.125</v>
      </c>
      <c r="AX45" s="0" t="n">
        <v>1.125</v>
      </c>
      <c r="AY45" s="0" t="n">
        <v>1.125</v>
      </c>
      <c r="AZ45" s="0" t="n">
        <v>1.125</v>
      </c>
      <c r="BA45" s="0" t="n">
        <v>1.125</v>
      </c>
      <c r="BB45" s="0" t="n">
        <v>1.125</v>
      </c>
      <c r="BC45" s="0" t="n">
        <v>1.125</v>
      </c>
      <c r="BD45" s="0" t="n">
        <v>1.125</v>
      </c>
      <c r="BE45" s="0" t="n">
        <v>1.125</v>
      </c>
      <c r="BF45" s="0" t="n">
        <v>1.125</v>
      </c>
      <c r="BG45" s="0" t="n">
        <v>0.847819496773635</v>
      </c>
      <c r="BH45" s="0" t="n">
        <v>0.847819496773635</v>
      </c>
      <c r="BI45" s="0" t="n">
        <v>0.847819496773635</v>
      </c>
      <c r="BJ45" s="0" t="n">
        <v>0.847819496773635</v>
      </c>
      <c r="BK45" s="0" t="n">
        <v>0.847819496773635</v>
      </c>
    </row>
    <row r="46" customFormat="false" ht="12.8" hidden="false" customHeight="false" outlineLevel="0" collapsed="false">
      <c r="A46" s="21" t="n">
        <f aca="false">A45+1/24</f>
        <v>43893.8333337498</v>
      </c>
      <c r="B46" s="0" t="n">
        <v>0.577627647135247</v>
      </c>
      <c r="C46" s="0" t="n">
        <v>0.577627647135247</v>
      </c>
      <c r="D46" s="0" t="n">
        <v>0.577627647135247</v>
      </c>
      <c r="E46" s="0" t="n">
        <v>0.577627647135247</v>
      </c>
      <c r="F46" s="0" t="n">
        <v>0.577627647135247</v>
      </c>
      <c r="G46" s="0" t="n">
        <v>0.577627647135247</v>
      </c>
      <c r="H46" s="0" t="n">
        <v>0.577627647135247</v>
      </c>
      <c r="I46" s="0" t="n">
        <v>0.577627647135247</v>
      </c>
      <c r="J46" s="0" t="n">
        <v>0.577627647135247</v>
      </c>
      <c r="K46" s="0" t="n">
        <v>0.577627647135247</v>
      </c>
      <c r="L46" s="0" t="n">
        <v>0.577627647135247</v>
      </c>
      <c r="M46" s="0" t="n">
        <v>0.577627647135247</v>
      </c>
      <c r="N46" s="0" t="n">
        <v>0.577627647135247</v>
      </c>
      <c r="O46" s="0" t="n">
        <v>0.577627647135247</v>
      </c>
      <c r="P46" s="0" t="n">
        <v>0.577627647135247</v>
      </c>
      <c r="Q46" s="0" t="n">
        <v>0.577627647135247</v>
      </c>
      <c r="R46" s="0" t="n">
        <v>0.577627647135247</v>
      </c>
      <c r="S46" s="0" t="n">
        <v>0.577627647135247</v>
      </c>
      <c r="T46" s="0" t="n">
        <v>0.577627647135247</v>
      </c>
      <c r="U46" s="0" t="n">
        <v>0.577627647135247</v>
      </c>
      <c r="V46" s="0" t="n">
        <v>0.880445795339412</v>
      </c>
      <c r="W46" s="0" t="n">
        <v>0.880445795339412</v>
      </c>
      <c r="X46" s="0" t="n">
        <v>0.880445795339412</v>
      </c>
      <c r="Y46" s="0" t="n">
        <v>0.880445795339412</v>
      </c>
      <c r="Z46" s="0" t="n">
        <v>0.880445795339412</v>
      </c>
      <c r="AA46" s="0" t="n">
        <v>0.880445795339412</v>
      </c>
      <c r="AB46" s="0" t="n">
        <v>0.880445795339412</v>
      </c>
      <c r="AC46" s="0" t="n">
        <v>0.880445795339412</v>
      </c>
      <c r="AD46" s="0" t="n">
        <v>0.880445795339412</v>
      </c>
      <c r="AE46" s="0" t="n">
        <v>0.880445795339412</v>
      </c>
      <c r="AF46" s="0" t="n">
        <v>0.880445795339412</v>
      </c>
      <c r="AG46" s="0" t="n">
        <v>0.880445795339412</v>
      </c>
      <c r="AH46" s="0" t="n">
        <v>0.880445795339412</v>
      </c>
      <c r="AI46" s="0" t="n">
        <v>0.880445795339412</v>
      </c>
      <c r="AJ46" s="0" t="n">
        <v>0.880445795339412</v>
      </c>
      <c r="AK46" s="0" t="n">
        <v>0.880445795339412</v>
      </c>
      <c r="AL46" s="0" t="n">
        <v>0.880445795339412</v>
      </c>
      <c r="AM46" s="0" t="n">
        <v>0.880445795339412</v>
      </c>
      <c r="AN46" s="0" t="n">
        <v>0.880445795339412</v>
      </c>
      <c r="AO46" s="0" t="n">
        <v>0.880445795339412</v>
      </c>
      <c r="AP46" s="0" t="n">
        <v>0.880445795339412</v>
      </c>
      <c r="AQ46" s="0" t="n">
        <v>0.880445795339412</v>
      </c>
      <c r="AR46" s="0" t="n">
        <v>0.880445795339412</v>
      </c>
      <c r="AS46" s="0" t="n">
        <v>0.880445795339412</v>
      </c>
      <c r="AT46" s="0" t="n">
        <v>0.880445795339412</v>
      </c>
      <c r="AU46" s="0" t="n">
        <v>0.625</v>
      </c>
      <c r="AV46" s="0" t="n">
        <v>0.625</v>
      </c>
      <c r="AW46" s="0" t="n">
        <v>0.625</v>
      </c>
      <c r="AX46" s="0" t="n">
        <v>0.625</v>
      </c>
      <c r="AY46" s="0" t="n">
        <v>0.625</v>
      </c>
      <c r="AZ46" s="0" t="n">
        <v>0.625</v>
      </c>
      <c r="BA46" s="0" t="n">
        <v>0.625</v>
      </c>
      <c r="BB46" s="0" t="n">
        <v>0.625</v>
      </c>
      <c r="BC46" s="0" t="n">
        <v>0.625</v>
      </c>
      <c r="BD46" s="0" t="n">
        <v>0.625</v>
      </c>
      <c r="BE46" s="0" t="n">
        <v>0.625</v>
      </c>
      <c r="BF46" s="0" t="n">
        <v>0.625</v>
      </c>
      <c r="BG46" s="0" t="n">
        <v>0.577627647135247</v>
      </c>
      <c r="BH46" s="0" t="n">
        <v>0.577627647135247</v>
      </c>
      <c r="BI46" s="0" t="n">
        <v>0.577627647135247</v>
      </c>
      <c r="BJ46" s="0" t="n">
        <v>0.577627647135247</v>
      </c>
      <c r="BK46" s="0" t="n">
        <v>0.577627647135247</v>
      </c>
    </row>
    <row r="47" customFormat="false" ht="12.8" hidden="false" customHeight="false" outlineLevel="0" collapsed="false">
      <c r="A47" s="21" t="n">
        <f aca="false">A46+1/24</f>
        <v>43893.8750004165</v>
      </c>
      <c r="B47" s="0" t="n">
        <v>0.374821358971028</v>
      </c>
      <c r="C47" s="0" t="n">
        <v>0.374821358971028</v>
      </c>
      <c r="D47" s="0" t="n">
        <v>0.374821358971028</v>
      </c>
      <c r="E47" s="0" t="n">
        <v>0.374821358971028</v>
      </c>
      <c r="F47" s="0" t="n">
        <v>0.374821358971028</v>
      </c>
      <c r="G47" s="0" t="n">
        <v>0.374821358971028</v>
      </c>
      <c r="H47" s="0" t="n">
        <v>0.374821358971028</v>
      </c>
      <c r="I47" s="0" t="n">
        <v>0.374821358971028</v>
      </c>
      <c r="J47" s="0" t="n">
        <v>0.374821358971028</v>
      </c>
      <c r="K47" s="0" t="n">
        <v>0.374821358971028</v>
      </c>
      <c r="L47" s="0" t="n">
        <v>0.374821358971028</v>
      </c>
      <c r="M47" s="0" t="n">
        <v>0.374821358971028</v>
      </c>
      <c r="N47" s="0" t="n">
        <v>0.374821358971028</v>
      </c>
      <c r="O47" s="0" t="n">
        <v>0.374821358971028</v>
      </c>
      <c r="P47" s="0" t="n">
        <v>0.374821358971028</v>
      </c>
      <c r="Q47" s="0" t="n">
        <v>0.374821358971028</v>
      </c>
      <c r="R47" s="0" t="n">
        <v>0.374821358971028</v>
      </c>
      <c r="S47" s="0" t="n">
        <v>0.374821358971028</v>
      </c>
      <c r="T47" s="0" t="n">
        <v>0.374821358971028</v>
      </c>
      <c r="U47" s="0" t="n">
        <v>0.374821358971028</v>
      </c>
      <c r="V47" s="0" t="n">
        <v>0.756838905775076</v>
      </c>
      <c r="W47" s="0" t="n">
        <v>0.756838905775076</v>
      </c>
      <c r="X47" s="0" t="n">
        <v>0.756838905775076</v>
      </c>
      <c r="Y47" s="0" t="n">
        <v>0.756838905775076</v>
      </c>
      <c r="Z47" s="0" t="n">
        <v>0.756838905775076</v>
      </c>
      <c r="AA47" s="0" t="n">
        <v>0.756838905775076</v>
      </c>
      <c r="AB47" s="0" t="n">
        <v>0.756838905775076</v>
      </c>
      <c r="AC47" s="0" t="n">
        <v>0.756838905775076</v>
      </c>
      <c r="AD47" s="0" t="n">
        <v>0.756838905775076</v>
      </c>
      <c r="AE47" s="0" t="n">
        <v>0.756838905775076</v>
      </c>
      <c r="AF47" s="0" t="n">
        <v>0.756838905775076</v>
      </c>
      <c r="AG47" s="0" t="n">
        <v>0.756838905775076</v>
      </c>
      <c r="AH47" s="0" t="n">
        <v>0.756838905775076</v>
      </c>
      <c r="AI47" s="0" t="n">
        <v>0.756838905775076</v>
      </c>
      <c r="AJ47" s="0" t="n">
        <v>0.756838905775076</v>
      </c>
      <c r="AK47" s="0" t="n">
        <v>0.756838905775076</v>
      </c>
      <c r="AL47" s="0" t="n">
        <v>0.756838905775076</v>
      </c>
      <c r="AM47" s="0" t="n">
        <v>0.756838905775076</v>
      </c>
      <c r="AN47" s="0" t="n">
        <v>0.756838905775076</v>
      </c>
      <c r="AO47" s="0" t="n">
        <v>0.756838905775076</v>
      </c>
      <c r="AP47" s="0" t="n">
        <v>0.756838905775076</v>
      </c>
      <c r="AQ47" s="0" t="n">
        <v>0.756838905775076</v>
      </c>
      <c r="AR47" s="0" t="n">
        <v>0.756838905775076</v>
      </c>
      <c r="AS47" s="0" t="n">
        <v>0.756838905775076</v>
      </c>
      <c r="AT47" s="0" t="n">
        <v>0.756838905775076</v>
      </c>
      <c r="AU47" s="0" t="n">
        <v>0.875</v>
      </c>
      <c r="AV47" s="0" t="n">
        <v>0.875</v>
      </c>
      <c r="AW47" s="0" t="n">
        <v>0.875</v>
      </c>
      <c r="AX47" s="0" t="n">
        <v>0.875</v>
      </c>
      <c r="AY47" s="0" t="n">
        <v>0.875</v>
      </c>
      <c r="AZ47" s="0" t="n">
        <v>0.875</v>
      </c>
      <c r="BA47" s="0" t="n">
        <v>0.875</v>
      </c>
      <c r="BB47" s="0" t="n">
        <v>0.875</v>
      </c>
      <c r="BC47" s="0" t="n">
        <v>0.875</v>
      </c>
      <c r="BD47" s="0" t="n">
        <v>0.875</v>
      </c>
      <c r="BE47" s="0" t="n">
        <v>0.875</v>
      </c>
      <c r="BF47" s="0" t="n">
        <v>0.875</v>
      </c>
      <c r="BG47" s="0" t="n">
        <v>0.374821358971028</v>
      </c>
      <c r="BH47" s="0" t="n">
        <v>0.374821358971028</v>
      </c>
      <c r="BI47" s="0" t="n">
        <v>0.374821358971028</v>
      </c>
      <c r="BJ47" s="0" t="n">
        <v>0.374821358971028</v>
      </c>
      <c r="BK47" s="0" t="n">
        <v>0.374821358971028</v>
      </c>
    </row>
    <row r="48" customFormat="false" ht="12.8" hidden="false" customHeight="false" outlineLevel="0" collapsed="false">
      <c r="A48" s="21" t="n">
        <f aca="false">A47+1/24</f>
        <v>43893.9166670832</v>
      </c>
      <c r="B48" s="0" t="n">
        <v>0.294616950326967</v>
      </c>
      <c r="C48" s="0" t="n">
        <v>0.294616950326967</v>
      </c>
      <c r="D48" s="0" t="n">
        <v>0.294616950326967</v>
      </c>
      <c r="E48" s="0" t="n">
        <v>0.294616950326967</v>
      </c>
      <c r="F48" s="0" t="n">
        <v>0.294616950326967</v>
      </c>
      <c r="G48" s="0" t="n">
        <v>0.294616950326967</v>
      </c>
      <c r="H48" s="0" t="n">
        <v>0.294616950326967</v>
      </c>
      <c r="I48" s="0" t="n">
        <v>0.294616950326967</v>
      </c>
      <c r="J48" s="0" t="n">
        <v>0.294616950326967</v>
      </c>
      <c r="K48" s="0" t="n">
        <v>0.294616950326967</v>
      </c>
      <c r="L48" s="0" t="n">
        <v>0.294616950326967</v>
      </c>
      <c r="M48" s="0" t="n">
        <v>0.294616950326967</v>
      </c>
      <c r="N48" s="0" t="n">
        <v>0.294616950326967</v>
      </c>
      <c r="O48" s="0" t="n">
        <v>0.294616950326967</v>
      </c>
      <c r="P48" s="0" t="n">
        <v>0.294616950326967</v>
      </c>
      <c r="Q48" s="0" t="n">
        <v>0.294616950326967</v>
      </c>
      <c r="R48" s="0" t="n">
        <v>0.294616950326967</v>
      </c>
      <c r="S48" s="0" t="n">
        <v>0.294616950326967</v>
      </c>
      <c r="T48" s="0" t="n">
        <v>0.294616950326967</v>
      </c>
      <c r="U48" s="0" t="n">
        <v>0.294616950326967</v>
      </c>
      <c r="V48" s="0" t="n">
        <v>0.697061803444782</v>
      </c>
      <c r="W48" s="0" t="n">
        <v>0.697061803444782</v>
      </c>
      <c r="X48" s="0" t="n">
        <v>0.697061803444782</v>
      </c>
      <c r="Y48" s="0" t="n">
        <v>0.697061803444782</v>
      </c>
      <c r="Z48" s="0" t="n">
        <v>0.697061803444782</v>
      </c>
      <c r="AA48" s="0" t="n">
        <v>0.697061803444782</v>
      </c>
      <c r="AB48" s="0" t="n">
        <v>0.697061803444782</v>
      </c>
      <c r="AC48" s="0" t="n">
        <v>0.697061803444782</v>
      </c>
      <c r="AD48" s="0" t="n">
        <v>0.697061803444782</v>
      </c>
      <c r="AE48" s="0" t="n">
        <v>0.697061803444782</v>
      </c>
      <c r="AF48" s="0" t="n">
        <v>0.697061803444782</v>
      </c>
      <c r="AG48" s="0" t="n">
        <v>0.697061803444782</v>
      </c>
      <c r="AH48" s="0" t="n">
        <v>0.697061803444782</v>
      </c>
      <c r="AI48" s="0" t="n">
        <v>0.697061803444782</v>
      </c>
      <c r="AJ48" s="0" t="n">
        <v>0.697061803444782</v>
      </c>
      <c r="AK48" s="0" t="n">
        <v>0.697061803444782</v>
      </c>
      <c r="AL48" s="0" t="n">
        <v>0.697061803444782</v>
      </c>
      <c r="AM48" s="0" t="n">
        <v>0.697061803444782</v>
      </c>
      <c r="AN48" s="0" t="n">
        <v>0.697061803444782</v>
      </c>
      <c r="AO48" s="0" t="n">
        <v>0.697061803444782</v>
      </c>
      <c r="AP48" s="0" t="n">
        <v>0.697061803444782</v>
      </c>
      <c r="AQ48" s="0" t="n">
        <v>0.697061803444782</v>
      </c>
      <c r="AR48" s="0" t="n">
        <v>0.697061803444782</v>
      </c>
      <c r="AS48" s="0" t="n">
        <v>0.697061803444782</v>
      </c>
      <c r="AT48" s="0" t="n">
        <v>0.697061803444782</v>
      </c>
      <c r="AU48" s="0" t="n">
        <v>0.375</v>
      </c>
      <c r="AV48" s="0" t="n">
        <v>0.375</v>
      </c>
      <c r="AW48" s="0" t="n">
        <v>0.375</v>
      </c>
      <c r="AX48" s="0" t="n">
        <v>0.375</v>
      </c>
      <c r="AY48" s="0" t="n">
        <v>0.375</v>
      </c>
      <c r="AZ48" s="0" t="n">
        <v>0.375</v>
      </c>
      <c r="BA48" s="0" t="n">
        <v>0.375</v>
      </c>
      <c r="BB48" s="0" t="n">
        <v>0.375</v>
      </c>
      <c r="BC48" s="0" t="n">
        <v>0.375</v>
      </c>
      <c r="BD48" s="0" t="n">
        <v>0.375</v>
      </c>
      <c r="BE48" s="0" t="n">
        <v>0.375</v>
      </c>
      <c r="BF48" s="0" t="n">
        <v>0.375</v>
      </c>
      <c r="BG48" s="0" t="n">
        <v>0.294616950326967</v>
      </c>
      <c r="BH48" s="0" t="n">
        <v>0.294616950326967</v>
      </c>
      <c r="BI48" s="0" t="n">
        <v>0.294616950326967</v>
      </c>
      <c r="BJ48" s="0" t="n">
        <v>0.294616950326967</v>
      </c>
      <c r="BK48" s="0" t="n">
        <v>0.294616950326967</v>
      </c>
    </row>
    <row r="49" customFormat="false" ht="12.8" hidden="false" customHeight="false" outlineLevel="0" collapsed="false">
      <c r="A49" s="21" t="n">
        <f aca="false">A48+1/24</f>
        <v>43893.9583337498</v>
      </c>
      <c r="B49" s="0" t="n">
        <v>0.175566237928197</v>
      </c>
      <c r="C49" s="0" t="n">
        <v>0.175566237928197</v>
      </c>
      <c r="D49" s="0" t="n">
        <v>0.175566237928197</v>
      </c>
      <c r="E49" s="0" t="n">
        <v>0.175566237928197</v>
      </c>
      <c r="F49" s="0" t="n">
        <v>0.175566237928197</v>
      </c>
      <c r="G49" s="0" t="n">
        <v>0.175566237928197</v>
      </c>
      <c r="H49" s="0" t="n">
        <v>0.175566237928197</v>
      </c>
      <c r="I49" s="0" t="n">
        <v>0.175566237928197</v>
      </c>
      <c r="J49" s="0" t="n">
        <v>0.175566237928197</v>
      </c>
      <c r="K49" s="0" t="n">
        <v>0.175566237928197</v>
      </c>
      <c r="L49" s="0" t="n">
        <v>0.175566237928197</v>
      </c>
      <c r="M49" s="0" t="n">
        <v>0.175566237928197</v>
      </c>
      <c r="N49" s="0" t="n">
        <v>0.175566237928197</v>
      </c>
      <c r="O49" s="0" t="n">
        <v>0.175566237928197</v>
      </c>
      <c r="P49" s="0" t="n">
        <v>0.175566237928197</v>
      </c>
      <c r="Q49" s="0" t="n">
        <v>0.175566237928197</v>
      </c>
      <c r="R49" s="0" t="n">
        <v>0.175566237928197</v>
      </c>
      <c r="S49" s="0" t="n">
        <v>0.175566237928197</v>
      </c>
      <c r="T49" s="0" t="n">
        <v>0.175566237928197</v>
      </c>
      <c r="U49" s="0" t="n">
        <v>0.175566237928197</v>
      </c>
      <c r="V49" s="0" t="n">
        <v>0.488348530901722</v>
      </c>
      <c r="W49" s="0" t="n">
        <v>0.488348530901722</v>
      </c>
      <c r="X49" s="0" t="n">
        <v>0.488348530901722</v>
      </c>
      <c r="Y49" s="0" t="n">
        <v>0.488348530901722</v>
      </c>
      <c r="Z49" s="0" t="n">
        <v>0.488348530901722</v>
      </c>
      <c r="AA49" s="0" t="n">
        <v>0.488348530901722</v>
      </c>
      <c r="AB49" s="0" t="n">
        <v>0.488348530901722</v>
      </c>
      <c r="AC49" s="0" t="n">
        <v>0.488348530901722</v>
      </c>
      <c r="AD49" s="0" t="n">
        <v>0.488348530901722</v>
      </c>
      <c r="AE49" s="0" t="n">
        <v>0.488348530901722</v>
      </c>
      <c r="AF49" s="0" t="n">
        <v>0.488348530901722</v>
      </c>
      <c r="AG49" s="0" t="n">
        <v>0.488348530901722</v>
      </c>
      <c r="AH49" s="0" t="n">
        <v>0.488348530901722</v>
      </c>
      <c r="AI49" s="0" t="n">
        <v>0.488348530901722</v>
      </c>
      <c r="AJ49" s="0" t="n">
        <v>0.488348530901722</v>
      </c>
      <c r="AK49" s="0" t="n">
        <v>0.488348530901722</v>
      </c>
      <c r="AL49" s="0" t="n">
        <v>0.488348530901722</v>
      </c>
      <c r="AM49" s="0" t="n">
        <v>0.488348530901722</v>
      </c>
      <c r="AN49" s="0" t="n">
        <v>0.488348530901722</v>
      </c>
      <c r="AO49" s="0" t="n">
        <v>0.488348530901722</v>
      </c>
      <c r="AP49" s="0" t="n">
        <v>0.488348530901722</v>
      </c>
      <c r="AQ49" s="0" t="n">
        <v>0.488348530901722</v>
      </c>
      <c r="AR49" s="0" t="n">
        <v>0.488348530901722</v>
      </c>
      <c r="AS49" s="0" t="n">
        <v>0.488348530901722</v>
      </c>
      <c r="AT49" s="0" t="n">
        <v>0.488348530901722</v>
      </c>
      <c r="AU49" s="0" t="n">
        <v>0.5</v>
      </c>
      <c r="AV49" s="0" t="n">
        <v>0.5</v>
      </c>
      <c r="AW49" s="0" t="n">
        <v>0.5</v>
      </c>
      <c r="AX49" s="0" t="n">
        <v>0.5</v>
      </c>
      <c r="AY49" s="0" t="n">
        <v>0.5</v>
      </c>
      <c r="AZ49" s="0" t="n">
        <v>0.5</v>
      </c>
      <c r="BA49" s="0" t="n">
        <v>0.5</v>
      </c>
      <c r="BB49" s="0" t="n">
        <v>0.5</v>
      </c>
      <c r="BC49" s="0" t="n">
        <v>0.5</v>
      </c>
      <c r="BD49" s="0" t="n">
        <v>0.5</v>
      </c>
      <c r="BE49" s="0" t="n">
        <v>0.5</v>
      </c>
      <c r="BF49" s="0" t="n">
        <v>0.5</v>
      </c>
      <c r="BG49" s="0" t="n">
        <v>0.175566237928197</v>
      </c>
      <c r="BH49" s="0" t="n">
        <v>0.175566237928197</v>
      </c>
      <c r="BI49" s="0" t="n">
        <v>0.175566237928197</v>
      </c>
      <c r="BJ49" s="0" t="n">
        <v>0.175566237928197</v>
      </c>
      <c r="BK49" s="0" t="n">
        <v>0.175566237928197</v>
      </c>
    </row>
    <row r="50" customFormat="false" ht="12.8" hidden="false" customHeight="false" outlineLevel="0" collapsed="false">
      <c r="A50" s="21" t="n">
        <f aca="false">A49+1/24</f>
        <v>43894.0000004165</v>
      </c>
      <c r="B50" s="0" t="n">
        <v>0.0876098912996406</v>
      </c>
      <c r="C50" s="0" t="n">
        <v>0.0876098912996406</v>
      </c>
      <c r="D50" s="0" t="n">
        <v>0.0876098912996406</v>
      </c>
      <c r="E50" s="0" t="n">
        <v>0.0876098912996406</v>
      </c>
      <c r="F50" s="0" t="n">
        <v>0.0876098912996406</v>
      </c>
      <c r="G50" s="0" t="n">
        <v>0.0876098912996406</v>
      </c>
      <c r="H50" s="0" t="n">
        <v>0.0876098912996406</v>
      </c>
      <c r="I50" s="0" t="n">
        <v>0.0876098912996406</v>
      </c>
      <c r="J50" s="0" t="n">
        <v>0.0876098912996406</v>
      </c>
      <c r="K50" s="0" t="n">
        <v>0.0876098912996406</v>
      </c>
      <c r="L50" s="0" t="n">
        <v>0.0876098912996406</v>
      </c>
      <c r="M50" s="0" t="n">
        <v>0.0876098912996406</v>
      </c>
      <c r="N50" s="0" t="n">
        <v>0.0876098912996406</v>
      </c>
      <c r="O50" s="0" t="n">
        <v>0.0876098912996406</v>
      </c>
      <c r="P50" s="0" t="n">
        <v>0.0876098912996406</v>
      </c>
      <c r="Q50" s="0" t="n">
        <v>0.0876098912996406</v>
      </c>
      <c r="R50" s="0" t="n">
        <v>0.0876098912996406</v>
      </c>
      <c r="S50" s="0" t="n">
        <v>0.0876098912996406</v>
      </c>
      <c r="T50" s="0" t="n">
        <v>0.0876098912996406</v>
      </c>
      <c r="U50" s="0" t="n">
        <v>0.0876098912996406</v>
      </c>
      <c r="V50" s="0" t="n">
        <v>0.39918946301925</v>
      </c>
      <c r="W50" s="0" t="n">
        <v>0.39918946301925</v>
      </c>
      <c r="X50" s="0" t="n">
        <v>0.39918946301925</v>
      </c>
      <c r="Y50" s="0" t="n">
        <v>0.39918946301925</v>
      </c>
      <c r="Z50" s="0" t="n">
        <v>0.39918946301925</v>
      </c>
      <c r="AA50" s="0" t="n">
        <v>0.39918946301925</v>
      </c>
      <c r="AB50" s="0" t="n">
        <v>0.39918946301925</v>
      </c>
      <c r="AC50" s="0" t="n">
        <v>0.39918946301925</v>
      </c>
      <c r="AD50" s="0" t="n">
        <v>0.39918946301925</v>
      </c>
      <c r="AE50" s="0" t="n">
        <v>0.39918946301925</v>
      </c>
      <c r="AF50" s="0" t="n">
        <v>0.39918946301925</v>
      </c>
      <c r="AG50" s="0" t="n">
        <v>0.39918946301925</v>
      </c>
      <c r="AH50" s="0" t="n">
        <v>0.39918946301925</v>
      </c>
      <c r="AI50" s="0" t="n">
        <v>0.39918946301925</v>
      </c>
      <c r="AJ50" s="0" t="n">
        <v>0.39918946301925</v>
      </c>
      <c r="AK50" s="0" t="n">
        <v>0.39918946301925</v>
      </c>
      <c r="AL50" s="0" t="n">
        <v>0.39918946301925</v>
      </c>
      <c r="AM50" s="0" t="n">
        <v>0.39918946301925</v>
      </c>
      <c r="AN50" s="0" t="n">
        <v>0.39918946301925</v>
      </c>
      <c r="AO50" s="0" t="n">
        <v>0.39918946301925</v>
      </c>
      <c r="AP50" s="0" t="n">
        <v>0.39918946301925</v>
      </c>
      <c r="AQ50" s="0" t="n">
        <v>0.39918946301925</v>
      </c>
      <c r="AR50" s="0" t="n">
        <v>0.39918946301925</v>
      </c>
      <c r="AS50" s="0" t="n">
        <v>0.39918946301925</v>
      </c>
      <c r="AT50" s="0" t="n">
        <v>0.39918946301925</v>
      </c>
      <c r="AU50" s="0" t="n">
        <v>0.75</v>
      </c>
      <c r="AV50" s="0" t="n">
        <v>0.75</v>
      </c>
      <c r="AW50" s="0" t="n">
        <v>0.75</v>
      </c>
      <c r="AX50" s="0" t="n">
        <v>0.75</v>
      </c>
      <c r="AY50" s="0" t="n">
        <v>0.75</v>
      </c>
      <c r="AZ50" s="0" t="n">
        <v>0.75</v>
      </c>
      <c r="BA50" s="0" t="n">
        <v>0.75</v>
      </c>
      <c r="BB50" s="0" t="n">
        <v>0.75</v>
      </c>
      <c r="BC50" s="0" t="n">
        <v>0.75</v>
      </c>
      <c r="BD50" s="0" t="n">
        <v>0.75</v>
      </c>
      <c r="BE50" s="0" t="n">
        <v>0.75</v>
      </c>
      <c r="BF50" s="0" t="n">
        <v>0.75</v>
      </c>
      <c r="BG50" s="0" t="n">
        <v>0.0876098912996406</v>
      </c>
      <c r="BH50" s="0" t="n">
        <v>0.0876098912996406</v>
      </c>
      <c r="BI50" s="0" t="n">
        <v>0.0876098912996406</v>
      </c>
      <c r="BJ50" s="0" t="n">
        <v>0.0876098912996406</v>
      </c>
      <c r="BK50" s="0" t="n">
        <v>0.0876098912996406</v>
      </c>
    </row>
    <row r="51" customFormat="false" ht="12.8" hidden="false" customHeight="false" outlineLevel="0" collapsed="false">
      <c r="A51" s="21" t="n">
        <f aca="false">A50+1/24</f>
        <v>43894.0416670832</v>
      </c>
      <c r="B51" s="0" t="n">
        <v>0.0518816855051752</v>
      </c>
      <c r="C51" s="0" t="n">
        <v>0.0518816855051752</v>
      </c>
      <c r="D51" s="0" t="n">
        <v>0.0518816855051752</v>
      </c>
      <c r="E51" s="0" t="n">
        <v>0.0518816855051752</v>
      </c>
      <c r="F51" s="0" t="n">
        <v>0.0518816855051752</v>
      </c>
      <c r="G51" s="0" t="n">
        <v>0.0518816855051752</v>
      </c>
      <c r="H51" s="0" t="n">
        <v>0.0518816855051752</v>
      </c>
      <c r="I51" s="0" t="n">
        <v>0.0518816855051752</v>
      </c>
      <c r="J51" s="0" t="n">
        <v>0.0518816855051752</v>
      </c>
      <c r="K51" s="0" t="n">
        <v>0.0518816855051752</v>
      </c>
      <c r="L51" s="0" t="n">
        <v>0.0518816855051752</v>
      </c>
      <c r="M51" s="0" t="n">
        <v>0.0518816855051752</v>
      </c>
      <c r="N51" s="0" t="n">
        <v>0.0518816855051752</v>
      </c>
      <c r="O51" s="0" t="n">
        <v>0.0518816855051752</v>
      </c>
      <c r="P51" s="0" t="n">
        <v>0.0518816855051752</v>
      </c>
      <c r="Q51" s="0" t="n">
        <v>0.0518816855051752</v>
      </c>
      <c r="R51" s="0" t="n">
        <v>0.0518816855051752</v>
      </c>
      <c r="S51" s="0" t="n">
        <v>0.0518816855051752</v>
      </c>
      <c r="T51" s="0" t="n">
        <v>0.0518816855051752</v>
      </c>
      <c r="U51" s="0" t="n">
        <v>0.0518816855051752</v>
      </c>
      <c r="V51" s="0" t="n">
        <v>0.363728470111449</v>
      </c>
      <c r="W51" s="0" t="n">
        <v>0.363728470111449</v>
      </c>
      <c r="X51" s="0" t="n">
        <v>0.363728470111449</v>
      </c>
      <c r="Y51" s="0" t="n">
        <v>0.363728470111449</v>
      </c>
      <c r="Z51" s="0" t="n">
        <v>0.363728470111449</v>
      </c>
      <c r="AA51" s="0" t="n">
        <v>0.363728470111449</v>
      </c>
      <c r="AB51" s="0" t="n">
        <v>0.363728470111449</v>
      </c>
      <c r="AC51" s="0" t="n">
        <v>0.363728470111449</v>
      </c>
      <c r="AD51" s="0" t="n">
        <v>0.363728470111449</v>
      </c>
      <c r="AE51" s="0" t="n">
        <v>0.363728470111449</v>
      </c>
      <c r="AF51" s="0" t="n">
        <v>0.363728470111449</v>
      </c>
      <c r="AG51" s="0" t="n">
        <v>0.363728470111449</v>
      </c>
      <c r="AH51" s="0" t="n">
        <v>0.363728470111449</v>
      </c>
      <c r="AI51" s="0" t="n">
        <v>0.363728470111449</v>
      </c>
      <c r="AJ51" s="0" t="n">
        <v>0.363728470111449</v>
      </c>
      <c r="AK51" s="0" t="n">
        <v>0.363728470111449</v>
      </c>
      <c r="AL51" s="0" t="n">
        <v>0.363728470111449</v>
      </c>
      <c r="AM51" s="0" t="n">
        <v>0.363728470111449</v>
      </c>
      <c r="AN51" s="0" t="n">
        <v>0.363728470111449</v>
      </c>
      <c r="AO51" s="0" t="n">
        <v>0.363728470111449</v>
      </c>
      <c r="AP51" s="0" t="n">
        <v>0.363728470111449</v>
      </c>
      <c r="AQ51" s="0" t="n">
        <v>0.363728470111449</v>
      </c>
      <c r="AR51" s="0" t="n">
        <v>0.363728470111449</v>
      </c>
      <c r="AS51" s="0" t="n">
        <v>0.363728470111449</v>
      </c>
      <c r="AT51" s="0" t="n">
        <v>0.363728470111449</v>
      </c>
      <c r="AU51" s="0" t="n">
        <v>0.125</v>
      </c>
      <c r="AV51" s="0" t="n">
        <v>0.125</v>
      </c>
      <c r="AW51" s="0" t="n">
        <v>0.125</v>
      </c>
      <c r="AX51" s="0" t="n">
        <v>0.125</v>
      </c>
      <c r="AY51" s="0" t="n">
        <v>0.125</v>
      </c>
      <c r="AZ51" s="0" t="n">
        <v>0.125</v>
      </c>
      <c r="BA51" s="0" t="n">
        <v>0.125</v>
      </c>
      <c r="BB51" s="0" t="n">
        <v>0.125</v>
      </c>
      <c r="BC51" s="0" t="n">
        <v>0.125</v>
      </c>
      <c r="BD51" s="0" t="n">
        <v>0.125</v>
      </c>
      <c r="BE51" s="0" t="n">
        <v>0.125</v>
      </c>
      <c r="BF51" s="0" t="n">
        <v>0.125</v>
      </c>
      <c r="BG51" s="0" t="n">
        <v>0.0518816855051752</v>
      </c>
      <c r="BH51" s="0" t="n">
        <v>0.0518816855051752</v>
      </c>
      <c r="BI51" s="0" t="n">
        <v>0.0518816855051752</v>
      </c>
      <c r="BJ51" s="0" t="n">
        <v>0.0518816855051752</v>
      </c>
      <c r="BK51" s="0" t="n">
        <v>0.0518816855051752</v>
      </c>
    </row>
    <row r="52" customFormat="false" ht="12.8" hidden="false" customHeight="false" outlineLevel="0" collapsed="false">
      <c r="A52" s="21" t="n">
        <f aca="false">A51+1/24</f>
        <v>43894.0833337498</v>
      </c>
      <c r="B52" s="0" t="n">
        <v>0.0365943441167554</v>
      </c>
      <c r="C52" s="0" t="n">
        <v>0.0365943441167554</v>
      </c>
      <c r="D52" s="0" t="n">
        <v>0.0365943441167554</v>
      </c>
      <c r="E52" s="0" t="n">
        <v>0.0365943441167554</v>
      </c>
      <c r="F52" s="0" t="n">
        <v>0.0365943441167554</v>
      </c>
      <c r="G52" s="0" t="n">
        <v>0.0365943441167554</v>
      </c>
      <c r="H52" s="0" t="n">
        <v>0.0365943441167554</v>
      </c>
      <c r="I52" s="0" t="n">
        <v>0.0365943441167554</v>
      </c>
      <c r="J52" s="0" t="n">
        <v>0.0365943441167554</v>
      </c>
      <c r="K52" s="0" t="n">
        <v>0.0365943441167554</v>
      </c>
      <c r="L52" s="0" t="n">
        <v>0.0365943441167554</v>
      </c>
      <c r="M52" s="0" t="n">
        <v>0.0365943441167554</v>
      </c>
      <c r="N52" s="0" t="n">
        <v>0.0365943441167554</v>
      </c>
      <c r="O52" s="0" t="n">
        <v>0.0365943441167554</v>
      </c>
      <c r="P52" s="0" t="n">
        <v>0.0365943441167554</v>
      </c>
      <c r="Q52" s="0" t="n">
        <v>0.0365943441167554</v>
      </c>
      <c r="R52" s="0" t="n">
        <v>0.0365943441167554</v>
      </c>
      <c r="S52" s="0" t="n">
        <v>0.0365943441167554</v>
      </c>
      <c r="T52" s="0" t="n">
        <v>0.0365943441167554</v>
      </c>
      <c r="U52" s="0" t="n">
        <v>0.0365943441167554</v>
      </c>
      <c r="V52" s="0" t="n">
        <v>0.343465045592705</v>
      </c>
      <c r="W52" s="0" t="n">
        <v>0.343465045592705</v>
      </c>
      <c r="X52" s="0" t="n">
        <v>0.343465045592705</v>
      </c>
      <c r="Y52" s="0" t="n">
        <v>0.343465045592705</v>
      </c>
      <c r="Z52" s="0" t="n">
        <v>0.343465045592705</v>
      </c>
      <c r="AA52" s="0" t="n">
        <v>0.343465045592705</v>
      </c>
      <c r="AB52" s="0" t="n">
        <v>0.343465045592705</v>
      </c>
      <c r="AC52" s="0" t="n">
        <v>0.343465045592705</v>
      </c>
      <c r="AD52" s="0" t="n">
        <v>0.343465045592705</v>
      </c>
      <c r="AE52" s="0" t="n">
        <v>0.343465045592705</v>
      </c>
      <c r="AF52" s="0" t="n">
        <v>0.343465045592705</v>
      </c>
      <c r="AG52" s="0" t="n">
        <v>0.343465045592705</v>
      </c>
      <c r="AH52" s="0" t="n">
        <v>0.343465045592705</v>
      </c>
      <c r="AI52" s="0" t="n">
        <v>0.343465045592705</v>
      </c>
      <c r="AJ52" s="0" t="n">
        <v>0.343465045592705</v>
      </c>
      <c r="AK52" s="0" t="n">
        <v>0.343465045592705</v>
      </c>
      <c r="AL52" s="0" t="n">
        <v>0.343465045592705</v>
      </c>
      <c r="AM52" s="0" t="n">
        <v>0.343465045592705</v>
      </c>
      <c r="AN52" s="0" t="n">
        <v>0.343465045592705</v>
      </c>
      <c r="AO52" s="0" t="n">
        <v>0.343465045592705</v>
      </c>
      <c r="AP52" s="0" t="n">
        <v>0.343465045592705</v>
      </c>
      <c r="AQ52" s="0" t="n">
        <v>0.343465045592705</v>
      </c>
      <c r="AR52" s="0" t="n">
        <v>0.343465045592705</v>
      </c>
      <c r="AS52" s="0" t="n">
        <v>0.343465045592705</v>
      </c>
      <c r="AT52" s="0" t="n">
        <v>0.343465045592705</v>
      </c>
      <c r="AU52" s="0" t="n">
        <v>1</v>
      </c>
      <c r="AV52" s="0" t="n">
        <v>1</v>
      </c>
      <c r="AW52" s="0" t="n">
        <v>1</v>
      </c>
      <c r="AX52" s="0" t="n">
        <v>1</v>
      </c>
      <c r="AY52" s="0" t="n">
        <v>1</v>
      </c>
      <c r="AZ52" s="0" t="n">
        <v>1</v>
      </c>
      <c r="BA52" s="0" t="n">
        <v>1</v>
      </c>
      <c r="BB52" s="0" t="n">
        <v>1</v>
      </c>
      <c r="BC52" s="0" t="n">
        <v>1</v>
      </c>
      <c r="BD52" s="0" t="n">
        <v>1</v>
      </c>
      <c r="BE52" s="0" t="n">
        <v>1</v>
      </c>
      <c r="BF52" s="0" t="n">
        <v>1</v>
      </c>
      <c r="BG52" s="0" t="n">
        <v>0.0365943441167554</v>
      </c>
      <c r="BH52" s="0" t="n">
        <v>0.0365943441167554</v>
      </c>
      <c r="BI52" s="0" t="n">
        <v>0.0365943441167554</v>
      </c>
      <c r="BJ52" s="0" t="n">
        <v>0.0365943441167554</v>
      </c>
      <c r="BK52" s="0" t="n">
        <v>0.0365943441167554</v>
      </c>
    </row>
    <row r="53" customFormat="false" ht="12.8" hidden="false" customHeight="false" outlineLevel="0" collapsed="false">
      <c r="A53" s="21" t="n">
        <f aca="false">A52+1/24</f>
        <v>43894.1250004165</v>
      </c>
      <c r="B53" s="0" t="n">
        <v>0.0453423411718852</v>
      </c>
      <c r="C53" s="0" t="n">
        <v>0.0453423411718852</v>
      </c>
      <c r="D53" s="0" t="n">
        <v>0.0453423411718852</v>
      </c>
      <c r="E53" s="0" t="n">
        <v>0.0453423411718852</v>
      </c>
      <c r="F53" s="0" t="n">
        <v>0.0453423411718852</v>
      </c>
      <c r="G53" s="0" t="n">
        <v>0.0453423411718852</v>
      </c>
      <c r="H53" s="0" t="n">
        <v>0.0453423411718852</v>
      </c>
      <c r="I53" s="0" t="n">
        <v>0.0453423411718852</v>
      </c>
      <c r="J53" s="0" t="n">
        <v>0.0453423411718852</v>
      </c>
      <c r="K53" s="0" t="n">
        <v>0.0453423411718852</v>
      </c>
      <c r="L53" s="0" t="n">
        <v>0.0453423411718852</v>
      </c>
      <c r="M53" s="0" t="n">
        <v>0.0453423411718852</v>
      </c>
      <c r="N53" s="0" t="n">
        <v>0.0453423411718852</v>
      </c>
      <c r="O53" s="0" t="n">
        <v>0.0453423411718852</v>
      </c>
      <c r="P53" s="0" t="n">
        <v>0.0453423411718852</v>
      </c>
      <c r="Q53" s="0" t="n">
        <v>0.0453423411718852</v>
      </c>
      <c r="R53" s="0" t="n">
        <v>0.0453423411718852</v>
      </c>
      <c r="S53" s="0" t="n">
        <v>0.0453423411718852</v>
      </c>
      <c r="T53" s="0" t="n">
        <v>0.0453423411718852</v>
      </c>
      <c r="U53" s="0" t="n">
        <v>0.0453423411718852</v>
      </c>
      <c r="V53" s="0" t="n">
        <v>0.400202634245187</v>
      </c>
      <c r="W53" s="0" t="n">
        <v>0.400202634245187</v>
      </c>
      <c r="X53" s="0" t="n">
        <v>0.400202634245187</v>
      </c>
      <c r="Y53" s="0" t="n">
        <v>0.400202634245187</v>
      </c>
      <c r="Z53" s="0" t="n">
        <v>0.400202634245187</v>
      </c>
      <c r="AA53" s="0" t="n">
        <v>0.400202634245187</v>
      </c>
      <c r="AB53" s="0" t="n">
        <v>0.400202634245187</v>
      </c>
      <c r="AC53" s="0" t="n">
        <v>0.400202634245187</v>
      </c>
      <c r="AD53" s="0" t="n">
        <v>0.400202634245187</v>
      </c>
      <c r="AE53" s="0" t="n">
        <v>0.400202634245187</v>
      </c>
      <c r="AF53" s="0" t="n">
        <v>0.400202634245187</v>
      </c>
      <c r="AG53" s="0" t="n">
        <v>0.400202634245187</v>
      </c>
      <c r="AH53" s="0" t="n">
        <v>0.400202634245187</v>
      </c>
      <c r="AI53" s="0" t="n">
        <v>0.400202634245187</v>
      </c>
      <c r="AJ53" s="0" t="n">
        <v>0.400202634245187</v>
      </c>
      <c r="AK53" s="0" t="n">
        <v>0.400202634245187</v>
      </c>
      <c r="AL53" s="0" t="n">
        <v>0.400202634245187</v>
      </c>
      <c r="AM53" s="0" t="n">
        <v>0.400202634245187</v>
      </c>
      <c r="AN53" s="0" t="n">
        <v>0.400202634245187</v>
      </c>
      <c r="AO53" s="0" t="n">
        <v>0.400202634245187</v>
      </c>
      <c r="AP53" s="0" t="n">
        <v>0.400202634245187</v>
      </c>
      <c r="AQ53" s="0" t="n">
        <v>0.400202634245187</v>
      </c>
      <c r="AR53" s="0" t="n">
        <v>0.400202634245187</v>
      </c>
      <c r="AS53" s="0" t="n">
        <v>0.400202634245187</v>
      </c>
      <c r="AT53" s="0" t="n">
        <v>0.400202634245187</v>
      </c>
      <c r="AU53" s="0" t="n">
        <v>0.375</v>
      </c>
      <c r="AV53" s="0" t="n">
        <v>0.375</v>
      </c>
      <c r="AW53" s="0" t="n">
        <v>0.375</v>
      </c>
      <c r="AX53" s="0" t="n">
        <v>0.375</v>
      </c>
      <c r="AY53" s="0" t="n">
        <v>0.375</v>
      </c>
      <c r="AZ53" s="0" t="n">
        <v>0.375</v>
      </c>
      <c r="BA53" s="0" t="n">
        <v>0.375</v>
      </c>
      <c r="BB53" s="0" t="n">
        <v>0.375</v>
      </c>
      <c r="BC53" s="0" t="n">
        <v>0.375</v>
      </c>
      <c r="BD53" s="0" t="n">
        <v>0.375</v>
      </c>
      <c r="BE53" s="0" t="n">
        <v>0.375</v>
      </c>
      <c r="BF53" s="0" t="n">
        <v>0.375</v>
      </c>
      <c r="BG53" s="0" t="n">
        <v>0.0453423411718852</v>
      </c>
      <c r="BH53" s="0" t="n">
        <v>0.0453423411718852</v>
      </c>
      <c r="BI53" s="0" t="n">
        <v>0.0453423411718852</v>
      </c>
      <c r="BJ53" s="0" t="n">
        <v>0.0453423411718852</v>
      </c>
      <c r="BK53" s="0" t="n">
        <v>0.0453423411718852</v>
      </c>
    </row>
    <row r="54" customFormat="false" ht="12.8" hidden="false" customHeight="false" outlineLevel="0" collapsed="false">
      <c r="A54" s="21" t="n">
        <f aca="false">A53+1/24</f>
        <v>43894.1666670832</v>
      </c>
      <c r="B54" s="0" t="n">
        <v>0.0986531549088389</v>
      </c>
      <c r="C54" s="0" t="n">
        <v>0.0986531549088389</v>
      </c>
      <c r="D54" s="0" t="n">
        <v>0.0986531549088389</v>
      </c>
      <c r="E54" s="0" t="n">
        <v>0.0986531549088389</v>
      </c>
      <c r="F54" s="0" t="n">
        <v>0.0986531549088389</v>
      </c>
      <c r="G54" s="0" t="n">
        <v>0.0986531549088389</v>
      </c>
      <c r="H54" s="0" t="n">
        <v>0.0986531549088389</v>
      </c>
      <c r="I54" s="0" t="n">
        <v>0.0986531549088389</v>
      </c>
      <c r="J54" s="0" t="n">
        <v>0.0986531549088389</v>
      </c>
      <c r="K54" s="0" t="n">
        <v>0.0986531549088389</v>
      </c>
      <c r="L54" s="0" t="n">
        <v>0.0986531549088389</v>
      </c>
      <c r="M54" s="0" t="n">
        <v>0.0986531549088389</v>
      </c>
      <c r="N54" s="0" t="n">
        <v>0.0986531549088389</v>
      </c>
      <c r="O54" s="0" t="n">
        <v>0.0986531549088389</v>
      </c>
      <c r="P54" s="0" t="n">
        <v>0.0986531549088389</v>
      </c>
      <c r="Q54" s="0" t="n">
        <v>0.0986531549088389</v>
      </c>
      <c r="R54" s="0" t="n">
        <v>0.0986531549088389</v>
      </c>
      <c r="S54" s="0" t="n">
        <v>0.0986531549088389</v>
      </c>
      <c r="T54" s="0" t="n">
        <v>0.0986531549088389</v>
      </c>
      <c r="U54" s="0" t="n">
        <v>0.0986531549088389</v>
      </c>
      <c r="V54" s="0" t="n">
        <v>0.610942249240122</v>
      </c>
      <c r="W54" s="0" t="n">
        <v>0.610942249240122</v>
      </c>
      <c r="X54" s="0" t="n">
        <v>0.610942249240122</v>
      </c>
      <c r="Y54" s="0" t="n">
        <v>0.610942249240122</v>
      </c>
      <c r="Z54" s="0" t="n">
        <v>0.610942249240122</v>
      </c>
      <c r="AA54" s="0" t="n">
        <v>0.610942249240122</v>
      </c>
      <c r="AB54" s="0" t="n">
        <v>0.610942249240122</v>
      </c>
      <c r="AC54" s="0" t="n">
        <v>0.610942249240122</v>
      </c>
      <c r="AD54" s="0" t="n">
        <v>0.610942249240122</v>
      </c>
      <c r="AE54" s="0" t="n">
        <v>0.610942249240122</v>
      </c>
      <c r="AF54" s="0" t="n">
        <v>0.610942249240122</v>
      </c>
      <c r="AG54" s="0" t="n">
        <v>0.610942249240122</v>
      </c>
      <c r="AH54" s="0" t="n">
        <v>0.610942249240122</v>
      </c>
      <c r="AI54" s="0" t="n">
        <v>0.610942249240122</v>
      </c>
      <c r="AJ54" s="0" t="n">
        <v>0.610942249240122</v>
      </c>
      <c r="AK54" s="0" t="n">
        <v>0.610942249240122</v>
      </c>
      <c r="AL54" s="0" t="n">
        <v>0.610942249240122</v>
      </c>
      <c r="AM54" s="0" t="n">
        <v>0.610942249240122</v>
      </c>
      <c r="AN54" s="0" t="n">
        <v>0.610942249240122</v>
      </c>
      <c r="AO54" s="0" t="n">
        <v>0.610942249240122</v>
      </c>
      <c r="AP54" s="0" t="n">
        <v>0.610942249240122</v>
      </c>
      <c r="AQ54" s="0" t="n">
        <v>0.610942249240122</v>
      </c>
      <c r="AR54" s="0" t="n">
        <v>0.610942249240122</v>
      </c>
      <c r="AS54" s="0" t="n">
        <v>0.610942249240122</v>
      </c>
      <c r="AT54" s="0" t="n">
        <v>0.610942249240122</v>
      </c>
      <c r="AU54" s="0" t="n">
        <v>0.75</v>
      </c>
      <c r="AV54" s="0" t="n">
        <v>0.75</v>
      </c>
      <c r="AW54" s="0" t="n">
        <v>0.75</v>
      </c>
      <c r="AX54" s="0" t="n">
        <v>0.75</v>
      </c>
      <c r="AY54" s="0" t="n">
        <v>0.75</v>
      </c>
      <c r="AZ54" s="0" t="n">
        <v>0.75</v>
      </c>
      <c r="BA54" s="0" t="n">
        <v>0.75</v>
      </c>
      <c r="BB54" s="0" t="n">
        <v>0.75</v>
      </c>
      <c r="BC54" s="0" t="n">
        <v>0.75</v>
      </c>
      <c r="BD54" s="0" t="n">
        <v>0.75</v>
      </c>
      <c r="BE54" s="0" t="n">
        <v>0.75</v>
      </c>
      <c r="BF54" s="0" t="n">
        <v>0.75</v>
      </c>
      <c r="BG54" s="0" t="n">
        <v>0.0986531549088389</v>
      </c>
      <c r="BH54" s="0" t="n">
        <v>0.0986531549088389</v>
      </c>
      <c r="BI54" s="0" t="n">
        <v>0.0986531549088389</v>
      </c>
      <c r="BJ54" s="0" t="n">
        <v>0.0986531549088389</v>
      </c>
      <c r="BK54" s="0" t="n">
        <v>0.0986531549088389</v>
      </c>
    </row>
    <row r="55" customFormat="false" ht="12.8" hidden="false" customHeight="false" outlineLevel="0" collapsed="false">
      <c r="A55" s="21" t="n">
        <f aca="false">A54+1/24</f>
        <v>43894.2083337498</v>
      </c>
      <c r="B55" s="0" t="n">
        <v>0.351132475856394</v>
      </c>
      <c r="C55" s="0" t="n">
        <v>0.351132475856394</v>
      </c>
      <c r="D55" s="0" t="n">
        <v>0.351132475856394</v>
      </c>
      <c r="E55" s="0" t="n">
        <v>0.351132475856394</v>
      </c>
      <c r="F55" s="0" t="n">
        <v>0.351132475856394</v>
      </c>
      <c r="G55" s="0" t="n">
        <v>0.351132475856394</v>
      </c>
      <c r="H55" s="0" t="n">
        <v>0.351132475856394</v>
      </c>
      <c r="I55" s="0" t="n">
        <v>0.351132475856394</v>
      </c>
      <c r="J55" s="0" t="n">
        <v>0.351132475856394</v>
      </c>
      <c r="K55" s="0" t="n">
        <v>0.351132475856394</v>
      </c>
      <c r="L55" s="0" t="n">
        <v>0.351132475856394</v>
      </c>
      <c r="M55" s="0" t="n">
        <v>0.351132475856394</v>
      </c>
      <c r="N55" s="0" t="n">
        <v>0.351132475856394</v>
      </c>
      <c r="O55" s="0" t="n">
        <v>0.351132475856394</v>
      </c>
      <c r="P55" s="0" t="n">
        <v>0.351132475856394</v>
      </c>
      <c r="Q55" s="0" t="n">
        <v>0.351132475856394</v>
      </c>
      <c r="R55" s="0" t="n">
        <v>0.351132475856394</v>
      </c>
      <c r="S55" s="0" t="n">
        <v>0.351132475856394</v>
      </c>
      <c r="T55" s="0" t="n">
        <v>0.351132475856394</v>
      </c>
      <c r="U55" s="0" t="n">
        <v>0.351132475856394</v>
      </c>
      <c r="V55" s="0" t="n">
        <v>0.890577507598784</v>
      </c>
      <c r="W55" s="0" t="n">
        <v>0.890577507598784</v>
      </c>
      <c r="X55" s="0" t="n">
        <v>0.890577507598784</v>
      </c>
      <c r="Y55" s="0" t="n">
        <v>0.890577507598784</v>
      </c>
      <c r="Z55" s="0" t="n">
        <v>0.890577507598784</v>
      </c>
      <c r="AA55" s="0" t="n">
        <v>0.890577507598784</v>
      </c>
      <c r="AB55" s="0" t="n">
        <v>0.890577507598784</v>
      </c>
      <c r="AC55" s="0" t="n">
        <v>0.890577507598784</v>
      </c>
      <c r="AD55" s="0" t="n">
        <v>0.890577507598784</v>
      </c>
      <c r="AE55" s="0" t="n">
        <v>0.890577507598784</v>
      </c>
      <c r="AF55" s="0" t="n">
        <v>0.890577507598784</v>
      </c>
      <c r="AG55" s="0" t="n">
        <v>0.890577507598784</v>
      </c>
      <c r="AH55" s="0" t="n">
        <v>0.890577507598784</v>
      </c>
      <c r="AI55" s="0" t="n">
        <v>0.890577507598784</v>
      </c>
      <c r="AJ55" s="0" t="n">
        <v>0.890577507598784</v>
      </c>
      <c r="AK55" s="0" t="n">
        <v>0.890577507598784</v>
      </c>
      <c r="AL55" s="0" t="n">
        <v>0.890577507598784</v>
      </c>
      <c r="AM55" s="0" t="n">
        <v>0.890577507598784</v>
      </c>
      <c r="AN55" s="0" t="n">
        <v>0.890577507598784</v>
      </c>
      <c r="AO55" s="0" t="n">
        <v>0.890577507598784</v>
      </c>
      <c r="AP55" s="0" t="n">
        <v>0.890577507598784</v>
      </c>
      <c r="AQ55" s="0" t="n">
        <v>0.890577507598784</v>
      </c>
      <c r="AR55" s="0" t="n">
        <v>0.890577507598784</v>
      </c>
      <c r="AS55" s="0" t="n">
        <v>0.890577507598784</v>
      </c>
      <c r="AT55" s="0" t="n">
        <v>0.890577507598784</v>
      </c>
      <c r="AU55" s="0" t="n">
        <v>2.25</v>
      </c>
      <c r="AV55" s="0" t="n">
        <v>2.25</v>
      </c>
      <c r="AW55" s="0" t="n">
        <v>2.25</v>
      </c>
      <c r="AX55" s="0" t="n">
        <v>2.25</v>
      </c>
      <c r="AY55" s="0" t="n">
        <v>2.25</v>
      </c>
      <c r="AZ55" s="0" t="n">
        <v>2.25</v>
      </c>
      <c r="BA55" s="0" t="n">
        <v>2.25</v>
      </c>
      <c r="BB55" s="0" t="n">
        <v>2.25</v>
      </c>
      <c r="BC55" s="0" t="n">
        <v>2.25</v>
      </c>
      <c r="BD55" s="0" t="n">
        <v>2.25</v>
      </c>
      <c r="BE55" s="0" t="n">
        <v>2.25</v>
      </c>
      <c r="BF55" s="0" t="n">
        <v>2.25</v>
      </c>
      <c r="BG55" s="0" t="n">
        <v>0.351132475856394</v>
      </c>
      <c r="BH55" s="0" t="n">
        <v>0.351132475856394</v>
      </c>
      <c r="BI55" s="0" t="n">
        <v>0.351132475856394</v>
      </c>
      <c r="BJ55" s="0" t="n">
        <v>0.351132475856394</v>
      </c>
      <c r="BK55" s="0" t="n">
        <v>0.351132475856394</v>
      </c>
    </row>
    <row r="56" customFormat="false" ht="12.8" hidden="false" customHeight="false" outlineLevel="0" collapsed="false">
      <c r="A56" s="21" t="n">
        <f aca="false">A55+1/24</f>
        <v>43894.2500004165</v>
      </c>
      <c r="B56" s="0" t="n">
        <v>0.775107184617383</v>
      </c>
      <c r="C56" s="0" t="n">
        <v>0.775107184617383</v>
      </c>
      <c r="D56" s="0" t="n">
        <v>0.775107184617383</v>
      </c>
      <c r="E56" s="0" t="n">
        <v>0.775107184617383</v>
      </c>
      <c r="F56" s="0" t="n">
        <v>0.775107184617383</v>
      </c>
      <c r="G56" s="0" t="n">
        <v>0.775107184617383</v>
      </c>
      <c r="H56" s="0" t="n">
        <v>0.775107184617383</v>
      </c>
      <c r="I56" s="0" t="n">
        <v>0.775107184617383</v>
      </c>
      <c r="J56" s="0" t="n">
        <v>0.775107184617383</v>
      </c>
      <c r="K56" s="0" t="n">
        <v>0.775107184617383</v>
      </c>
      <c r="L56" s="0" t="n">
        <v>0.775107184617383</v>
      </c>
      <c r="M56" s="0" t="n">
        <v>0.775107184617383</v>
      </c>
      <c r="N56" s="0" t="n">
        <v>0.775107184617383</v>
      </c>
      <c r="O56" s="0" t="n">
        <v>0.775107184617383</v>
      </c>
      <c r="P56" s="0" t="n">
        <v>0.775107184617383</v>
      </c>
      <c r="Q56" s="0" t="n">
        <v>0.775107184617383</v>
      </c>
      <c r="R56" s="0" t="n">
        <v>0.775107184617383</v>
      </c>
      <c r="S56" s="0" t="n">
        <v>0.775107184617383</v>
      </c>
      <c r="T56" s="0" t="n">
        <v>0.775107184617383</v>
      </c>
      <c r="U56" s="0" t="n">
        <v>0.775107184617383</v>
      </c>
      <c r="V56" s="0" t="n">
        <v>1.20871327254306</v>
      </c>
      <c r="W56" s="0" t="n">
        <v>1.20871327254306</v>
      </c>
      <c r="X56" s="0" t="n">
        <v>1.20871327254306</v>
      </c>
      <c r="Y56" s="0" t="n">
        <v>1.20871327254306</v>
      </c>
      <c r="Z56" s="0" t="n">
        <v>1.20871327254306</v>
      </c>
      <c r="AA56" s="0" t="n">
        <v>1.20871327254306</v>
      </c>
      <c r="AB56" s="0" t="n">
        <v>1.20871327254306</v>
      </c>
      <c r="AC56" s="0" t="n">
        <v>1.20871327254306</v>
      </c>
      <c r="AD56" s="0" t="n">
        <v>1.20871327254306</v>
      </c>
      <c r="AE56" s="0" t="n">
        <v>1.20871327254306</v>
      </c>
      <c r="AF56" s="0" t="n">
        <v>1.20871327254306</v>
      </c>
      <c r="AG56" s="0" t="n">
        <v>1.20871327254306</v>
      </c>
      <c r="AH56" s="0" t="n">
        <v>1.20871327254306</v>
      </c>
      <c r="AI56" s="0" t="n">
        <v>1.20871327254306</v>
      </c>
      <c r="AJ56" s="0" t="n">
        <v>1.20871327254306</v>
      </c>
      <c r="AK56" s="0" t="n">
        <v>1.20871327254306</v>
      </c>
      <c r="AL56" s="0" t="n">
        <v>1.20871327254306</v>
      </c>
      <c r="AM56" s="0" t="n">
        <v>1.20871327254306</v>
      </c>
      <c r="AN56" s="0" t="n">
        <v>1.20871327254306</v>
      </c>
      <c r="AO56" s="0" t="n">
        <v>1.20871327254306</v>
      </c>
      <c r="AP56" s="0" t="n">
        <v>1.20871327254306</v>
      </c>
      <c r="AQ56" s="0" t="n">
        <v>1.20871327254306</v>
      </c>
      <c r="AR56" s="0" t="n">
        <v>1.20871327254306</v>
      </c>
      <c r="AS56" s="0" t="n">
        <v>1.20871327254306</v>
      </c>
      <c r="AT56" s="0" t="n">
        <v>1.20871327254306</v>
      </c>
      <c r="AU56" s="0" t="n">
        <v>2.125</v>
      </c>
      <c r="AV56" s="0" t="n">
        <v>2.125</v>
      </c>
      <c r="AW56" s="0" t="n">
        <v>2.125</v>
      </c>
      <c r="AX56" s="0" t="n">
        <v>2.125</v>
      </c>
      <c r="AY56" s="0" t="n">
        <v>2.125</v>
      </c>
      <c r="AZ56" s="0" t="n">
        <v>2.125</v>
      </c>
      <c r="BA56" s="0" t="n">
        <v>2.125</v>
      </c>
      <c r="BB56" s="0" t="n">
        <v>2.125</v>
      </c>
      <c r="BC56" s="0" t="n">
        <v>2.125</v>
      </c>
      <c r="BD56" s="0" t="n">
        <v>2.125</v>
      </c>
      <c r="BE56" s="0" t="n">
        <v>2.125</v>
      </c>
      <c r="BF56" s="0" t="n">
        <v>2.125</v>
      </c>
      <c r="BG56" s="0" t="n">
        <v>0.775107184617383</v>
      </c>
      <c r="BH56" s="0" t="n">
        <v>0.775107184617383</v>
      </c>
      <c r="BI56" s="0" t="n">
        <v>0.775107184617383</v>
      </c>
      <c r="BJ56" s="0" t="n">
        <v>0.775107184617383</v>
      </c>
      <c r="BK56" s="0" t="n">
        <v>0.775107184617383</v>
      </c>
    </row>
    <row r="57" customFormat="false" ht="12.8" hidden="false" customHeight="false" outlineLevel="0" collapsed="false">
      <c r="A57" s="21" t="n">
        <f aca="false">A56+1/24</f>
        <v>43894.2916670831</v>
      </c>
      <c r="B57" s="0" t="n">
        <v>0.955870252479321</v>
      </c>
      <c r="C57" s="0" t="n">
        <v>0.955870252479321</v>
      </c>
      <c r="D57" s="0" t="n">
        <v>0.955870252479321</v>
      </c>
      <c r="E57" s="0" t="n">
        <v>0.955870252479321</v>
      </c>
      <c r="F57" s="0" t="n">
        <v>0.955870252479321</v>
      </c>
      <c r="G57" s="0" t="n">
        <v>0.955870252479321</v>
      </c>
      <c r="H57" s="0" t="n">
        <v>0.955870252479321</v>
      </c>
      <c r="I57" s="0" t="n">
        <v>0.955870252479321</v>
      </c>
      <c r="J57" s="0" t="n">
        <v>0.955870252479321</v>
      </c>
      <c r="K57" s="0" t="n">
        <v>0.955870252479321</v>
      </c>
      <c r="L57" s="0" t="n">
        <v>0.955870252479321</v>
      </c>
      <c r="M57" s="0" t="n">
        <v>0.955870252479321</v>
      </c>
      <c r="N57" s="0" t="n">
        <v>0.955870252479321</v>
      </c>
      <c r="O57" s="0" t="n">
        <v>0.955870252479321</v>
      </c>
      <c r="P57" s="0" t="n">
        <v>0.955870252479321</v>
      </c>
      <c r="Q57" s="0" t="n">
        <v>0.955870252479321</v>
      </c>
      <c r="R57" s="0" t="n">
        <v>0.955870252479321</v>
      </c>
      <c r="S57" s="0" t="n">
        <v>0.955870252479321</v>
      </c>
      <c r="T57" s="0" t="n">
        <v>0.955870252479321</v>
      </c>
      <c r="U57" s="0" t="n">
        <v>0.955870252479321</v>
      </c>
      <c r="V57" s="0" t="n">
        <v>1.19047619047619</v>
      </c>
      <c r="W57" s="0" t="n">
        <v>1.19047619047619</v>
      </c>
      <c r="X57" s="0" t="n">
        <v>1.19047619047619</v>
      </c>
      <c r="Y57" s="0" t="n">
        <v>1.19047619047619</v>
      </c>
      <c r="Z57" s="0" t="n">
        <v>1.19047619047619</v>
      </c>
      <c r="AA57" s="0" t="n">
        <v>1.19047619047619</v>
      </c>
      <c r="AB57" s="0" t="n">
        <v>1.19047619047619</v>
      </c>
      <c r="AC57" s="0" t="n">
        <v>1.19047619047619</v>
      </c>
      <c r="AD57" s="0" t="n">
        <v>1.19047619047619</v>
      </c>
      <c r="AE57" s="0" t="n">
        <v>1.19047619047619</v>
      </c>
      <c r="AF57" s="0" t="n">
        <v>1.19047619047619</v>
      </c>
      <c r="AG57" s="0" t="n">
        <v>1.19047619047619</v>
      </c>
      <c r="AH57" s="0" t="n">
        <v>1.19047619047619</v>
      </c>
      <c r="AI57" s="0" t="n">
        <v>1.19047619047619</v>
      </c>
      <c r="AJ57" s="0" t="n">
        <v>1.19047619047619</v>
      </c>
      <c r="AK57" s="0" t="n">
        <v>1.19047619047619</v>
      </c>
      <c r="AL57" s="0" t="n">
        <v>1.19047619047619</v>
      </c>
      <c r="AM57" s="0" t="n">
        <v>1.19047619047619</v>
      </c>
      <c r="AN57" s="0" t="n">
        <v>1.19047619047619</v>
      </c>
      <c r="AO57" s="0" t="n">
        <v>1.19047619047619</v>
      </c>
      <c r="AP57" s="0" t="n">
        <v>1.19047619047619</v>
      </c>
      <c r="AQ57" s="0" t="n">
        <v>1.19047619047619</v>
      </c>
      <c r="AR57" s="0" t="n">
        <v>1.19047619047619</v>
      </c>
      <c r="AS57" s="0" t="n">
        <v>1.19047619047619</v>
      </c>
      <c r="AT57" s="0" t="n">
        <v>1.19047619047619</v>
      </c>
      <c r="AU57" s="0" t="n">
        <v>1.875</v>
      </c>
      <c r="AV57" s="0" t="n">
        <v>1.875</v>
      </c>
      <c r="AW57" s="0" t="n">
        <v>1.875</v>
      </c>
      <c r="AX57" s="0" t="n">
        <v>1.875</v>
      </c>
      <c r="AY57" s="0" t="n">
        <v>1.875</v>
      </c>
      <c r="AZ57" s="0" t="n">
        <v>1.875</v>
      </c>
      <c r="BA57" s="0" t="n">
        <v>1.875</v>
      </c>
      <c r="BB57" s="0" t="n">
        <v>1.875</v>
      </c>
      <c r="BC57" s="0" t="n">
        <v>1.875</v>
      </c>
      <c r="BD57" s="0" t="n">
        <v>1.875</v>
      </c>
      <c r="BE57" s="0" t="n">
        <v>1.875</v>
      </c>
      <c r="BF57" s="0" t="n">
        <v>1.875</v>
      </c>
      <c r="BG57" s="0" t="n">
        <v>0.955870252479321</v>
      </c>
      <c r="BH57" s="0" t="n">
        <v>0.955870252479321</v>
      </c>
      <c r="BI57" s="0" t="n">
        <v>0.955870252479321</v>
      </c>
      <c r="BJ57" s="0" t="n">
        <v>0.955870252479321</v>
      </c>
      <c r="BK57" s="0" t="n">
        <v>0.955870252479321</v>
      </c>
    </row>
    <row r="58" customFormat="false" ht="12.8" hidden="false" customHeight="false" outlineLevel="0" collapsed="false">
      <c r="A58" s="21" t="n">
        <f aca="false">A57+1/24</f>
        <v>43894.3333337498</v>
      </c>
      <c r="B58" s="0" t="n">
        <v>0.888614611753497</v>
      </c>
      <c r="C58" s="0" t="n">
        <v>0.888614611753497</v>
      </c>
      <c r="D58" s="0" t="n">
        <v>0.888614611753497</v>
      </c>
      <c r="E58" s="0" t="n">
        <v>0.888614611753497</v>
      </c>
      <c r="F58" s="0" t="n">
        <v>0.888614611753497</v>
      </c>
      <c r="G58" s="0" t="n">
        <v>0.888614611753497</v>
      </c>
      <c r="H58" s="0" t="n">
        <v>0.888614611753497</v>
      </c>
      <c r="I58" s="0" t="n">
        <v>0.888614611753497</v>
      </c>
      <c r="J58" s="0" t="n">
        <v>0.888614611753497</v>
      </c>
      <c r="K58" s="0" t="n">
        <v>0.888614611753497</v>
      </c>
      <c r="L58" s="0" t="n">
        <v>0.888614611753497</v>
      </c>
      <c r="M58" s="0" t="n">
        <v>0.888614611753497</v>
      </c>
      <c r="N58" s="0" t="n">
        <v>0.888614611753497</v>
      </c>
      <c r="O58" s="0" t="n">
        <v>0.888614611753497</v>
      </c>
      <c r="P58" s="0" t="n">
        <v>0.888614611753497</v>
      </c>
      <c r="Q58" s="0" t="n">
        <v>0.888614611753497</v>
      </c>
      <c r="R58" s="0" t="n">
        <v>0.888614611753497</v>
      </c>
      <c r="S58" s="0" t="n">
        <v>0.888614611753497</v>
      </c>
      <c r="T58" s="0" t="n">
        <v>0.888614611753497</v>
      </c>
      <c r="U58" s="0" t="n">
        <v>0.888614611753497</v>
      </c>
      <c r="V58" s="0" t="n">
        <v>1.27963525835866</v>
      </c>
      <c r="W58" s="0" t="n">
        <v>1.27963525835866</v>
      </c>
      <c r="X58" s="0" t="n">
        <v>1.27963525835866</v>
      </c>
      <c r="Y58" s="0" t="n">
        <v>1.27963525835866</v>
      </c>
      <c r="Z58" s="0" t="n">
        <v>1.27963525835866</v>
      </c>
      <c r="AA58" s="0" t="n">
        <v>1.27963525835866</v>
      </c>
      <c r="AB58" s="0" t="n">
        <v>1.27963525835866</v>
      </c>
      <c r="AC58" s="0" t="n">
        <v>1.27963525835866</v>
      </c>
      <c r="AD58" s="0" t="n">
        <v>1.27963525835866</v>
      </c>
      <c r="AE58" s="0" t="n">
        <v>1.27963525835866</v>
      </c>
      <c r="AF58" s="0" t="n">
        <v>1.27963525835866</v>
      </c>
      <c r="AG58" s="0" t="n">
        <v>1.27963525835866</v>
      </c>
      <c r="AH58" s="0" t="n">
        <v>1.27963525835866</v>
      </c>
      <c r="AI58" s="0" t="n">
        <v>1.27963525835866</v>
      </c>
      <c r="AJ58" s="0" t="n">
        <v>1.27963525835866</v>
      </c>
      <c r="AK58" s="0" t="n">
        <v>1.27963525835866</v>
      </c>
      <c r="AL58" s="0" t="n">
        <v>1.27963525835866</v>
      </c>
      <c r="AM58" s="0" t="n">
        <v>1.27963525835866</v>
      </c>
      <c r="AN58" s="0" t="n">
        <v>1.27963525835866</v>
      </c>
      <c r="AO58" s="0" t="n">
        <v>1.27963525835866</v>
      </c>
      <c r="AP58" s="0" t="n">
        <v>1.27963525835866</v>
      </c>
      <c r="AQ58" s="0" t="n">
        <v>1.27963525835866</v>
      </c>
      <c r="AR58" s="0" t="n">
        <v>1.27963525835866</v>
      </c>
      <c r="AS58" s="0" t="n">
        <v>1.27963525835866</v>
      </c>
      <c r="AT58" s="0" t="n">
        <v>1.27963525835866</v>
      </c>
      <c r="AU58" s="0" t="n">
        <v>0.75</v>
      </c>
      <c r="AV58" s="0" t="n">
        <v>0.75</v>
      </c>
      <c r="AW58" s="0" t="n">
        <v>0.75</v>
      </c>
      <c r="AX58" s="0" t="n">
        <v>0.75</v>
      </c>
      <c r="AY58" s="0" t="n">
        <v>0.75</v>
      </c>
      <c r="AZ58" s="0" t="n">
        <v>0.75</v>
      </c>
      <c r="BA58" s="0" t="n">
        <v>0.75</v>
      </c>
      <c r="BB58" s="0" t="n">
        <v>0.75</v>
      </c>
      <c r="BC58" s="0" t="n">
        <v>0.75</v>
      </c>
      <c r="BD58" s="0" t="n">
        <v>0.75</v>
      </c>
      <c r="BE58" s="0" t="n">
        <v>0.75</v>
      </c>
      <c r="BF58" s="0" t="n">
        <v>0.75</v>
      </c>
      <c r="BG58" s="0" t="n">
        <v>0.888614611753497</v>
      </c>
      <c r="BH58" s="0" t="n">
        <v>0.888614611753497</v>
      </c>
      <c r="BI58" s="0" t="n">
        <v>0.888614611753497</v>
      </c>
      <c r="BJ58" s="0" t="n">
        <v>0.888614611753497</v>
      </c>
      <c r="BK58" s="0" t="n">
        <v>0.888614611753497</v>
      </c>
    </row>
    <row r="59" customFormat="false" ht="12.8" hidden="false" customHeight="false" outlineLevel="0" collapsed="false">
      <c r="A59" s="21" t="n">
        <f aca="false">A58+1/24</f>
        <v>43894.3750004165</v>
      </c>
      <c r="B59" s="0" t="n">
        <v>0.896539777402451</v>
      </c>
      <c r="C59" s="0" t="n">
        <v>0.896539777402451</v>
      </c>
      <c r="D59" s="0" t="n">
        <v>0.896539777402451</v>
      </c>
      <c r="E59" s="0" t="n">
        <v>0.896539777402451</v>
      </c>
      <c r="F59" s="0" t="n">
        <v>0.896539777402451</v>
      </c>
      <c r="G59" s="0" t="n">
        <v>0.896539777402451</v>
      </c>
      <c r="H59" s="0" t="n">
        <v>0.896539777402451</v>
      </c>
      <c r="I59" s="0" t="n">
        <v>0.896539777402451</v>
      </c>
      <c r="J59" s="0" t="n">
        <v>0.896539777402451</v>
      </c>
      <c r="K59" s="0" t="n">
        <v>0.896539777402451</v>
      </c>
      <c r="L59" s="0" t="n">
        <v>0.896539777402451</v>
      </c>
      <c r="M59" s="0" t="n">
        <v>0.896539777402451</v>
      </c>
      <c r="N59" s="0" t="n">
        <v>0.896539777402451</v>
      </c>
      <c r="O59" s="0" t="n">
        <v>0.896539777402451</v>
      </c>
      <c r="P59" s="0" t="n">
        <v>0.896539777402451</v>
      </c>
      <c r="Q59" s="0" t="n">
        <v>0.896539777402451</v>
      </c>
      <c r="R59" s="0" t="n">
        <v>0.896539777402451</v>
      </c>
      <c r="S59" s="0" t="n">
        <v>0.896539777402451</v>
      </c>
      <c r="T59" s="0" t="n">
        <v>0.896539777402451</v>
      </c>
      <c r="U59" s="0" t="n">
        <v>0.896539777402451</v>
      </c>
      <c r="V59" s="0" t="n">
        <v>1.39311043566363</v>
      </c>
      <c r="W59" s="0" t="n">
        <v>1.39311043566363</v>
      </c>
      <c r="X59" s="0" t="n">
        <v>1.39311043566363</v>
      </c>
      <c r="Y59" s="0" t="n">
        <v>1.39311043566363</v>
      </c>
      <c r="Z59" s="0" t="n">
        <v>1.39311043566363</v>
      </c>
      <c r="AA59" s="0" t="n">
        <v>1.39311043566363</v>
      </c>
      <c r="AB59" s="0" t="n">
        <v>1.39311043566363</v>
      </c>
      <c r="AC59" s="0" t="n">
        <v>1.39311043566363</v>
      </c>
      <c r="AD59" s="0" t="n">
        <v>1.39311043566363</v>
      </c>
      <c r="AE59" s="0" t="n">
        <v>1.39311043566363</v>
      </c>
      <c r="AF59" s="0" t="n">
        <v>1.39311043566363</v>
      </c>
      <c r="AG59" s="0" t="n">
        <v>1.39311043566363</v>
      </c>
      <c r="AH59" s="0" t="n">
        <v>1.39311043566363</v>
      </c>
      <c r="AI59" s="0" t="n">
        <v>1.39311043566363</v>
      </c>
      <c r="AJ59" s="0" t="n">
        <v>1.39311043566363</v>
      </c>
      <c r="AK59" s="0" t="n">
        <v>1.39311043566363</v>
      </c>
      <c r="AL59" s="0" t="n">
        <v>1.39311043566363</v>
      </c>
      <c r="AM59" s="0" t="n">
        <v>1.39311043566363</v>
      </c>
      <c r="AN59" s="0" t="n">
        <v>1.39311043566363</v>
      </c>
      <c r="AO59" s="0" t="n">
        <v>1.39311043566363</v>
      </c>
      <c r="AP59" s="0" t="n">
        <v>1.39311043566363</v>
      </c>
      <c r="AQ59" s="0" t="n">
        <v>1.39311043566363</v>
      </c>
      <c r="AR59" s="0" t="n">
        <v>1.39311043566363</v>
      </c>
      <c r="AS59" s="0" t="n">
        <v>1.39311043566363</v>
      </c>
      <c r="AT59" s="0" t="n">
        <v>1.39311043566363</v>
      </c>
      <c r="AU59" s="0" t="n">
        <v>0.5</v>
      </c>
      <c r="AV59" s="0" t="n">
        <v>0.5</v>
      </c>
      <c r="AW59" s="0" t="n">
        <v>0.5</v>
      </c>
      <c r="AX59" s="0" t="n">
        <v>0.5</v>
      </c>
      <c r="AY59" s="0" t="n">
        <v>0.5</v>
      </c>
      <c r="AZ59" s="0" t="n">
        <v>0.5</v>
      </c>
      <c r="BA59" s="0" t="n">
        <v>0.5</v>
      </c>
      <c r="BB59" s="0" t="n">
        <v>0.5</v>
      </c>
      <c r="BC59" s="0" t="n">
        <v>0.5</v>
      </c>
      <c r="BD59" s="0" t="n">
        <v>0.5</v>
      </c>
      <c r="BE59" s="0" t="n">
        <v>0.5</v>
      </c>
      <c r="BF59" s="0" t="n">
        <v>0.5</v>
      </c>
      <c r="BG59" s="0" t="n">
        <v>0.896539777402451</v>
      </c>
      <c r="BH59" s="0" t="n">
        <v>0.896539777402451</v>
      </c>
      <c r="BI59" s="0" t="n">
        <v>0.896539777402451</v>
      </c>
      <c r="BJ59" s="0" t="n">
        <v>0.896539777402451</v>
      </c>
      <c r="BK59" s="0" t="n">
        <v>0.896539777402451</v>
      </c>
    </row>
    <row r="60" customFormat="false" ht="12.8" hidden="false" customHeight="false" outlineLevel="0" collapsed="false">
      <c r="A60" s="21" t="n">
        <f aca="false">A59+1/24</f>
        <v>43894.4166670831</v>
      </c>
      <c r="B60" s="0" t="n">
        <v>0.786583517387727</v>
      </c>
      <c r="C60" s="0" t="n">
        <v>0.786583517387727</v>
      </c>
      <c r="D60" s="0" t="n">
        <v>0.786583517387727</v>
      </c>
      <c r="E60" s="0" t="n">
        <v>0.786583517387727</v>
      </c>
      <c r="F60" s="0" t="n">
        <v>0.786583517387727</v>
      </c>
      <c r="G60" s="0" t="n">
        <v>0.786583517387727</v>
      </c>
      <c r="H60" s="0" t="n">
        <v>0.786583517387727</v>
      </c>
      <c r="I60" s="0" t="n">
        <v>0.786583517387727</v>
      </c>
      <c r="J60" s="0" t="n">
        <v>0.786583517387727</v>
      </c>
      <c r="K60" s="0" t="n">
        <v>0.786583517387727</v>
      </c>
      <c r="L60" s="0" t="n">
        <v>0.786583517387727</v>
      </c>
      <c r="M60" s="0" t="n">
        <v>0.786583517387727</v>
      </c>
      <c r="N60" s="0" t="n">
        <v>0.786583517387727</v>
      </c>
      <c r="O60" s="0" t="n">
        <v>0.786583517387727</v>
      </c>
      <c r="P60" s="0" t="n">
        <v>0.786583517387727</v>
      </c>
      <c r="Q60" s="0" t="n">
        <v>0.786583517387727</v>
      </c>
      <c r="R60" s="0" t="n">
        <v>0.786583517387727</v>
      </c>
      <c r="S60" s="0" t="n">
        <v>0.786583517387727</v>
      </c>
      <c r="T60" s="0" t="n">
        <v>0.786583517387727</v>
      </c>
      <c r="U60" s="0" t="n">
        <v>0.786583517387727</v>
      </c>
      <c r="V60" s="0" t="n">
        <v>1.34143870314083</v>
      </c>
      <c r="W60" s="0" t="n">
        <v>1.34143870314083</v>
      </c>
      <c r="X60" s="0" t="n">
        <v>1.34143870314083</v>
      </c>
      <c r="Y60" s="0" t="n">
        <v>1.34143870314083</v>
      </c>
      <c r="Z60" s="0" t="n">
        <v>1.34143870314083</v>
      </c>
      <c r="AA60" s="0" t="n">
        <v>1.34143870314083</v>
      </c>
      <c r="AB60" s="0" t="n">
        <v>1.34143870314083</v>
      </c>
      <c r="AC60" s="0" t="n">
        <v>1.34143870314083</v>
      </c>
      <c r="AD60" s="0" t="n">
        <v>1.34143870314083</v>
      </c>
      <c r="AE60" s="0" t="n">
        <v>1.34143870314083</v>
      </c>
      <c r="AF60" s="0" t="n">
        <v>1.34143870314083</v>
      </c>
      <c r="AG60" s="0" t="n">
        <v>1.34143870314083</v>
      </c>
      <c r="AH60" s="0" t="n">
        <v>1.34143870314083</v>
      </c>
      <c r="AI60" s="0" t="n">
        <v>1.34143870314083</v>
      </c>
      <c r="AJ60" s="0" t="n">
        <v>1.34143870314083</v>
      </c>
      <c r="AK60" s="0" t="n">
        <v>1.34143870314083</v>
      </c>
      <c r="AL60" s="0" t="n">
        <v>1.34143870314083</v>
      </c>
      <c r="AM60" s="0" t="n">
        <v>1.34143870314083</v>
      </c>
      <c r="AN60" s="0" t="n">
        <v>1.34143870314083</v>
      </c>
      <c r="AO60" s="0" t="n">
        <v>1.34143870314083</v>
      </c>
      <c r="AP60" s="0" t="n">
        <v>1.34143870314083</v>
      </c>
      <c r="AQ60" s="0" t="n">
        <v>1.34143870314083</v>
      </c>
      <c r="AR60" s="0" t="n">
        <v>1.34143870314083</v>
      </c>
      <c r="AS60" s="0" t="n">
        <v>1.34143870314083</v>
      </c>
      <c r="AT60" s="0" t="n">
        <v>1.34143870314083</v>
      </c>
      <c r="AU60" s="0" t="n">
        <v>0.25</v>
      </c>
      <c r="AV60" s="0" t="n">
        <v>0.25</v>
      </c>
      <c r="AW60" s="0" t="n">
        <v>0.25</v>
      </c>
      <c r="AX60" s="0" t="n">
        <v>0.25</v>
      </c>
      <c r="AY60" s="0" t="n">
        <v>0.25</v>
      </c>
      <c r="AZ60" s="0" t="n">
        <v>0.25</v>
      </c>
      <c r="BA60" s="0" t="n">
        <v>0.25</v>
      </c>
      <c r="BB60" s="0" t="n">
        <v>0.25</v>
      </c>
      <c r="BC60" s="0" t="n">
        <v>0.25</v>
      </c>
      <c r="BD60" s="0" t="n">
        <v>0.25</v>
      </c>
      <c r="BE60" s="0" t="n">
        <v>0.25</v>
      </c>
      <c r="BF60" s="0" t="n">
        <v>0.25</v>
      </c>
      <c r="BG60" s="0" t="n">
        <v>0.786583517387727</v>
      </c>
      <c r="BH60" s="0" t="n">
        <v>0.786583517387727</v>
      </c>
      <c r="BI60" s="0" t="n">
        <v>0.786583517387727</v>
      </c>
      <c r="BJ60" s="0" t="n">
        <v>0.786583517387727</v>
      </c>
      <c r="BK60" s="0" t="n">
        <v>0.786583517387727</v>
      </c>
    </row>
    <row r="61" customFormat="false" ht="12.8" hidden="false" customHeight="false" outlineLevel="0" collapsed="false">
      <c r="A61" s="21" t="n">
        <f aca="false">A60+1/24</f>
        <v>43894.4583337498</v>
      </c>
      <c r="B61" s="0" t="n">
        <v>0.795677969771772</v>
      </c>
      <c r="C61" s="0" t="n">
        <v>0.795677969771772</v>
      </c>
      <c r="D61" s="0" t="n">
        <v>0.795677969771772</v>
      </c>
      <c r="E61" s="0" t="n">
        <v>0.795677969771772</v>
      </c>
      <c r="F61" s="0" t="n">
        <v>0.795677969771772</v>
      </c>
      <c r="G61" s="0" t="n">
        <v>0.795677969771772</v>
      </c>
      <c r="H61" s="0" t="n">
        <v>0.795677969771772</v>
      </c>
      <c r="I61" s="0" t="n">
        <v>0.795677969771772</v>
      </c>
      <c r="J61" s="0" t="n">
        <v>0.795677969771772</v>
      </c>
      <c r="K61" s="0" t="n">
        <v>0.795677969771772</v>
      </c>
      <c r="L61" s="0" t="n">
        <v>0.795677969771772</v>
      </c>
      <c r="M61" s="0" t="n">
        <v>0.795677969771772</v>
      </c>
      <c r="N61" s="0" t="n">
        <v>0.795677969771772</v>
      </c>
      <c r="O61" s="0" t="n">
        <v>0.795677969771772</v>
      </c>
      <c r="P61" s="0" t="n">
        <v>0.795677969771772</v>
      </c>
      <c r="Q61" s="0" t="n">
        <v>0.795677969771772</v>
      </c>
      <c r="R61" s="0" t="n">
        <v>0.795677969771772</v>
      </c>
      <c r="S61" s="0" t="n">
        <v>0.795677969771772</v>
      </c>
      <c r="T61" s="0" t="n">
        <v>0.795677969771772</v>
      </c>
      <c r="U61" s="0" t="n">
        <v>0.795677969771772</v>
      </c>
      <c r="V61" s="0" t="n">
        <v>1.30496453900709</v>
      </c>
      <c r="W61" s="0" t="n">
        <v>1.30496453900709</v>
      </c>
      <c r="X61" s="0" t="n">
        <v>1.30496453900709</v>
      </c>
      <c r="Y61" s="0" t="n">
        <v>1.30496453900709</v>
      </c>
      <c r="Z61" s="0" t="n">
        <v>1.30496453900709</v>
      </c>
      <c r="AA61" s="0" t="n">
        <v>1.30496453900709</v>
      </c>
      <c r="AB61" s="0" t="n">
        <v>1.30496453900709</v>
      </c>
      <c r="AC61" s="0" t="n">
        <v>1.30496453900709</v>
      </c>
      <c r="AD61" s="0" t="n">
        <v>1.30496453900709</v>
      </c>
      <c r="AE61" s="0" t="n">
        <v>1.30496453900709</v>
      </c>
      <c r="AF61" s="0" t="n">
        <v>1.30496453900709</v>
      </c>
      <c r="AG61" s="0" t="n">
        <v>1.30496453900709</v>
      </c>
      <c r="AH61" s="0" t="n">
        <v>1.30496453900709</v>
      </c>
      <c r="AI61" s="0" t="n">
        <v>1.30496453900709</v>
      </c>
      <c r="AJ61" s="0" t="n">
        <v>1.30496453900709</v>
      </c>
      <c r="AK61" s="0" t="n">
        <v>1.30496453900709</v>
      </c>
      <c r="AL61" s="0" t="n">
        <v>1.30496453900709</v>
      </c>
      <c r="AM61" s="0" t="n">
        <v>1.30496453900709</v>
      </c>
      <c r="AN61" s="0" t="n">
        <v>1.30496453900709</v>
      </c>
      <c r="AO61" s="0" t="n">
        <v>1.30496453900709</v>
      </c>
      <c r="AP61" s="0" t="n">
        <v>1.30496453900709</v>
      </c>
      <c r="AQ61" s="0" t="n">
        <v>1.30496453900709</v>
      </c>
      <c r="AR61" s="0" t="n">
        <v>1.30496453900709</v>
      </c>
      <c r="AS61" s="0" t="n">
        <v>1.30496453900709</v>
      </c>
      <c r="AT61" s="0" t="n">
        <v>1.30496453900709</v>
      </c>
      <c r="AU61" s="0" t="n">
        <v>0.375</v>
      </c>
      <c r="AV61" s="0" t="n">
        <v>0.375</v>
      </c>
      <c r="AW61" s="0" t="n">
        <v>0.375</v>
      </c>
      <c r="AX61" s="0" t="n">
        <v>0.375</v>
      </c>
      <c r="AY61" s="0" t="n">
        <v>0.375</v>
      </c>
      <c r="AZ61" s="0" t="n">
        <v>0.375</v>
      </c>
      <c r="BA61" s="0" t="n">
        <v>0.375</v>
      </c>
      <c r="BB61" s="0" t="n">
        <v>0.375</v>
      </c>
      <c r="BC61" s="0" t="n">
        <v>0.375</v>
      </c>
      <c r="BD61" s="0" t="n">
        <v>0.375</v>
      </c>
      <c r="BE61" s="0" t="n">
        <v>0.375</v>
      </c>
      <c r="BF61" s="0" t="n">
        <v>0.375</v>
      </c>
      <c r="BG61" s="0" t="n">
        <v>0.795677969771772</v>
      </c>
      <c r="BH61" s="0" t="n">
        <v>0.795677969771772</v>
      </c>
      <c r="BI61" s="0" t="n">
        <v>0.795677969771772</v>
      </c>
      <c r="BJ61" s="0" t="n">
        <v>0.795677969771772</v>
      </c>
      <c r="BK61" s="0" t="n">
        <v>0.795677969771772</v>
      </c>
    </row>
    <row r="62" customFormat="false" ht="12.8" hidden="false" customHeight="false" outlineLevel="0" collapsed="false">
      <c r="A62" s="21" t="n">
        <f aca="false">A61+1/24</f>
        <v>43894.5000004165</v>
      </c>
      <c r="B62" s="0" t="n">
        <v>0.756485210688147</v>
      </c>
      <c r="C62" s="0" t="n">
        <v>0.756485210688147</v>
      </c>
      <c r="D62" s="0" t="n">
        <v>0.756485210688147</v>
      </c>
      <c r="E62" s="0" t="n">
        <v>0.756485210688147</v>
      </c>
      <c r="F62" s="0" t="n">
        <v>0.756485210688147</v>
      </c>
      <c r="G62" s="0" t="n">
        <v>0.756485210688147</v>
      </c>
      <c r="H62" s="0" t="n">
        <v>0.756485210688147</v>
      </c>
      <c r="I62" s="0" t="n">
        <v>0.756485210688147</v>
      </c>
      <c r="J62" s="0" t="n">
        <v>0.756485210688147</v>
      </c>
      <c r="K62" s="0" t="n">
        <v>0.756485210688147</v>
      </c>
      <c r="L62" s="0" t="n">
        <v>0.756485210688147</v>
      </c>
      <c r="M62" s="0" t="n">
        <v>0.756485210688147</v>
      </c>
      <c r="N62" s="0" t="n">
        <v>0.756485210688147</v>
      </c>
      <c r="O62" s="0" t="n">
        <v>0.756485210688147</v>
      </c>
      <c r="P62" s="0" t="n">
        <v>0.756485210688147</v>
      </c>
      <c r="Q62" s="0" t="n">
        <v>0.756485210688147</v>
      </c>
      <c r="R62" s="0" t="n">
        <v>0.756485210688147</v>
      </c>
      <c r="S62" s="0" t="n">
        <v>0.756485210688147</v>
      </c>
      <c r="T62" s="0" t="n">
        <v>0.756485210688147</v>
      </c>
      <c r="U62" s="0" t="n">
        <v>0.756485210688147</v>
      </c>
      <c r="V62" s="0" t="n">
        <v>1.34346504559271</v>
      </c>
      <c r="W62" s="0" t="n">
        <v>1.34346504559271</v>
      </c>
      <c r="X62" s="0" t="n">
        <v>1.34346504559271</v>
      </c>
      <c r="Y62" s="0" t="n">
        <v>1.34346504559271</v>
      </c>
      <c r="Z62" s="0" t="n">
        <v>1.34346504559271</v>
      </c>
      <c r="AA62" s="0" t="n">
        <v>1.34346504559271</v>
      </c>
      <c r="AB62" s="0" t="n">
        <v>1.34346504559271</v>
      </c>
      <c r="AC62" s="0" t="n">
        <v>1.34346504559271</v>
      </c>
      <c r="AD62" s="0" t="n">
        <v>1.34346504559271</v>
      </c>
      <c r="AE62" s="0" t="n">
        <v>1.34346504559271</v>
      </c>
      <c r="AF62" s="0" t="n">
        <v>1.34346504559271</v>
      </c>
      <c r="AG62" s="0" t="n">
        <v>1.34346504559271</v>
      </c>
      <c r="AH62" s="0" t="n">
        <v>1.34346504559271</v>
      </c>
      <c r="AI62" s="0" t="n">
        <v>1.34346504559271</v>
      </c>
      <c r="AJ62" s="0" t="n">
        <v>1.34346504559271</v>
      </c>
      <c r="AK62" s="0" t="n">
        <v>1.34346504559271</v>
      </c>
      <c r="AL62" s="0" t="n">
        <v>1.34346504559271</v>
      </c>
      <c r="AM62" s="0" t="n">
        <v>1.34346504559271</v>
      </c>
      <c r="AN62" s="0" t="n">
        <v>1.34346504559271</v>
      </c>
      <c r="AO62" s="0" t="n">
        <v>1.34346504559271</v>
      </c>
      <c r="AP62" s="0" t="n">
        <v>1.34346504559271</v>
      </c>
      <c r="AQ62" s="0" t="n">
        <v>1.34346504559271</v>
      </c>
      <c r="AR62" s="0" t="n">
        <v>1.34346504559271</v>
      </c>
      <c r="AS62" s="0" t="n">
        <v>1.34346504559271</v>
      </c>
      <c r="AT62" s="0" t="n">
        <v>1.34346504559271</v>
      </c>
      <c r="AU62" s="0" t="n">
        <v>0.875</v>
      </c>
      <c r="AV62" s="0" t="n">
        <v>0.875</v>
      </c>
      <c r="AW62" s="0" t="n">
        <v>0.875</v>
      </c>
      <c r="AX62" s="0" t="n">
        <v>0.875</v>
      </c>
      <c r="AY62" s="0" t="n">
        <v>0.875</v>
      </c>
      <c r="AZ62" s="0" t="n">
        <v>0.875</v>
      </c>
      <c r="BA62" s="0" t="n">
        <v>0.875</v>
      </c>
      <c r="BB62" s="0" t="n">
        <v>0.875</v>
      </c>
      <c r="BC62" s="0" t="n">
        <v>0.875</v>
      </c>
      <c r="BD62" s="0" t="n">
        <v>0.875</v>
      </c>
      <c r="BE62" s="0" t="n">
        <v>0.875</v>
      </c>
      <c r="BF62" s="0" t="n">
        <v>0.875</v>
      </c>
      <c r="BG62" s="0" t="n">
        <v>0.756485210688147</v>
      </c>
      <c r="BH62" s="0" t="n">
        <v>0.756485210688147</v>
      </c>
      <c r="BI62" s="0" t="n">
        <v>0.756485210688147</v>
      </c>
      <c r="BJ62" s="0" t="n">
        <v>0.756485210688147</v>
      </c>
      <c r="BK62" s="0" t="n">
        <v>0.756485210688147</v>
      </c>
    </row>
    <row r="63" customFormat="false" ht="12.8" hidden="false" customHeight="false" outlineLevel="0" collapsed="false">
      <c r="A63" s="21" t="n">
        <f aca="false">A62+1/24</f>
        <v>43894.5416670831</v>
      </c>
      <c r="B63" s="0" t="n">
        <v>0.77103633450262</v>
      </c>
      <c r="C63" s="0" t="n">
        <v>0.77103633450262</v>
      </c>
      <c r="D63" s="0" t="n">
        <v>0.77103633450262</v>
      </c>
      <c r="E63" s="0" t="n">
        <v>0.77103633450262</v>
      </c>
      <c r="F63" s="0" t="n">
        <v>0.77103633450262</v>
      </c>
      <c r="G63" s="0" t="n">
        <v>0.77103633450262</v>
      </c>
      <c r="H63" s="0" t="n">
        <v>0.77103633450262</v>
      </c>
      <c r="I63" s="0" t="n">
        <v>0.77103633450262</v>
      </c>
      <c r="J63" s="0" t="n">
        <v>0.77103633450262</v>
      </c>
      <c r="K63" s="0" t="n">
        <v>0.77103633450262</v>
      </c>
      <c r="L63" s="0" t="n">
        <v>0.77103633450262</v>
      </c>
      <c r="M63" s="0" t="n">
        <v>0.77103633450262</v>
      </c>
      <c r="N63" s="0" t="n">
        <v>0.77103633450262</v>
      </c>
      <c r="O63" s="0" t="n">
        <v>0.77103633450262</v>
      </c>
      <c r="P63" s="0" t="n">
        <v>0.77103633450262</v>
      </c>
      <c r="Q63" s="0" t="n">
        <v>0.77103633450262</v>
      </c>
      <c r="R63" s="0" t="n">
        <v>0.77103633450262</v>
      </c>
      <c r="S63" s="0" t="n">
        <v>0.77103633450262</v>
      </c>
      <c r="T63" s="0" t="n">
        <v>0.77103633450262</v>
      </c>
      <c r="U63" s="0" t="n">
        <v>0.77103633450262</v>
      </c>
      <c r="V63" s="0" t="n">
        <v>1.16312056737589</v>
      </c>
      <c r="W63" s="0" t="n">
        <v>1.16312056737589</v>
      </c>
      <c r="X63" s="0" t="n">
        <v>1.16312056737589</v>
      </c>
      <c r="Y63" s="0" t="n">
        <v>1.16312056737589</v>
      </c>
      <c r="Z63" s="0" t="n">
        <v>1.16312056737589</v>
      </c>
      <c r="AA63" s="0" t="n">
        <v>1.16312056737589</v>
      </c>
      <c r="AB63" s="0" t="n">
        <v>1.16312056737589</v>
      </c>
      <c r="AC63" s="0" t="n">
        <v>1.16312056737589</v>
      </c>
      <c r="AD63" s="0" t="n">
        <v>1.16312056737589</v>
      </c>
      <c r="AE63" s="0" t="n">
        <v>1.16312056737589</v>
      </c>
      <c r="AF63" s="0" t="n">
        <v>1.16312056737589</v>
      </c>
      <c r="AG63" s="0" t="n">
        <v>1.16312056737589</v>
      </c>
      <c r="AH63" s="0" t="n">
        <v>1.16312056737589</v>
      </c>
      <c r="AI63" s="0" t="n">
        <v>1.16312056737589</v>
      </c>
      <c r="AJ63" s="0" t="n">
        <v>1.16312056737589</v>
      </c>
      <c r="AK63" s="0" t="n">
        <v>1.16312056737589</v>
      </c>
      <c r="AL63" s="0" t="n">
        <v>1.16312056737589</v>
      </c>
      <c r="AM63" s="0" t="n">
        <v>1.16312056737589</v>
      </c>
      <c r="AN63" s="0" t="n">
        <v>1.16312056737589</v>
      </c>
      <c r="AO63" s="0" t="n">
        <v>1.16312056737589</v>
      </c>
      <c r="AP63" s="0" t="n">
        <v>1.16312056737589</v>
      </c>
      <c r="AQ63" s="0" t="n">
        <v>1.16312056737589</v>
      </c>
      <c r="AR63" s="0" t="n">
        <v>1.16312056737589</v>
      </c>
      <c r="AS63" s="0" t="n">
        <v>1.16312056737589</v>
      </c>
      <c r="AT63" s="0" t="n">
        <v>1.16312056737589</v>
      </c>
      <c r="AU63" s="0" t="n">
        <v>0.5</v>
      </c>
      <c r="AV63" s="0" t="n">
        <v>0.5</v>
      </c>
      <c r="AW63" s="0" t="n">
        <v>0.5</v>
      </c>
      <c r="AX63" s="0" t="n">
        <v>0.5</v>
      </c>
      <c r="AY63" s="0" t="n">
        <v>0.5</v>
      </c>
      <c r="AZ63" s="0" t="n">
        <v>0.5</v>
      </c>
      <c r="BA63" s="0" t="n">
        <v>0.5</v>
      </c>
      <c r="BB63" s="0" t="n">
        <v>0.5</v>
      </c>
      <c r="BC63" s="0" t="n">
        <v>0.5</v>
      </c>
      <c r="BD63" s="0" t="n">
        <v>0.5</v>
      </c>
      <c r="BE63" s="0" t="n">
        <v>0.5</v>
      </c>
      <c r="BF63" s="0" t="n">
        <v>0.5</v>
      </c>
      <c r="BG63" s="0" t="n">
        <v>0.77103633450262</v>
      </c>
      <c r="BH63" s="0" t="n">
        <v>0.77103633450262</v>
      </c>
      <c r="BI63" s="0" t="n">
        <v>0.77103633450262</v>
      </c>
      <c r="BJ63" s="0" t="n">
        <v>0.77103633450262</v>
      </c>
      <c r="BK63" s="0" t="n">
        <v>0.77103633450262</v>
      </c>
    </row>
    <row r="64" customFormat="false" ht="12.8" hidden="false" customHeight="false" outlineLevel="0" collapsed="false">
      <c r="A64" s="21" t="n">
        <f aca="false">A63+1/24</f>
        <v>43894.5833337498</v>
      </c>
      <c r="B64" s="0" t="n">
        <v>0.757004893681521</v>
      </c>
      <c r="C64" s="0" t="n">
        <v>0.757004893681521</v>
      </c>
      <c r="D64" s="0" t="n">
        <v>0.757004893681521</v>
      </c>
      <c r="E64" s="0" t="n">
        <v>0.757004893681521</v>
      </c>
      <c r="F64" s="0" t="n">
        <v>0.757004893681521</v>
      </c>
      <c r="G64" s="0" t="n">
        <v>0.757004893681521</v>
      </c>
      <c r="H64" s="0" t="n">
        <v>0.757004893681521</v>
      </c>
      <c r="I64" s="0" t="n">
        <v>0.757004893681521</v>
      </c>
      <c r="J64" s="0" t="n">
        <v>0.757004893681521</v>
      </c>
      <c r="K64" s="0" t="n">
        <v>0.757004893681521</v>
      </c>
      <c r="L64" s="0" t="n">
        <v>0.757004893681521</v>
      </c>
      <c r="M64" s="0" t="n">
        <v>0.757004893681521</v>
      </c>
      <c r="N64" s="0" t="n">
        <v>0.757004893681521</v>
      </c>
      <c r="O64" s="0" t="n">
        <v>0.757004893681521</v>
      </c>
      <c r="P64" s="0" t="n">
        <v>0.757004893681521</v>
      </c>
      <c r="Q64" s="0" t="n">
        <v>0.757004893681521</v>
      </c>
      <c r="R64" s="0" t="n">
        <v>0.757004893681521</v>
      </c>
      <c r="S64" s="0" t="n">
        <v>0.757004893681521</v>
      </c>
      <c r="T64" s="0" t="n">
        <v>0.757004893681521</v>
      </c>
      <c r="U64" s="0" t="n">
        <v>0.757004893681521</v>
      </c>
      <c r="V64" s="0" t="n">
        <v>1.05369807497467</v>
      </c>
      <c r="W64" s="0" t="n">
        <v>1.05369807497467</v>
      </c>
      <c r="X64" s="0" t="n">
        <v>1.05369807497467</v>
      </c>
      <c r="Y64" s="0" t="n">
        <v>1.05369807497467</v>
      </c>
      <c r="Z64" s="0" t="n">
        <v>1.05369807497467</v>
      </c>
      <c r="AA64" s="0" t="n">
        <v>1.05369807497467</v>
      </c>
      <c r="AB64" s="0" t="n">
        <v>1.05369807497467</v>
      </c>
      <c r="AC64" s="0" t="n">
        <v>1.05369807497467</v>
      </c>
      <c r="AD64" s="0" t="n">
        <v>1.05369807497467</v>
      </c>
      <c r="AE64" s="0" t="n">
        <v>1.05369807497467</v>
      </c>
      <c r="AF64" s="0" t="n">
        <v>1.05369807497467</v>
      </c>
      <c r="AG64" s="0" t="n">
        <v>1.05369807497467</v>
      </c>
      <c r="AH64" s="0" t="n">
        <v>1.05369807497467</v>
      </c>
      <c r="AI64" s="0" t="n">
        <v>1.05369807497467</v>
      </c>
      <c r="AJ64" s="0" t="n">
        <v>1.05369807497467</v>
      </c>
      <c r="AK64" s="0" t="n">
        <v>1.05369807497467</v>
      </c>
      <c r="AL64" s="0" t="n">
        <v>1.05369807497467</v>
      </c>
      <c r="AM64" s="0" t="n">
        <v>1.05369807497467</v>
      </c>
      <c r="AN64" s="0" t="n">
        <v>1.05369807497467</v>
      </c>
      <c r="AO64" s="0" t="n">
        <v>1.05369807497467</v>
      </c>
      <c r="AP64" s="0" t="n">
        <v>1.05369807497467</v>
      </c>
      <c r="AQ64" s="0" t="n">
        <v>1.05369807497467</v>
      </c>
      <c r="AR64" s="0" t="n">
        <v>1.05369807497467</v>
      </c>
      <c r="AS64" s="0" t="n">
        <v>1.05369807497467</v>
      </c>
      <c r="AT64" s="0" t="n">
        <v>1.05369807497467</v>
      </c>
      <c r="AU64" s="0" t="n">
        <v>0.5</v>
      </c>
      <c r="AV64" s="0" t="n">
        <v>0.5</v>
      </c>
      <c r="AW64" s="0" t="n">
        <v>0.5</v>
      </c>
      <c r="AX64" s="0" t="n">
        <v>0.5</v>
      </c>
      <c r="AY64" s="0" t="n">
        <v>0.5</v>
      </c>
      <c r="AZ64" s="0" t="n">
        <v>0.5</v>
      </c>
      <c r="BA64" s="0" t="n">
        <v>0.5</v>
      </c>
      <c r="BB64" s="0" t="n">
        <v>0.5</v>
      </c>
      <c r="BC64" s="0" t="n">
        <v>0.5</v>
      </c>
      <c r="BD64" s="0" t="n">
        <v>0.5</v>
      </c>
      <c r="BE64" s="0" t="n">
        <v>0.5</v>
      </c>
      <c r="BF64" s="0" t="n">
        <v>0.5</v>
      </c>
      <c r="BG64" s="0" t="n">
        <v>0.757004893681521</v>
      </c>
      <c r="BH64" s="0" t="n">
        <v>0.757004893681521</v>
      </c>
      <c r="BI64" s="0" t="n">
        <v>0.757004893681521</v>
      </c>
      <c r="BJ64" s="0" t="n">
        <v>0.757004893681521</v>
      </c>
      <c r="BK64" s="0" t="n">
        <v>0.757004893681521</v>
      </c>
    </row>
    <row r="65" customFormat="false" ht="12.8" hidden="false" customHeight="false" outlineLevel="0" collapsed="false">
      <c r="A65" s="21" t="n">
        <f aca="false">A64+1/24</f>
        <v>43894.6250004165</v>
      </c>
      <c r="B65" s="0" t="n">
        <v>0.810618855831276</v>
      </c>
      <c r="C65" s="0" t="n">
        <v>0.810618855831276</v>
      </c>
      <c r="D65" s="0" t="n">
        <v>0.810618855831276</v>
      </c>
      <c r="E65" s="0" t="n">
        <v>0.810618855831276</v>
      </c>
      <c r="F65" s="0" t="n">
        <v>0.810618855831276</v>
      </c>
      <c r="G65" s="0" t="n">
        <v>0.810618855831276</v>
      </c>
      <c r="H65" s="0" t="n">
        <v>0.810618855831276</v>
      </c>
      <c r="I65" s="0" t="n">
        <v>0.810618855831276</v>
      </c>
      <c r="J65" s="0" t="n">
        <v>0.810618855831276</v>
      </c>
      <c r="K65" s="0" t="n">
        <v>0.810618855831276</v>
      </c>
      <c r="L65" s="0" t="n">
        <v>0.810618855831276</v>
      </c>
      <c r="M65" s="0" t="n">
        <v>0.810618855831276</v>
      </c>
      <c r="N65" s="0" t="n">
        <v>0.810618855831276</v>
      </c>
      <c r="O65" s="0" t="n">
        <v>0.810618855831276</v>
      </c>
      <c r="P65" s="0" t="n">
        <v>0.810618855831276</v>
      </c>
      <c r="Q65" s="0" t="n">
        <v>0.810618855831276</v>
      </c>
      <c r="R65" s="0" t="n">
        <v>0.810618855831276</v>
      </c>
      <c r="S65" s="0" t="n">
        <v>0.810618855831276</v>
      </c>
      <c r="T65" s="0" t="n">
        <v>0.810618855831276</v>
      </c>
      <c r="U65" s="0" t="n">
        <v>0.810618855831276</v>
      </c>
      <c r="V65" s="0" t="n">
        <v>1.26241134751773</v>
      </c>
      <c r="W65" s="0" t="n">
        <v>1.26241134751773</v>
      </c>
      <c r="X65" s="0" t="n">
        <v>1.26241134751773</v>
      </c>
      <c r="Y65" s="0" t="n">
        <v>1.26241134751773</v>
      </c>
      <c r="Z65" s="0" t="n">
        <v>1.26241134751773</v>
      </c>
      <c r="AA65" s="0" t="n">
        <v>1.26241134751773</v>
      </c>
      <c r="AB65" s="0" t="n">
        <v>1.26241134751773</v>
      </c>
      <c r="AC65" s="0" t="n">
        <v>1.26241134751773</v>
      </c>
      <c r="AD65" s="0" t="n">
        <v>1.26241134751773</v>
      </c>
      <c r="AE65" s="0" t="n">
        <v>1.26241134751773</v>
      </c>
      <c r="AF65" s="0" t="n">
        <v>1.26241134751773</v>
      </c>
      <c r="AG65" s="0" t="n">
        <v>1.26241134751773</v>
      </c>
      <c r="AH65" s="0" t="n">
        <v>1.26241134751773</v>
      </c>
      <c r="AI65" s="0" t="n">
        <v>1.26241134751773</v>
      </c>
      <c r="AJ65" s="0" t="n">
        <v>1.26241134751773</v>
      </c>
      <c r="AK65" s="0" t="n">
        <v>1.26241134751773</v>
      </c>
      <c r="AL65" s="0" t="n">
        <v>1.26241134751773</v>
      </c>
      <c r="AM65" s="0" t="n">
        <v>1.26241134751773</v>
      </c>
      <c r="AN65" s="0" t="n">
        <v>1.26241134751773</v>
      </c>
      <c r="AO65" s="0" t="n">
        <v>1.26241134751773</v>
      </c>
      <c r="AP65" s="0" t="n">
        <v>1.26241134751773</v>
      </c>
      <c r="AQ65" s="0" t="n">
        <v>1.26241134751773</v>
      </c>
      <c r="AR65" s="0" t="n">
        <v>1.26241134751773</v>
      </c>
      <c r="AS65" s="0" t="n">
        <v>1.26241134751773</v>
      </c>
      <c r="AT65" s="0" t="n">
        <v>1.26241134751773</v>
      </c>
      <c r="AU65" s="0" t="n">
        <v>2</v>
      </c>
      <c r="AV65" s="0" t="n">
        <v>2</v>
      </c>
      <c r="AW65" s="0" t="n">
        <v>2</v>
      </c>
      <c r="AX65" s="0" t="n">
        <v>2</v>
      </c>
      <c r="AY65" s="0" t="n">
        <v>2</v>
      </c>
      <c r="AZ65" s="0" t="n">
        <v>2</v>
      </c>
      <c r="BA65" s="0" t="n">
        <v>2</v>
      </c>
      <c r="BB65" s="0" t="n">
        <v>2</v>
      </c>
      <c r="BC65" s="0" t="n">
        <v>2</v>
      </c>
      <c r="BD65" s="0" t="n">
        <v>2</v>
      </c>
      <c r="BE65" s="0" t="n">
        <v>2</v>
      </c>
      <c r="BF65" s="0" t="n">
        <v>2</v>
      </c>
      <c r="BG65" s="0" t="n">
        <v>0.810618855831276</v>
      </c>
      <c r="BH65" s="0" t="n">
        <v>0.810618855831276</v>
      </c>
      <c r="BI65" s="0" t="n">
        <v>0.810618855831276</v>
      </c>
      <c r="BJ65" s="0" t="n">
        <v>0.810618855831276</v>
      </c>
      <c r="BK65" s="0" t="n">
        <v>0.810618855831276</v>
      </c>
    </row>
    <row r="66" customFormat="false" ht="12.8" hidden="false" customHeight="false" outlineLevel="0" collapsed="false">
      <c r="A66" s="21" t="n">
        <f aca="false">A65+1/24</f>
        <v>43894.6666670831</v>
      </c>
      <c r="B66" s="0" t="n">
        <v>0.939067169026893</v>
      </c>
      <c r="C66" s="0" t="n">
        <v>0.939067169026893</v>
      </c>
      <c r="D66" s="0" t="n">
        <v>0.939067169026893</v>
      </c>
      <c r="E66" s="0" t="n">
        <v>0.939067169026893</v>
      </c>
      <c r="F66" s="0" t="n">
        <v>0.939067169026893</v>
      </c>
      <c r="G66" s="0" t="n">
        <v>0.939067169026893</v>
      </c>
      <c r="H66" s="0" t="n">
        <v>0.939067169026893</v>
      </c>
      <c r="I66" s="0" t="n">
        <v>0.939067169026893</v>
      </c>
      <c r="J66" s="0" t="n">
        <v>0.939067169026893</v>
      </c>
      <c r="K66" s="0" t="n">
        <v>0.939067169026893</v>
      </c>
      <c r="L66" s="0" t="n">
        <v>0.939067169026893</v>
      </c>
      <c r="M66" s="0" t="n">
        <v>0.939067169026893</v>
      </c>
      <c r="N66" s="0" t="n">
        <v>0.939067169026893</v>
      </c>
      <c r="O66" s="0" t="n">
        <v>0.939067169026893</v>
      </c>
      <c r="P66" s="0" t="n">
        <v>0.939067169026893</v>
      </c>
      <c r="Q66" s="0" t="n">
        <v>0.939067169026893</v>
      </c>
      <c r="R66" s="0" t="n">
        <v>0.939067169026893</v>
      </c>
      <c r="S66" s="0" t="n">
        <v>0.939067169026893</v>
      </c>
      <c r="T66" s="0" t="n">
        <v>0.939067169026893</v>
      </c>
      <c r="U66" s="0" t="n">
        <v>0.939067169026893</v>
      </c>
      <c r="V66" s="0" t="n">
        <v>1.39007092198582</v>
      </c>
      <c r="W66" s="0" t="n">
        <v>1.39007092198582</v>
      </c>
      <c r="X66" s="0" t="n">
        <v>1.39007092198582</v>
      </c>
      <c r="Y66" s="0" t="n">
        <v>1.39007092198582</v>
      </c>
      <c r="Z66" s="0" t="n">
        <v>1.39007092198582</v>
      </c>
      <c r="AA66" s="0" t="n">
        <v>1.39007092198582</v>
      </c>
      <c r="AB66" s="0" t="n">
        <v>1.39007092198582</v>
      </c>
      <c r="AC66" s="0" t="n">
        <v>1.39007092198582</v>
      </c>
      <c r="AD66" s="0" t="n">
        <v>1.39007092198582</v>
      </c>
      <c r="AE66" s="0" t="n">
        <v>1.39007092198582</v>
      </c>
      <c r="AF66" s="0" t="n">
        <v>1.39007092198582</v>
      </c>
      <c r="AG66" s="0" t="n">
        <v>1.39007092198582</v>
      </c>
      <c r="AH66" s="0" t="n">
        <v>1.39007092198582</v>
      </c>
      <c r="AI66" s="0" t="n">
        <v>1.39007092198582</v>
      </c>
      <c r="AJ66" s="0" t="n">
        <v>1.39007092198582</v>
      </c>
      <c r="AK66" s="0" t="n">
        <v>1.39007092198582</v>
      </c>
      <c r="AL66" s="0" t="n">
        <v>1.39007092198582</v>
      </c>
      <c r="AM66" s="0" t="n">
        <v>1.39007092198582</v>
      </c>
      <c r="AN66" s="0" t="n">
        <v>1.39007092198582</v>
      </c>
      <c r="AO66" s="0" t="n">
        <v>1.39007092198582</v>
      </c>
      <c r="AP66" s="0" t="n">
        <v>1.39007092198582</v>
      </c>
      <c r="AQ66" s="0" t="n">
        <v>1.39007092198582</v>
      </c>
      <c r="AR66" s="0" t="n">
        <v>1.39007092198582</v>
      </c>
      <c r="AS66" s="0" t="n">
        <v>1.39007092198582</v>
      </c>
      <c r="AT66" s="0" t="n">
        <v>1.39007092198582</v>
      </c>
      <c r="AU66" s="0" t="n">
        <v>1.625</v>
      </c>
      <c r="AV66" s="0" t="n">
        <v>1.625</v>
      </c>
      <c r="AW66" s="0" t="n">
        <v>1.625</v>
      </c>
      <c r="AX66" s="0" t="n">
        <v>1.625</v>
      </c>
      <c r="AY66" s="0" t="n">
        <v>1.625</v>
      </c>
      <c r="AZ66" s="0" t="n">
        <v>1.625</v>
      </c>
      <c r="BA66" s="0" t="n">
        <v>1.625</v>
      </c>
      <c r="BB66" s="0" t="n">
        <v>1.625</v>
      </c>
      <c r="BC66" s="0" t="n">
        <v>1.625</v>
      </c>
      <c r="BD66" s="0" t="n">
        <v>1.625</v>
      </c>
      <c r="BE66" s="0" t="n">
        <v>1.625</v>
      </c>
      <c r="BF66" s="0" t="n">
        <v>1.625</v>
      </c>
      <c r="BG66" s="0" t="n">
        <v>0.939067169026893</v>
      </c>
      <c r="BH66" s="0" t="n">
        <v>0.939067169026893</v>
      </c>
      <c r="BI66" s="0" t="n">
        <v>0.939067169026893</v>
      </c>
      <c r="BJ66" s="0" t="n">
        <v>0.939067169026893</v>
      </c>
      <c r="BK66" s="0" t="n">
        <v>0.939067169026893</v>
      </c>
    </row>
    <row r="67" customFormat="false" ht="12.8" hidden="false" customHeight="false" outlineLevel="0" collapsed="false">
      <c r="A67" s="21" t="n">
        <f aca="false">A66+1/24</f>
        <v>43894.7083337498</v>
      </c>
      <c r="B67" s="0" t="n">
        <v>1.01125979818977</v>
      </c>
      <c r="C67" s="0" t="n">
        <v>1.01125979818977</v>
      </c>
      <c r="D67" s="0" t="n">
        <v>1.01125979818977</v>
      </c>
      <c r="E67" s="0" t="n">
        <v>1.01125979818977</v>
      </c>
      <c r="F67" s="0" t="n">
        <v>1.01125979818977</v>
      </c>
      <c r="G67" s="0" t="n">
        <v>1.01125979818977</v>
      </c>
      <c r="H67" s="0" t="n">
        <v>1.01125979818977</v>
      </c>
      <c r="I67" s="0" t="n">
        <v>1.01125979818977</v>
      </c>
      <c r="J67" s="0" t="n">
        <v>1.01125979818977</v>
      </c>
      <c r="K67" s="0" t="n">
        <v>1.01125979818977</v>
      </c>
      <c r="L67" s="0" t="n">
        <v>1.01125979818977</v>
      </c>
      <c r="M67" s="0" t="n">
        <v>1.01125979818977</v>
      </c>
      <c r="N67" s="0" t="n">
        <v>1.01125979818977</v>
      </c>
      <c r="O67" s="0" t="n">
        <v>1.01125979818977</v>
      </c>
      <c r="P67" s="0" t="n">
        <v>1.01125979818977</v>
      </c>
      <c r="Q67" s="0" t="n">
        <v>1.01125979818977</v>
      </c>
      <c r="R67" s="0" t="n">
        <v>1.01125979818977</v>
      </c>
      <c r="S67" s="0" t="n">
        <v>1.01125979818977</v>
      </c>
      <c r="T67" s="0" t="n">
        <v>1.01125979818977</v>
      </c>
      <c r="U67" s="0" t="n">
        <v>1.01125979818977</v>
      </c>
      <c r="V67" s="0" t="n">
        <v>1.37487335359676</v>
      </c>
      <c r="W67" s="0" t="n">
        <v>1.37487335359676</v>
      </c>
      <c r="X67" s="0" t="n">
        <v>1.37487335359676</v>
      </c>
      <c r="Y67" s="0" t="n">
        <v>1.37487335359676</v>
      </c>
      <c r="Z67" s="0" t="n">
        <v>1.37487335359676</v>
      </c>
      <c r="AA67" s="0" t="n">
        <v>1.37487335359676</v>
      </c>
      <c r="AB67" s="0" t="n">
        <v>1.37487335359676</v>
      </c>
      <c r="AC67" s="0" t="n">
        <v>1.37487335359676</v>
      </c>
      <c r="AD67" s="0" t="n">
        <v>1.37487335359676</v>
      </c>
      <c r="AE67" s="0" t="n">
        <v>1.37487335359676</v>
      </c>
      <c r="AF67" s="0" t="n">
        <v>1.37487335359676</v>
      </c>
      <c r="AG67" s="0" t="n">
        <v>1.37487335359676</v>
      </c>
      <c r="AH67" s="0" t="n">
        <v>1.37487335359676</v>
      </c>
      <c r="AI67" s="0" t="n">
        <v>1.37487335359676</v>
      </c>
      <c r="AJ67" s="0" t="n">
        <v>1.37487335359676</v>
      </c>
      <c r="AK67" s="0" t="n">
        <v>1.37487335359676</v>
      </c>
      <c r="AL67" s="0" t="n">
        <v>1.37487335359676</v>
      </c>
      <c r="AM67" s="0" t="n">
        <v>1.37487335359676</v>
      </c>
      <c r="AN67" s="0" t="n">
        <v>1.37487335359676</v>
      </c>
      <c r="AO67" s="0" t="n">
        <v>1.37487335359676</v>
      </c>
      <c r="AP67" s="0" t="n">
        <v>1.37487335359676</v>
      </c>
      <c r="AQ67" s="0" t="n">
        <v>1.37487335359676</v>
      </c>
      <c r="AR67" s="0" t="n">
        <v>1.37487335359676</v>
      </c>
      <c r="AS67" s="0" t="n">
        <v>1.37487335359676</v>
      </c>
      <c r="AT67" s="0" t="n">
        <v>1.37487335359676</v>
      </c>
      <c r="AU67" s="0" t="n">
        <v>3.125</v>
      </c>
      <c r="AV67" s="0" t="n">
        <v>3.125</v>
      </c>
      <c r="AW67" s="0" t="n">
        <v>3.125</v>
      </c>
      <c r="AX67" s="0" t="n">
        <v>3.125</v>
      </c>
      <c r="AY67" s="0" t="n">
        <v>3.125</v>
      </c>
      <c r="AZ67" s="0" t="n">
        <v>3.125</v>
      </c>
      <c r="BA67" s="0" t="n">
        <v>3.125</v>
      </c>
      <c r="BB67" s="0" t="n">
        <v>3.125</v>
      </c>
      <c r="BC67" s="0" t="n">
        <v>3.125</v>
      </c>
      <c r="BD67" s="0" t="n">
        <v>3.125</v>
      </c>
      <c r="BE67" s="0" t="n">
        <v>3.125</v>
      </c>
      <c r="BF67" s="0" t="n">
        <v>3.125</v>
      </c>
      <c r="BG67" s="0" t="n">
        <v>1.01125979818977</v>
      </c>
      <c r="BH67" s="0" t="n">
        <v>1.01125979818977</v>
      </c>
      <c r="BI67" s="0" t="n">
        <v>1.01125979818977</v>
      </c>
      <c r="BJ67" s="0" t="n">
        <v>1.01125979818977</v>
      </c>
      <c r="BK67" s="0" t="n">
        <v>1.01125979818977</v>
      </c>
    </row>
    <row r="68" customFormat="false" ht="12.8" hidden="false" customHeight="false" outlineLevel="0" collapsed="false">
      <c r="A68" s="21" t="n">
        <f aca="false">A67+1/24</f>
        <v>43894.7500004165</v>
      </c>
      <c r="B68" s="0" t="n">
        <v>1.04036204581872</v>
      </c>
      <c r="C68" s="0" t="n">
        <v>1.04036204581872</v>
      </c>
      <c r="D68" s="0" t="n">
        <v>1.04036204581872</v>
      </c>
      <c r="E68" s="0" t="n">
        <v>1.04036204581872</v>
      </c>
      <c r="F68" s="0" t="n">
        <v>1.04036204581872</v>
      </c>
      <c r="G68" s="0" t="n">
        <v>1.04036204581872</v>
      </c>
      <c r="H68" s="0" t="n">
        <v>1.04036204581872</v>
      </c>
      <c r="I68" s="0" t="n">
        <v>1.04036204581872</v>
      </c>
      <c r="J68" s="0" t="n">
        <v>1.04036204581872</v>
      </c>
      <c r="K68" s="0" t="n">
        <v>1.04036204581872</v>
      </c>
      <c r="L68" s="0" t="n">
        <v>1.04036204581872</v>
      </c>
      <c r="M68" s="0" t="n">
        <v>1.04036204581872</v>
      </c>
      <c r="N68" s="0" t="n">
        <v>1.04036204581872</v>
      </c>
      <c r="O68" s="0" t="n">
        <v>1.04036204581872</v>
      </c>
      <c r="P68" s="0" t="n">
        <v>1.04036204581872</v>
      </c>
      <c r="Q68" s="0" t="n">
        <v>1.04036204581872</v>
      </c>
      <c r="R68" s="0" t="n">
        <v>1.04036204581872</v>
      </c>
      <c r="S68" s="0" t="n">
        <v>1.04036204581872</v>
      </c>
      <c r="T68" s="0" t="n">
        <v>1.04036204581872</v>
      </c>
      <c r="U68" s="0" t="n">
        <v>1.04036204581872</v>
      </c>
      <c r="V68" s="0" t="n">
        <v>1.21175278622087</v>
      </c>
      <c r="W68" s="0" t="n">
        <v>1.21175278622087</v>
      </c>
      <c r="X68" s="0" t="n">
        <v>1.21175278622087</v>
      </c>
      <c r="Y68" s="0" t="n">
        <v>1.21175278622087</v>
      </c>
      <c r="Z68" s="0" t="n">
        <v>1.21175278622087</v>
      </c>
      <c r="AA68" s="0" t="n">
        <v>1.21175278622087</v>
      </c>
      <c r="AB68" s="0" t="n">
        <v>1.21175278622087</v>
      </c>
      <c r="AC68" s="0" t="n">
        <v>1.21175278622087</v>
      </c>
      <c r="AD68" s="0" t="n">
        <v>1.21175278622087</v>
      </c>
      <c r="AE68" s="0" t="n">
        <v>1.21175278622087</v>
      </c>
      <c r="AF68" s="0" t="n">
        <v>1.21175278622087</v>
      </c>
      <c r="AG68" s="0" t="n">
        <v>1.21175278622087</v>
      </c>
      <c r="AH68" s="0" t="n">
        <v>1.21175278622087</v>
      </c>
      <c r="AI68" s="0" t="n">
        <v>1.21175278622087</v>
      </c>
      <c r="AJ68" s="0" t="n">
        <v>1.21175278622087</v>
      </c>
      <c r="AK68" s="0" t="n">
        <v>1.21175278622087</v>
      </c>
      <c r="AL68" s="0" t="n">
        <v>1.21175278622087</v>
      </c>
      <c r="AM68" s="0" t="n">
        <v>1.21175278622087</v>
      </c>
      <c r="AN68" s="0" t="n">
        <v>1.21175278622087</v>
      </c>
      <c r="AO68" s="0" t="n">
        <v>1.21175278622087</v>
      </c>
      <c r="AP68" s="0" t="n">
        <v>1.21175278622087</v>
      </c>
      <c r="AQ68" s="0" t="n">
        <v>1.21175278622087</v>
      </c>
      <c r="AR68" s="0" t="n">
        <v>1.21175278622087</v>
      </c>
      <c r="AS68" s="0" t="n">
        <v>1.21175278622087</v>
      </c>
      <c r="AT68" s="0" t="n">
        <v>1.21175278622087</v>
      </c>
      <c r="AU68" s="0" t="n">
        <v>1.75</v>
      </c>
      <c r="AV68" s="0" t="n">
        <v>1.75</v>
      </c>
      <c r="AW68" s="0" t="n">
        <v>1.75</v>
      </c>
      <c r="AX68" s="0" t="n">
        <v>1.75</v>
      </c>
      <c r="AY68" s="0" t="n">
        <v>1.75</v>
      </c>
      <c r="AZ68" s="0" t="n">
        <v>1.75</v>
      </c>
      <c r="BA68" s="0" t="n">
        <v>1.75</v>
      </c>
      <c r="BB68" s="0" t="n">
        <v>1.75</v>
      </c>
      <c r="BC68" s="0" t="n">
        <v>1.75</v>
      </c>
      <c r="BD68" s="0" t="n">
        <v>1.75</v>
      </c>
      <c r="BE68" s="0" t="n">
        <v>1.75</v>
      </c>
      <c r="BF68" s="0" t="n">
        <v>1.75</v>
      </c>
      <c r="BG68" s="0" t="n">
        <v>1.04036204581872</v>
      </c>
      <c r="BH68" s="0" t="n">
        <v>1.04036204581872</v>
      </c>
      <c r="BI68" s="0" t="n">
        <v>1.04036204581872</v>
      </c>
      <c r="BJ68" s="0" t="n">
        <v>1.04036204581872</v>
      </c>
      <c r="BK68" s="0" t="n">
        <v>1.04036204581872</v>
      </c>
    </row>
    <row r="69" customFormat="false" ht="12.8" hidden="false" customHeight="false" outlineLevel="0" collapsed="false">
      <c r="A69" s="21" t="n">
        <f aca="false">A68+1/24</f>
        <v>43894.7916670831</v>
      </c>
      <c r="B69" s="0" t="n">
        <v>0.846000606296826</v>
      </c>
      <c r="C69" s="0" t="n">
        <v>0.846000606296826</v>
      </c>
      <c r="D69" s="0" t="n">
        <v>0.846000606296826</v>
      </c>
      <c r="E69" s="0" t="n">
        <v>0.846000606296826</v>
      </c>
      <c r="F69" s="0" t="n">
        <v>0.846000606296826</v>
      </c>
      <c r="G69" s="0" t="n">
        <v>0.846000606296826</v>
      </c>
      <c r="H69" s="0" t="n">
        <v>0.846000606296826</v>
      </c>
      <c r="I69" s="0" t="n">
        <v>0.846000606296826</v>
      </c>
      <c r="J69" s="0" t="n">
        <v>0.846000606296826</v>
      </c>
      <c r="K69" s="0" t="n">
        <v>0.846000606296826</v>
      </c>
      <c r="L69" s="0" t="n">
        <v>0.846000606296826</v>
      </c>
      <c r="M69" s="0" t="n">
        <v>0.846000606296826</v>
      </c>
      <c r="N69" s="0" t="n">
        <v>0.846000606296826</v>
      </c>
      <c r="O69" s="0" t="n">
        <v>0.846000606296826</v>
      </c>
      <c r="P69" s="0" t="n">
        <v>0.846000606296826</v>
      </c>
      <c r="Q69" s="0" t="n">
        <v>0.846000606296826</v>
      </c>
      <c r="R69" s="0" t="n">
        <v>0.846000606296826</v>
      </c>
      <c r="S69" s="0" t="n">
        <v>0.846000606296826</v>
      </c>
      <c r="T69" s="0" t="n">
        <v>0.846000606296826</v>
      </c>
      <c r="U69" s="0" t="n">
        <v>0.846000606296826</v>
      </c>
      <c r="V69" s="0" t="n">
        <v>1.18642350557244</v>
      </c>
      <c r="W69" s="0" t="n">
        <v>1.18642350557244</v>
      </c>
      <c r="X69" s="0" t="n">
        <v>1.18642350557244</v>
      </c>
      <c r="Y69" s="0" t="n">
        <v>1.18642350557244</v>
      </c>
      <c r="Z69" s="0" t="n">
        <v>1.18642350557244</v>
      </c>
      <c r="AA69" s="0" t="n">
        <v>1.18642350557244</v>
      </c>
      <c r="AB69" s="0" t="n">
        <v>1.18642350557244</v>
      </c>
      <c r="AC69" s="0" t="n">
        <v>1.18642350557244</v>
      </c>
      <c r="AD69" s="0" t="n">
        <v>1.18642350557244</v>
      </c>
      <c r="AE69" s="0" t="n">
        <v>1.18642350557244</v>
      </c>
      <c r="AF69" s="0" t="n">
        <v>1.18642350557244</v>
      </c>
      <c r="AG69" s="0" t="n">
        <v>1.18642350557244</v>
      </c>
      <c r="AH69" s="0" t="n">
        <v>1.18642350557244</v>
      </c>
      <c r="AI69" s="0" t="n">
        <v>1.18642350557244</v>
      </c>
      <c r="AJ69" s="0" t="n">
        <v>1.18642350557244</v>
      </c>
      <c r="AK69" s="0" t="n">
        <v>1.18642350557244</v>
      </c>
      <c r="AL69" s="0" t="n">
        <v>1.18642350557244</v>
      </c>
      <c r="AM69" s="0" t="n">
        <v>1.18642350557244</v>
      </c>
      <c r="AN69" s="0" t="n">
        <v>1.18642350557244</v>
      </c>
      <c r="AO69" s="0" t="n">
        <v>1.18642350557244</v>
      </c>
      <c r="AP69" s="0" t="n">
        <v>1.18642350557244</v>
      </c>
      <c r="AQ69" s="0" t="n">
        <v>1.18642350557244</v>
      </c>
      <c r="AR69" s="0" t="n">
        <v>1.18642350557244</v>
      </c>
      <c r="AS69" s="0" t="n">
        <v>1.18642350557244</v>
      </c>
      <c r="AT69" s="0" t="n">
        <v>1.18642350557244</v>
      </c>
      <c r="AU69" s="0" t="n">
        <v>1.125</v>
      </c>
      <c r="AV69" s="0" t="n">
        <v>1.125</v>
      </c>
      <c r="AW69" s="0" t="n">
        <v>1.125</v>
      </c>
      <c r="AX69" s="0" t="n">
        <v>1.125</v>
      </c>
      <c r="AY69" s="0" t="n">
        <v>1.125</v>
      </c>
      <c r="AZ69" s="0" t="n">
        <v>1.125</v>
      </c>
      <c r="BA69" s="0" t="n">
        <v>1.125</v>
      </c>
      <c r="BB69" s="0" t="n">
        <v>1.125</v>
      </c>
      <c r="BC69" s="0" t="n">
        <v>1.125</v>
      </c>
      <c r="BD69" s="0" t="n">
        <v>1.125</v>
      </c>
      <c r="BE69" s="0" t="n">
        <v>1.125</v>
      </c>
      <c r="BF69" s="0" t="n">
        <v>1.125</v>
      </c>
      <c r="BG69" s="0" t="n">
        <v>0.846000606296826</v>
      </c>
      <c r="BH69" s="0" t="n">
        <v>0.846000606296826</v>
      </c>
      <c r="BI69" s="0" t="n">
        <v>0.846000606296826</v>
      </c>
      <c r="BJ69" s="0" t="n">
        <v>0.846000606296826</v>
      </c>
      <c r="BK69" s="0" t="n">
        <v>0.846000606296826</v>
      </c>
    </row>
    <row r="70" customFormat="false" ht="12.8" hidden="false" customHeight="false" outlineLevel="0" collapsed="false">
      <c r="A70" s="21" t="n">
        <f aca="false">A69+1/24</f>
        <v>43894.8333337498</v>
      </c>
      <c r="B70" s="0" t="n">
        <v>0.617036940799446</v>
      </c>
      <c r="C70" s="0" t="n">
        <v>0.617036940799446</v>
      </c>
      <c r="D70" s="0" t="n">
        <v>0.617036940799446</v>
      </c>
      <c r="E70" s="0" t="n">
        <v>0.617036940799446</v>
      </c>
      <c r="F70" s="0" t="n">
        <v>0.617036940799446</v>
      </c>
      <c r="G70" s="0" t="n">
        <v>0.617036940799446</v>
      </c>
      <c r="H70" s="0" t="n">
        <v>0.617036940799446</v>
      </c>
      <c r="I70" s="0" t="n">
        <v>0.617036940799446</v>
      </c>
      <c r="J70" s="0" t="n">
        <v>0.617036940799446</v>
      </c>
      <c r="K70" s="0" t="n">
        <v>0.617036940799446</v>
      </c>
      <c r="L70" s="0" t="n">
        <v>0.617036940799446</v>
      </c>
      <c r="M70" s="0" t="n">
        <v>0.617036940799446</v>
      </c>
      <c r="N70" s="0" t="n">
        <v>0.617036940799446</v>
      </c>
      <c r="O70" s="0" t="n">
        <v>0.617036940799446</v>
      </c>
      <c r="P70" s="0" t="n">
        <v>0.617036940799446</v>
      </c>
      <c r="Q70" s="0" t="n">
        <v>0.617036940799446</v>
      </c>
      <c r="R70" s="0" t="n">
        <v>0.617036940799446</v>
      </c>
      <c r="S70" s="0" t="n">
        <v>0.617036940799446</v>
      </c>
      <c r="T70" s="0" t="n">
        <v>0.617036940799446</v>
      </c>
      <c r="U70" s="0" t="n">
        <v>0.617036940799446</v>
      </c>
      <c r="V70" s="0" t="n">
        <v>1.06180344478217</v>
      </c>
      <c r="W70" s="0" t="n">
        <v>1.06180344478217</v>
      </c>
      <c r="X70" s="0" t="n">
        <v>1.06180344478217</v>
      </c>
      <c r="Y70" s="0" t="n">
        <v>1.06180344478217</v>
      </c>
      <c r="Z70" s="0" t="n">
        <v>1.06180344478217</v>
      </c>
      <c r="AA70" s="0" t="n">
        <v>1.06180344478217</v>
      </c>
      <c r="AB70" s="0" t="n">
        <v>1.06180344478217</v>
      </c>
      <c r="AC70" s="0" t="n">
        <v>1.06180344478217</v>
      </c>
      <c r="AD70" s="0" t="n">
        <v>1.06180344478217</v>
      </c>
      <c r="AE70" s="0" t="n">
        <v>1.06180344478217</v>
      </c>
      <c r="AF70" s="0" t="n">
        <v>1.06180344478217</v>
      </c>
      <c r="AG70" s="0" t="n">
        <v>1.06180344478217</v>
      </c>
      <c r="AH70" s="0" t="n">
        <v>1.06180344478217</v>
      </c>
      <c r="AI70" s="0" t="n">
        <v>1.06180344478217</v>
      </c>
      <c r="AJ70" s="0" t="n">
        <v>1.06180344478217</v>
      </c>
      <c r="AK70" s="0" t="n">
        <v>1.06180344478217</v>
      </c>
      <c r="AL70" s="0" t="n">
        <v>1.06180344478217</v>
      </c>
      <c r="AM70" s="0" t="n">
        <v>1.06180344478217</v>
      </c>
      <c r="AN70" s="0" t="n">
        <v>1.06180344478217</v>
      </c>
      <c r="AO70" s="0" t="n">
        <v>1.06180344478217</v>
      </c>
      <c r="AP70" s="0" t="n">
        <v>1.06180344478217</v>
      </c>
      <c r="AQ70" s="0" t="n">
        <v>1.06180344478217</v>
      </c>
      <c r="AR70" s="0" t="n">
        <v>1.06180344478217</v>
      </c>
      <c r="AS70" s="0" t="n">
        <v>1.06180344478217</v>
      </c>
      <c r="AT70" s="0" t="n">
        <v>1.06180344478217</v>
      </c>
      <c r="AU70" s="0" t="n">
        <v>1</v>
      </c>
      <c r="AV70" s="0" t="n">
        <v>1</v>
      </c>
      <c r="AW70" s="0" t="n">
        <v>1</v>
      </c>
      <c r="AX70" s="0" t="n">
        <v>1</v>
      </c>
      <c r="AY70" s="0" t="n">
        <v>1</v>
      </c>
      <c r="AZ70" s="0" t="n">
        <v>1</v>
      </c>
      <c r="BA70" s="0" t="n">
        <v>1</v>
      </c>
      <c r="BB70" s="0" t="n">
        <v>1</v>
      </c>
      <c r="BC70" s="0" t="n">
        <v>1</v>
      </c>
      <c r="BD70" s="0" t="n">
        <v>1</v>
      </c>
      <c r="BE70" s="0" t="n">
        <v>1</v>
      </c>
      <c r="BF70" s="0" t="n">
        <v>1</v>
      </c>
      <c r="BG70" s="0" t="n">
        <v>0.617036940799446</v>
      </c>
      <c r="BH70" s="0" t="n">
        <v>0.617036940799446</v>
      </c>
      <c r="BI70" s="0" t="n">
        <v>0.617036940799446</v>
      </c>
      <c r="BJ70" s="0" t="n">
        <v>0.617036940799446</v>
      </c>
      <c r="BK70" s="0" t="n">
        <v>0.617036940799446</v>
      </c>
    </row>
    <row r="71" customFormat="false" ht="12.8" hidden="false" customHeight="false" outlineLevel="0" collapsed="false">
      <c r="A71" s="21" t="n">
        <f aca="false">A70+1/24</f>
        <v>43894.8750004164</v>
      </c>
      <c r="B71" s="0" t="n">
        <v>0.393703174396951</v>
      </c>
      <c r="C71" s="0" t="n">
        <v>0.393703174396951</v>
      </c>
      <c r="D71" s="0" t="n">
        <v>0.393703174396951</v>
      </c>
      <c r="E71" s="0" t="n">
        <v>0.393703174396951</v>
      </c>
      <c r="F71" s="0" t="n">
        <v>0.393703174396951</v>
      </c>
      <c r="G71" s="0" t="n">
        <v>0.393703174396951</v>
      </c>
      <c r="H71" s="0" t="n">
        <v>0.393703174396951</v>
      </c>
      <c r="I71" s="0" t="n">
        <v>0.393703174396951</v>
      </c>
      <c r="J71" s="0" t="n">
        <v>0.393703174396951</v>
      </c>
      <c r="K71" s="0" t="n">
        <v>0.393703174396951</v>
      </c>
      <c r="L71" s="0" t="n">
        <v>0.393703174396951</v>
      </c>
      <c r="M71" s="0" t="n">
        <v>0.393703174396951</v>
      </c>
      <c r="N71" s="0" t="n">
        <v>0.393703174396951</v>
      </c>
      <c r="O71" s="0" t="n">
        <v>0.393703174396951</v>
      </c>
      <c r="P71" s="0" t="n">
        <v>0.393703174396951</v>
      </c>
      <c r="Q71" s="0" t="n">
        <v>0.393703174396951</v>
      </c>
      <c r="R71" s="0" t="n">
        <v>0.393703174396951</v>
      </c>
      <c r="S71" s="0" t="n">
        <v>0.393703174396951</v>
      </c>
      <c r="T71" s="0" t="n">
        <v>0.393703174396951</v>
      </c>
      <c r="U71" s="0" t="n">
        <v>0.393703174396951</v>
      </c>
      <c r="V71" s="0" t="n">
        <v>0.947315096251266</v>
      </c>
      <c r="W71" s="0" t="n">
        <v>0.947315096251266</v>
      </c>
      <c r="X71" s="0" t="n">
        <v>0.947315096251266</v>
      </c>
      <c r="Y71" s="0" t="n">
        <v>0.947315096251266</v>
      </c>
      <c r="Z71" s="0" t="n">
        <v>0.947315096251266</v>
      </c>
      <c r="AA71" s="0" t="n">
        <v>0.947315096251266</v>
      </c>
      <c r="AB71" s="0" t="n">
        <v>0.947315096251266</v>
      </c>
      <c r="AC71" s="0" t="n">
        <v>0.947315096251266</v>
      </c>
      <c r="AD71" s="0" t="n">
        <v>0.947315096251266</v>
      </c>
      <c r="AE71" s="0" t="n">
        <v>0.947315096251266</v>
      </c>
      <c r="AF71" s="0" t="n">
        <v>0.947315096251266</v>
      </c>
      <c r="AG71" s="0" t="n">
        <v>0.947315096251266</v>
      </c>
      <c r="AH71" s="0" t="n">
        <v>0.947315096251266</v>
      </c>
      <c r="AI71" s="0" t="n">
        <v>0.947315096251266</v>
      </c>
      <c r="AJ71" s="0" t="n">
        <v>0.947315096251266</v>
      </c>
      <c r="AK71" s="0" t="n">
        <v>0.947315096251266</v>
      </c>
      <c r="AL71" s="0" t="n">
        <v>0.947315096251266</v>
      </c>
      <c r="AM71" s="0" t="n">
        <v>0.947315096251266</v>
      </c>
      <c r="AN71" s="0" t="n">
        <v>0.947315096251266</v>
      </c>
      <c r="AO71" s="0" t="n">
        <v>0.947315096251266</v>
      </c>
      <c r="AP71" s="0" t="n">
        <v>0.947315096251266</v>
      </c>
      <c r="AQ71" s="0" t="n">
        <v>0.947315096251266</v>
      </c>
      <c r="AR71" s="0" t="n">
        <v>0.947315096251266</v>
      </c>
      <c r="AS71" s="0" t="n">
        <v>0.947315096251266</v>
      </c>
      <c r="AT71" s="0" t="n">
        <v>0.947315096251266</v>
      </c>
      <c r="AU71" s="0" t="n">
        <v>0.625</v>
      </c>
      <c r="AV71" s="0" t="n">
        <v>0.625</v>
      </c>
      <c r="AW71" s="0" t="n">
        <v>0.625</v>
      </c>
      <c r="AX71" s="0" t="n">
        <v>0.625</v>
      </c>
      <c r="AY71" s="0" t="n">
        <v>0.625</v>
      </c>
      <c r="AZ71" s="0" t="n">
        <v>0.625</v>
      </c>
      <c r="BA71" s="0" t="n">
        <v>0.625</v>
      </c>
      <c r="BB71" s="0" t="n">
        <v>0.625</v>
      </c>
      <c r="BC71" s="0" t="n">
        <v>0.625</v>
      </c>
      <c r="BD71" s="0" t="n">
        <v>0.625</v>
      </c>
      <c r="BE71" s="0" t="n">
        <v>0.625</v>
      </c>
      <c r="BF71" s="0" t="n">
        <v>0.625</v>
      </c>
      <c r="BG71" s="0" t="n">
        <v>0.393703174396951</v>
      </c>
      <c r="BH71" s="0" t="n">
        <v>0.393703174396951</v>
      </c>
      <c r="BI71" s="0" t="n">
        <v>0.393703174396951</v>
      </c>
      <c r="BJ71" s="0" t="n">
        <v>0.393703174396951</v>
      </c>
      <c r="BK71" s="0" t="n">
        <v>0.393703174396951</v>
      </c>
    </row>
    <row r="72" customFormat="false" ht="12.8" hidden="false" customHeight="false" outlineLevel="0" collapsed="false">
      <c r="A72" s="21" t="n">
        <f aca="false">A71+1/24</f>
        <v>43894.9166670831</v>
      </c>
      <c r="B72" s="0" t="n">
        <v>0.322073535143562</v>
      </c>
      <c r="C72" s="0" t="n">
        <v>0.322073535143562</v>
      </c>
      <c r="D72" s="0" t="n">
        <v>0.322073535143562</v>
      </c>
      <c r="E72" s="0" t="n">
        <v>0.322073535143562</v>
      </c>
      <c r="F72" s="0" t="n">
        <v>0.322073535143562</v>
      </c>
      <c r="G72" s="0" t="n">
        <v>0.322073535143562</v>
      </c>
      <c r="H72" s="0" t="n">
        <v>0.322073535143562</v>
      </c>
      <c r="I72" s="0" t="n">
        <v>0.322073535143562</v>
      </c>
      <c r="J72" s="0" t="n">
        <v>0.322073535143562</v>
      </c>
      <c r="K72" s="0" t="n">
        <v>0.322073535143562</v>
      </c>
      <c r="L72" s="0" t="n">
        <v>0.322073535143562</v>
      </c>
      <c r="M72" s="0" t="n">
        <v>0.322073535143562</v>
      </c>
      <c r="N72" s="0" t="n">
        <v>0.322073535143562</v>
      </c>
      <c r="O72" s="0" t="n">
        <v>0.322073535143562</v>
      </c>
      <c r="P72" s="0" t="n">
        <v>0.322073535143562</v>
      </c>
      <c r="Q72" s="0" t="n">
        <v>0.322073535143562</v>
      </c>
      <c r="R72" s="0" t="n">
        <v>0.322073535143562</v>
      </c>
      <c r="S72" s="0" t="n">
        <v>0.322073535143562</v>
      </c>
      <c r="T72" s="0" t="n">
        <v>0.322073535143562</v>
      </c>
      <c r="U72" s="0" t="n">
        <v>0.322073535143562</v>
      </c>
      <c r="V72" s="0" t="n">
        <v>0.770010131712259</v>
      </c>
      <c r="W72" s="0" t="n">
        <v>0.770010131712259</v>
      </c>
      <c r="X72" s="0" t="n">
        <v>0.770010131712259</v>
      </c>
      <c r="Y72" s="0" t="n">
        <v>0.770010131712259</v>
      </c>
      <c r="Z72" s="0" t="n">
        <v>0.770010131712259</v>
      </c>
      <c r="AA72" s="0" t="n">
        <v>0.770010131712259</v>
      </c>
      <c r="AB72" s="0" t="n">
        <v>0.770010131712259</v>
      </c>
      <c r="AC72" s="0" t="n">
        <v>0.770010131712259</v>
      </c>
      <c r="AD72" s="0" t="n">
        <v>0.770010131712259</v>
      </c>
      <c r="AE72" s="0" t="n">
        <v>0.770010131712259</v>
      </c>
      <c r="AF72" s="0" t="n">
        <v>0.770010131712259</v>
      </c>
      <c r="AG72" s="0" t="n">
        <v>0.770010131712259</v>
      </c>
      <c r="AH72" s="0" t="n">
        <v>0.770010131712259</v>
      </c>
      <c r="AI72" s="0" t="n">
        <v>0.770010131712259</v>
      </c>
      <c r="AJ72" s="0" t="n">
        <v>0.770010131712259</v>
      </c>
      <c r="AK72" s="0" t="n">
        <v>0.770010131712259</v>
      </c>
      <c r="AL72" s="0" t="n">
        <v>0.770010131712259</v>
      </c>
      <c r="AM72" s="0" t="n">
        <v>0.770010131712259</v>
      </c>
      <c r="AN72" s="0" t="n">
        <v>0.770010131712259</v>
      </c>
      <c r="AO72" s="0" t="n">
        <v>0.770010131712259</v>
      </c>
      <c r="AP72" s="0" t="n">
        <v>0.770010131712259</v>
      </c>
      <c r="AQ72" s="0" t="n">
        <v>0.770010131712259</v>
      </c>
      <c r="AR72" s="0" t="n">
        <v>0.770010131712259</v>
      </c>
      <c r="AS72" s="0" t="n">
        <v>0.770010131712259</v>
      </c>
      <c r="AT72" s="0" t="n">
        <v>0.770010131712259</v>
      </c>
      <c r="AU72" s="0" t="n">
        <v>0.375</v>
      </c>
      <c r="AV72" s="0" t="n">
        <v>0.375</v>
      </c>
      <c r="AW72" s="0" t="n">
        <v>0.375</v>
      </c>
      <c r="AX72" s="0" t="n">
        <v>0.375</v>
      </c>
      <c r="AY72" s="0" t="n">
        <v>0.375</v>
      </c>
      <c r="AZ72" s="0" t="n">
        <v>0.375</v>
      </c>
      <c r="BA72" s="0" t="n">
        <v>0.375</v>
      </c>
      <c r="BB72" s="0" t="n">
        <v>0.375</v>
      </c>
      <c r="BC72" s="0" t="n">
        <v>0.375</v>
      </c>
      <c r="BD72" s="0" t="n">
        <v>0.375</v>
      </c>
      <c r="BE72" s="0" t="n">
        <v>0.375</v>
      </c>
      <c r="BF72" s="0" t="n">
        <v>0.375</v>
      </c>
      <c r="BG72" s="0" t="n">
        <v>0.322073535143562</v>
      </c>
      <c r="BH72" s="0" t="n">
        <v>0.322073535143562</v>
      </c>
      <c r="BI72" s="0" t="n">
        <v>0.322073535143562</v>
      </c>
      <c r="BJ72" s="0" t="n">
        <v>0.322073535143562</v>
      </c>
      <c r="BK72" s="0" t="n">
        <v>0.322073535143562</v>
      </c>
    </row>
    <row r="73" customFormat="false" ht="12.8" hidden="false" customHeight="false" outlineLevel="0" collapsed="false">
      <c r="A73" s="21" t="n">
        <f aca="false">A72+1/24</f>
        <v>43894.9583337498</v>
      </c>
      <c r="B73" s="0" t="n">
        <v>0.197003161404876</v>
      </c>
      <c r="C73" s="0" t="n">
        <v>0.197003161404876</v>
      </c>
      <c r="D73" s="0" t="n">
        <v>0.197003161404876</v>
      </c>
      <c r="E73" s="0" t="n">
        <v>0.197003161404876</v>
      </c>
      <c r="F73" s="0" t="n">
        <v>0.197003161404876</v>
      </c>
      <c r="G73" s="0" t="n">
        <v>0.197003161404876</v>
      </c>
      <c r="H73" s="0" t="n">
        <v>0.197003161404876</v>
      </c>
      <c r="I73" s="0" t="n">
        <v>0.197003161404876</v>
      </c>
      <c r="J73" s="0" t="n">
        <v>0.197003161404876</v>
      </c>
      <c r="K73" s="0" t="n">
        <v>0.197003161404876</v>
      </c>
      <c r="L73" s="0" t="n">
        <v>0.197003161404876</v>
      </c>
      <c r="M73" s="0" t="n">
        <v>0.197003161404876</v>
      </c>
      <c r="N73" s="0" t="n">
        <v>0.197003161404876</v>
      </c>
      <c r="O73" s="0" t="n">
        <v>0.197003161404876</v>
      </c>
      <c r="P73" s="0" t="n">
        <v>0.197003161404876</v>
      </c>
      <c r="Q73" s="0" t="n">
        <v>0.197003161404876</v>
      </c>
      <c r="R73" s="0" t="n">
        <v>0.197003161404876</v>
      </c>
      <c r="S73" s="0" t="n">
        <v>0.197003161404876</v>
      </c>
      <c r="T73" s="0" t="n">
        <v>0.197003161404876</v>
      </c>
      <c r="U73" s="0" t="n">
        <v>0.197003161404876</v>
      </c>
      <c r="V73" s="0" t="n">
        <v>0.524822695035461</v>
      </c>
      <c r="W73" s="0" t="n">
        <v>0.524822695035461</v>
      </c>
      <c r="X73" s="0" t="n">
        <v>0.524822695035461</v>
      </c>
      <c r="Y73" s="0" t="n">
        <v>0.524822695035461</v>
      </c>
      <c r="Z73" s="0" t="n">
        <v>0.524822695035461</v>
      </c>
      <c r="AA73" s="0" t="n">
        <v>0.524822695035461</v>
      </c>
      <c r="AB73" s="0" t="n">
        <v>0.524822695035461</v>
      </c>
      <c r="AC73" s="0" t="n">
        <v>0.524822695035461</v>
      </c>
      <c r="AD73" s="0" t="n">
        <v>0.524822695035461</v>
      </c>
      <c r="AE73" s="0" t="n">
        <v>0.524822695035461</v>
      </c>
      <c r="AF73" s="0" t="n">
        <v>0.524822695035461</v>
      </c>
      <c r="AG73" s="0" t="n">
        <v>0.524822695035461</v>
      </c>
      <c r="AH73" s="0" t="n">
        <v>0.524822695035461</v>
      </c>
      <c r="AI73" s="0" t="n">
        <v>0.524822695035461</v>
      </c>
      <c r="AJ73" s="0" t="n">
        <v>0.524822695035461</v>
      </c>
      <c r="AK73" s="0" t="n">
        <v>0.524822695035461</v>
      </c>
      <c r="AL73" s="0" t="n">
        <v>0.524822695035461</v>
      </c>
      <c r="AM73" s="0" t="n">
        <v>0.524822695035461</v>
      </c>
      <c r="AN73" s="0" t="n">
        <v>0.524822695035461</v>
      </c>
      <c r="AO73" s="0" t="n">
        <v>0.524822695035461</v>
      </c>
      <c r="AP73" s="0" t="n">
        <v>0.524822695035461</v>
      </c>
      <c r="AQ73" s="0" t="n">
        <v>0.524822695035461</v>
      </c>
      <c r="AR73" s="0" t="n">
        <v>0.524822695035461</v>
      </c>
      <c r="AS73" s="0" t="n">
        <v>0.524822695035461</v>
      </c>
      <c r="AT73" s="0" t="n">
        <v>0.524822695035461</v>
      </c>
      <c r="AU73" s="0" t="n">
        <v>0.75</v>
      </c>
      <c r="AV73" s="0" t="n">
        <v>0.75</v>
      </c>
      <c r="AW73" s="0" t="n">
        <v>0.75</v>
      </c>
      <c r="AX73" s="0" t="n">
        <v>0.75</v>
      </c>
      <c r="AY73" s="0" t="n">
        <v>0.75</v>
      </c>
      <c r="AZ73" s="0" t="n">
        <v>0.75</v>
      </c>
      <c r="BA73" s="0" t="n">
        <v>0.75</v>
      </c>
      <c r="BB73" s="0" t="n">
        <v>0.75</v>
      </c>
      <c r="BC73" s="0" t="n">
        <v>0.75</v>
      </c>
      <c r="BD73" s="0" t="n">
        <v>0.75</v>
      </c>
      <c r="BE73" s="0" t="n">
        <v>0.75</v>
      </c>
      <c r="BF73" s="0" t="n">
        <v>0.75</v>
      </c>
      <c r="BG73" s="0" t="n">
        <v>0.197003161404876</v>
      </c>
      <c r="BH73" s="0" t="n">
        <v>0.197003161404876</v>
      </c>
      <c r="BI73" s="0" t="n">
        <v>0.197003161404876</v>
      </c>
      <c r="BJ73" s="0" t="n">
        <v>0.197003161404876</v>
      </c>
      <c r="BK73" s="0" t="n">
        <v>0.197003161404876</v>
      </c>
    </row>
    <row r="74" customFormat="false" ht="12.8" hidden="false" customHeight="false" outlineLevel="0" collapsed="false">
      <c r="A74" s="21" t="n">
        <f aca="false">A73+1/24</f>
        <v>43895.0000004164</v>
      </c>
      <c r="B74" s="0" t="n">
        <v>0.0977870165865489</v>
      </c>
      <c r="C74" s="0" t="n">
        <v>0.0977870165865489</v>
      </c>
      <c r="D74" s="0" t="n">
        <v>0.0977870165865489</v>
      </c>
      <c r="E74" s="0" t="n">
        <v>0.0977870165865489</v>
      </c>
      <c r="F74" s="0" t="n">
        <v>0.0977870165865489</v>
      </c>
      <c r="G74" s="0" t="n">
        <v>0.0977870165865489</v>
      </c>
      <c r="H74" s="0" t="n">
        <v>0.0977870165865489</v>
      </c>
      <c r="I74" s="0" t="n">
        <v>0.0977870165865489</v>
      </c>
      <c r="J74" s="0" t="n">
        <v>0.0977870165865489</v>
      </c>
      <c r="K74" s="0" t="n">
        <v>0.0977870165865489</v>
      </c>
      <c r="L74" s="0" t="n">
        <v>0.0977870165865489</v>
      </c>
      <c r="M74" s="0" t="n">
        <v>0.0977870165865489</v>
      </c>
      <c r="N74" s="0" t="n">
        <v>0.0977870165865489</v>
      </c>
      <c r="O74" s="0" t="n">
        <v>0.0977870165865489</v>
      </c>
      <c r="P74" s="0" t="n">
        <v>0.0977870165865489</v>
      </c>
      <c r="Q74" s="0" t="n">
        <v>0.0977870165865489</v>
      </c>
      <c r="R74" s="0" t="n">
        <v>0.0977870165865489</v>
      </c>
      <c r="S74" s="0" t="n">
        <v>0.0977870165865489</v>
      </c>
      <c r="T74" s="0" t="n">
        <v>0.0977870165865489</v>
      </c>
      <c r="U74" s="0" t="n">
        <v>0.0977870165865489</v>
      </c>
      <c r="V74" s="0" t="n">
        <v>0.409321175278622</v>
      </c>
      <c r="W74" s="0" t="n">
        <v>0.409321175278622</v>
      </c>
      <c r="X74" s="0" t="n">
        <v>0.409321175278622</v>
      </c>
      <c r="Y74" s="0" t="n">
        <v>0.409321175278622</v>
      </c>
      <c r="Z74" s="0" t="n">
        <v>0.409321175278622</v>
      </c>
      <c r="AA74" s="0" t="n">
        <v>0.409321175278622</v>
      </c>
      <c r="AB74" s="0" t="n">
        <v>0.409321175278622</v>
      </c>
      <c r="AC74" s="0" t="n">
        <v>0.409321175278622</v>
      </c>
      <c r="AD74" s="0" t="n">
        <v>0.409321175278622</v>
      </c>
      <c r="AE74" s="0" t="n">
        <v>0.409321175278622</v>
      </c>
      <c r="AF74" s="0" t="n">
        <v>0.409321175278622</v>
      </c>
      <c r="AG74" s="0" t="n">
        <v>0.409321175278622</v>
      </c>
      <c r="AH74" s="0" t="n">
        <v>0.409321175278622</v>
      </c>
      <c r="AI74" s="0" t="n">
        <v>0.409321175278622</v>
      </c>
      <c r="AJ74" s="0" t="n">
        <v>0.409321175278622</v>
      </c>
      <c r="AK74" s="0" t="n">
        <v>0.409321175278622</v>
      </c>
      <c r="AL74" s="0" t="n">
        <v>0.409321175278622</v>
      </c>
      <c r="AM74" s="0" t="n">
        <v>0.409321175278622</v>
      </c>
      <c r="AN74" s="0" t="n">
        <v>0.409321175278622</v>
      </c>
      <c r="AO74" s="0" t="n">
        <v>0.409321175278622</v>
      </c>
      <c r="AP74" s="0" t="n">
        <v>0.409321175278622</v>
      </c>
      <c r="AQ74" s="0" t="n">
        <v>0.409321175278622</v>
      </c>
      <c r="AR74" s="0" t="n">
        <v>0.409321175278622</v>
      </c>
      <c r="AS74" s="0" t="n">
        <v>0.409321175278622</v>
      </c>
      <c r="AT74" s="0" t="n">
        <v>0.409321175278622</v>
      </c>
      <c r="AU74" s="0" t="n">
        <v>0.25</v>
      </c>
      <c r="AV74" s="0" t="n">
        <v>0.25</v>
      </c>
      <c r="AW74" s="0" t="n">
        <v>0.25</v>
      </c>
      <c r="AX74" s="0" t="n">
        <v>0.25</v>
      </c>
      <c r="AY74" s="0" t="n">
        <v>0.25</v>
      </c>
      <c r="AZ74" s="0" t="n">
        <v>0.25</v>
      </c>
      <c r="BA74" s="0" t="n">
        <v>0.25</v>
      </c>
      <c r="BB74" s="0" t="n">
        <v>0.25</v>
      </c>
      <c r="BC74" s="0" t="n">
        <v>0.25</v>
      </c>
      <c r="BD74" s="0" t="n">
        <v>0.25</v>
      </c>
      <c r="BE74" s="0" t="n">
        <v>0.25</v>
      </c>
      <c r="BF74" s="0" t="n">
        <v>0.25</v>
      </c>
      <c r="BG74" s="0" t="n">
        <v>0.0977870165865489</v>
      </c>
      <c r="BH74" s="0" t="n">
        <v>0.0977870165865489</v>
      </c>
      <c r="BI74" s="0" t="n">
        <v>0.0977870165865489</v>
      </c>
      <c r="BJ74" s="0" t="n">
        <v>0.0977870165865489</v>
      </c>
      <c r="BK74" s="0" t="n">
        <v>0.0977870165865489</v>
      </c>
    </row>
    <row r="75" customFormat="false" ht="12.8" hidden="false" customHeight="false" outlineLevel="0" collapsed="false">
      <c r="A75" s="21" t="n">
        <f aca="false">A74+1/24</f>
        <v>43895.0416670831</v>
      </c>
      <c r="B75" s="0" t="n">
        <v>0.0608895240569919</v>
      </c>
      <c r="C75" s="0" t="n">
        <v>0.0608895240569919</v>
      </c>
      <c r="D75" s="0" t="n">
        <v>0.0608895240569919</v>
      </c>
      <c r="E75" s="0" t="n">
        <v>0.0608895240569919</v>
      </c>
      <c r="F75" s="0" t="n">
        <v>0.0608895240569919</v>
      </c>
      <c r="G75" s="0" t="n">
        <v>0.0608895240569919</v>
      </c>
      <c r="H75" s="0" t="n">
        <v>0.0608895240569919</v>
      </c>
      <c r="I75" s="0" t="n">
        <v>0.0608895240569919</v>
      </c>
      <c r="J75" s="0" t="n">
        <v>0.0608895240569919</v>
      </c>
      <c r="K75" s="0" t="n">
        <v>0.0608895240569919</v>
      </c>
      <c r="L75" s="0" t="n">
        <v>0.0608895240569919</v>
      </c>
      <c r="M75" s="0" t="n">
        <v>0.0608895240569919</v>
      </c>
      <c r="N75" s="0" t="n">
        <v>0.0608895240569919</v>
      </c>
      <c r="O75" s="0" t="n">
        <v>0.0608895240569919</v>
      </c>
      <c r="P75" s="0" t="n">
        <v>0.0608895240569919</v>
      </c>
      <c r="Q75" s="0" t="n">
        <v>0.0608895240569919</v>
      </c>
      <c r="R75" s="0" t="n">
        <v>0.0608895240569919</v>
      </c>
      <c r="S75" s="0" t="n">
        <v>0.0608895240569919</v>
      </c>
      <c r="T75" s="0" t="n">
        <v>0.0608895240569919</v>
      </c>
      <c r="U75" s="0" t="n">
        <v>0.0608895240569919</v>
      </c>
      <c r="V75" s="0" t="n">
        <v>0.382978723404255</v>
      </c>
      <c r="W75" s="0" t="n">
        <v>0.382978723404255</v>
      </c>
      <c r="X75" s="0" t="n">
        <v>0.382978723404255</v>
      </c>
      <c r="Y75" s="0" t="n">
        <v>0.382978723404255</v>
      </c>
      <c r="Z75" s="0" t="n">
        <v>0.382978723404255</v>
      </c>
      <c r="AA75" s="0" t="n">
        <v>0.382978723404255</v>
      </c>
      <c r="AB75" s="0" t="n">
        <v>0.382978723404255</v>
      </c>
      <c r="AC75" s="0" t="n">
        <v>0.382978723404255</v>
      </c>
      <c r="AD75" s="0" t="n">
        <v>0.382978723404255</v>
      </c>
      <c r="AE75" s="0" t="n">
        <v>0.382978723404255</v>
      </c>
      <c r="AF75" s="0" t="n">
        <v>0.382978723404255</v>
      </c>
      <c r="AG75" s="0" t="n">
        <v>0.382978723404255</v>
      </c>
      <c r="AH75" s="0" t="n">
        <v>0.382978723404255</v>
      </c>
      <c r="AI75" s="0" t="n">
        <v>0.382978723404255</v>
      </c>
      <c r="AJ75" s="0" t="n">
        <v>0.382978723404255</v>
      </c>
      <c r="AK75" s="0" t="n">
        <v>0.382978723404255</v>
      </c>
      <c r="AL75" s="0" t="n">
        <v>0.382978723404255</v>
      </c>
      <c r="AM75" s="0" t="n">
        <v>0.382978723404255</v>
      </c>
      <c r="AN75" s="0" t="n">
        <v>0.382978723404255</v>
      </c>
      <c r="AO75" s="0" t="n">
        <v>0.382978723404255</v>
      </c>
      <c r="AP75" s="0" t="n">
        <v>0.382978723404255</v>
      </c>
      <c r="AQ75" s="0" t="n">
        <v>0.382978723404255</v>
      </c>
      <c r="AR75" s="0" t="n">
        <v>0.382978723404255</v>
      </c>
      <c r="AS75" s="0" t="n">
        <v>0.382978723404255</v>
      </c>
      <c r="AT75" s="0" t="n">
        <v>0.382978723404255</v>
      </c>
      <c r="AU75" s="0" t="n">
        <v>0.625</v>
      </c>
      <c r="AV75" s="0" t="n">
        <v>0.625</v>
      </c>
      <c r="AW75" s="0" t="n">
        <v>0.625</v>
      </c>
      <c r="AX75" s="0" t="n">
        <v>0.625</v>
      </c>
      <c r="AY75" s="0" t="n">
        <v>0.625</v>
      </c>
      <c r="AZ75" s="0" t="n">
        <v>0.625</v>
      </c>
      <c r="BA75" s="0" t="n">
        <v>0.625</v>
      </c>
      <c r="BB75" s="0" t="n">
        <v>0.625</v>
      </c>
      <c r="BC75" s="0" t="n">
        <v>0.625</v>
      </c>
      <c r="BD75" s="0" t="n">
        <v>0.625</v>
      </c>
      <c r="BE75" s="0" t="n">
        <v>0.625</v>
      </c>
      <c r="BF75" s="0" t="n">
        <v>0.625</v>
      </c>
      <c r="BG75" s="0" t="n">
        <v>0.0608895240569919</v>
      </c>
      <c r="BH75" s="0" t="n">
        <v>0.0608895240569919</v>
      </c>
      <c r="BI75" s="0" t="n">
        <v>0.0608895240569919</v>
      </c>
      <c r="BJ75" s="0" t="n">
        <v>0.0608895240569919</v>
      </c>
      <c r="BK75" s="0" t="n">
        <v>0.0608895240569919</v>
      </c>
    </row>
    <row r="76" customFormat="false" ht="12.8" hidden="false" customHeight="false" outlineLevel="0" collapsed="false">
      <c r="A76" s="21" t="n">
        <f aca="false">A75+1/24</f>
        <v>43895.0833337498</v>
      </c>
      <c r="B76" s="0" t="n">
        <v>0.0423108570438699</v>
      </c>
      <c r="C76" s="0" t="n">
        <v>0.0423108570438699</v>
      </c>
      <c r="D76" s="0" t="n">
        <v>0.0423108570438699</v>
      </c>
      <c r="E76" s="0" t="n">
        <v>0.0423108570438699</v>
      </c>
      <c r="F76" s="0" t="n">
        <v>0.0423108570438699</v>
      </c>
      <c r="G76" s="0" t="n">
        <v>0.0423108570438699</v>
      </c>
      <c r="H76" s="0" t="n">
        <v>0.0423108570438699</v>
      </c>
      <c r="I76" s="0" t="n">
        <v>0.0423108570438699</v>
      </c>
      <c r="J76" s="0" t="n">
        <v>0.0423108570438699</v>
      </c>
      <c r="K76" s="0" t="n">
        <v>0.0423108570438699</v>
      </c>
      <c r="L76" s="0" t="n">
        <v>0.0423108570438699</v>
      </c>
      <c r="M76" s="0" t="n">
        <v>0.0423108570438699</v>
      </c>
      <c r="N76" s="0" t="n">
        <v>0.0423108570438699</v>
      </c>
      <c r="O76" s="0" t="n">
        <v>0.0423108570438699</v>
      </c>
      <c r="P76" s="0" t="n">
        <v>0.0423108570438699</v>
      </c>
      <c r="Q76" s="0" t="n">
        <v>0.0423108570438699</v>
      </c>
      <c r="R76" s="0" t="n">
        <v>0.0423108570438699</v>
      </c>
      <c r="S76" s="0" t="n">
        <v>0.0423108570438699</v>
      </c>
      <c r="T76" s="0" t="n">
        <v>0.0423108570438699</v>
      </c>
      <c r="U76" s="0" t="n">
        <v>0.0423108570438699</v>
      </c>
      <c r="V76" s="0" t="n">
        <v>0.338399189463019</v>
      </c>
      <c r="W76" s="0" t="n">
        <v>0.338399189463019</v>
      </c>
      <c r="X76" s="0" t="n">
        <v>0.338399189463019</v>
      </c>
      <c r="Y76" s="0" t="n">
        <v>0.338399189463019</v>
      </c>
      <c r="Z76" s="0" t="n">
        <v>0.338399189463019</v>
      </c>
      <c r="AA76" s="0" t="n">
        <v>0.338399189463019</v>
      </c>
      <c r="AB76" s="0" t="n">
        <v>0.338399189463019</v>
      </c>
      <c r="AC76" s="0" t="n">
        <v>0.338399189463019</v>
      </c>
      <c r="AD76" s="0" t="n">
        <v>0.338399189463019</v>
      </c>
      <c r="AE76" s="0" t="n">
        <v>0.338399189463019</v>
      </c>
      <c r="AF76" s="0" t="n">
        <v>0.338399189463019</v>
      </c>
      <c r="AG76" s="0" t="n">
        <v>0.338399189463019</v>
      </c>
      <c r="AH76" s="0" t="n">
        <v>0.338399189463019</v>
      </c>
      <c r="AI76" s="0" t="n">
        <v>0.338399189463019</v>
      </c>
      <c r="AJ76" s="0" t="n">
        <v>0.338399189463019</v>
      </c>
      <c r="AK76" s="0" t="n">
        <v>0.338399189463019</v>
      </c>
      <c r="AL76" s="0" t="n">
        <v>0.338399189463019</v>
      </c>
      <c r="AM76" s="0" t="n">
        <v>0.338399189463019</v>
      </c>
      <c r="AN76" s="0" t="n">
        <v>0.338399189463019</v>
      </c>
      <c r="AO76" s="0" t="n">
        <v>0.338399189463019</v>
      </c>
      <c r="AP76" s="0" t="n">
        <v>0.338399189463019</v>
      </c>
      <c r="AQ76" s="0" t="n">
        <v>0.338399189463019</v>
      </c>
      <c r="AR76" s="0" t="n">
        <v>0.338399189463019</v>
      </c>
      <c r="AS76" s="0" t="n">
        <v>0.338399189463019</v>
      </c>
      <c r="AT76" s="0" t="n">
        <v>0.338399189463019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0.0423108570438699</v>
      </c>
      <c r="BH76" s="0" t="n">
        <v>0.0423108570438699</v>
      </c>
      <c r="BI76" s="0" t="n">
        <v>0.0423108570438699</v>
      </c>
      <c r="BJ76" s="0" t="n">
        <v>0.0423108570438699</v>
      </c>
      <c r="BK76" s="0" t="n">
        <v>0.0423108570438699</v>
      </c>
    </row>
    <row r="77" customFormat="false" ht="12.8" hidden="false" customHeight="false" outlineLevel="0" collapsed="false">
      <c r="A77" s="21" t="n">
        <f aca="false">A76+1/24</f>
        <v>43895.1250004164</v>
      </c>
      <c r="B77" s="0" t="n">
        <v>0.0466848555714348</v>
      </c>
      <c r="C77" s="0" t="n">
        <v>0.0466848555714348</v>
      </c>
      <c r="D77" s="0" t="n">
        <v>0.0466848555714348</v>
      </c>
      <c r="E77" s="0" t="n">
        <v>0.0466848555714348</v>
      </c>
      <c r="F77" s="0" t="n">
        <v>0.0466848555714348</v>
      </c>
      <c r="G77" s="0" t="n">
        <v>0.0466848555714348</v>
      </c>
      <c r="H77" s="0" t="n">
        <v>0.0466848555714348</v>
      </c>
      <c r="I77" s="0" t="n">
        <v>0.0466848555714348</v>
      </c>
      <c r="J77" s="0" t="n">
        <v>0.0466848555714348</v>
      </c>
      <c r="K77" s="0" t="n">
        <v>0.0466848555714348</v>
      </c>
      <c r="L77" s="0" t="n">
        <v>0.0466848555714348</v>
      </c>
      <c r="M77" s="0" t="n">
        <v>0.0466848555714348</v>
      </c>
      <c r="N77" s="0" t="n">
        <v>0.0466848555714348</v>
      </c>
      <c r="O77" s="0" t="n">
        <v>0.0466848555714348</v>
      </c>
      <c r="P77" s="0" t="n">
        <v>0.0466848555714348</v>
      </c>
      <c r="Q77" s="0" t="n">
        <v>0.0466848555714348</v>
      </c>
      <c r="R77" s="0" t="n">
        <v>0.0466848555714348</v>
      </c>
      <c r="S77" s="0" t="n">
        <v>0.0466848555714348</v>
      </c>
      <c r="T77" s="0" t="n">
        <v>0.0466848555714348</v>
      </c>
      <c r="U77" s="0" t="n">
        <v>0.0466848555714348</v>
      </c>
      <c r="V77" s="0" t="n">
        <v>0.361702127659574</v>
      </c>
      <c r="W77" s="0" t="n">
        <v>0.361702127659574</v>
      </c>
      <c r="X77" s="0" t="n">
        <v>0.361702127659574</v>
      </c>
      <c r="Y77" s="0" t="n">
        <v>0.361702127659574</v>
      </c>
      <c r="Z77" s="0" t="n">
        <v>0.361702127659574</v>
      </c>
      <c r="AA77" s="0" t="n">
        <v>0.361702127659574</v>
      </c>
      <c r="AB77" s="0" t="n">
        <v>0.361702127659574</v>
      </c>
      <c r="AC77" s="0" t="n">
        <v>0.361702127659574</v>
      </c>
      <c r="AD77" s="0" t="n">
        <v>0.361702127659574</v>
      </c>
      <c r="AE77" s="0" t="n">
        <v>0.361702127659574</v>
      </c>
      <c r="AF77" s="0" t="n">
        <v>0.361702127659574</v>
      </c>
      <c r="AG77" s="0" t="n">
        <v>0.361702127659574</v>
      </c>
      <c r="AH77" s="0" t="n">
        <v>0.361702127659574</v>
      </c>
      <c r="AI77" s="0" t="n">
        <v>0.361702127659574</v>
      </c>
      <c r="AJ77" s="0" t="n">
        <v>0.361702127659574</v>
      </c>
      <c r="AK77" s="0" t="n">
        <v>0.361702127659574</v>
      </c>
      <c r="AL77" s="0" t="n">
        <v>0.361702127659574</v>
      </c>
      <c r="AM77" s="0" t="n">
        <v>0.361702127659574</v>
      </c>
      <c r="AN77" s="0" t="n">
        <v>0.361702127659574</v>
      </c>
      <c r="AO77" s="0" t="n">
        <v>0.361702127659574</v>
      </c>
      <c r="AP77" s="0" t="n">
        <v>0.361702127659574</v>
      </c>
      <c r="AQ77" s="0" t="n">
        <v>0.361702127659574</v>
      </c>
      <c r="AR77" s="0" t="n">
        <v>0.361702127659574</v>
      </c>
      <c r="AS77" s="0" t="n">
        <v>0.361702127659574</v>
      </c>
      <c r="AT77" s="0" t="n">
        <v>0.361702127659574</v>
      </c>
      <c r="AU77" s="0" t="n">
        <v>0.125</v>
      </c>
      <c r="AV77" s="0" t="n">
        <v>0.125</v>
      </c>
      <c r="AW77" s="0" t="n">
        <v>0.125</v>
      </c>
      <c r="AX77" s="0" t="n">
        <v>0.125</v>
      </c>
      <c r="AY77" s="0" t="n">
        <v>0.125</v>
      </c>
      <c r="AZ77" s="0" t="n">
        <v>0.125</v>
      </c>
      <c r="BA77" s="0" t="n">
        <v>0.125</v>
      </c>
      <c r="BB77" s="0" t="n">
        <v>0.125</v>
      </c>
      <c r="BC77" s="0" t="n">
        <v>0.125</v>
      </c>
      <c r="BD77" s="0" t="n">
        <v>0.125</v>
      </c>
      <c r="BE77" s="0" t="n">
        <v>0.125</v>
      </c>
      <c r="BF77" s="0" t="n">
        <v>0.125</v>
      </c>
      <c r="BG77" s="0" t="n">
        <v>0.0466848555714348</v>
      </c>
      <c r="BH77" s="0" t="n">
        <v>0.0466848555714348</v>
      </c>
      <c r="BI77" s="0" t="n">
        <v>0.0466848555714348</v>
      </c>
      <c r="BJ77" s="0" t="n">
        <v>0.0466848555714348</v>
      </c>
      <c r="BK77" s="0" t="n">
        <v>0.0466848555714348</v>
      </c>
    </row>
    <row r="78" customFormat="false" ht="12.8" hidden="false" customHeight="false" outlineLevel="0" collapsed="false">
      <c r="A78" s="21" t="n">
        <f aca="false">A77+1/24</f>
        <v>43895.1666670831</v>
      </c>
      <c r="B78" s="0" t="n">
        <v>0.103027153436404</v>
      </c>
      <c r="C78" s="0" t="n">
        <v>0.103027153436404</v>
      </c>
      <c r="D78" s="0" t="n">
        <v>0.103027153436404</v>
      </c>
      <c r="E78" s="0" t="n">
        <v>0.103027153436404</v>
      </c>
      <c r="F78" s="0" t="n">
        <v>0.103027153436404</v>
      </c>
      <c r="G78" s="0" t="n">
        <v>0.103027153436404</v>
      </c>
      <c r="H78" s="0" t="n">
        <v>0.103027153436404</v>
      </c>
      <c r="I78" s="0" t="n">
        <v>0.103027153436404</v>
      </c>
      <c r="J78" s="0" t="n">
        <v>0.103027153436404</v>
      </c>
      <c r="K78" s="0" t="n">
        <v>0.103027153436404</v>
      </c>
      <c r="L78" s="0" t="n">
        <v>0.103027153436404</v>
      </c>
      <c r="M78" s="0" t="n">
        <v>0.103027153436404</v>
      </c>
      <c r="N78" s="0" t="n">
        <v>0.103027153436404</v>
      </c>
      <c r="O78" s="0" t="n">
        <v>0.103027153436404</v>
      </c>
      <c r="P78" s="0" t="n">
        <v>0.103027153436404</v>
      </c>
      <c r="Q78" s="0" t="n">
        <v>0.103027153436404</v>
      </c>
      <c r="R78" s="0" t="n">
        <v>0.103027153436404</v>
      </c>
      <c r="S78" s="0" t="n">
        <v>0.103027153436404</v>
      </c>
      <c r="T78" s="0" t="n">
        <v>0.103027153436404</v>
      </c>
      <c r="U78" s="0" t="n">
        <v>0.103027153436404</v>
      </c>
      <c r="V78" s="0" t="n">
        <v>0.559270516717325</v>
      </c>
      <c r="W78" s="0" t="n">
        <v>0.559270516717325</v>
      </c>
      <c r="X78" s="0" t="n">
        <v>0.559270516717325</v>
      </c>
      <c r="Y78" s="0" t="n">
        <v>0.559270516717325</v>
      </c>
      <c r="Z78" s="0" t="n">
        <v>0.559270516717325</v>
      </c>
      <c r="AA78" s="0" t="n">
        <v>0.559270516717325</v>
      </c>
      <c r="AB78" s="0" t="n">
        <v>0.559270516717325</v>
      </c>
      <c r="AC78" s="0" t="n">
        <v>0.559270516717325</v>
      </c>
      <c r="AD78" s="0" t="n">
        <v>0.559270516717325</v>
      </c>
      <c r="AE78" s="0" t="n">
        <v>0.559270516717325</v>
      </c>
      <c r="AF78" s="0" t="n">
        <v>0.559270516717325</v>
      </c>
      <c r="AG78" s="0" t="n">
        <v>0.559270516717325</v>
      </c>
      <c r="AH78" s="0" t="n">
        <v>0.559270516717325</v>
      </c>
      <c r="AI78" s="0" t="n">
        <v>0.559270516717325</v>
      </c>
      <c r="AJ78" s="0" t="n">
        <v>0.559270516717325</v>
      </c>
      <c r="AK78" s="0" t="n">
        <v>0.559270516717325</v>
      </c>
      <c r="AL78" s="0" t="n">
        <v>0.559270516717325</v>
      </c>
      <c r="AM78" s="0" t="n">
        <v>0.559270516717325</v>
      </c>
      <c r="AN78" s="0" t="n">
        <v>0.559270516717325</v>
      </c>
      <c r="AO78" s="0" t="n">
        <v>0.559270516717325</v>
      </c>
      <c r="AP78" s="0" t="n">
        <v>0.559270516717325</v>
      </c>
      <c r="AQ78" s="0" t="n">
        <v>0.559270516717325</v>
      </c>
      <c r="AR78" s="0" t="n">
        <v>0.559270516717325</v>
      </c>
      <c r="AS78" s="0" t="n">
        <v>0.559270516717325</v>
      </c>
      <c r="AT78" s="0" t="n">
        <v>0.559270516717325</v>
      </c>
      <c r="AU78" s="0" t="n">
        <v>0.625</v>
      </c>
      <c r="AV78" s="0" t="n">
        <v>0.625</v>
      </c>
      <c r="AW78" s="0" t="n">
        <v>0.625</v>
      </c>
      <c r="AX78" s="0" t="n">
        <v>0.625</v>
      </c>
      <c r="AY78" s="0" t="n">
        <v>0.625</v>
      </c>
      <c r="AZ78" s="0" t="n">
        <v>0.625</v>
      </c>
      <c r="BA78" s="0" t="n">
        <v>0.625</v>
      </c>
      <c r="BB78" s="0" t="n">
        <v>0.625</v>
      </c>
      <c r="BC78" s="0" t="n">
        <v>0.625</v>
      </c>
      <c r="BD78" s="0" t="n">
        <v>0.625</v>
      </c>
      <c r="BE78" s="0" t="n">
        <v>0.625</v>
      </c>
      <c r="BF78" s="0" t="n">
        <v>0.625</v>
      </c>
      <c r="BG78" s="0" t="n">
        <v>0.103027153436404</v>
      </c>
      <c r="BH78" s="0" t="n">
        <v>0.103027153436404</v>
      </c>
      <c r="BI78" s="0" t="n">
        <v>0.103027153436404</v>
      </c>
      <c r="BJ78" s="0" t="n">
        <v>0.103027153436404</v>
      </c>
      <c r="BK78" s="0" t="n">
        <v>0.103027153436404</v>
      </c>
    </row>
    <row r="79" customFormat="false" ht="12.8" hidden="false" customHeight="false" outlineLevel="0" collapsed="false">
      <c r="A79" s="21" t="n">
        <f aca="false">A78+1/24</f>
        <v>43895.2083337498</v>
      </c>
      <c r="B79" s="0" t="n">
        <v>0.365856827335325</v>
      </c>
      <c r="C79" s="0" t="n">
        <v>0.365856827335325</v>
      </c>
      <c r="D79" s="0" t="n">
        <v>0.365856827335325</v>
      </c>
      <c r="E79" s="0" t="n">
        <v>0.365856827335325</v>
      </c>
      <c r="F79" s="0" t="n">
        <v>0.365856827335325</v>
      </c>
      <c r="G79" s="0" t="n">
        <v>0.365856827335325</v>
      </c>
      <c r="H79" s="0" t="n">
        <v>0.365856827335325</v>
      </c>
      <c r="I79" s="0" t="n">
        <v>0.365856827335325</v>
      </c>
      <c r="J79" s="0" t="n">
        <v>0.365856827335325</v>
      </c>
      <c r="K79" s="0" t="n">
        <v>0.365856827335325</v>
      </c>
      <c r="L79" s="0" t="n">
        <v>0.365856827335325</v>
      </c>
      <c r="M79" s="0" t="n">
        <v>0.365856827335325</v>
      </c>
      <c r="N79" s="0" t="n">
        <v>0.365856827335325</v>
      </c>
      <c r="O79" s="0" t="n">
        <v>0.365856827335325</v>
      </c>
      <c r="P79" s="0" t="n">
        <v>0.365856827335325</v>
      </c>
      <c r="Q79" s="0" t="n">
        <v>0.365856827335325</v>
      </c>
      <c r="R79" s="0" t="n">
        <v>0.365856827335325</v>
      </c>
      <c r="S79" s="0" t="n">
        <v>0.365856827335325</v>
      </c>
      <c r="T79" s="0" t="n">
        <v>0.365856827335325</v>
      </c>
      <c r="U79" s="0" t="n">
        <v>0.365856827335325</v>
      </c>
      <c r="V79" s="0" t="n">
        <v>0.981762917933131</v>
      </c>
      <c r="W79" s="0" t="n">
        <v>0.981762917933131</v>
      </c>
      <c r="X79" s="0" t="n">
        <v>0.981762917933131</v>
      </c>
      <c r="Y79" s="0" t="n">
        <v>0.981762917933131</v>
      </c>
      <c r="Z79" s="0" t="n">
        <v>0.981762917933131</v>
      </c>
      <c r="AA79" s="0" t="n">
        <v>0.981762917933131</v>
      </c>
      <c r="AB79" s="0" t="n">
        <v>0.981762917933131</v>
      </c>
      <c r="AC79" s="0" t="n">
        <v>0.981762917933131</v>
      </c>
      <c r="AD79" s="0" t="n">
        <v>0.981762917933131</v>
      </c>
      <c r="AE79" s="0" t="n">
        <v>0.981762917933131</v>
      </c>
      <c r="AF79" s="0" t="n">
        <v>0.981762917933131</v>
      </c>
      <c r="AG79" s="0" t="n">
        <v>0.981762917933131</v>
      </c>
      <c r="AH79" s="0" t="n">
        <v>0.981762917933131</v>
      </c>
      <c r="AI79" s="0" t="n">
        <v>0.981762917933131</v>
      </c>
      <c r="AJ79" s="0" t="n">
        <v>0.981762917933131</v>
      </c>
      <c r="AK79" s="0" t="n">
        <v>0.981762917933131</v>
      </c>
      <c r="AL79" s="0" t="n">
        <v>0.981762917933131</v>
      </c>
      <c r="AM79" s="0" t="n">
        <v>0.981762917933131</v>
      </c>
      <c r="AN79" s="0" t="n">
        <v>0.981762917933131</v>
      </c>
      <c r="AO79" s="0" t="n">
        <v>0.981762917933131</v>
      </c>
      <c r="AP79" s="0" t="n">
        <v>0.981762917933131</v>
      </c>
      <c r="AQ79" s="0" t="n">
        <v>0.981762917933131</v>
      </c>
      <c r="AR79" s="0" t="n">
        <v>0.981762917933131</v>
      </c>
      <c r="AS79" s="0" t="n">
        <v>0.981762917933131</v>
      </c>
      <c r="AT79" s="0" t="n">
        <v>0.981762917933131</v>
      </c>
      <c r="AU79" s="0" t="n">
        <v>1.875</v>
      </c>
      <c r="AV79" s="0" t="n">
        <v>1.875</v>
      </c>
      <c r="AW79" s="0" t="n">
        <v>1.875</v>
      </c>
      <c r="AX79" s="0" t="n">
        <v>1.875</v>
      </c>
      <c r="AY79" s="0" t="n">
        <v>1.875</v>
      </c>
      <c r="AZ79" s="0" t="n">
        <v>1.875</v>
      </c>
      <c r="BA79" s="0" t="n">
        <v>1.875</v>
      </c>
      <c r="BB79" s="0" t="n">
        <v>1.875</v>
      </c>
      <c r="BC79" s="0" t="n">
        <v>1.875</v>
      </c>
      <c r="BD79" s="0" t="n">
        <v>1.875</v>
      </c>
      <c r="BE79" s="0" t="n">
        <v>1.875</v>
      </c>
      <c r="BF79" s="0" t="n">
        <v>1.875</v>
      </c>
      <c r="BG79" s="0" t="n">
        <v>0.365856827335325</v>
      </c>
      <c r="BH79" s="0" t="n">
        <v>0.365856827335325</v>
      </c>
      <c r="BI79" s="0" t="n">
        <v>0.365856827335325</v>
      </c>
      <c r="BJ79" s="0" t="n">
        <v>0.365856827335325</v>
      </c>
      <c r="BK79" s="0" t="n">
        <v>0.365856827335325</v>
      </c>
    </row>
    <row r="80" customFormat="false" ht="12.8" hidden="false" customHeight="false" outlineLevel="0" collapsed="false">
      <c r="A80" s="21" t="n">
        <f aca="false">A79+1/24</f>
        <v>43895.2500004164</v>
      </c>
      <c r="B80" s="0" t="n">
        <v>0.834480966610368</v>
      </c>
      <c r="C80" s="0" t="n">
        <v>0.834480966610368</v>
      </c>
      <c r="D80" s="0" t="n">
        <v>0.834480966610368</v>
      </c>
      <c r="E80" s="0" t="n">
        <v>0.834480966610368</v>
      </c>
      <c r="F80" s="0" t="n">
        <v>0.834480966610368</v>
      </c>
      <c r="G80" s="0" t="n">
        <v>0.834480966610368</v>
      </c>
      <c r="H80" s="0" t="n">
        <v>0.834480966610368</v>
      </c>
      <c r="I80" s="0" t="n">
        <v>0.834480966610368</v>
      </c>
      <c r="J80" s="0" t="n">
        <v>0.834480966610368</v>
      </c>
      <c r="K80" s="0" t="n">
        <v>0.834480966610368</v>
      </c>
      <c r="L80" s="0" t="n">
        <v>0.834480966610368</v>
      </c>
      <c r="M80" s="0" t="n">
        <v>0.834480966610368</v>
      </c>
      <c r="N80" s="0" t="n">
        <v>0.834480966610368</v>
      </c>
      <c r="O80" s="0" t="n">
        <v>0.834480966610368</v>
      </c>
      <c r="P80" s="0" t="n">
        <v>0.834480966610368</v>
      </c>
      <c r="Q80" s="0" t="n">
        <v>0.834480966610368</v>
      </c>
      <c r="R80" s="0" t="n">
        <v>0.834480966610368</v>
      </c>
      <c r="S80" s="0" t="n">
        <v>0.834480966610368</v>
      </c>
      <c r="T80" s="0" t="n">
        <v>0.834480966610368</v>
      </c>
      <c r="U80" s="0" t="n">
        <v>0.834480966610368</v>
      </c>
      <c r="V80" s="0" t="n">
        <v>1.29584599797366</v>
      </c>
      <c r="W80" s="0" t="n">
        <v>1.29584599797366</v>
      </c>
      <c r="X80" s="0" t="n">
        <v>1.29584599797366</v>
      </c>
      <c r="Y80" s="0" t="n">
        <v>1.29584599797366</v>
      </c>
      <c r="Z80" s="0" t="n">
        <v>1.29584599797366</v>
      </c>
      <c r="AA80" s="0" t="n">
        <v>1.29584599797366</v>
      </c>
      <c r="AB80" s="0" t="n">
        <v>1.29584599797366</v>
      </c>
      <c r="AC80" s="0" t="n">
        <v>1.29584599797366</v>
      </c>
      <c r="AD80" s="0" t="n">
        <v>1.29584599797366</v>
      </c>
      <c r="AE80" s="0" t="n">
        <v>1.29584599797366</v>
      </c>
      <c r="AF80" s="0" t="n">
        <v>1.29584599797366</v>
      </c>
      <c r="AG80" s="0" t="n">
        <v>1.29584599797366</v>
      </c>
      <c r="AH80" s="0" t="n">
        <v>1.29584599797366</v>
      </c>
      <c r="AI80" s="0" t="n">
        <v>1.29584599797366</v>
      </c>
      <c r="AJ80" s="0" t="n">
        <v>1.29584599797366</v>
      </c>
      <c r="AK80" s="0" t="n">
        <v>1.29584599797366</v>
      </c>
      <c r="AL80" s="0" t="n">
        <v>1.29584599797366</v>
      </c>
      <c r="AM80" s="0" t="n">
        <v>1.29584599797366</v>
      </c>
      <c r="AN80" s="0" t="n">
        <v>1.29584599797366</v>
      </c>
      <c r="AO80" s="0" t="n">
        <v>1.29584599797366</v>
      </c>
      <c r="AP80" s="0" t="n">
        <v>1.29584599797366</v>
      </c>
      <c r="AQ80" s="0" t="n">
        <v>1.29584599797366</v>
      </c>
      <c r="AR80" s="0" t="n">
        <v>1.29584599797366</v>
      </c>
      <c r="AS80" s="0" t="n">
        <v>1.29584599797366</v>
      </c>
      <c r="AT80" s="0" t="n">
        <v>1.29584599797366</v>
      </c>
      <c r="AU80" s="0" t="n">
        <v>1.625</v>
      </c>
      <c r="AV80" s="0" t="n">
        <v>1.625</v>
      </c>
      <c r="AW80" s="0" t="n">
        <v>1.625</v>
      </c>
      <c r="AX80" s="0" t="n">
        <v>1.625</v>
      </c>
      <c r="AY80" s="0" t="n">
        <v>1.625</v>
      </c>
      <c r="AZ80" s="0" t="n">
        <v>1.625</v>
      </c>
      <c r="BA80" s="0" t="n">
        <v>1.625</v>
      </c>
      <c r="BB80" s="0" t="n">
        <v>1.625</v>
      </c>
      <c r="BC80" s="0" t="n">
        <v>1.625</v>
      </c>
      <c r="BD80" s="0" t="n">
        <v>1.625</v>
      </c>
      <c r="BE80" s="0" t="n">
        <v>1.625</v>
      </c>
      <c r="BF80" s="0" t="n">
        <v>1.625</v>
      </c>
      <c r="BG80" s="0" t="n">
        <v>0.834480966610368</v>
      </c>
      <c r="BH80" s="0" t="n">
        <v>0.834480966610368</v>
      </c>
      <c r="BI80" s="0" t="n">
        <v>0.834480966610368</v>
      </c>
      <c r="BJ80" s="0" t="n">
        <v>0.834480966610368</v>
      </c>
      <c r="BK80" s="0" t="n">
        <v>0.834480966610368</v>
      </c>
    </row>
    <row r="81" customFormat="false" ht="12.8" hidden="false" customHeight="false" outlineLevel="0" collapsed="false">
      <c r="A81" s="21" t="n">
        <f aca="false">A80+1/24</f>
        <v>43895.2916670831</v>
      </c>
      <c r="B81" s="0" t="n">
        <v>0.942271880819367</v>
      </c>
      <c r="C81" s="0" t="n">
        <v>0.942271880819367</v>
      </c>
      <c r="D81" s="0" t="n">
        <v>0.942271880819367</v>
      </c>
      <c r="E81" s="0" t="n">
        <v>0.942271880819367</v>
      </c>
      <c r="F81" s="0" t="n">
        <v>0.942271880819367</v>
      </c>
      <c r="G81" s="0" t="n">
        <v>0.942271880819367</v>
      </c>
      <c r="H81" s="0" t="n">
        <v>0.942271880819367</v>
      </c>
      <c r="I81" s="0" t="n">
        <v>0.942271880819367</v>
      </c>
      <c r="J81" s="0" t="n">
        <v>0.942271880819367</v>
      </c>
      <c r="K81" s="0" t="n">
        <v>0.942271880819367</v>
      </c>
      <c r="L81" s="0" t="n">
        <v>0.942271880819367</v>
      </c>
      <c r="M81" s="0" t="n">
        <v>0.942271880819367</v>
      </c>
      <c r="N81" s="0" t="n">
        <v>0.942271880819367</v>
      </c>
      <c r="O81" s="0" t="n">
        <v>0.942271880819367</v>
      </c>
      <c r="P81" s="0" t="n">
        <v>0.942271880819367</v>
      </c>
      <c r="Q81" s="0" t="n">
        <v>0.942271880819367</v>
      </c>
      <c r="R81" s="0" t="n">
        <v>0.942271880819367</v>
      </c>
      <c r="S81" s="0" t="n">
        <v>0.942271880819367</v>
      </c>
      <c r="T81" s="0" t="n">
        <v>0.942271880819367</v>
      </c>
      <c r="U81" s="0" t="n">
        <v>0.942271880819367</v>
      </c>
      <c r="V81" s="0" t="n">
        <v>1.20060790273556</v>
      </c>
      <c r="W81" s="0" t="n">
        <v>1.20060790273556</v>
      </c>
      <c r="X81" s="0" t="n">
        <v>1.20060790273556</v>
      </c>
      <c r="Y81" s="0" t="n">
        <v>1.20060790273556</v>
      </c>
      <c r="Z81" s="0" t="n">
        <v>1.20060790273556</v>
      </c>
      <c r="AA81" s="0" t="n">
        <v>1.20060790273556</v>
      </c>
      <c r="AB81" s="0" t="n">
        <v>1.20060790273556</v>
      </c>
      <c r="AC81" s="0" t="n">
        <v>1.20060790273556</v>
      </c>
      <c r="AD81" s="0" t="n">
        <v>1.20060790273556</v>
      </c>
      <c r="AE81" s="0" t="n">
        <v>1.20060790273556</v>
      </c>
      <c r="AF81" s="0" t="n">
        <v>1.20060790273556</v>
      </c>
      <c r="AG81" s="0" t="n">
        <v>1.20060790273556</v>
      </c>
      <c r="AH81" s="0" t="n">
        <v>1.20060790273556</v>
      </c>
      <c r="AI81" s="0" t="n">
        <v>1.20060790273556</v>
      </c>
      <c r="AJ81" s="0" t="n">
        <v>1.20060790273556</v>
      </c>
      <c r="AK81" s="0" t="n">
        <v>1.20060790273556</v>
      </c>
      <c r="AL81" s="0" t="n">
        <v>1.20060790273556</v>
      </c>
      <c r="AM81" s="0" t="n">
        <v>1.20060790273556</v>
      </c>
      <c r="AN81" s="0" t="n">
        <v>1.20060790273556</v>
      </c>
      <c r="AO81" s="0" t="n">
        <v>1.20060790273556</v>
      </c>
      <c r="AP81" s="0" t="n">
        <v>1.20060790273556</v>
      </c>
      <c r="AQ81" s="0" t="n">
        <v>1.20060790273556</v>
      </c>
      <c r="AR81" s="0" t="n">
        <v>1.20060790273556</v>
      </c>
      <c r="AS81" s="0" t="n">
        <v>1.20060790273556</v>
      </c>
      <c r="AT81" s="0" t="n">
        <v>1.20060790273556</v>
      </c>
      <c r="AU81" s="0" t="n">
        <v>2.625</v>
      </c>
      <c r="AV81" s="0" t="n">
        <v>2.625</v>
      </c>
      <c r="AW81" s="0" t="n">
        <v>2.625</v>
      </c>
      <c r="AX81" s="0" t="n">
        <v>2.625</v>
      </c>
      <c r="AY81" s="0" t="n">
        <v>2.625</v>
      </c>
      <c r="AZ81" s="0" t="n">
        <v>2.625</v>
      </c>
      <c r="BA81" s="0" t="n">
        <v>2.625</v>
      </c>
      <c r="BB81" s="0" t="n">
        <v>2.625</v>
      </c>
      <c r="BC81" s="0" t="n">
        <v>2.625</v>
      </c>
      <c r="BD81" s="0" t="n">
        <v>2.625</v>
      </c>
      <c r="BE81" s="0" t="n">
        <v>2.625</v>
      </c>
      <c r="BF81" s="0" t="n">
        <v>2.625</v>
      </c>
      <c r="BG81" s="0" t="n">
        <v>0.942271880819367</v>
      </c>
      <c r="BH81" s="0" t="n">
        <v>0.942271880819367</v>
      </c>
      <c r="BI81" s="0" t="n">
        <v>0.942271880819367</v>
      </c>
      <c r="BJ81" s="0" t="n">
        <v>0.942271880819367</v>
      </c>
      <c r="BK81" s="0" t="n">
        <v>0.942271880819367</v>
      </c>
    </row>
    <row r="82" customFormat="false" ht="12.8" hidden="false" customHeight="false" outlineLevel="0" collapsed="false">
      <c r="A82" s="21" t="n">
        <f aca="false">A81+1/24</f>
        <v>43895.3333337498</v>
      </c>
      <c r="B82" s="0" t="n">
        <v>0.8722012905461</v>
      </c>
      <c r="C82" s="0" t="n">
        <v>0.8722012905461</v>
      </c>
      <c r="D82" s="0" t="n">
        <v>0.8722012905461</v>
      </c>
      <c r="E82" s="0" t="n">
        <v>0.8722012905461</v>
      </c>
      <c r="F82" s="0" t="n">
        <v>0.8722012905461</v>
      </c>
      <c r="G82" s="0" t="n">
        <v>0.8722012905461</v>
      </c>
      <c r="H82" s="0" t="n">
        <v>0.8722012905461</v>
      </c>
      <c r="I82" s="0" t="n">
        <v>0.8722012905461</v>
      </c>
      <c r="J82" s="0" t="n">
        <v>0.8722012905461</v>
      </c>
      <c r="K82" s="0" t="n">
        <v>0.8722012905461</v>
      </c>
      <c r="L82" s="0" t="n">
        <v>0.8722012905461</v>
      </c>
      <c r="M82" s="0" t="n">
        <v>0.8722012905461</v>
      </c>
      <c r="N82" s="0" t="n">
        <v>0.8722012905461</v>
      </c>
      <c r="O82" s="0" t="n">
        <v>0.8722012905461</v>
      </c>
      <c r="P82" s="0" t="n">
        <v>0.8722012905461</v>
      </c>
      <c r="Q82" s="0" t="n">
        <v>0.8722012905461</v>
      </c>
      <c r="R82" s="0" t="n">
        <v>0.8722012905461</v>
      </c>
      <c r="S82" s="0" t="n">
        <v>0.8722012905461</v>
      </c>
      <c r="T82" s="0" t="n">
        <v>0.8722012905461</v>
      </c>
      <c r="U82" s="0" t="n">
        <v>0.8722012905461</v>
      </c>
      <c r="V82" s="0" t="n">
        <v>1.32016210739615</v>
      </c>
      <c r="W82" s="0" t="n">
        <v>1.32016210739615</v>
      </c>
      <c r="X82" s="0" t="n">
        <v>1.32016210739615</v>
      </c>
      <c r="Y82" s="0" t="n">
        <v>1.32016210739615</v>
      </c>
      <c r="Z82" s="0" t="n">
        <v>1.32016210739615</v>
      </c>
      <c r="AA82" s="0" t="n">
        <v>1.32016210739615</v>
      </c>
      <c r="AB82" s="0" t="n">
        <v>1.32016210739615</v>
      </c>
      <c r="AC82" s="0" t="n">
        <v>1.32016210739615</v>
      </c>
      <c r="AD82" s="0" t="n">
        <v>1.32016210739615</v>
      </c>
      <c r="AE82" s="0" t="n">
        <v>1.32016210739615</v>
      </c>
      <c r="AF82" s="0" t="n">
        <v>1.32016210739615</v>
      </c>
      <c r="AG82" s="0" t="n">
        <v>1.32016210739615</v>
      </c>
      <c r="AH82" s="0" t="n">
        <v>1.32016210739615</v>
      </c>
      <c r="AI82" s="0" t="n">
        <v>1.32016210739615</v>
      </c>
      <c r="AJ82" s="0" t="n">
        <v>1.32016210739615</v>
      </c>
      <c r="AK82" s="0" t="n">
        <v>1.32016210739615</v>
      </c>
      <c r="AL82" s="0" t="n">
        <v>1.32016210739615</v>
      </c>
      <c r="AM82" s="0" t="n">
        <v>1.32016210739615</v>
      </c>
      <c r="AN82" s="0" t="n">
        <v>1.32016210739615</v>
      </c>
      <c r="AO82" s="0" t="n">
        <v>1.32016210739615</v>
      </c>
      <c r="AP82" s="0" t="n">
        <v>1.32016210739615</v>
      </c>
      <c r="AQ82" s="0" t="n">
        <v>1.32016210739615</v>
      </c>
      <c r="AR82" s="0" t="n">
        <v>1.32016210739615</v>
      </c>
      <c r="AS82" s="0" t="n">
        <v>1.32016210739615</v>
      </c>
      <c r="AT82" s="0" t="n">
        <v>1.32016210739615</v>
      </c>
      <c r="AU82" s="0" t="n">
        <v>1.75</v>
      </c>
      <c r="AV82" s="0" t="n">
        <v>1.75</v>
      </c>
      <c r="AW82" s="0" t="n">
        <v>1.75</v>
      </c>
      <c r="AX82" s="0" t="n">
        <v>1.75</v>
      </c>
      <c r="AY82" s="0" t="n">
        <v>1.75</v>
      </c>
      <c r="AZ82" s="0" t="n">
        <v>1.75</v>
      </c>
      <c r="BA82" s="0" t="n">
        <v>1.75</v>
      </c>
      <c r="BB82" s="0" t="n">
        <v>1.75</v>
      </c>
      <c r="BC82" s="0" t="n">
        <v>1.75</v>
      </c>
      <c r="BD82" s="0" t="n">
        <v>1.75</v>
      </c>
      <c r="BE82" s="0" t="n">
        <v>1.75</v>
      </c>
      <c r="BF82" s="0" t="n">
        <v>1.75</v>
      </c>
      <c r="BG82" s="0" t="n">
        <v>0.8722012905461</v>
      </c>
      <c r="BH82" s="0" t="n">
        <v>0.8722012905461</v>
      </c>
      <c r="BI82" s="0" t="n">
        <v>0.8722012905461</v>
      </c>
      <c r="BJ82" s="0" t="n">
        <v>0.8722012905461</v>
      </c>
      <c r="BK82" s="0" t="n">
        <v>0.8722012905461</v>
      </c>
    </row>
    <row r="83" customFormat="false" ht="12.8" hidden="false" customHeight="false" outlineLevel="0" collapsed="false">
      <c r="A83" s="21" t="n">
        <f aca="false">A82+1/24</f>
        <v>43895.3750004164</v>
      </c>
      <c r="B83" s="0" t="n">
        <v>0.845394309471222</v>
      </c>
      <c r="C83" s="0" t="n">
        <v>0.845394309471222</v>
      </c>
      <c r="D83" s="0" t="n">
        <v>0.845394309471222</v>
      </c>
      <c r="E83" s="0" t="n">
        <v>0.845394309471222</v>
      </c>
      <c r="F83" s="0" t="n">
        <v>0.845394309471222</v>
      </c>
      <c r="G83" s="0" t="n">
        <v>0.845394309471222</v>
      </c>
      <c r="H83" s="0" t="n">
        <v>0.845394309471222</v>
      </c>
      <c r="I83" s="0" t="n">
        <v>0.845394309471222</v>
      </c>
      <c r="J83" s="0" t="n">
        <v>0.845394309471222</v>
      </c>
      <c r="K83" s="0" t="n">
        <v>0.845394309471222</v>
      </c>
      <c r="L83" s="0" t="n">
        <v>0.845394309471222</v>
      </c>
      <c r="M83" s="0" t="n">
        <v>0.845394309471222</v>
      </c>
      <c r="N83" s="0" t="n">
        <v>0.845394309471222</v>
      </c>
      <c r="O83" s="0" t="n">
        <v>0.845394309471222</v>
      </c>
      <c r="P83" s="0" t="n">
        <v>0.845394309471222</v>
      </c>
      <c r="Q83" s="0" t="n">
        <v>0.845394309471222</v>
      </c>
      <c r="R83" s="0" t="n">
        <v>0.845394309471222</v>
      </c>
      <c r="S83" s="0" t="n">
        <v>0.845394309471222</v>
      </c>
      <c r="T83" s="0" t="n">
        <v>0.845394309471222</v>
      </c>
      <c r="U83" s="0" t="n">
        <v>0.845394309471222</v>
      </c>
      <c r="V83" s="0" t="n">
        <v>1.30091185410334</v>
      </c>
      <c r="W83" s="0" t="n">
        <v>1.30091185410334</v>
      </c>
      <c r="X83" s="0" t="n">
        <v>1.30091185410334</v>
      </c>
      <c r="Y83" s="0" t="n">
        <v>1.30091185410334</v>
      </c>
      <c r="Z83" s="0" t="n">
        <v>1.30091185410334</v>
      </c>
      <c r="AA83" s="0" t="n">
        <v>1.30091185410334</v>
      </c>
      <c r="AB83" s="0" t="n">
        <v>1.30091185410334</v>
      </c>
      <c r="AC83" s="0" t="n">
        <v>1.30091185410334</v>
      </c>
      <c r="AD83" s="0" t="n">
        <v>1.30091185410334</v>
      </c>
      <c r="AE83" s="0" t="n">
        <v>1.30091185410334</v>
      </c>
      <c r="AF83" s="0" t="n">
        <v>1.30091185410334</v>
      </c>
      <c r="AG83" s="0" t="n">
        <v>1.30091185410334</v>
      </c>
      <c r="AH83" s="0" t="n">
        <v>1.30091185410334</v>
      </c>
      <c r="AI83" s="0" t="n">
        <v>1.30091185410334</v>
      </c>
      <c r="AJ83" s="0" t="n">
        <v>1.30091185410334</v>
      </c>
      <c r="AK83" s="0" t="n">
        <v>1.30091185410334</v>
      </c>
      <c r="AL83" s="0" t="n">
        <v>1.30091185410334</v>
      </c>
      <c r="AM83" s="0" t="n">
        <v>1.30091185410334</v>
      </c>
      <c r="AN83" s="0" t="n">
        <v>1.30091185410334</v>
      </c>
      <c r="AO83" s="0" t="n">
        <v>1.30091185410334</v>
      </c>
      <c r="AP83" s="0" t="n">
        <v>1.30091185410334</v>
      </c>
      <c r="AQ83" s="0" t="n">
        <v>1.30091185410334</v>
      </c>
      <c r="AR83" s="0" t="n">
        <v>1.30091185410334</v>
      </c>
      <c r="AS83" s="0" t="n">
        <v>1.30091185410334</v>
      </c>
      <c r="AT83" s="0" t="n">
        <v>1.30091185410334</v>
      </c>
      <c r="AU83" s="0" t="n">
        <v>1.125</v>
      </c>
      <c r="AV83" s="0" t="n">
        <v>1.125</v>
      </c>
      <c r="AW83" s="0" t="n">
        <v>1.125</v>
      </c>
      <c r="AX83" s="0" t="n">
        <v>1.125</v>
      </c>
      <c r="AY83" s="0" t="n">
        <v>1.125</v>
      </c>
      <c r="AZ83" s="0" t="n">
        <v>1.125</v>
      </c>
      <c r="BA83" s="0" t="n">
        <v>1.125</v>
      </c>
      <c r="BB83" s="0" t="n">
        <v>1.125</v>
      </c>
      <c r="BC83" s="0" t="n">
        <v>1.125</v>
      </c>
      <c r="BD83" s="0" t="n">
        <v>1.125</v>
      </c>
      <c r="BE83" s="0" t="n">
        <v>1.125</v>
      </c>
      <c r="BF83" s="0" t="n">
        <v>1.125</v>
      </c>
      <c r="BG83" s="0" t="n">
        <v>0.845394309471222</v>
      </c>
      <c r="BH83" s="0" t="n">
        <v>0.845394309471222</v>
      </c>
      <c r="BI83" s="0" t="n">
        <v>0.845394309471222</v>
      </c>
      <c r="BJ83" s="0" t="n">
        <v>0.845394309471222</v>
      </c>
      <c r="BK83" s="0" t="n">
        <v>0.845394309471222</v>
      </c>
    </row>
    <row r="84" customFormat="false" ht="12.8" hidden="false" customHeight="false" outlineLevel="0" collapsed="false">
      <c r="A84" s="21" t="n">
        <f aca="false">A83+1/24</f>
        <v>43895.4166670831</v>
      </c>
      <c r="B84" s="0" t="n">
        <v>0.80074487895717</v>
      </c>
      <c r="C84" s="0" t="n">
        <v>0.80074487895717</v>
      </c>
      <c r="D84" s="0" t="n">
        <v>0.80074487895717</v>
      </c>
      <c r="E84" s="0" t="n">
        <v>0.80074487895717</v>
      </c>
      <c r="F84" s="0" t="n">
        <v>0.80074487895717</v>
      </c>
      <c r="G84" s="0" t="n">
        <v>0.80074487895717</v>
      </c>
      <c r="H84" s="0" t="n">
        <v>0.80074487895717</v>
      </c>
      <c r="I84" s="0" t="n">
        <v>0.80074487895717</v>
      </c>
      <c r="J84" s="0" t="n">
        <v>0.80074487895717</v>
      </c>
      <c r="K84" s="0" t="n">
        <v>0.80074487895717</v>
      </c>
      <c r="L84" s="0" t="n">
        <v>0.80074487895717</v>
      </c>
      <c r="M84" s="0" t="n">
        <v>0.80074487895717</v>
      </c>
      <c r="N84" s="0" t="n">
        <v>0.80074487895717</v>
      </c>
      <c r="O84" s="0" t="n">
        <v>0.80074487895717</v>
      </c>
      <c r="P84" s="0" t="n">
        <v>0.80074487895717</v>
      </c>
      <c r="Q84" s="0" t="n">
        <v>0.80074487895717</v>
      </c>
      <c r="R84" s="0" t="n">
        <v>0.80074487895717</v>
      </c>
      <c r="S84" s="0" t="n">
        <v>0.80074487895717</v>
      </c>
      <c r="T84" s="0" t="n">
        <v>0.80074487895717</v>
      </c>
      <c r="U84" s="0" t="n">
        <v>0.80074487895717</v>
      </c>
      <c r="V84" s="0" t="n">
        <v>1.36271529888551</v>
      </c>
      <c r="W84" s="0" t="n">
        <v>1.36271529888551</v>
      </c>
      <c r="X84" s="0" t="n">
        <v>1.36271529888551</v>
      </c>
      <c r="Y84" s="0" t="n">
        <v>1.36271529888551</v>
      </c>
      <c r="Z84" s="0" t="n">
        <v>1.36271529888551</v>
      </c>
      <c r="AA84" s="0" t="n">
        <v>1.36271529888551</v>
      </c>
      <c r="AB84" s="0" t="n">
        <v>1.36271529888551</v>
      </c>
      <c r="AC84" s="0" t="n">
        <v>1.36271529888551</v>
      </c>
      <c r="AD84" s="0" t="n">
        <v>1.36271529888551</v>
      </c>
      <c r="AE84" s="0" t="n">
        <v>1.36271529888551</v>
      </c>
      <c r="AF84" s="0" t="n">
        <v>1.36271529888551</v>
      </c>
      <c r="AG84" s="0" t="n">
        <v>1.36271529888551</v>
      </c>
      <c r="AH84" s="0" t="n">
        <v>1.36271529888551</v>
      </c>
      <c r="AI84" s="0" t="n">
        <v>1.36271529888551</v>
      </c>
      <c r="AJ84" s="0" t="n">
        <v>1.36271529888551</v>
      </c>
      <c r="AK84" s="0" t="n">
        <v>1.36271529888551</v>
      </c>
      <c r="AL84" s="0" t="n">
        <v>1.36271529888551</v>
      </c>
      <c r="AM84" s="0" t="n">
        <v>1.36271529888551</v>
      </c>
      <c r="AN84" s="0" t="n">
        <v>1.36271529888551</v>
      </c>
      <c r="AO84" s="0" t="n">
        <v>1.36271529888551</v>
      </c>
      <c r="AP84" s="0" t="n">
        <v>1.36271529888551</v>
      </c>
      <c r="AQ84" s="0" t="n">
        <v>1.36271529888551</v>
      </c>
      <c r="AR84" s="0" t="n">
        <v>1.36271529888551</v>
      </c>
      <c r="AS84" s="0" t="n">
        <v>1.36271529888551</v>
      </c>
      <c r="AT84" s="0" t="n">
        <v>1.36271529888551</v>
      </c>
      <c r="AU84" s="0" t="n">
        <v>0.375</v>
      </c>
      <c r="AV84" s="0" t="n">
        <v>0.375</v>
      </c>
      <c r="AW84" s="0" t="n">
        <v>0.375</v>
      </c>
      <c r="AX84" s="0" t="n">
        <v>0.375</v>
      </c>
      <c r="AY84" s="0" t="n">
        <v>0.375</v>
      </c>
      <c r="AZ84" s="0" t="n">
        <v>0.375</v>
      </c>
      <c r="BA84" s="0" t="n">
        <v>0.375</v>
      </c>
      <c r="BB84" s="0" t="n">
        <v>0.375</v>
      </c>
      <c r="BC84" s="0" t="n">
        <v>0.375</v>
      </c>
      <c r="BD84" s="0" t="n">
        <v>0.375</v>
      </c>
      <c r="BE84" s="0" t="n">
        <v>0.375</v>
      </c>
      <c r="BF84" s="0" t="n">
        <v>0.375</v>
      </c>
      <c r="BG84" s="0" t="n">
        <v>0.80074487895717</v>
      </c>
      <c r="BH84" s="0" t="n">
        <v>0.80074487895717</v>
      </c>
      <c r="BI84" s="0" t="n">
        <v>0.80074487895717</v>
      </c>
      <c r="BJ84" s="0" t="n">
        <v>0.80074487895717</v>
      </c>
      <c r="BK84" s="0" t="n">
        <v>0.80074487895717</v>
      </c>
    </row>
    <row r="85" customFormat="false" ht="12.8" hidden="false" customHeight="false" outlineLevel="0" collapsed="false">
      <c r="A85" s="21" t="n">
        <f aca="false">A84+1/24</f>
        <v>43895.4583337497</v>
      </c>
      <c r="B85" s="0" t="n">
        <v>0.820276298124811</v>
      </c>
      <c r="C85" s="0" t="n">
        <v>0.820276298124811</v>
      </c>
      <c r="D85" s="0" t="n">
        <v>0.820276298124811</v>
      </c>
      <c r="E85" s="0" t="n">
        <v>0.820276298124811</v>
      </c>
      <c r="F85" s="0" t="n">
        <v>0.820276298124811</v>
      </c>
      <c r="G85" s="0" t="n">
        <v>0.820276298124811</v>
      </c>
      <c r="H85" s="0" t="n">
        <v>0.820276298124811</v>
      </c>
      <c r="I85" s="0" t="n">
        <v>0.820276298124811</v>
      </c>
      <c r="J85" s="0" t="n">
        <v>0.820276298124811</v>
      </c>
      <c r="K85" s="0" t="n">
        <v>0.820276298124811</v>
      </c>
      <c r="L85" s="0" t="n">
        <v>0.820276298124811</v>
      </c>
      <c r="M85" s="0" t="n">
        <v>0.820276298124811</v>
      </c>
      <c r="N85" s="0" t="n">
        <v>0.820276298124811</v>
      </c>
      <c r="O85" s="0" t="n">
        <v>0.820276298124811</v>
      </c>
      <c r="P85" s="0" t="n">
        <v>0.820276298124811</v>
      </c>
      <c r="Q85" s="0" t="n">
        <v>0.820276298124811</v>
      </c>
      <c r="R85" s="0" t="n">
        <v>0.820276298124811</v>
      </c>
      <c r="S85" s="0" t="n">
        <v>0.820276298124811</v>
      </c>
      <c r="T85" s="0" t="n">
        <v>0.820276298124811</v>
      </c>
      <c r="U85" s="0" t="n">
        <v>0.820276298124811</v>
      </c>
      <c r="V85" s="0" t="n">
        <v>1.40222897669706</v>
      </c>
      <c r="W85" s="0" t="n">
        <v>1.40222897669706</v>
      </c>
      <c r="X85" s="0" t="n">
        <v>1.40222897669706</v>
      </c>
      <c r="Y85" s="0" t="n">
        <v>1.40222897669706</v>
      </c>
      <c r="Z85" s="0" t="n">
        <v>1.40222897669706</v>
      </c>
      <c r="AA85" s="0" t="n">
        <v>1.40222897669706</v>
      </c>
      <c r="AB85" s="0" t="n">
        <v>1.40222897669706</v>
      </c>
      <c r="AC85" s="0" t="n">
        <v>1.40222897669706</v>
      </c>
      <c r="AD85" s="0" t="n">
        <v>1.40222897669706</v>
      </c>
      <c r="AE85" s="0" t="n">
        <v>1.40222897669706</v>
      </c>
      <c r="AF85" s="0" t="n">
        <v>1.40222897669706</v>
      </c>
      <c r="AG85" s="0" t="n">
        <v>1.40222897669706</v>
      </c>
      <c r="AH85" s="0" t="n">
        <v>1.40222897669706</v>
      </c>
      <c r="AI85" s="0" t="n">
        <v>1.40222897669706</v>
      </c>
      <c r="AJ85" s="0" t="n">
        <v>1.40222897669706</v>
      </c>
      <c r="AK85" s="0" t="n">
        <v>1.40222897669706</v>
      </c>
      <c r="AL85" s="0" t="n">
        <v>1.40222897669706</v>
      </c>
      <c r="AM85" s="0" t="n">
        <v>1.40222897669706</v>
      </c>
      <c r="AN85" s="0" t="n">
        <v>1.40222897669706</v>
      </c>
      <c r="AO85" s="0" t="n">
        <v>1.40222897669706</v>
      </c>
      <c r="AP85" s="0" t="n">
        <v>1.40222897669706</v>
      </c>
      <c r="AQ85" s="0" t="n">
        <v>1.40222897669706</v>
      </c>
      <c r="AR85" s="0" t="n">
        <v>1.40222897669706</v>
      </c>
      <c r="AS85" s="0" t="n">
        <v>1.40222897669706</v>
      </c>
      <c r="AT85" s="0" t="n">
        <v>1.40222897669706</v>
      </c>
      <c r="AU85" s="0" t="n">
        <v>0.5</v>
      </c>
      <c r="AV85" s="0" t="n">
        <v>0.5</v>
      </c>
      <c r="AW85" s="0" t="n">
        <v>0.5</v>
      </c>
      <c r="AX85" s="0" t="n">
        <v>0.5</v>
      </c>
      <c r="AY85" s="0" t="n">
        <v>0.5</v>
      </c>
      <c r="AZ85" s="0" t="n">
        <v>0.5</v>
      </c>
      <c r="BA85" s="0" t="n">
        <v>0.5</v>
      </c>
      <c r="BB85" s="0" t="n">
        <v>0.5</v>
      </c>
      <c r="BC85" s="0" t="n">
        <v>0.5</v>
      </c>
      <c r="BD85" s="0" t="n">
        <v>0.5</v>
      </c>
      <c r="BE85" s="0" t="n">
        <v>0.5</v>
      </c>
      <c r="BF85" s="0" t="n">
        <v>0.5</v>
      </c>
      <c r="BG85" s="0" t="n">
        <v>0.820276298124811</v>
      </c>
      <c r="BH85" s="0" t="n">
        <v>0.820276298124811</v>
      </c>
      <c r="BI85" s="0" t="n">
        <v>0.820276298124811</v>
      </c>
      <c r="BJ85" s="0" t="n">
        <v>0.820276298124811</v>
      </c>
      <c r="BK85" s="0" t="n">
        <v>0.820276298124811</v>
      </c>
    </row>
    <row r="86" customFormat="false" ht="12.8" hidden="false" customHeight="false" outlineLevel="0" collapsed="false">
      <c r="A86" s="21" t="n">
        <f aca="false">A85+1/24</f>
        <v>43895.5000004164</v>
      </c>
      <c r="B86" s="0" t="n">
        <v>0.817547962409597</v>
      </c>
      <c r="C86" s="0" t="n">
        <v>0.817547962409597</v>
      </c>
      <c r="D86" s="0" t="n">
        <v>0.817547962409597</v>
      </c>
      <c r="E86" s="0" t="n">
        <v>0.817547962409597</v>
      </c>
      <c r="F86" s="0" t="n">
        <v>0.817547962409597</v>
      </c>
      <c r="G86" s="0" t="n">
        <v>0.817547962409597</v>
      </c>
      <c r="H86" s="0" t="n">
        <v>0.817547962409597</v>
      </c>
      <c r="I86" s="0" t="n">
        <v>0.817547962409597</v>
      </c>
      <c r="J86" s="0" t="n">
        <v>0.817547962409597</v>
      </c>
      <c r="K86" s="0" t="n">
        <v>0.817547962409597</v>
      </c>
      <c r="L86" s="0" t="n">
        <v>0.817547962409597</v>
      </c>
      <c r="M86" s="0" t="n">
        <v>0.817547962409597</v>
      </c>
      <c r="N86" s="0" t="n">
        <v>0.817547962409597</v>
      </c>
      <c r="O86" s="0" t="n">
        <v>0.817547962409597</v>
      </c>
      <c r="P86" s="0" t="n">
        <v>0.817547962409597</v>
      </c>
      <c r="Q86" s="0" t="n">
        <v>0.817547962409597</v>
      </c>
      <c r="R86" s="0" t="n">
        <v>0.817547962409597</v>
      </c>
      <c r="S86" s="0" t="n">
        <v>0.817547962409597</v>
      </c>
      <c r="T86" s="0" t="n">
        <v>0.817547962409597</v>
      </c>
      <c r="U86" s="0" t="n">
        <v>0.817547962409597</v>
      </c>
      <c r="V86" s="0" t="n">
        <v>1.29078014184397</v>
      </c>
      <c r="W86" s="0" t="n">
        <v>1.29078014184397</v>
      </c>
      <c r="X86" s="0" t="n">
        <v>1.29078014184397</v>
      </c>
      <c r="Y86" s="0" t="n">
        <v>1.29078014184397</v>
      </c>
      <c r="Z86" s="0" t="n">
        <v>1.29078014184397</v>
      </c>
      <c r="AA86" s="0" t="n">
        <v>1.29078014184397</v>
      </c>
      <c r="AB86" s="0" t="n">
        <v>1.29078014184397</v>
      </c>
      <c r="AC86" s="0" t="n">
        <v>1.29078014184397</v>
      </c>
      <c r="AD86" s="0" t="n">
        <v>1.29078014184397</v>
      </c>
      <c r="AE86" s="0" t="n">
        <v>1.29078014184397</v>
      </c>
      <c r="AF86" s="0" t="n">
        <v>1.29078014184397</v>
      </c>
      <c r="AG86" s="0" t="n">
        <v>1.29078014184397</v>
      </c>
      <c r="AH86" s="0" t="n">
        <v>1.29078014184397</v>
      </c>
      <c r="AI86" s="0" t="n">
        <v>1.29078014184397</v>
      </c>
      <c r="AJ86" s="0" t="n">
        <v>1.29078014184397</v>
      </c>
      <c r="AK86" s="0" t="n">
        <v>1.29078014184397</v>
      </c>
      <c r="AL86" s="0" t="n">
        <v>1.29078014184397</v>
      </c>
      <c r="AM86" s="0" t="n">
        <v>1.29078014184397</v>
      </c>
      <c r="AN86" s="0" t="n">
        <v>1.29078014184397</v>
      </c>
      <c r="AO86" s="0" t="n">
        <v>1.29078014184397</v>
      </c>
      <c r="AP86" s="0" t="n">
        <v>1.29078014184397</v>
      </c>
      <c r="AQ86" s="0" t="n">
        <v>1.29078014184397</v>
      </c>
      <c r="AR86" s="0" t="n">
        <v>1.29078014184397</v>
      </c>
      <c r="AS86" s="0" t="n">
        <v>1.29078014184397</v>
      </c>
      <c r="AT86" s="0" t="n">
        <v>1.29078014184397</v>
      </c>
      <c r="AU86" s="0" t="n">
        <v>0.75</v>
      </c>
      <c r="AV86" s="0" t="n">
        <v>0.75</v>
      </c>
      <c r="AW86" s="0" t="n">
        <v>0.75</v>
      </c>
      <c r="AX86" s="0" t="n">
        <v>0.75</v>
      </c>
      <c r="AY86" s="0" t="n">
        <v>0.75</v>
      </c>
      <c r="AZ86" s="0" t="n">
        <v>0.75</v>
      </c>
      <c r="BA86" s="0" t="n">
        <v>0.75</v>
      </c>
      <c r="BB86" s="0" t="n">
        <v>0.75</v>
      </c>
      <c r="BC86" s="0" t="n">
        <v>0.75</v>
      </c>
      <c r="BD86" s="0" t="n">
        <v>0.75</v>
      </c>
      <c r="BE86" s="0" t="n">
        <v>0.75</v>
      </c>
      <c r="BF86" s="0" t="n">
        <v>0.75</v>
      </c>
      <c r="BG86" s="0" t="n">
        <v>0.817547962409597</v>
      </c>
      <c r="BH86" s="0" t="n">
        <v>0.817547962409597</v>
      </c>
      <c r="BI86" s="0" t="n">
        <v>0.817547962409597</v>
      </c>
      <c r="BJ86" s="0" t="n">
        <v>0.817547962409597</v>
      </c>
      <c r="BK86" s="0" t="n">
        <v>0.817547962409597</v>
      </c>
    </row>
    <row r="87" customFormat="false" ht="12.8" hidden="false" customHeight="false" outlineLevel="0" collapsed="false">
      <c r="A87" s="21" t="n">
        <f aca="false">A86+1/24</f>
        <v>43895.5416670831</v>
      </c>
      <c r="B87" s="0" t="n">
        <v>0.832445541552986</v>
      </c>
      <c r="C87" s="0" t="n">
        <v>0.832445541552986</v>
      </c>
      <c r="D87" s="0" t="n">
        <v>0.832445541552986</v>
      </c>
      <c r="E87" s="0" t="n">
        <v>0.832445541552986</v>
      </c>
      <c r="F87" s="0" t="n">
        <v>0.832445541552986</v>
      </c>
      <c r="G87" s="0" t="n">
        <v>0.832445541552986</v>
      </c>
      <c r="H87" s="0" t="n">
        <v>0.832445541552986</v>
      </c>
      <c r="I87" s="0" t="n">
        <v>0.832445541552986</v>
      </c>
      <c r="J87" s="0" t="n">
        <v>0.832445541552986</v>
      </c>
      <c r="K87" s="0" t="n">
        <v>0.832445541552986</v>
      </c>
      <c r="L87" s="0" t="n">
        <v>0.832445541552986</v>
      </c>
      <c r="M87" s="0" t="n">
        <v>0.832445541552986</v>
      </c>
      <c r="N87" s="0" t="n">
        <v>0.832445541552986</v>
      </c>
      <c r="O87" s="0" t="n">
        <v>0.832445541552986</v>
      </c>
      <c r="P87" s="0" t="n">
        <v>0.832445541552986</v>
      </c>
      <c r="Q87" s="0" t="n">
        <v>0.832445541552986</v>
      </c>
      <c r="R87" s="0" t="n">
        <v>0.832445541552986</v>
      </c>
      <c r="S87" s="0" t="n">
        <v>0.832445541552986</v>
      </c>
      <c r="T87" s="0" t="n">
        <v>0.832445541552986</v>
      </c>
      <c r="U87" s="0" t="n">
        <v>0.832445541552986</v>
      </c>
      <c r="V87" s="0" t="n">
        <v>1.23505572441743</v>
      </c>
      <c r="W87" s="0" t="n">
        <v>1.23505572441743</v>
      </c>
      <c r="X87" s="0" t="n">
        <v>1.23505572441743</v>
      </c>
      <c r="Y87" s="0" t="n">
        <v>1.23505572441743</v>
      </c>
      <c r="Z87" s="0" t="n">
        <v>1.23505572441743</v>
      </c>
      <c r="AA87" s="0" t="n">
        <v>1.23505572441743</v>
      </c>
      <c r="AB87" s="0" t="n">
        <v>1.23505572441743</v>
      </c>
      <c r="AC87" s="0" t="n">
        <v>1.23505572441743</v>
      </c>
      <c r="AD87" s="0" t="n">
        <v>1.23505572441743</v>
      </c>
      <c r="AE87" s="0" t="n">
        <v>1.23505572441743</v>
      </c>
      <c r="AF87" s="0" t="n">
        <v>1.23505572441743</v>
      </c>
      <c r="AG87" s="0" t="n">
        <v>1.23505572441743</v>
      </c>
      <c r="AH87" s="0" t="n">
        <v>1.23505572441743</v>
      </c>
      <c r="AI87" s="0" t="n">
        <v>1.23505572441743</v>
      </c>
      <c r="AJ87" s="0" t="n">
        <v>1.23505572441743</v>
      </c>
      <c r="AK87" s="0" t="n">
        <v>1.23505572441743</v>
      </c>
      <c r="AL87" s="0" t="n">
        <v>1.23505572441743</v>
      </c>
      <c r="AM87" s="0" t="n">
        <v>1.23505572441743</v>
      </c>
      <c r="AN87" s="0" t="n">
        <v>1.23505572441743</v>
      </c>
      <c r="AO87" s="0" t="n">
        <v>1.23505572441743</v>
      </c>
      <c r="AP87" s="0" t="n">
        <v>1.23505572441743</v>
      </c>
      <c r="AQ87" s="0" t="n">
        <v>1.23505572441743</v>
      </c>
      <c r="AR87" s="0" t="n">
        <v>1.23505572441743</v>
      </c>
      <c r="AS87" s="0" t="n">
        <v>1.23505572441743</v>
      </c>
      <c r="AT87" s="0" t="n">
        <v>1.23505572441743</v>
      </c>
      <c r="AU87" s="0" t="n">
        <v>0.625</v>
      </c>
      <c r="AV87" s="0" t="n">
        <v>0.625</v>
      </c>
      <c r="AW87" s="0" t="n">
        <v>0.625</v>
      </c>
      <c r="AX87" s="0" t="n">
        <v>0.625</v>
      </c>
      <c r="AY87" s="0" t="n">
        <v>0.625</v>
      </c>
      <c r="AZ87" s="0" t="n">
        <v>0.625</v>
      </c>
      <c r="BA87" s="0" t="n">
        <v>0.625</v>
      </c>
      <c r="BB87" s="0" t="n">
        <v>0.625</v>
      </c>
      <c r="BC87" s="0" t="n">
        <v>0.625</v>
      </c>
      <c r="BD87" s="0" t="n">
        <v>0.625</v>
      </c>
      <c r="BE87" s="0" t="n">
        <v>0.625</v>
      </c>
      <c r="BF87" s="0" t="n">
        <v>0.625</v>
      </c>
      <c r="BG87" s="0" t="n">
        <v>0.832445541552986</v>
      </c>
      <c r="BH87" s="0" t="n">
        <v>0.832445541552986</v>
      </c>
      <c r="BI87" s="0" t="n">
        <v>0.832445541552986</v>
      </c>
      <c r="BJ87" s="0" t="n">
        <v>0.832445541552986</v>
      </c>
      <c r="BK87" s="0" t="n">
        <v>0.832445541552986</v>
      </c>
    </row>
    <row r="88" customFormat="false" ht="12.8" hidden="false" customHeight="false" outlineLevel="0" collapsed="false">
      <c r="A88" s="21" t="n">
        <f aca="false">A87+1/24</f>
        <v>43895.5833337497</v>
      </c>
      <c r="B88" s="0" t="n">
        <v>0.819929842795895</v>
      </c>
      <c r="C88" s="0" t="n">
        <v>0.819929842795895</v>
      </c>
      <c r="D88" s="0" t="n">
        <v>0.819929842795895</v>
      </c>
      <c r="E88" s="0" t="n">
        <v>0.819929842795895</v>
      </c>
      <c r="F88" s="0" t="n">
        <v>0.819929842795895</v>
      </c>
      <c r="G88" s="0" t="n">
        <v>0.819929842795895</v>
      </c>
      <c r="H88" s="0" t="n">
        <v>0.819929842795895</v>
      </c>
      <c r="I88" s="0" t="n">
        <v>0.819929842795895</v>
      </c>
      <c r="J88" s="0" t="n">
        <v>0.819929842795895</v>
      </c>
      <c r="K88" s="0" t="n">
        <v>0.819929842795895</v>
      </c>
      <c r="L88" s="0" t="n">
        <v>0.819929842795895</v>
      </c>
      <c r="M88" s="0" t="n">
        <v>0.819929842795895</v>
      </c>
      <c r="N88" s="0" t="n">
        <v>0.819929842795895</v>
      </c>
      <c r="O88" s="0" t="n">
        <v>0.819929842795895</v>
      </c>
      <c r="P88" s="0" t="n">
        <v>0.819929842795895</v>
      </c>
      <c r="Q88" s="0" t="n">
        <v>0.819929842795895</v>
      </c>
      <c r="R88" s="0" t="n">
        <v>0.819929842795895</v>
      </c>
      <c r="S88" s="0" t="n">
        <v>0.819929842795895</v>
      </c>
      <c r="T88" s="0" t="n">
        <v>0.819929842795895</v>
      </c>
      <c r="U88" s="0" t="n">
        <v>0.819929842795895</v>
      </c>
      <c r="V88" s="0" t="n">
        <v>1.2725430597771</v>
      </c>
      <c r="W88" s="0" t="n">
        <v>1.2725430597771</v>
      </c>
      <c r="X88" s="0" t="n">
        <v>1.2725430597771</v>
      </c>
      <c r="Y88" s="0" t="n">
        <v>1.2725430597771</v>
      </c>
      <c r="Z88" s="0" t="n">
        <v>1.2725430597771</v>
      </c>
      <c r="AA88" s="0" t="n">
        <v>1.2725430597771</v>
      </c>
      <c r="AB88" s="0" t="n">
        <v>1.2725430597771</v>
      </c>
      <c r="AC88" s="0" t="n">
        <v>1.2725430597771</v>
      </c>
      <c r="AD88" s="0" t="n">
        <v>1.2725430597771</v>
      </c>
      <c r="AE88" s="0" t="n">
        <v>1.2725430597771</v>
      </c>
      <c r="AF88" s="0" t="n">
        <v>1.2725430597771</v>
      </c>
      <c r="AG88" s="0" t="n">
        <v>1.2725430597771</v>
      </c>
      <c r="AH88" s="0" t="n">
        <v>1.2725430597771</v>
      </c>
      <c r="AI88" s="0" t="n">
        <v>1.2725430597771</v>
      </c>
      <c r="AJ88" s="0" t="n">
        <v>1.2725430597771</v>
      </c>
      <c r="AK88" s="0" t="n">
        <v>1.2725430597771</v>
      </c>
      <c r="AL88" s="0" t="n">
        <v>1.2725430597771</v>
      </c>
      <c r="AM88" s="0" t="n">
        <v>1.2725430597771</v>
      </c>
      <c r="AN88" s="0" t="n">
        <v>1.2725430597771</v>
      </c>
      <c r="AO88" s="0" t="n">
        <v>1.2725430597771</v>
      </c>
      <c r="AP88" s="0" t="n">
        <v>1.2725430597771</v>
      </c>
      <c r="AQ88" s="0" t="n">
        <v>1.2725430597771</v>
      </c>
      <c r="AR88" s="0" t="n">
        <v>1.2725430597771</v>
      </c>
      <c r="AS88" s="0" t="n">
        <v>1.2725430597771</v>
      </c>
      <c r="AT88" s="0" t="n">
        <v>1.2725430597771</v>
      </c>
      <c r="AU88" s="0" t="n">
        <v>0.75</v>
      </c>
      <c r="AV88" s="0" t="n">
        <v>0.75</v>
      </c>
      <c r="AW88" s="0" t="n">
        <v>0.75</v>
      </c>
      <c r="AX88" s="0" t="n">
        <v>0.75</v>
      </c>
      <c r="AY88" s="0" t="n">
        <v>0.75</v>
      </c>
      <c r="AZ88" s="0" t="n">
        <v>0.75</v>
      </c>
      <c r="BA88" s="0" t="n">
        <v>0.75</v>
      </c>
      <c r="BB88" s="0" t="n">
        <v>0.75</v>
      </c>
      <c r="BC88" s="0" t="n">
        <v>0.75</v>
      </c>
      <c r="BD88" s="0" t="n">
        <v>0.75</v>
      </c>
      <c r="BE88" s="0" t="n">
        <v>0.75</v>
      </c>
      <c r="BF88" s="0" t="n">
        <v>0.75</v>
      </c>
      <c r="BG88" s="0" t="n">
        <v>0.819929842795895</v>
      </c>
      <c r="BH88" s="0" t="n">
        <v>0.819929842795895</v>
      </c>
      <c r="BI88" s="0" t="n">
        <v>0.819929842795895</v>
      </c>
      <c r="BJ88" s="0" t="n">
        <v>0.819929842795895</v>
      </c>
      <c r="BK88" s="0" t="n">
        <v>0.819929842795895</v>
      </c>
    </row>
    <row r="89" customFormat="false" ht="12.8" hidden="false" customHeight="false" outlineLevel="0" collapsed="false">
      <c r="A89" s="21" t="n">
        <f aca="false">A88+1/24</f>
        <v>43895.6250004164</v>
      </c>
      <c r="B89" s="0" t="n">
        <v>0.872331211294444</v>
      </c>
      <c r="C89" s="0" t="n">
        <v>0.872331211294444</v>
      </c>
      <c r="D89" s="0" t="n">
        <v>0.872331211294444</v>
      </c>
      <c r="E89" s="0" t="n">
        <v>0.872331211294444</v>
      </c>
      <c r="F89" s="0" t="n">
        <v>0.872331211294444</v>
      </c>
      <c r="G89" s="0" t="n">
        <v>0.872331211294444</v>
      </c>
      <c r="H89" s="0" t="n">
        <v>0.872331211294444</v>
      </c>
      <c r="I89" s="0" t="n">
        <v>0.872331211294444</v>
      </c>
      <c r="J89" s="0" t="n">
        <v>0.872331211294444</v>
      </c>
      <c r="K89" s="0" t="n">
        <v>0.872331211294444</v>
      </c>
      <c r="L89" s="0" t="n">
        <v>0.872331211294444</v>
      </c>
      <c r="M89" s="0" t="n">
        <v>0.872331211294444</v>
      </c>
      <c r="N89" s="0" t="n">
        <v>0.872331211294444</v>
      </c>
      <c r="O89" s="0" t="n">
        <v>0.872331211294444</v>
      </c>
      <c r="P89" s="0" t="n">
        <v>0.872331211294444</v>
      </c>
      <c r="Q89" s="0" t="n">
        <v>0.872331211294444</v>
      </c>
      <c r="R89" s="0" t="n">
        <v>0.872331211294444</v>
      </c>
      <c r="S89" s="0" t="n">
        <v>0.872331211294444</v>
      </c>
      <c r="T89" s="0" t="n">
        <v>0.872331211294444</v>
      </c>
      <c r="U89" s="0" t="n">
        <v>0.872331211294444</v>
      </c>
      <c r="V89" s="0" t="n">
        <v>1.17831813576494</v>
      </c>
      <c r="W89" s="0" t="n">
        <v>1.17831813576494</v>
      </c>
      <c r="X89" s="0" t="n">
        <v>1.17831813576494</v>
      </c>
      <c r="Y89" s="0" t="n">
        <v>1.17831813576494</v>
      </c>
      <c r="Z89" s="0" t="n">
        <v>1.17831813576494</v>
      </c>
      <c r="AA89" s="0" t="n">
        <v>1.17831813576494</v>
      </c>
      <c r="AB89" s="0" t="n">
        <v>1.17831813576494</v>
      </c>
      <c r="AC89" s="0" t="n">
        <v>1.17831813576494</v>
      </c>
      <c r="AD89" s="0" t="n">
        <v>1.17831813576494</v>
      </c>
      <c r="AE89" s="0" t="n">
        <v>1.17831813576494</v>
      </c>
      <c r="AF89" s="0" t="n">
        <v>1.17831813576494</v>
      </c>
      <c r="AG89" s="0" t="n">
        <v>1.17831813576494</v>
      </c>
      <c r="AH89" s="0" t="n">
        <v>1.17831813576494</v>
      </c>
      <c r="AI89" s="0" t="n">
        <v>1.17831813576494</v>
      </c>
      <c r="AJ89" s="0" t="n">
        <v>1.17831813576494</v>
      </c>
      <c r="AK89" s="0" t="n">
        <v>1.17831813576494</v>
      </c>
      <c r="AL89" s="0" t="n">
        <v>1.17831813576494</v>
      </c>
      <c r="AM89" s="0" t="n">
        <v>1.17831813576494</v>
      </c>
      <c r="AN89" s="0" t="n">
        <v>1.17831813576494</v>
      </c>
      <c r="AO89" s="0" t="n">
        <v>1.17831813576494</v>
      </c>
      <c r="AP89" s="0" t="n">
        <v>1.17831813576494</v>
      </c>
      <c r="AQ89" s="0" t="n">
        <v>1.17831813576494</v>
      </c>
      <c r="AR89" s="0" t="n">
        <v>1.17831813576494</v>
      </c>
      <c r="AS89" s="0" t="n">
        <v>1.17831813576494</v>
      </c>
      <c r="AT89" s="0" t="n">
        <v>1.17831813576494</v>
      </c>
      <c r="AU89" s="0" t="n">
        <v>1.375</v>
      </c>
      <c r="AV89" s="0" t="n">
        <v>1.375</v>
      </c>
      <c r="AW89" s="0" t="n">
        <v>1.375</v>
      </c>
      <c r="AX89" s="0" t="n">
        <v>1.375</v>
      </c>
      <c r="AY89" s="0" t="n">
        <v>1.375</v>
      </c>
      <c r="AZ89" s="0" t="n">
        <v>1.375</v>
      </c>
      <c r="BA89" s="0" t="n">
        <v>1.375</v>
      </c>
      <c r="BB89" s="0" t="n">
        <v>1.375</v>
      </c>
      <c r="BC89" s="0" t="n">
        <v>1.375</v>
      </c>
      <c r="BD89" s="0" t="n">
        <v>1.375</v>
      </c>
      <c r="BE89" s="0" t="n">
        <v>1.375</v>
      </c>
      <c r="BF89" s="0" t="n">
        <v>1.375</v>
      </c>
      <c r="BG89" s="0" t="n">
        <v>0.872331211294444</v>
      </c>
      <c r="BH89" s="0" t="n">
        <v>0.872331211294444</v>
      </c>
      <c r="BI89" s="0" t="n">
        <v>0.872331211294444</v>
      </c>
      <c r="BJ89" s="0" t="n">
        <v>0.872331211294444</v>
      </c>
      <c r="BK89" s="0" t="n">
        <v>0.872331211294444</v>
      </c>
    </row>
    <row r="90" customFormat="false" ht="12.8" hidden="false" customHeight="false" outlineLevel="0" collapsed="false">
      <c r="A90" s="21" t="n">
        <f aca="false">A89+1/24</f>
        <v>43895.6666670831</v>
      </c>
      <c r="B90" s="0" t="n">
        <v>1.03694079944567</v>
      </c>
      <c r="C90" s="0" t="n">
        <v>1.03694079944567</v>
      </c>
      <c r="D90" s="0" t="n">
        <v>1.03694079944567</v>
      </c>
      <c r="E90" s="0" t="n">
        <v>1.03694079944567</v>
      </c>
      <c r="F90" s="0" t="n">
        <v>1.03694079944567</v>
      </c>
      <c r="G90" s="0" t="n">
        <v>1.03694079944567</v>
      </c>
      <c r="H90" s="0" t="n">
        <v>1.03694079944567</v>
      </c>
      <c r="I90" s="0" t="n">
        <v>1.03694079944567</v>
      </c>
      <c r="J90" s="0" t="n">
        <v>1.03694079944567</v>
      </c>
      <c r="K90" s="0" t="n">
        <v>1.03694079944567</v>
      </c>
      <c r="L90" s="0" t="n">
        <v>1.03694079944567</v>
      </c>
      <c r="M90" s="0" t="n">
        <v>1.03694079944567</v>
      </c>
      <c r="N90" s="0" t="n">
        <v>1.03694079944567</v>
      </c>
      <c r="O90" s="0" t="n">
        <v>1.03694079944567</v>
      </c>
      <c r="P90" s="0" t="n">
        <v>1.03694079944567</v>
      </c>
      <c r="Q90" s="0" t="n">
        <v>1.03694079944567</v>
      </c>
      <c r="R90" s="0" t="n">
        <v>1.03694079944567</v>
      </c>
      <c r="S90" s="0" t="n">
        <v>1.03694079944567</v>
      </c>
      <c r="T90" s="0" t="n">
        <v>1.03694079944567</v>
      </c>
      <c r="U90" s="0" t="n">
        <v>1.03694079944567</v>
      </c>
      <c r="V90" s="0" t="n">
        <v>1.24721377912867</v>
      </c>
      <c r="W90" s="0" t="n">
        <v>1.24721377912867</v>
      </c>
      <c r="X90" s="0" t="n">
        <v>1.24721377912867</v>
      </c>
      <c r="Y90" s="0" t="n">
        <v>1.24721377912867</v>
      </c>
      <c r="Z90" s="0" t="n">
        <v>1.24721377912867</v>
      </c>
      <c r="AA90" s="0" t="n">
        <v>1.24721377912867</v>
      </c>
      <c r="AB90" s="0" t="n">
        <v>1.24721377912867</v>
      </c>
      <c r="AC90" s="0" t="n">
        <v>1.24721377912867</v>
      </c>
      <c r="AD90" s="0" t="n">
        <v>1.24721377912867</v>
      </c>
      <c r="AE90" s="0" t="n">
        <v>1.24721377912867</v>
      </c>
      <c r="AF90" s="0" t="n">
        <v>1.24721377912867</v>
      </c>
      <c r="AG90" s="0" t="n">
        <v>1.24721377912867</v>
      </c>
      <c r="AH90" s="0" t="n">
        <v>1.24721377912867</v>
      </c>
      <c r="AI90" s="0" t="n">
        <v>1.24721377912867</v>
      </c>
      <c r="AJ90" s="0" t="n">
        <v>1.24721377912867</v>
      </c>
      <c r="AK90" s="0" t="n">
        <v>1.24721377912867</v>
      </c>
      <c r="AL90" s="0" t="n">
        <v>1.24721377912867</v>
      </c>
      <c r="AM90" s="0" t="n">
        <v>1.24721377912867</v>
      </c>
      <c r="AN90" s="0" t="n">
        <v>1.24721377912867</v>
      </c>
      <c r="AO90" s="0" t="n">
        <v>1.24721377912867</v>
      </c>
      <c r="AP90" s="0" t="n">
        <v>1.24721377912867</v>
      </c>
      <c r="AQ90" s="0" t="n">
        <v>1.24721377912867</v>
      </c>
      <c r="AR90" s="0" t="n">
        <v>1.24721377912867</v>
      </c>
      <c r="AS90" s="0" t="n">
        <v>1.24721377912867</v>
      </c>
      <c r="AT90" s="0" t="n">
        <v>1.24721377912867</v>
      </c>
      <c r="AU90" s="0" t="n">
        <v>1.5</v>
      </c>
      <c r="AV90" s="0" t="n">
        <v>1.5</v>
      </c>
      <c r="AW90" s="0" t="n">
        <v>1.5</v>
      </c>
      <c r="AX90" s="0" t="n">
        <v>1.5</v>
      </c>
      <c r="AY90" s="0" t="n">
        <v>1.5</v>
      </c>
      <c r="AZ90" s="0" t="n">
        <v>1.5</v>
      </c>
      <c r="BA90" s="0" t="n">
        <v>1.5</v>
      </c>
      <c r="BB90" s="0" t="n">
        <v>1.5</v>
      </c>
      <c r="BC90" s="0" t="n">
        <v>1.5</v>
      </c>
      <c r="BD90" s="0" t="n">
        <v>1.5</v>
      </c>
      <c r="BE90" s="0" t="n">
        <v>1.5</v>
      </c>
      <c r="BF90" s="0" t="n">
        <v>1.5</v>
      </c>
      <c r="BG90" s="0" t="n">
        <v>1.03694079944567</v>
      </c>
      <c r="BH90" s="0" t="n">
        <v>1.03694079944567</v>
      </c>
      <c r="BI90" s="0" t="n">
        <v>1.03694079944567</v>
      </c>
      <c r="BJ90" s="0" t="n">
        <v>1.03694079944567</v>
      </c>
      <c r="BK90" s="0" t="n">
        <v>1.03694079944567</v>
      </c>
    </row>
    <row r="91" customFormat="false" ht="12.8" hidden="false" customHeight="false" outlineLevel="0" collapsed="false">
      <c r="A91" s="21" t="n">
        <f aca="false">A90+1/24</f>
        <v>43895.7083337497</v>
      </c>
      <c r="B91" s="0" t="n">
        <v>0.978303235026634</v>
      </c>
      <c r="C91" s="0" t="n">
        <v>0.978303235026634</v>
      </c>
      <c r="D91" s="0" t="n">
        <v>0.978303235026634</v>
      </c>
      <c r="E91" s="0" t="n">
        <v>0.978303235026634</v>
      </c>
      <c r="F91" s="0" t="n">
        <v>0.978303235026634</v>
      </c>
      <c r="G91" s="0" t="n">
        <v>0.978303235026634</v>
      </c>
      <c r="H91" s="0" t="n">
        <v>0.978303235026634</v>
      </c>
      <c r="I91" s="0" t="n">
        <v>0.978303235026634</v>
      </c>
      <c r="J91" s="0" t="n">
        <v>0.978303235026634</v>
      </c>
      <c r="K91" s="0" t="n">
        <v>0.978303235026634</v>
      </c>
      <c r="L91" s="0" t="n">
        <v>0.978303235026634</v>
      </c>
      <c r="M91" s="0" t="n">
        <v>0.978303235026634</v>
      </c>
      <c r="N91" s="0" t="n">
        <v>0.978303235026634</v>
      </c>
      <c r="O91" s="0" t="n">
        <v>0.978303235026634</v>
      </c>
      <c r="P91" s="0" t="n">
        <v>0.978303235026634</v>
      </c>
      <c r="Q91" s="0" t="n">
        <v>0.978303235026634</v>
      </c>
      <c r="R91" s="0" t="n">
        <v>0.978303235026634</v>
      </c>
      <c r="S91" s="0" t="n">
        <v>0.978303235026634</v>
      </c>
      <c r="T91" s="0" t="n">
        <v>0.978303235026634</v>
      </c>
      <c r="U91" s="0" t="n">
        <v>0.978303235026634</v>
      </c>
      <c r="V91" s="0" t="n">
        <v>1.26849037487335</v>
      </c>
      <c r="W91" s="0" t="n">
        <v>1.26849037487335</v>
      </c>
      <c r="X91" s="0" t="n">
        <v>1.26849037487335</v>
      </c>
      <c r="Y91" s="0" t="n">
        <v>1.26849037487335</v>
      </c>
      <c r="Z91" s="0" t="n">
        <v>1.26849037487335</v>
      </c>
      <c r="AA91" s="0" t="n">
        <v>1.26849037487335</v>
      </c>
      <c r="AB91" s="0" t="n">
        <v>1.26849037487335</v>
      </c>
      <c r="AC91" s="0" t="n">
        <v>1.26849037487335</v>
      </c>
      <c r="AD91" s="0" t="n">
        <v>1.26849037487335</v>
      </c>
      <c r="AE91" s="0" t="n">
        <v>1.26849037487335</v>
      </c>
      <c r="AF91" s="0" t="n">
        <v>1.26849037487335</v>
      </c>
      <c r="AG91" s="0" t="n">
        <v>1.26849037487335</v>
      </c>
      <c r="AH91" s="0" t="n">
        <v>1.26849037487335</v>
      </c>
      <c r="AI91" s="0" t="n">
        <v>1.26849037487335</v>
      </c>
      <c r="AJ91" s="0" t="n">
        <v>1.26849037487335</v>
      </c>
      <c r="AK91" s="0" t="n">
        <v>1.26849037487335</v>
      </c>
      <c r="AL91" s="0" t="n">
        <v>1.26849037487335</v>
      </c>
      <c r="AM91" s="0" t="n">
        <v>1.26849037487335</v>
      </c>
      <c r="AN91" s="0" t="n">
        <v>1.26849037487335</v>
      </c>
      <c r="AO91" s="0" t="n">
        <v>1.26849037487335</v>
      </c>
      <c r="AP91" s="0" t="n">
        <v>1.26849037487335</v>
      </c>
      <c r="AQ91" s="0" t="n">
        <v>1.26849037487335</v>
      </c>
      <c r="AR91" s="0" t="n">
        <v>1.26849037487335</v>
      </c>
      <c r="AS91" s="0" t="n">
        <v>1.26849037487335</v>
      </c>
      <c r="AT91" s="0" t="n">
        <v>1.26849037487335</v>
      </c>
      <c r="AU91" s="0" t="n">
        <v>3</v>
      </c>
      <c r="AV91" s="0" t="n">
        <v>3</v>
      </c>
      <c r="AW91" s="0" t="n">
        <v>3</v>
      </c>
      <c r="AX91" s="0" t="n">
        <v>3</v>
      </c>
      <c r="AY91" s="0" t="n">
        <v>3</v>
      </c>
      <c r="AZ91" s="0" t="n">
        <v>3</v>
      </c>
      <c r="BA91" s="0" t="n">
        <v>3</v>
      </c>
      <c r="BB91" s="0" t="n">
        <v>3</v>
      </c>
      <c r="BC91" s="0" t="n">
        <v>3</v>
      </c>
      <c r="BD91" s="0" t="n">
        <v>3</v>
      </c>
      <c r="BE91" s="0" t="n">
        <v>3</v>
      </c>
      <c r="BF91" s="0" t="n">
        <v>3</v>
      </c>
      <c r="BG91" s="0" t="n">
        <v>0.978303235026634</v>
      </c>
      <c r="BH91" s="0" t="n">
        <v>0.978303235026634</v>
      </c>
      <c r="BI91" s="0" t="n">
        <v>0.978303235026634</v>
      </c>
      <c r="BJ91" s="0" t="n">
        <v>0.978303235026634</v>
      </c>
      <c r="BK91" s="0" t="n">
        <v>0.978303235026634</v>
      </c>
    </row>
    <row r="92" customFormat="false" ht="12.8" hidden="false" customHeight="false" outlineLevel="0" collapsed="false">
      <c r="A92" s="21" t="n">
        <f aca="false">A91+1/24</f>
        <v>43895.7500004164</v>
      </c>
      <c r="B92" s="0" t="n">
        <v>1.00038976224503</v>
      </c>
      <c r="C92" s="0" t="n">
        <v>1.00038976224503</v>
      </c>
      <c r="D92" s="0" t="n">
        <v>1.00038976224503</v>
      </c>
      <c r="E92" s="0" t="n">
        <v>1.00038976224503</v>
      </c>
      <c r="F92" s="0" t="n">
        <v>1.00038976224503</v>
      </c>
      <c r="G92" s="0" t="n">
        <v>1.00038976224503</v>
      </c>
      <c r="H92" s="0" t="n">
        <v>1.00038976224503</v>
      </c>
      <c r="I92" s="0" t="n">
        <v>1.00038976224503</v>
      </c>
      <c r="J92" s="0" t="n">
        <v>1.00038976224503</v>
      </c>
      <c r="K92" s="0" t="n">
        <v>1.00038976224503</v>
      </c>
      <c r="L92" s="0" t="n">
        <v>1.00038976224503</v>
      </c>
      <c r="M92" s="0" t="n">
        <v>1.00038976224503</v>
      </c>
      <c r="N92" s="0" t="n">
        <v>1.00038976224503</v>
      </c>
      <c r="O92" s="0" t="n">
        <v>1.00038976224503</v>
      </c>
      <c r="P92" s="0" t="n">
        <v>1.00038976224503</v>
      </c>
      <c r="Q92" s="0" t="n">
        <v>1.00038976224503</v>
      </c>
      <c r="R92" s="0" t="n">
        <v>1.00038976224503</v>
      </c>
      <c r="S92" s="0" t="n">
        <v>1.00038976224503</v>
      </c>
      <c r="T92" s="0" t="n">
        <v>1.00038976224503</v>
      </c>
      <c r="U92" s="0" t="n">
        <v>1.00038976224503</v>
      </c>
      <c r="V92" s="0" t="n">
        <v>1.13677811550152</v>
      </c>
      <c r="W92" s="0" t="n">
        <v>1.13677811550152</v>
      </c>
      <c r="X92" s="0" t="n">
        <v>1.13677811550152</v>
      </c>
      <c r="Y92" s="0" t="n">
        <v>1.13677811550152</v>
      </c>
      <c r="Z92" s="0" t="n">
        <v>1.13677811550152</v>
      </c>
      <c r="AA92" s="0" t="n">
        <v>1.13677811550152</v>
      </c>
      <c r="AB92" s="0" t="n">
        <v>1.13677811550152</v>
      </c>
      <c r="AC92" s="0" t="n">
        <v>1.13677811550152</v>
      </c>
      <c r="AD92" s="0" t="n">
        <v>1.13677811550152</v>
      </c>
      <c r="AE92" s="0" t="n">
        <v>1.13677811550152</v>
      </c>
      <c r="AF92" s="0" t="n">
        <v>1.13677811550152</v>
      </c>
      <c r="AG92" s="0" t="n">
        <v>1.13677811550152</v>
      </c>
      <c r="AH92" s="0" t="n">
        <v>1.13677811550152</v>
      </c>
      <c r="AI92" s="0" t="n">
        <v>1.13677811550152</v>
      </c>
      <c r="AJ92" s="0" t="n">
        <v>1.13677811550152</v>
      </c>
      <c r="AK92" s="0" t="n">
        <v>1.13677811550152</v>
      </c>
      <c r="AL92" s="0" t="n">
        <v>1.13677811550152</v>
      </c>
      <c r="AM92" s="0" t="n">
        <v>1.13677811550152</v>
      </c>
      <c r="AN92" s="0" t="n">
        <v>1.13677811550152</v>
      </c>
      <c r="AO92" s="0" t="n">
        <v>1.13677811550152</v>
      </c>
      <c r="AP92" s="0" t="n">
        <v>1.13677811550152</v>
      </c>
      <c r="AQ92" s="0" t="n">
        <v>1.13677811550152</v>
      </c>
      <c r="AR92" s="0" t="n">
        <v>1.13677811550152</v>
      </c>
      <c r="AS92" s="0" t="n">
        <v>1.13677811550152</v>
      </c>
      <c r="AT92" s="0" t="n">
        <v>1.13677811550152</v>
      </c>
      <c r="AU92" s="0" t="n">
        <v>1.375</v>
      </c>
      <c r="AV92" s="0" t="n">
        <v>1.375</v>
      </c>
      <c r="AW92" s="0" t="n">
        <v>1.375</v>
      </c>
      <c r="AX92" s="0" t="n">
        <v>1.375</v>
      </c>
      <c r="AY92" s="0" t="n">
        <v>1.375</v>
      </c>
      <c r="AZ92" s="0" t="n">
        <v>1.375</v>
      </c>
      <c r="BA92" s="0" t="n">
        <v>1.375</v>
      </c>
      <c r="BB92" s="0" t="n">
        <v>1.375</v>
      </c>
      <c r="BC92" s="0" t="n">
        <v>1.375</v>
      </c>
      <c r="BD92" s="0" t="n">
        <v>1.375</v>
      </c>
      <c r="BE92" s="0" t="n">
        <v>1.375</v>
      </c>
      <c r="BF92" s="0" t="n">
        <v>1.375</v>
      </c>
      <c r="BG92" s="0" t="n">
        <v>1.00038976224503</v>
      </c>
      <c r="BH92" s="0" t="n">
        <v>1.00038976224503</v>
      </c>
      <c r="BI92" s="0" t="n">
        <v>1.00038976224503</v>
      </c>
      <c r="BJ92" s="0" t="n">
        <v>1.00038976224503</v>
      </c>
      <c r="BK92" s="0" t="n">
        <v>1.00038976224503</v>
      </c>
    </row>
    <row r="93" customFormat="false" ht="12.8" hidden="false" customHeight="false" outlineLevel="0" collapsed="false">
      <c r="A93" s="21" t="n">
        <f aca="false">A92+1/24</f>
        <v>43895.7916670831</v>
      </c>
      <c r="B93" s="0" t="n">
        <v>0.936382140227794</v>
      </c>
      <c r="C93" s="0" t="n">
        <v>0.936382140227794</v>
      </c>
      <c r="D93" s="0" t="n">
        <v>0.936382140227794</v>
      </c>
      <c r="E93" s="0" t="n">
        <v>0.936382140227794</v>
      </c>
      <c r="F93" s="0" t="n">
        <v>0.936382140227794</v>
      </c>
      <c r="G93" s="0" t="n">
        <v>0.936382140227794</v>
      </c>
      <c r="H93" s="0" t="n">
        <v>0.936382140227794</v>
      </c>
      <c r="I93" s="0" t="n">
        <v>0.936382140227794</v>
      </c>
      <c r="J93" s="0" t="n">
        <v>0.936382140227794</v>
      </c>
      <c r="K93" s="0" t="n">
        <v>0.936382140227794</v>
      </c>
      <c r="L93" s="0" t="n">
        <v>0.936382140227794</v>
      </c>
      <c r="M93" s="0" t="n">
        <v>0.936382140227794</v>
      </c>
      <c r="N93" s="0" t="n">
        <v>0.936382140227794</v>
      </c>
      <c r="O93" s="0" t="n">
        <v>0.936382140227794</v>
      </c>
      <c r="P93" s="0" t="n">
        <v>0.936382140227794</v>
      </c>
      <c r="Q93" s="0" t="n">
        <v>0.936382140227794</v>
      </c>
      <c r="R93" s="0" t="n">
        <v>0.936382140227794</v>
      </c>
      <c r="S93" s="0" t="n">
        <v>0.936382140227794</v>
      </c>
      <c r="T93" s="0" t="n">
        <v>0.936382140227794</v>
      </c>
      <c r="U93" s="0" t="n">
        <v>0.936382140227794</v>
      </c>
      <c r="V93" s="0" t="n">
        <v>0.998986828774063</v>
      </c>
      <c r="W93" s="0" t="n">
        <v>0.998986828774063</v>
      </c>
      <c r="X93" s="0" t="n">
        <v>0.998986828774063</v>
      </c>
      <c r="Y93" s="0" t="n">
        <v>0.998986828774063</v>
      </c>
      <c r="Z93" s="0" t="n">
        <v>0.998986828774063</v>
      </c>
      <c r="AA93" s="0" t="n">
        <v>0.998986828774063</v>
      </c>
      <c r="AB93" s="0" t="n">
        <v>0.998986828774063</v>
      </c>
      <c r="AC93" s="0" t="n">
        <v>0.998986828774063</v>
      </c>
      <c r="AD93" s="0" t="n">
        <v>0.998986828774063</v>
      </c>
      <c r="AE93" s="0" t="n">
        <v>0.998986828774063</v>
      </c>
      <c r="AF93" s="0" t="n">
        <v>0.998986828774063</v>
      </c>
      <c r="AG93" s="0" t="n">
        <v>0.998986828774063</v>
      </c>
      <c r="AH93" s="0" t="n">
        <v>0.998986828774063</v>
      </c>
      <c r="AI93" s="0" t="n">
        <v>0.998986828774063</v>
      </c>
      <c r="AJ93" s="0" t="n">
        <v>0.998986828774063</v>
      </c>
      <c r="AK93" s="0" t="n">
        <v>0.998986828774063</v>
      </c>
      <c r="AL93" s="0" t="n">
        <v>0.998986828774063</v>
      </c>
      <c r="AM93" s="0" t="n">
        <v>0.998986828774063</v>
      </c>
      <c r="AN93" s="0" t="n">
        <v>0.998986828774063</v>
      </c>
      <c r="AO93" s="0" t="n">
        <v>0.998986828774063</v>
      </c>
      <c r="AP93" s="0" t="n">
        <v>0.998986828774063</v>
      </c>
      <c r="AQ93" s="0" t="n">
        <v>0.998986828774063</v>
      </c>
      <c r="AR93" s="0" t="n">
        <v>0.998986828774063</v>
      </c>
      <c r="AS93" s="0" t="n">
        <v>0.998986828774063</v>
      </c>
      <c r="AT93" s="0" t="n">
        <v>0.998986828774063</v>
      </c>
      <c r="AU93" s="0" t="n">
        <v>1.75</v>
      </c>
      <c r="AV93" s="0" t="n">
        <v>1.75</v>
      </c>
      <c r="AW93" s="0" t="n">
        <v>1.75</v>
      </c>
      <c r="AX93" s="0" t="n">
        <v>1.75</v>
      </c>
      <c r="AY93" s="0" t="n">
        <v>1.75</v>
      </c>
      <c r="AZ93" s="0" t="n">
        <v>1.75</v>
      </c>
      <c r="BA93" s="0" t="n">
        <v>1.75</v>
      </c>
      <c r="BB93" s="0" t="n">
        <v>1.75</v>
      </c>
      <c r="BC93" s="0" t="n">
        <v>1.75</v>
      </c>
      <c r="BD93" s="0" t="n">
        <v>1.75</v>
      </c>
      <c r="BE93" s="0" t="n">
        <v>1.75</v>
      </c>
      <c r="BF93" s="0" t="n">
        <v>1.75</v>
      </c>
      <c r="BG93" s="0" t="n">
        <v>0.936382140227794</v>
      </c>
      <c r="BH93" s="0" t="n">
        <v>0.936382140227794</v>
      </c>
      <c r="BI93" s="0" t="n">
        <v>0.936382140227794</v>
      </c>
      <c r="BJ93" s="0" t="n">
        <v>0.936382140227794</v>
      </c>
      <c r="BK93" s="0" t="n">
        <v>0.936382140227794</v>
      </c>
    </row>
    <row r="94" customFormat="false" ht="12.8" hidden="false" customHeight="false" outlineLevel="0" collapsed="false">
      <c r="A94" s="21" t="n">
        <f aca="false">A93+1/24</f>
        <v>43895.8333337497</v>
      </c>
      <c r="B94" s="0" t="n">
        <v>0.6903555497813</v>
      </c>
      <c r="C94" s="0" t="n">
        <v>0.6903555497813</v>
      </c>
      <c r="D94" s="0" t="n">
        <v>0.6903555497813</v>
      </c>
      <c r="E94" s="0" t="n">
        <v>0.6903555497813</v>
      </c>
      <c r="F94" s="0" t="n">
        <v>0.6903555497813</v>
      </c>
      <c r="G94" s="0" t="n">
        <v>0.6903555497813</v>
      </c>
      <c r="H94" s="0" t="n">
        <v>0.6903555497813</v>
      </c>
      <c r="I94" s="0" t="n">
        <v>0.6903555497813</v>
      </c>
      <c r="J94" s="0" t="n">
        <v>0.6903555497813</v>
      </c>
      <c r="K94" s="0" t="n">
        <v>0.6903555497813</v>
      </c>
      <c r="L94" s="0" t="n">
        <v>0.6903555497813</v>
      </c>
      <c r="M94" s="0" t="n">
        <v>0.6903555497813</v>
      </c>
      <c r="N94" s="0" t="n">
        <v>0.6903555497813</v>
      </c>
      <c r="O94" s="0" t="n">
        <v>0.6903555497813</v>
      </c>
      <c r="P94" s="0" t="n">
        <v>0.6903555497813</v>
      </c>
      <c r="Q94" s="0" t="n">
        <v>0.6903555497813</v>
      </c>
      <c r="R94" s="0" t="n">
        <v>0.6903555497813</v>
      </c>
      <c r="S94" s="0" t="n">
        <v>0.6903555497813</v>
      </c>
      <c r="T94" s="0" t="n">
        <v>0.6903555497813</v>
      </c>
      <c r="U94" s="0" t="n">
        <v>0.6903555497813</v>
      </c>
      <c r="V94" s="0" t="n">
        <v>0.998986828774063</v>
      </c>
      <c r="W94" s="0" t="n">
        <v>0.998986828774063</v>
      </c>
      <c r="X94" s="0" t="n">
        <v>0.998986828774063</v>
      </c>
      <c r="Y94" s="0" t="n">
        <v>0.998986828774063</v>
      </c>
      <c r="Z94" s="0" t="n">
        <v>0.998986828774063</v>
      </c>
      <c r="AA94" s="0" t="n">
        <v>0.998986828774063</v>
      </c>
      <c r="AB94" s="0" t="n">
        <v>0.998986828774063</v>
      </c>
      <c r="AC94" s="0" t="n">
        <v>0.998986828774063</v>
      </c>
      <c r="AD94" s="0" t="n">
        <v>0.998986828774063</v>
      </c>
      <c r="AE94" s="0" t="n">
        <v>0.998986828774063</v>
      </c>
      <c r="AF94" s="0" t="n">
        <v>0.998986828774063</v>
      </c>
      <c r="AG94" s="0" t="n">
        <v>0.998986828774063</v>
      </c>
      <c r="AH94" s="0" t="n">
        <v>0.998986828774063</v>
      </c>
      <c r="AI94" s="0" t="n">
        <v>0.998986828774063</v>
      </c>
      <c r="AJ94" s="0" t="n">
        <v>0.998986828774063</v>
      </c>
      <c r="AK94" s="0" t="n">
        <v>0.998986828774063</v>
      </c>
      <c r="AL94" s="0" t="n">
        <v>0.998986828774063</v>
      </c>
      <c r="AM94" s="0" t="n">
        <v>0.998986828774063</v>
      </c>
      <c r="AN94" s="0" t="n">
        <v>0.998986828774063</v>
      </c>
      <c r="AO94" s="0" t="n">
        <v>0.998986828774063</v>
      </c>
      <c r="AP94" s="0" t="n">
        <v>0.998986828774063</v>
      </c>
      <c r="AQ94" s="0" t="n">
        <v>0.998986828774063</v>
      </c>
      <c r="AR94" s="0" t="n">
        <v>0.998986828774063</v>
      </c>
      <c r="AS94" s="0" t="n">
        <v>0.998986828774063</v>
      </c>
      <c r="AT94" s="0" t="n">
        <v>0.998986828774063</v>
      </c>
      <c r="AU94" s="0" t="n">
        <v>1</v>
      </c>
      <c r="AV94" s="0" t="n">
        <v>1</v>
      </c>
      <c r="AW94" s="0" t="n">
        <v>1</v>
      </c>
      <c r="AX94" s="0" t="n">
        <v>1</v>
      </c>
      <c r="AY94" s="0" t="n">
        <v>1</v>
      </c>
      <c r="AZ94" s="0" t="n">
        <v>1</v>
      </c>
      <c r="BA94" s="0" t="n">
        <v>1</v>
      </c>
      <c r="BB94" s="0" t="n">
        <v>1</v>
      </c>
      <c r="BC94" s="0" t="n">
        <v>1</v>
      </c>
      <c r="BD94" s="0" t="n">
        <v>1</v>
      </c>
      <c r="BE94" s="0" t="n">
        <v>1</v>
      </c>
      <c r="BF94" s="0" t="n">
        <v>1</v>
      </c>
      <c r="BG94" s="0" t="n">
        <v>0.6903555497813</v>
      </c>
      <c r="BH94" s="0" t="n">
        <v>0.6903555497813</v>
      </c>
      <c r="BI94" s="0" t="n">
        <v>0.6903555497813</v>
      </c>
      <c r="BJ94" s="0" t="n">
        <v>0.6903555497813</v>
      </c>
      <c r="BK94" s="0" t="n">
        <v>0.6903555497813</v>
      </c>
    </row>
    <row r="95" customFormat="false" ht="12.8" hidden="false" customHeight="false" outlineLevel="0" collapsed="false">
      <c r="A95" s="21" t="n">
        <f aca="false">A94+1/24</f>
        <v>43895.8750004164</v>
      </c>
      <c r="B95" s="0" t="n">
        <v>0.451691135074271</v>
      </c>
      <c r="C95" s="0" t="n">
        <v>0.451691135074271</v>
      </c>
      <c r="D95" s="0" t="n">
        <v>0.451691135074271</v>
      </c>
      <c r="E95" s="0" t="n">
        <v>0.451691135074271</v>
      </c>
      <c r="F95" s="0" t="n">
        <v>0.451691135074271</v>
      </c>
      <c r="G95" s="0" t="n">
        <v>0.451691135074271</v>
      </c>
      <c r="H95" s="0" t="n">
        <v>0.451691135074271</v>
      </c>
      <c r="I95" s="0" t="n">
        <v>0.451691135074271</v>
      </c>
      <c r="J95" s="0" t="n">
        <v>0.451691135074271</v>
      </c>
      <c r="K95" s="0" t="n">
        <v>0.451691135074271</v>
      </c>
      <c r="L95" s="0" t="n">
        <v>0.451691135074271</v>
      </c>
      <c r="M95" s="0" t="n">
        <v>0.451691135074271</v>
      </c>
      <c r="N95" s="0" t="n">
        <v>0.451691135074271</v>
      </c>
      <c r="O95" s="0" t="n">
        <v>0.451691135074271</v>
      </c>
      <c r="P95" s="0" t="n">
        <v>0.451691135074271</v>
      </c>
      <c r="Q95" s="0" t="n">
        <v>0.451691135074271</v>
      </c>
      <c r="R95" s="0" t="n">
        <v>0.451691135074271</v>
      </c>
      <c r="S95" s="0" t="n">
        <v>0.451691135074271</v>
      </c>
      <c r="T95" s="0" t="n">
        <v>0.451691135074271</v>
      </c>
      <c r="U95" s="0" t="n">
        <v>0.451691135074271</v>
      </c>
      <c r="V95" s="0" t="n">
        <v>0.835866261398176</v>
      </c>
      <c r="W95" s="0" t="n">
        <v>0.835866261398176</v>
      </c>
      <c r="X95" s="0" t="n">
        <v>0.835866261398176</v>
      </c>
      <c r="Y95" s="0" t="n">
        <v>0.835866261398176</v>
      </c>
      <c r="Z95" s="0" t="n">
        <v>0.835866261398176</v>
      </c>
      <c r="AA95" s="0" t="n">
        <v>0.835866261398176</v>
      </c>
      <c r="AB95" s="0" t="n">
        <v>0.835866261398176</v>
      </c>
      <c r="AC95" s="0" t="n">
        <v>0.835866261398176</v>
      </c>
      <c r="AD95" s="0" t="n">
        <v>0.835866261398176</v>
      </c>
      <c r="AE95" s="0" t="n">
        <v>0.835866261398176</v>
      </c>
      <c r="AF95" s="0" t="n">
        <v>0.835866261398176</v>
      </c>
      <c r="AG95" s="0" t="n">
        <v>0.835866261398176</v>
      </c>
      <c r="AH95" s="0" t="n">
        <v>0.835866261398176</v>
      </c>
      <c r="AI95" s="0" t="n">
        <v>0.835866261398176</v>
      </c>
      <c r="AJ95" s="0" t="n">
        <v>0.835866261398176</v>
      </c>
      <c r="AK95" s="0" t="n">
        <v>0.835866261398176</v>
      </c>
      <c r="AL95" s="0" t="n">
        <v>0.835866261398176</v>
      </c>
      <c r="AM95" s="0" t="n">
        <v>0.835866261398176</v>
      </c>
      <c r="AN95" s="0" t="n">
        <v>0.835866261398176</v>
      </c>
      <c r="AO95" s="0" t="n">
        <v>0.835866261398176</v>
      </c>
      <c r="AP95" s="0" t="n">
        <v>0.835866261398176</v>
      </c>
      <c r="AQ95" s="0" t="n">
        <v>0.835866261398176</v>
      </c>
      <c r="AR95" s="0" t="n">
        <v>0.835866261398176</v>
      </c>
      <c r="AS95" s="0" t="n">
        <v>0.835866261398176</v>
      </c>
      <c r="AT95" s="0" t="n">
        <v>0.835866261398176</v>
      </c>
      <c r="AU95" s="0" t="n">
        <v>1.125</v>
      </c>
      <c r="AV95" s="0" t="n">
        <v>1.125</v>
      </c>
      <c r="AW95" s="0" t="n">
        <v>1.125</v>
      </c>
      <c r="AX95" s="0" t="n">
        <v>1.125</v>
      </c>
      <c r="AY95" s="0" t="n">
        <v>1.125</v>
      </c>
      <c r="AZ95" s="0" t="n">
        <v>1.125</v>
      </c>
      <c r="BA95" s="0" t="n">
        <v>1.125</v>
      </c>
      <c r="BB95" s="0" t="n">
        <v>1.125</v>
      </c>
      <c r="BC95" s="0" t="n">
        <v>1.125</v>
      </c>
      <c r="BD95" s="0" t="n">
        <v>1.125</v>
      </c>
      <c r="BE95" s="0" t="n">
        <v>1.125</v>
      </c>
      <c r="BF95" s="0" t="n">
        <v>1.125</v>
      </c>
      <c r="BG95" s="0" t="n">
        <v>0.451691135074271</v>
      </c>
      <c r="BH95" s="0" t="n">
        <v>0.451691135074271</v>
      </c>
      <c r="BI95" s="0" t="n">
        <v>0.451691135074271</v>
      </c>
      <c r="BJ95" s="0" t="n">
        <v>0.451691135074271</v>
      </c>
      <c r="BK95" s="0" t="n">
        <v>0.451691135074271</v>
      </c>
    </row>
    <row r="96" customFormat="false" ht="12.8" hidden="false" customHeight="false" outlineLevel="0" collapsed="false">
      <c r="A96" s="21" t="n">
        <f aca="false">A95+1/24</f>
        <v>43895.9166670831</v>
      </c>
      <c r="B96" s="0" t="n">
        <v>0.35676237495128</v>
      </c>
      <c r="C96" s="0" t="n">
        <v>0.35676237495128</v>
      </c>
      <c r="D96" s="0" t="n">
        <v>0.35676237495128</v>
      </c>
      <c r="E96" s="0" t="n">
        <v>0.35676237495128</v>
      </c>
      <c r="F96" s="0" t="n">
        <v>0.35676237495128</v>
      </c>
      <c r="G96" s="0" t="n">
        <v>0.35676237495128</v>
      </c>
      <c r="H96" s="0" t="n">
        <v>0.35676237495128</v>
      </c>
      <c r="I96" s="0" t="n">
        <v>0.35676237495128</v>
      </c>
      <c r="J96" s="0" t="n">
        <v>0.35676237495128</v>
      </c>
      <c r="K96" s="0" t="n">
        <v>0.35676237495128</v>
      </c>
      <c r="L96" s="0" t="n">
        <v>0.35676237495128</v>
      </c>
      <c r="M96" s="0" t="n">
        <v>0.35676237495128</v>
      </c>
      <c r="N96" s="0" t="n">
        <v>0.35676237495128</v>
      </c>
      <c r="O96" s="0" t="n">
        <v>0.35676237495128</v>
      </c>
      <c r="P96" s="0" t="n">
        <v>0.35676237495128</v>
      </c>
      <c r="Q96" s="0" t="n">
        <v>0.35676237495128</v>
      </c>
      <c r="R96" s="0" t="n">
        <v>0.35676237495128</v>
      </c>
      <c r="S96" s="0" t="n">
        <v>0.35676237495128</v>
      </c>
      <c r="T96" s="0" t="n">
        <v>0.35676237495128</v>
      </c>
      <c r="U96" s="0" t="n">
        <v>0.35676237495128</v>
      </c>
      <c r="V96" s="0" t="n">
        <v>0.787234042553192</v>
      </c>
      <c r="W96" s="0" t="n">
        <v>0.787234042553192</v>
      </c>
      <c r="X96" s="0" t="n">
        <v>0.787234042553192</v>
      </c>
      <c r="Y96" s="0" t="n">
        <v>0.787234042553192</v>
      </c>
      <c r="Z96" s="0" t="n">
        <v>0.787234042553192</v>
      </c>
      <c r="AA96" s="0" t="n">
        <v>0.787234042553192</v>
      </c>
      <c r="AB96" s="0" t="n">
        <v>0.787234042553192</v>
      </c>
      <c r="AC96" s="0" t="n">
        <v>0.787234042553192</v>
      </c>
      <c r="AD96" s="0" t="n">
        <v>0.787234042553192</v>
      </c>
      <c r="AE96" s="0" t="n">
        <v>0.787234042553192</v>
      </c>
      <c r="AF96" s="0" t="n">
        <v>0.787234042553192</v>
      </c>
      <c r="AG96" s="0" t="n">
        <v>0.787234042553192</v>
      </c>
      <c r="AH96" s="0" t="n">
        <v>0.787234042553192</v>
      </c>
      <c r="AI96" s="0" t="n">
        <v>0.787234042553192</v>
      </c>
      <c r="AJ96" s="0" t="n">
        <v>0.787234042553192</v>
      </c>
      <c r="AK96" s="0" t="n">
        <v>0.787234042553192</v>
      </c>
      <c r="AL96" s="0" t="n">
        <v>0.787234042553192</v>
      </c>
      <c r="AM96" s="0" t="n">
        <v>0.787234042553192</v>
      </c>
      <c r="AN96" s="0" t="n">
        <v>0.787234042553192</v>
      </c>
      <c r="AO96" s="0" t="n">
        <v>0.787234042553192</v>
      </c>
      <c r="AP96" s="0" t="n">
        <v>0.787234042553192</v>
      </c>
      <c r="AQ96" s="0" t="n">
        <v>0.787234042553192</v>
      </c>
      <c r="AR96" s="0" t="n">
        <v>0.787234042553192</v>
      </c>
      <c r="AS96" s="0" t="n">
        <v>0.787234042553192</v>
      </c>
      <c r="AT96" s="0" t="n">
        <v>0.787234042553192</v>
      </c>
      <c r="AU96" s="0" t="n">
        <v>0.875</v>
      </c>
      <c r="AV96" s="0" t="n">
        <v>0.875</v>
      </c>
      <c r="AW96" s="0" t="n">
        <v>0.875</v>
      </c>
      <c r="AX96" s="0" t="n">
        <v>0.875</v>
      </c>
      <c r="AY96" s="0" t="n">
        <v>0.875</v>
      </c>
      <c r="AZ96" s="0" t="n">
        <v>0.875</v>
      </c>
      <c r="BA96" s="0" t="n">
        <v>0.875</v>
      </c>
      <c r="BB96" s="0" t="n">
        <v>0.875</v>
      </c>
      <c r="BC96" s="0" t="n">
        <v>0.875</v>
      </c>
      <c r="BD96" s="0" t="n">
        <v>0.875</v>
      </c>
      <c r="BE96" s="0" t="n">
        <v>0.875</v>
      </c>
      <c r="BF96" s="0" t="n">
        <v>0.875</v>
      </c>
      <c r="BG96" s="0" t="n">
        <v>0.35676237495128</v>
      </c>
      <c r="BH96" s="0" t="n">
        <v>0.35676237495128</v>
      </c>
      <c r="BI96" s="0" t="n">
        <v>0.35676237495128</v>
      </c>
      <c r="BJ96" s="0" t="n">
        <v>0.35676237495128</v>
      </c>
      <c r="BK96" s="0" t="n">
        <v>0.35676237495128</v>
      </c>
    </row>
    <row r="97" customFormat="false" ht="12.8" hidden="false" customHeight="false" outlineLevel="0" collapsed="false">
      <c r="A97" s="21" t="n">
        <f aca="false">A96+1/24</f>
        <v>43895.9583337497</v>
      </c>
      <c r="B97" s="0" t="n">
        <v>0.214066086353991</v>
      </c>
      <c r="C97" s="0" t="n">
        <v>0.214066086353991</v>
      </c>
      <c r="D97" s="0" t="n">
        <v>0.214066086353991</v>
      </c>
      <c r="E97" s="0" t="n">
        <v>0.214066086353991</v>
      </c>
      <c r="F97" s="0" t="n">
        <v>0.214066086353991</v>
      </c>
      <c r="G97" s="0" t="n">
        <v>0.214066086353991</v>
      </c>
      <c r="H97" s="0" t="n">
        <v>0.214066086353991</v>
      </c>
      <c r="I97" s="0" t="n">
        <v>0.214066086353991</v>
      </c>
      <c r="J97" s="0" t="n">
        <v>0.214066086353991</v>
      </c>
      <c r="K97" s="0" t="n">
        <v>0.214066086353991</v>
      </c>
      <c r="L97" s="0" t="n">
        <v>0.214066086353991</v>
      </c>
      <c r="M97" s="0" t="n">
        <v>0.214066086353991</v>
      </c>
      <c r="N97" s="0" t="n">
        <v>0.214066086353991</v>
      </c>
      <c r="O97" s="0" t="n">
        <v>0.214066086353991</v>
      </c>
      <c r="P97" s="0" t="n">
        <v>0.214066086353991</v>
      </c>
      <c r="Q97" s="0" t="n">
        <v>0.214066086353991</v>
      </c>
      <c r="R97" s="0" t="n">
        <v>0.214066086353991</v>
      </c>
      <c r="S97" s="0" t="n">
        <v>0.214066086353991</v>
      </c>
      <c r="T97" s="0" t="n">
        <v>0.214066086353991</v>
      </c>
      <c r="U97" s="0" t="n">
        <v>0.214066086353991</v>
      </c>
      <c r="V97" s="0" t="n">
        <v>0.616008105369808</v>
      </c>
      <c r="W97" s="0" t="n">
        <v>0.616008105369808</v>
      </c>
      <c r="X97" s="0" t="n">
        <v>0.616008105369808</v>
      </c>
      <c r="Y97" s="0" t="n">
        <v>0.616008105369808</v>
      </c>
      <c r="Z97" s="0" t="n">
        <v>0.616008105369808</v>
      </c>
      <c r="AA97" s="0" t="n">
        <v>0.616008105369808</v>
      </c>
      <c r="AB97" s="0" t="n">
        <v>0.616008105369808</v>
      </c>
      <c r="AC97" s="0" t="n">
        <v>0.616008105369808</v>
      </c>
      <c r="AD97" s="0" t="n">
        <v>0.616008105369808</v>
      </c>
      <c r="AE97" s="0" t="n">
        <v>0.616008105369808</v>
      </c>
      <c r="AF97" s="0" t="n">
        <v>0.616008105369808</v>
      </c>
      <c r="AG97" s="0" t="n">
        <v>0.616008105369808</v>
      </c>
      <c r="AH97" s="0" t="n">
        <v>0.616008105369808</v>
      </c>
      <c r="AI97" s="0" t="n">
        <v>0.616008105369808</v>
      </c>
      <c r="AJ97" s="0" t="n">
        <v>0.616008105369808</v>
      </c>
      <c r="AK97" s="0" t="n">
        <v>0.616008105369808</v>
      </c>
      <c r="AL97" s="0" t="n">
        <v>0.616008105369808</v>
      </c>
      <c r="AM97" s="0" t="n">
        <v>0.616008105369808</v>
      </c>
      <c r="AN97" s="0" t="n">
        <v>0.616008105369808</v>
      </c>
      <c r="AO97" s="0" t="n">
        <v>0.616008105369808</v>
      </c>
      <c r="AP97" s="0" t="n">
        <v>0.616008105369808</v>
      </c>
      <c r="AQ97" s="0" t="n">
        <v>0.616008105369808</v>
      </c>
      <c r="AR97" s="0" t="n">
        <v>0.616008105369808</v>
      </c>
      <c r="AS97" s="0" t="n">
        <v>0.616008105369808</v>
      </c>
      <c r="AT97" s="0" t="n">
        <v>0.616008105369808</v>
      </c>
      <c r="AU97" s="0" t="n">
        <v>0.5</v>
      </c>
      <c r="AV97" s="0" t="n">
        <v>0.5</v>
      </c>
      <c r="AW97" s="0" t="n">
        <v>0.5</v>
      </c>
      <c r="AX97" s="0" t="n">
        <v>0.5</v>
      </c>
      <c r="AY97" s="0" t="n">
        <v>0.5</v>
      </c>
      <c r="AZ97" s="0" t="n">
        <v>0.5</v>
      </c>
      <c r="BA97" s="0" t="n">
        <v>0.5</v>
      </c>
      <c r="BB97" s="0" t="n">
        <v>0.5</v>
      </c>
      <c r="BC97" s="0" t="n">
        <v>0.5</v>
      </c>
      <c r="BD97" s="0" t="n">
        <v>0.5</v>
      </c>
      <c r="BE97" s="0" t="n">
        <v>0.5</v>
      </c>
      <c r="BF97" s="0" t="n">
        <v>0.5</v>
      </c>
      <c r="BG97" s="0" t="n">
        <v>0.214066086353991</v>
      </c>
      <c r="BH97" s="0" t="n">
        <v>0.214066086353991</v>
      </c>
      <c r="BI97" s="0" t="n">
        <v>0.214066086353991</v>
      </c>
      <c r="BJ97" s="0" t="n">
        <v>0.214066086353991</v>
      </c>
      <c r="BK97" s="0" t="n">
        <v>0.214066086353991</v>
      </c>
    </row>
    <row r="98" customFormat="false" ht="12.8" hidden="false" customHeight="false" outlineLevel="0" collapsed="false">
      <c r="A98" s="21" t="n">
        <f aca="false">A97+1/24</f>
        <v>43896.0000004164</v>
      </c>
      <c r="B98" s="0" t="n">
        <v>0.121908968862327</v>
      </c>
      <c r="C98" s="0" t="n">
        <v>0.121908968862327</v>
      </c>
      <c r="D98" s="0" t="n">
        <v>0.121908968862327</v>
      </c>
      <c r="E98" s="0" t="n">
        <v>0.121908968862327</v>
      </c>
      <c r="F98" s="0" t="n">
        <v>0.121908968862327</v>
      </c>
      <c r="G98" s="0" t="n">
        <v>0.121908968862327</v>
      </c>
      <c r="H98" s="0" t="n">
        <v>0.121908968862327</v>
      </c>
      <c r="I98" s="0" t="n">
        <v>0.121908968862327</v>
      </c>
      <c r="J98" s="0" t="n">
        <v>0.121908968862327</v>
      </c>
      <c r="K98" s="0" t="n">
        <v>0.121908968862327</v>
      </c>
      <c r="L98" s="0" t="n">
        <v>0.121908968862327</v>
      </c>
      <c r="M98" s="0" t="n">
        <v>0.121908968862327</v>
      </c>
      <c r="N98" s="0" t="n">
        <v>0.121908968862327</v>
      </c>
      <c r="O98" s="0" t="n">
        <v>0.121908968862327</v>
      </c>
      <c r="P98" s="0" t="n">
        <v>0.121908968862327</v>
      </c>
      <c r="Q98" s="0" t="n">
        <v>0.121908968862327</v>
      </c>
      <c r="R98" s="0" t="n">
        <v>0.121908968862327</v>
      </c>
      <c r="S98" s="0" t="n">
        <v>0.121908968862327</v>
      </c>
      <c r="T98" s="0" t="n">
        <v>0.121908968862327</v>
      </c>
      <c r="U98" s="0" t="n">
        <v>0.121908968862327</v>
      </c>
      <c r="V98" s="0" t="n">
        <v>0.477203647416413</v>
      </c>
      <c r="W98" s="0" t="n">
        <v>0.477203647416413</v>
      </c>
      <c r="X98" s="0" t="n">
        <v>0.477203647416413</v>
      </c>
      <c r="Y98" s="0" t="n">
        <v>0.477203647416413</v>
      </c>
      <c r="Z98" s="0" t="n">
        <v>0.477203647416413</v>
      </c>
      <c r="AA98" s="0" t="n">
        <v>0.477203647416413</v>
      </c>
      <c r="AB98" s="0" t="n">
        <v>0.477203647416413</v>
      </c>
      <c r="AC98" s="0" t="n">
        <v>0.477203647416413</v>
      </c>
      <c r="AD98" s="0" t="n">
        <v>0.477203647416413</v>
      </c>
      <c r="AE98" s="0" t="n">
        <v>0.477203647416413</v>
      </c>
      <c r="AF98" s="0" t="n">
        <v>0.477203647416413</v>
      </c>
      <c r="AG98" s="0" t="n">
        <v>0.477203647416413</v>
      </c>
      <c r="AH98" s="0" t="n">
        <v>0.477203647416413</v>
      </c>
      <c r="AI98" s="0" t="n">
        <v>0.477203647416413</v>
      </c>
      <c r="AJ98" s="0" t="n">
        <v>0.477203647416413</v>
      </c>
      <c r="AK98" s="0" t="n">
        <v>0.477203647416413</v>
      </c>
      <c r="AL98" s="0" t="n">
        <v>0.477203647416413</v>
      </c>
      <c r="AM98" s="0" t="n">
        <v>0.477203647416413</v>
      </c>
      <c r="AN98" s="0" t="n">
        <v>0.477203647416413</v>
      </c>
      <c r="AO98" s="0" t="n">
        <v>0.477203647416413</v>
      </c>
      <c r="AP98" s="0" t="n">
        <v>0.477203647416413</v>
      </c>
      <c r="AQ98" s="0" t="n">
        <v>0.477203647416413</v>
      </c>
      <c r="AR98" s="0" t="n">
        <v>0.477203647416413</v>
      </c>
      <c r="AS98" s="0" t="n">
        <v>0.477203647416413</v>
      </c>
      <c r="AT98" s="0" t="n">
        <v>0.477203647416413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0.121908968862327</v>
      </c>
      <c r="BH98" s="0" t="n">
        <v>0.121908968862327</v>
      </c>
      <c r="BI98" s="0" t="n">
        <v>0.121908968862327</v>
      </c>
      <c r="BJ98" s="0" t="n">
        <v>0.121908968862327</v>
      </c>
      <c r="BK98" s="0" t="n">
        <v>0.121908968862327</v>
      </c>
    </row>
    <row r="99" customFormat="false" ht="12.8" hidden="false" customHeight="false" outlineLevel="0" collapsed="false">
      <c r="A99" s="21" t="n">
        <f aca="false">A98+1/24</f>
        <v>43896.041667083</v>
      </c>
      <c r="B99" s="0" t="n">
        <v>0.0733619158979689</v>
      </c>
      <c r="C99" s="0" t="n">
        <v>0.0733619158979689</v>
      </c>
      <c r="D99" s="0" t="n">
        <v>0.0733619158979689</v>
      </c>
      <c r="E99" s="0" t="n">
        <v>0.0733619158979689</v>
      </c>
      <c r="F99" s="0" t="n">
        <v>0.0733619158979689</v>
      </c>
      <c r="G99" s="0" t="n">
        <v>0.0733619158979689</v>
      </c>
      <c r="H99" s="0" t="n">
        <v>0.0733619158979689</v>
      </c>
      <c r="I99" s="0" t="n">
        <v>0.0733619158979689</v>
      </c>
      <c r="J99" s="0" t="n">
        <v>0.0733619158979689</v>
      </c>
      <c r="K99" s="0" t="n">
        <v>0.0733619158979689</v>
      </c>
      <c r="L99" s="0" t="n">
        <v>0.0733619158979689</v>
      </c>
      <c r="M99" s="0" t="n">
        <v>0.0733619158979689</v>
      </c>
      <c r="N99" s="0" t="n">
        <v>0.0733619158979689</v>
      </c>
      <c r="O99" s="0" t="n">
        <v>0.0733619158979689</v>
      </c>
      <c r="P99" s="0" t="n">
        <v>0.0733619158979689</v>
      </c>
      <c r="Q99" s="0" t="n">
        <v>0.0733619158979689</v>
      </c>
      <c r="R99" s="0" t="n">
        <v>0.0733619158979689</v>
      </c>
      <c r="S99" s="0" t="n">
        <v>0.0733619158979689</v>
      </c>
      <c r="T99" s="0" t="n">
        <v>0.0733619158979689</v>
      </c>
      <c r="U99" s="0" t="n">
        <v>0.0733619158979689</v>
      </c>
      <c r="V99" s="0" t="n">
        <v>0.460992907801418</v>
      </c>
      <c r="W99" s="0" t="n">
        <v>0.460992907801418</v>
      </c>
      <c r="X99" s="0" t="n">
        <v>0.460992907801418</v>
      </c>
      <c r="Y99" s="0" t="n">
        <v>0.460992907801418</v>
      </c>
      <c r="Z99" s="0" t="n">
        <v>0.460992907801418</v>
      </c>
      <c r="AA99" s="0" t="n">
        <v>0.460992907801418</v>
      </c>
      <c r="AB99" s="0" t="n">
        <v>0.460992907801418</v>
      </c>
      <c r="AC99" s="0" t="n">
        <v>0.460992907801418</v>
      </c>
      <c r="AD99" s="0" t="n">
        <v>0.460992907801418</v>
      </c>
      <c r="AE99" s="0" t="n">
        <v>0.460992907801418</v>
      </c>
      <c r="AF99" s="0" t="n">
        <v>0.460992907801418</v>
      </c>
      <c r="AG99" s="0" t="n">
        <v>0.460992907801418</v>
      </c>
      <c r="AH99" s="0" t="n">
        <v>0.460992907801418</v>
      </c>
      <c r="AI99" s="0" t="n">
        <v>0.460992907801418</v>
      </c>
      <c r="AJ99" s="0" t="n">
        <v>0.460992907801418</v>
      </c>
      <c r="AK99" s="0" t="n">
        <v>0.460992907801418</v>
      </c>
      <c r="AL99" s="0" t="n">
        <v>0.460992907801418</v>
      </c>
      <c r="AM99" s="0" t="n">
        <v>0.460992907801418</v>
      </c>
      <c r="AN99" s="0" t="n">
        <v>0.460992907801418</v>
      </c>
      <c r="AO99" s="0" t="n">
        <v>0.460992907801418</v>
      </c>
      <c r="AP99" s="0" t="n">
        <v>0.460992907801418</v>
      </c>
      <c r="AQ99" s="0" t="n">
        <v>0.460992907801418</v>
      </c>
      <c r="AR99" s="0" t="n">
        <v>0.460992907801418</v>
      </c>
      <c r="AS99" s="0" t="n">
        <v>0.460992907801418</v>
      </c>
      <c r="AT99" s="0" t="n">
        <v>0.460992907801418</v>
      </c>
      <c r="AU99" s="0" t="n">
        <v>0.125</v>
      </c>
      <c r="AV99" s="0" t="n">
        <v>0.125</v>
      </c>
      <c r="AW99" s="0" t="n">
        <v>0.125</v>
      </c>
      <c r="AX99" s="0" t="n">
        <v>0.125</v>
      </c>
      <c r="AY99" s="0" t="n">
        <v>0.125</v>
      </c>
      <c r="AZ99" s="0" t="n">
        <v>0.125</v>
      </c>
      <c r="BA99" s="0" t="n">
        <v>0.125</v>
      </c>
      <c r="BB99" s="0" t="n">
        <v>0.125</v>
      </c>
      <c r="BC99" s="0" t="n">
        <v>0.125</v>
      </c>
      <c r="BD99" s="0" t="n">
        <v>0.125</v>
      </c>
      <c r="BE99" s="0" t="n">
        <v>0.125</v>
      </c>
      <c r="BF99" s="0" t="n">
        <v>0.125</v>
      </c>
      <c r="BG99" s="0" t="n">
        <v>0.0733619158979689</v>
      </c>
      <c r="BH99" s="0" t="n">
        <v>0.0733619158979689</v>
      </c>
      <c r="BI99" s="0" t="n">
        <v>0.0733619158979689</v>
      </c>
      <c r="BJ99" s="0" t="n">
        <v>0.0733619158979689</v>
      </c>
      <c r="BK99" s="0" t="n">
        <v>0.0733619158979689</v>
      </c>
    </row>
    <row r="100" customFormat="false" ht="12.8" hidden="false" customHeight="false" outlineLevel="0" collapsed="false">
      <c r="A100" s="21" t="n">
        <f aca="false">A99+1/24</f>
        <v>43896.0833337497</v>
      </c>
      <c r="B100" s="0" t="n">
        <v>0.0477242215581828</v>
      </c>
      <c r="C100" s="0" t="n">
        <v>0.0477242215581828</v>
      </c>
      <c r="D100" s="0" t="n">
        <v>0.0477242215581828</v>
      </c>
      <c r="E100" s="0" t="n">
        <v>0.0477242215581828</v>
      </c>
      <c r="F100" s="0" t="n">
        <v>0.0477242215581828</v>
      </c>
      <c r="G100" s="0" t="n">
        <v>0.0477242215581828</v>
      </c>
      <c r="H100" s="0" t="n">
        <v>0.0477242215581828</v>
      </c>
      <c r="I100" s="0" t="n">
        <v>0.0477242215581828</v>
      </c>
      <c r="J100" s="0" t="n">
        <v>0.0477242215581828</v>
      </c>
      <c r="K100" s="0" t="n">
        <v>0.0477242215581828</v>
      </c>
      <c r="L100" s="0" t="n">
        <v>0.0477242215581828</v>
      </c>
      <c r="M100" s="0" t="n">
        <v>0.0477242215581828</v>
      </c>
      <c r="N100" s="0" t="n">
        <v>0.0477242215581828</v>
      </c>
      <c r="O100" s="0" t="n">
        <v>0.0477242215581828</v>
      </c>
      <c r="P100" s="0" t="n">
        <v>0.0477242215581828</v>
      </c>
      <c r="Q100" s="0" t="n">
        <v>0.0477242215581828</v>
      </c>
      <c r="R100" s="0" t="n">
        <v>0.0477242215581828</v>
      </c>
      <c r="S100" s="0" t="n">
        <v>0.0477242215581828</v>
      </c>
      <c r="T100" s="0" t="n">
        <v>0.0477242215581828</v>
      </c>
      <c r="U100" s="0" t="n">
        <v>0.0477242215581828</v>
      </c>
      <c r="V100" s="0" t="n">
        <v>0.382978723404255</v>
      </c>
      <c r="W100" s="0" t="n">
        <v>0.382978723404255</v>
      </c>
      <c r="X100" s="0" t="n">
        <v>0.382978723404255</v>
      </c>
      <c r="Y100" s="0" t="n">
        <v>0.382978723404255</v>
      </c>
      <c r="Z100" s="0" t="n">
        <v>0.382978723404255</v>
      </c>
      <c r="AA100" s="0" t="n">
        <v>0.382978723404255</v>
      </c>
      <c r="AB100" s="0" t="n">
        <v>0.382978723404255</v>
      </c>
      <c r="AC100" s="0" t="n">
        <v>0.382978723404255</v>
      </c>
      <c r="AD100" s="0" t="n">
        <v>0.382978723404255</v>
      </c>
      <c r="AE100" s="0" t="n">
        <v>0.382978723404255</v>
      </c>
      <c r="AF100" s="0" t="n">
        <v>0.382978723404255</v>
      </c>
      <c r="AG100" s="0" t="n">
        <v>0.382978723404255</v>
      </c>
      <c r="AH100" s="0" t="n">
        <v>0.382978723404255</v>
      </c>
      <c r="AI100" s="0" t="n">
        <v>0.382978723404255</v>
      </c>
      <c r="AJ100" s="0" t="n">
        <v>0.382978723404255</v>
      </c>
      <c r="AK100" s="0" t="n">
        <v>0.382978723404255</v>
      </c>
      <c r="AL100" s="0" t="n">
        <v>0.382978723404255</v>
      </c>
      <c r="AM100" s="0" t="n">
        <v>0.382978723404255</v>
      </c>
      <c r="AN100" s="0" t="n">
        <v>0.382978723404255</v>
      </c>
      <c r="AO100" s="0" t="n">
        <v>0.382978723404255</v>
      </c>
      <c r="AP100" s="0" t="n">
        <v>0.382978723404255</v>
      </c>
      <c r="AQ100" s="0" t="n">
        <v>0.382978723404255</v>
      </c>
      <c r="AR100" s="0" t="n">
        <v>0.382978723404255</v>
      </c>
      <c r="AS100" s="0" t="n">
        <v>0.382978723404255</v>
      </c>
      <c r="AT100" s="0" t="n">
        <v>0.382978723404255</v>
      </c>
      <c r="AU100" s="0" t="n">
        <v>0.25</v>
      </c>
      <c r="AV100" s="0" t="n">
        <v>0.25</v>
      </c>
      <c r="AW100" s="0" t="n">
        <v>0.25</v>
      </c>
      <c r="AX100" s="0" t="n">
        <v>0.25</v>
      </c>
      <c r="AY100" s="0" t="n">
        <v>0.25</v>
      </c>
      <c r="AZ100" s="0" t="n">
        <v>0.25</v>
      </c>
      <c r="BA100" s="0" t="n">
        <v>0.25</v>
      </c>
      <c r="BB100" s="0" t="n">
        <v>0.25</v>
      </c>
      <c r="BC100" s="0" t="n">
        <v>0.25</v>
      </c>
      <c r="BD100" s="0" t="n">
        <v>0.25</v>
      </c>
      <c r="BE100" s="0" t="n">
        <v>0.25</v>
      </c>
      <c r="BF100" s="0" t="n">
        <v>0.25</v>
      </c>
      <c r="BG100" s="0" t="n">
        <v>0.0477242215581828</v>
      </c>
      <c r="BH100" s="0" t="n">
        <v>0.0477242215581828</v>
      </c>
      <c r="BI100" s="0" t="n">
        <v>0.0477242215581828</v>
      </c>
      <c r="BJ100" s="0" t="n">
        <v>0.0477242215581828</v>
      </c>
      <c r="BK100" s="0" t="n">
        <v>0.0477242215581828</v>
      </c>
    </row>
    <row r="101" customFormat="false" ht="12.8" hidden="false" customHeight="false" outlineLevel="0" collapsed="false">
      <c r="A101" s="21" t="n">
        <f aca="false">A100+1/24</f>
        <v>43896.1250004164</v>
      </c>
      <c r="B101" s="0" t="n">
        <v>0.0541769520592439</v>
      </c>
      <c r="C101" s="0" t="n">
        <v>0.0541769520592439</v>
      </c>
      <c r="D101" s="0" t="n">
        <v>0.0541769520592439</v>
      </c>
      <c r="E101" s="0" t="n">
        <v>0.0541769520592439</v>
      </c>
      <c r="F101" s="0" t="n">
        <v>0.0541769520592439</v>
      </c>
      <c r="G101" s="0" t="n">
        <v>0.0541769520592439</v>
      </c>
      <c r="H101" s="0" t="n">
        <v>0.0541769520592439</v>
      </c>
      <c r="I101" s="0" t="n">
        <v>0.0541769520592439</v>
      </c>
      <c r="J101" s="0" t="n">
        <v>0.0541769520592439</v>
      </c>
      <c r="K101" s="0" t="n">
        <v>0.0541769520592439</v>
      </c>
      <c r="L101" s="0" t="n">
        <v>0.0541769520592439</v>
      </c>
      <c r="M101" s="0" t="n">
        <v>0.0541769520592439</v>
      </c>
      <c r="N101" s="0" t="n">
        <v>0.0541769520592439</v>
      </c>
      <c r="O101" s="0" t="n">
        <v>0.0541769520592439</v>
      </c>
      <c r="P101" s="0" t="n">
        <v>0.0541769520592439</v>
      </c>
      <c r="Q101" s="0" t="n">
        <v>0.0541769520592439</v>
      </c>
      <c r="R101" s="0" t="n">
        <v>0.0541769520592439</v>
      </c>
      <c r="S101" s="0" t="n">
        <v>0.0541769520592439</v>
      </c>
      <c r="T101" s="0" t="n">
        <v>0.0541769520592439</v>
      </c>
      <c r="U101" s="0" t="n">
        <v>0.0541769520592439</v>
      </c>
      <c r="V101" s="0" t="n">
        <v>0.421479229989868</v>
      </c>
      <c r="W101" s="0" t="n">
        <v>0.421479229989868</v>
      </c>
      <c r="X101" s="0" t="n">
        <v>0.421479229989868</v>
      </c>
      <c r="Y101" s="0" t="n">
        <v>0.421479229989868</v>
      </c>
      <c r="Z101" s="0" t="n">
        <v>0.421479229989868</v>
      </c>
      <c r="AA101" s="0" t="n">
        <v>0.421479229989868</v>
      </c>
      <c r="AB101" s="0" t="n">
        <v>0.421479229989868</v>
      </c>
      <c r="AC101" s="0" t="n">
        <v>0.421479229989868</v>
      </c>
      <c r="AD101" s="0" t="n">
        <v>0.421479229989868</v>
      </c>
      <c r="AE101" s="0" t="n">
        <v>0.421479229989868</v>
      </c>
      <c r="AF101" s="0" t="n">
        <v>0.421479229989868</v>
      </c>
      <c r="AG101" s="0" t="n">
        <v>0.421479229989868</v>
      </c>
      <c r="AH101" s="0" t="n">
        <v>0.421479229989868</v>
      </c>
      <c r="AI101" s="0" t="n">
        <v>0.421479229989868</v>
      </c>
      <c r="AJ101" s="0" t="n">
        <v>0.421479229989868</v>
      </c>
      <c r="AK101" s="0" t="n">
        <v>0.421479229989868</v>
      </c>
      <c r="AL101" s="0" t="n">
        <v>0.421479229989868</v>
      </c>
      <c r="AM101" s="0" t="n">
        <v>0.421479229989868</v>
      </c>
      <c r="AN101" s="0" t="n">
        <v>0.421479229989868</v>
      </c>
      <c r="AO101" s="0" t="n">
        <v>0.421479229989868</v>
      </c>
      <c r="AP101" s="0" t="n">
        <v>0.421479229989868</v>
      </c>
      <c r="AQ101" s="0" t="n">
        <v>0.421479229989868</v>
      </c>
      <c r="AR101" s="0" t="n">
        <v>0.421479229989868</v>
      </c>
      <c r="AS101" s="0" t="n">
        <v>0.421479229989868</v>
      </c>
      <c r="AT101" s="0" t="n">
        <v>0.421479229989868</v>
      </c>
      <c r="AU101" s="0" t="n">
        <v>0.75</v>
      </c>
      <c r="AV101" s="0" t="n">
        <v>0.75</v>
      </c>
      <c r="AW101" s="0" t="n">
        <v>0.75</v>
      </c>
      <c r="AX101" s="0" t="n">
        <v>0.75</v>
      </c>
      <c r="AY101" s="0" t="n">
        <v>0.75</v>
      </c>
      <c r="AZ101" s="0" t="n">
        <v>0.75</v>
      </c>
      <c r="BA101" s="0" t="n">
        <v>0.75</v>
      </c>
      <c r="BB101" s="0" t="n">
        <v>0.75</v>
      </c>
      <c r="BC101" s="0" t="n">
        <v>0.75</v>
      </c>
      <c r="BD101" s="0" t="n">
        <v>0.75</v>
      </c>
      <c r="BE101" s="0" t="n">
        <v>0.75</v>
      </c>
      <c r="BF101" s="0" t="n">
        <v>0.75</v>
      </c>
      <c r="BG101" s="0" t="n">
        <v>0.0541769520592439</v>
      </c>
      <c r="BH101" s="0" t="n">
        <v>0.0541769520592439</v>
      </c>
      <c r="BI101" s="0" t="n">
        <v>0.0541769520592439</v>
      </c>
      <c r="BJ101" s="0" t="n">
        <v>0.0541769520592439</v>
      </c>
      <c r="BK101" s="0" t="n">
        <v>0.0541769520592439</v>
      </c>
    </row>
    <row r="102" customFormat="false" ht="12.8" hidden="false" customHeight="false" outlineLevel="0" collapsed="false">
      <c r="A102" s="21" t="n">
        <f aca="false">A101+1/24</f>
        <v>43896.166667083</v>
      </c>
      <c r="B102" s="0" t="n">
        <v>0.112251526568793</v>
      </c>
      <c r="C102" s="0" t="n">
        <v>0.112251526568793</v>
      </c>
      <c r="D102" s="0" t="n">
        <v>0.112251526568793</v>
      </c>
      <c r="E102" s="0" t="n">
        <v>0.112251526568793</v>
      </c>
      <c r="F102" s="0" t="n">
        <v>0.112251526568793</v>
      </c>
      <c r="G102" s="0" t="n">
        <v>0.112251526568793</v>
      </c>
      <c r="H102" s="0" t="n">
        <v>0.112251526568793</v>
      </c>
      <c r="I102" s="0" t="n">
        <v>0.112251526568793</v>
      </c>
      <c r="J102" s="0" t="n">
        <v>0.112251526568793</v>
      </c>
      <c r="K102" s="0" t="n">
        <v>0.112251526568793</v>
      </c>
      <c r="L102" s="0" t="n">
        <v>0.112251526568793</v>
      </c>
      <c r="M102" s="0" t="n">
        <v>0.112251526568793</v>
      </c>
      <c r="N102" s="0" t="n">
        <v>0.112251526568793</v>
      </c>
      <c r="O102" s="0" t="n">
        <v>0.112251526568793</v>
      </c>
      <c r="P102" s="0" t="n">
        <v>0.112251526568793</v>
      </c>
      <c r="Q102" s="0" t="n">
        <v>0.112251526568793</v>
      </c>
      <c r="R102" s="0" t="n">
        <v>0.112251526568793</v>
      </c>
      <c r="S102" s="0" t="n">
        <v>0.112251526568793</v>
      </c>
      <c r="T102" s="0" t="n">
        <v>0.112251526568793</v>
      </c>
      <c r="U102" s="0" t="n">
        <v>0.112251526568793</v>
      </c>
      <c r="V102" s="0" t="n">
        <v>0.648429584599797</v>
      </c>
      <c r="W102" s="0" t="n">
        <v>0.648429584599797</v>
      </c>
      <c r="X102" s="0" t="n">
        <v>0.648429584599797</v>
      </c>
      <c r="Y102" s="0" t="n">
        <v>0.648429584599797</v>
      </c>
      <c r="Z102" s="0" t="n">
        <v>0.648429584599797</v>
      </c>
      <c r="AA102" s="0" t="n">
        <v>0.648429584599797</v>
      </c>
      <c r="AB102" s="0" t="n">
        <v>0.648429584599797</v>
      </c>
      <c r="AC102" s="0" t="n">
        <v>0.648429584599797</v>
      </c>
      <c r="AD102" s="0" t="n">
        <v>0.648429584599797</v>
      </c>
      <c r="AE102" s="0" t="n">
        <v>0.648429584599797</v>
      </c>
      <c r="AF102" s="0" t="n">
        <v>0.648429584599797</v>
      </c>
      <c r="AG102" s="0" t="n">
        <v>0.648429584599797</v>
      </c>
      <c r="AH102" s="0" t="n">
        <v>0.648429584599797</v>
      </c>
      <c r="AI102" s="0" t="n">
        <v>0.648429584599797</v>
      </c>
      <c r="AJ102" s="0" t="n">
        <v>0.648429584599797</v>
      </c>
      <c r="AK102" s="0" t="n">
        <v>0.648429584599797</v>
      </c>
      <c r="AL102" s="0" t="n">
        <v>0.648429584599797</v>
      </c>
      <c r="AM102" s="0" t="n">
        <v>0.648429584599797</v>
      </c>
      <c r="AN102" s="0" t="n">
        <v>0.648429584599797</v>
      </c>
      <c r="AO102" s="0" t="n">
        <v>0.648429584599797</v>
      </c>
      <c r="AP102" s="0" t="n">
        <v>0.648429584599797</v>
      </c>
      <c r="AQ102" s="0" t="n">
        <v>0.648429584599797</v>
      </c>
      <c r="AR102" s="0" t="n">
        <v>0.648429584599797</v>
      </c>
      <c r="AS102" s="0" t="n">
        <v>0.648429584599797</v>
      </c>
      <c r="AT102" s="0" t="n">
        <v>0.648429584599797</v>
      </c>
      <c r="AU102" s="0" t="n">
        <v>0.625</v>
      </c>
      <c r="AV102" s="0" t="n">
        <v>0.625</v>
      </c>
      <c r="AW102" s="0" t="n">
        <v>0.625</v>
      </c>
      <c r="AX102" s="0" t="n">
        <v>0.625</v>
      </c>
      <c r="AY102" s="0" t="n">
        <v>0.625</v>
      </c>
      <c r="AZ102" s="0" t="n">
        <v>0.625</v>
      </c>
      <c r="BA102" s="0" t="n">
        <v>0.625</v>
      </c>
      <c r="BB102" s="0" t="n">
        <v>0.625</v>
      </c>
      <c r="BC102" s="0" t="n">
        <v>0.625</v>
      </c>
      <c r="BD102" s="0" t="n">
        <v>0.625</v>
      </c>
      <c r="BE102" s="0" t="n">
        <v>0.625</v>
      </c>
      <c r="BF102" s="0" t="n">
        <v>0.625</v>
      </c>
      <c r="BG102" s="0" t="n">
        <v>0.112251526568793</v>
      </c>
      <c r="BH102" s="0" t="n">
        <v>0.112251526568793</v>
      </c>
      <c r="BI102" s="0" t="n">
        <v>0.112251526568793</v>
      </c>
      <c r="BJ102" s="0" t="n">
        <v>0.112251526568793</v>
      </c>
      <c r="BK102" s="0" t="n">
        <v>0.112251526568793</v>
      </c>
    </row>
    <row r="103" customFormat="false" ht="12.8" hidden="false" customHeight="false" outlineLevel="0" collapsed="false">
      <c r="A103" s="21" t="n">
        <f aca="false">A102+1/24</f>
        <v>43896.2083337497</v>
      </c>
      <c r="B103" s="0" t="n">
        <v>0.394785847299814</v>
      </c>
      <c r="C103" s="0" t="n">
        <v>0.394785847299814</v>
      </c>
      <c r="D103" s="0" t="n">
        <v>0.394785847299814</v>
      </c>
      <c r="E103" s="0" t="n">
        <v>0.394785847299814</v>
      </c>
      <c r="F103" s="0" t="n">
        <v>0.394785847299814</v>
      </c>
      <c r="G103" s="0" t="n">
        <v>0.394785847299814</v>
      </c>
      <c r="H103" s="0" t="n">
        <v>0.394785847299814</v>
      </c>
      <c r="I103" s="0" t="n">
        <v>0.394785847299814</v>
      </c>
      <c r="J103" s="0" t="n">
        <v>0.394785847299814</v>
      </c>
      <c r="K103" s="0" t="n">
        <v>0.394785847299814</v>
      </c>
      <c r="L103" s="0" t="n">
        <v>0.394785847299814</v>
      </c>
      <c r="M103" s="0" t="n">
        <v>0.394785847299814</v>
      </c>
      <c r="N103" s="0" t="n">
        <v>0.394785847299814</v>
      </c>
      <c r="O103" s="0" t="n">
        <v>0.394785847299814</v>
      </c>
      <c r="P103" s="0" t="n">
        <v>0.394785847299814</v>
      </c>
      <c r="Q103" s="0" t="n">
        <v>0.394785847299814</v>
      </c>
      <c r="R103" s="0" t="n">
        <v>0.394785847299814</v>
      </c>
      <c r="S103" s="0" t="n">
        <v>0.394785847299814</v>
      </c>
      <c r="T103" s="0" t="n">
        <v>0.394785847299814</v>
      </c>
      <c r="U103" s="0" t="n">
        <v>0.394785847299814</v>
      </c>
      <c r="V103" s="0" t="n">
        <v>1.00607902735562</v>
      </c>
      <c r="W103" s="0" t="n">
        <v>1.00607902735562</v>
      </c>
      <c r="X103" s="0" t="n">
        <v>1.00607902735562</v>
      </c>
      <c r="Y103" s="0" t="n">
        <v>1.00607902735562</v>
      </c>
      <c r="Z103" s="0" t="n">
        <v>1.00607902735562</v>
      </c>
      <c r="AA103" s="0" t="n">
        <v>1.00607902735562</v>
      </c>
      <c r="AB103" s="0" t="n">
        <v>1.00607902735562</v>
      </c>
      <c r="AC103" s="0" t="n">
        <v>1.00607902735562</v>
      </c>
      <c r="AD103" s="0" t="n">
        <v>1.00607902735562</v>
      </c>
      <c r="AE103" s="0" t="n">
        <v>1.00607902735562</v>
      </c>
      <c r="AF103" s="0" t="n">
        <v>1.00607902735562</v>
      </c>
      <c r="AG103" s="0" t="n">
        <v>1.00607902735562</v>
      </c>
      <c r="AH103" s="0" t="n">
        <v>1.00607902735562</v>
      </c>
      <c r="AI103" s="0" t="n">
        <v>1.00607902735562</v>
      </c>
      <c r="AJ103" s="0" t="n">
        <v>1.00607902735562</v>
      </c>
      <c r="AK103" s="0" t="n">
        <v>1.00607902735562</v>
      </c>
      <c r="AL103" s="0" t="n">
        <v>1.00607902735562</v>
      </c>
      <c r="AM103" s="0" t="n">
        <v>1.00607902735562</v>
      </c>
      <c r="AN103" s="0" t="n">
        <v>1.00607902735562</v>
      </c>
      <c r="AO103" s="0" t="n">
        <v>1.00607902735562</v>
      </c>
      <c r="AP103" s="0" t="n">
        <v>1.00607902735562</v>
      </c>
      <c r="AQ103" s="0" t="n">
        <v>1.00607902735562</v>
      </c>
      <c r="AR103" s="0" t="n">
        <v>1.00607902735562</v>
      </c>
      <c r="AS103" s="0" t="n">
        <v>1.00607902735562</v>
      </c>
      <c r="AT103" s="0" t="n">
        <v>1.00607902735562</v>
      </c>
      <c r="AU103" s="0" t="n">
        <v>1.75</v>
      </c>
      <c r="AV103" s="0" t="n">
        <v>1.75</v>
      </c>
      <c r="AW103" s="0" t="n">
        <v>1.75</v>
      </c>
      <c r="AX103" s="0" t="n">
        <v>1.75</v>
      </c>
      <c r="AY103" s="0" t="n">
        <v>1.75</v>
      </c>
      <c r="AZ103" s="0" t="n">
        <v>1.75</v>
      </c>
      <c r="BA103" s="0" t="n">
        <v>1.75</v>
      </c>
      <c r="BB103" s="0" t="n">
        <v>1.75</v>
      </c>
      <c r="BC103" s="0" t="n">
        <v>1.75</v>
      </c>
      <c r="BD103" s="0" t="n">
        <v>1.75</v>
      </c>
      <c r="BE103" s="0" t="n">
        <v>1.75</v>
      </c>
      <c r="BF103" s="0" t="n">
        <v>1.75</v>
      </c>
      <c r="BG103" s="0" t="n">
        <v>0.394785847299814</v>
      </c>
      <c r="BH103" s="0" t="n">
        <v>0.394785847299814</v>
      </c>
      <c r="BI103" s="0" t="n">
        <v>0.394785847299814</v>
      </c>
      <c r="BJ103" s="0" t="n">
        <v>0.394785847299814</v>
      </c>
      <c r="BK103" s="0" t="n">
        <v>0.394785847299814</v>
      </c>
    </row>
    <row r="104" customFormat="false" ht="12.8" hidden="false" customHeight="false" outlineLevel="0" collapsed="false">
      <c r="A104" s="21" t="n">
        <f aca="false">A103+1/24</f>
        <v>43896.2500004164</v>
      </c>
      <c r="B104" s="0" t="n">
        <v>0.841843142349833</v>
      </c>
      <c r="C104" s="0" t="n">
        <v>0.841843142349833</v>
      </c>
      <c r="D104" s="0" t="n">
        <v>0.841843142349833</v>
      </c>
      <c r="E104" s="0" t="n">
        <v>0.841843142349833</v>
      </c>
      <c r="F104" s="0" t="n">
        <v>0.841843142349833</v>
      </c>
      <c r="G104" s="0" t="n">
        <v>0.841843142349833</v>
      </c>
      <c r="H104" s="0" t="n">
        <v>0.841843142349833</v>
      </c>
      <c r="I104" s="0" t="n">
        <v>0.841843142349833</v>
      </c>
      <c r="J104" s="0" t="n">
        <v>0.841843142349833</v>
      </c>
      <c r="K104" s="0" t="n">
        <v>0.841843142349833</v>
      </c>
      <c r="L104" s="0" t="n">
        <v>0.841843142349833</v>
      </c>
      <c r="M104" s="0" t="n">
        <v>0.841843142349833</v>
      </c>
      <c r="N104" s="0" t="n">
        <v>0.841843142349833</v>
      </c>
      <c r="O104" s="0" t="n">
        <v>0.841843142349833</v>
      </c>
      <c r="P104" s="0" t="n">
        <v>0.841843142349833</v>
      </c>
      <c r="Q104" s="0" t="n">
        <v>0.841843142349833</v>
      </c>
      <c r="R104" s="0" t="n">
        <v>0.841843142349833</v>
      </c>
      <c r="S104" s="0" t="n">
        <v>0.841843142349833</v>
      </c>
      <c r="T104" s="0" t="n">
        <v>0.841843142349833</v>
      </c>
      <c r="U104" s="0" t="n">
        <v>0.841843142349833</v>
      </c>
      <c r="V104" s="0" t="n">
        <v>1.42857142857143</v>
      </c>
      <c r="W104" s="0" t="n">
        <v>1.42857142857143</v>
      </c>
      <c r="X104" s="0" t="n">
        <v>1.42857142857143</v>
      </c>
      <c r="Y104" s="0" t="n">
        <v>1.42857142857143</v>
      </c>
      <c r="Z104" s="0" t="n">
        <v>1.42857142857143</v>
      </c>
      <c r="AA104" s="0" t="n">
        <v>1.42857142857143</v>
      </c>
      <c r="AB104" s="0" t="n">
        <v>1.42857142857143</v>
      </c>
      <c r="AC104" s="0" t="n">
        <v>1.42857142857143</v>
      </c>
      <c r="AD104" s="0" t="n">
        <v>1.42857142857143</v>
      </c>
      <c r="AE104" s="0" t="n">
        <v>1.42857142857143</v>
      </c>
      <c r="AF104" s="0" t="n">
        <v>1.42857142857143</v>
      </c>
      <c r="AG104" s="0" t="n">
        <v>1.42857142857143</v>
      </c>
      <c r="AH104" s="0" t="n">
        <v>1.42857142857143</v>
      </c>
      <c r="AI104" s="0" t="n">
        <v>1.42857142857143</v>
      </c>
      <c r="AJ104" s="0" t="n">
        <v>1.42857142857143</v>
      </c>
      <c r="AK104" s="0" t="n">
        <v>1.42857142857143</v>
      </c>
      <c r="AL104" s="0" t="n">
        <v>1.42857142857143</v>
      </c>
      <c r="AM104" s="0" t="n">
        <v>1.42857142857143</v>
      </c>
      <c r="AN104" s="0" t="n">
        <v>1.42857142857143</v>
      </c>
      <c r="AO104" s="0" t="n">
        <v>1.42857142857143</v>
      </c>
      <c r="AP104" s="0" t="n">
        <v>1.42857142857143</v>
      </c>
      <c r="AQ104" s="0" t="n">
        <v>1.42857142857143</v>
      </c>
      <c r="AR104" s="0" t="n">
        <v>1.42857142857143</v>
      </c>
      <c r="AS104" s="0" t="n">
        <v>1.42857142857143</v>
      </c>
      <c r="AT104" s="0" t="n">
        <v>1.42857142857143</v>
      </c>
      <c r="AU104" s="0" t="n">
        <v>2</v>
      </c>
      <c r="AV104" s="0" t="n">
        <v>2</v>
      </c>
      <c r="AW104" s="0" t="n">
        <v>2</v>
      </c>
      <c r="AX104" s="0" t="n">
        <v>2</v>
      </c>
      <c r="AY104" s="0" t="n">
        <v>2</v>
      </c>
      <c r="AZ104" s="0" t="n">
        <v>2</v>
      </c>
      <c r="BA104" s="0" t="n">
        <v>2</v>
      </c>
      <c r="BB104" s="0" t="n">
        <v>2</v>
      </c>
      <c r="BC104" s="0" t="n">
        <v>2</v>
      </c>
      <c r="BD104" s="0" t="n">
        <v>2</v>
      </c>
      <c r="BE104" s="0" t="n">
        <v>2</v>
      </c>
      <c r="BF104" s="0" t="n">
        <v>2</v>
      </c>
      <c r="BG104" s="0" t="n">
        <v>0.841843142349833</v>
      </c>
      <c r="BH104" s="0" t="n">
        <v>0.841843142349833</v>
      </c>
      <c r="BI104" s="0" t="n">
        <v>0.841843142349833</v>
      </c>
      <c r="BJ104" s="0" t="n">
        <v>0.841843142349833</v>
      </c>
      <c r="BK104" s="0" t="n">
        <v>0.841843142349833</v>
      </c>
    </row>
    <row r="105" customFormat="false" ht="12.8" hidden="false" customHeight="false" outlineLevel="0" collapsed="false">
      <c r="A105" s="21" t="n">
        <f aca="false">A104+1/24</f>
        <v>43896.291667083</v>
      </c>
      <c r="B105" s="0" t="n">
        <v>1.01779914252306</v>
      </c>
      <c r="C105" s="0" t="n">
        <v>1.01779914252306</v>
      </c>
      <c r="D105" s="0" t="n">
        <v>1.01779914252306</v>
      </c>
      <c r="E105" s="0" t="n">
        <v>1.01779914252306</v>
      </c>
      <c r="F105" s="0" t="n">
        <v>1.01779914252306</v>
      </c>
      <c r="G105" s="0" t="n">
        <v>1.01779914252306</v>
      </c>
      <c r="H105" s="0" t="n">
        <v>1.01779914252306</v>
      </c>
      <c r="I105" s="0" t="n">
        <v>1.01779914252306</v>
      </c>
      <c r="J105" s="0" t="n">
        <v>1.01779914252306</v>
      </c>
      <c r="K105" s="0" t="n">
        <v>1.01779914252306</v>
      </c>
      <c r="L105" s="0" t="n">
        <v>1.01779914252306</v>
      </c>
      <c r="M105" s="0" t="n">
        <v>1.01779914252306</v>
      </c>
      <c r="N105" s="0" t="n">
        <v>1.01779914252306</v>
      </c>
      <c r="O105" s="0" t="n">
        <v>1.01779914252306</v>
      </c>
      <c r="P105" s="0" t="n">
        <v>1.01779914252306</v>
      </c>
      <c r="Q105" s="0" t="n">
        <v>1.01779914252306</v>
      </c>
      <c r="R105" s="0" t="n">
        <v>1.01779914252306</v>
      </c>
      <c r="S105" s="0" t="n">
        <v>1.01779914252306</v>
      </c>
      <c r="T105" s="0" t="n">
        <v>1.01779914252306</v>
      </c>
      <c r="U105" s="0" t="n">
        <v>1.01779914252306</v>
      </c>
      <c r="V105" s="0" t="n">
        <v>1.26747720364742</v>
      </c>
      <c r="W105" s="0" t="n">
        <v>1.26747720364742</v>
      </c>
      <c r="X105" s="0" t="n">
        <v>1.26747720364742</v>
      </c>
      <c r="Y105" s="0" t="n">
        <v>1.26747720364742</v>
      </c>
      <c r="Z105" s="0" t="n">
        <v>1.26747720364742</v>
      </c>
      <c r="AA105" s="0" t="n">
        <v>1.26747720364742</v>
      </c>
      <c r="AB105" s="0" t="n">
        <v>1.26747720364742</v>
      </c>
      <c r="AC105" s="0" t="n">
        <v>1.26747720364742</v>
      </c>
      <c r="AD105" s="0" t="n">
        <v>1.26747720364742</v>
      </c>
      <c r="AE105" s="0" t="n">
        <v>1.26747720364742</v>
      </c>
      <c r="AF105" s="0" t="n">
        <v>1.26747720364742</v>
      </c>
      <c r="AG105" s="0" t="n">
        <v>1.26747720364742</v>
      </c>
      <c r="AH105" s="0" t="n">
        <v>1.26747720364742</v>
      </c>
      <c r="AI105" s="0" t="n">
        <v>1.26747720364742</v>
      </c>
      <c r="AJ105" s="0" t="n">
        <v>1.26747720364742</v>
      </c>
      <c r="AK105" s="0" t="n">
        <v>1.26747720364742</v>
      </c>
      <c r="AL105" s="0" t="n">
        <v>1.26747720364742</v>
      </c>
      <c r="AM105" s="0" t="n">
        <v>1.26747720364742</v>
      </c>
      <c r="AN105" s="0" t="n">
        <v>1.26747720364742</v>
      </c>
      <c r="AO105" s="0" t="n">
        <v>1.26747720364742</v>
      </c>
      <c r="AP105" s="0" t="n">
        <v>1.26747720364742</v>
      </c>
      <c r="AQ105" s="0" t="n">
        <v>1.26747720364742</v>
      </c>
      <c r="AR105" s="0" t="n">
        <v>1.26747720364742</v>
      </c>
      <c r="AS105" s="0" t="n">
        <v>1.26747720364742</v>
      </c>
      <c r="AT105" s="0" t="n">
        <v>1.26747720364742</v>
      </c>
      <c r="AU105" s="0" t="n">
        <v>1.25</v>
      </c>
      <c r="AV105" s="0" t="n">
        <v>1.25</v>
      </c>
      <c r="AW105" s="0" t="n">
        <v>1.25</v>
      </c>
      <c r="AX105" s="0" t="n">
        <v>1.25</v>
      </c>
      <c r="AY105" s="0" t="n">
        <v>1.25</v>
      </c>
      <c r="AZ105" s="0" t="n">
        <v>1.25</v>
      </c>
      <c r="BA105" s="0" t="n">
        <v>1.25</v>
      </c>
      <c r="BB105" s="0" t="n">
        <v>1.25</v>
      </c>
      <c r="BC105" s="0" t="n">
        <v>1.25</v>
      </c>
      <c r="BD105" s="0" t="n">
        <v>1.25</v>
      </c>
      <c r="BE105" s="0" t="n">
        <v>1.25</v>
      </c>
      <c r="BF105" s="0" t="n">
        <v>1.25</v>
      </c>
      <c r="BG105" s="0" t="n">
        <v>1.01779914252306</v>
      </c>
      <c r="BH105" s="0" t="n">
        <v>1.01779914252306</v>
      </c>
      <c r="BI105" s="0" t="n">
        <v>1.01779914252306</v>
      </c>
      <c r="BJ105" s="0" t="n">
        <v>1.01779914252306</v>
      </c>
      <c r="BK105" s="0" t="n">
        <v>1.01779914252306</v>
      </c>
    </row>
    <row r="106" customFormat="false" ht="12.8" hidden="false" customHeight="false" outlineLevel="0" collapsed="false">
      <c r="A106" s="21" t="n">
        <f aca="false">A105+1/24</f>
        <v>43896.3333337497</v>
      </c>
      <c r="B106" s="0" t="n">
        <v>0.901173617426703</v>
      </c>
      <c r="C106" s="0" t="n">
        <v>0.901173617426703</v>
      </c>
      <c r="D106" s="0" t="n">
        <v>0.901173617426703</v>
      </c>
      <c r="E106" s="0" t="n">
        <v>0.901173617426703</v>
      </c>
      <c r="F106" s="0" t="n">
        <v>0.901173617426703</v>
      </c>
      <c r="G106" s="0" t="n">
        <v>0.901173617426703</v>
      </c>
      <c r="H106" s="0" t="n">
        <v>0.901173617426703</v>
      </c>
      <c r="I106" s="0" t="n">
        <v>0.901173617426703</v>
      </c>
      <c r="J106" s="0" t="n">
        <v>0.901173617426703</v>
      </c>
      <c r="K106" s="0" t="n">
        <v>0.901173617426703</v>
      </c>
      <c r="L106" s="0" t="n">
        <v>0.901173617426703</v>
      </c>
      <c r="M106" s="0" t="n">
        <v>0.901173617426703</v>
      </c>
      <c r="N106" s="0" t="n">
        <v>0.901173617426703</v>
      </c>
      <c r="O106" s="0" t="n">
        <v>0.901173617426703</v>
      </c>
      <c r="P106" s="0" t="n">
        <v>0.901173617426703</v>
      </c>
      <c r="Q106" s="0" t="n">
        <v>0.901173617426703</v>
      </c>
      <c r="R106" s="0" t="n">
        <v>0.901173617426703</v>
      </c>
      <c r="S106" s="0" t="n">
        <v>0.901173617426703</v>
      </c>
      <c r="T106" s="0" t="n">
        <v>0.901173617426703</v>
      </c>
      <c r="U106" s="0" t="n">
        <v>0.901173617426703</v>
      </c>
      <c r="V106" s="0" t="n">
        <v>1.16210739614995</v>
      </c>
      <c r="W106" s="0" t="n">
        <v>1.16210739614995</v>
      </c>
      <c r="X106" s="0" t="n">
        <v>1.16210739614995</v>
      </c>
      <c r="Y106" s="0" t="n">
        <v>1.16210739614995</v>
      </c>
      <c r="Z106" s="0" t="n">
        <v>1.16210739614995</v>
      </c>
      <c r="AA106" s="0" t="n">
        <v>1.16210739614995</v>
      </c>
      <c r="AB106" s="0" t="n">
        <v>1.16210739614995</v>
      </c>
      <c r="AC106" s="0" t="n">
        <v>1.16210739614995</v>
      </c>
      <c r="AD106" s="0" t="n">
        <v>1.16210739614995</v>
      </c>
      <c r="AE106" s="0" t="n">
        <v>1.16210739614995</v>
      </c>
      <c r="AF106" s="0" t="n">
        <v>1.16210739614995</v>
      </c>
      <c r="AG106" s="0" t="n">
        <v>1.16210739614995</v>
      </c>
      <c r="AH106" s="0" t="n">
        <v>1.16210739614995</v>
      </c>
      <c r="AI106" s="0" t="n">
        <v>1.16210739614995</v>
      </c>
      <c r="AJ106" s="0" t="n">
        <v>1.16210739614995</v>
      </c>
      <c r="AK106" s="0" t="n">
        <v>1.16210739614995</v>
      </c>
      <c r="AL106" s="0" t="n">
        <v>1.16210739614995</v>
      </c>
      <c r="AM106" s="0" t="n">
        <v>1.16210739614995</v>
      </c>
      <c r="AN106" s="0" t="n">
        <v>1.16210739614995</v>
      </c>
      <c r="AO106" s="0" t="n">
        <v>1.16210739614995</v>
      </c>
      <c r="AP106" s="0" t="n">
        <v>1.16210739614995</v>
      </c>
      <c r="AQ106" s="0" t="n">
        <v>1.16210739614995</v>
      </c>
      <c r="AR106" s="0" t="n">
        <v>1.16210739614995</v>
      </c>
      <c r="AS106" s="0" t="n">
        <v>1.16210739614995</v>
      </c>
      <c r="AT106" s="0" t="n">
        <v>1.16210739614995</v>
      </c>
      <c r="AU106" s="0" t="n">
        <v>1.375</v>
      </c>
      <c r="AV106" s="0" t="n">
        <v>1.375</v>
      </c>
      <c r="AW106" s="0" t="n">
        <v>1.375</v>
      </c>
      <c r="AX106" s="0" t="n">
        <v>1.375</v>
      </c>
      <c r="AY106" s="0" t="n">
        <v>1.375</v>
      </c>
      <c r="AZ106" s="0" t="n">
        <v>1.375</v>
      </c>
      <c r="BA106" s="0" t="n">
        <v>1.375</v>
      </c>
      <c r="BB106" s="0" t="n">
        <v>1.375</v>
      </c>
      <c r="BC106" s="0" t="n">
        <v>1.375</v>
      </c>
      <c r="BD106" s="0" t="n">
        <v>1.375</v>
      </c>
      <c r="BE106" s="0" t="n">
        <v>1.375</v>
      </c>
      <c r="BF106" s="0" t="n">
        <v>1.375</v>
      </c>
      <c r="BG106" s="0" t="n">
        <v>0.901173617426703</v>
      </c>
      <c r="BH106" s="0" t="n">
        <v>0.901173617426703</v>
      </c>
      <c r="BI106" s="0" t="n">
        <v>0.901173617426703</v>
      </c>
      <c r="BJ106" s="0" t="n">
        <v>0.901173617426703</v>
      </c>
      <c r="BK106" s="0" t="n">
        <v>0.901173617426703</v>
      </c>
    </row>
    <row r="107" customFormat="false" ht="12.8" hidden="false" customHeight="false" outlineLevel="0" collapsed="false">
      <c r="A107" s="21" t="n">
        <f aca="false">A106+1/24</f>
        <v>43896.3750004164</v>
      </c>
      <c r="B107" s="0" t="n">
        <v>0.925512104283054</v>
      </c>
      <c r="C107" s="0" t="n">
        <v>0.925512104283054</v>
      </c>
      <c r="D107" s="0" t="n">
        <v>0.925512104283054</v>
      </c>
      <c r="E107" s="0" t="n">
        <v>0.925512104283054</v>
      </c>
      <c r="F107" s="0" t="n">
        <v>0.925512104283054</v>
      </c>
      <c r="G107" s="0" t="n">
        <v>0.925512104283054</v>
      </c>
      <c r="H107" s="0" t="n">
        <v>0.925512104283054</v>
      </c>
      <c r="I107" s="0" t="n">
        <v>0.925512104283054</v>
      </c>
      <c r="J107" s="0" t="n">
        <v>0.925512104283054</v>
      </c>
      <c r="K107" s="0" t="n">
        <v>0.925512104283054</v>
      </c>
      <c r="L107" s="0" t="n">
        <v>0.925512104283054</v>
      </c>
      <c r="M107" s="0" t="n">
        <v>0.925512104283054</v>
      </c>
      <c r="N107" s="0" t="n">
        <v>0.925512104283054</v>
      </c>
      <c r="O107" s="0" t="n">
        <v>0.925512104283054</v>
      </c>
      <c r="P107" s="0" t="n">
        <v>0.925512104283054</v>
      </c>
      <c r="Q107" s="0" t="n">
        <v>0.925512104283054</v>
      </c>
      <c r="R107" s="0" t="n">
        <v>0.925512104283054</v>
      </c>
      <c r="S107" s="0" t="n">
        <v>0.925512104283054</v>
      </c>
      <c r="T107" s="0" t="n">
        <v>0.925512104283054</v>
      </c>
      <c r="U107" s="0" t="n">
        <v>0.925512104283054</v>
      </c>
      <c r="V107" s="0" t="n">
        <v>1.34042553191489</v>
      </c>
      <c r="W107" s="0" t="n">
        <v>1.34042553191489</v>
      </c>
      <c r="X107" s="0" t="n">
        <v>1.34042553191489</v>
      </c>
      <c r="Y107" s="0" t="n">
        <v>1.34042553191489</v>
      </c>
      <c r="Z107" s="0" t="n">
        <v>1.34042553191489</v>
      </c>
      <c r="AA107" s="0" t="n">
        <v>1.34042553191489</v>
      </c>
      <c r="AB107" s="0" t="n">
        <v>1.34042553191489</v>
      </c>
      <c r="AC107" s="0" t="n">
        <v>1.34042553191489</v>
      </c>
      <c r="AD107" s="0" t="n">
        <v>1.34042553191489</v>
      </c>
      <c r="AE107" s="0" t="n">
        <v>1.34042553191489</v>
      </c>
      <c r="AF107" s="0" t="n">
        <v>1.34042553191489</v>
      </c>
      <c r="AG107" s="0" t="n">
        <v>1.34042553191489</v>
      </c>
      <c r="AH107" s="0" t="n">
        <v>1.34042553191489</v>
      </c>
      <c r="AI107" s="0" t="n">
        <v>1.34042553191489</v>
      </c>
      <c r="AJ107" s="0" t="n">
        <v>1.34042553191489</v>
      </c>
      <c r="AK107" s="0" t="n">
        <v>1.34042553191489</v>
      </c>
      <c r="AL107" s="0" t="n">
        <v>1.34042553191489</v>
      </c>
      <c r="AM107" s="0" t="n">
        <v>1.34042553191489</v>
      </c>
      <c r="AN107" s="0" t="n">
        <v>1.34042553191489</v>
      </c>
      <c r="AO107" s="0" t="n">
        <v>1.34042553191489</v>
      </c>
      <c r="AP107" s="0" t="n">
        <v>1.34042553191489</v>
      </c>
      <c r="AQ107" s="0" t="n">
        <v>1.34042553191489</v>
      </c>
      <c r="AR107" s="0" t="n">
        <v>1.34042553191489</v>
      </c>
      <c r="AS107" s="0" t="n">
        <v>1.34042553191489</v>
      </c>
      <c r="AT107" s="0" t="n">
        <v>1.34042553191489</v>
      </c>
      <c r="AU107" s="0" t="n">
        <v>1.125</v>
      </c>
      <c r="AV107" s="0" t="n">
        <v>1.125</v>
      </c>
      <c r="AW107" s="0" t="n">
        <v>1.125</v>
      </c>
      <c r="AX107" s="0" t="n">
        <v>1.125</v>
      </c>
      <c r="AY107" s="0" t="n">
        <v>1.125</v>
      </c>
      <c r="AZ107" s="0" t="n">
        <v>1.125</v>
      </c>
      <c r="BA107" s="0" t="n">
        <v>1.125</v>
      </c>
      <c r="BB107" s="0" t="n">
        <v>1.125</v>
      </c>
      <c r="BC107" s="0" t="n">
        <v>1.125</v>
      </c>
      <c r="BD107" s="0" t="n">
        <v>1.125</v>
      </c>
      <c r="BE107" s="0" t="n">
        <v>1.125</v>
      </c>
      <c r="BF107" s="0" t="n">
        <v>1.125</v>
      </c>
      <c r="BG107" s="0" t="n">
        <v>0.925512104283054</v>
      </c>
      <c r="BH107" s="0" t="n">
        <v>0.925512104283054</v>
      </c>
      <c r="BI107" s="0" t="n">
        <v>0.925512104283054</v>
      </c>
      <c r="BJ107" s="0" t="n">
        <v>0.925512104283054</v>
      </c>
      <c r="BK107" s="0" t="n">
        <v>0.925512104283054</v>
      </c>
    </row>
    <row r="108" customFormat="false" ht="12.8" hidden="false" customHeight="false" outlineLevel="0" collapsed="false">
      <c r="A108" s="21" t="n">
        <f aca="false">A107+1/24</f>
        <v>43896.416667083</v>
      </c>
      <c r="B108" s="0" t="n">
        <v>0.811008618076307</v>
      </c>
      <c r="C108" s="0" t="n">
        <v>0.811008618076307</v>
      </c>
      <c r="D108" s="0" t="n">
        <v>0.811008618076307</v>
      </c>
      <c r="E108" s="0" t="n">
        <v>0.811008618076307</v>
      </c>
      <c r="F108" s="0" t="n">
        <v>0.811008618076307</v>
      </c>
      <c r="G108" s="0" t="n">
        <v>0.811008618076307</v>
      </c>
      <c r="H108" s="0" t="n">
        <v>0.811008618076307</v>
      </c>
      <c r="I108" s="0" t="n">
        <v>0.811008618076307</v>
      </c>
      <c r="J108" s="0" t="n">
        <v>0.811008618076307</v>
      </c>
      <c r="K108" s="0" t="n">
        <v>0.811008618076307</v>
      </c>
      <c r="L108" s="0" t="n">
        <v>0.811008618076307</v>
      </c>
      <c r="M108" s="0" t="n">
        <v>0.811008618076307</v>
      </c>
      <c r="N108" s="0" t="n">
        <v>0.811008618076307</v>
      </c>
      <c r="O108" s="0" t="n">
        <v>0.811008618076307</v>
      </c>
      <c r="P108" s="0" t="n">
        <v>0.811008618076307</v>
      </c>
      <c r="Q108" s="0" t="n">
        <v>0.811008618076307</v>
      </c>
      <c r="R108" s="0" t="n">
        <v>0.811008618076307</v>
      </c>
      <c r="S108" s="0" t="n">
        <v>0.811008618076307</v>
      </c>
      <c r="T108" s="0" t="n">
        <v>0.811008618076307</v>
      </c>
      <c r="U108" s="0" t="n">
        <v>0.811008618076307</v>
      </c>
      <c r="V108" s="0" t="n">
        <v>1.45592705167173</v>
      </c>
      <c r="W108" s="0" t="n">
        <v>1.45592705167173</v>
      </c>
      <c r="X108" s="0" t="n">
        <v>1.45592705167173</v>
      </c>
      <c r="Y108" s="0" t="n">
        <v>1.45592705167173</v>
      </c>
      <c r="Z108" s="0" t="n">
        <v>1.45592705167173</v>
      </c>
      <c r="AA108" s="0" t="n">
        <v>1.45592705167173</v>
      </c>
      <c r="AB108" s="0" t="n">
        <v>1.45592705167173</v>
      </c>
      <c r="AC108" s="0" t="n">
        <v>1.45592705167173</v>
      </c>
      <c r="AD108" s="0" t="n">
        <v>1.45592705167173</v>
      </c>
      <c r="AE108" s="0" t="n">
        <v>1.45592705167173</v>
      </c>
      <c r="AF108" s="0" t="n">
        <v>1.45592705167173</v>
      </c>
      <c r="AG108" s="0" t="n">
        <v>1.45592705167173</v>
      </c>
      <c r="AH108" s="0" t="n">
        <v>1.45592705167173</v>
      </c>
      <c r="AI108" s="0" t="n">
        <v>1.45592705167173</v>
      </c>
      <c r="AJ108" s="0" t="n">
        <v>1.45592705167173</v>
      </c>
      <c r="AK108" s="0" t="n">
        <v>1.45592705167173</v>
      </c>
      <c r="AL108" s="0" t="n">
        <v>1.45592705167173</v>
      </c>
      <c r="AM108" s="0" t="n">
        <v>1.45592705167173</v>
      </c>
      <c r="AN108" s="0" t="n">
        <v>1.45592705167173</v>
      </c>
      <c r="AO108" s="0" t="n">
        <v>1.45592705167173</v>
      </c>
      <c r="AP108" s="0" t="n">
        <v>1.45592705167173</v>
      </c>
      <c r="AQ108" s="0" t="n">
        <v>1.45592705167173</v>
      </c>
      <c r="AR108" s="0" t="n">
        <v>1.45592705167173</v>
      </c>
      <c r="AS108" s="0" t="n">
        <v>1.45592705167173</v>
      </c>
      <c r="AT108" s="0" t="n">
        <v>1.45592705167173</v>
      </c>
      <c r="AU108" s="0" t="n">
        <v>0.75</v>
      </c>
      <c r="AV108" s="0" t="n">
        <v>0.75</v>
      </c>
      <c r="AW108" s="0" t="n">
        <v>0.75</v>
      </c>
      <c r="AX108" s="0" t="n">
        <v>0.75</v>
      </c>
      <c r="AY108" s="0" t="n">
        <v>0.75</v>
      </c>
      <c r="AZ108" s="0" t="n">
        <v>0.75</v>
      </c>
      <c r="BA108" s="0" t="n">
        <v>0.75</v>
      </c>
      <c r="BB108" s="0" t="n">
        <v>0.75</v>
      </c>
      <c r="BC108" s="0" t="n">
        <v>0.75</v>
      </c>
      <c r="BD108" s="0" t="n">
        <v>0.75</v>
      </c>
      <c r="BE108" s="0" t="n">
        <v>0.75</v>
      </c>
      <c r="BF108" s="0" t="n">
        <v>0.75</v>
      </c>
      <c r="BG108" s="0" t="n">
        <v>0.811008618076307</v>
      </c>
      <c r="BH108" s="0" t="n">
        <v>0.811008618076307</v>
      </c>
      <c r="BI108" s="0" t="n">
        <v>0.811008618076307</v>
      </c>
      <c r="BJ108" s="0" t="n">
        <v>0.811008618076307</v>
      </c>
      <c r="BK108" s="0" t="n">
        <v>0.811008618076307</v>
      </c>
    </row>
    <row r="109" customFormat="false" ht="12.8" hidden="false" customHeight="false" outlineLevel="0" collapsed="false">
      <c r="A109" s="21" t="n">
        <f aca="false">A108+1/24</f>
        <v>43896.4583337497</v>
      </c>
      <c r="B109" s="0" t="n">
        <v>0.867047767528474</v>
      </c>
      <c r="C109" s="0" t="n">
        <v>0.867047767528474</v>
      </c>
      <c r="D109" s="0" t="n">
        <v>0.867047767528474</v>
      </c>
      <c r="E109" s="0" t="n">
        <v>0.867047767528474</v>
      </c>
      <c r="F109" s="0" t="n">
        <v>0.867047767528474</v>
      </c>
      <c r="G109" s="0" t="n">
        <v>0.867047767528474</v>
      </c>
      <c r="H109" s="0" t="n">
        <v>0.867047767528474</v>
      </c>
      <c r="I109" s="0" t="n">
        <v>0.867047767528474</v>
      </c>
      <c r="J109" s="0" t="n">
        <v>0.867047767528474</v>
      </c>
      <c r="K109" s="0" t="n">
        <v>0.867047767528474</v>
      </c>
      <c r="L109" s="0" t="n">
        <v>0.867047767528474</v>
      </c>
      <c r="M109" s="0" t="n">
        <v>0.867047767528474</v>
      </c>
      <c r="N109" s="0" t="n">
        <v>0.867047767528474</v>
      </c>
      <c r="O109" s="0" t="n">
        <v>0.867047767528474</v>
      </c>
      <c r="P109" s="0" t="n">
        <v>0.867047767528474</v>
      </c>
      <c r="Q109" s="0" t="n">
        <v>0.867047767528474</v>
      </c>
      <c r="R109" s="0" t="n">
        <v>0.867047767528474</v>
      </c>
      <c r="S109" s="0" t="n">
        <v>0.867047767528474</v>
      </c>
      <c r="T109" s="0" t="n">
        <v>0.867047767528474</v>
      </c>
      <c r="U109" s="0" t="n">
        <v>0.867047767528474</v>
      </c>
      <c r="V109" s="0" t="n">
        <v>1.27760891590679</v>
      </c>
      <c r="W109" s="0" t="n">
        <v>1.27760891590679</v>
      </c>
      <c r="X109" s="0" t="n">
        <v>1.27760891590679</v>
      </c>
      <c r="Y109" s="0" t="n">
        <v>1.27760891590679</v>
      </c>
      <c r="Z109" s="0" t="n">
        <v>1.27760891590679</v>
      </c>
      <c r="AA109" s="0" t="n">
        <v>1.27760891590679</v>
      </c>
      <c r="AB109" s="0" t="n">
        <v>1.27760891590679</v>
      </c>
      <c r="AC109" s="0" t="n">
        <v>1.27760891590679</v>
      </c>
      <c r="AD109" s="0" t="n">
        <v>1.27760891590679</v>
      </c>
      <c r="AE109" s="0" t="n">
        <v>1.27760891590679</v>
      </c>
      <c r="AF109" s="0" t="n">
        <v>1.27760891590679</v>
      </c>
      <c r="AG109" s="0" t="n">
        <v>1.27760891590679</v>
      </c>
      <c r="AH109" s="0" t="n">
        <v>1.27760891590679</v>
      </c>
      <c r="AI109" s="0" t="n">
        <v>1.27760891590679</v>
      </c>
      <c r="AJ109" s="0" t="n">
        <v>1.27760891590679</v>
      </c>
      <c r="AK109" s="0" t="n">
        <v>1.27760891590679</v>
      </c>
      <c r="AL109" s="0" t="n">
        <v>1.27760891590679</v>
      </c>
      <c r="AM109" s="0" t="n">
        <v>1.27760891590679</v>
      </c>
      <c r="AN109" s="0" t="n">
        <v>1.27760891590679</v>
      </c>
      <c r="AO109" s="0" t="n">
        <v>1.27760891590679</v>
      </c>
      <c r="AP109" s="0" t="n">
        <v>1.27760891590679</v>
      </c>
      <c r="AQ109" s="0" t="n">
        <v>1.27760891590679</v>
      </c>
      <c r="AR109" s="0" t="n">
        <v>1.27760891590679</v>
      </c>
      <c r="AS109" s="0" t="n">
        <v>1.27760891590679</v>
      </c>
      <c r="AT109" s="0" t="n">
        <v>1.27760891590679</v>
      </c>
      <c r="AU109" s="0" t="n">
        <v>0.625</v>
      </c>
      <c r="AV109" s="0" t="n">
        <v>0.625</v>
      </c>
      <c r="AW109" s="0" t="n">
        <v>0.625</v>
      </c>
      <c r="AX109" s="0" t="n">
        <v>0.625</v>
      </c>
      <c r="AY109" s="0" t="n">
        <v>0.625</v>
      </c>
      <c r="AZ109" s="0" t="n">
        <v>0.625</v>
      </c>
      <c r="BA109" s="0" t="n">
        <v>0.625</v>
      </c>
      <c r="BB109" s="0" t="n">
        <v>0.625</v>
      </c>
      <c r="BC109" s="0" t="n">
        <v>0.625</v>
      </c>
      <c r="BD109" s="0" t="n">
        <v>0.625</v>
      </c>
      <c r="BE109" s="0" t="n">
        <v>0.625</v>
      </c>
      <c r="BF109" s="0" t="n">
        <v>0.625</v>
      </c>
      <c r="BG109" s="0" t="n">
        <v>0.867047767528474</v>
      </c>
      <c r="BH109" s="0" t="n">
        <v>0.867047767528474</v>
      </c>
      <c r="BI109" s="0" t="n">
        <v>0.867047767528474</v>
      </c>
      <c r="BJ109" s="0" t="n">
        <v>0.867047767528474</v>
      </c>
      <c r="BK109" s="0" t="n">
        <v>0.867047767528474</v>
      </c>
    </row>
    <row r="110" customFormat="false" ht="12.8" hidden="false" customHeight="false" outlineLevel="0" collapsed="false">
      <c r="A110" s="21" t="n">
        <f aca="false">A109+1/24</f>
        <v>43896.5000004164</v>
      </c>
      <c r="B110" s="0" t="n">
        <v>0.831449482482352</v>
      </c>
      <c r="C110" s="0" t="n">
        <v>0.831449482482352</v>
      </c>
      <c r="D110" s="0" t="n">
        <v>0.831449482482352</v>
      </c>
      <c r="E110" s="0" t="n">
        <v>0.831449482482352</v>
      </c>
      <c r="F110" s="0" t="n">
        <v>0.831449482482352</v>
      </c>
      <c r="G110" s="0" t="n">
        <v>0.831449482482352</v>
      </c>
      <c r="H110" s="0" t="n">
        <v>0.831449482482352</v>
      </c>
      <c r="I110" s="0" t="n">
        <v>0.831449482482352</v>
      </c>
      <c r="J110" s="0" t="n">
        <v>0.831449482482352</v>
      </c>
      <c r="K110" s="0" t="n">
        <v>0.831449482482352</v>
      </c>
      <c r="L110" s="0" t="n">
        <v>0.831449482482352</v>
      </c>
      <c r="M110" s="0" t="n">
        <v>0.831449482482352</v>
      </c>
      <c r="N110" s="0" t="n">
        <v>0.831449482482352</v>
      </c>
      <c r="O110" s="0" t="n">
        <v>0.831449482482352</v>
      </c>
      <c r="P110" s="0" t="n">
        <v>0.831449482482352</v>
      </c>
      <c r="Q110" s="0" t="n">
        <v>0.831449482482352</v>
      </c>
      <c r="R110" s="0" t="n">
        <v>0.831449482482352</v>
      </c>
      <c r="S110" s="0" t="n">
        <v>0.831449482482352</v>
      </c>
      <c r="T110" s="0" t="n">
        <v>0.831449482482352</v>
      </c>
      <c r="U110" s="0" t="n">
        <v>0.831449482482352</v>
      </c>
      <c r="V110" s="0" t="n">
        <v>1.28267477203647</v>
      </c>
      <c r="W110" s="0" t="n">
        <v>1.28267477203647</v>
      </c>
      <c r="X110" s="0" t="n">
        <v>1.28267477203647</v>
      </c>
      <c r="Y110" s="0" t="n">
        <v>1.28267477203647</v>
      </c>
      <c r="Z110" s="0" t="n">
        <v>1.28267477203647</v>
      </c>
      <c r="AA110" s="0" t="n">
        <v>1.28267477203647</v>
      </c>
      <c r="AB110" s="0" t="n">
        <v>1.28267477203647</v>
      </c>
      <c r="AC110" s="0" t="n">
        <v>1.28267477203647</v>
      </c>
      <c r="AD110" s="0" t="n">
        <v>1.28267477203647</v>
      </c>
      <c r="AE110" s="0" t="n">
        <v>1.28267477203647</v>
      </c>
      <c r="AF110" s="0" t="n">
        <v>1.28267477203647</v>
      </c>
      <c r="AG110" s="0" t="n">
        <v>1.28267477203647</v>
      </c>
      <c r="AH110" s="0" t="n">
        <v>1.28267477203647</v>
      </c>
      <c r="AI110" s="0" t="n">
        <v>1.28267477203647</v>
      </c>
      <c r="AJ110" s="0" t="n">
        <v>1.28267477203647</v>
      </c>
      <c r="AK110" s="0" t="n">
        <v>1.28267477203647</v>
      </c>
      <c r="AL110" s="0" t="n">
        <v>1.28267477203647</v>
      </c>
      <c r="AM110" s="0" t="n">
        <v>1.28267477203647</v>
      </c>
      <c r="AN110" s="0" t="n">
        <v>1.28267477203647</v>
      </c>
      <c r="AO110" s="0" t="n">
        <v>1.28267477203647</v>
      </c>
      <c r="AP110" s="0" t="n">
        <v>1.28267477203647</v>
      </c>
      <c r="AQ110" s="0" t="n">
        <v>1.28267477203647</v>
      </c>
      <c r="AR110" s="0" t="n">
        <v>1.28267477203647</v>
      </c>
      <c r="AS110" s="0" t="n">
        <v>1.28267477203647</v>
      </c>
      <c r="AT110" s="0" t="n">
        <v>1.28267477203647</v>
      </c>
      <c r="AU110" s="0" t="n">
        <v>1.125</v>
      </c>
      <c r="AV110" s="0" t="n">
        <v>1.125</v>
      </c>
      <c r="AW110" s="0" t="n">
        <v>1.125</v>
      </c>
      <c r="AX110" s="0" t="n">
        <v>1.125</v>
      </c>
      <c r="AY110" s="0" t="n">
        <v>1.125</v>
      </c>
      <c r="AZ110" s="0" t="n">
        <v>1.125</v>
      </c>
      <c r="BA110" s="0" t="n">
        <v>1.125</v>
      </c>
      <c r="BB110" s="0" t="n">
        <v>1.125</v>
      </c>
      <c r="BC110" s="0" t="n">
        <v>1.125</v>
      </c>
      <c r="BD110" s="0" t="n">
        <v>1.125</v>
      </c>
      <c r="BE110" s="0" t="n">
        <v>1.125</v>
      </c>
      <c r="BF110" s="0" t="n">
        <v>1.125</v>
      </c>
      <c r="BG110" s="0" t="n">
        <v>0.831449482482352</v>
      </c>
      <c r="BH110" s="0" t="n">
        <v>0.831449482482352</v>
      </c>
      <c r="BI110" s="0" t="n">
        <v>0.831449482482352</v>
      </c>
      <c r="BJ110" s="0" t="n">
        <v>0.831449482482352</v>
      </c>
      <c r="BK110" s="0" t="n">
        <v>0.831449482482352</v>
      </c>
    </row>
    <row r="111" customFormat="false" ht="12.8" hidden="false" customHeight="false" outlineLevel="0" collapsed="false">
      <c r="A111" s="21" t="n">
        <f aca="false">A110+1/24</f>
        <v>43896.541667083</v>
      </c>
      <c r="B111" s="0" t="n">
        <v>0.849551773418215</v>
      </c>
      <c r="C111" s="0" t="n">
        <v>0.849551773418215</v>
      </c>
      <c r="D111" s="0" t="n">
        <v>0.849551773418215</v>
      </c>
      <c r="E111" s="0" t="n">
        <v>0.849551773418215</v>
      </c>
      <c r="F111" s="0" t="n">
        <v>0.849551773418215</v>
      </c>
      <c r="G111" s="0" t="n">
        <v>0.849551773418215</v>
      </c>
      <c r="H111" s="0" t="n">
        <v>0.849551773418215</v>
      </c>
      <c r="I111" s="0" t="n">
        <v>0.849551773418215</v>
      </c>
      <c r="J111" s="0" t="n">
        <v>0.849551773418215</v>
      </c>
      <c r="K111" s="0" t="n">
        <v>0.849551773418215</v>
      </c>
      <c r="L111" s="0" t="n">
        <v>0.849551773418215</v>
      </c>
      <c r="M111" s="0" t="n">
        <v>0.849551773418215</v>
      </c>
      <c r="N111" s="0" t="n">
        <v>0.849551773418215</v>
      </c>
      <c r="O111" s="0" t="n">
        <v>0.849551773418215</v>
      </c>
      <c r="P111" s="0" t="n">
        <v>0.849551773418215</v>
      </c>
      <c r="Q111" s="0" t="n">
        <v>0.849551773418215</v>
      </c>
      <c r="R111" s="0" t="n">
        <v>0.849551773418215</v>
      </c>
      <c r="S111" s="0" t="n">
        <v>0.849551773418215</v>
      </c>
      <c r="T111" s="0" t="n">
        <v>0.849551773418215</v>
      </c>
      <c r="U111" s="0" t="n">
        <v>0.849551773418215</v>
      </c>
      <c r="V111" s="0" t="n">
        <v>1.12563323201621</v>
      </c>
      <c r="W111" s="0" t="n">
        <v>1.12563323201621</v>
      </c>
      <c r="X111" s="0" t="n">
        <v>1.12563323201621</v>
      </c>
      <c r="Y111" s="0" t="n">
        <v>1.12563323201621</v>
      </c>
      <c r="Z111" s="0" t="n">
        <v>1.12563323201621</v>
      </c>
      <c r="AA111" s="0" t="n">
        <v>1.12563323201621</v>
      </c>
      <c r="AB111" s="0" t="n">
        <v>1.12563323201621</v>
      </c>
      <c r="AC111" s="0" t="n">
        <v>1.12563323201621</v>
      </c>
      <c r="AD111" s="0" t="n">
        <v>1.12563323201621</v>
      </c>
      <c r="AE111" s="0" t="n">
        <v>1.12563323201621</v>
      </c>
      <c r="AF111" s="0" t="n">
        <v>1.12563323201621</v>
      </c>
      <c r="AG111" s="0" t="n">
        <v>1.12563323201621</v>
      </c>
      <c r="AH111" s="0" t="n">
        <v>1.12563323201621</v>
      </c>
      <c r="AI111" s="0" t="n">
        <v>1.12563323201621</v>
      </c>
      <c r="AJ111" s="0" t="n">
        <v>1.12563323201621</v>
      </c>
      <c r="AK111" s="0" t="n">
        <v>1.12563323201621</v>
      </c>
      <c r="AL111" s="0" t="n">
        <v>1.12563323201621</v>
      </c>
      <c r="AM111" s="0" t="n">
        <v>1.12563323201621</v>
      </c>
      <c r="AN111" s="0" t="n">
        <v>1.12563323201621</v>
      </c>
      <c r="AO111" s="0" t="n">
        <v>1.12563323201621</v>
      </c>
      <c r="AP111" s="0" t="n">
        <v>1.12563323201621</v>
      </c>
      <c r="AQ111" s="0" t="n">
        <v>1.12563323201621</v>
      </c>
      <c r="AR111" s="0" t="n">
        <v>1.12563323201621</v>
      </c>
      <c r="AS111" s="0" t="n">
        <v>1.12563323201621</v>
      </c>
      <c r="AT111" s="0" t="n">
        <v>1.12563323201621</v>
      </c>
      <c r="AU111" s="0" t="n">
        <v>0.875</v>
      </c>
      <c r="AV111" s="0" t="n">
        <v>0.875</v>
      </c>
      <c r="AW111" s="0" t="n">
        <v>0.875</v>
      </c>
      <c r="AX111" s="0" t="n">
        <v>0.875</v>
      </c>
      <c r="AY111" s="0" t="n">
        <v>0.875</v>
      </c>
      <c r="AZ111" s="0" t="n">
        <v>0.875</v>
      </c>
      <c r="BA111" s="0" t="n">
        <v>0.875</v>
      </c>
      <c r="BB111" s="0" t="n">
        <v>0.875</v>
      </c>
      <c r="BC111" s="0" t="n">
        <v>0.875</v>
      </c>
      <c r="BD111" s="0" t="n">
        <v>0.875</v>
      </c>
      <c r="BE111" s="0" t="n">
        <v>0.875</v>
      </c>
      <c r="BF111" s="0" t="n">
        <v>0.875</v>
      </c>
      <c r="BG111" s="0" t="n">
        <v>0.849551773418215</v>
      </c>
      <c r="BH111" s="0" t="n">
        <v>0.849551773418215</v>
      </c>
      <c r="BI111" s="0" t="n">
        <v>0.849551773418215</v>
      </c>
      <c r="BJ111" s="0" t="n">
        <v>0.849551773418215</v>
      </c>
      <c r="BK111" s="0" t="n">
        <v>0.849551773418215</v>
      </c>
    </row>
    <row r="112" customFormat="false" ht="12.8" hidden="false" customHeight="false" outlineLevel="0" collapsed="false">
      <c r="A112" s="21" t="n">
        <f aca="false">A111+1/24</f>
        <v>43896.5833337497</v>
      </c>
      <c r="B112" s="0" t="n">
        <v>0.984972500108267</v>
      </c>
      <c r="C112" s="0" t="n">
        <v>0.984972500108267</v>
      </c>
      <c r="D112" s="0" t="n">
        <v>0.984972500108267</v>
      </c>
      <c r="E112" s="0" t="n">
        <v>0.984972500108267</v>
      </c>
      <c r="F112" s="0" t="n">
        <v>0.984972500108267</v>
      </c>
      <c r="G112" s="0" t="n">
        <v>0.984972500108267</v>
      </c>
      <c r="H112" s="0" t="n">
        <v>0.984972500108267</v>
      </c>
      <c r="I112" s="0" t="n">
        <v>0.984972500108267</v>
      </c>
      <c r="J112" s="0" t="n">
        <v>0.984972500108267</v>
      </c>
      <c r="K112" s="0" t="n">
        <v>0.984972500108267</v>
      </c>
      <c r="L112" s="0" t="n">
        <v>0.984972500108267</v>
      </c>
      <c r="M112" s="0" t="n">
        <v>0.984972500108267</v>
      </c>
      <c r="N112" s="0" t="n">
        <v>0.984972500108267</v>
      </c>
      <c r="O112" s="0" t="n">
        <v>0.984972500108267</v>
      </c>
      <c r="P112" s="0" t="n">
        <v>0.984972500108267</v>
      </c>
      <c r="Q112" s="0" t="n">
        <v>0.984972500108267</v>
      </c>
      <c r="R112" s="0" t="n">
        <v>0.984972500108267</v>
      </c>
      <c r="S112" s="0" t="n">
        <v>0.984972500108267</v>
      </c>
      <c r="T112" s="0" t="n">
        <v>0.984972500108267</v>
      </c>
      <c r="U112" s="0" t="n">
        <v>0.984972500108267</v>
      </c>
      <c r="V112" s="0" t="n">
        <v>1.19452887537994</v>
      </c>
      <c r="W112" s="0" t="n">
        <v>1.19452887537994</v>
      </c>
      <c r="X112" s="0" t="n">
        <v>1.19452887537994</v>
      </c>
      <c r="Y112" s="0" t="n">
        <v>1.19452887537994</v>
      </c>
      <c r="Z112" s="0" t="n">
        <v>1.19452887537994</v>
      </c>
      <c r="AA112" s="0" t="n">
        <v>1.19452887537994</v>
      </c>
      <c r="AB112" s="0" t="n">
        <v>1.19452887537994</v>
      </c>
      <c r="AC112" s="0" t="n">
        <v>1.19452887537994</v>
      </c>
      <c r="AD112" s="0" t="n">
        <v>1.19452887537994</v>
      </c>
      <c r="AE112" s="0" t="n">
        <v>1.19452887537994</v>
      </c>
      <c r="AF112" s="0" t="n">
        <v>1.19452887537994</v>
      </c>
      <c r="AG112" s="0" t="n">
        <v>1.19452887537994</v>
      </c>
      <c r="AH112" s="0" t="n">
        <v>1.19452887537994</v>
      </c>
      <c r="AI112" s="0" t="n">
        <v>1.19452887537994</v>
      </c>
      <c r="AJ112" s="0" t="n">
        <v>1.19452887537994</v>
      </c>
      <c r="AK112" s="0" t="n">
        <v>1.19452887537994</v>
      </c>
      <c r="AL112" s="0" t="n">
        <v>1.19452887537994</v>
      </c>
      <c r="AM112" s="0" t="n">
        <v>1.19452887537994</v>
      </c>
      <c r="AN112" s="0" t="n">
        <v>1.19452887537994</v>
      </c>
      <c r="AO112" s="0" t="n">
        <v>1.19452887537994</v>
      </c>
      <c r="AP112" s="0" t="n">
        <v>1.19452887537994</v>
      </c>
      <c r="AQ112" s="0" t="n">
        <v>1.19452887537994</v>
      </c>
      <c r="AR112" s="0" t="n">
        <v>1.19452887537994</v>
      </c>
      <c r="AS112" s="0" t="n">
        <v>1.19452887537994</v>
      </c>
      <c r="AT112" s="0" t="n">
        <v>1.19452887537994</v>
      </c>
      <c r="AU112" s="0" t="n">
        <v>1.5</v>
      </c>
      <c r="AV112" s="0" t="n">
        <v>1.5</v>
      </c>
      <c r="AW112" s="0" t="n">
        <v>1.5</v>
      </c>
      <c r="AX112" s="0" t="n">
        <v>1.5</v>
      </c>
      <c r="AY112" s="0" t="n">
        <v>1.5</v>
      </c>
      <c r="AZ112" s="0" t="n">
        <v>1.5</v>
      </c>
      <c r="BA112" s="0" t="n">
        <v>1.5</v>
      </c>
      <c r="BB112" s="0" t="n">
        <v>1.5</v>
      </c>
      <c r="BC112" s="0" t="n">
        <v>1.5</v>
      </c>
      <c r="BD112" s="0" t="n">
        <v>1.5</v>
      </c>
      <c r="BE112" s="0" t="n">
        <v>1.5</v>
      </c>
      <c r="BF112" s="0" t="n">
        <v>1.5</v>
      </c>
      <c r="BG112" s="0" t="n">
        <v>0.984972500108267</v>
      </c>
      <c r="BH112" s="0" t="n">
        <v>0.984972500108267</v>
      </c>
      <c r="BI112" s="0" t="n">
        <v>0.984972500108267</v>
      </c>
      <c r="BJ112" s="0" t="n">
        <v>0.984972500108267</v>
      </c>
      <c r="BK112" s="0" t="n">
        <v>0.984972500108267</v>
      </c>
    </row>
    <row r="113" customFormat="false" ht="12.8" hidden="false" customHeight="false" outlineLevel="0" collapsed="false">
      <c r="A113" s="21" t="n">
        <f aca="false">A112+1/24</f>
        <v>43896.6250004163</v>
      </c>
      <c r="B113" s="0" t="n">
        <v>1.10662162747391</v>
      </c>
      <c r="C113" s="0" t="n">
        <v>1.10662162747391</v>
      </c>
      <c r="D113" s="0" t="n">
        <v>1.10662162747391</v>
      </c>
      <c r="E113" s="0" t="n">
        <v>1.10662162747391</v>
      </c>
      <c r="F113" s="0" t="n">
        <v>1.10662162747391</v>
      </c>
      <c r="G113" s="0" t="n">
        <v>1.10662162747391</v>
      </c>
      <c r="H113" s="0" t="n">
        <v>1.10662162747391</v>
      </c>
      <c r="I113" s="0" t="n">
        <v>1.10662162747391</v>
      </c>
      <c r="J113" s="0" t="n">
        <v>1.10662162747391</v>
      </c>
      <c r="K113" s="0" t="n">
        <v>1.10662162747391</v>
      </c>
      <c r="L113" s="0" t="n">
        <v>1.10662162747391</v>
      </c>
      <c r="M113" s="0" t="n">
        <v>1.10662162747391</v>
      </c>
      <c r="N113" s="0" t="n">
        <v>1.10662162747391</v>
      </c>
      <c r="O113" s="0" t="n">
        <v>1.10662162747391</v>
      </c>
      <c r="P113" s="0" t="n">
        <v>1.10662162747391</v>
      </c>
      <c r="Q113" s="0" t="n">
        <v>1.10662162747391</v>
      </c>
      <c r="R113" s="0" t="n">
        <v>1.10662162747391</v>
      </c>
      <c r="S113" s="0" t="n">
        <v>1.10662162747391</v>
      </c>
      <c r="T113" s="0" t="n">
        <v>1.10662162747391</v>
      </c>
      <c r="U113" s="0" t="n">
        <v>1.10662162747391</v>
      </c>
      <c r="V113" s="0" t="n">
        <v>1.14589665653495</v>
      </c>
      <c r="W113" s="0" t="n">
        <v>1.14589665653495</v>
      </c>
      <c r="X113" s="0" t="n">
        <v>1.14589665653495</v>
      </c>
      <c r="Y113" s="0" t="n">
        <v>1.14589665653495</v>
      </c>
      <c r="Z113" s="0" t="n">
        <v>1.14589665653495</v>
      </c>
      <c r="AA113" s="0" t="n">
        <v>1.14589665653495</v>
      </c>
      <c r="AB113" s="0" t="n">
        <v>1.14589665653495</v>
      </c>
      <c r="AC113" s="0" t="n">
        <v>1.14589665653495</v>
      </c>
      <c r="AD113" s="0" t="n">
        <v>1.14589665653495</v>
      </c>
      <c r="AE113" s="0" t="n">
        <v>1.14589665653495</v>
      </c>
      <c r="AF113" s="0" t="n">
        <v>1.14589665653495</v>
      </c>
      <c r="AG113" s="0" t="n">
        <v>1.14589665653495</v>
      </c>
      <c r="AH113" s="0" t="n">
        <v>1.14589665653495</v>
      </c>
      <c r="AI113" s="0" t="n">
        <v>1.14589665653495</v>
      </c>
      <c r="AJ113" s="0" t="n">
        <v>1.14589665653495</v>
      </c>
      <c r="AK113" s="0" t="n">
        <v>1.14589665653495</v>
      </c>
      <c r="AL113" s="0" t="n">
        <v>1.14589665653495</v>
      </c>
      <c r="AM113" s="0" t="n">
        <v>1.14589665653495</v>
      </c>
      <c r="AN113" s="0" t="n">
        <v>1.14589665653495</v>
      </c>
      <c r="AO113" s="0" t="n">
        <v>1.14589665653495</v>
      </c>
      <c r="AP113" s="0" t="n">
        <v>1.14589665653495</v>
      </c>
      <c r="AQ113" s="0" t="n">
        <v>1.14589665653495</v>
      </c>
      <c r="AR113" s="0" t="n">
        <v>1.14589665653495</v>
      </c>
      <c r="AS113" s="0" t="n">
        <v>1.14589665653495</v>
      </c>
      <c r="AT113" s="0" t="n">
        <v>1.14589665653495</v>
      </c>
      <c r="AU113" s="0" t="n">
        <v>2</v>
      </c>
      <c r="AV113" s="0" t="n">
        <v>2</v>
      </c>
      <c r="AW113" s="0" t="n">
        <v>2</v>
      </c>
      <c r="AX113" s="0" t="n">
        <v>2</v>
      </c>
      <c r="AY113" s="0" t="n">
        <v>2</v>
      </c>
      <c r="AZ113" s="0" t="n">
        <v>2</v>
      </c>
      <c r="BA113" s="0" t="n">
        <v>2</v>
      </c>
      <c r="BB113" s="0" t="n">
        <v>2</v>
      </c>
      <c r="BC113" s="0" t="n">
        <v>2</v>
      </c>
      <c r="BD113" s="0" t="n">
        <v>2</v>
      </c>
      <c r="BE113" s="0" t="n">
        <v>2</v>
      </c>
      <c r="BF113" s="0" t="n">
        <v>2</v>
      </c>
      <c r="BG113" s="0" t="n">
        <v>1.10662162747391</v>
      </c>
      <c r="BH113" s="0" t="n">
        <v>1.10662162747391</v>
      </c>
      <c r="BI113" s="0" t="n">
        <v>1.10662162747391</v>
      </c>
      <c r="BJ113" s="0" t="n">
        <v>1.10662162747391</v>
      </c>
      <c r="BK113" s="0" t="n">
        <v>1.10662162747391</v>
      </c>
    </row>
    <row r="114" customFormat="false" ht="12.8" hidden="false" customHeight="false" outlineLevel="0" collapsed="false">
      <c r="A114" s="21" t="n">
        <f aca="false">A113+1/24</f>
        <v>43896.666667083</v>
      </c>
      <c r="B114" s="0" t="n">
        <v>1.17383396128362</v>
      </c>
      <c r="C114" s="0" t="n">
        <v>1.17383396128362</v>
      </c>
      <c r="D114" s="0" t="n">
        <v>1.17383396128362</v>
      </c>
      <c r="E114" s="0" t="n">
        <v>1.17383396128362</v>
      </c>
      <c r="F114" s="0" t="n">
        <v>1.17383396128362</v>
      </c>
      <c r="G114" s="0" t="n">
        <v>1.17383396128362</v>
      </c>
      <c r="H114" s="0" t="n">
        <v>1.17383396128362</v>
      </c>
      <c r="I114" s="0" t="n">
        <v>1.17383396128362</v>
      </c>
      <c r="J114" s="0" t="n">
        <v>1.17383396128362</v>
      </c>
      <c r="K114" s="0" t="n">
        <v>1.17383396128362</v>
      </c>
      <c r="L114" s="0" t="n">
        <v>1.17383396128362</v>
      </c>
      <c r="M114" s="0" t="n">
        <v>1.17383396128362</v>
      </c>
      <c r="N114" s="0" t="n">
        <v>1.17383396128362</v>
      </c>
      <c r="O114" s="0" t="n">
        <v>1.17383396128362</v>
      </c>
      <c r="P114" s="0" t="n">
        <v>1.17383396128362</v>
      </c>
      <c r="Q114" s="0" t="n">
        <v>1.17383396128362</v>
      </c>
      <c r="R114" s="0" t="n">
        <v>1.17383396128362</v>
      </c>
      <c r="S114" s="0" t="n">
        <v>1.17383396128362</v>
      </c>
      <c r="T114" s="0" t="n">
        <v>1.17383396128362</v>
      </c>
      <c r="U114" s="0" t="n">
        <v>1.17383396128362</v>
      </c>
      <c r="V114" s="0" t="n">
        <v>1.17122593718338</v>
      </c>
      <c r="W114" s="0" t="n">
        <v>1.17122593718338</v>
      </c>
      <c r="X114" s="0" t="n">
        <v>1.17122593718338</v>
      </c>
      <c r="Y114" s="0" t="n">
        <v>1.17122593718338</v>
      </c>
      <c r="Z114" s="0" t="n">
        <v>1.17122593718338</v>
      </c>
      <c r="AA114" s="0" t="n">
        <v>1.17122593718338</v>
      </c>
      <c r="AB114" s="0" t="n">
        <v>1.17122593718338</v>
      </c>
      <c r="AC114" s="0" t="n">
        <v>1.17122593718338</v>
      </c>
      <c r="AD114" s="0" t="n">
        <v>1.17122593718338</v>
      </c>
      <c r="AE114" s="0" t="n">
        <v>1.17122593718338</v>
      </c>
      <c r="AF114" s="0" t="n">
        <v>1.17122593718338</v>
      </c>
      <c r="AG114" s="0" t="n">
        <v>1.17122593718338</v>
      </c>
      <c r="AH114" s="0" t="n">
        <v>1.17122593718338</v>
      </c>
      <c r="AI114" s="0" t="n">
        <v>1.17122593718338</v>
      </c>
      <c r="AJ114" s="0" t="n">
        <v>1.17122593718338</v>
      </c>
      <c r="AK114" s="0" t="n">
        <v>1.17122593718338</v>
      </c>
      <c r="AL114" s="0" t="n">
        <v>1.17122593718338</v>
      </c>
      <c r="AM114" s="0" t="n">
        <v>1.17122593718338</v>
      </c>
      <c r="AN114" s="0" t="n">
        <v>1.17122593718338</v>
      </c>
      <c r="AO114" s="0" t="n">
        <v>1.17122593718338</v>
      </c>
      <c r="AP114" s="0" t="n">
        <v>1.17122593718338</v>
      </c>
      <c r="AQ114" s="0" t="n">
        <v>1.17122593718338</v>
      </c>
      <c r="AR114" s="0" t="n">
        <v>1.17122593718338</v>
      </c>
      <c r="AS114" s="0" t="n">
        <v>1.17122593718338</v>
      </c>
      <c r="AT114" s="0" t="n">
        <v>1.17122593718338</v>
      </c>
      <c r="AU114" s="0" t="n">
        <v>1.375</v>
      </c>
      <c r="AV114" s="0" t="n">
        <v>1.375</v>
      </c>
      <c r="AW114" s="0" t="n">
        <v>1.375</v>
      </c>
      <c r="AX114" s="0" t="n">
        <v>1.375</v>
      </c>
      <c r="AY114" s="0" t="n">
        <v>1.375</v>
      </c>
      <c r="AZ114" s="0" t="n">
        <v>1.375</v>
      </c>
      <c r="BA114" s="0" t="n">
        <v>1.375</v>
      </c>
      <c r="BB114" s="0" t="n">
        <v>1.375</v>
      </c>
      <c r="BC114" s="0" t="n">
        <v>1.375</v>
      </c>
      <c r="BD114" s="0" t="n">
        <v>1.375</v>
      </c>
      <c r="BE114" s="0" t="n">
        <v>1.375</v>
      </c>
      <c r="BF114" s="0" t="n">
        <v>1.375</v>
      </c>
      <c r="BG114" s="0" t="n">
        <v>1.17383396128362</v>
      </c>
      <c r="BH114" s="0" t="n">
        <v>1.17383396128362</v>
      </c>
      <c r="BI114" s="0" t="n">
        <v>1.17383396128362</v>
      </c>
      <c r="BJ114" s="0" t="n">
        <v>1.17383396128362</v>
      </c>
      <c r="BK114" s="0" t="n">
        <v>1.17383396128362</v>
      </c>
    </row>
    <row r="115" customFormat="false" ht="12.8" hidden="false" customHeight="false" outlineLevel="0" collapsed="false">
      <c r="A115" s="21" t="n">
        <f aca="false">A114+1/24</f>
        <v>43896.7083337497</v>
      </c>
      <c r="B115" s="0" t="n">
        <v>1.20276298124811</v>
      </c>
      <c r="C115" s="0" t="n">
        <v>1.20276298124811</v>
      </c>
      <c r="D115" s="0" t="n">
        <v>1.20276298124811</v>
      </c>
      <c r="E115" s="0" t="n">
        <v>1.20276298124811</v>
      </c>
      <c r="F115" s="0" t="n">
        <v>1.20276298124811</v>
      </c>
      <c r="G115" s="0" t="n">
        <v>1.20276298124811</v>
      </c>
      <c r="H115" s="0" t="n">
        <v>1.20276298124811</v>
      </c>
      <c r="I115" s="0" t="n">
        <v>1.20276298124811</v>
      </c>
      <c r="J115" s="0" t="n">
        <v>1.20276298124811</v>
      </c>
      <c r="K115" s="0" t="n">
        <v>1.20276298124811</v>
      </c>
      <c r="L115" s="0" t="n">
        <v>1.20276298124811</v>
      </c>
      <c r="M115" s="0" t="n">
        <v>1.20276298124811</v>
      </c>
      <c r="N115" s="0" t="n">
        <v>1.20276298124811</v>
      </c>
      <c r="O115" s="0" t="n">
        <v>1.20276298124811</v>
      </c>
      <c r="P115" s="0" t="n">
        <v>1.20276298124811</v>
      </c>
      <c r="Q115" s="0" t="n">
        <v>1.20276298124811</v>
      </c>
      <c r="R115" s="0" t="n">
        <v>1.20276298124811</v>
      </c>
      <c r="S115" s="0" t="n">
        <v>1.20276298124811</v>
      </c>
      <c r="T115" s="0" t="n">
        <v>1.20276298124811</v>
      </c>
      <c r="U115" s="0" t="n">
        <v>1.20276298124811</v>
      </c>
      <c r="V115" s="0" t="n">
        <v>1.26545086119554</v>
      </c>
      <c r="W115" s="0" t="n">
        <v>1.26545086119554</v>
      </c>
      <c r="X115" s="0" t="n">
        <v>1.26545086119554</v>
      </c>
      <c r="Y115" s="0" t="n">
        <v>1.26545086119554</v>
      </c>
      <c r="Z115" s="0" t="n">
        <v>1.26545086119554</v>
      </c>
      <c r="AA115" s="0" t="n">
        <v>1.26545086119554</v>
      </c>
      <c r="AB115" s="0" t="n">
        <v>1.26545086119554</v>
      </c>
      <c r="AC115" s="0" t="n">
        <v>1.26545086119554</v>
      </c>
      <c r="AD115" s="0" t="n">
        <v>1.26545086119554</v>
      </c>
      <c r="AE115" s="0" t="n">
        <v>1.26545086119554</v>
      </c>
      <c r="AF115" s="0" t="n">
        <v>1.26545086119554</v>
      </c>
      <c r="AG115" s="0" t="n">
        <v>1.26545086119554</v>
      </c>
      <c r="AH115" s="0" t="n">
        <v>1.26545086119554</v>
      </c>
      <c r="AI115" s="0" t="n">
        <v>1.26545086119554</v>
      </c>
      <c r="AJ115" s="0" t="n">
        <v>1.26545086119554</v>
      </c>
      <c r="AK115" s="0" t="n">
        <v>1.26545086119554</v>
      </c>
      <c r="AL115" s="0" t="n">
        <v>1.26545086119554</v>
      </c>
      <c r="AM115" s="0" t="n">
        <v>1.26545086119554</v>
      </c>
      <c r="AN115" s="0" t="n">
        <v>1.26545086119554</v>
      </c>
      <c r="AO115" s="0" t="n">
        <v>1.26545086119554</v>
      </c>
      <c r="AP115" s="0" t="n">
        <v>1.26545086119554</v>
      </c>
      <c r="AQ115" s="0" t="n">
        <v>1.26545086119554</v>
      </c>
      <c r="AR115" s="0" t="n">
        <v>1.26545086119554</v>
      </c>
      <c r="AS115" s="0" t="n">
        <v>1.26545086119554</v>
      </c>
      <c r="AT115" s="0" t="n">
        <v>1.26545086119554</v>
      </c>
      <c r="AU115" s="0" t="n">
        <v>2.125</v>
      </c>
      <c r="AV115" s="0" t="n">
        <v>2.125</v>
      </c>
      <c r="AW115" s="0" t="n">
        <v>2.125</v>
      </c>
      <c r="AX115" s="0" t="n">
        <v>2.125</v>
      </c>
      <c r="AY115" s="0" t="n">
        <v>2.125</v>
      </c>
      <c r="AZ115" s="0" t="n">
        <v>2.125</v>
      </c>
      <c r="BA115" s="0" t="n">
        <v>2.125</v>
      </c>
      <c r="BB115" s="0" t="n">
        <v>2.125</v>
      </c>
      <c r="BC115" s="0" t="n">
        <v>2.125</v>
      </c>
      <c r="BD115" s="0" t="n">
        <v>2.125</v>
      </c>
      <c r="BE115" s="0" t="n">
        <v>2.125</v>
      </c>
      <c r="BF115" s="0" t="n">
        <v>2.125</v>
      </c>
      <c r="BG115" s="0" t="n">
        <v>1.20276298124811</v>
      </c>
      <c r="BH115" s="0" t="n">
        <v>1.20276298124811</v>
      </c>
      <c r="BI115" s="0" t="n">
        <v>1.20276298124811</v>
      </c>
      <c r="BJ115" s="0" t="n">
        <v>1.20276298124811</v>
      </c>
      <c r="BK115" s="0" t="n">
        <v>1.20276298124811</v>
      </c>
    </row>
    <row r="116" customFormat="false" ht="12.8" hidden="false" customHeight="false" outlineLevel="0" collapsed="false">
      <c r="A116" s="21" t="n">
        <f aca="false">A115+1/24</f>
        <v>43896.7500004163</v>
      </c>
      <c r="B116" s="0" t="n">
        <v>1.17114893248452</v>
      </c>
      <c r="C116" s="0" t="n">
        <v>1.17114893248452</v>
      </c>
      <c r="D116" s="0" t="n">
        <v>1.17114893248452</v>
      </c>
      <c r="E116" s="0" t="n">
        <v>1.17114893248452</v>
      </c>
      <c r="F116" s="0" t="n">
        <v>1.17114893248452</v>
      </c>
      <c r="G116" s="0" t="n">
        <v>1.17114893248452</v>
      </c>
      <c r="H116" s="0" t="n">
        <v>1.17114893248452</v>
      </c>
      <c r="I116" s="0" t="n">
        <v>1.17114893248452</v>
      </c>
      <c r="J116" s="0" t="n">
        <v>1.17114893248452</v>
      </c>
      <c r="K116" s="0" t="n">
        <v>1.17114893248452</v>
      </c>
      <c r="L116" s="0" t="n">
        <v>1.17114893248452</v>
      </c>
      <c r="M116" s="0" t="n">
        <v>1.17114893248452</v>
      </c>
      <c r="N116" s="0" t="n">
        <v>1.17114893248452</v>
      </c>
      <c r="O116" s="0" t="n">
        <v>1.17114893248452</v>
      </c>
      <c r="P116" s="0" t="n">
        <v>1.17114893248452</v>
      </c>
      <c r="Q116" s="0" t="n">
        <v>1.17114893248452</v>
      </c>
      <c r="R116" s="0" t="n">
        <v>1.17114893248452</v>
      </c>
      <c r="S116" s="0" t="n">
        <v>1.17114893248452</v>
      </c>
      <c r="T116" s="0" t="n">
        <v>1.17114893248452</v>
      </c>
      <c r="U116" s="0" t="n">
        <v>1.17114893248452</v>
      </c>
      <c r="V116" s="0" t="n">
        <v>1.20364741641337</v>
      </c>
      <c r="W116" s="0" t="n">
        <v>1.20364741641337</v>
      </c>
      <c r="X116" s="0" t="n">
        <v>1.20364741641337</v>
      </c>
      <c r="Y116" s="0" t="n">
        <v>1.20364741641337</v>
      </c>
      <c r="Z116" s="0" t="n">
        <v>1.20364741641337</v>
      </c>
      <c r="AA116" s="0" t="n">
        <v>1.20364741641337</v>
      </c>
      <c r="AB116" s="0" t="n">
        <v>1.20364741641337</v>
      </c>
      <c r="AC116" s="0" t="n">
        <v>1.20364741641337</v>
      </c>
      <c r="AD116" s="0" t="n">
        <v>1.20364741641337</v>
      </c>
      <c r="AE116" s="0" t="n">
        <v>1.20364741641337</v>
      </c>
      <c r="AF116" s="0" t="n">
        <v>1.20364741641337</v>
      </c>
      <c r="AG116" s="0" t="n">
        <v>1.20364741641337</v>
      </c>
      <c r="AH116" s="0" t="n">
        <v>1.20364741641337</v>
      </c>
      <c r="AI116" s="0" t="n">
        <v>1.20364741641337</v>
      </c>
      <c r="AJ116" s="0" t="n">
        <v>1.20364741641337</v>
      </c>
      <c r="AK116" s="0" t="n">
        <v>1.20364741641337</v>
      </c>
      <c r="AL116" s="0" t="n">
        <v>1.20364741641337</v>
      </c>
      <c r="AM116" s="0" t="n">
        <v>1.20364741641337</v>
      </c>
      <c r="AN116" s="0" t="n">
        <v>1.20364741641337</v>
      </c>
      <c r="AO116" s="0" t="n">
        <v>1.20364741641337</v>
      </c>
      <c r="AP116" s="0" t="n">
        <v>1.20364741641337</v>
      </c>
      <c r="AQ116" s="0" t="n">
        <v>1.20364741641337</v>
      </c>
      <c r="AR116" s="0" t="n">
        <v>1.20364741641337</v>
      </c>
      <c r="AS116" s="0" t="n">
        <v>1.20364741641337</v>
      </c>
      <c r="AT116" s="0" t="n">
        <v>1.20364741641337</v>
      </c>
      <c r="AU116" s="0" t="n">
        <v>2.125</v>
      </c>
      <c r="AV116" s="0" t="n">
        <v>2.125</v>
      </c>
      <c r="AW116" s="0" t="n">
        <v>2.125</v>
      </c>
      <c r="AX116" s="0" t="n">
        <v>2.125</v>
      </c>
      <c r="AY116" s="0" t="n">
        <v>2.125</v>
      </c>
      <c r="AZ116" s="0" t="n">
        <v>2.125</v>
      </c>
      <c r="BA116" s="0" t="n">
        <v>2.125</v>
      </c>
      <c r="BB116" s="0" t="n">
        <v>2.125</v>
      </c>
      <c r="BC116" s="0" t="n">
        <v>2.125</v>
      </c>
      <c r="BD116" s="0" t="n">
        <v>2.125</v>
      </c>
      <c r="BE116" s="0" t="n">
        <v>2.125</v>
      </c>
      <c r="BF116" s="0" t="n">
        <v>2.125</v>
      </c>
      <c r="BG116" s="0" t="n">
        <v>1.17114893248452</v>
      </c>
      <c r="BH116" s="0" t="n">
        <v>1.17114893248452</v>
      </c>
      <c r="BI116" s="0" t="n">
        <v>1.17114893248452</v>
      </c>
      <c r="BJ116" s="0" t="n">
        <v>1.17114893248452</v>
      </c>
      <c r="BK116" s="0" t="n">
        <v>1.17114893248452</v>
      </c>
    </row>
    <row r="117" customFormat="false" ht="12.8" hidden="false" customHeight="false" outlineLevel="0" collapsed="false">
      <c r="A117" s="21" t="n">
        <f aca="false">A116+1/24</f>
        <v>43896.791667083</v>
      </c>
      <c r="B117" s="0" t="n">
        <v>1.13459789528388</v>
      </c>
      <c r="C117" s="0" t="n">
        <v>1.13459789528388</v>
      </c>
      <c r="D117" s="0" t="n">
        <v>1.13459789528388</v>
      </c>
      <c r="E117" s="0" t="n">
        <v>1.13459789528388</v>
      </c>
      <c r="F117" s="0" t="n">
        <v>1.13459789528388</v>
      </c>
      <c r="G117" s="0" t="n">
        <v>1.13459789528388</v>
      </c>
      <c r="H117" s="0" t="n">
        <v>1.13459789528388</v>
      </c>
      <c r="I117" s="0" t="n">
        <v>1.13459789528388</v>
      </c>
      <c r="J117" s="0" t="n">
        <v>1.13459789528388</v>
      </c>
      <c r="K117" s="0" t="n">
        <v>1.13459789528388</v>
      </c>
      <c r="L117" s="0" t="n">
        <v>1.13459789528388</v>
      </c>
      <c r="M117" s="0" t="n">
        <v>1.13459789528388</v>
      </c>
      <c r="N117" s="0" t="n">
        <v>1.13459789528388</v>
      </c>
      <c r="O117" s="0" t="n">
        <v>1.13459789528388</v>
      </c>
      <c r="P117" s="0" t="n">
        <v>1.13459789528388</v>
      </c>
      <c r="Q117" s="0" t="n">
        <v>1.13459789528388</v>
      </c>
      <c r="R117" s="0" t="n">
        <v>1.13459789528388</v>
      </c>
      <c r="S117" s="0" t="n">
        <v>1.13459789528388</v>
      </c>
      <c r="T117" s="0" t="n">
        <v>1.13459789528388</v>
      </c>
      <c r="U117" s="0" t="n">
        <v>1.13459789528388</v>
      </c>
      <c r="V117" s="0" t="n">
        <v>1.19959473150963</v>
      </c>
      <c r="W117" s="0" t="n">
        <v>1.19959473150963</v>
      </c>
      <c r="X117" s="0" t="n">
        <v>1.19959473150963</v>
      </c>
      <c r="Y117" s="0" t="n">
        <v>1.19959473150963</v>
      </c>
      <c r="Z117" s="0" t="n">
        <v>1.19959473150963</v>
      </c>
      <c r="AA117" s="0" t="n">
        <v>1.19959473150963</v>
      </c>
      <c r="AB117" s="0" t="n">
        <v>1.19959473150963</v>
      </c>
      <c r="AC117" s="0" t="n">
        <v>1.19959473150963</v>
      </c>
      <c r="AD117" s="0" t="n">
        <v>1.19959473150963</v>
      </c>
      <c r="AE117" s="0" t="n">
        <v>1.19959473150963</v>
      </c>
      <c r="AF117" s="0" t="n">
        <v>1.19959473150963</v>
      </c>
      <c r="AG117" s="0" t="n">
        <v>1.19959473150963</v>
      </c>
      <c r="AH117" s="0" t="n">
        <v>1.19959473150963</v>
      </c>
      <c r="AI117" s="0" t="n">
        <v>1.19959473150963</v>
      </c>
      <c r="AJ117" s="0" t="n">
        <v>1.19959473150963</v>
      </c>
      <c r="AK117" s="0" t="n">
        <v>1.19959473150963</v>
      </c>
      <c r="AL117" s="0" t="n">
        <v>1.19959473150963</v>
      </c>
      <c r="AM117" s="0" t="n">
        <v>1.19959473150963</v>
      </c>
      <c r="AN117" s="0" t="n">
        <v>1.19959473150963</v>
      </c>
      <c r="AO117" s="0" t="n">
        <v>1.19959473150963</v>
      </c>
      <c r="AP117" s="0" t="n">
        <v>1.19959473150963</v>
      </c>
      <c r="AQ117" s="0" t="n">
        <v>1.19959473150963</v>
      </c>
      <c r="AR117" s="0" t="n">
        <v>1.19959473150963</v>
      </c>
      <c r="AS117" s="0" t="n">
        <v>1.19959473150963</v>
      </c>
      <c r="AT117" s="0" t="n">
        <v>1.19959473150963</v>
      </c>
      <c r="AU117" s="0" t="n">
        <v>1.625</v>
      </c>
      <c r="AV117" s="0" t="n">
        <v>1.625</v>
      </c>
      <c r="AW117" s="0" t="n">
        <v>1.625</v>
      </c>
      <c r="AX117" s="0" t="n">
        <v>1.625</v>
      </c>
      <c r="AY117" s="0" t="n">
        <v>1.625</v>
      </c>
      <c r="AZ117" s="0" t="n">
        <v>1.625</v>
      </c>
      <c r="BA117" s="0" t="n">
        <v>1.625</v>
      </c>
      <c r="BB117" s="0" t="n">
        <v>1.625</v>
      </c>
      <c r="BC117" s="0" t="n">
        <v>1.625</v>
      </c>
      <c r="BD117" s="0" t="n">
        <v>1.625</v>
      </c>
      <c r="BE117" s="0" t="n">
        <v>1.625</v>
      </c>
      <c r="BF117" s="0" t="n">
        <v>1.625</v>
      </c>
      <c r="BG117" s="0" t="n">
        <v>1.13459789528388</v>
      </c>
      <c r="BH117" s="0" t="n">
        <v>1.13459789528388</v>
      </c>
      <c r="BI117" s="0" t="n">
        <v>1.13459789528388</v>
      </c>
      <c r="BJ117" s="0" t="n">
        <v>1.13459789528388</v>
      </c>
      <c r="BK117" s="0" t="n">
        <v>1.13459789528388</v>
      </c>
    </row>
    <row r="118" customFormat="false" ht="12.8" hidden="false" customHeight="false" outlineLevel="0" collapsed="false">
      <c r="A118" s="21" t="n">
        <f aca="false">A117+1/24</f>
        <v>43896.8333337497</v>
      </c>
      <c r="B118" s="0" t="n">
        <v>0.939673465852497</v>
      </c>
      <c r="C118" s="0" t="n">
        <v>0.939673465852497</v>
      </c>
      <c r="D118" s="0" t="n">
        <v>0.939673465852497</v>
      </c>
      <c r="E118" s="0" t="n">
        <v>0.939673465852497</v>
      </c>
      <c r="F118" s="0" t="n">
        <v>0.939673465852497</v>
      </c>
      <c r="G118" s="0" t="n">
        <v>0.939673465852497</v>
      </c>
      <c r="H118" s="0" t="n">
        <v>0.939673465852497</v>
      </c>
      <c r="I118" s="0" t="n">
        <v>0.939673465852497</v>
      </c>
      <c r="J118" s="0" t="n">
        <v>0.939673465852497</v>
      </c>
      <c r="K118" s="0" t="n">
        <v>0.939673465852497</v>
      </c>
      <c r="L118" s="0" t="n">
        <v>0.939673465852497</v>
      </c>
      <c r="M118" s="0" t="n">
        <v>0.939673465852497</v>
      </c>
      <c r="N118" s="0" t="n">
        <v>0.939673465852497</v>
      </c>
      <c r="O118" s="0" t="n">
        <v>0.939673465852497</v>
      </c>
      <c r="P118" s="0" t="n">
        <v>0.939673465852497</v>
      </c>
      <c r="Q118" s="0" t="n">
        <v>0.939673465852497</v>
      </c>
      <c r="R118" s="0" t="n">
        <v>0.939673465852497</v>
      </c>
      <c r="S118" s="0" t="n">
        <v>0.939673465852497</v>
      </c>
      <c r="T118" s="0" t="n">
        <v>0.939673465852497</v>
      </c>
      <c r="U118" s="0" t="n">
        <v>0.939673465852497</v>
      </c>
      <c r="V118" s="0" t="n">
        <v>0.953394123606889</v>
      </c>
      <c r="W118" s="0" t="n">
        <v>0.953394123606889</v>
      </c>
      <c r="X118" s="0" t="n">
        <v>0.953394123606889</v>
      </c>
      <c r="Y118" s="0" t="n">
        <v>0.953394123606889</v>
      </c>
      <c r="Z118" s="0" t="n">
        <v>0.953394123606889</v>
      </c>
      <c r="AA118" s="0" t="n">
        <v>0.953394123606889</v>
      </c>
      <c r="AB118" s="0" t="n">
        <v>0.953394123606889</v>
      </c>
      <c r="AC118" s="0" t="n">
        <v>0.953394123606889</v>
      </c>
      <c r="AD118" s="0" t="n">
        <v>0.953394123606889</v>
      </c>
      <c r="AE118" s="0" t="n">
        <v>0.953394123606889</v>
      </c>
      <c r="AF118" s="0" t="n">
        <v>0.953394123606889</v>
      </c>
      <c r="AG118" s="0" t="n">
        <v>0.953394123606889</v>
      </c>
      <c r="AH118" s="0" t="n">
        <v>0.953394123606889</v>
      </c>
      <c r="AI118" s="0" t="n">
        <v>0.953394123606889</v>
      </c>
      <c r="AJ118" s="0" t="n">
        <v>0.953394123606889</v>
      </c>
      <c r="AK118" s="0" t="n">
        <v>0.953394123606889</v>
      </c>
      <c r="AL118" s="0" t="n">
        <v>0.953394123606889</v>
      </c>
      <c r="AM118" s="0" t="n">
        <v>0.953394123606889</v>
      </c>
      <c r="AN118" s="0" t="n">
        <v>0.953394123606889</v>
      </c>
      <c r="AO118" s="0" t="n">
        <v>0.953394123606889</v>
      </c>
      <c r="AP118" s="0" t="n">
        <v>0.953394123606889</v>
      </c>
      <c r="AQ118" s="0" t="n">
        <v>0.953394123606889</v>
      </c>
      <c r="AR118" s="0" t="n">
        <v>0.953394123606889</v>
      </c>
      <c r="AS118" s="0" t="n">
        <v>0.953394123606889</v>
      </c>
      <c r="AT118" s="0" t="n">
        <v>0.953394123606889</v>
      </c>
      <c r="AU118" s="0" t="n">
        <v>1.125</v>
      </c>
      <c r="AV118" s="0" t="n">
        <v>1.125</v>
      </c>
      <c r="AW118" s="0" t="n">
        <v>1.125</v>
      </c>
      <c r="AX118" s="0" t="n">
        <v>1.125</v>
      </c>
      <c r="AY118" s="0" t="n">
        <v>1.125</v>
      </c>
      <c r="AZ118" s="0" t="n">
        <v>1.125</v>
      </c>
      <c r="BA118" s="0" t="n">
        <v>1.125</v>
      </c>
      <c r="BB118" s="0" t="n">
        <v>1.125</v>
      </c>
      <c r="BC118" s="0" t="n">
        <v>1.125</v>
      </c>
      <c r="BD118" s="0" t="n">
        <v>1.125</v>
      </c>
      <c r="BE118" s="0" t="n">
        <v>1.125</v>
      </c>
      <c r="BF118" s="0" t="n">
        <v>1.125</v>
      </c>
      <c r="BG118" s="0" t="n">
        <v>0.939673465852497</v>
      </c>
      <c r="BH118" s="0" t="n">
        <v>0.939673465852497</v>
      </c>
      <c r="BI118" s="0" t="n">
        <v>0.939673465852497</v>
      </c>
      <c r="BJ118" s="0" t="n">
        <v>0.939673465852497</v>
      </c>
      <c r="BK118" s="0" t="n">
        <v>0.939673465852497</v>
      </c>
    </row>
    <row r="119" customFormat="false" ht="12.8" hidden="false" customHeight="false" outlineLevel="0" collapsed="false">
      <c r="A119" s="21" t="n">
        <f aca="false">A118+1/24</f>
        <v>43896.8750004163</v>
      </c>
      <c r="B119" s="0" t="n">
        <v>0.818673942228574</v>
      </c>
      <c r="C119" s="0" t="n">
        <v>0.818673942228574</v>
      </c>
      <c r="D119" s="0" t="n">
        <v>0.818673942228574</v>
      </c>
      <c r="E119" s="0" t="n">
        <v>0.818673942228574</v>
      </c>
      <c r="F119" s="0" t="n">
        <v>0.818673942228574</v>
      </c>
      <c r="G119" s="0" t="n">
        <v>0.818673942228574</v>
      </c>
      <c r="H119" s="0" t="n">
        <v>0.818673942228574</v>
      </c>
      <c r="I119" s="0" t="n">
        <v>0.818673942228574</v>
      </c>
      <c r="J119" s="0" t="n">
        <v>0.818673942228574</v>
      </c>
      <c r="K119" s="0" t="n">
        <v>0.818673942228574</v>
      </c>
      <c r="L119" s="0" t="n">
        <v>0.818673942228574</v>
      </c>
      <c r="M119" s="0" t="n">
        <v>0.818673942228574</v>
      </c>
      <c r="N119" s="0" t="n">
        <v>0.818673942228574</v>
      </c>
      <c r="O119" s="0" t="n">
        <v>0.818673942228574</v>
      </c>
      <c r="P119" s="0" t="n">
        <v>0.818673942228574</v>
      </c>
      <c r="Q119" s="0" t="n">
        <v>0.818673942228574</v>
      </c>
      <c r="R119" s="0" t="n">
        <v>0.818673942228574</v>
      </c>
      <c r="S119" s="0" t="n">
        <v>0.818673942228574</v>
      </c>
      <c r="T119" s="0" t="n">
        <v>0.818673942228574</v>
      </c>
      <c r="U119" s="0" t="n">
        <v>0.818673942228574</v>
      </c>
      <c r="V119" s="0" t="n">
        <v>0.803444782168186</v>
      </c>
      <c r="W119" s="0" t="n">
        <v>0.803444782168186</v>
      </c>
      <c r="X119" s="0" t="n">
        <v>0.803444782168186</v>
      </c>
      <c r="Y119" s="0" t="n">
        <v>0.803444782168186</v>
      </c>
      <c r="Z119" s="0" t="n">
        <v>0.803444782168186</v>
      </c>
      <c r="AA119" s="0" t="n">
        <v>0.803444782168186</v>
      </c>
      <c r="AB119" s="0" t="n">
        <v>0.803444782168186</v>
      </c>
      <c r="AC119" s="0" t="n">
        <v>0.803444782168186</v>
      </c>
      <c r="AD119" s="0" t="n">
        <v>0.803444782168186</v>
      </c>
      <c r="AE119" s="0" t="n">
        <v>0.803444782168186</v>
      </c>
      <c r="AF119" s="0" t="n">
        <v>0.803444782168186</v>
      </c>
      <c r="AG119" s="0" t="n">
        <v>0.803444782168186</v>
      </c>
      <c r="AH119" s="0" t="n">
        <v>0.803444782168186</v>
      </c>
      <c r="AI119" s="0" t="n">
        <v>0.803444782168186</v>
      </c>
      <c r="AJ119" s="0" t="n">
        <v>0.803444782168186</v>
      </c>
      <c r="AK119" s="0" t="n">
        <v>0.803444782168186</v>
      </c>
      <c r="AL119" s="0" t="n">
        <v>0.803444782168186</v>
      </c>
      <c r="AM119" s="0" t="n">
        <v>0.803444782168186</v>
      </c>
      <c r="AN119" s="0" t="n">
        <v>0.803444782168186</v>
      </c>
      <c r="AO119" s="0" t="n">
        <v>0.803444782168186</v>
      </c>
      <c r="AP119" s="0" t="n">
        <v>0.803444782168186</v>
      </c>
      <c r="AQ119" s="0" t="n">
        <v>0.803444782168186</v>
      </c>
      <c r="AR119" s="0" t="n">
        <v>0.803444782168186</v>
      </c>
      <c r="AS119" s="0" t="n">
        <v>0.803444782168186</v>
      </c>
      <c r="AT119" s="0" t="n">
        <v>0.803444782168186</v>
      </c>
      <c r="AU119" s="0" t="n">
        <v>1.75</v>
      </c>
      <c r="AV119" s="0" t="n">
        <v>1.75</v>
      </c>
      <c r="AW119" s="0" t="n">
        <v>1.75</v>
      </c>
      <c r="AX119" s="0" t="n">
        <v>1.75</v>
      </c>
      <c r="AY119" s="0" t="n">
        <v>1.75</v>
      </c>
      <c r="AZ119" s="0" t="n">
        <v>1.75</v>
      </c>
      <c r="BA119" s="0" t="n">
        <v>1.75</v>
      </c>
      <c r="BB119" s="0" t="n">
        <v>1.75</v>
      </c>
      <c r="BC119" s="0" t="n">
        <v>1.75</v>
      </c>
      <c r="BD119" s="0" t="n">
        <v>1.75</v>
      </c>
      <c r="BE119" s="0" t="n">
        <v>1.75</v>
      </c>
      <c r="BF119" s="0" t="n">
        <v>1.75</v>
      </c>
      <c r="BG119" s="0" t="n">
        <v>0.818673942228574</v>
      </c>
      <c r="BH119" s="0" t="n">
        <v>0.818673942228574</v>
      </c>
      <c r="BI119" s="0" t="n">
        <v>0.818673942228574</v>
      </c>
      <c r="BJ119" s="0" t="n">
        <v>0.818673942228574</v>
      </c>
      <c r="BK119" s="0" t="n">
        <v>0.818673942228574</v>
      </c>
    </row>
    <row r="120" customFormat="false" ht="12.8" hidden="false" customHeight="false" outlineLevel="0" collapsed="false">
      <c r="A120" s="21" t="n">
        <f aca="false">A119+1/24</f>
        <v>43896.916667083</v>
      </c>
      <c r="B120" s="0" t="n">
        <v>0.620718028669178</v>
      </c>
      <c r="C120" s="0" t="n">
        <v>0.620718028669178</v>
      </c>
      <c r="D120" s="0" t="n">
        <v>0.620718028669178</v>
      </c>
      <c r="E120" s="0" t="n">
        <v>0.620718028669178</v>
      </c>
      <c r="F120" s="0" t="n">
        <v>0.620718028669178</v>
      </c>
      <c r="G120" s="0" t="n">
        <v>0.620718028669178</v>
      </c>
      <c r="H120" s="0" t="n">
        <v>0.620718028669178</v>
      </c>
      <c r="I120" s="0" t="n">
        <v>0.620718028669178</v>
      </c>
      <c r="J120" s="0" t="n">
        <v>0.620718028669178</v>
      </c>
      <c r="K120" s="0" t="n">
        <v>0.620718028669178</v>
      </c>
      <c r="L120" s="0" t="n">
        <v>0.620718028669178</v>
      </c>
      <c r="M120" s="0" t="n">
        <v>0.620718028669178</v>
      </c>
      <c r="N120" s="0" t="n">
        <v>0.620718028669178</v>
      </c>
      <c r="O120" s="0" t="n">
        <v>0.620718028669178</v>
      </c>
      <c r="P120" s="0" t="n">
        <v>0.620718028669178</v>
      </c>
      <c r="Q120" s="0" t="n">
        <v>0.620718028669178</v>
      </c>
      <c r="R120" s="0" t="n">
        <v>0.620718028669178</v>
      </c>
      <c r="S120" s="0" t="n">
        <v>0.620718028669178</v>
      </c>
      <c r="T120" s="0" t="n">
        <v>0.620718028669178</v>
      </c>
      <c r="U120" s="0" t="n">
        <v>0.620718028669178</v>
      </c>
      <c r="V120" s="0" t="n">
        <v>0.726443768996961</v>
      </c>
      <c r="W120" s="0" t="n">
        <v>0.726443768996961</v>
      </c>
      <c r="X120" s="0" t="n">
        <v>0.726443768996961</v>
      </c>
      <c r="Y120" s="0" t="n">
        <v>0.726443768996961</v>
      </c>
      <c r="Z120" s="0" t="n">
        <v>0.726443768996961</v>
      </c>
      <c r="AA120" s="0" t="n">
        <v>0.726443768996961</v>
      </c>
      <c r="AB120" s="0" t="n">
        <v>0.726443768996961</v>
      </c>
      <c r="AC120" s="0" t="n">
        <v>0.726443768996961</v>
      </c>
      <c r="AD120" s="0" t="n">
        <v>0.726443768996961</v>
      </c>
      <c r="AE120" s="0" t="n">
        <v>0.726443768996961</v>
      </c>
      <c r="AF120" s="0" t="n">
        <v>0.726443768996961</v>
      </c>
      <c r="AG120" s="0" t="n">
        <v>0.726443768996961</v>
      </c>
      <c r="AH120" s="0" t="n">
        <v>0.726443768996961</v>
      </c>
      <c r="AI120" s="0" t="n">
        <v>0.726443768996961</v>
      </c>
      <c r="AJ120" s="0" t="n">
        <v>0.726443768996961</v>
      </c>
      <c r="AK120" s="0" t="n">
        <v>0.726443768996961</v>
      </c>
      <c r="AL120" s="0" t="n">
        <v>0.726443768996961</v>
      </c>
      <c r="AM120" s="0" t="n">
        <v>0.726443768996961</v>
      </c>
      <c r="AN120" s="0" t="n">
        <v>0.726443768996961</v>
      </c>
      <c r="AO120" s="0" t="n">
        <v>0.726443768996961</v>
      </c>
      <c r="AP120" s="0" t="n">
        <v>0.726443768996961</v>
      </c>
      <c r="AQ120" s="0" t="n">
        <v>0.726443768996961</v>
      </c>
      <c r="AR120" s="0" t="n">
        <v>0.726443768996961</v>
      </c>
      <c r="AS120" s="0" t="n">
        <v>0.726443768996961</v>
      </c>
      <c r="AT120" s="0" t="n">
        <v>0.726443768996961</v>
      </c>
      <c r="AU120" s="0" t="n">
        <v>1.125</v>
      </c>
      <c r="AV120" s="0" t="n">
        <v>1.125</v>
      </c>
      <c r="AW120" s="0" t="n">
        <v>1.125</v>
      </c>
      <c r="AX120" s="0" t="n">
        <v>1.125</v>
      </c>
      <c r="AY120" s="0" t="n">
        <v>1.125</v>
      </c>
      <c r="AZ120" s="0" t="n">
        <v>1.125</v>
      </c>
      <c r="BA120" s="0" t="n">
        <v>1.125</v>
      </c>
      <c r="BB120" s="0" t="n">
        <v>1.125</v>
      </c>
      <c r="BC120" s="0" t="n">
        <v>1.125</v>
      </c>
      <c r="BD120" s="0" t="n">
        <v>1.125</v>
      </c>
      <c r="BE120" s="0" t="n">
        <v>1.125</v>
      </c>
      <c r="BF120" s="0" t="n">
        <v>1.125</v>
      </c>
      <c r="BG120" s="0" t="n">
        <v>0.620718028669178</v>
      </c>
      <c r="BH120" s="0" t="n">
        <v>0.620718028669178</v>
      </c>
      <c r="BI120" s="0" t="n">
        <v>0.620718028669178</v>
      </c>
      <c r="BJ120" s="0" t="n">
        <v>0.620718028669178</v>
      </c>
      <c r="BK120" s="0" t="n">
        <v>0.620718028669178</v>
      </c>
    </row>
    <row r="121" customFormat="false" ht="12.8" hidden="false" customHeight="false" outlineLevel="0" collapsed="false">
      <c r="A121" s="21" t="n">
        <f aca="false">A120+1/24</f>
        <v>43896.9583337497</v>
      </c>
      <c r="B121" s="0" t="n">
        <v>0.423758174180417</v>
      </c>
      <c r="C121" s="0" t="n">
        <v>0.423758174180417</v>
      </c>
      <c r="D121" s="0" t="n">
        <v>0.423758174180417</v>
      </c>
      <c r="E121" s="0" t="n">
        <v>0.423758174180417</v>
      </c>
      <c r="F121" s="0" t="n">
        <v>0.423758174180417</v>
      </c>
      <c r="G121" s="0" t="n">
        <v>0.423758174180417</v>
      </c>
      <c r="H121" s="0" t="n">
        <v>0.423758174180417</v>
      </c>
      <c r="I121" s="0" t="n">
        <v>0.423758174180417</v>
      </c>
      <c r="J121" s="0" t="n">
        <v>0.423758174180417</v>
      </c>
      <c r="K121" s="0" t="n">
        <v>0.423758174180417</v>
      </c>
      <c r="L121" s="0" t="n">
        <v>0.423758174180417</v>
      </c>
      <c r="M121" s="0" t="n">
        <v>0.423758174180417</v>
      </c>
      <c r="N121" s="0" t="n">
        <v>0.423758174180417</v>
      </c>
      <c r="O121" s="0" t="n">
        <v>0.423758174180417</v>
      </c>
      <c r="P121" s="0" t="n">
        <v>0.423758174180417</v>
      </c>
      <c r="Q121" s="0" t="n">
        <v>0.423758174180417</v>
      </c>
      <c r="R121" s="0" t="n">
        <v>0.423758174180417</v>
      </c>
      <c r="S121" s="0" t="n">
        <v>0.423758174180417</v>
      </c>
      <c r="T121" s="0" t="n">
        <v>0.423758174180417</v>
      </c>
      <c r="U121" s="0" t="n">
        <v>0.423758174180417</v>
      </c>
      <c r="V121" s="0" t="n">
        <v>0.558257345491388</v>
      </c>
      <c r="W121" s="0" t="n">
        <v>0.558257345491388</v>
      </c>
      <c r="X121" s="0" t="n">
        <v>0.558257345491388</v>
      </c>
      <c r="Y121" s="0" t="n">
        <v>0.558257345491388</v>
      </c>
      <c r="Z121" s="0" t="n">
        <v>0.558257345491388</v>
      </c>
      <c r="AA121" s="0" t="n">
        <v>0.558257345491388</v>
      </c>
      <c r="AB121" s="0" t="n">
        <v>0.558257345491388</v>
      </c>
      <c r="AC121" s="0" t="n">
        <v>0.558257345491388</v>
      </c>
      <c r="AD121" s="0" t="n">
        <v>0.558257345491388</v>
      </c>
      <c r="AE121" s="0" t="n">
        <v>0.558257345491388</v>
      </c>
      <c r="AF121" s="0" t="n">
        <v>0.558257345491388</v>
      </c>
      <c r="AG121" s="0" t="n">
        <v>0.558257345491388</v>
      </c>
      <c r="AH121" s="0" t="n">
        <v>0.558257345491388</v>
      </c>
      <c r="AI121" s="0" t="n">
        <v>0.558257345491388</v>
      </c>
      <c r="AJ121" s="0" t="n">
        <v>0.558257345491388</v>
      </c>
      <c r="AK121" s="0" t="n">
        <v>0.558257345491388</v>
      </c>
      <c r="AL121" s="0" t="n">
        <v>0.558257345491388</v>
      </c>
      <c r="AM121" s="0" t="n">
        <v>0.558257345491388</v>
      </c>
      <c r="AN121" s="0" t="n">
        <v>0.558257345491388</v>
      </c>
      <c r="AO121" s="0" t="n">
        <v>0.558257345491388</v>
      </c>
      <c r="AP121" s="0" t="n">
        <v>0.558257345491388</v>
      </c>
      <c r="AQ121" s="0" t="n">
        <v>0.558257345491388</v>
      </c>
      <c r="AR121" s="0" t="n">
        <v>0.558257345491388</v>
      </c>
      <c r="AS121" s="0" t="n">
        <v>0.558257345491388</v>
      </c>
      <c r="AT121" s="0" t="n">
        <v>0.558257345491388</v>
      </c>
      <c r="AU121" s="0" t="n">
        <v>0.625</v>
      </c>
      <c r="AV121" s="0" t="n">
        <v>0.625</v>
      </c>
      <c r="AW121" s="0" t="n">
        <v>0.625</v>
      </c>
      <c r="AX121" s="0" t="n">
        <v>0.625</v>
      </c>
      <c r="AY121" s="0" t="n">
        <v>0.625</v>
      </c>
      <c r="AZ121" s="0" t="n">
        <v>0.625</v>
      </c>
      <c r="BA121" s="0" t="n">
        <v>0.625</v>
      </c>
      <c r="BB121" s="0" t="n">
        <v>0.625</v>
      </c>
      <c r="BC121" s="0" t="n">
        <v>0.625</v>
      </c>
      <c r="BD121" s="0" t="n">
        <v>0.625</v>
      </c>
      <c r="BE121" s="0" t="n">
        <v>0.625</v>
      </c>
      <c r="BF121" s="0" t="n">
        <v>0.625</v>
      </c>
      <c r="BG121" s="0" t="n">
        <v>0.423758174180417</v>
      </c>
      <c r="BH121" s="0" t="n">
        <v>0.423758174180417</v>
      </c>
      <c r="BI121" s="0" t="n">
        <v>0.423758174180417</v>
      </c>
      <c r="BJ121" s="0" t="n">
        <v>0.423758174180417</v>
      </c>
      <c r="BK121" s="0" t="n">
        <v>0.423758174180417</v>
      </c>
    </row>
    <row r="122" customFormat="false" ht="12.8" hidden="false" customHeight="false" outlineLevel="0" collapsed="false">
      <c r="A122" s="21" t="n">
        <f aca="false">A121+1/24</f>
        <v>43897.0000004163</v>
      </c>
      <c r="B122" s="0" t="n">
        <v>0.258802130700273</v>
      </c>
      <c r="C122" s="0" t="n">
        <v>0.258802130700273</v>
      </c>
      <c r="D122" s="0" t="n">
        <v>0.258802130700273</v>
      </c>
      <c r="E122" s="0" t="n">
        <v>0.258802130700273</v>
      </c>
      <c r="F122" s="0" t="n">
        <v>0.258802130700273</v>
      </c>
      <c r="G122" s="0" t="n">
        <v>0.258802130700273</v>
      </c>
      <c r="H122" s="0" t="n">
        <v>0.258802130700273</v>
      </c>
      <c r="I122" s="0" t="n">
        <v>0.258802130700273</v>
      </c>
      <c r="J122" s="0" t="n">
        <v>0.258802130700273</v>
      </c>
      <c r="K122" s="0" t="n">
        <v>0.258802130700273</v>
      </c>
      <c r="L122" s="0" t="n">
        <v>0.258802130700273</v>
      </c>
      <c r="M122" s="0" t="n">
        <v>0.258802130700273</v>
      </c>
      <c r="N122" s="0" t="n">
        <v>0.258802130700273</v>
      </c>
      <c r="O122" s="0" t="n">
        <v>0.258802130700273</v>
      </c>
      <c r="P122" s="0" t="n">
        <v>0.258802130700273</v>
      </c>
      <c r="Q122" s="0" t="n">
        <v>0.258802130700273</v>
      </c>
      <c r="R122" s="0" t="n">
        <v>0.258802130700273</v>
      </c>
      <c r="S122" s="0" t="n">
        <v>0.258802130700273</v>
      </c>
      <c r="T122" s="0" t="n">
        <v>0.258802130700273</v>
      </c>
      <c r="U122" s="0" t="n">
        <v>0.258802130700273</v>
      </c>
      <c r="V122" s="0" t="n">
        <v>0.41742654508612</v>
      </c>
      <c r="W122" s="0" t="n">
        <v>0.41742654508612</v>
      </c>
      <c r="X122" s="0" t="n">
        <v>0.41742654508612</v>
      </c>
      <c r="Y122" s="0" t="n">
        <v>0.41742654508612</v>
      </c>
      <c r="Z122" s="0" t="n">
        <v>0.41742654508612</v>
      </c>
      <c r="AA122" s="0" t="n">
        <v>0.41742654508612</v>
      </c>
      <c r="AB122" s="0" t="n">
        <v>0.41742654508612</v>
      </c>
      <c r="AC122" s="0" t="n">
        <v>0.41742654508612</v>
      </c>
      <c r="AD122" s="0" t="n">
        <v>0.41742654508612</v>
      </c>
      <c r="AE122" s="0" t="n">
        <v>0.41742654508612</v>
      </c>
      <c r="AF122" s="0" t="n">
        <v>0.41742654508612</v>
      </c>
      <c r="AG122" s="0" t="n">
        <v>0.41742654508612</v>
      </c>
      <c r="AH122" s="0" t="n">
        <v>0.41742654508612</v>
      </c>
      <c r="AI122" s="0" t="n">
        <v>0.41742654508612</v>
      </c>
      <c r="AJ122" s="0" t="n">
        <v>0.41742654508612</v>
      </c>
      <c r="AK122" s="0" t="n">
        <v>0.41742654508612</v>
      </c>
      <c r="AL122" s="0" t="n">
        <v>0.41742654508612</v>
      </c>
      <c r="AM122" s="0" t="n">
        <v>0.41742654508612</v>
      </c>
      <c r="AN122" s="0" t="n">
        <v>0.41742654508612</v>
      </c>
      <c r="AO122" s="0" t="n">
        <v>0.41742654508612</v>
      </c>
      <c r="AP122" s="0" t="n">
        <v>0.41742654508612</v>
      </c>
      <c r="AQ122" s="0" t="n">
        <v>0.41742654508612</v>
      </c>
      <c r="AR122" s="0" t="n">
        <v>0.41742654508612</v>
      </c>
      <c r="AS122" s="0" t="n">
        <v>0.41742654508612</v>
      </c>
      <c r="AT122" s="0" t="n">
        <v>0.41742654508612</v>
      </c>
      <c r="AU122" s="0" t="n">
        <v>0.75</v>
      </c>
      <c r="AV122" s="0" t="n">
        <v>0.75</v>
      </c>
      <c r="AW122" s="0" t="n">
        <v>0.75</v>
      </c>
      <c r="AX122" s="0" t="n">
        <v>0.75</v>
      </c>
      <c r="AY122" s="0" t="n">
        <v>0.75</v>
      </c>
      <c r="AZ122" s="0" t="n">
        <v>0.75</v>
      </c>
      <c r="BA122" s="0" t="n">
        <v>0.75</v>
      </c>
      <c r="BB122" s="0" t="n">
        <v>0.75</v>
      </c>
      <c r="BC122" s="0" t="n">
        <v>0.75</v>
      </c>
      <c r="BD122" s="0" t="n">
        <v>0.75</v>
      </c>
      <c r="BE122" s="0" t="n">
        <v>0.75</v>
      </c>
      <c r="BF122" s="0" t="n">
        <v>0.75</v>
      </c>
      <c r="BG122" s="0" t="n">
        <v>0.258802130700273</v>
      </c>
      <c r="BH122" s="0" t="n">
        <v>0.258802130700273</v>
      </c>
      <c r="BI122" s="0" t="n">
        <v>0.258802130700273</v>
      </c>
      <c r="BJ122" s="0" t="n">
        <v>0.258802130700273</v>
      </c>
      <c r="BK122" s="0" t="n">
        <v>0.258802130700273</v>
      </c>
    </row>
    <row r="123" customFormat="false" ht="12.8" hidden="false" customHeight="false" outlineLevel="0" collapsed="false">
      <c r="A123" s="21" t="n">
        <f aca="false">A122+1/24</f>
        <v>43897.041667083</v>
      </c>
      <c r="B123" s="0" t="n">
        <v>0.156597808670045</v>
      </c>
      <c r="C123" s="0" t="n">
        <v>0.156597808670045</v>
      </c>
      <c r="D123" s="0" t="n">
        <v>0.156597808670045</v>
      </c>
      <c r="E123" s="0" t="n">
        <v>0.156597808670045</v>
      </c>
      <c r="F123" s="0" t="n">
        <v>0.156597808670045</v>
      </c>
      <c r="G123" s="0" t="n">
        <v>0.156597808670045</v>
      </c>
      <c r="H123" s="0" t="n">
        <v>0.156597808670045</v>
      </c>
      <c r="I123" s="0" t="n">
        <v>0.156597808670045</v>
      </c>
      <c r="J123" s="0" t="n">
        <v>0.156597808670045</v>
      </c>
      <c r="K123" s="0" t="n">
        <v>0.156597808670045</v>
      </c>
      <c r="L123" s="0" t="n">
        <v>0.156597808670045</v>
      </c>
      <c r="M123" s="0" t="n">
        <v>0.156597808670045</v>
      </c>
      <c r="N123" s="0" t="n">
        <v>0.156597808670045</v>
      </c>
      <c r="O123" s="0" t="n">
        <v>0.156597808670045</v>
      </c>
      <c r="P123" s="0" t="n">
        <v>0.156597808670045</v>
      </c>
      <c r="Q123" s="0" t="n">
        <v>0.156597808670045</v>
      </c>
      <c r="R123" s="0" t="n">
        <v>0.156597808670045</v>
      </c>
      <c r="S123" s="0" t="n">
        <v>0.156597808670045</v>
      </c>
      <c r="T123" s="0" t="n">
        <v>0.156597808670045</v>
      </c>
      <c r="U123" s="0" t="n">
        <v>0.156597808670045</v>
      </c>
      <c r="V123" s="0" t="n">
        <v>0.326241134751773</v>
      </c>
      <c r="W123" s="0" t="n">
        <v>0.326241134751773</v>
      </c>
      <c r="X123" s="0" t="n">
        <v>0.326241134751773</v>
      </c>
      <c r="Y123" s="0" t="n">
        <v>0.326241134751773</v>
      </c>
      <c r="Z123" s="0" t="n">
        <v>0.326241134751773</v>
      </c>
      <c r="AA123" s="0" t="n">
        <v>0.326241134751773</v>
      </c>
      <c r="AB123" s="0" t="n">
        <v>0.326241134751773</v>
      </c>
      <c r="AC123" s="0" t="n">
        <v>0.326241134751773</v>
      </c>
      <c r="AD123" s="0" t="n">
        <v>0.326241134751773</v>
      </c>
      <c r="AE123" s="0" t="n">
        <v>0.326241134751773</v>
      </c>
      <c r="AF123" s="0" t="n">
        <v>0.326241134751773</v>
      </c>
      <c r="AG123" s="0" t="n">
        <v>0.326241134751773</v>
      </c>
      <c r="AH123" s="0" t="n">
        <v>0.326241134751773</v>
      </c>
      <c r="AI123" s="0" t="n">
        <v>0.326241134751773</v>
      </c>
      <c r="AJ123" s="0" t="n">
        <v>0.326241134751773</v>
      </c>
      <c r="AK123" s="0" t="n">
        <v>0.326241134751773</v>
      </c>
      <c r="AL123" s="0" t="n">
        <v>0.326241134751773</v>
      </c>
      <c r="AM123" s="0" t="n">
        <v>0.326241134751773</v>
      </c>
      <c r="AN123" s="0" t="n">
        <v>0.326241134751773</v>
      </c>
      <c r="AO123" s="0" t="n">
        <v>0.326241134751773</v>
      </c>
      <c r="AP123" s="0" t="n">
        <v>0.326241134751773</v>
      </c>
      <c r="AQ123" s="0" t="n">
        <v>0.326241134751773</v>
      </c>
      <c r="AR123" s="0" t="n">
        <v>0.326241134751773</v>
      </c>
      <c r="AS123" s="0" t="n">
        <v>0.326241134751773</v>
      </c>
      <c r="AT123" s="0" t="n">
        <v>0.326241134751773</v>
      </c>
      <c r="AU123" s="0" t="n">
        <v>0.5</v>
      </c>
      <c r="AV123" s="0" t="n">
        <v>0.5</v>
      </c>
      <c r="AW123" s="0" t="n">
        <v>0.5</v>
      </c>
      <c r="AX123" s="0" t="n">
        <v>0.5</v>
      </c>
      <c r="AY123" s="0" t="n">
        <v>0.5</v>
      </c>
      <c r="AZ123" s="0" t="n">
        <v>0.5</v>
      </c>
      <c r="BA123" s="0" t="n">
        <v>0.5</v>
      </c>
      <c r="BB123" s="0" t="n">
        <v>0.5</v>
      </c>
      <c r="BC123" s="0" t="n">
        <v>0.5</v>
      </c>
      <c r="BD123" s="0" t="n">
        <v>0.5</v>
      </c>
      <c r="BE123" s="0" t="n">
        <v>0.5</v>
      </c>
      <c r="BF123" s="0" t="n">
        <v>0.5</v>
      </c>
      <c r="BG123" s="0" t="n">
        <v>0.156597808670045</v>
      </c>
      <c r="BH123" s="0" t="n">
        <v>0.156597808670045</v>
      </c>
      <c r="BI123" s="0" t="n">
        <v>0.156597808670045</v>
      </c>
      <c r="BJ123" s="0" t="n">
        <v>0.156597808670045</v>
      </c>
      <c r="BK123" s="0" t="n">
        <v>0.156597808670045</v>
      </c>
    </row>
    <row r="124" customFormat="false" ht="12.8" hidden="false" customHeight="false" outlineLevel="0" collapsed="false">
      <c r="A124" s="21" t="n">
        <f aca="false">A123+1/24</f>
        <v>43897.0833337497</v>
      </c>
      <c r="B124" s="0" t="n">
        <v>0.0939327010523581</v>
      </c>
      <c r="C124" s="0" t="n">
        <v>0.0939327010523581</v>
      </c>
      <c r="D124" s="0" t="n">
        <v>0.0939327010523581</v>
      </c>
      <c r="E124" s="0" t="n">
        <v>0.0939327010523581</v>
      </c>
      <c r="F124" s="0" t="n">
        <v>0.0939327010523581</v>
      </c>
      <c r="G124" s="0" t="n">
        <v>0.0939327010523581</v>
      </c>
      <c r="H124" s="0" t="n">
        <v>0.0939327010523581</v>
      </c>
      <c r="I124" s="0" t="n">
        <v>0.0939327010523581</v>
      </c>
      <c r="J124" s="0" t="n">
        <v>0.0939327010523581</v>
      </c>
      <c r="K124" s="0" t="n">
        <v>0.0939327010523581</v>
      </c>
      <c r="L124" s="0" t="n">
        <v>0.0939327010523581</v>
      </c>
      <c r="M124" s="0" t="n">
        <v>0.0939327010523581</v>
      </c>
      <c r="N124" s="0" t="n">
        <v>0.0939327010523581</v>
      </c>
      <c r="O124" s="0" t="n">
        <v>0.0939327010523581</v>
      </c>
      <c r="P124" s="0" t="n">
        <v>0.0939327010523581</v>
      </c>
      <c r="Q124" s="0" t="n">
        <v>0.0939327010523581</v>
      </c>
      <c r="R124" s="0" t="n">
        <v>0.0939327010523581</v>
      </c>
      <c r="S124" s="0" t="n">
        <v>0.0939327010523581</v>
      </c>
      <c r="T124" s="0" t="n">
        <v>0.0939327010523581</v>
      </c>
      <c r="U124" s="0" t="n">
        <v>0.0939327010523581</v>
      </c>
      <c r="V124" s="0" t="n">
        <v>0.257345491388045</v>
      </c>
      <c r="W124" s="0" t="n">
        <v>0.257345491388045</v>
      </c>
      <c r="X124" s="0" t="n">
        <v>0.257345491388045</v>
      </c>
      <c r="Y124" s="0" t="n">
        <v>0.257345491388045</v>
      </c>
      <c r="Z124" s="0" t="n">
        <v>0.257345491388045</v>
      </c>
      <c r="AA124" s="0" t="n">
        <v>0.257345491388045</v>
      </c>
      <c r="AB124" s="0" t="n">
        <v>0.257345491388045</v>
      </c>
      <c r="AC124" s="0" t="n">
        <v>0.257345491388045</v>
      </c>
      <c r="AD124" s="0" t="n">
        <v>0.257345491388045</v>
      </c>
      <c r="AE124" s="0" t="n">
        <v>0.257345491388045</v>
      </c>
      <c r="AF124" s="0" t="n">
        <v>0.257345491388045</v>
      </c>
      <c r="AG124" s="0" t="n">
        <v>0.257345491388045</v>
      </c>
      <c r="AH124" s="0" t="n">
        <v>0.257345491388045</v>
      </c>
      <c r="AI124" s="0" t="n">
        <v>0.257345491388045</v>
      </c>
      <c r="AJ124" s="0" t="n">
        <v>0.257345491388045</v>
      </c>
      <c r="AK124" s="0" t="n">
        <v>0.257345491388045</v>
      </c>
      <c r="AL124" s="0" t="n">
        <v>0.257345491388045</v>
      </c>
      <c r="AM124" s="0" t="n">
        <v>0.257345491388045</v>
      </c>
      <c r="AN124" s="0" t="n">
        <v>0.257345491388045</v>
      </c>
      <c r="AO124" s="0" t="n">
        <v>0.257345491388045</v>
      </c>
      <c r="AP124" s="0" t="n">
        <v>0.257345491388045</v>
      </c>
      <c r="AQ124" s="0" t="n">
        <v>0.257345491388045</v>
      </c>
      <c r="AR124" s="0" t="n">
        <v>0.257345491388045</v>
      </c>
      <c r="AS124" s="0" t="n">
        <v>0.257345491388045</v>
      </c>
      <c r="AT124" s="0" t="n">
        <v>0.257345491388045</v>
      </c>
      <c r="AU124" s="0" t="n">
        <v>1.25</v>
      </c>
      <c r="AV124" s="0" t="n">
        <v>1.25</v>
      </c>
      <c r="AW124" s="0" t="n">
        <v>1.25</v>
      </c>
      <c r="AX124" s="0" t="n">
        <v>1.25</v>
      </c>
      <c r="AY124" s="0" t="n">
        <v>1.25</v>
      </c>
      <c r="AZ124" s="0" t="n">
        <v>1.25</v>
      </c>
      <c r="BA124" s="0" t="n">
        <v>1.25</v>
      </c>
      <c r="BB124" s="0" t="n">
        <v>1.25</v>
      </c>
      <c r="BC124" s="0" t="n">
        <v>1.25</v>
      </c>
      <c r="BD124" s="0" t="n">
        <v>1.25</v>
      </c>
      <c r="BE124" s="0" t="n">
        <v>1.25</v>
      </c>
      <c r="BF124" s="0" t="n">
        <v>1.25</v>
      </c>
      <c r="BG124" s="0" t="n">
        <v>0.0939327010523581</v>
      </c>
      <c r="BH124" s="0" t="n">
        <v>0.0939327010523581</v>
      </c>
      <c r="BI124" s="0" t="n">
        <v>0.0939327010523581</v>
      </c>
      <c r="BJ124" s="0" t="n">
        <v>0.0939327010523581</v>
      </c>
      <c r="BK124" s="0" t="n">
        <v>0.0939327010523581</v>
      </c>
    </row>
    <row r="125" customFormat="false" ht="12.8" hidden="false" customHeight="false" outlineLevel="0" collapsed="false">
      <c r="A125" s="21" t="n">
        <f aca="false">A124+1/24</f>
        <v>43897.1250004163</v>
      </c>
      <c r="B125" s="0" t="n">
        <v>0.0803776363085185</v>
      </c>
      <c r="C125" s="0" t="n">
        <v>0.0803776363085185</v>
      </c>
      <c r="D125" s="0" t="n">
        <v>0.0803776363085185</v>
      </c>
      <c r="E125" s="0" t="n">
        <v>0.0803776363085185</v>
      </c>
      <c r="F125" s="0" t="n">
        <v>0.0803776363085185</v>
      </c>
      <c r="G125" s="0" t="n">
        <v>0.0803776363085185</v>
      </c>
      <c r="H125" s="0" t="n">
        <v>0.0803776363085185</v>
      </c>
      <c r="I125" s="0" t="n">
        <v>0.0803776363085185</v>
      </c>
      <c r="J125" s="0" t="n">
        <v>0.0803776363085185</v>
      </c>
      <c r="K125" s="0" t="n">
        <v>0.0803776363085185</v>
      </c>
      <c r="L125" s="0" t="n">
        <v>0.0803776363085185</v>
      </c>
      <c r="M125" s="0" t="n">
        <v>0.0803776363085185</v>
      </c>
      <c r="N125" s="0" t="n">
        <v>0.0803776363085185</v>
      </c>
      <c r="O125" s="0" t="n">
        <v>0.0803776363085185</v>
      </c>
      <c r="P125" s="0" t="n">
        <v>0.0803776363085185</v>
      </c>
      <c r="Q125" s="0" t="n">
        <v>0.0803776363085185</v>
      </c>
      <c r="R125" s="0" t="n">
        <v>0.0803776363085185</v>
      </c>
      <c r="S125" s="0" t="n">
        <v>0.0803776363085185</v>
      </c>
      <c r="T125" s="0" t="n">
        <v>0.0803776363085185</v>
      </c>
      <c r="U125" s="0" t="n">
        <v>0.0803776363085185</v>
      </c>
      <c r="V125" s="0" t="n">
        <v>0.338399189463019</v>
      </c>
      <c r="W125" s="0" t="n">
        <v>0.338399189463019</v>
      </c>
      <c r="X125" s="0" t="n">
        <v>0.338399189463019</v>
      </c>
      <c r="Y125" s="0" t="n">
        <v>0.338399189463019</v>
      </c>
      <c r="Z125" s="0" t="n">
        <v>0.338399189463019</v>
      </c>
      <c r="AA125" s="0" t="n">
        <v>0.338399189463019</v>
      </c>
      <c r="AB125" s="0" t="n">
        <v>0.338399189463019</v>
      </c>
      <c r="AC125" s="0" t="n">
        <v>0.338399189463019</v>
      </c>
      <c r="AD125" s="0" t="n">
        <v>0.338399189463019</v>
      </c>
      <c r="AE125" s="0" t="n">
        <v>0.338399189463019</v>
      </c>
      <c r="AF125" s="0" t="n">
        <v>0.338399189463019</v>
      </c>
      <c r="AG125" s="0" t="n">
        <v>0.338399189463019</v>
      </c>
      <c r="AH125" s="0" t="n">
        <v>0.338399189463019</v>
      </c>
      <c r="AI125" s="0" t="n">
        <v>0.338399189463019</v>
      </c>
      <c r="AJ125" s="0" t="n">
        <v>0.338399189463019</v>
      </c>
      <c r="AK125" s="0" t="n">
        <v>0.338399189463019</v>
      </c>
      <c r="AL125" s="0" t="n">
        <v>0.338399189463019</v>
      </c>
      <c r="AM125" s="0" t="n">
        <v>0.338399189463019</v>
      </c>
      <c r="AN125" s="0" t="n">
        <v>0.338399189463019</v>
      </c>
      <c r="AO125" s="0" t="n">
        <v>0.338399189463019</v>
      </c>
      <c r="AP125" s="0" t="n">
        <v>0.338399189463019</v>
      </c>
      <c r="AQ125" s="0" t="n">
        <v>0.338399189463019</v>
      </c>
      <c r="AR125" s="0" t="n">
        <v>0.338399189463019</v>
      </c>
      <c r="AS125" s="0" t="n">
        <v>0.338399189463019</v>
      </c>
      <c r="AT125" s="0" t="n">
        <v>0.338399189463019</v>
      </c>
      <c r="AU125" s="0" t="n">
        <v>0.875</v>
      </c>
      <c r="AV125" s="0" t="n">
        <v>0.875</v>
      </c>
      <c r="AW125" s="0" t="n">
        <v>0.875</v>
      </c>
      <c r="AX125" s="0" t="n">
        <v>0.875</v>
      </c>
      <c r="AY125" s="0" t="n">
        <v>0.875</v>
      </c>
      <c r="AZ125" s="0" t="n">
        <v>0.875</v>
      </c>
      <c r="BA125" s="0" t="n">
        <v>0.875</v>
      </c>
      <c r="BB125" s="0" t="n">
        <v>0.875</v>
      </c>
      <c r="BC125" s="0" t="n">
        <v>0.875</v>
      </c>
      <c r="BD125" s="0" t="n">
        <v>0.875</v>
      </c>
      <c r="BE125" s="0" t="n">
        <v>0.875</v>
      </c>
      <c r="BF125" s="0" t="n">
        <v>0.875</v>
      </c>
      <c r="BG125" s="0" t="n">
        <v>0.0803776363085185</v>
      </c>
      <c r="BH125" s="0" t="n">
        <v>0.0803776363085185</v>
      </c>
      <c r="BI125" s="0" t="n">
        <v>0.0803776363085185</v>
      </c>
      <c r="BJ125" s="0" t="n">
        <v>0.0803776363085185</v>
      </c>
      <c r="BK125" s="0" t="n">
        <v>0.0803776363085185</v>
      </c>
    </row>
    <row r="126" customFormat="false" ht="12.8" hidden="false" customHeight="false" outlineLevel="0" collapsed="false">
      <c r="A126" s="21" t="n">
        <f aca="false">A125+1/24</f>
        <v>43897.166667083</v>
      </c>
      <c r="B126" s="0" t="n">
        <v>0.114373565458404</v>
      </c>
      <c r="C126" s="0" t="n">
        <v>0.114373565458404</v>
      </c>
      <c r="D126" s="0" t="n">
        <v>0.114373565458404</v>
      </c>
      <c r="E126" s="0" t="n">
        <v>0.114373565458404</v>
      </c>
      <c r="F126" s="0" t="n">
        <v>0.114373565458404</v>
      </c>
      <c r="G126" s="0" t="n">
        <v>0.114373565458404</v>
      </c>
      <c r="H126" s="0" t="n">
        <v>0.114373565458404</v>
      </c>
      <c r="I126" s="0" t="n">
        <v>0.114373565458404</v>
      </c>
      <c r="J126" s="0" t="n">
        <v>0.114373565458404</v>
      </c>
      <c r="K126" s="0" t="n">
        <v>0.114373565458404</v>
      </c>
      <c r="L126" s="0" t="n">
        <v>0.114373565458404</v>
      </c>
      <c r="M126" s="0" t="n">
        <v>0.114373565458404</v>
      </c>
      <c r="N126" s="0" t="n">
        <v>0.114373565458404</v>
      </c>
      <c r="O126" s="0" t="n">
        <v>0.114373565458404</v>
      </c>
      <c r="P126" s="0" t="n">
        <v>0.114373565458404</v>
      </c>
      <c r="Q126" s="0" t="n">
        <v>0.114373565458404</v>
      </c>
      <c r="R126" s="0" t="n">
        <v>0.114373565458404</v>
      </c>
      <c r="S126" s="0" t="n">
        <v>0.114373565458404</v>
      </c>
      <c r="T126" s="0" t="n">
        <v>0.114373565458404</v>
      </c>
      <c r="U126" s="0" t="n">
        <v>0.114373565458404</v>
      </c>
      <c r="V126" s="0" t="n">
        <v>0.433637284701115</v>
      </c>
      <c r="W126" s="0" t="n">
        <v>0.433637284701115</v>
      </c>
      <c r="X126" s="0" t="n">
        <v>0.433637284701115</v>
      </c>
      <c r="Y126" s="0" t="n">
        <v>0.433637284701115</v>
      </c>
      <c r="Z126" s="0" t="n">
        <v>0.433637284701115</v>
      </c>
      <c r="AA126" s="0" t="n">
        <v>0.433637284701115</v>
      </c>
      <c r="AB126" s="0" t="n">
        <v>0.433637284701115</v>
      </c>
      <c r="AC126" s="0" t="n">
        <v>0.433637284701115</v>
      </c>
      <c r="AD126" s="0" t="n">
        <v>0.433637284701115</v>
      </c>
      <c r="AE126" s="0" t="n">
        <v>0.433637284701115</v>
      </c>
      <c r="AF126" s="0" t="n">
        <v>0.433637284701115</v>
      </c>
      <c r="AG126" s="0" t="n">
        <v>0.433637284701115</v>
      </c>
      <c r="AH126" s="0" t="n">
        <v>0.433637284701115</v>
      </c>
      <c r="AI126" s="0" t="n">
        <v>0.433637284701115</v>
      </c>
      <c r="AJ126" s="0" t="n">
        <v>0.433637284701115</v>
      </c>
      <c r="AK126" s="0" t="n">
        <v>0.433637284701115</v>
      </c>
      <c r="AL126" s="0" t="n">
        <v>0.433637284701115</v>
      </c>
      <c r="AM126" s="0" t="n">
        <v>0.433637284701115</v>
      </c>
      <c r="AN126" s="0" t="n">
        <v>0.433637284701115</v>
      </c>
      <c r="AO126" s="0" t="n">
        <v>0.433637284701115</v>
      </c>
      <c r="AP126" s="0" t="n">
        <v>0.433637284701115</v>
      </c>
      <c r="AQ126" s="0" t="n">
        <v>0.433637284701115</v>
      </c>
      <c r="AR126" s="0" t="n">
        <v>0.433637284701115</v>
      </c>
      <c r="AS126" s="0" t="n">
        <v>0.433637284701115</v>
      </c>
      <c r="AT126" s="0" t="n">
        <v>0.433637284701115</v>
      </c>
      <c r="AU126" s="0" t="n">
        <v>1</v>
      </c>
      <c r="AV126" s="0" t="n">
        <v>1</v>
      </c>
      <c r="AW126" s="0" t="n">
        <v>1</v>
      </c>
      <c r="AX126" s="0" t="n">
        <v>1</v>
      </c>
      <c r="AY126" s="0" t="n">
        <v>1</v>
      </c>
      <c r="AZ126" s="0" t="n">
        <v>1</v>
      </c>
      <c r="BA126" s="0" t="n">
        <v>1</v>
      </c>
      <c r="BB126" s="0" t="n">
        <v>1</v>
      </c>
      <c r="BC126" s="0" t="n">
        <v>1</v>
      </c>
      <c r="BD126" s="0" t="n">
        <v>1</v>
      </c>
      <c r="BE126" s="0" t="n">
        <v>1</v>
      </c>
      <c r="BF126" s="0" t="n">
        <v>1</v>
      </c>
      <c r="BG126" s="0" t="n">
        <v>0.114373565458404</v>
      </c>
      <c r="BH126" s="0" t="n">
        <v>0.114373565458404</v>
      </c>
      <c r="BI126" s="0" t="n">
        <v>0.114373565458404</v>
      </c>
      <c r="BJ126" s="0" t="n">
        <v>0.114373565458404</v>
      </c>
      <c r="BK126" s="0" t="n">
        <v>0.114373565458404</v>
      </c>
    </row>
    <row r="127" customFormat="false" ht="12.8" hidden="false" customHeight="false" outlineLevel="0" collapsed="false">
      <c r="A127" s="21" t="n">
        <f aca="false">A126+1/24</f>
        <v>43897.2083337496</v>
      </c>
      <c r="B127" s="0" t="n">
        <v>0.277727253042311</v>
      </c>
      <c r="C127" s="0" t="n">
        <v>0.277727253042311</v>
      </c>
      <c r="D127" s="0" t="n">
        <v>0.277727253042311</v>
      </c>
      <c r="E127" s="0" t="n">
        <v>0.277727253042311</v>
      </c>
      <c r="F127" s="0" t="n">
        <v>0.277727253042311</v>
      </c>
      <c r="G127" s="0" t="n">
        <v>0.277727253042311</v>
      </c>
      <c r="H127" s="0" t="n">
        <v>0.277727253042311</v>
      </c>
      <c r="I127" s="0" t="n">
        <v>0.277727253042311</v>
      </c>
      <c r="J127" s="0" t="n">
        <v>0.277727253042311</v>
      </c>
      <c r="K127" s="0" t="n">
        <v>0.277727253042311</v>
      </c>
      <c r="L127" s="0" t="n">
        <v>0.277727253042311</v>
      </c>
      <c r="M127" s="0" t="n">
        <v>0.277727253042311</v>
      </c>
      <c r="N127" s="0" t="n">
        <v>0.277727253042311</v>
      </c>
      <c r="O127" s="0" t="n">
        <v>0.277727253042311</v>
      </c>
      <c r="P127" s="0" t="n">
        <v>0.277727253042311</v>
      </c>
      <c r="Q127" s="0" t="n">
        <v>0.277727253042311</v>
      </c>
      <c r="R127" s="0" t="n">
        <v>0.277727253042311</v>
      </c>
      <c r="S127" s="0" t="n">
        <v>0.277727253042311</v>
      </c>
      <c r="T127" s="0" t="n">
        <v>0.277727253042311</v>
      </c>
      <c r="U127" s="0" t="n">
        <v>0.277727253042311</v>
      </c>
      <c r="V127" s="0" t="n">
        <v>0.661600810536981</v>
      </c>
      <c r="W127" s="0" t="n">
        <v>0.661600810536981</v>
      </c>
      <c r="X127" s="0" t="n">
        <v>0.661600810536981</v>
      </c>
      <c r="Y127" s="0" t="n">
        <v>0.661600810536981</v>
      </c>
      <c r="Z127" s="0" t="n">
        <v>0.661600810536981</v>
      </c>
      <c r="AA127" s="0" t="n">
        <v>0.661600810536981</v>
      </c>
      <c r="AB127" s="0" t="n">
        <v>0.661600810536981</v>
      </c>
      <c r="AC127" s="0" t="n">
        <v>0.661600810536981</v>
      </c>
      <c r="AD127" s="0" t="n">
        <v>0.661600810536981</v>
      </c>
      <c r="AE127" s="0" t="n">
        <v>0.661600810536981</v>
      </c>
      <c r="AF127" s="0" t="n">
        <v>0.661600810536981</v>
      </c>
      <c r="AG127" s="0" t="n">
        <v>0.661600810536981</v>
      </c>
      <c r="AH127" s="0" t="n">
        <v>0.661600810536981</v>
      </c>
      <c r="AI127" s="0" t="n">
        <v>0.661600810536981</v>
      </c>
      <c r="AJ127" s="0" t="n">
        <v>0.661600810536981</v>
      </c>
      <c r="AK127" s="0" t="n">
        <v>0.661600810536981</v>
      </c>
      <c r="AL127" s="0" t="n">
        <v>0.661600810536981</v>
      </c>
      <c r="AM127" s="0" t="n">
        <v>0.661600810536981</v>
      </c>
      <c r="AN127" s="0" t="n">
        <v>0.661600810536981</v>
      </c>
      <c r="AO127" s="0" t="n">
        <v>0.661600810536981</v>
      </c>
      <c r="AP127" s="0" t="n">
        <v>0.661600810536981</v>
      </c>
      <c r="AQ127" s="0" t="n">
        <v>0.661600810536981</v>
      </c>
      <c r="AR127" s="0" t="n">
        <v>0.661600810536981</v>
      </c>
      <c r="AS127" s="0" t="n">
        <v>0.661600810536981</v>
      </c>
      <c r="AT127" s="0" t="n">
        <v>0.661600810536981</v>
      </c>
      <c r="AU127" s="0" t="n">
        <v>1.75</v>
      </c>
      <c r="AV127" s="0" t="n">
        <v>1.75</v>
      </c>
      <c r="AW127" s="0" t="n">
        <v>1.75</v>
      </c>
      <c r="AX127" s="0" t="n">
        <v>1.75</v>
      </c>
      <c r="AY127" s="0" t="n">
        <v>1.75</v>
      </c>
      <c r="AZ127" s="0" t="n">
        <v>1.75</v>
      </c>
      <c r="BA127" s="0" t="n">
        <v>1.75</v>
      </c>
      <c r="BB127" s="0" t="n">
        <v>1.75</v>
      </c>
      <c r="BC127" s="0" t="n">
        <v>1.75</v>
      </c>
      <c r="BD127" s="0" t="n">
        <v>1.75</v>
      </c>
      <c r="BE127" s="0" t="n">
        <v>1.75</v>
      </c>
      <c r="BF127" s="0" t="n">
        <v>1.75</v>
      </c>
      <c r="BG127" s="0" t="n">
        <v>0.277727253042311</v>
      </c>
      <c r="BH127" s="0" t="n">
        <v>0.277727253042311</v>
      </c>
      <c r="BI127" s="0" t="n">
        <v>0.277727253042311</v>
      </c>
      <c r="BJ127" s="0" t="n">
        <v>0.277727253042311</v>
      </c>
      <c r="BK127" s="0" t="n">
        <v>0.277727253042311</v>
      </c>
    </row>
    <row r="128" customFormat="false" ht="12.8" hidden="false" customHeight="false" outlineLevel="0" collapsed="false">
      <c r="A128" s="21" t="n">
        <f aca="false">A127+1/24</f>
        <v>43897.2500004163</v>
      </c>
      <c r="B128" s="0" t="n">
        <v>0.566541076609935</v>
      </c>
      <c r="C128" s="0" t="n">
        <v>0.566541076609935</v>
      </c>
      <c r="D128" s="0" t="n">
        <v>0.566541076609935</v>
      </c>
      <c r="E128" s="0" t="n">
        <v>0.566541076609935</v>
      </c>
      <c r="F128" s="0" t="n">
        <v>0.566541076609935</v>
      </c>
      <c r="G128" s="0" t="n">
        <v>0.566541076609935</v>
      </c>
      <c r="H128" s="0" t="n">
        <v>0.566541076609935</v>
      </c>
      <c r="I128" s="0" t="n">
        <v>0.566541076609935</v>
      </c>
      <c r="J128" s="0" t="n">
        <v>0.566541076609935</v>
      </c>
      <c r="K128" s="0" t="n">
        <v>0.566541076609935</v>
      </c>
      <c r="L128" s="0" t="n">
        <v>0.566541076609935</v>
      </c>
      <c r="M128" s="0" t="n">
        <v>0.566541076609935</v>
      </c>
      <c r="N128" s="0" t="n">
        <v>0.566541076609935</v>
      </c>
      <c r="O128" s="0" t="n">
        <v>0.566541076609935</v>
      </c>
      <c r="P128" s="0" t="n">
        <v>0.566541076609935</v>
      </c>
      <c r="Q128" s="0" t="n">
        <v>0.566541076609935</v>
      </c>
      <c r="R128" s="0" t="n">
        <v>0.566541076609935</v>
      </c>
      <c r="S128" s="0" t="n">
        <v>0.566541076609935</v>
      </c>
      <c r="T128" s="0" t="n">
        <v>0.566541076609935</v>
      </c>
      <c r="U128" s="0" t="n">
        <v>0.566541076609935</v>
      </c>
      <c r="V128" s="0" t="n">
        <v>0.899696048632219</v>
      </c>
      <c r="W128" s="0" t="n">
        <v>0.899696048632219</v>
      </c>
      <c r="X128" s="0" t="n">
        <v>0.899696048632219</v>
      </c>
      <c r="Y128" s="0" t="n">
        <v>0.899696048632219</v>
      </c>
      <c r="Z128" s="0" t="n">
        <v>0.899696048632219</v>
      </c>
      <c r="AA128" s="0" t="n">
        <v>0.899696048632219</v>
      </c>
      <c r="AB128" s="0" t="n">
        <v>0.899696048632219</v>
      </c>
      <c r="AC128" s="0" t="n">
        <v>0.899696048632219</v>
      </c>
      <c r="AD128" s="0" t="n">
        <v>0.899696048632219</v>
      </c>
      <c r="AE128" s="0" t="n">
        <v>0.899696048632219</v>
      </c>
      <c r="AF128" s="0" t="n">
        <v>0.899696048632219</v>
      </c>
      <c r="AG128" s="0" t="n">
        <v>0.899696048632219</v>
      </c>
      <c r="AH128" s="0" t="n">
        <v>0.899696048632219</v>
      </c>
      <c r="AI128" s="0" t="n">
        <v>0.899696048632219</v>
      </c>
      <c r="AJ128" s="0" t="n">
        <v>0.899696048632219</v>
      </c>
      <c r="AK128" s="0" t="n">
        <v>0.899696048632219</v>
      </c>
      <c r="AL128" s="0" t="n">
        <v>0.899696048632219</v>
      </c>
      <c r="AM128" s="0" t="n">
        <v>0.899696048632219</v>
      </c>
      <c r="AN128" s="0" t="n">
        <v>0.899696048632219</v>
      </c>
      <c r="AO128" s="0" t="n">
        <v>0.899696048632219</v>
      </c>
      <c r="AP128" s="0" t="n">
        <v>0.899696048632219</v>
      </c>
      <c r="AQ128" s="0" t="n">
        <v>0.899696048632219</v>
      </c>
      <c r="AR128" s="0" t="n">
        <v>0.899696048632219</v>
      </c>
      <c r="AS128" s="0" t="n">
        <v>0.899696048632219</v>
      </c>
      <c r="AT128" s="0" t="n">
        <v>0.899696048632219</v>
      </c>
      <c r="AU128" s="0" t="n">
        <v>0.625</v>
      </c>
      <c r="AV128" s="0" t="n">
        <v>0.625</v>
      </c>
      <c r="AW128" s="0" t="n">
        <v>0.625</v>
      </c>
      <c r="AX128" s="0" t="n">
        <v>0.625</v>
      </c>
      <c r="AY128" s="0" t="n">
        <v>0.625</v>
      </c>
      <c r="AZ128" s="0" t="n">
        <v>0.625</v>
      </c>
      <c r="BA128" s="0" t="n">
        <v>0.625</v>
      </c>
      <c r="BB128" s="0" t="n">
        <v>0.625</v>
      </c>
      <c r="BC128" s="0" t="n">
        <v>0.625</v>
      </c>
      <c r="BD128" s="0" t="n">
        <v>0.625</v>
      </c>
      <c r="BE128" s="0" t="n">
        <v>0.625</v>
      </c>
      <c r="BF128" s="0" t="n">
        <v>0.625</v>
      </c>
      <c r="BG128" s="0" t="n">
        <v>0.566541076609935</v>
      </c>
      <c r="BH128" s="0" t="n">
        <v>0.566541076609935</v>
      </c>
      <c r="BI128" s="0" t="n">
        <v>0.566541076609935</v>
      </c>
      <c r="BJ128" s="0" t="n">
        <v>0.566541076609935</v>
      </c>
      <c r="BK128" s="0" t="n">
        <v>0.566541076609935</v>
      </c>
    </row>
    <row r="129" customFormat="false" ht="12.8" hidden="false" customHeight="false" outlineLevel="0" collapsed="false">
      <c r="A129" s="21" t="n">
        <f aca="false">A128+1/24</f>
        <v>43897.291667083</v>
      </c>
      <c r="B129" s="0" t="n">
        <v>0.766748949807284</v>
      </c>
      <c r="C129" s="0" t="n">
        <v>0.766748949807284</v>
      </c>
      <c r="D129" s="0" t="n">
        <v>0.766748949807284</v>
      </c>
      <c r="E129" s="0" t="n">
        <v>0.766748949807284</v>
      </c>
      <c r="F129" s="0" t="n">
        <v>0.766748949807284</v>
      </c>
      <c r="G129" s="0" t="n">
        <v>0.766748949807284</v>
      </c>
      <c r="H129" s="0" t="n">
        <v>0.766748949807284</v>
      </c>
      <c r="I129" s="0" t="n">
        <v>0.766748949807284</v>
      </c>
      <c r="J129" s="0" t="n">
        <v>0.766748949807284</v>
      </c>
      <c r="K129" s="0" t="n">
        <v>0.766748949807284</v>
      </c>
      <c r="L129" s="0" t="n">
        <v>0.766748949807284</v>
      </c>
      <c r="M129" s="0" t="n">
        <v>0.766748949807284</v>
      </c>
      <c r="N129" s="0" t="n">
        <v>0.766748949807284</v>
      </c>
      <c r="O129" s="0" t="n">
        <v>0.766748949807284</v>
      </c>
      <c r="P129" s="0" t="n">
        <v>0.766748949807284</v>
      </c>
      <c r="Q129" s="0" t="n">
        <v>0.766748949807284</v>
      </c>
      <c r="R129" s="0" t="n">
        <v>0.766748949807284</v>
      </c>
      <c r="S129" s="0" t="n">
        <v>0.766748949807284</v>
      </c>
      <c r="T129" s="0" t="n">
        <v>0.766748949807284</v>
      </c>
      <c r="U129" s="0" t="n">
        <v>0.766748949807284</v>
      </c>
      <c r="V129" s="0" t="n">
        <v>0.981762917933131</v>
      </c>
      <c r="W129" s="0" t="n">
        <v>0.981762917933131</v>
      </c>
      <c r="X129" s="0" t="n">
        <v>0.981762917933131</v>
      </c>
      <c r="Y129" s="0" t="n">
        <v>0.981762917933131</v>
      </c>
      <c r="Z129" s="0" t="n">
        <v>0.981762917933131</v>
      </c>
      <c r="AA129" s="0" t="n">
        <v>0.981762917933131</v>
      </c>
      <c r="AB129" s="0" t="n">
        <v>0.981762917933131</v>
      </c>
      <c r="AC129" s="0" t="n">
        <v>0.981762917933131</v>
      </c>
      <c r="AD129" s="0" t="n">
        <v>0.981762917933131</v>
      </c>
      <c r="AE129" s="0" t="n">
        <v>0.981762917933131</v>
      </c>
      <c r="AF129" s="0" t="n">
        <v>0.981762917933131</v>
      </c>
      <c r="AG129" s="0" t="n">
        <v>0.981762917933131</v>
      </c>
      <c r="AH129" s="0" t="n">
        <v>0.981762917933131</v>
      </c>
      <c r="AI129" s="0" t="n">
        <v>0.981762917933131</v>
      </c>
      <c r="AJ129" s="0" t="n">
        <v>0.981762917933131</v>
      </c>
      <c r="AK129" s="0" t="n">
        <v>0.981762917933131</v>
      </c>
      <c r="AL129" s="0" t="n">
        <v>0.981762917933131</v>
      </c>
      <c r="AM129" s="0" t="n">
        <v>0.981762917933131</v>
      </c>
      <c r="AN129" s="0" t="n">
        <v>0.981762917933131</v>
      </c>
      <c r="AO129" s="0" t="n">
        <v>0.981762917933131</v>
      </c>
      <c r="AP129" s="0" t="n">
        <v>0.981762917933131</v>
      </c>
      <c r="AQ129" s="0" t="n">
        <v>0.981762917933131</v>
      </c>
      <c r="AR129" s="0" t="n">
        <v>0.981762917933131</v>
      </c>
      <c r="AS129" s="0" t="n">
        <v>0.981762917933131</v>
      </c>
      <c r="AT129" s="0" t="n">
        <v>0.981762917933131</v>
      </c>
      <c r="AU129" s="0" t="n">
        <v>1.375</v>
      </c>
      <c r="AV129" s="0" t="n">
        <v>1.375</v>
      </c>
      <c r="AW129" s="0" t="n">
        <v>1.375</v>
      </c>
      <c r="AX129" s="0" t="n">
        <v>1.375</v>
      </c>
      <c r="AY129" s="0" t="n">
        <v>1.375</v>
      </c>
      <c r="AZ129" s="0" t="n">
        <v>1.375</v>
      </c>
      <c r="BA129" s="0" t="n">
        <v>1.375</v>
      </c>
      <c r="BB129" s="0" t="n">
        <v>1.375</v>
      </c>
      <c r="BC129" s="0" t="n">
        <v>1.375</v>
      </c>
      <c r="BD129" s="0" t="n">
        <v>1.375</v>
      </c>
      <c r="BE129" s="0" t="n">
        <v>1.375</v>
      </c>
      <c r="BF129" s="0" t="n">
        <v>1.375</v>
      </c>
      <c r="BG129" s="0" t="n">
        <v>0.766748949807284</v>
      </c>
      <c r="BH129" s="0" t="n">
        <v>0.766748949807284</v>
      </c>
      <c r="BI129" s="0" t="n">
        <v>0.766748949807284</v>
      </c>
      <c r="BJ129" s="0" t="n">
        <v>0.766748949807284</v>
      </c>
      <c r="BK129" s="0" t="n">
        <v>0.766748949807284</v>
      </c>
    </row>
    <row r="130" customFormat="false" ht="12.8" hidden="false" customHeight="false" outlineLevel="0" collapsed="false">
      <c r="A130" s="21" t="n">
        <f aca="false">A129+1/24</f>
        <v>43897.3333337496</v>
      </c>
      <c r="B130" s="0" t="n">
        <v>0.770993027586506</v>
      </c>
      <c r="C130" s="0" t="n">
        <v>0.770993027586506</v>
      </c>
      <c r="D130" s="0" t="n">
        <v>0.770993027586506</v>
      </c>
      <c r="E130" s="0" t="n">
        <v>0.770993027586506</v>
      </c>
      <c r="F130" s="0" t="n">
        <v>0.770993027586506</v>
      </c>
      <c r="G130" s="0" t="n">
        <v>0.770993027586506</v>
      </c>
      <c r="H130" s="0" t="n">
        <v>0.770993027586506</v>
      </c>
      <c r="I130" s="0" t="n">
        <v>0.770993027586506</v>
      </c>
      <c r="J130" s="0" t="n">
        <v>0.770993027586506</v>
      </c>
      <c r="K130" s="0" t="n">
        <v>0.770993027586506</v>
      </c>
      <c r="L130" s="0" t="n">
        <v>0.770993027586506</v>
      </c>
      <c r="M130" s="0" t="n">
        <v>0.770993027586506</v>
      </c>
      <c r="N130" s="0" t="n">
        <v>0.770993027586506</v>
      </c>
      <c r="O130" s="0" t="n">
        <v>0.770993027586506</v>
      </c>
      <c r="P130" s="0" t="n">
        <v>0.770993027586506</v>
      </c>
      <c r="Q130" s="0" t="n">
        <v>0.770993027586506</v>
      </c>
      <c r="R130" s="0" t="n">
        <v>0.770993027586506</v>
      </c>
      <c r="S130" s="0" t="n">
        <v>0.770993027586506</v>
      </c>
      <c r="T130" s="0" t="n">
        <v>0.770993027586506</v>
      </c>
      <c r="U130" s="0" t="n">
        <v>0.770993027586506</v>
      </c>
      <c r="V130" s="0" t="n">
        <v>1.03951367781155</v>
      </c>
      <c r="W130" s="0" t="n">
        <v>1.03951367781155</v>
      </c>
      <c r="X130" s="0" t="n">
        <v>1.03951367781155</v>
      </c>
      <c r="Y130" s="0" t="n">
        <v>1.03951367781155</v>
      </c>
      <c r="Z130" s="0" t="n">
        <v>1.03951367781155</v>
      </c>
      <c r="AA130" s="0" t="n">
        <v>1.03951367781155</v>
      </c>
      <c r="AB130" s="0" t="n">
        <v>1.03951367781155</v>
      </c>
      <c r="AC130" s="0" t="n">
        <v>1.03951367781155</v>
      </c>
      <c r="AD130" s="0" t="n">
        <v>1.03951367781155</v>
      </c>
      <c r="AE130" s="0" t="n">
        <v>1.03951367781155</v>
      </c>
      <c r="AF130" s="0" t="n">
        <v>1.03951367781155</v>
      </c>
      <c r="AG130" s="0" t="n">
        <v>1.03951367781155</v>
      </c>
      <c r="AH130" s="0" t="n">
        <v>1.03951367781155</v>
      </c>
      <c r="AI130" s="0" t="n">
        <v>1.03951367781155</v>
      </c>
      <c r="AJ130" s="0" t="n">
        <v>1.03951367781155</v>
      </c>
      <c r="AK130" s="0" t="n">
        <v>1.03951367781155</v>
      </c>
      <c r="AL130" s="0" t="n">
        <v>1.03951367781155</v>
      </c>
      <c r="AM130" s="0" t="n">
        <v>1.03951367781155</v>
      </c>
      <c r="AN130" s="0" t="n">
        <v>1.03951367781155</v>
      </c>
      <c r="AO130" s="0" t="n">
        <v>1.03951367781155</v>
      </c>
      <c r="AP130" s="0" t="n">
        <v>1.03951367781155</v>
      </c>
      <c r="AQ130" s="0" t="n">
        <v>1.03951367781155</v>
      </c>
      <c r="AR130" s="0" t="n">
        <v>1.03951367781155</v>
      </c>
      <c r="AS130" s="0" t="n">
        <v>1.03951367781155</v>
      </c>
      <c r="AT130" s="0" t="n">
        <v>1.03951367781155</v>
      </c>
      <c r="AU130" s="0" t="n">
        <v>1.375</v>
      </c>
      <c r="AV130" s="0" t="n">
        <v>1.375</v>
      </c>
      <c r="AW130" s="0" t="n">
        <v>1.375</v>
      </c>
      <c r="AX130" s="0" t="n">
        <v>1.375</v>
      </c>
      <c r="AY130" s="0" t="n">
        <v>1.375</v>
      </c>
      <c r="AZ130" s="0" t="n">
        <v>1.375</v>
      </c>
      <c r="BA130" s="0" t="n">
        <v>1.375</v>
      </c>
      <c r="BB130" s="0" t="n">
        <v>1.375</v>
      </c>
      <c r="BC130" s="0" t="n">
        <v>1.375</v>
      </c>
      <c r="BD130" s="0" t="n">
        <v>1.375</v>
      </c>
      <c r="BE130" s="0" t="n">
        <v>1.375</v>
      </c>
      <c r="BF130" s="0" t="n">
        <v>1.375</v>
      </c>
      <c r="BG130" s="0" t="n">
        <v>0.770993027586506</v>
      </c>
      <c r="BH130" s="0" t="n">
        <v>0.770993027586506</v>
      </c>
      <c r="BI130" s="0" t="n">
        <v>0.770993027586506</v>
      </c>
      <c r="BJ130" s="0" t="n">
        <v>0.770993027586506</v>
      </c>
      <c r="BK130" s="0" t="n">
        <v>0.770993027586506</v>
      </c>
    </row>
    <row r="131" customFormat="false" ht="12.8" hidden="false" customHeight="false" outlineLevel="0" collapsed="false">
      <c r="A131" s="21" t="n">
        <f aca="false">A130+1/24</f>
        <v>43897.3750004163</v>
      </c>
      <c r="B131" s="0" t="n">
        <v>0.787363041877788</v>
      </c>
      <c r="C131" s="0" t="n">
        <v>0.787363041877788</v>
      </c>
      <c r="D131" s="0" t="n">
        <v>0.787363041877788</v>
      </c>
      <c r="E131" s="0" t="n">
        <v>0.787363041877788</v>
      </c>
      <c r="F131" s="0" t="n">
        <v>0.787363041877788</v>
      </c>
      <c r="G131" s="0" t="n">
        <v>0.787363041877788</v>
      </c>
      <c r="H131" s="0" t="n">
        <v>0.787363041877788</v>
      </c>
      <c r="I131" s="0" t="n">
        <v>0.787363041877788</v>
      </c>
      <c r="J131" s="0" t="n">
        <v>0.787363041877788</v>
      </c>
      <c r="K131" s="0" t="n">
        <v>0.787363041877788</v>
      </c>
      <c r="L131" s="0" t="n">
        <v>0.787363041877788</v>
      </c>
      <c r="M131" s="0" t="n">
        <v>0.787363041877788</v>
      </c>
      <c r="N131" s="0" t="n">
        <v>0.787363041877788</v>
      </c>
      <c r="O131" s="0" t="n">
        <v>0.787363041877788</v>
      </c>
      <c r="P131" s="0" t="n">
        <v>0.787363041877788</v>
      </c>
      <c r="Q131" s="0" t="n">
        <v>0.787363041877788</v>
      </c>
      <c r="R131" s="0" t="n">
        <v>0.787363041877788</v>
      </c>
      <c r="S131" s="0" t="n">
        <v>0.787363041877788</v>
      </c>
      <c r="T131" s="0" t="n">
        <v>0.787363041877788</v>
      </c>
      <c r="U131" s="0" t="n">
        <v>0.787363041877788</v>
      </c>
      <c r="V131" s="0" t="n">
        <v>0.966565349544073</v>
      </c>
      <c r="W131" s="0" t="n">
        <v>0.966565349544073</v>
      </c>
      <c r="X131" s="0" t="n">
        <v>0.966565349544073</v>
      </c>
      <c r="Y131" s="0" t="n">
        <v>0.966565349544073</v>
      </c>
      <c r="Z131" s="0" t="n">
        <v>0.966565349544073</v>
      </c>
      <c r="AA131" s="0" t="n">
        <v>0.966565349544073</v>
      </c>
      <c r="AB131" s="0" t="n">
        <v>0.966565349544073</v>
      </c>
      <c r="AC131" s="0" t="n">
        <v>0.966565349544073</v>
      </c>
      <c r="AD131" s="0" t="n">
        <v>0.966565349544073</v>
      </c>
      <c r="AE131" s="0" t="n">
        <v>0.966565349544073</v>
      </c>
      <c r="AF131" s="0" t="n">
        <v>0.966565349544073</v>
      </c>
      <c r="AG131" s="0" t="n">
        <v>0.966565349544073</v>
      </c>
      <c r="AH131" s="0" t="n">
        <v>0.966565349544073</v>
      </c>
      <c r="AI131" s="0" t="n">
        <v>0.966565349544073</v>
      </c>
      <c r="AJ131" s="0" t="n">
        <v>0.966565349544073</v>
      </c>
      <c r="AK131" s="0" t="n">
        <v>0.966565349544073</v>
      </c>
      <c r="AL131" s="0" t="n">
        <v>0.966565349544073</v>
      </c>
      <c r="AM131" s="0" t="n">
        <v>0.966565349544073</v>
      </c>
      <c r="AN131" s="0" t="n">
        <v>0.966565349544073</v>
      </c>
      <c r="AO131" s="0" t="n">
        <v>0.966565349544073</v>
      </c>
      <c r="AP131" s="0" t="n">
        <v>0.966565349544073</v>
      </c>
      <c r="AQ131" s="0" t="n">
        <v>0.966565349544073</v>
      </c>
      <c r="AR131" s="0" t="n">
        <v>0.966565349544073</v>
      </c>
      <c r="AS131" s="0" t="n">
        <v>0.966565349544073</v>
      </c>
      <c r="AT131" s="0" t="n">
        <v>0.966565349544073</v>
      </c>
      <c r="AU131" s="0" t="n">
        <v>1</v>
      </c>
      <c r="AV131" s="0" t="n">
        <v>1</v>
      </c>
      <c r="AW131" s="0" t="n">
        <v>1</v>
      </c>
      <c r="AX131" s="0" t="n">
        <v>1</v>
      </c>
      <c r="AY131" s="0" t="n">
        <v>1</v>
      </c>
      <c r="AZ131" s="0" t="n">
        <v>1</v>
      </c>
      <c r="BA131" s="0" t="n">
        <v>1</v>
      </c>
      <c r="BB131" s="0" t="n">
        <v>1</v>
      </c>
      <c r="BC131" s="0" t="n">
        <v>1</v>
      </c>
      <c r="BD131" s="0" t="n">
        <v>1</v>
      </c>
      <c r="BE131" s="0" t="n">
        <v>1</v>
      </c>
      <c r="BF131" s="0" t="n">
        <v>1</v>
      </c>
      <c r="BG131" s="0" t="n">
        <v>0.787363041877788</v>
      </c>
      <c r="BH131" s="0" t="n">
        <v>0.787363041877788</v>
      </c>
      <c r="BI131" s="0" t="n">
        <v>0.787363041877788</v>
      </c>
      <c r="BJ131" s="0" t="n">
        <v>0.787363041877788</v>
      </c>
      <c r="BK131" s="0" t="n">
        <v>0.787363041877788</v>
      </c>
    </row>
    <row r="132" customFormat="false" ht="12.8" hidden="false" customHeight="false" outlineLevel="0" collapsed="false">
      <c r="A132" s="21" t="n">
        <f aca="false">A131+1/24</f>
        <v>43897.416667083</v>
      </c>
      <c r="B132" s="0" t="n">
        <v>0.800701572041055</v>
      </c>
      <c r="C132" s="0" t="n">
        <v>0.800701572041055</v>
      </c>
      <c r="D132" s="0" t="n">
        <v>0.800701572041055</v>
      </c>
      <c r="E132" s="0" t="n">
        <v>0.800701572041055</v>
      </c>
      <c r="F132" s="0" t="n">
        <v>0.800701572041055</v>
      </c>
      <c r="G132" s="0" t="n">
        <v>0.800701572041055</v>
      </c>
      <c r="H132" s="0" t="n">
        <v>0.800701572041055</v>
      </c>
      <c r="I132" s="0" t="n">
        <v>0.800701572041055</v>
      </c>
      <c r="J132" s="0" t="n">
        <v>0.800701572041055</v>
      </c>
      <c r="K132" s="0" t="n">
        <v>0.800701572041055</v>
      </c>
      <c r="L132" s="0" t="n">
        <v>0.800701572041055</v>
      </c>
      <c r="M132" s="0" t="n">
        <v>0.800701572041055</v>
      </c>
      <c r="N132" s="0" t="n">
        <v>0.800701572041055</v>
      </c>
      <c r="O132" s="0" t="n">
        <v>0.800701572041055</v>
      </c>
      <c r="P132" s="0" t="n">
        <v>0.800701572041055</v>
      </c>
      <c r="Q132" s="0" t="n">
        <v>0.800701572041055</v>
      </c>
      <c r="R132" s="0" t="n">
        <v>0.800701572041055</v>
      </c>
      <c r="S132" s="0" t="n">
        <v>0.800701572041055</v>
      </c>
      <c r="T132" s="0" t="n">
        <v>0.800701572041055</v>
      </c>
      <c r="U132" s="0" t="n">
        <v>0.800701572041055</v>
      </c>
      <c r="V132" s="0" t="n">
        <v>1.09422492401216</v>
      </c>
      <c r="W132" s="0" t="n">
        <v>1.09422492401216</v>
      </c>
      <c r="X132" s="0" t="n">
        <v>1.09422492401216</v>
      </c>
      <c r="Y132" s="0" t="n">
        <v>1.09422492401216</v>
      </c>
      <c r="Z132" s="0" t="n">
        <v>1.09422492401216</v>
      </c>
      <c r="AA132" s="0" t="n">
        <v>1.09422492401216</v>
      </c>
      <c r="AB132" s="0" t="n">
        <v>1.09422492401216</v>
      </c>
      <c r="AC132" s="0" t="n">
        <v>1.09422492401216</v>
      </c>
      <c r="AD132" s="0" t="n">
        <v>1.09422492401216</v>
      </c>
      <c r="AE132" s="0" t="n">
        <v>1.09422492401216</v>
      </c>
      <c r="AF132" s="0" t="n">
        <v>1.09422492401216</v>
      </c>
      <c r="AG132" s="0" t="n">
        <v>1.09422492401216</v>
      </c>
      <c r="AH132" s="0" t="n">
        <v>1.09422492401216</v>
      </c>
      <c r="AI132" s="0" t="n">
        <v>1.09422492401216</v>
      </c>
      <c r="AJ132" s="0" t="n">
        <v>1.09422492401216</v>
      </c>
      <c r="AK132" s="0" t="n">
        <v>1.09422492401216</v>
      </c>
      <c r="AL132" s="0" t="n">
        <v>1.09422492401216</v>
      </c>
      <c r="AM132" s="0" t="n">
        <v>1.09422492401216</v>
      </c>
      <c r="AN132" s="0" t="n">
        <v>1.09422492401216</v>
      </c>
      <c r="AO132" s="0" t="n">
        <v>1.09422492401216</v>
      </c>
      <c r="AP132" s="0" t="n">
        <v>1.09422492401216</v>
      </c>
      <c r="AQ132" s="0" t="n">
        <v>1.09422492401216</v>
      </c>
      <c r="AR132" s="0" t="n">
        <v>1.09422492401216</v>
      </c>
      <c r="AS132" s="0" t="n">
        <v>1.09422492401216</v>
      </c>
      <c r="AT132" s="0" t="n">
        <v>1.09422492401216</v>
      </c>
      <c r="AU132" s="0" t="n">
        <v>0.75</v>
      </c>
      <c r="AV132" s="0" t="n">
        <v>0.75</v>
      </c>
      <c r="AW132" s="0" t="n">
        <v>0.75</v>
      </c>
      <c r="AX132" s="0" t="n">
        <v>0.75</v>
      </c>
      <c r="AY132" s="0" t="n">
        <v>0.75</v>
      </c>
      <c r="AZ132" s="0" t="n">
        <v>0.75</v>
      </c>
      <c r="BA132" s="0" t="n">
        <v>0.75</v>
      </c>
      <c r="BB132" s="0" t="n">
        <v>0.75</v>
      </c>
      <c r="BC132" s="0" t="n">
        <v>0.75</v>
      </c>
      <c r="BD132" s="0" t="n">
        <v>0.75</v>
      </c>
      <c r="BE132" s="0" t="n">
        <v>0.75</v>
      </c>
      <c r="BF132" s="0" t="n">
        <v>0.75</v>
      </c>
      <c r="BG132" s="0" t="n">
        <v>0.800701572041055</v>
      </c>
      <c r="BH132" s="0" t="n">
        <v>0.800701572041055</v>
      </c>
      <c r="BI132" s="0" t="n">
        <v>0.800701572041055</v>
      </c>
      <c r="BJ132" s="0" t="n">
        <v>0.800701572041055</v>
      </c>
      <c r="BK132" s="0" t="n">
        <v>0.800701572041055</v>
      </c>
    </row>
    <row r="133" customFormat="false" ht="12.8" hidden="false" customHeight="false" outlineLevel="0" collapsed="false">
      <c r="A133" s="21" t="n">
        <f aca="false">A132+1/24</f>
        <v>43897.4583337496</v>
      </c>
      <c r="B133" s="0" t="n">
        <v>0.818717249144688</v>
      </c>
      <c r="C133" s="0" t="n">
        <v>0.818717249144688</v>
      </c>
      <c r="D133" s="0" t="n">
        <v>0.818717249144688</v>
      </c>
      <c r="E133" s="0" t="n">
        <v>0.818717249144688</v>
      </c>
      <c r="F133" s="0" t="n">
        <v>0.818717249144688</v>
      </c>
      <c r="G133" s="0" t="n">
        <v>0.818717249144688</v>
      </c>
      <c r="H133" s="0" t="n">
        <v>0.818717249144688</v>
      </c>
      <c r="I133" s="0" t="n">
        <v>0.818717249144688</v>
      </c>
      <c r="J133" s="0" t="n">
        <v>0.818717249144688</v>
      </c>
      <c r="K133" s="0" t="n">
        <v>0.818717249144688</v>
      </c>
      <c r="L133" s="0" t="n">
        <v>0.818717249144688</v>
      </c>
      <c r="M133" s="0" t="n">
        <v>0.818717249144688</v>
      </c>
      <c r="N133" s="0" t="n">
        <v>0.818717249144688</v>
      </c>
      <c r="O133" s="0" t="n">
        <v>0.818717249144688</v>
      </c>
      <c r="P133" s="0" t="n">
        <v>0.818717249144688</v>
      </c>
      <c r="Q133" s="0" t="n">
        <v>0.818717249144688</v>
      </c>
      <c r="R133" s="0" t="n">
        <v>0.818717249144688</v>
      </c>
      <c r="S133" s="0" t="n">
        <v>0.818717249144688</v>
      </c>
      <c r="T133" s="0" t="n">
        <v>0.818717249144688</v>
      </c>
      <c r="U133" s="0" t="n">
        <v>0.818717249144688</v>
      </c>
      <c r="V133" s="0" t="n">
        <v>1.22391084093212</v>
      </c>
      <c r="W133" s="0" t="n">
        <v>1.22391084093212</v>
      </c>
      <c r="X133" s="0" t="n">
        <v>1.22391084093212</v>
      </c>
      <c r="Y133" s="0" t="n">
        <v>1.22391084093212</v>
      </c>
      <c r="Z133" s="0" t="n">
        <v>1.22391084093212</v>
      </c>
      <c r="AA133" s="0" t="n">
        <v>1.22391084093212</v>
      </c>
      <c r="AB133" s="0" t="n">
        <v>1.22391084093212</v>
      </c>
      <c r="AC133" s="0" t="n">
        <v>1.22391084093212</v>
      </c>
      <c r="AD133" s="0" t="n">
        <v>1.22391084093212</v>
      </c>
      <c r="AE133" s="0" t="n">
        <v>1.22391084093212</v>
      </c>
      <c r="AF133" s="0" t="n">
        <v>1.22391084093212</v>
      </c>
      <c r="AG133" s="0" t="n">
        <v>1.22391084093212</v>
      </c>
      <c r="AH133" s="0" t="n">
        <v>1.22391084093212</v>
      </c>
      <c r="AI133" s="0" t="n">
        <v>1.22391084093212</v>
      </c>
      <c r="AJ133" s="0" t="n">
        <v>1.22391084093212</v>
      </c>
      <c r="AK133" s="0" t="n">
        <v>1.22391084093212</v>
      </c>
      <c r="AL133" s="0" t="n">
        <v>1.22391084093212</v>
      </c>
      <c r="AM133" s="0" t="n">
        <v>1.22391084093212</v>
      </c>
      <c r="AN133" s="0" t="n">
        <v>1.22391084093212</v>
      </c>
      <c r="AO133" s="0" t="n">
        <v>1.22391084093212</v>
      </c>
      <c r="AP133" s="0" t="n">
        <v>1.22391084093212</v>
      </c>
      <c r="AQ133" s="0" t="n">
        <v>1.22391084093212</v>
      </c>
      <c r="AR133" s="0" t="n">
        <v>1.22391084093212</v>
      </c>
      <c r="AS133" s="0" t="n">
        <v>1.22391084093212</v>
      </c>
      <c r="AT133" s="0" t="n">
        <v>1.22391084093212</v>
      </c>
      <c r="AU133" s="0" t="n">
        <v>0.25</v>
      </c>
      <c r="AV133" s="0" t="n">
        <v>0.25</v>
      </c>
      <c r="AW133" s="0" t="n">
        <v>0.25</v>
      </c>
      <c r="AX133" s="0" t="n">
        <v>0.25</v>
      </c>
      <c r="AY133" s="0" t="n">
        <v>0.25</v>
      </c>
      <c r="AZ133" s="0" t="n">
        <v>0.25</v>
      </c>
      <c r="BA133" s="0" t="n">
        <v>0.25</v>
      </c>
      <c r="BB133" s="0" t="n">
        <v>0.25</v>
      </c>
      <c r="BC133" s="0" t="n">
        <v>0.25</v>
      </c>
      <c r="BD133" s="0" t="n">
        <v>0.25</v>
      </c>
      <c r="BE133" s="0" t="n">
        <v>0.25</v>
      </c>
      <c r="BF133" s="0" t="n">
        <v>0.25</v>
      </c>
      <c r="BG133" s="0" t="n">
        <v>0.818717249144688</v>
      </c>
      <c r="BH133" s="0" t="n">
        <v>0.818717249144688</v>
      </c>
      <c r="BI133" s="0" t="n">
        <v>0.818717249144688</v>
      </c>
      <c r="BJ133" s="0" t="n">
        <v>0.818717249144688</v>
      </c>
      <c r="BK133" s="0" t="n">
        <v>0.818717249144688</v>
      </c>
    </row>
    <row r="134" customFormat="false" ht="12.8" hidden="false" customHeight="false" outlineLevel="0" collapsed="false">
      <c r="A134" s="21" t="n">
        <f aca="false">A133+1/24</f>
        <v>43897.5000004163</v>
      </c>
      <c r="B134" s="0" t="n">
        <v>0.82508336581352</v>
      </c>
      <c r="C134" s="0" t="n">
        <v>0.82508336581352</v>
      </c>
      <c r="D134" s="0" t="n">
        <v>0.82508336581352</v>
      </c>
      <c r="E134" s="0" t="n">
        <v>0.82508336581352</v>
      </c>
      <c r="F134" s="0" t="n">
        <v>0.82508336581352</v>
      </c>
      <c r="G134" s="0" t="n">
        <v>0.82508336581352</v>
      </c>
      <c r="H134" s="0" t="n">
        <v>0.82508336581352</v>
      </c>
      <c r="I134" s="0" t="n">
        <v>0.82508336581352</v>
      </c>
      <c r="J134" s="0" t="n">
        <v>0.82508336581352</v>
      </c>
      <c r="K134" s="0" t="n">
        <v>0.82508336581352</v>
      </c>
      <c r="L134" s="0" t="n">
        <v>0.82508336581352</v>
      </c>
      <c r="M134" s="0" t="n">
        <v>0.82508336581352</v>
      </c>
      <c r="N134" s="0" t="n">
        <v>0.82508336581352</v>
      </c>
      <c r="O134" s="0" t="n">
        <v>0.82508336581352</v>
      </c>
      <c r="P134" s="0" t="n">
        <v>0.82508336581352</v>
      </c>
      <c r="Q134" s="0" t="n">
        <v>0.82508336581352</v>
      </c>
      <c r="R134" s="0" t="n">
        <v>0.82508336581352</v>
      </c>
      <c r="S134" s="0" t="n">
        <v>0.82508336581352</v>
      </c>
      <c r="T134" s="0" t="n">
        <v>0.82508336581352</v>
      </c>
      <c r="U134" s="0" t="n">
        <v>0.82508336581352</v>
      </c>
      <c r="V134" s="0" t="n">
        <v>1.01722391084093</v>
      </c>
      <c r="W134" s="0" t="n">
        <v>1.01722391084093</v>
      </c>
      <c r="X134" s="0" t="n">
        <v>1.01722391084093</v>
      </c>
      <c r="Y134" s="0" t="n">
        <v>1.01722391084093</v>
      </c>
      <c r="Z134" s="0" t="n">
        <v>1.01722391084093</v>
      </c>
      <c r="AA134" s="0" t="n">
        <v>1.01722391084093</v>
      </c>
      <c r="AB134" s="0" t="n">
        <v>1.01722391084093</v>
      </c>
      <c r="AC134" s="0" t="n">
        <v>1.01722391084093</v>
      </c>
      <c r="AD134" s="0" t="n">
        <v>1.01722391084093</v>
      </c>
      <c r="AE134" s="0" t="n">
        <v>1.01722391084093</v>
      </c>
      <c r="AF134" s="0" t="n">
        <v>1.01722391084093</v>
      </c>
      <c r="AG134" s="0" t="n">
        <v>1.01722391084093</v>
      </c>
      <c r="AH134" s="0" t="n">
        <v>1.01722391084093</v>
      </c>
      <c r="AI134" s="0" t="n">
        <v>1.01722391084093</v>
      </c>
      <c r="AJ134" s="0" t="n">
        <v>1.01722391084093</v>
      </c>
      <c r="AK134" s="0" t="n">
        <v>1.01722391084093</v>
      </c>
      <c r="AL134" s="0" t="n">
        <v>1.01722391084093</v>
      </c>
      <c r="AM134" s="0" t="n">
        <v>1.01722391084093</v>
      </c>
      <c r="AN134" s="0" t="n">
        <v>1.01722391084093</v>
      </c>
      <c r="AO134" s="0" t="n">
        <v>1.01722391084093</v>
      </c>
      <c r="AP134" s="0" t="n">
        <v>1.01722391084093</v>
      </c>
      <c r="AQ134" s="0" t="n">
        <v>1.01722391084093</v>
      </c>
      <c r="AR134" s="0" t="n">
        <v>1.01722391084093</v>
      </c>
      <c r="AS134" s="0" t="n">
        <v>1.01722391084093</v>
      </c>
      <c r="AT134" s="0" t="n">
        <v>1.01722391084093</v>
      </c>
      <c r="AU134" s="0" t="n">
        <v>0.875</v>
      </c>
      <c r="AV134" s="0" t="n">
        <v>0.875</v>
      </c>
      <c r="AW134" s="0" t="n">
        <v>0.875</v>
      </c>
      <c r="AX134" s="0" t="n">
        <v>0.875</v>
      </c>
      <c r="AY134" s="0" t="n">
        <v>0.875</v>
      </c>
      <c r="AZ134" s="0" t="n">
        <v>0.875</v>
      </c>
      <c r="BA134" s="0" t="n">
        <v>0.875</v>
      </c>
      <c r="BB134" s="0" t="n">
        <v>0.875</v>
      </c>
      <c r="BC134" s="0" t="n">
        <v>0.875</v>
      </c>
      <c r="BD134" s="0" t="n">
        <v>0.875</v>
      </c>
      <c r="BE134" s="0" t="n">
        <v>0.875</v>
      </c>
      <c r="BF134" s="0" t="n">
        <v>0.875</v>
      </c>
      <c r="BG134" s="0" t="n">
        <v>0.82508336581352</v>
      </c>
      <c r="BH134" s="0" t="n">
        <v>0.82508336581352</v>
      </c>
      <c r="BI134" s="0" t="n">
        <v>0.82508336581352</v>
      </c>
      <c r="BJ134" s="0" t="n">
        <v>0.82508336581352</v>
      </c>
      <c r="BK134" s="0" t="n">
        <v>0.82508336581352</v>
      </c>
    </row>
    <row r="135" customFormat="false" ht="12.8" hidden="false" customHeight="false" outlineLevel="0" collapsed="false">
      <c r="A135" s="21" t="n">
        <f aca="false">A134+1/24</f>
        <v>43897.541667083</v>
      </c>
      <c r="B135" s="0" t="n">
        <v>0.825819583387467</v>
      </c>
      <c r="C135" s="0" t="n">
        <v>0.825819583387467</v>
      </c>
      <c r="D135" s="0" t="n">
        <v>0.825819583387467</v>
      </c>
      <c r="E135" s="0" t="n">
        <v>0.825819583387467</v>
      </c>
      <c r="F135" s="0" t="n">
        <v>0.825819583387467</v>
      </c>
      <c r="G135" s="0" t="n">
        <v>0.825819583387467</v>
      </c>
      <c r="H135" s="0" t="n">
        <v>0.825819583387467</v>
      </c>
      <c r="I135" s="0" t="n">
        <v>0.825819583387467</v>
      </c>
      <c r="J135" s="0" t="n">
        <v>0.825819583387467</v>
      </c>
      <c r="K135" s="0" t="n">
        <v>0.825819583387467</v>
      </c>
      <c r="L135" s="0" t="n">
        <v>0.825819583387467</v>
      </c>
      <c r="M135" s="0" t="n">
        <v>0.825819583387467</v>
      </c>
      <c r="N135" s="0" t="n">
        <v>0.825819583387467</v>
      </c>
      <c r="O135" s="0" t="n">
        <v>0.825819583387467</v>
      </c>
      <c r="P135" s="0" t="n">
        <v>0.825819583387467</v>
      </c>
      <c r="Q135" s="0" t="n">
        <v>0.825819583387467</v>
      </c>
      <c r="R135" s="0" t="n">
        <v>0.825819583387467</v>
      </c>
      <c r="S135" s="0" t="n">
        <v>0.825819583387467</v>
      </c>
      <c r="T135" s="0" t="n">
        <v>0.825819583387467</v>
      </c>
      <c r="U135" s="0" t="n">
        <v>0.825819583387467</v>
      </c>
      <c r="V135" s="0" t="n">
        <v>0.88145896656535</v>
      </c>
      <c r="W135" s="0" t="n">
        <v>0.88145896656535</v>
      </c>
      <c r="X135" s="0" t="n">
        <v>0.88145896656535</v>
      </c>
      <c r="Y135" s="0" t="n">
        <v>0.88145896656535</v>
      </c>
      <c r="Z135" s="0" t="n">
        <v>0.88145896656535</v>
      </c>
      <c r="AA135" s="0" t="n">
        <v>0.88145896656535</v>
      </c>
      <c r="AB135" s="0" t="n">
        <v>0.88145896656535</v>
      </c>
      <c r="AC135" s="0" t="n">
        <v>0.88145896656535</v>
      </c>
      <c r="AD135" s="0" t="n">
        <v>0.88145896656535</v>
      </c>
      <c r="AE135" s="0" t="n">
        <v>0.88145896656535</v>
      </c>
      <c r="AF135" s="0" t="n">
        <v>0.88145896656535</v>
      </c>
      <c r="AG135" s="0" t="n">
        <v>0.88145896656535</v>
      </c>
      <c r="AH135" s="0" t="n">
        <v>0.88145896656535</v>
      </c>
      <c r="AI135" s="0" t="n">
        <v>0.88145896656535</v>
      </c>
      <c r="AJ135" s="0" t="n">
        <v>0.88145896656535</v>
      </c>
      <c r="AK135" s="0" t="n">
        <v>0.88145896656535</v>
      </c>
      <c r="AL135" s="0" t="n">
        <v>0.88145896656535</v>
      </c>
      <c r="AM135" s="0" t="n">
        <v>0.88145896656535</v>
      </c>
      <c r="AN135" s="0" t="n">
        <v>0.88145896656535</v>
      </c>
      <c r="AO135" s="0" t="n">
        <v>0.88145896656535</v>
      </c>
      <c r="AP135" s="0" t="n">
        <v>0.88145896656535</v>
      </c>
      <c r="AQ135" s="0" t="n">
        <v>0.88145896656535</v>
      </c>
      <c r="AR135" s="0" t="n">
        <v>0.88145896656535</v>
      </c>
      <c r="AS135" s="0" t="n">
        <v>0.88145896656535</v>
      </c>
      <c r="AT135" s="0" t="n">
        <v>0.88145896656535</v>
      </c>
      <c r="AU135" s="0" t="n">
        <v>1.25</v>
      </c>
      <c r="AV135" s="0" t="n">
        <v>1.25</v>
      </c>
      <c r="AW135" s="0" t="n">
        <v>1.25</v>
      </c>
      <c r="AX135" s="0" t="n">
        <v>1.25</v>
      </c>
      <c r="AY135" s="0" t="n">
        <v>1.25</v>
      </c>
      <c r="AZ135" s="0" t="n">
        <v>1.25</v>
      </c>
      <c r="BA135" s="0" t="n">
        <v>1.25</v>
      </c>
      <c r="BB135" s="0" t="n">
        <v>1.25</v>
      </c>
      <c r="BC135" s="0" t="n">
        <v>1.25</v>
      </c>
      <c r="BD135" s="0" t="n">
        <v>1.25</v>
      </c>
      <c r="BE135" s="0" t="n">
        <v>1.25</v>
      </c>
      <c r="BF135" s="0" t="n">
        <v>1.25</v>
      </c>
      <c r="BG135" s="0" t="n">
        <v>0.825819583387467</v>
      </c>
      <c r="BH135" s="0" t="n">
        <v>0.825819583387467</v>
      </c>
      <c r="BI135" s="0" t="n">
        <v>0.825819583387467</v>
      </c>
      <c r="BJ135" s="0" t="n">
        <v>0.825819583387467</v>
      </c>
      <c r="BK135" s="0" t="n">
        <v>0.825819583387467</v>
      </c>
    </row>
    <row r="136" customFormat="false" ht="12.8" hidden="false" customHeight="false" outlineLevel="0" collapsed="false">
      <c r="A136" s="21" t="n">
        <f aca="false">A135+1/24</f>
        <v>43897.5833337496</v>
      </c>
      <c r="B136" s="0" t="n">
        <v>0.782079598111818</v>
      </c>
      <c r="C136" s="0" t="n">
        <v>0.782079598111818</v>
      </c>
      <c r="D136" s="0" t="n">
        <v>0.782079598111818</v>
      </c>
      <c r="E136" s="0" t="n">
        <v>0.782079598111818</v>
      </c>
      <c r="F136" s="0" t="n">
        <v>0.782079598111818</v>
      </c>
      <c r="G136" s="0" t="n">
        <v>0.782079598111818</v>
      </c>
      <c r="H136" s="0" t="n">
        <v>0.782079598111818</v>
      </c>
      <c r="I136" s="0" t="n">
        <v>0.782079598111818</v>
      </c>
      <c r="J136" s="0" t="n">
        <v>0.782079598111818</v>
      </c>
      <c r="K136" s="0" t="n">
        <v>0.782079598111818</v>
      </c>
      <c r="L136" s="0" t="n">
        <v>0.782079598111818</v>
      </c>
      <c r="M136" s="0" t="n">
        <v>0.782079598111818</v>
      </c>
      <c r="N136" s="0" t="n">
        <v>0.782079598111818</v>
      </c>
      <c r="O136" s="0" t="n">
        <v>0.782079598111818</v>
      </c>
      <c r="P136" s="0" t="n">
        <v>0.782079598111818</v>
      </c>
      <c r="Q136" s="0" t="n">
        <v>0.782079598111818</v>
      </c>
      <c r="R136" s="0" t="n">
        <v>0.782079598111818</v>
      </c>
      <c r="S136" s="0" t="n">
        <v>0.782079598111818</v>
      </c>
      <c r="T136" s="0" t="n">
        <v>0.782079598111818</v>
      </c>
      <c r="U136" s="0" t="n">
        <v>0.782079598111818</v>
      </c>
      <c r="V136" s="0" t="n">
        <v>0.832826747720365</v>
      </c>
      <c r="W136" s="0" t="n">
        <v>0.832826747720365</v>
      </c>
      <c r="X136" s="0" t="n">
        <v>0.832826747720365</v>
      </c>
      <c r="Y136" s="0" t="n">
        <v>0.832826747720365</v>
      </c>
      <c r="Z136" s="0" t="n">
        <v>0.832826747720365</v>
      </c>
      <c r="AA136" s="0" t="n">
        <v>0.832826747720365</v>
      </c>
      <c r="AB136" s="0" t="n">
        <v>0.832826747720365</v>
      </c>
      <c r="AC136" s="0" t="n">
        <v>0.832826747720365</v>
      </c>
      <c r="AD136" s="0" t="n">
        <v>0.832826747720365</v>
      </c>
      <c r="AE136" s="0" t="n">
        <v>0.832826747720365</v>
      </c>
      <c r="AF136" s="0" t="n">
        <v>0.832826747720365</v>
      </c>
      <c r="AG136" s="0" t="n">
        <v>0.832826747720365</v>
      </c>
      <c r="AH136" s="0" t="n">
        <v>0.832826747720365</v>
      </c>
      <c r="AI136" s="0" t="n">
        <v>0.832826747720365</v>
      </c>
      <c r="AJ136" s="0" t="n">
        <v>0.832826747720365</v>
      </c>
      <c r="AK136" s="0" t="n">
        <v>0.832826747720365</v>
      </c>
      <c r="AL136" s="0" t="n">
        <v>0.832826747720365</v>
      </c>
      <c r="AM136" s="0" t="n">
        <v>0.832826747720365</v>
      </c>
      <c r="AN136" s="0" t="n">
        <v>0.832826747720365</v>
      </c>
      <c r="AO136" s="0" t="n">
        <v>0.832826747720365</v>
      </c>
      <c r="AP136" s="0" t="n">
        <v>0.832826747720365</v>
      </c>
      <c r="AQ136" s="0" t="n">
        <v>0.832826747720365</v>
      </c>
      <c r="AR136" s="0" t="n">
        <v>0.832826747720365</v>
      </c>
      <c r="AS136" s="0" t="n">
        <v>0.832826747720365</v>
      </c>
      <c r="AT136" s="0" t="n">
        <v>0.832826747720365</v>
      </c>
      <c r="AU136" s="0" t="n">
        <v>1</v>
      </c>
      <c r="AV136" s="0" t="n">
        <v>1</v>
      </c>
      <c r="AW136" s="0" t="n">
        <v>1</v>
      </c>
      <c r="AX136" s="0" t="n">
        <v>1</v>
      </c>
      <c r="AY136" s="0" t="n">
        <v>1</v>
      </c>
      <c r="AZ136" s="0" t="n">
        <v>1</v>
      </c>
      <c r="BA136" s="0" t="n">
        <v>1</v>
      </c>
      <c r="BB136" s="0" t="n">
        <v>1</v>
      </c>
      <c r="BC136" s="0" t="n">
        <v>1</v>
      </c>
      <c r="BD136" s="0" t="n">
        <v>1</v>
      </c>
      <c r="BE136" s="0" t="n">
        <v>1</v>
      </c>
      <c r="BF136" s="0" t="n">
        <v>1</v>
      </c>
      <c r="BG136" s="0" t="n">
        <v>0.782079598111818</v>
      </c>
      <c r="BH136" s="0" t="n">
        <v>0.782079598111818</v>
      </c>
      <c r="BI136" s="0" t="n">
        <v>0.782079598111818</v>
      </c>
      <c r="BJ136" s="0" t="n">
        <v>0.782079598111818</v>
      </c>
      <c r="BK136" s="0" t="n">
        <v>0.782079598111818</v>
      </c>
    </row>
    <row r="137" customFormat="false" ht="12.8" hidden="false" customHeight="false" outlineLevel="0" collapsed="false">
      <c r="A137" s="21" t="n">
        <f aca="false">A136+1/24</f>
        <v>43897.6250004163</v>
      </c>
      <c r="B137" s="0" t="n">
        <v>0.823437703001169</v>
      </c>
      <c r="C137" s="0" t="n">
        <v>0.823437703001169</v>
      </c>
      <c r="D137" s="0" t="n">
        <v>0.823437703001169</v>
      </c>
      <c r="E137" s="0" t="n">
        <v>0.823437703001169</v>
      </c>
      <c r="F137" s="0" t="n">
        <v>0.823437703001169</v>
      </c>
      <c r="G137" s="0" t="n">
        <v>0.823437703001169</v>
      </c>
      <c r="H137" s="0" t="n">
        <v>0.823437703001169</v>
      </c>
      <c r="I137" s="0" t="n">
        <v>0.823437703001169</v>
      </c>
      <c r="J137" s="0" t="n">
        <v>0.823437703001169</v>
      </c>
      <c r="K137" s="0" t="n">
        <v>0.823437703001169</v>
      </c>
      <c r="L137" s="0" t="n">
        <v>0.823437703001169</v>
      </c>
      <c r="M137" s="0" t="n">
        <v>0.823437703001169</v>
      </c>
      <c r="N137" s="0" t="n">
        <v>0.823437703001169</v>
      </c>
      <c r="O137" s="0" t="n">
        <v>0.823437703001169</v>
      </c>
      <c r="P137" s="0" t="n">
        <v>0.823437703001169</v>
      </c>
      <c r="Q137" s="0" t="n">
        <v>0.823437703001169</v>
      </c>
      <c r="R137" s="0" t="n">
        <v>0.823437703001169</v>
      </c>
      <c r="S137" s="0" t="n">
        <v>0.823437703001169</v>
      </c>
      <c r="T137" s="0" t="n">
        <v>0.823437703001169</v>
      </c>
      <c r="U137" s="0" t="n">
        <v>0.823437703001169</v>
      </c>
      <c r="V137" s="0" t="n">
        <v>0.804457953394124</v>
      </c>
      <c r="W137" s="0" t="n">
        <v>0.804457953394124</v>
      </c>
      <c r="X137" s="0" t="n">
        <v>0.804457953394124</v>
      </c>
      <c r="Y137" s="0" t="n">
        <v>0.804457953394124</v>
      </c>
      <c r="Z137" s="0" t="n">
        <v>0.804457953394124</v>
      </c>
      <c r="AA137" s="0" t="n">
        <v>0.804457953394124</v>
      </c>
      <c r="AB137" s="0" t="n">
        <v>0.804457953394124</v>
      </c>
      <c r="AC137" s="0" t="n">
        <v>0.804457953394124</v>
      </c>
      <c r="AD137" s="0" t="n">
        <v>0.804457953394124</v>
      </c>
      <c r="AE137" s="0" t="n">
        <v>0.804457953394124</v>
      </c>
      <c r="AF137" s="0" t="n">
        <v>0.804457953394124</v>
      </c>
      <c r="AG137" s="0" t="n">
        <v>0.804457953394124</v>
      </c>
      <c r="AH137" s="0" t="n">
        <v>0.804457953394124</v>
      </c>
      <c r="AI137" s="0" t="n">
        <v>0.804457953394124</v>
      </c>
      <c r="AJ137" s="0" t="n">
        <v>0.804457953394124</v>
      </c>
      <c r="AK137" s="0" t="n">
        <v>0.804457953394124</v>
      </c>
      <c r="AL137" s="0" t="n">
        <v>0.804457953394124</v>
      </c>
      <c r="AM137" s="0" t="n">
        <v>0.804457953394124</v>
      </c>
      <c r="AN137" s="0" t="n">
        <v>0.804457953394124</v>
      </c>
      <c r="AO137" s="0" t="n">
        <v>0.804457953394124</v>
      </c>
      <c r="AP137" s="0" t="n">
        <v>0.804457953394124</v>
      </c>
      <c r="AQ137" s="0" t="n">
        <v>0.804457953394124</v>
      </c>
      <c r="AR137" s="0" t="n">
        <v>0.804457953394124</v>
      </c>
      <c r="AS137" s="0" t="n">
        <v>0.804457953394124</v>
      </c>
      <c r="AT137" s="0" t="n">
        <v>0.804457953394124</v>
      </c>
      <c r="AU137" s="0" t="n">
        <v>0.875</v>
      </c>
      <c r="AV137" s="0" t="n">
        <v>0.875</v>
      </c>
      <c r="AW137" s="0" t="n">
        <v>0.875</v>
      </c>
      <c r="AX137" s="0" t="n">
        <v>0.875</v>
      </c>
      <c r="AY137" s="0" t="n">
        <v>0.875</v>
      </c>
      <c r="AZ137" s="0" t="n">
        <v>0.875</v>
      </c>
      <c r="BA137" s="0" t="n">
        <v>0.875</v>
      </c>
      <c r="BB137" s="0" t="n">
        <v>0.875</v>
      </c>
      <c r="BC137" s="0" t="n">
        <v>0.875</v>
      </c>
      <c r="BD137" s="0" t="n">
        <v>0.875</v>
      </c>
      <c r="BE137" s="0" t="n">
        <v>0.875</v>
      </c>
      <c r="BF137" s="0" t="n">
        <v>0.875</v>
      </c>
      <c r="BG137" s="0" t="n">
        <v>0.823437703001169</v>
      </c>
      <c r="BH137" s="0" t="n">
        <v>0.823437703001169</v>
      </c>
      <c r="BI137" s="0" t="n">
        <v>0.823437703001169</v>
      </c>
      <c r="BJ137" s="0" t="n">
        <v>0.823437703001169</v>
      </c>
      <c r="BK137" s="0" t="n">
        <v>0.823437703001169</v>
      </c>
    </row>
    <row r="138" customFormat="false" ht="12.8" hidden="false" customHeight="false" outlineLevel="0" collapsed="false">
      <c r="A138" s="21" t="n">
        <f aca="false">A137+1/24</f>
        <v>43897.666667083</v>
      </c>
      <c r="B138" s="0" t="n">
        <v>0.819973149712009</v>
      </c>
      <c r="C138" s="0" t="n">
        <v>0.819973149712009</v>
      </c>
      <c r="D138" s="0" t="n">
        <v>0.819973149712009</v>
      </c>
      <c r="E138" s="0" t="n">
        <v>0.819973149712009</v>
      </c>
      <c r="F138" s="0" t="n">
        <v>0.819973149712009</v>
      </c>
      <c r="G138" s="0" t="n">
        <v>0.819973149712009</v>
      </c>
      <c r="H138" s="0" t="n">
        <v>0.819973149712009</v>
      </c>
      <c r="I138" s="0" t="n">
        <v>0.819973149712009</v>
      </c>
      <c r="J138" s="0" t="n">
        <v>0.819973149712009</v>
      </c>
      <c r="K138" s="0" t="n">
        <v>0.819973149712009</v>
      </c>
      <c r="L138" s="0" t="n">
        <v>0.819973149712009</v>
      </c>
      <c r="M138" s="0" t="n">
        <v>0.819973149712009</v>
      </c>
      <c r="N138" s="0" t="n">
        <v>0.819973149712009</v>
      </c>
      <c r="O138" s="0" t="n">
        <v>0.819973149712009</v>
      </c>
      <c r="P138" s="0" t="n">
        <v>0.819973149712009</v>
      </c>
      <c r="Q138" s="0" t="n">
        <v>0.819973149712009</v>
      </c>
      <c r="R138" s="0" t="n">
        <v>0.819973149712009</v>
      </c>
      <c r="S138" s="0" t="n">
        <v>0.819973149712009</v>
      </c>
      <c r="T138" s="0" t="n">
        <v>0.819973149712009</v>
      </c>
      <c r="U138" s="0" t="n">
        <v>0.819973149712009</v>
      </c>
      <c r="V138" s="0" t="n">
        <v>0.827760891590679</v>
      </c>
      <c r="W138" s="0" t="n">
        <v>0.827760891590679</v>
      </c>
      <c r="X138" s="0" t="n">
        <v>0.827760891590679</v>
      </c>
      <c r="Y138" s="0" t="n">
        <v>0.827760891590679</v>
      </c>
      <c r="Z138" s="0" t="n">
        <v>0.827760891590679</v>
      </c>
      <c r="AA138" s="0" t="n">
        <v>0.827760891590679</v>
      </c>
      <c r="AB138" s="0" t="n">
        <v>0.827760891590679</v>
      </c>
      <c r="AC138" s="0" t="n">
        <v>0.827760891590679</v>
      </c>
      <c r="AD138" s="0" t="n">
        <v>0.827760891590679</v>
      </c>
      <c r="AE138" s="0" t="n">
        <v>0.827760891590679</v>
      </c>
      <c r="AF138" s="0" t="n">
        <v>0.827760891590679</v>
      </c>
      <c r="AG138" s="0" t="n">
        <v>0.827760891590679</v>
      </c>
      <c r="AH138" s="0" t="n">
        <v>0.827760891590679</v>
      </c>
      <c r="AI138" s="0" t="n">
        <v>0.827760891590679</v>
      </c>
      <c r="AJ138" s="0" t="n">
        <v>0.827760891590679</v>
      </c>
      <c r="AK138" s="0" t="n">
        <v>0.827760891590679</v>
      </c>
      <c r="AL138" s="0" t="n">
        <v>0.827760891590679</v>
      </c>
      <c r="AM138" s="0" t="n">
        <v>0.827760891590679</v>
      </c>
      <c r="AN138" s="0" t="n">
        <v>0.827760891590679</v>
      </c>
      <c r="AO138" s="0" t="n">
        <v>0.827760891590679</v>
      </c>
      <c r="AP138" s="0" t="n">
        <v>0.827760891590679</v>
      </c>
      <c r="AQ138" s="0" t="n">
        <v>0.827760891590679</v>
      </c>
      <c r="AR138" s="0" t="n">
        <v>0.827760891590679</v>
      </c>
      <c r="AS138" s="0" t="n">
        <v>0.827760891590679</v>
      </c>
      <c r="AT138" s="0" t="n">
        <v>0.827760891590679</v>
      </c>
      <c r="AU138" s="0" t="n">
        <v>1.375</v>
      </c>
      <c r="AV138" s="0" t="n">
        <v>1.375</v>
      </c>
      <c r="AW138" s="0" t="n">
        <v>1.375</v>
      </c>
      <c r="AX138" s="0" t="n">
        <v>1.375</v>
      </c>
      <c r="AY138" s="0" t="n">
        <v>1.375</v>
      </c>
      <c r="AZ138" s="0" t="n">
        <v>1.375</v>
      </c>
      <c r="BA138" s="0" t="n">
        <v>1.375</v>
      </c>
      <c r="BB138" s="0" t="n">
        <v>1.375</v>
      </c>
      <c r="BC138" s="0" t="n">
        <v>1.375</v>
      </c>
      <c r="BD138" s="0" t="n">
        <v>1.375</v>
      </c>
      <c r="BE138" s="0" t="n">
        <v>1.375</v>
      </c>
      <c r="BF138" s="0" t="n">
        <v>1.375</v>
      </c>
      <c r="BG138" s="0" t="n">
        <v>0.819973149712009</v>
      </c>
      <c r="BH138" s="0" t="n">
        <v>0.819973149712009</v>
      </c>
      <c r="BI138" s="0" t="n">
        <v>0.819973149712009</v>
      </c>
      <c r="BJ138" s="0" t="n">
        <v>0.819973149712009</v>
      </c>
      <c r="BK138" s="0" t="n">
        <v>0.819973149712009</v>
      </c>
    </row>
    <row r="139" customFormat="false" ht="12.8" hidden="false" customHeight="false" outlineLevel="0" collapsed="false">
      <c r="A139" s="21" t="n">
        <f aca="false">A138+1/24</f>
        <v>43897.7083337496</v>
      </c>
      <c r="B139" s="0" t="n">
        <v>0.858213156641116</v>
      </c>
      <c r="C139" s="0" t="n">
        <v>0.858213156641116</v>
      </c>
      <c r="D139" s="0" t="n">
        <v>0.858213156641116</v>
      </c>
      <c r="E139" s="0" t="n">
        <v>0.858213156641116</v>
      </c>
      <c r="F139" s="0" t="n">
        <v>0.858213156641116</v>
      </c>
      <c r="G139" s="0" t="n">
        <v>0.858213156641116</v>
      </c>
      <c r="H139" s="0" t="n">
        <v>0.858213156641116</v>
      </c>
      <c r="I139" s="0" t="n">
        <v>0.858213156641116</v>
      </c>
      <c r="J139" s="0" t="n">
        <v>0.858213156641116</v>
      </c>
      <c r="K139" s="0" t="n">
        <v>0.858213156641116</v>
      </c>
      <c r="L139" s="0" t="n">
        <v>0.858213156641116</v>
      </c>
      <c r="M139" s="0" t="n">
        <v>0.858213156641116</v>
      </c>
      <c r="N139" s="0" t="n">
        <v>0.858213156641116</v>
      </c>
      <c r="O139" s="0" t="n">
        <v>0.858213156641116</v>
      </c>
      <c r="P139" s="0" t="n">
        <v>0.858213156641116</v>
      </c>
      <c r="Q139" s="0" t="n">
        <v>0.858213156641116</v>
      </c>
      <c r="R139" s="0" t="n">
        <v>0.858213156641116</v>
      </c>
      <c r="S139" s="0" t="n">
        <v>0.858213156641116</v>
      </c>
      <c r="T139" s="0" t="n">
        <v>0.858213156641116</v>
      </c>
      <c r="U139" s="0" t="n">
        <v>0.858213156641116</v>
      </c>
      <c r="V139" s="0" t="n">
        <v>0.752786220871327</v>
      </c>
      <c r="W139" s="0" t="n">
        <v>0.752786220871327</v>
      </c>
      <c r="X139" s="0" t="n">
        <v>0.752786220871327</v>
      </c>
      <c r="Y139" s="0" t="n">
        <v>0.752786220871327</v>
      </c>
      <c r="Z139" s="0" t="n">
        <v>0.752786220871327</v>
      </c>
      <c r="AA139" s="0" t="n">
        <v>0.752786220871327</v>
      </c>
      <c r="AB139" s="0" t="n">
        <v>0.752786220871327</v>
      </c>
      <c r="AC139" s="0" t="n">
        <v>0.752786220871327</v>
      </c>
      <c r="AD139" s="0" t="n">
        <v>0.752786220871327</v>
      </c>
      <c r="AE139" s="0" t="n">
        <v>0.752786220871327</v>
      </c>
      <c r="AF139" s="0" t="n">
        <v>0.752786220871327</v>
      </c>
      <c r="AG139" s="0" t="n">
        <v>0.752786220871327</v>
      </c>
      <c r="AH139" s="0" t="n">
        <v>0.752786220871327</v>
      </c>
      <c r="AI139" s="0" t="n">
        <v>0.752786220871327</v>
      </c>
      <c r="AJ139" s="0" t="n">
        <v>0.752786220871327</v>
      </c>
      <c r="AK139" s="0" t="n">
        <v>0.752786220871327</v>
      </c>
      <c r="AL139" s="0" t="n">
        <v>0.752786220871327</v>
      </c>
      <c r="AM139" s="0" t="n">
        <v>0.752786220871327</v>
      </c>
      <c r="AN139" s="0" t="n">
        <v>0.752786220871327</v>
      </c>
      <c r="AO139" s="0" t="n">
        <v>0.752786220871327</v>
      </c>
      <c r="AP139" s="0" t="n">
        <v>0.752786220871327</v>
      </c>
      <c r="AQ139" s="0" t="n">
        <v>0.752786220871327</v>
      </c>
      <c r="AR139" s="0" t="n">
        <v>0.752786220871327</v>
      </c>
      <c r="AS139" s="0" t="n">
        <v>0.752786220871327</v>
      </c>
      <c r="AT139" s="0" t="n">
        <v>0.752786220871327</v>
      </c>
      <c r="AU139" s="0" t="n">
        <v>1.625</v>
      </c>
      <c r="AV139" s="0" t="n">
        <v>1.625</v>
      </c>
      <c r="AW139" s="0" t="n">
        <v>1.625</v>
      </c>
      <c r="AX139" s="0" t="n">
        <v>1.625</v>
      </c>
      <c r="AY139" s="0" t="n">
        <v>1.625</v>
      </c>
      <c r="AZ139" s="0" t="n">
        <v>1.625</v>
      </c>
      <c r="BA139" s="0" t="n">
        <v>1.625</v>
      </c>
      <c r="BB139" s="0" t="n">
        <v>1.625</v>
      </c>
      <c r="BC139" s="0" t="n">
        <v>1.625</v>
      </c>
      <c r="BD139" s="0" t="n">
        <v>1.625</v>
      </c>
      <c r="BE139" s="0" t="n">
        <v>1.625</v>
      </c>
      <c r="BF139" s="0" t="n">
        <v>1.625</v>
      </c>
      <c r="BG139" s="0" t="n">
        <v>0.858213156641116</v>
      </c>
      <c r="BH139" s="0" t="n">
        <v>0.858213156641116</v>
      </c>
      <c r="BI139" s="0" t="n">
        <v>0.858213156641116</v>
      </c>
      <c r="BJ139" s="0" t="n">
        <v>0.858213156641116</v>
      </c>
      <c r="BK139" s="0" t="n">
        <v>0.858213156641116</v>
      </c>
    </row>
    <row r="140" customFormat="false" ht="12.8" hidden="false" customHeight="false" outlineLevel="0" collapsed="false">
      <c r="A140" s="21" t="n">
        <f aca="false">A139+1/24</f>
        <v>43897.7500004163</v>
      </c>
      <c r="B140" s="0" t="n">
        <v>0.818933783725261</v>
      </c>
      <c r="C140" s="0" t="n">
        <v>0.818933783725261</v>
      </c>
      <c r="D140" s="0" t="n">
        <v>0.818933783725261</v>
      </c>
      <c r="E140" s="0" t="n">
        <v>0.818933783725261</v>
      </c>
      <c r="F140" s="0" t="n">
        <v>0.818933783725261</v>
      </c>
      <c r="G140" s="0" t="n">
        <v>0.818933783725261</v>
      </c>
      <c r="H140" s="0" t="n">
        <v>0.818933783725261</v>
      </c>
      <c r="I140" s="0" t="n">
        <v>0.818933783725261</v>
      </c>
      <c r="J140" s="0" t="n">
        <v>0.818933783725261</v>
      </c>
      <c r="K140" s="0" t="n">
        <v>0.818933783725261</v>
      </c>
      <c r="L140" s="0" t="n">
        <v>0.818933783725261</v>
      </c>
      <c r="M140" s="0" t="n">
        <v>0.818933783725261</v>
      </c>
      <c r="N140" s="0" t="n">
        <v>0.818933783725261</v>
      </c>
      <c r="O140" s="0" t="n">
        <v>0.818933783725261</v>
      </c>
      <c r="P140" s="0" t="n">
        <v>0.818933783725261</v>
      </c>
      <c r="Q140" s="0" t="n">
        <v>0.818933783725261</v>
      </c>
      <c r="R140" s="0" t="n">
        <v>0.818933783725261</v>
      </c>
      <c r="S140" s="0" t="n">
        <v>0.818933783725261</v>
      </c>
      <c r="T140" s="0" t="n">
        <v>0.818933783725261</v>
      </c>
      <c r="U140" s="0" t="n">
        <v>0.818933783725261</v>
      </c>
      <c r="V140" s="0" t="n">
        <v>0.655521783181358</v>
      </c>
      <c r="W140" s="0" t="n">
        <v>0.655521783181358</v>
      </c>
      <c r="X140" s="0" t="n">
        <v>0.655521783181358</v>
      </c>
      <c r="Y140" s="0" t="n">
        <v>0.655521783181358</v>
      </c>
      <c r="Z140" s="0" t="n">
        <v>0.655521783181358</v>
      </c>
      <c r="AA140" s="0" t="n">
        <v>0.655521783181358</v>
      </c>
      <c r="AB140" s="0" t="n">
        <v>0.655521783181358</v>
      </c>
      <c r="AC140" s="0" t="n">
        <v>0.655521783181358</v>
      </c>
      <c r="AD140" s="0" t="n">
        <v>0.655521783181358</v>
      </c>
      <c r="AE140" s="0" t="n">
        <v>0.655521783181358</v>
      </c>
      <c r="AF140" s="0" t="n">
        <v>0.655521783181358</v>
      </c>
      <c r="AG140" s="0" t="n">
        <v>0.655521783181358</v>
      </c>
      <c r="AH140" s="0" t="n">
        <v>0.655521783181358</v>
      </c>
      <c r="AI140" s="0" t="n">
        <v>0.655521783181358</v>
      </c>
      <c r="AJ140" s="0" t="n">
        <v>0.655521783181358</v>
      </c>
      <c r="AK140" s="0" t="n">
        <v>0.655521783181358</v>
      </c>
      <c r="AL140" s="0" t="n">
        <v>0.655521783181358</v>
      </c>
      <c r="AM140" s="0" t="n">
        <v>0.655521783181358</v>
      </c>
      <c r="AN140" s="0" t="n">
        <v>0.655521783181358</v>
      </c>
      <c r="AO140" s="0" t="n">
        <v>0.655521783181358</v>
      </c>
      <c r="AP140" s="0" t="n">
        <v>0.655521783181358</v>
      </c>
      <c r="AQ140" s="0" t="n">
        <v>0.655521783181358</v>
      </c>
      <c r="AR140" s="0" t="n">
        <v>0.655521783181358</v>
      </c>
      <c r="AS140" s="0" t="n">
        <v>0.655521783181358</v>
      </c>
      <c r="AT140" s="0" t="n">
        <v>0.655521783181358</v>
      </c>
      <c r="AU140" s="0" t="n">
        <v>1.25</v>
      </c>
      <c r="AV140" s="0" t="n">
        <v>1.25</v>
      </c>
      <c r="AW140" s="0" t="n">
        <v>1.25</v>
      </c>
      <c r="AX140" s="0" t="n">
        <v>1.25</v>
      </c>
      <c r="AY140" s="0" t="n">
        <v>1.25</v>
      </c>
      <c r="AZ140" s="0" t="n">
        <v>1.25</v>
      </c>
      <c r="BA140" s="0" t="n">
        <v>1.25</v>
      </c>
      <c r="BB140" s="0" t="n">
        <v>1.25</v>
      </c>
      <c r="BC140" s="0" t="n">
        <v>1.25</v>
      </c>
      <c r="BD140" s="0" t="n">
        <v>1.25</v>
      </c>
      <c r="BE140" s="0" t="n">
        <v>1.25</v>
      </c>
      <c r="BF140" s="0" t="n">
        <v>1.25</v>
      </c>
      <c r="BG140" s="0" t="n">
        <v>0.818933783725261</v>
      </c>
      <c r="BH140" s="0" t="n">
        <v>0.818933783725261</v>
      </c>
      <c r="BI140" s="0" t="n">
        <v>0.818933783725261</v>
      </c>
      <c r="BJ140" s="0" t="n">
        <v>0.818933783725261</v>
      </c>
      <c r="BK140" s="0" t="n">
        <v>0.818933783725261</v>
      </c>
    </row>
    <row r="141" customFormat="false" ht="12.8" hidden="false" customHeight="false" outlineLevel="0" collapsed="false">
      <c r="A141" s="21" t="n">
        <f aca="false">A140+1/24</f>
        <v>43897.7916670829</v>
      </c>
      <c r="B141" s="0" t="n">
        <v>0.7414144038803</v>
      </c>
      <c r="C141" s="0" t="n">
        <v>0.7414144038803</v>
      </c>
      <c r="D141" s="0" t="n">
        <v>0.7414144038803</v>
      </c>
      <c r="E141" s="0" t="n">
        <v>0.7414144038803</v>
      </c>
      <c r="F141" s="0" t="n">
        <v>0.7414144038803</v>
      </c>
      <c r="G141" s="0" t="n">
        <v>0.7414144038803</v>
      </c>
      <c r="H141" s="0" t="n">
        <v>0.7414144038803</v>
      </c>
      <c r="I141" s="0" t="n">
        <v>0.7414144038803</v>
      </c>
      <c r="J141" s="0" t="n">
        <v>0.7414144038803</v>
      </c>
      <c r="K141" s="0" t="n">
        <v>0.7414144038803</v>
      </c>
      <c r="L141" s="0" t="n">
        <v>0.7414144038803</v>
      </c>
      <c r="M141" s="0" t="n">
        <v>0.7414144038803</v>
      </c>
      <c r="N141" s="0" t="n">
        <v>0.7414144038803</v>
      </c>
      <c r="O141" s="0" t="n">
        <v>0.7414144038803</v>
      </c>
      <c r="P141" s="0" t="n">
        <v>0.7414144038803</v>
      </c>
      <c r="Q141" s="0" t="n">
        <v>0.7414144038803</v>
      </c>
      <c r="R141" s="0" t="n">
        <v>0.7414144038803</v>
      </c>
      <c r="S141" s="0" t="n">
        <v>0.7414144038803</v>
      </c>
      <c r="T141" s="0" t="n">
        <v>0.7414144038803</v>
      </c>
      <c r="U141" s="0" t="n">
        <v>0.7414144038803</v>
      </c>
      <c r="V141" s="0" t="n">
        <v>0.565349544072948</v>
      </c>
      <c r="W141" s="0" t="n">
        <v>0.565349544072948</v>
      </c>
      <c r="X141" s="0" t="n">
        <v>0.565349544072948</v>
      </c>
      <c r="Y141" s="0" t="n">
        <v>0.565349544072948</v>
      </c>
      <c r="Z141" s="0" t="n">
        <v>0.565349544072948</v>
      </c>
      <c r="AA141" s="0" t="n">
        <v>0.565349544072948</v>
      </c>
      <c r="AB141" s="0" t="n">
        <v>0.565349544072948</v>
      </c>
      <c r="AC141" s="0" t="n">
        <v>0.565349544072948</v>
      </c>
      <c r="AD141" s="0" t="n">
        <v>0.565349544072948</v>
      </c>
      <c r="AE141" s="0" t="n">
        <v>0.565349544072948</v>
      </c>
      <c r="AF141" s="0" t="n">
        <v>0.565349544072948</v>
      </c>
      <c r="AG141" s="0" t="n">
        <v>0.565349544072948</v>
      </c>
      <c r="AH141" s="0" t="n">
        <v>0.565349544072948</v>
      </c>
      <c r="AI141" s="0" t="n">
        <v>0.565349544072948</v>
      </c>
      <c r="AJ141" s="0" t="n">
        <v>0.565349544072948</v>
      </c>
      <c r="AK141" s="0" t="n">
        <v>0.565349544072948</v>
      </c>
      <c r="AL141" s="0" t="n">
        <v>0.565349544072948</v>
      </c>
      <c r="AM141" s="0" t="n">
        <v>0.565349544072948</v>
      </c>
      <c r="AN141" s="0" t="n">
        <v>0.565349544072948</v>
      </c>
      <c r="AO141" s="0" t="n">
        <v>0.565349544072948</v>
      </c>
      <c r="AP141" s="0" t="n">
        <v>0.565349544072948</v>
      </c>
      <c r="AQ141" s="0" t="n">
        <v>0.565349544072948</v>
      </c>
      <c r="AR141" s="0" t="n">
        <v>0.565349544072948</v>
      </c>
      <c r="AS141" s="0" t="n">
        <v>0.565349544072948</v>
      </c>
      <c r="AT141" s="0" t="n">
        <v>0.565349544072948</v>
      </c>
      <c r="AU141" s="0" t="n">
        <v>1</v>
      </c>
      <c r="AV141" s="0" t="n">
        <v>1</v>
      </c>
      <c r="AW141" s="0" t="n">
        <v>1</v>
      </c>
      <c r="AX141" s="0" t="n">
        <v>1</v>
      </c>
      <c r="AY141" s="0" t="n">
        <v>1</v>
      </c>
      <c r="AZ141" s="0" t="n">
        <v>1</v>
      </c>
      <c r="BA141" s="0" t="n">
        <v>1</v>
      </c>
      <c r="BB141" s="0" t="n">
        <v>1</v>
      </c>
      <c r="BC141" s="0" t="n">
        <v>1</v>
      </c>
      <c r="BD141" s="0" t="n">
        <v>1</v>
      </c>
      <c r="BE141" s="0" t="n">
        <v>1</v>
      </c>
      <c r="BF141" s="0" t="n">
        <v>1</v>
      </c>
      <c r="BG141" s="0" t="n">
        <v>0.7414144038803</v>
      </c>
      <c r="BH141" s="0" t="n">
        <v>0.7414144038803</v>
      </c>
      <c r="BI141" s="0" t="n">
        <v>0.7414144038803</v>
      </c>
      <c r="BJ141" s="0" t="n">
        <v>0.7414144038803</v>
      </c>
      <c r="BK141" s="0" t="n">
        <v>0.7414144038803</v>
      </c>
    </row>
    <row r="142" customFormat="false" ht="12.8" hidden="false" customHeight="false" outlineLevel="0" collapsed="false">
      <c r="A142" s="21" t="n">
        <f aca="false">A141+1/24</f>
        <v>43897.8333337496</v>
      </c>
      <c r="B142" s="0" t="n">
        <v>0.673985535490018</v>
      </c>
      <c r="C142" s="0" t="n">
        <v>0.673985535490018</v>
      </c>
      <c r="D142" s="0" t="n">
        <v>0.673985535490018</v>
      </c>
      <c r="E142" s="0" t="n">
        <v>0.673985535490018</v>
      </c>
      <c r="F142" s="0" t="n">
        <v>0.673985535490018</v>
      </c>
      <c r="G142" s="0" t="n">
        <v>0.673985535490018</v>
      </c>
      <c r="H142" s="0" t="n">
        <v>0.673985535490018</v>
      </c>
      <c r="I142" s="0" t="n">
        <v>0.673985535490018</v>
      </c>
      <c r="J142" s="0" t="n">
        <v>0.673985535490018</v>
      </c>
      <c r="K142" s="0" t="n">
        <v>0.673985535490018</v>
      </c>
      <c r="L142" s="0" t="n">
        <v>0.673985535490018</v>
      </c>
      <c r="M142" s="0" t="n">
        <v>0.673985535490018</v>
      </c>
      <c r="N142" s="0" t="n">
        <v>0.673985535490018</v>
      </c>
      <c r="O142" s="0" t="n">
        <v>0.673985535490018</v>
      </c>
      <c r="P142" s="0" t="n">
        <v>0.673985535490018</v>
      </c>
      <c r="Q142" s="0" t="n">
        <v>0.673985535490018</v>
      </c>
      <c r="R142" s="0" t="n">
        <v>0.673985535490018</v>
      </c>
      <c r="S142" s="0" t="n">
        <v>0.673985535490018</v>
      </c>
      <c r="T142" s="0" t="n">
        <v>0.673985535490018</v>
      </c>
      <c r="U142" s="0" t="n">
        <v>0.673985535490018</v>
      </c>
      <c r="V142" s="0" t="n">
        <v>0.509625126646403</v>
      </c>
      <c r="W142" s="0" t="n">
        <v>0.509625126646403</v>
      </c>
      <c r="X142" s="0" t="n">
        <v>0.509625126646403</v>
      </c>
      <c r="Y142" s="0" t="n">
        <v>0.509625126646403</v>
      </c>
      <c r="Z142" s="0" t="n">
        <v>0.509625126646403</v>
      </c>
      <c r="AA142" s="0" t="n">
        <v>0.509625126646403</v>
      </c>
      <c r="AB142" s="0" t="n">
        <v>0.509625126646403</v>
      </c>
      <c r="AC142" s="0" t="n">
        <v>0.509625126646403</v>
      </c>
      <c r="AD142" s="0" t="n">
        <v>0.509625126646403</v>
      </c>
      <c r="AE142" s="0" t="n">
        <v>0.509625126646403</v>
      </c>
      <c r="AF142" s="0" t="n">
        <v>0.509625126646403</v>
      </c>
      <c r="AG142" s="0" t="n">
        <v>0.509625126646403</v>
      </c>
      <c r="AH142" s="0" t="n">
        <v>0.509625126646403</v>
      </c>
      <c r="AI142" s="0" t="n">
        <v>0.509625126646403</v>
      </c>
      <c r="AJ142" s="0" t="n">
        <v>0.509625126646403</v>
      </c>
      <c r="AK142" s="0" t="n">
        <v>0.509625126646403</v>
      </c>
      <c r="AL142" s="0" t="n">
        <v>0.509625126646403</v>
      </c>
      <c r="AM142" s="0" t="n">
        <v>0.509625126646403</v>
      </c>
      <c r="AN142" s="0" t="n">
        <v>0.509625126646403</v>
      </c>
      <c r="AO142" s="0" t="n">
        <v>0.509625126646403</v>
      </c>
      <c r="AP142" s="0" t="n">
        <v>0.509625126646403</v>
      </c>
      <c r="AQ142" s="0" t="n">
        <v>0.509625126646403</v>
      </c>
      <c r="AR142" s="0" t="n">
        <v>0.509625126646403</v>
      </c>
      <c r="AS142" s="0" t="n">
        <v>0.509625126646403</v>
      </c>
      <c r="AT142" s="0" t="n">
        <v>0.509625126646403</v>
      </c>
      <c r="AU142" s="0" t="n">
        <v>0.75</v>
      </c>
      <c r="AV142" s="0" t="n">
        <v>0.75</v>
      </c>
      <c r="AW142" s="0" t="n">
        <v>0.75</v>
      </c>
      <c r="AX142" s="0" t="n">
        <v>0.75</v>
      </c>
      <c r="AY142" s="0" t="n">
        <v>0.75</v>
      </c>
      <c r="AZ142" s="0" t="n">
        <v>0.75</v>
      </c>
      <c r="BA142" s="0" t="n">
        <v>0.75</v>
      </c>
      <c r="BB142" s="0" t="n">
        <v>0.75</v>
      </c>
      <c r="BC142" s="0" t="n">
        <v>0.75</v>
      </c>
      <c r="BD142" s="0" t="n">
        <v>0.75</v>
      </c>
      <c r="BE142" s="0" t="n">
        <v>0.75</v>
      </c>
      <c r="BF142" s="0" t="n">
        <v>0.75</v>
      </c>
      <c r="BG142" s="0" t="n">
        <v>0.673985535490018</v>
      </c>
      <c r="BH142" s="0" t="n">
        <v>0.673985535490018</v>
      </c>
      <c r="BI142" s="0" t="n">
        <v>0.673985535490018</v>
      </c>
      <c r="BJ142" s="0" t="n">
        <v>0.673985535490018</v>
      </c>
      <c r="BK142" s="0" t="n">
        <v>0.673985535490018</v>
      </c>
    </row>
    <row r="143" customFormat="false" ht="12.8" hidden="false" customHeight="false" outlineLevel="0" collapsed="false">
      <c r="A143" s="21" t="n">
        <f aca="false">A142+1/24</f>
        <v>43897.8750004163</v>
      </c>
      <c r="B143" s="0" t="n">
        <v>0.524923130223897</v>
      </c>
      <c r="C143" s="0" t="n">
        <v>0.524923130223897</v>
      </c>
      <c r="D143" s="0" t="n">
        <v>0.524923130223897</v>
      </c>
      <c r="E143" s="0" t="n">
        <v>0.524923130223897</v>
      </c>
      <c r="F143" s="0" t="n">
        <v>0.524923130223897</v>
      </c>
      <c r="G143" s="0" t="n">
        <v>0.524923130223897</v>
      </c>
      <c r="H143" s="0" t="n">
        <v>0.524923130223897</v>
      </c>
      <c r="I143" s="0" t="n">
        <v>0.524923130223897</v>
      </c>
      <c r="J143" s="0" t="n">
        <v>0.524923130223897</v>
      </c>
      <c r="K143" s="0" t="n">
        <v>0.524923130223897</v>
      </c>
      <c r="L143" s="0" t="n">
        <v>0.524923130223897</v>
      </c>
      <c r="M143" s="0" t="n">
        <v>0.524923130223897</v>
      </c>
      <c r="N143" s="0" t="n">
        <v>0.524923130223897</v>
      </c>
      <c r="O143" s="0" t="n">
        <v>0.524923130223897</v>
      </c>
      <c r="P143" s="0" t="n">
        <v>0.524923130223897</v>
      </c>
      <c r="Q143" s="0" t="n">
        <v>0.524923130223897</v>
      </c>
      <c r="R143" s="0" t="n">
        <v>0.524923130223897</v>
      </c>
      <c r="S143" s="0" t="n">
        <v>0.524923130223897</v>
      </c>
      <c r="T143" s="0" t="n">
        <v>0.524923130223897</v>
      </c>
      <c r="U143" s="0" t="n">
        <v>0.524923130223897</v>
      </c>
      <c r="V143" s="0" t="n">
        <v>0.370820668693009</v>
      </c>
      <c r="W143" s="0" t="n">
        <v>0.370820668693009</v>
      </c>
      <c r="X143" s="0" t="n">
        <v>0.370820668693009</v>
      </c>
      <c r="Y143" s="0" t="n">
        <v>0.370820668693009</v>
      </c>
      <c r="Z143" s="0" t="n">
        <v>0.370820668693009</v>
      </c>
      <c r="AA143" s="0" t="n">
        <v>0.370820668693009</v>
      </c>
      <c r="AB143" s="0" t="n">
        <v>0.370820668693009</v>
      </c>
      <c r="AC143" s="0" t="n">
        <v>0.370820668693009</v>
      </c>
      <c r="AD143" s="0" t="n">
        <v>0.370820668693009</v>
      </c>
      <c r="AE143" s="0" t="n">
        <v>0.370820668693009</v>
      </c>
      <c r="AF143" s="0" t="n">
        <v>0.370820668693009</v>
      </c>
      <c r="AG143" s="0" t="n">
        <v>0.370820668693009</v>
      </c>
      <c r="AH143" s="0" t="n">
        <v>0.370820668693009</v>
      </c>
      <c r="AI143" s="0" t="n">
        <v>0.370820668693009</v>
      </c>
      <c r="AJ143" s="0" t="n">
        <v>0.370820668693009</v>
      </c>
      <c r="AK143" s="0" t="n">
        <v>0.370820668693009</v>
      </c>
      <c r="AL143" s="0" t="n">
        <v>0.370820668693009</v>
      </c>
      <c r="AM143" s="0" t="n">
        <v>0.370820668693009</v>
      </c>
      <c r="AN143" s="0" t="n">
        <v>0.370820668693009</v>
      </c>
      <c r="AO143" s="0" t="n">
        <v>0.370820668693009</v>
      </c>
      <c r="AP143" s="0" t="n">
        <v>0.370820668693009</v>
      </c>
      <c r="AQ143" s="0" t="n">
        <v>0.370820668693009</v>
      </c>
      <c r="AR143" s="0" t="n">
        <v>0.370820668693009</v>
      </c>
      <c r="AS143" s="0" t="n">
        <v>0.370820668693009</v>
      </c>
      <c r="AT143" s="0" t="n">
        <v>0.370820668693009</v>
      </c>
      <c r="AU143" s="0" t="n">
        <v>0.875</v>
      </c>
      <c r="AV143" s="0" t="n">
        <v>0.875</v>
      </c>
      <c r="AW143" s="0" t="n">
        <v>0.875</v>
      </c>
      <c r="AX143" s="0" t="n">
        <v>0.875</v>
      </c>
      <c r="AY143" s="0" t="n">
        <v>0.875</v>
      </c>
      <c r="AZ143" s="0" t="n">
        <v>0.875</v>
      </c>
      <c r="BA143" s="0" t="n">
        <v>0.875</v>
      </c>
      <c r="BB143" s="0" t="n">
        <v>0.875</v>
      </c>
      <c r="BC143" s="0" t="n">
        <v>0.875</v>
      </c>
      <c r="BD143" s="0" t="n">
        <v>0.875</v>
      </c>
      <c r="BE143" s="0" t="n">
        <v>0.875</v>
      </c>
      <c r="BF143" s="0" t="n">
        <v>0.875</v>
      </c>
      <c r="BG143" s="0" t="n">
        <v>0.524923130223897</v>
      </c>
      <c r="BH143" s="0" t="n">
        <v>0.524923130223897</v>
      </c>
      <c r="BI143" s="0" t="n">
        <v>0.524923130223897</v>
      </c>
      <c r="BJ143" s="0" t="n">
        <v>0.524923130223897</v>
      </c>
      <c r="BK143" s="0" t="n">
        <v>0.524923130223897</v>
      </c>
    </row>
    <row r="144" customFormat="false" ht="12.8" hidden="false" customHeight="false" outlineLevel="0" collapsed="false">
      <c r="A144" s="21" t="n">
        <f aca="false">A143+1/24</f>
        <v>43897.9166670829</v>
      </c>
      <c r="B144" s="0" t="n">
        <v>0.462041488025638</v>
      </c>
      <c r="C144" s="0" t="n">
        <v>0.462041488025638</v>
      </c>
      <c r="D144" s="0" t="n">
        <v>0.462041488025638</v>
      </c>
      <c r="E144" s="0" t="n">
        <v>0.462041488025638</v>
      </c>
      <c r="F144" s="0" t="n">
        <v>0.462041488025638</v>
      </c>
      <c r="G144" s="0" t="n">
        <v>0.462041488025638</v>
      </c>
      <c r="H144" s="0" t="n">
        <v>0.462041488025638</v>
      </c>
      <c r="I144" s="0" t="n">
        <v>0.462041488025638</v>
      </c>
      <c r="J144" s="0" t="n">
        <v>0.462041488025638</v>
      </c>
      <c r="K144" s="0" t="n">
        <v>0.462041488025638</v>
      </c>
      <c r="L144" s="0" t="n">
        <v>0.462041488025638</v>
      </c>
      <c r="M144" s="0" t="n">
        <v>0.462041488025638</v>
      </c>
      <c r="N144" s="0" t="n">
        <v>0.462041488025638</v>
      </c>
      <c r="O144" s="0" t="n">
        <v>0.462041488025638</v>
      </c>
      <c r="P144" s="0" t="n">
        <v>0.462041488025638</v>
      </c>
      <c r="Q144" s="0" t="n">
        <v>0.462041488025638</v>
      </c>
      <c r="R144" s="0" t="n">
        <v>0.462041488025638</v>
      </c>
      <c r="S144" s="0" t="n">
        <v>0.462041488025638</v>
      </c>
      <c r="T144" s="0" t="n">
        <v>0.462041488025638</v>
      </c>
      <c r="U144" s="0" t="n">
        <v>0.462041488025638</v>
      </c>
      <c r="V144" s="0" t="n">
        <v>0.278622087132725</v>
      </c>
      <c r="W144" s="0" t="n">
        <v>0.278622087132725</v>
      </c>
      <c r="X144" s="0" t="n">
        <v>0.278622087132725</v>
      </c>
      <c r="Y144" s="0" t="n">
        <v>0.278622087132725</v>
      </c>
      <c r="Z144" s="0" t="n">
        <v>0.278622087132725</v>
      </c>
      <c r="AA144" s="0" t="n">
        <v>0.278622087132725</v>
      </c>
      <c r="AB144" s="0" t="n">
        <v>0.278622087132725</v>
      </c>
      <c r="AC144" s="0" t="n">
        <v>0.278622087132725</v>
      </c>
      <c r="AD144" s="0" t="n">
        <v>0.278622087132725</v>
      </c>
      <c r="AE144" s="0" t="n">
        <v>0.278622087132725</v>
      </c>
      <c r="AF144" s="0" t="n">
        <v>0.278622087132725</v>
      </c>
      <c r="AG144" s="0" t="n">
        <v>0.278622087132725</v>
      </c>
      <c r="AH144" s="0" t="n">
        <v>0.278622087132725</v>
      </c>
      <c r="AI144" s="0" t="n">
        <v>0.278622087132725</v>
      </c>
      <c r="AJ144" s="0" t="n">
        <v>0.278622087132725</v>
      </c>
      <c r="AK144" s="0" t="n">
        <v>0.278622087132725</v>
      </c>
      <c r="AL144" s="0" t="n">
        <v>0.278622087132725</v>
      </c>
      <c r="AM144" s="0" t="n">
        <v>0.278622087132725</v>
      </c>
      <c r="AN144" s="0" t="n">
        <v>0.278622087132725</v>
      </c>
      <c r="AO144" s="0" t="n">
        <v>0.278622087132725</v>
      </c>
      <c r="AP144" s="0" t="n">
        <v>0.278622087132725</v>
      </c>
      <c r="AQ144" s="0" t="n">
        <v>0.278622087132725</v>
      </c>
      <c r="AR144" s="0" t="n">
        <v>0.278622087132725</v>
      </c>
      <c r="AS144" s="0" t="n">
        <v>0.278622087132725</v>
      </c>
      <c r="AT144" s="0" t="n">
        <v>0.278622087132725</v>
      </c>
      <c r="AU144" s="0" t="n">
        <v>1.125</v>
      </c>
      <c r="AV144" s="0" t="n">
        <v>1.125</v>
      </c>
      <c r="AW144" s="0" t="n">
        <v>1.125</v>
      </c>
      <c r="AX144" s="0" t="n">
        <v>1.125</v>
      </c>
      <c r="AY144" s="0" t="n">
        <v>1.125</v>
      </c>
      <c r="AZ144" s="0" t="n">
        <v>1.125</v>
      </c>
      <c r="BA144" s="0" t="n">
        <v>1.125</v>
      </c>
      <c r="BB144" s="0" t="n">
        <v>1.125</v>
      </c>
      <c r="BC144" s="0" t="n">
        <v>1.125</v>
      </c>
      <c r="BD144" s="0" t="n">
        <v>1.125</v>
      </c>
      <c r="BE144" s="0" t="n">
        <v>1.125</v>
      </c>
      <c r="BF144" s="0" t="n">
        <v>1.125</v>
      </c>
      <c r="BG144" s="0" t="n">
        <v>0.462041488025638</v>
      </c>
      <c r="BH144" s="0" t="n">
        <v>0.462041488025638</v>
      </c>
      <c r="BI144" s="0" t="n">
        <v>0.462041488025638</v>
      </c>
      <c r="BJ144" s="0" t="n">
        <v>0.462041488025638</v>
      </c>
      <c r="BK144" s="0" t="n">
        <v>0.462041488025638</v>
      </c>
    </row>
    <row r="145" customFormat="false" ht="12.8" hidden="false" customHeight="false" outlineLevel="0" collapsed="false">
      <c r="A145" s="21" t="n">
        <f aca="false">A144+1/24</f>
        <v>43897.9583337496</v>
      </c>
      <c r="B145" s="0" t="n">
        <v>0.37551426962886</v>
      </c>
      <c r="C145" s="0" t="n">
        <v>0.37551426962886</v>
      </c>
      <c r="D145" s="0" t="n">
        <v>0.37551426962886</v>
      </c>
      <c r="E145" s="0" t="n">
        <v>0.37551426962886</v>
      </c>
      <c r="F145" s="0" t="n">
        <v>0.37551426962886</v>
      </c>
      <c r="G145" s="0" t="n">
        <v>0.37551426962886</v>
      </c>
      <c r="H145" s="0" t="n">
        <v>0.37551426962886</v>
      </c>
      <c r="I145" s="0" t="n">
        <v>0.37551426962886</v>
      </c>
      <c r="J145" s="0" t="n">
        <v>0.37551426962886</v>
      </c>
      <c r="K145" s="0" t="n">
        <v>0.37551426962886</v>
      </c>
      <c r="L145" s="0" t="n">
        <v>0.37551426962886</v>
      </c>
      <c r="M145" s="0" t="n">
        <v>0.37551426962886</v>
      </c>
      <c r="N145" s="0" t="n">
        <v>0.37551426962886</v>
      </c>
      <c r="O145" s="0" t="n">
        <v>0.37551426962886</v>
      </c>
      <c r="P145" s="0" t="n">
        <v>0.37551426962886</v>
      </c>
      <c r="Q145" s="0" t="n">
        <v>0.37551426962886</v>
      </c>
      <c r="R145" s="0" t="n">
        <v>0.37551426962886</v>
      </c>
      <c r="S145" s="0" t="n">
        <v>0.37551426962886</v>
      </c>
      <c r="T145" s="0" t="n">
        <v>0.37551426962886</v>
      </c>
      <c r="U145" s="0" t="n">
        <v>0.37551426962886</v>
      </c>
      <c r="V145" s="0" t="n">
        <v>0.285714285714286</v>
      </c>
      <c r="W145" s="0" t="n">
        <v>0.285714285714286</v>
      </c>
      <c r="X145" s="0" t="n">
        <v>0.285714285714286</v>
      </c>
      <c r="Y145" s="0" t="n">
        <v>0.285714285714286</v>
      </c>
      <c r="Z145" s="0" t="n">
        <v>0.285714285714286</v>
      </c>
      <c r="AA145" s="0" t="n">
        <v>0.285714285714286</v>
      </c>
      <c r="AB145" s="0" t="n">
        <v>0.285714285714286</v>
      </c>
      <c r="AC145" s="0" t="n">
        <v>0.285714285714286</v>
      </c>
      <c r="AD145" s="0" t="n">
        <v>0.285714285714286</v>
      </c>
      <c r="AE145" s="0" t="n">
        <v>0.285714285714286</v>
      </c>
      <c r="AF145" s="0" t="n">
        <v>0.285714285714286</v>
      </c>
      <c r="AG145" s="0" t="n">
        <v>0.285714285714286</v>
      </c>
      <c r="AH145" s="0" t="n">
        <v>0.285714285714286</v>
      </c>
      <c r="AI145" s="0" t="n">
        <v>0.285714285714286</v>
      </c>
      <c r="AJ145" s="0" t="n">
        <v>0.285714285714286</v>
      </c>
      <c r="AK145" s="0" t="n">
        <v>0.285714285714286</v>
      </c>
      <c r="AL145" s="0" t="n">
        <v>0.285714285714286</v>
      </c>
      <c r="AM145" s="0" t="n">
        <v>0.285714285714286</v>
      </c>
      <c r="AN145" s="0" t="n">
        <v>0.285714285714286</v>
      </c>
      <c r="AO145" s="0" t="n">
        <v>0.285714285714286</v>
      </c>
      <c r="AP145" s="0" t="n">
        <v>0.285714285714286</v>
      </c>
      <c r="AQ145" s="0" t="n">
        <v>0.285714285714286</v>
      </c>
      <c r="AR145" s="0" t="n">
        <v>0.285714285714286</v>
      </c>
      <c r="AS145" s="0" t="n">
        <v>0.285714285714286</v>
      </c>
      <c r="AT145" s="0" t="n">
        <v>0.285714285714286</v>
      </c>
      <c r="AU145" s="0" t="n">
        <v>0.375</v>
      </c>
      <c r="AV145" s="0" t="n">
        <v>0.375</v>
      </c>
      <c r="AW145" s="0" t="n">
        <v>0.375</v>
      </c>
      <c r="AX145" s="0" t="n">
        <v>0.375</v>
      </c>
      <c r="AY145" s="0" t="n">
        <v>0.375</v>
      </c>
      <c r="AZ145" s="0" t="n">
        <v>0.375</v>
      </c>
      <c r="BA145" s="0" t="n">
        <v>0.375</v>
      </c>
      <c r="BB145" s="0" t="n">
        <v>0.375</v>
      </c>
      <c r="BC145" s="0" t="n">
        <v>0.375</v>
      </c>
      <c r="BD145" s="0" t="n">
        <v>0.375</v>
      </c>
      <c r="BE145" s="0" t="n">
        <v>0.375</v>
      </c>
      <c r="BF145" s="0" t="n">
        <v>0.375</v>
      </c>
      <c r="BG145" s="0" t="n">
        <v>0.37551426962886</v>
      </c>
      <c r="BH145" s="0" t="n">
        <v>0.37551426962886</v>
      </c>
      <c r="BI145" s="0" t="n">
        <v>0.37551426962886</v>
      </c>
      <c r="BJ145" s="0" t="n">
        <v>0.37551426962886</v>
      </c>
      <c r="BK145" s="0" t="n">
        <v>0.37551426962886</v>
      </c>
    </row>
    <row r="146" customFormat="false" ht="12.8" hidden="false" customHeight="false" outlineLevel="0" collapsed="false">
      <c r="A146" s="21" t="n">
        <f aca="false">A145+1/24</f>
        <v>43898.0000004163</v>
      </c>
      <c r="B146" s="0" t="n">
        <v>0.263176129227838</v>
      </c>
      <c r="C146" s="0" t="n">
        <v>0.263176129227838</v>
      </c>
      <c r="D146" s="0" t="n">
        <v>0.263176129227838</v>
      </c>
      <c r="E146" s="0" t="n">
        <v>0.263176129227838</v>
      </c>
      <c r="F146" s="0" t="n">
        <v>0.263176129227838</v>
      </c>
      <c r="G146" s="0" t="n">
        <v>0.263176129227838</v>
      </c>
      <c r="H146" s="0" t="n">
        <v>0.263176129227838</v>
      </c>
      <c r="I146" s="0" t="n">
        <v>0.263176129227838</v>
      </c>
      <c r="J146" s="0" t="n">
        <v>0.263176129227838</v>
      </c>
      <c r="K146" s="0" t="n">
        <v>0.263176129227838</v>
      </c>
      <c r="L146" s="0" t="n">
        <v>0.263176129227838</v>
      </c>
      <c r="M146" s="0" t="n">
        <v>0.263176129227838</v>
      </c>
      <c r="N146" s="0" t="n">
        <v>0.263176129227838</v>
      </c>
      <c r="O146" s="0" t="n">
        <v>0.263176129227838</v>
      </c>
      <c r="P146" s="0" t="n">
        <v>0.263176129227838</v>
      </c>
      <c r="Q146" s="0" t="n">
        <v>0.263176129227838</v>
      </c>
      <c r="R146" s="0" t="n">
        <v>0.263176129227838</v>
      </c>
      <c r="S146" s="0" t="n">
        <v>0.263176129227838</v>
      </c>
      <c r="T146" s="0" t="n">
        <v>0.263176129227838</v>
      </c>
      <c r="U146" s="0" t="n">
        <v>0.263176129227838</v>
      </c>
      <c r="V146" s="0" t="n">
        <v>0.205673758865248</v>
      </c>
      <c r="W146" s="0" t="n">
        <v>0.205673758865248</v>
      </c>
      <c r="X146" s="0" t="n">
        <v>0.205673758865248</v>
      </c>
      <c r="Y146" s="0" t="n">
        <v>0.205673758865248</v>
      </c>
      <c r="Z146" s="0" t="n">
        <v>0.205673758865248</v>
      </c>
      <c r="AA146" s="0" t="n">
        <v>0.205673758865248</v>
      </c>
      <c r="AB146" s="0" t="n">
        <v>0.205673758865248</v>
      </c>
      <c r="AC146" s="0" t="n">
        <v>0.205673758865248</v>
      </c>
      <c r="AD146" s="0" t="n">
        <v>0.205673758865248</v>
      </c>
      <c r="AE146" s="0" t="n">
        <v>0.205673758865248</v>
      </c>
      <c r="AF146" s="0" t="n">
        <v>0.205673758865248</v>
      </c>
      <c r="AG146" s="0" t="n">
        <v>0.205673758865248</v>
      </c>
      <c r="AH146" s="0" t="n">
        <v>0.205673758865248</v>
      </c>
      <c r="AI146" s="0" t="n">
        <v>0.205673758865248</v>
      </c>
      <c r="AJ146" s="0" t="n">
        <v>0.205673758865248</v>
      </c>
      <c r="AK146" s="0" t="n">
        <v>0.205673758865248</v>
      </c>
      <c r="AL146" s="0" t="n">
        <v>0.205673758865248</v>
      </c>
      <c r="AM146" s="0" t="n">
        <v>0.205673758865248</v>
      </c>
      <c r="AN146" s="0" t="n">
        <v>0.205673758865248</v>
      </c>
      <c r="AO146" s="0" t="n">
        <v>0.205673758865248</v>
      </c>
      <c r="AP146" s="0" t="n">
        <v>0.205673758865248</v>
      </c>
      <c r="AQ146" s="0" t="n">
        <v>0.205673758865248</v>
      </c>
      <c r="AR146" s="0" t="n">
        <v>0.205673758865248</v>
      </c>
      <c r="AS146" s="0" t="n">
        <v>0.205673758865248</v>
      </c>
      <c r="AT146" s="0" t="n">
        <v>0.205673758865248</v>
      </c>
      <c r="AU146" s="0" t="n">
        <v>0.375</v>
      </c>
      <c r="AV146" s="0" t="n">
        <v>0.375</v>
      </c>
      <c r="AW146" s="0" t="n">
        <v>0.375</v>
      </c>
      <c r="AX146" s="0" t="n">
        <v>0.375</v>
      </c>
      <c r="AY146" s="0" t="n">
        <v>0.375</v>
      </c>
      <c r="AZ146" s="0" t="n">
        <v>0.375</v>
      </c>
      <c r="BA146" s="0" t="n">
        <v>0.375</v>
      </c>
      <c r="BB146" s="0" t="n">
        <v>0.375</v>
      </c>
      <c r="BC146" s="0" t="n">
        <v>0.375</v>
      </c>
      <c r="BD146" s="0" t="n">
        <v>0.375</v>
      </c>
      <c r="BE146" s="0" t="n">
        <v>0.375</v>
      </c>
      <c r="BF146" s="0" t="n">
        <v>0.375</v>
      </c>
      <c r="BG146" s="0" t="n">
        <v>0.263176129227838</v>
      </c>
      <c r="BH146" s="0" t="n">
        <v>0.263176129227838</v>
      </c>
      <c r="BI146" s="0" t="n">
        <v>0.263176129227838</v>
      </c>
      <c r="BJ146" s="0" t="n">
        <v>0.263176129227838</v>
      </c>
      <c r="BK146" s="0" t="n">
        <v>0.263176129227838</v>
      </c>
    </row>
    <row r="147" customFormat="false" ht="12.8" hidden="false" customHeight="false" outlineLevel="0" collapsed="false">
      <c r="A147" s="21" t="n">
        <f aca="false">A146+1/24</f>
        <v>43898.0416670829</v>
      </c>
      <c r="B147" s="0" t="n">
        <v>0.159239530553029</v>
      </c>
      <c r="C147" s="0" t="n">
        <v>0.159239530553029</v>
      </c>
      <c r="D147" s="0" t="n">
        <v>0.159239530553029</v>
      </c>
      <c r="E147" s="0" t="n">
        <v>0.159239530553029</v>
      </c>
      <c r="F147" s="0" t="n">
        <v>0.159239530553029</v>
      </c>
      <c r="G147" s="0" t="n">
        <v>0.159239530553029</v>
      </c>
      <c r="H147" s="0" t="n">
        <v>0.159239530553029</v>
      </c>
      <c r="I147" s="0" t="n">
        <v>0.159239530553029</v>
      </c>
      <c r="J147" s="0" t="n">
        <v>0.159239530553029</v>
      </c>
      <c r="K147" s="0" t="n">
        <v>0.159239530553029</v>
      </c>
      <c r="L147" s="0" t="n">
        <v>0.159239530553029</v>
      </c>
      <c r="M147" s="0" t="n">
        <v>0.159239530553029</v>
      </c>
      <c r="N147" s="0" t="n">
        <v>0.159239530553029</v>
      </c>
      <c r="O147" s="0" t="n">
        <v>0.159239530553029</v>
      </c>
      <c r="P147" s="0" t="n">
        <v>0.159239530553029</v>
      </c>
      <c r="Q147" s="0" t="n">
        <v>0.159239530553029</v>
      </c>
      <c r="R147" s="0" t="n">
        <v>0.159239530553029</v>
      </c>
      <c r="S147" s="0" t="n">
        <v>0.159239530553029</v>
      </c>
      <c r="T147" s="0" t="n">
        <v>0.159239530553029</v>
      </c>
      <c r="U147" s="0" t="n">
        <v>0.159239530553029</v>
      </c>
      <c r="V147" s="0" t="n">
        <v>0.164133738601824</v>
      </c>
      <c r="W147" s="0" t="n">
        <v>0.164133738601824</v>
      </c>
      <c r="X147" s="0" t="n">
        <v>0.164133738601824</v>
      </c>
      <c r="Y147" s="0" t="n">
        <v>0.164133738601824</v>
      </c>
      <c r="Z147" s="0" t="n">
        <v>0.164133738601824</v>
      </c>
      <c r="AA147" s="0" t="n">
        <v>0.164133738601824</v>
      </c>
      <c r="AB147" s="0" t="n">
        <v>0.164133738601824</v>
      </c>
      <c r="AC147" s="0" t="n">
        <v>0.164133738601824</v>
      </c>
      <c r="AD147" s="0" t="n">
        <v>0.164133738601824</v>
      </c>
      <c r="AE147" s="0" t="n">
        <v>0.164133738601824</v>
      </c>
      <c r="AF147" s="0" t="n">
        <v>0.164133738601824</v>
      </c>
      <c r="AG147" s="0" t="n">
        <v>0.164133738601824</v>
      </c>
      <c r="AH147" s="0" t="n">
        <v>0.164133738601824</v>
      </c>
      <c r="AI147" s="0" t="n">
        <v>0.164133738601824</v>
      </c>
      <c r="AJ147" s="0" t="n">
        <v>0.164133738601824</v>
      </c>
      <c r="AK147" s="0" t="n">
        <v>0.164133738601824</v>
      </c>
      <c r="AL147" s="0" t="n">
        <v>0.164133738601824</v>
      </c>
      <c r="AM147" s="0" t="n">
        <v>0.164133738601824</v>
      </c>
      <c r="AN147" s="0" t="n">
        <v>0.164133738601824</v>
      </c>
      <c r="AO147" s="0" t="n">
        <v>0.164133738601824</v>
      </c>
      <c r="AP147" s="0" t="n">
        <v>0.164133738601824</v>
      </c>
      <c r="AQ147" s="0" t="n">
        <v>0.164133738601824</v>
      </c>
      <c r="AR147" s="0" t="n">
        <v>0.164133738601824</v>
      </c>
      <c r="AS147" s="0" t="n">
        <v>0.164133738601824</v>
      </c>
      <c r="AT147" s="0" t="n">
        <v>0.164133738601824</v>
      </c>
      <c r="AU147" s="0" t="n">
        <v>0.125</v>
      </c>
      <c r="AV147" s="0" t="n">
        <v>0.125</v>
      </c>
      <c r="AW147" s="0" t="n">
        <v>0.125</v>
      </c>
      <c r="AX147" s="0" t="n">
        <v>0.125</v>
      </c>
      <c r="AY147" s="0" t="n">
        <v>0.125</v>
      </c>
      <c r="AZ147" s="0" t="n">
        <v>0.125</v>
      </c>
      <c r="BA147" s="0" t="n">
        <v>0.125</v>
      </c>
      <c r="BB147" s="0" t="n">
        <v>0.125</v>
      </c>
      <c r="BC147" s="0" t="n">
        <v>0.125</v>
      </c>
      <c r="BD147" s="0" t="n">
        <v>0.125</v>
      </c>
      <c r="BE147" s="0" t="n">
        <v>0.125</v>
      </c>
      <c r="BF147" s="0" t="n">
        <v>0.125</v>
      </c>
      <c r="BG147" s="0" t="n">
        <v>0.159239530553029</v>
      </c>
      <c r="BH147" s="0" t="n">
        <v>0.159239530553029</v>
      </c>
      <c r="BI147" s="0" t="n">
        <v>0.159239530553029</v>
      </c>
      <c r="BJ147" s="0" t="n">
        <v>0.159239530553029</v>
      </c>
      <c r="BK147" s="0" t="n">
        <v>0.159239530553029</v>
      </c>
    </row>
    <row r="148" customFormat="false" ht="12.8" hidden="false" customHeight="false" outlineLevel="0" collapsed="false">
      <c r="A148" s="21" t="n">
        <f aca="false">A147+1/24</f>
        <v>43898.0833337496</v>
      </c>
      <c r="B148" s="0" t="n">
        <v>0.105019271577671</v>
      </c>
      <c r="C148" s="0" t="n">
        <v>0.105019271577671</v>
      </c>
      <c r="D148" s="0" t="n">
        <v>0.105019271577671</v>
      </c>
      <c r="E148" s="0" t="n">
        <v>0.105019271577671</v>
      </c>
      <c r="F148" s="0" t="n">
        <v>0.105019271577671</v>
      </c>
      <c r="G148" s="0" t="n">
        <v>0.105019271577671</v>
      </c>
      <c r="H148" s="0" t="n">
        <v>0.105019271577671</v>
      </c>
      <c r="I148" s="0" t="n">
        <v>0.105019271577671</v>
      </c>
      <c r="J148" s="0" t="n">
        <v>0.105019271577671</v>
      </c>
      <c r="K148" s="0" t="n">
        <v>0.105019271577671</v>
      </c>
      <c r="L148" s="0" t="n">
        <v>0.105019271577671</v>
      </c>
      <c r="M148" s="0" t="n">
        <v>0.105019271577671</v>
      </c>
      <c r="N148" s="0" t="n">
        <v>0.105019271577671</v>
      </c>
      <c r="O148" s="0" t="n">
        <v>0.105019271577671</v>
      </c>
      <c r="P148" s="0" t="n">
        <v>0.105019271577671</v>
      </c>
      <c r="Q148" s="0" t="n">
        <v>0.105019271577671</v>
      </c>
      <c r="R148" s="0" t="n">
        <v>0.105019271577671</v>
      </c>
      <c r="S148" s="0" t="n">
        <v>0.105019271577671</v>
      </c>
      <c r="T148" s="0" t="n">
        <v>0.105019271577671</v>
      </c>
      <c r="U148" s="0" t="n">
        <v>0.105019271577671</v>
      </c>
      <c r="V148" s="0" t="n">
        <v>0.127659574468085</v>
      </c>
      <c r="W148" s="0" t="n">
        <v>0.127659574468085</v>
      </c>
      <c r="X148" s="0" t="n">
        <v>0.127659574468085</v>
      </c>
      <c r="Y148" s="0" t="n">
        <v>0.127659574468085</v>
      </c>
      <c r="Z148" s="0" t="n">
        <v>0.127659574468085</v>
      </c>
      <c r="AA148" s="0" t="n">
        <v>0.127659574468085</v>
      </c>
      <c r="AB148" s="0" t="n">
        <v>0.127659574468085</v>
      </c>
      <c r="AC148" s="0" t="n">
        <v>0.127659574468085</v>
      </c>
      <c r="AD148" s="0" t="n">
        <v>0.127659574468085</v>
      </c>
      <c r="AE148" s="0" t="n">
        <v>0.127659574468085</v>
      </c>
      <c r="AF148" s="0" t="n">
        <v>0.127659574468085</v>
      </c>
      <c r="AG148" s="0" t="n">
        <v>0.127659574468085</v>
      </c>
      <c r="AH148" s="0" t="n">
        <v>0.127659574468085</v>
      </c>
      <c r="AI148" s="0" t="n">
        <v>0.127659574468085</v>
      </c>
      <c r="AJ148" s="0" t="n">
        <v>0.127659574468085</v>
      </c>
      <c r="AK148" s="0" t="n">
        <v>0.127659574468085</v>
      </c>
      <c r="AL148" s="0" t="n">
        <v>0.127659574468085</v>
      </c>
      <c r="AM148" s="0" t="n">
        <v>0.127659574468085</v>
      </c>
      <c r="AN148" s="0" t="n">
        <v>0.127659574468085</v>
      </c>
      <c r="AO148" s="0" t="n">
        <v>0.127659574468085</v>
      </c>
      <c r="AP148" s="0" t="n">
        <v>0.127659574468085</v>
      </c>
      <c r="AQ148" s="0" t="n">
        <v>0.127659574468085</v>
      </c>
      <c r="AR148" s="0" t="n">
        <v>0.127659574468085</v>
      </c>
      <c r="AS148" s="0" t="n">
        <v>0.127659574468085</v>
      </c>
      <c r="AT148" s="0" t="n">
        <v>0.127659574468085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0.105019271577671</v>
      </c>
      <c r="BH148" s="0" t="n">
        <v>0.105019271577671</v>
      </c>
      <c r="BI148" s="0" t="n">
        <v>0.105019271577671</v>
      </c>
      <c r="BJ148" s="0" t="n">
        <v>0.105019271577671</v>
      </c>
      <c r="BK148" s="0" t="n">
        <v>0.105019271577671</v>
      </c>
    </row>
    <row r="149" customFormat="false" ht="12.8" hidden="false" customHeight="false" outlineLevel="0" collapsed="false">
      <c r="A149" s="21" t="n">
        <f aca="false">A148+1/24</f>
        <v>43898.1250004163</v>
      </c>
      <c r="B149" s="0" t="n">
        <v>0.0835823481009917</v>
      </c>
      <c r="C149" s="0" t="n">
        <v>0.0835823481009917</v>
      </c>
      <c r="D149" s="0" t="n">
        <v>0.0835823481009917</v>
      </c>
      <c r="E149" s="0" t="n">
        <v>0.0835823481009917</v>
      </c>
      <c r="F149" s="0" t="n">
        <v>0.0835823481009917</v>
      </c>
      <c r="G149" s="0" t="n">
        <v>0.0835823481009917</v>
      </c>
      <c r="H149" s="0" t="n">
        <v>0.0835823481009917</v>
      </c>
      <c r="I149" s="0" t="n">
        <v>0.0835823481009917</v>
      </c>
      <c r="J149" s="0" t="n">
        <v>0.0835823481009917</v>
      </c>
      <c r="K149" s="0" t="n">
        <v>0.0835823481009917</v>
      </c>
      <c r="L149" s="0" t="n">
        <v>0.0835823481009917</v>
      </c>
      <c r="M149" s="0" t="n">
        <v>0.0835823481009917</v>
      </c>
      <c r="N149" s="0" t="n">
        <v>0.0835823481009917</v>
      </c>
      <c r="O149" s="0" t="n">
        <v>0.0835823481009917</v>
      </c>
      <c r="P149" s="0" t="n">
        <v>0.0835823481009917</v>
      </c>
      <c r="Q149" s="0" t="n">
        <v>0.0835823481009917</v>
      </c>
      <c r="R149" s="0" t="n">
        <v>0.0835823481009917</v>
      </c>
      <c r="S149" s="0" t="n">
        <v>0.0835823481009917</v>
      </c>
      <c r="T149" s="0" t="n">
        <v>0.0835823481009917</v>
      </c>
      <c r="U149" s="0" t="n">
        <v>0.0835823481009917</v>
      </c>
      <c r="V149" s="0" t="n">
        <v>0.18338399189463</v>
      </c>
      <c r="W149" s="0" t="n">
        <v>0.18338399189463</v>
      </c>
      <c r="X149" s="0" t="n">
        <v>0.18338399189463</v>
      </c>
      <c r="Y149" s="0" t="n">
        <v>0.18338399189463</v>
      </c>
      <c r="Z149" s="0" t="n">
        <v>0.18338399189463</v>
      </c>
      <c r="AA149" s="0" t="n">
        <v>0.18338399189463</v>
      </c>
      <c r="AB149" s="0" t="n">
        <v>0.18338399189463</v>
      </c>
      <c r="AC149" s="0" t="n">
        <v>0.18338399189463</v>
      </c>
      <c r="AD149" s="0" t="n">
        <v>0.18338399189463</v>
      </c>
      <c r="AE149" s="0" t="n">
        <v>0.18338399189463</v>
      </c>
      <c r="AF149" s="0" t="n">
        <v>0.18338399189463</v>
      </c>
      <c r="AG149" s="0" t="n">
        <v>0.18338399189463</v>
      </c>
      <c r="AH149" s="0" t="n">
        <v>0.18338399189463</v>
      </c>
      <c r="AI149" s="0" t="n">
        <v>0.18338399189463</v>
      </c>
      <c r="AJ149" s="0" t="n">
        <v>0.18338399189463</v>
      </c>
      <c r="AK149" s="0" t="n">
        <v>0.18338399189463</v>
      </c>
      <c r="AL149" s="0" t="n">
        <v>0.18338399189463</v>
      </c>
      <c r="AM149" s="0" t="n">
        <v>0.18338399189463</v>
      </c>
      <c r="AN149" s="0" t="n">
        <v>0.18338399189463</v>
      </c>
      <c r="AO149" s="0" t="n">
        <v>0.18338399189463</v>
      </c>
      <c r="AP149" s="0" t="n">
        <v>0.18338399189463</v>
      </c>
      <c r="AQ149" s="0" t="n">
        <v>0.18338399189463</v>
      </c>
      <c r="AR149" s="0" t="n">
        <v>0.18338399189463</v>
      </c>
      <c r="AS149" s="0" t="n">
        <v>0.18338399189463</v>
      </c>
      <c r="AT149" s="0" t="n">
        <v>0.18338399189463</v>
      </c>
      <c r="AU149" s="0" t="n">
        <v>0.5</v>
      </c>
      <c r="AV149" s="0" t="n">
        <v>0.5</v>
      </c>
      <c r="AW149" s="0" t="n">
        <v>0.5</v>
      </c>
      <c r="AX149" s="0" t="n">
        <v>0.5</v>
      </c>
      <c r="AY149" s="0" t="n">
        <v>0.5</v>
      </c>
      <c r="AZ149" s="0" t="n">
        <v>0.5</v>
      </c>
      <c r="BA149" s="0" t="n">
        <v>0.5</v>
      </c>
      <c r="BB149" s="0" t="n">
        <v>0.5</v>
      </c>
      <c r="BC149" s="0" t="n">
        <v>0.5</v>
      </c>
      <c r="BD149" s="0" t="n">
        <v>0.5</v>
      </c>
      <c r="BE149" s="0" t="n">
        <v>0.5</v>
      </c>
      <c r="BF149" s="0" t="n">
        <v>0.5</v>
      </c>
      <c r="BG149" s="0" t="n">
        <v>0.0835823481009917</v>
      </c>
      <c r="BH149" s="0" t="n">
        <v>0.0835823481009917</v>
      </c>
      <c r="BI149" s="0" t="n">
        <v>0.0835823481009917</v>
      </c>
      <c r="BJ149" s="0" t="n">
        <v>0.0835823481009917</v>
      </c>
      <c r="BK149" s="0" t="n">
        <v>0.0835823481009917</v>
      </c>
    </row>
    <row r="150" customFormat="false" ht="12.8" hidden="false" customHeight="false" outlineLevel="0" collapsed="false">
      <c r="A150" s="21" t="n">
        <f aca="false">A149+1/24</f>
        <v>43898.1666670829</v>
      </c>
      <c r="B150" s="0" t="n">
        <v>0.0909445238404573</v>
      </c>
      <c r="C150" s="0" t="n">
        <v>0.0909445238404573</v>
      </c>
      <c r="D150" s="0" t="n">
        <v>0.0909445238404573</v>
      </c>
      <c r="E150" s="0" t="n">
        <v>0.0909445238404573</v>
      </c>
      <c r="F150" s="0" t="n">
        <v>0.0909445238404573</v>
      </c>
      <c r="G150" s="0" t="n">
        <v>0.0909445238404573</v>
      </c>
      <c r="H150" s="0" t="n">
        <v>0.0909445238404573</v>
      </c>
      <c r="I150" s="0" t="n">
        <v>0.0909445238404573</v>
      </c>
      <c r="J150" s="0" t="n">
        <v>0.0909445238404573</v>
      </c>
      <c r="K150" s="0" t="n">
        <v>0.0909445238404573</v>
      </c>
      <c r="L150" s="0" t="n">
        <v>0.0909445238404573</v>
      </c>
      <c r="M150" s="0" t="n">
        <v>0.0909445238404573</v>
      </c>
      <c r="N150" s="0" t="n">
        <v>0.0909445238404573</v>
      </c>
      <c r="O150" s="0" t="n">
        <v>0.0909445238404573</v>
      </c>
      <c r="P150" s="0" t="n">
        <v>0.0909445238404573</v>
      </c>
      <c r="Q150" s="0" t="n">
        <v>0.0909445238404573</v>
      </c>
      <c r="R150" s="0" t="n">
        <v>0.0909445238404573</v>
      </c>
      <c r="S150" s="0" t="n">
        <v>0.0909445238404573</v>
      </c>
      <c r="T150" s="0" t="n">
        <v>0.0909445238404573</v>
      </c>
      <c r="U150" s="0" t="n">
        <v>0.0909445238404573</v>
      </c>
      <c r="V150" s="0" t="n">
        <v>0.201621073961499</v>
      </c>
      <c r="W150" s="0" t="n">
        <v>0.201621073961499</v>
      </c>
      <c r="X150" s="0" t="n">
        <v>0.201621073961499</v>
      </c>
      <c r="Y150" s="0" t="n">
        <v>0.201621073961499</v>
      </c>
      <c r="Z150" s="0" t="n">
        <v>0.201621073961499</v>
      </c>
      <c r="AA150" s="0" t="n">
        <v>0.201621073961499</v>
      </c>
      <c r="AB150" s="0" t="n">
        <v>0.201621073961499</v>
      </c>
      <c r="AC150" s="0" t="n">
        <v>0.201621073961499</v>
      </c>
      <c r="AD150" s="0" t="n">
        <v>0.201621073961499</v>
      </c>
      <c r="AE150" s="0" t="n">
        <v>0.201621073961499</v>
      </c>
      <c r="AF150" s="0" t="n">
        <v>0.201621073961499</v>
      </c>
      <c r="AG150" s="0" t="n">
        <v>0.201621073961499</v>
      </c>
      <c r="AH150" s="0" t="n">
        <v>0.201621073961499</v>
      </c>
      <c r="AI150" s="0" t="n">
        <v>0.201621073961499</v>
      </c>
      <c r="AJ150" s="0" t="n">
        <v>0.201621073961499</v>
      </c>
      <c r="AK150" s="0" t="n">
        <v>0.201621073961499</v>
      </c>
      <c r="AL150" s="0" t="n">
        <v>0.201621073961499</v>
      </c>
      <c r="AM150" s="0" t="n">
        <v>0.201621073961499</v>
      </c>
      <c r="AN150" s="0" t="n">
        <v>0.201621073961499</v>
      </c>
      <c r="AO150" s="0" t="n">
        <v>0.201621073961499</v>
      </c>
      <c r="AP150" s="0" t="n">
        <v>0.201621073961499</v>
      </c>
      <c r="AQ150" s="0" t="n">
        <v>0.201621073961499</v>
      </c>
      <c r="AR150" s="0" t="n">
        <v>0.201621073961499</v>
      </c>
      <c r="AS150" s="0" t="n">
        <v>0.201621073961499</v>
      </c>
      <c r="AT150" s="0" t="n">
        <v>0.201621073961499</v>
      </c>
      <c r="AU150" s="0" t="n">
        <v>0.75</v>
      </c>
      <c r="AV150" s="0" t="n">
        <v>0.75</v>
      </c>
      <c r="AW150" s="0" t="n">
        <v>0.75</v>
      </c>
      <c r="AX150" s="0" t="n">
        <v>0.75</v>
      </c>
      <c r="AY150" s="0" t="n">
        <v>0.75</v>
      </c>
      <c r="AZ150" s="0" t="n">
        <v>0.75</v>
      </c>
      <c r="BA150" s="0" t="n">
        <v>0.75</v>
      </c>
      <c r="BB150" s="0" t="n">
        <v>0.75</v>
      </c>
      <c r="BC150" s="0" t="n">
        <v>0.75</v>
      </c>
      <c r="BD150" s="0" t="n">
        <v>0.75</v>
      </c>
      <c r="BE150" s="0" t="n">
        <v>0.75</v>
      </c>
      <c r="BF150" s="0" t="n">
        <v>0.75</v>
      </c>
      <c r="BG150" s="0" t="n">
        <v>0.0909445238404573</v>
      </c>
      <c r="BH150" s="0" t="n">
        <v>0.0909445238404573</v>
      </c>
      <c r="BI150" s="0" t="n">
        <v>0.0909445238404573</v>
      </c>
      <c r="BJ150" s="0" t="n">
        <v>0.0909445238404573</v>
      </c>
      <c r="BK150" s="0" t="n">
        <v>0.0909445238404573</v>
      </c>
    </row>
    <row r="151" customFormat="false" ht="12.8" hidden="false" customHeight="false" outlineLevel="0" collapsed="false">
      <c r="A151" s="21" t="n">
        <f aca="false">A150+1/24</f>
        <v>43898.2083337496</v>
      </c>
      <c r="B151" s="0" t="n">
        <v>0.1761725347538</v>
      </c>
      <c r="C151" s="0" t="n">
        <v>0.1761725347538</v>
      </c>
      <c r="D151" s="0" t="n">
        <v>0.1761725347538</v>
      </c>
      <c r="E151" s="0" t="n">
        <v>0.1761725347538</v>
      </c>
      <c r="F151" s="0" t="n">
        <v>0.1761725347538</v>
      </c>
      <c r="G151" s="0" t="n">
        <v>0.1761725347538</v>
      </c>
      <c r="H151" s="0" t="n">
        <v>0.1761725347538</v>
      </c>
      <c r="I151" s="0" t="n">
        <v>0.1761725347538</v>
      </c>
      <c r="J151" s="0" t="n">
        <v>0.1761725347538</v>
      </c>
      <c r="K151" s="0" t="n">
        <v>0.1761725347538</v>
      </c>
      <c r="L151" s="0" t="n">
        <v>0.1761725347538</v>
      </c>
      <c r="M151" s="0" t="n">
        <v>0.1761725347538</v>
      </c>
      <c r="N151" s="0" t="n">
        <v>0.1761725347538</v>
      </c>
      <c r="O151" s="0" t="n">
        <v>0.1761725347538</v>
      </c>
      <c r="P151" s="0" t="n">
        <v>0.1761725347538</v>
      </c>
      <c r="Q151" s="0" t="n">
        <v>0.1761725347538</v>
      </c>
      <c r="R151" s="0" t="n">
        <v>0.1761725347538</v>
      </c>
      <c r="S151" s="0" t="n">
        <v>0.1761725347538</v>
      </c>
      <c r="T151" s="0" t="n">
        <v>0.1761725347538</v>
      </c>
      <c r="U151" s="0" t="n">
        <v>0.1761725347538</v>
      </c>
      <c r="V151" s="0" t="n">
        <v>0.28774062816616</v>
      </c>
      <c r="W151" s="0" t="n">
        <v>0.28774062816616</v>
      </c>
      <c r="X151" s="0" t="n">
        <v>0.28774062816616</v>
      </c>
      <c r="Y151" s="0" t="n">
        <v>0.28774062816616</v>
      </c>
      <c r="Z151" s="0" t="n">
        <v>0.28774062816616</v>
      </c>
      <c r="AA151" s="0" t="n">
        <v>0.28774062816616</v>
      </c>
      <c r="AB151" s="0" t="n">
        <v>0.28774062816616</v>
      </c>
      <c r="AC151" s="0" t="n">
        <v>0.28774062816616</v>
      </c>
      <c r="AD151" s="0" t="n">
        <v>0.28774062816616</v>
      </c>
      <c r="AE151" s="0" t="n">
        <v>0.28774062816616</v>
      </c>
      <c r="AF151" s="0" t="n">
        <v>0.28774062816616</v>
      </c>
      <c r="AG151" s="0" t="n">
        <v>0.28774062816616</v>
      </c>
      <c r="AH151" s="0" t="n">
        <v>0.28774062816616</v>
      </c>
      <c r="AI151" s="0" t="n">
        <v>0.28774062816616</v>
      </c>
      <c r="AJ151" s="0" t="n">
        <v>0.28774062816616</v>
      </c>
      <c r="AK151" s="0" t="n">
        <v>0.28774062816616</v>
      </c>
      <c r="AL151" s="0" t="n">
        <v>0.28774062816616</v>
      </c>
      <c r="AM151" s="0" t="n">
        <v>0.28774062816616</v>
      </c>
      <c r="AN151" s="0" t="n">
        <v>0.28774062816616</v>
      </c>
      <c r="AO151" s="0" t="n">
        <v>0.28774062816616</v>
      </c>
      <c r="AP151" s="0" t="n">
        <v>0.28774062816616</v>
      </c>
      <c r="AQ151" s="0" t="n">
        <v>0.28774062816616</v>
      </c>
      <c r="AR151" s="0" t="n">
        <v>0.28774062816616</v>
      </c>
      <c r="AS151" s="0" t="n">
        <v>0.28774062816616</v>
      </c>
      <c r="AT151" s="0" t="n">
        <v>0.28774062816616</v>
      </c>
      <c r="AU151" s="0" t="n">
        <v>2</v>
      </c>
      <c r="AV151" s="0" t="n">
        <v>2</v>
      </c>
      <c r="AW151" s="0" t="n">
        <v>2</v>
      </c>
      <c r="AX151" s="0" t="n">
        <v>2</v>
      </c>
      <c r="AY151" s="0" t="n">
        <v>2</v>
      </c>
      <c r="AZ151" s="0" t="n">
        <v>2</v>
      </c>
      <c r="BA151" s="0" t="n">
        <v>2</v>
      </c>
      <c r="BB151" s="0" t="n">
        <v>2</v>
      </c>
      <c r="BC151" s="0" t="n">
        <v>2</v>
      </c>
      <c r="BD151" s="0" t="n">
        <v>2</v>
      </c>
      <c r="BE151" s="0" t="n">
        <v>2</v>
      </c>
      <c r="BF151" s="0" t="n">
        <v>2</v>
      </c>
      <c r="BG151" s="0" t="n">
        <v>0.1761725347538</v>
      </c>
      <c r="BH151" s="0" t="n">
        <v>0.1761725347538</v>
      </c>
      <c r="BI151" s="0" t="n">
        <v>0.1761725347538</v>
      </c>
      <c r="BJ151" s="0" t="n">
        <v>0.1761725347538</v>
      </c>
      <c r="BK151" s="0" t="n">
        <v>0.1761725347538</v>
      </c>
    </row>
    <row r="152" customFormat="false" ht="12.8" hidden="false" customHeight="false" outlineLevel="0" collapsed="false">
      <c r="A152" s="21" t="n">
        <f aca="false">A151+1/24</f>
        <v>43898.2500004163</v>
      </c>
      <c r="B152" s="0" t="n">
        <v>0.32753020657399</v>
      </c>
      <c r="C152" s="0" t="n">
        <v>0.32753020657399</v>
      </c>
      <c r="D152" s="0" t="n">
        <v>0.32753020657399</v>
      </c>
      <c r="E152" s="0" t="n">
        <v>0.32753020657399</v>
      </c>
      <c r="F152" s="0" t="n">
        <v>0.32753020657399</v>
      </c>
      <c r="G152" s="0" t="n">
        <v>0.32753020657399</v>
      </c>
      <c r="H152" s="0" t="n">
        <v>0.32753020657399</v>
      </c>
      <c r="I152" s="0" t="n">
        <v>0.32753020657399</v>
      </c>
      <c r="J152" s="0" t="n">
        <v>0.32753020657399</v>
      </c>
      <c r="K152" s="0" t="n">
        <v>0.32753020657399</v>
      </c>
      <c r="L152" s="0" t="n">
        <v>0.32753020657399</v>
      </c>
      <c r="M152" s="0" t="n">
        <v>0.32753020657399</v>
      </c>
      <c r="N152" s="0" t="n">
        <v>0.32753020657399</v>
      </c>
      <c r="O152" s="0" t="n">
        <v>0.32753020657399</v>
      </c>
      <c r="P152" s="0" t="n">
        <v>0.32753020657399</v>
      </c>
      <c r="Q152" s="0" t="n">
        <v>0.32753020657399</v>
      </c>
      <c r="R152" s="0" t="n">
        <v>0.32753020657399</v>
      </c>
      <c r="S152" s="0" t="n">
        <v>0.32753020657399</v>
      </c>
      <c r="T152" s="0" t="n">
        <v>0.32753020657399</v>
      </c>
      <c r="U152" s="0" t="n">
        <v>0.32753020657399</v>
      </c>
      <c r="V152" s="0" t="n">
        <v>0.443768996960486</v>
      </c>
      <c r="W152" s="0" t="n">
        <v>0.443768996960486</v>
      </c>
      <c r="X152" s="0" t="n">
        <v>0.443768996960486</v>
      </c>
      <c r="Y152" s="0" t="n">
        <v>0.443768996960486</v>
      </c>
      <c r="Z152" s="0" t="n">
        <v>0.443768996960486</v>
      </c>
      <c r="AA152" s="0" t="n">
        <v>0.443768996960486</v>
      </c>
      <c r="AB152" s="0" t="n">
        <v>0.443768996960486</v>
      </c>
      <c r="AC152" s="0" t="n">
        <v>0.443768996960486</v>
      </c>
      <c r="AD152" s="0" t="n">
        <v>0.443768996960486</v>
      </c>
      <c r="AE152" s="0" t="n">
        <v>0.443768996960486</v>
      </c>
      <c r="AF152" s="0" t="n">
        <v>0.443768996960486</v>
      </c>
      <c r="AG152" s="0" t="n">
        <v>0.443768996960486</v>
      </c>
      <c r="AH152" s="0" t="n">
        <v>0.443768996960486</v>
      </c>
      <c r="AI152" s="0" t="n">
        <v>0.443768996960486</v>
      </c>
      <c r="AJ152" s="0" t="n">
        <v>0.443768996960486</v>
      </c>
      <c r="AK152" s="0" t="n">
        <v>0.443768996960486</v>
      </c>
      <c r="AL152" s="0" t="n">
        <v>0.443768996960486</v>
      </c>
      <c r="AM152" s="0" t="n">
        <v>0.443768996960486</v>
      </c>
      <c r="AN152" s="0" t="n">
        <v>0.443768996960486</v>
      </c>
      <c r="AO152" s="0" t="n">
        <v>0.443768996960486</v>
      </c>
      <c r="AP152" s="0" t="n">
        <v>0.443768996960486</v>
      </c>
      <c r="AQ152" s="0" t="n">
        <v>0.443768996960486</v>
      </c>
      <c r="AR152" s="0" t="n">
        <v>0.443768996960486</v>
      </c>
      <c r="AS152" s="0" t="n">
        <v>0.443768996960486</v>
      </c>
      <c r="AT152" s="0" t="n">
        <v>0.443768996960486</v>
      </c>
      <c r="AU152" s="0" t="n">
        <v>1</v>
      </c>
      <c r="AV152" s="0" t="n">
        <v>1</v>
      </c>
      <c r="AW152" s="0" t="n">
        <v>1</v>
      </c>
      <c r="AX152" s="0" t="n">
        <v>1</v>
      </c>
      <c r="AY152" s="0" t="n">
        <v>1</v>
      </c>
      <c r="AZ152" s="0" t="n">
        <v>1</v>
      </c>
      <c r="BA152" s="0" t="n">
        <v>1</v>
      </c>
      <c r="BB152" s="0" t="n">
        <v>1</v>
      </c>
      <c r="BC152" s="0" t="n">
        <v>1</v>
      </c>
      <c r="BD152" s="0" t="n">
        <v>1</v>
      </c>
      <c r="BE152" s="0" t="n">
        <v>1</v>
      </c>
      <c r="BF152" s="0" t="n">
        <v>1</v>
      </c>
      <c r="BG152" s="0" t="n">
        <v>0.32753020657399</v>
      </c>
      <c r="BH152" s="0" t="n">
        <v>0.32753020657399</v>
      </c>
      <c r="BI152" s="0" t="n">
        <v>0.32753020657399</v>
      </c>
      <c r="BJ152" s="0" t="n">
        <v>0.32753020657399</v>
      </c>
      <c r="BK152" s="0" t="n">
        <v>0.32753020657399</v>
      </c>
    </row>
    <row r="153" customFormat="false" ht="12.8" hidden="false" customHeight="false" outlineLevel="0" collapsed="false">
      <c r="A153" s="21" t="n">
        <f aca="false">A152+1/24</f>
        <v>43898.2916670829</v>
      </c>
      <c r="B153" s="0" t="n">
        <v>0.453683253215539</v>
      </c>
      <c r="C153" s="0" t="n">
        <v>0.453683253215539</v>
      </c>
      <c r="D153" s="0" t="n">
        <v>0.453683253215539</v>
      </c>
      <c r="E153" s="0" t="n">
        <v>0.453683253215539</v>
      </c>
      <c r="F153" s="0" t="n">
        <v>0.453683253215539</v>
      </c>
      <c r="G153" s="0" t="n">
        <v>0.453683253215539</v>
      </c>
      <c r="H153" s="0" t="n">
        <v>0.453683253215539</v>
      </c>
      <c r="I153" s="0" t="n">
        <v>0.453683253215539</v>
      </c>
      <c r="J153" s="0" t="n">
        <v>0.453683253215539</v>
      </c>
      <c r="K153" s="0" t="n">
        <v>0.453683253215539</v>
      </c>
      <c r="L153" s="0" t="n">
        <v>0.453683253215539</v>
      </c>
      <c r="M153" s="0" t="n">
        <v>0.453683253215539</v>
      </c>
      <c r="N153" s="0" t="n">
        <v>0.453683253215539</v>
      </c>
      <c r="O153" s="0" t="n">
        <v>0.453683253215539</v>
      </c>
      <c r="P153" s="0" t="n">
        <v>0.453683253215539</v>
      </c>
      <c r="Q153" s="0" t="n">
        <v>0.453683253215539</v>
      </c>
      <c r="R153" s="0" t="n">
        <v>0.453683253215539</v>
      </c>
      <c r="S153" s="0" t="n">
        <v>0.453683253215539</v>
      </c>
      <c r="T153" s="0" t="n">
        <v>0.453683253215539</v>
      </c>
      <c r="U153" s="0" t="n">
        <v>0.453683253215539</v>
      </c>
      <c r="V153" s="0" t="n">
        <v>0.634245187436677</v>
      </c>
      <c r="W153" s="0" t="n">
        <v>0.634245187436677</v>
      </c>
      <c r="X153" s="0" t="n">
        <v>0.634245187436677</v>
      </c>
      <c r="Y153" s="0" t="n">
        <v>0.634245187436677</v>
      </c>
      <c r="Z153" s="0" t="n">
        <v>0.634245187436677</v>
      </c>
      <c r="AA153" s="0" t="n">
        <v>0.634245187436677</v>
      </c>
      <c r="AB153" s="0" t="n">
        <v>0.634245187436677</v>
      </c>
      <c r="AC153" s="0" t="n">
        <v>0.634245187436677</v>
      </c>
      <c r="AD153" s="0" t="n">
        <v>0.634245187436677</v>
      </c>
      <c r="AE153" s="0" t="n">
        <v>0.634245187436677</v>
      </c>
      <c r="AF153" s="0" t="n">
        <v>0.634245187436677</v>
      </c>
      <c r="AG153" s="0" t="n">
        <v>0.634245187436677</v>
      </c>
      <c r="AH153" s="0" t="n">
        <v>0.634245187436677</v>
      </c>
      <c r="AI153" s="0" t="n">
        <v>0.634245187436677</v>
      </c>
      <c r="AJ153" s="0" t="n">
        <v>0.634245187436677</v>
      </c>
      <c r="AK153" s="0" t="n">
        <v>0.634245187436677</v>
      </c>
      <c r="AL153" s="0" t="n">
        <v>0.634245187436677</v>
      </c>
      <c r="AM153" s="0" t="n">
        <v>0.634245187436677</v>
      </c>
      <c r="AN153" s="0" t="n">
        <v>0.634245187436677</v>
      </c>
      <c r="AO153" s="0" t="n">
        <v>0.634245187436677</v>
      </c>
      <c r="AP153" s="0" t="n">
        <v>0.634245187436677</v>
      </c>
      <c r="AQ153" s="0" t="n">
        <v>0.634245187436677</v>
      </c>
      <c r="AR153" s="0" t="n">
        <v>0.634245187436677</v>
      </c>
      <c r="AS153" s="0" t="n">
        <v>0.634245187436677</v>
      </c>
      <c r="AT153" s="0" t="n">
        <v>0.634245187436677</v>
      </c>
      <c r="AU153" s="0" t="n">
        <v>0.75</v>
      </c>
      <c r="AV153" s="0" t="n">
        <v>0.75</v>
      </c>
      <c r="AW153" s="0" t="n">
        <v>0.75</v>
      </c>
      <c r="AX153" s="0" t="n">
        <v>0.75</v>
      </c>
      <c r="AY153" s="0" t="n">
        <v>0.75</v>
      </c>
      <c r="AZ153" s="0" t="n">
        <v>0.75</v>
      </c>
      <c r="BA153" s="0" t="n">
        <v>0.75</v>
      </c>
      <c r="BB153" s="0" t="n">
        <v>0.75</v>
      </c>
      <c r="BC153" s="0" t="n">
        <v>0.75</v>
      </c>
      <c r="BD153" s="0" t="n">
        <v>0.75</v>
      </c>
      <c r="BE153" s="0" t="n">
        <v>0.75</v>
      </c>
      <c r="BF153" s="0" t="n">
        <v>0.75</v>
      </c>
      <c r="BG153" s="0" t="n">
        <v>0.453683253215539</v>
      </c>
      <c r="BH153" s="0" t="n">
        <v>0.453683253215539</v>
      </c>
      <c r="BI153" s="0" t="n">
        <v>0.453683253215539</v>
      </c>
      <c r="BJ153" s="0" t="n">
        <v>0.453683253215539</v>
      </c>
      <c r="BK153" s="0" t="n">
        <v>0.453683253215539</v>
      </c>
    </row>
    <row r="154" customFormat="false" ht="12.8" hidden="false" customHeight="false" outlineLevel="0" collapsed="false">
      <c r="A154" s="21" t="n">
        <f aca="false">A153+1/24</f>
        <v>43898.3333337496</v>
      </c>
      <c r="B154" s="0" t="n">
        <v>0.546706509029492</v>
      </c>
      <c r="C154" s="0" t="n">
        <v>0.546706509029492</v>
      </c>
      <c r="D154" s="0" t="n">
        <v>0.546706509029492</v>
      </c>
      <c r="E154" s="0" t="n">
        <v>0.546706509029492</v>
      </c>
      <c r="F154" s="0" t="n">
        <v>0.546706509029492</v>
      </c>
      <c r="G154" s="0" t="n">
        <v>0.546706509029492</v>
      </c>
      <c r="H154" s="0" t="n">
        <v>0.546706509029492</v>
      </c>
      <c r="I154" s="0" t="n">
        <v>0.546706509029492</v>
      </c>
      <c r="J154" s="0" t="n">
        <v>0.546706509029492</v>
      </c>
      <c r="K154" s="0" t="n">
        <v>0.546706509029492</v>
      </c>
      <c r="L154" s="0" t="n">
        <v>0.546706509029492</v>
      </c>
      <c r="M154" s="0" t="n">
        <v>0.546706509029492</v>
      </c>
      <c r="N154" s="0" t="n">
        <v>0.546706509029492</v>
      </c>
      <c r="O154" s="0" t="n">
        <v>0.546706509029492</v>
      </c>
      <c r="P154" s="0" t="n">
        <v>0.546706509029492</v>
      </c>
      <c r="Q154" s="0" t="n">
        <v>0.546706509029492</v>
      </c>
      <c r="R154" s="0" t="n">
        <v>0.546706509029492</v>
      </c>
      <c r="S154" s="0" t="n">
        <v>0.546706509029492</v>
      </c>
      <c r="T154" s="0" t="n">
        <v>0.546706509029492</v>
      </c>
      <c r="U154" s="0" t="n">
        <v>0.546706509029492</v>
      </c>
      <c r="V154" s="0" t="n">
        <v>0.587639311043566</v>
      </c>
      <c r="W154" s="0" t="n">
        <v>0.587639311043566</v>
      </c>
      <c r="X154" s="0" t="n">
        <v>0.587639311043566</v>
      </c>
      <c r="Y154" s="0" t="n">
        <v>0.587639311043566</v>
      </c>
      <c r="Z154" s="0" t="n">
        <v>0.587639311043566</v>
      </c>
      <c r="AA154" s="0" t="n">
        <v>0.587639311043566</v>
      </c>
      <c r="AB154" s="0" t="n">
        <v>0.587639311043566</v>
      </c>
      <c r="AC154" s="0" t="n">
        <v>0.587639311043566</v>
      </c>
      <c r="AD154" s="0" t="n">
        <v>0.587639311043566</v>
      </c>
      <c r="AE154" s="0" t="n">
        <v>0.587639311043566</v>
      </c>
      <c r="AF154" s="0" t="n">
        <v>0.587639311043566</v>
      </c>
      <c r="AG154" s="0" t="n">
        <v>0.587639311043566</v>
      </c>
      <c r="AH154" s="0" t="n">
        <v>0.587639311043566</v>
      </c>
      <c r="AI154" s="0" t="n">
        <v>0.587639311043566</v>
      </c>
      <c r="AJ154" s="0" t="n">
        <v>0.587639311043566</v>
      </c>
      <c r="AK154" s="0" t="n">
        <v>0.587639311043566</v>
      </c>
      <c r="AL154" s="0" t="n">
        <v>0.587639311043566</v>
      </c>
      <c r="AM154" s="0" t="n">
        <v>0.587639311043566</v>
      </c>
      <c r="AN154" s="0" t="n">
        <v>0.587639311043566</v>
      </c>
      <c r="AO154" s="0" t="n">
        <v>0.587639311043566</v>
      </c>
      <c r="AP154" s="0" t="n">
        <v>0.587639311043566</v>
      </c>
      <c r="AQ154" s="0" t="n">
        <v>0.587639311043566</v>
      </c>
      <c r="AR154" s="0" t="n">
        <v>0.587639311043566</v>
      </c>
      <c r="AS154" s="0" t="n">
        <v>0.587639311043566</v>
      </c>
      <c r="AT154" s="0" t="n">
        <v>0.587639311043566</v>
      </c>
      <c r="AU154" s="0" t="n">
        <v>1.5</v>
      </c>
      <c r="AV154" s="0" t="n">
        <v>1.5</v>
      </c>
      <c r="AW154" s="0" t="n">
        <v>1.5</v>
      </c>
      <c r="AX154" s="0" t="n">
        <v>1.5</v>
      </c>
      <c r="AY154" s="0" t="n">
        <v>1.5</v>
      </c>
      <c r="AZ154" s="0" t="n">
        <v>1.5</v>
      </c>
      <c r="BA154" s="0" t="n">
        <v>1.5</v>
      </c>
      <c r="BB154" s="0" t="n">
        <v>1.5</v>
      </c>
      <c r="BC154" s="0" t="n">
        <v>1.5</v>
      </c>
      <c r="BD154" s="0" t="n">
        <v>1.5</v>
      </c>
      <c r="BE154" s="0" t="n">
        <v>1.5</v>
      </c>
      <c r="BF154" s="0" t="n">
        <v>1.5</v>
      </c>
      <c r="BG154" s="0" t="n">
        <v>0.546706509029492</v>
      </c>
      <c r="BH154" s="0" t="n">
        <v>0.546706509029492</v>
      </c>
      <c r="BI154" s="0" t="n">
        <v>0.546706509029492</v>
      </c>
      <c r="BJ154" s="0" t="n">
        <v>0.546706509029492</v>
      </c>
      <c r="BK154" s="0" t="n">
        <v>0.546706509029492</v>
      </c>
    </row>
    <row r="155" customFormat="false" ht="12.8" hidden="false" customHeight="false" outlineLevel="0" collapsed="false">
      <c r="A155" s="21" t="n">
        <f aca="false">A154+1/24</f>
        <v>43898.3750004162</v>
      </c>
      <c r="B155" s="0" t="n">
        <v>0.645013208609415</v>
      </c>
      <c r="C155" s="0" t="n">
        <v>0.645013208609415</v>
      </c>
      <c r="D155" s="0" t="n">
        <v>0.645013208609415</v>
      </c>
      <c r="E155" s="0" t="n">
        <v>0.645013208609415</v>
      </c>
      <c r="F155" s="0" t="n">
        <v>0.645013208609415</v>
      </c>
      <c r="G155" s="0" t="n">
        <v>0.645013208609415</v>
      </c>
      <c r="H155" s="0" t="n">
        <v>0.645013208609415</v>
      </c>
      <c r="I155" s="0" t="n">
        <v>0.645013208609415</v>
      </c>
      <c r="J155" s="0" t="n">
        <v>0.645013208609415</v>
      </c>
      <c r="K155" s="0" t="n">
        <v>0.645013208609415</v>
      </c>
      <c r="L155" s="0" t="n">
        <v>0.645013208609415</v>
      </c>
      <c r="M155" s="0" t="n">
        <v>0.645013208609415</v>
      </c>
      <c r="N155" s="0" t="n">
        <v>0.645013208609415</v>
      </c>
      <c r="O155" s="0" t="n">
        <v>0.645013208609415</v>
      </c>
      <c r="P155" s="0" t="n">
        <v>0.645013208609415</v>
      </c>
      <c r="Q155" s="0" t="n">
        <v>0.645013208609415</v>
      </c>
      <c r="R155" s="0" t="n">
        <v>0.645013208609415</v>
      </c>
      <c r="S155" s="0" t="n">
        <v>0.645013208609415</v>
      </c>
      <c r="T155" s="0" t="n">
        <v>0.645013208609415</v>
      </c>
      <c r="U155" s="0" t="n">
        <v>0.645013208609415</v>
      </c>
      <c r="V155" s="0" t="n">
        <v>0.720364741641337</v>
      </c>
      <c r="W155" s="0" t="n">
        <v>0.720364741641337</v>
      </c>
      <c r="X155" s="0" t="n">
        <v>0.720364741641337</v>
      </c>
      <c r="Y155" s="0" t="n">
        <v>0.720364741641337</v>
      </c>
      <c r="Z155" s="0" t="n">
        <v>0.720364741641337</v>
      </c>
      <c r="AA155" s="0" t="n">
        <v>0.720364741641337</v>
      </c>
      <c r="AB155" s="0" t="n">
        <v>0.720364741641337</v>
      </c>
      <c r="AC155" s="0" t="n">
        <v>0.720364741641337</v>
      </c>
      <c r="AD155" s="0" t="n">
        <v>0.720364741641337</v>
      </c>
      <c r="AE155" s="0" t="n">
        <v>0.720364741641337</v>
      </c>
      <c r="AF155" s="0" t="n">
        <v>0.720364741641337</v>
      </c>
      <c r="AG155" s="0" t="n">
        <v>0.720364741641337</v>
      </c>
      <c r="AH155" s="0" t="n">
        <v>0.720364741641337</v>
      </c>
      <c r="AI155" s="0" t="n">
        <v>0.720364741641337</v>
      </c>
      <c r="AJ155" s="0" t="n">
        <v>0.720364741641337</v>
      </c>
      <c r="AK155" s="0" t="n">
        <v>0.720364741641337</v>
      </c>
      <c r="AL155" s="0" t="n">
        <v>0.720364741641337</v>
      </c>
      <c r="AM155" s="0" t="n">
        <v>0.720364741641337</v>
      </c>
      <c r="AN155" s="0" t="n">
        <v>0.720364741641337</v>
      </c>
      <c r="AO155" s="0" t="n">
        <v>0.720364741641337</v>
      </c>
      <c r="AP155" s="0" t="n">
        <v>0.720364741641337</v>
      </c>
      <c r="AQ155" s="0" t="n">
        <v>0.720364741641337</v>
      </c>
      <c r="AR155" s="0" t="n">
        <v>0.720364741641337</v>
      </c>
      <c r="AS155" s="0" t="n">
        <v>0.720364741641337</v>
      </c>
      <c r="AT155" s="0" t="n">
        <v>0.720364741641337</v>
      </c>
      <c r="AU155" s="0" t="n">
        <v>1.75</v>
      </c>
      <c r="AV155" s="0" t="n">
        <v>1.75</v>
      </c>
      <c r="AW155" s="0" t="n">
        <v>1.75</v>
      </c>
      <c r="AX155" s="0" t="n">
        <v>1.75</v>
      </c>
      <c r="AY155" s="0" t="n">
        <v>1.75</v>
      </c>
      <c r="AZ155" s="0" t="n">
        <v>1.75</v>
      </c>
      <c r="BA155" s="0" t="n">
        <v>1.75</v>
      </c>
      <c r="BB155" s="0" t="n">
        <v>1.75</v>
      </c>
      <c r="BC155" s="0" t="n">
        <v>1.75</v>
      </c>
      <c r="BD155" s="0" t="n">
        <v>1.75</v>
      </c>
      <c r="BE155" s="0" t="n">
        <v>1.75</v>
      </c>
      <c r="BF155" s="0" t="n">
        <v>1.75</v>
      </c>
      <c r="BG155" s="0" t="n">
        <v>0.645013208609415</v>
      </c>
      <c r="BH155" s="0" t="n">
        <v>0.645013208609415</v>
      </c>
      <c r="BI155" s="0" t="n">
        <v>0.645013208609415</v>
      </c>
      <c r="BJ155" s="0" t="n">
        <v>0.645013208609415</v>
      </c>
      <c r="BK155" s="0" t="n">
        <v>0.645013208609415</v>
      </c>
    </row>
    <row r="156" customFormat="false" ht="12.8" hidden="false" customHeight="false" outlineLevel="0" collapsed="false">
      <c r="A156" s="21" t="n">
        <f aca="false">A155+1/24</f>
        <v>43898.4166670829</v>
      </c>
      <c r="B156" s="0" t="n">
        <v>0.701398813390498</v>
      </c>
      <c r="C156" s="0" t="n">
        <v>0.701398813390498</v>
      </c>
      <c r="D156" s="0" t="n">
        <v>0.701398813390498</v>
      </c>
      <c r="E156" s="0" t="n">
        <v>0.701398813390498</v>
      </c>
      <c r="F156" s="0" t="n">
        <v>0.701398813390498</v>
      </c>
      <c r="G156" s="0" t="n">
        <v>0.701398813390498</v>
      </c>
      <c r="H156" s="0" t="n">
        <v>0.701398813390498</v>
      </c>
      <c r="I156" s="0" t="n">
        <v>0.701398813390498</v>
      </c>
      <c r="J156" s="0" t="n">
        <v>0.701398813390498</v>
      </c>
      <c r="K156" s="0" t="n">
        <v>0.701398813390498</v>
      </c>
      <c r="L156" s="0" t="n">
        <v>0.701398813390498</v>
      </c>
      <c r="M156" s="0" t="n">
        <v>0.701398813390498</v>
      </c>
      <c r="N156" s="0" t="n">
        <v>0.701398813390498</v>
      </c>
      <c r="O156" s="0" t="n">
        <v>0.701398813390498</v>
      </c>
      <c r="P156" s="0" t="n">
        <v>0.701398813390498</v>
      </c>
      <c r="Q156" s="0" t="n">
        <v>0.701398813390498</v>
      </c>
      <c r="R156" s="0" t="n">
        <v>0.701398813390498</v>
      </c>
      <c r="S156" s="0" t="n">
        <v>0.701398813390498</v>
      </c>
      <c r="T156" s="0" t="n">
        <v>0.701398813390498</v>
      </c>
      <c r="U156" s="0" t="n">
        <v>0.701398813390498</v>
      </c>
      <c r="V156" s="0" t="n">
        <v>0.75886524822695</v>
      </c>
      <c r="W156" s="0" t="n">
        <v>0.75886524822695</v>
      </c>
      <c r="X156" s="0" t="n">
        <v>0.75886524822695</v>
      </c>
      <c r="Y156" s="0" t="n">
        <v>0.75886524822695</v>
      </c>
      <c r="Z156" s="0" t="n">
        <v>0.75886524822695</v>
      </c>
      <c r="AA156" s="0" t="n">
        <v>0.75886524822695</v>
      </c>
      <c r="AB156" s="0" t="n">
        <v>0.75886524822695</v>
      </c>
      <c r="AC156" s="0" t="n">
        <v>0.75886524822695</v>
      </c>
      <c r="AD156" s="0" t="n">
        <v>0.75886524822695</v>
      </c>
      <c r="AE156" s="0" t="n">
        <v>0.75886524822695</v>
      </c>
      <c r="AF156" s="0" t="n">
        <v>0.75886524822695</v>
      </c>
      <c r="AG156" s="0" t="n">
        <v>0.75886524822695</v>
      </c>
      <c r="AH156" s="0" t="n">
        <v>0.75886524822695</v>
      </c>
      <c r="AI156" s="0" t="n">
        <v>0.75886524822695</v>
      </c>
      <c r="AJ156" s="0" t="n">
        <v>0.75886524822695</v>
      </c>
      <c r="AK156" s="0" t="n">
        <v>0.75886524822695</v>
      </c>
      <c r="AL156" s="0" t="n">
        <v>0.75886524822695</v>
      </c>
      <c r="AM156" s="0" t="n">
        <v>0.75886524822695</v>
      </c>
      <c r="AN156" s="0" t="n">
        <v>0.75886524822695</v>
      </c>
      <c r="AO156" s="0" t="n">
        <v>0.75886524822695</v>
      </c>
      <c r="AP156" s="0" t="n">
        <v>0.75886524822695</v>
      </c>
      <c r="AQ156" s="0" t="n">
        <v>0.75886524822695</v>
      </c>
      <c r="AR156" s="0" t="n">
        <v>0.75886524822695</v>
      </c>
      <c r="AS156" s="0" t="n">
        <v>0.75886524822695</v>
      </c>
      <c r="AT156" s="0" t="n">
        <v>0.75886524822695</v>
      </c>
      <c r="AU156" s="0" t="n">
        <v>0.75</v>
      </c>
      <c r="AV156" s="0" t="n">
        <v>0.75</v>
      </c>
      <c r="AW156" s="0" t="n">
        <v>0.75</v>
      </c>
      <c r="AX156" s="0" t="n">
        <v>0.75</v>
      </c>
      <c r="AY156" s="0" t="n">
        <v>0.75</v>
      </c>
      <c r="AZ156" s="0" t="n">
        <v>0.75</v>
      </c>
      <c r="BA156" s="0" t="n">
        <v>0.75</v>
      </c>
      <c r="BB156" s="0" t="n">
        <v>0.75</v>
      </c>
      <c r="BC156" s="0" t="n">
        <v>0.75</v>
      </c>
      <c r="BD156" s="0" t="n">
        <v>0.75</v>
      </c>
      <c r="BE156" s="0" t="n">
        <v>0.75</v>
      </c>
      <c r="BF156" s="0" t="n">
        <v>0.75</v>
      </c>
      <c r="BG156" s="0" t="n">
        <v>0.701398813390498</v>
      </c>
      <c r="BH156" s="0" t="n">
        <v>0.701398813390498</v>
      </c>
      <c r="BI156" s="0" t="n">
        <v>0.701398813390498</v>
      </c>
      <c r="BJ156" s="0" t="n">
        <v>0.701398813390498</v>
      </c>
      <c r="BK156" s="0" t="n">
        <v>0.701398813390498</v>
      </c>
    </row>
    <row r="157" customFormat="false" ht="12.8" hidden="false" customHeight="false" outlineLevel="0" collapsed="false">
      <c r="A157" s="21" t="n">
        <f aca="false">A156+1/24</f>
        <v>43898.4583337496</v>
      </c>
      <c r="B157" s="0" t="n">
        <v>0.806548005716513</v>
      </c>
      <c r="C157" s="0" t="n">
        <v>0.806548005716513</v>
      </c>
      <c r="D157" s="0" t="n">
        <v>0.806548005716513</v>
      </c>
      <c r="E157" s="0" t="n">
        <v>0.806548005716513</v>
      </c>
      <c r="F157" s="0" t="n">
        <v>0.806548005716513</v>
      </c>
      <c r="G157" s="0" t="n">
        <v>0.806548005716513</v>
      </c>
      <c r="H157" s="0" t="n">
        <v>0.806548005716513</v>
      </c>
      <c r="I157" s="0" t="n">
        <v>0.806548005716513</v>
      </c>
      <c r="J157" s="0" t="n">
        <v>0.806548005716513</v>
      </c>
      <c r="K157" s="0" t="n">
        <v>0.806548005716513</v>
      </c>
      <c r="L157" s="0" t="n">
        <v>0.806548005716513</v>
      </c>
      <c r="M157" s="0" t="n">
        <v>0.806548005716513</v>
      </c>
      <c r="N157" s="0" t="n">
        <v>0.806548005716513</v>
      </c>
      <c r="O157" s="0" t="n">
        <v>0.806548005716513</v>
      </c>
      <c r="P157" s="0" t="n">
        <v>0.806548005716513</v>
      </c>
      <c r="Q157" s="0" t="n">
        <v>0.806548005716513</v>
      </c>
      <c r="R157" s="0" t="n">
        <v>0.806548005716513</v>
      </c>
      <c r="S157" s="0" t="n">
        <v>0.806548005716513</v>
      </c>
      <c r="T157" s="0" t="n">
        <v>0.806548005716513</v>
      </c>
      <c r="U157" s="0" t="n">
        <v>0.806548005716513</v>
      </c>
      <c r="V157" s="0" t="n">
        <v>0.752786220871327</v>
      </c>
      <c r="W157" s="0" t="n">
        <v>0.752786220871327</v>
      </c>
      <c r="X157" s="0" t="n">
        <v>0.752786220871327</v>
      </c>
      <c r="Y157" s="0" t="n">
        <v>0.752786220871327</v>
      </c>
      <c r="Z157" s="0" t="n">
        <v>0.752786220871327</v>
      </c>
      <c r="AA157" s="0" t="n">
        <v>0.752786220871327</v>
      </c>
      <c r="AB157" s="0" t="n">
        <v>0.752786220871327</v>
      </c>
      <c r="AC157" s="0" t="n">
        <v>0.752786220871327</v>
      </c>
      <c r="AD157" s="0" t="n">
        <v>0.752786220871327</v>
      </c>
      <c r="AE157" s="0" t="n">
        <v>0.752786220871327</v>
      </c>
      <c r="AF157" s="0" t="n">
        <v>0.752786220871327</v>
      </c>
      <c r="AG157" s="0" t="n">
        <v>0.752786220871327</v>
      </c>
      <c r="AH157" s="0" t="n">
        <v>0.752786220871327</v>
      </c>
      <c r="AI157" s="0" t="n">
        <v>0.752786220871327</v>
      </c>
      <c r="AJ157" s="0" t="n">
        <v>0.752786220871327</v>
      </c>
      <c r="AK157" s="0" t="n">
        <v>0.752786220871327</v>
      </c>
      <c r="AL157" s="0" t="n">
        <v>0.752786220871327</v>
      </c>
      <c r="AM157" s="0" t="n">
        <v>0.752786220871327</v>
      </c>
      <c r="AN157" s="0" t="n">
        <v>0.752786220871327</v>
      </c>
      <c r="AO157" s="0" t="n">
        <v>0.752786220871327</v>
      </c>
      <c r="AP157" s="0" t="n">
        <v>0.752786220871327</v>
      </c>
      <c r="AQ157" s="0" t="n">
        <v>0.752786220871327</v>
      </c>
      <c r="AR157" s="0" t="n">
        <v>0.752786220871327</v>
      </c>
      <c r="AS157" s="0" t="n">
        <v>0.752786220871327</v>
      </c>
      <c r="AT157" s="0" t="n">
        <v>0.752786220871327</v>
      </c>
      <c r="AU157" s="0" t="n">
        <v>0.375</v>
      </c>
      <c r="AV157" s="0" t="n">
        <v>0.375</v>
      </c>
      <c r="AW157" s="0" t="n">
        <v>0.375</v>
      </c>
      <c r="AX157" s="0" t="n">
        <v>0.375</v>
      </c>
      <c r="AY157" s="0" t="n">
        <v>0.375</v>
      </c>
      <c r="AZ157" s="0" t="n">
        <v>0.375</v>
      </c>
      <c r="BA157" s="0" t="n">
        <v>0.375</v>
      </c>
      <c r="BB157" s="0" t="n">
        <v>0.375</v>
      </c>
      <c r="BC157" s="0" t="n">
        <v>0.375</v>
      </c>
      <c r="BD157" s="0" t="n">
        <v>0.375</v>
      </c>
      <c r="BE157" s="0" t="n">
        <v>0.375</v>
      </c>
      <c r="BF157" s="0" t="n">
        <v>0.375</v>
      </c>
      <c r="BG157" s="0" t="n">
        <v>0.806548005716513</v>
      </c>
      <c r="BH157" s="0" t="n">
        <v>0.806548005716513</v>
      </c>
      <c r="BI157" s="0" t="n">
        <v>0.806548005716513</v>
      </c>
      <c r="BJ157" s="0" t="n">
        <v>0.806548005716513</v>
      </c>
      <c r="BK157" s="0" t="n">
        <v>0.806548005716513</v>
      </c>
    </row>
    <row r="158" customFormat="false" ht="12.8" hidden="false" customHeight="false" outlineLevel="0" collapsed="false">
      <c r="A158" s="21" t="n">
        <f aca="false">A157+1/24</f>
        <v>43898.5000004162</v>
      </c>
      <c r="B158" s="0" t="n">
        <v>0.804729115239704</v>
      </c>
      <c r="C158" s="0" t="n">
        <v>0.804729115239704</v>
      </c>
      <c r="D158" s="0" t="n">
        <v>0.804729115239704</v>
      </c>
      <c r="E158" s="0" t="n">
        <v>0.804729115239704</v>
      </c>
      <c r="F158" s="0" t="n">
        <v>0.804729115239704</v>
      </c>
      <c r="G158" s="0" t="n">
        <v>0.804729115239704</v>
      </c>
      <c r="H158" s="0" t="n">
        <v>0.804729115239704</v>
      </c>
      <c r="I158" s="0" t="n">
        <v>0.804729115239704</v>
      </c>
      <c r="J158" s="0" t="n">
        <v>0.804729115239704</v>
      </c>
      <c r="K158" s="0" t="n">
        <v>0.804729115239704</v>
      </c>
      <c r="L158" s="0" t="n">
        <v>0.804729115239704</v>
      </c>
      <c r="M158" s="0" t="n">
        <v>0.804729115239704</v>
      </c>
      <c r="N158" s="0" t="n">
        <v>0.804729115239704</v>
      </c>
      <c r="O158" s="0" t="n">
        <v>0.804729115239704</v>
      </c>
      <c r="P158" s="0" t="n">
        <v>0.804729115239704</v>
      </c>
      <c r="Q158" s="0" t="n">
        <v>0.804729115239704</v>
      </c>
      <c r="R158" s="0" t="n">
        <v>0.804729115239704</v>
      </c>
      <c r="S158" s="0" t="n">
        <v>0.804729115239704</v>
      </c>
      <c r="T158" s="0" t="n">
        <v>0.804729115239704</v>
      </c>
      <c r="U158" s="0" t="n">
        <v>0.804729115239704</v>
      </c>
      <c r="V158" s="0" t="n">
        <v>0.773049645390071</v>
      </c>
      <c r="W158" s="0" t="n">
        <v>0.773049645390071</v>
      </c>
      <c r="X158" s="0" t="n">
        <v>0.773049645390071</v>
      </c>
      <c r="Y158" s="0" t="n">
        <v>0.773049645390071</v>
      </c>
      <c r="Z158" s="0" t="n">
        <v>0.773049645390071</v>
      </c>
      <c r="AA158" s="0" t="n">
        <v>0.773049645390071</v>
      </c>
      <c r="AB158" s="0" t="n">
        <v>0.773049645390071</v>
      </c>
      <c r="AC158" s="0" t="n">
        <v>0.773049645390071</v>
      </c>
      <c r="AD158" s="0" t="n">
        <v>0.773049645390071</v>
      </c>
      <c r="AE158" s="0" t="n">
        <v>0.773049645390071</v>
      </c>
      <c r="AF158" s="0" t="n">
        <v>0.773049645390071</v>
      </c>
      <c r="AG158" s="0" t="n">
        <v>0.773049645390071</v>
      </c>
      <c r="AH158" s="0" t="n">
        <v>0.773049645390071</v>
      </c>
      <c r="AI158" s="0" t="n">
        <v>0.773049645390071</v>
      </c>
      <c r="AJ158" s="0" t="n">
        <v>0.773049645390071</v>
      </c>
      <c r="AK158" s="0" t="n">
        <v>0.773049645390071</v>
      </c>
      <c r="AL158" s="0" t="n">
        <v>0.773049645390071</v>
      </c>
      <c r="AM158" s="0" t="n">
        <v>0.773049645390071</v>
      </c>
      <c r="AN158" s="0" t="n">
        <v>0.773049645390071</v>
      </c>
      <c r="AO158" s="0" t="n">
        <v>0.773049645390071</v>
      </c>
      <c r="AP158" s="0" t="n">
        <v>0.773049645390071</v>
      </c>
      <c r="AQ158" s="0" t="n">
        <v>0.773049645390071</v>
      </c>
      <c r="AR158" s="0" t="n">
        <v>0.773049645390071</v>
      </c>
      <c r="AS158" s="0" t="n">
        <v>0.773049645390071</v>
      </c>
      <c r="AT158" s="0" t="n">
        <v>0.773049645390071</v>
      </c>
      <c r="AU158" s="0" t="n">
        <v>0.5</v>
      </c>
      <c r="AV158" s="0" t="n">
        <v>0.5</v>
      </c>
      <c r="AW158" s="0" t="n">
        <v>0.5</v>
      </c>
      <c r="AX158" s="0" t="n">
        <v>0.5</v>
      </c>
      <c r="AY158" s="0" t="n">
        <v>0.5</v>
      </c>
      <c r="AZ158" s="0" t="n">
        <v>0.5</v>
      </c>
      <c r="BA158" s="0" t="n">
        <v>0.5</v>
      </c>
      <c r="BB158" s="0" t="n">
        <v>0.5</v>
      </c>
      <c r="BC158" s="0" t="n">
        <v>0.5</v>
      </c>
      <c r="BD158" s="0" t="n">
        <v>0.5</v>
      </c>
      <c r="BE158" s="0" t="n">
        <v>0.5</v>
      </c>
      <c r="BF158" s="0" t="n">
        <v>0.5</v>
      </c>
      <c r="BG158" s="0" t="n">
        <v>0.804729115239704</v>
      </c>
      <c r="BH158" s="0" t="n">
        <v>0.804729115239704</v>
      </c>
      <c r="BI158" s="0" t="n">
        <v>0.804729115239704</v>
      </c>
      <c r="BJ158" s="0" t="n">
        <v>0.804729115239704</v>
      </c>
      <c r="BK158" s="0" t="n">
        <v>0.804729115239704</v>
      </c>
    </row>
    <row r="159" customFormat="false" ht="12.8" hidden="false" customHeight="false" outlineLevel="0" collapsed="false">
      <c r="A159" s="21" t="n">
        <f aca="false">A158+1/24</f>
        <v>43898.5416670829</v>
      </c>
      <c r="B159" s="0" t="n">
        <v>0.762548178944177</v>
      </c>
      <c r="C159" s="0" t="n">
        <v>0.762548178944177</v>
      </c>
      <c r="D159" s="0" t="n">
        <v>0.762548178944177</v>
      </c>
      <c r="E159" s="0" t="n">
        <v>0.762548178944177</v>
      </c>
      <c r="F159" s="0" t="n">
        <v>0.762548178944177</v>
      </c>
      <c r="G159" s="0" t="n">
        <v>0.762548178944177</v>
      </c>
      <c r="H159" s="0" t="n">
        <v>0.762548178944177</v>
      </c>
      <c r="I159" s="0" t="n">
        <v>0.762548178944177</v>
      </c>
      <c r="J159" s="0" t="n">
        <v>0.762548178944177</v>
      </c>
      <c r="K159" s="0" t="n">
        <v>0.762548178944177</v>
      </c>
      <c r="L159" s="0" t="n">
        <v>0.762548178944177</v>
      </c>
      <c r="M159" s="0" t="n">
        <v>0.762548178944177</v>
      </c>
      <c r="N159" s="0" t="n">
        <v>0.762548178944177</v>
      </c>
      <c r="O159" s="0" t="n">
        <v>0.762548178944177</v>
      </c>
      <c r="P159" s="0" t="n">
        <v>0.762548178944177</v>
      </c>
      <c r="Q159" s="0" t="n">
        <v>0.762548178944177</v>
      </c>
      <c r="R159" s="0" t="n">
        <v>0.762548178944177</v>
      </c>
      <c r="S159" s="0" t="n">
        <v>0.762548178944177</v>
      </c>
      <c r="T159" s="0" t="n">
        <v>0.762548178944177</v>
      </c>
      <c r="U159" s="0" t="n">
        <v>0.762548178944177</v>
      </c>
      <c r="V159" s="0" t="n">
        <v>0.79128672745694</v>
      </c>
      <c r="W159" s="0" t="n">
        <v>0.79128672745694</v>
      </c>
      <c r="X159" s="0" t="n">
        <v>0.79128672745694</v>
      </c>
      <c r="Y159" s="0" t="n">
        <v>0.79128672745694</v>
      </c>
      <c r="Z159" s="0" t="n">
        <v>0.79128672745694</v>
      </c>
      <c r="AA159" s="0" t="n">
        <v>0.79128672745694</v>
      </c>
      <c r="AB159" s="0" t="n">
        <v>0.79128672745694</v>
      </c>
      <c r="AC159" s="0" t="n">
        <v>0.79128672745694</v>
      </c>
      <c r="AD159" s="0" t="n">
        <v>0.79128672745694</v>
      </c>
      <c r="AE159" s="0" t="n">
        <v>0.79128672745694</v>
      </c>
      <c r="AF159" s="0" t="n">
        <v>0.79128672745694</v>
      </c>
      <c r="AG159" s="0" t="n">
        <v>0.79128672745694</v>
      </c>
      <c r="AH159" s="0" t="n">
        <v>0.79128672745694</v>
      </c>
      <c r="AI159" s="0" t="n">
        <v>0.79128672745694</v>
      </c>
      <c r="AJ159" s="0" t="n">
        <v>0.79128672745694</v>
      </c>
      <c r="AK159" s="0" t="n">
        <v>0.79128672745694</v>
      </c>
      <c r="AL159" s="0" t="n">
        <v>0.79128672745694</v>
      </c>
      <c r="AM159" s="0" t="n">
        <v>0.79128672745694</v>
      </c>
      <c r="AN159" s="0" t="n">
        <v>0.79128672745694</v>
      </c>
      <c r="AO159" s="0" t="n">
        <v>0.79128672745694</v>
      </c>
      <c r="AP159" s="0" t="n">
        <v>0.79128672745694</v>
      </c>
      <c r="AQ159" s="0" t="n">
        <v>0.79128672745694</v>
      </c>
      <c r="AR159" s="0" t="n">
        <v>0.79128672745694</v>
      </c>
      <c r="AS159" s="0" t="n">
        <v>0.79128672745694</v>
      </c>
      <c r="AT159" s="0" t="n">
        <v>0.79128672745694</v>
      </c>
      <c r="AU159" s="0" t="n">
        <v>0.75</v>
      </c>
      <c r="AV159" s="0" t="n">
        <v>0.75</v>
      </c>
      <c r="AW159" s="0" t="n">
        <v>0.75</v>
      </c>
      <c r="AX159" s="0" t="n">
        <v>0.75</v>
      </c>
      <c r="AY159" s="0" t="n">
        <v>0.75</v>
      </c>
      <c r="AZ159" s="0" t="n">
        <v>0.75</v>
      </c>
      <c r="BA159" s="0" t="n">
        <v>0.75</v>
      </c>
      <c r="BB159" s="0" t="n">
        <v>0.75</v>
      </c>
      <c r="BC159" s="0" t="n">
        <v>0.75</v>
      </c>
      <c r="BD159" s="0" t="n">
        <v>0.75</v>
      </c>
      <c r="BE159" s="0" t="n">
        <v>0.75</v>
      </c>
      <c r="BF159" s="0" t="n">
        <v>0.75</v>
      </c>
      <c r="BG159" s="0" t="n">
        <v>0.762548178944177</v>
      </c>
      <c r="BH159" s="0" t="n">
        <v>0.762548178944177</v>
      </c>
      <c r="BI159" s="0" t="n">
        <v>0.762548178944177</v>
      </c>
      <c r="BJ159" s="0" t="n">
        <v>0.762548178944177</v>
      </c>
      <c r="BK159" s="0" t="n">
        <v>0.762548178944177</v>
      </c>
    </row>
    <row r="160" customFormat="false" ht="12.8" hidden="false" customHeight="false" outlineLevel="0" collapsed="false">
      <c r="A160" s="21" t="n">
        <f aca="false">A159+1/24</f>
        <v>43898.5833337496</v>
      </c>
      <c r="B160" s="0" t="n">
        <v>0.799142523060933</v>
      </c>
      <c r="C160" s="0" t="n">
        <v>0.799142523060933</v>
      </c>
      <c r="D160" s="0" t="n">
        <v>0.799142523060933</v>
      </c>
      <c r="E160" s="0" t="n">
        <v>0.799142523060933</v>
      </c>
      <c r="F160" s="0" t="n">
        <v>0.799142523060933</v>
      </c>
      <c r="G160" s="0" t="n">
        <v>0.799142523060933</v>
      </c>
      <c r="H160" s="0" t="n">
        <v>0.799142523060933</v>
      </c>
      <c r="I160" s="0" t="n">
        <v>0.799142523060933</v>
      </c>
      <c r="J160" s="0" t="n">
        <v>0.799142523060933</v>
      </c>
      <c r="K160" s="0" t="n">
        <v>0.799142523060933</v>
      </c>
      <c r="L160" s="0" t="n">
        <v>0.799142523060933</v>
      </c>
      <c r="M160" s="0" t="n">
        <v>0.799142523060933</v>
      </c>
      <c r="N160" s="0" t="n">
        <v>0.799142523060933</v>
      </c>
      <c r="O160" s="0" t="n">
        <v>0.799142523060933</v>
      </c>
      <c r="P160" s="0" t="n">
        <v>0.799142523060933</v>
      </c>
      <c r="Q160" s="0" t="n">
        <v>0.799142523060933</v>
      </c>
      <c r="R160" s="0" t="n">
        <v>0.799142523060933</v>
      </c>
      <c r="S160" s="0" t="n">
        <v>0.799142523060933</v>
      </c>
      <c r="T160" s="0" t="n">
        <v>0.799142523060933</v>
      </c>
      <c r="U160" s="0" t="n">
        <v>0.799142523060933</v>
      </c>
      <c r="V160" s="0" t="n">
        <v>0.694022289766971</v>
      </c>
      <c r="W160" s="0" t="n">
        <v>0.694022289766971</v>
      </c>
      <c r="X160" s="0" t="n">
        <v>0.694022289766971</v>
      </c>
      <c r="Y160" s="0" t="n">
        <v>0.694022289766971</v>
      </c>
      <c r="Z160" s="0" t="n">
        <v>0.694022289766971</v>
      </c>
      <c r="AA160" s="0" t="n">
        <v>0.694022289766971</v>
      </c>
      <c r="AB160" s="0" t="n">
        <v>0.694022289766971</v>
      </c>
      <c r="AC160" s="0" t="n">
        <v>0.694022289766971</v>
      </c>
      <c r="AD160" s="0" t="n">
        <v>0.694022289766971</v>
      </c>
      <c r="AE160" s="0" t="n">
        <v>0.694022289766971</v>
      </c>
      <c r="AF160" s="0" t="n">
        <v>0.694022289766971</v>
      </c>
      <c r="AG160" s="0" t="n">
        <v>0.694022289766971</v>
      </c>
      <c r="AH160" s="0" t="n">
        <v>0.694022289766971</v>
      </c>
      <c r="AI160" s="0" t="n">
        <v>0.694022289766971</v>
      </c>
      <c r="AJ160" s="0" t="n">
        <v>0.694022289766971</v>
      </c>
      <c r="AK160" s="0" t="n">
        <v>0.694022289766971</v>
      </c>
      <c r="AL160" s="0" t="n">
        <v>0.694022289766971</v>
      </c>
      <c r="AM160" s="0" t="n">
        <v>0.694022289766971</v>
      </c>
      <c r="AN160" s="0" t="n">
        <v>0.694022289766971</v>
      </c>
      <c r="AO160" s="0" t="n">
        <v>0.694022289766971</v>
      </c>
      <c r="AP160" s="0" t="n">
        <v>0.694022289766971</v>
      </c>
      <c r="AQ160" s="0" t="n">
        <v>0.694022289766971</v>
      </c>
      <c r="AR160" s="0" t="n">
        <v>0.694022289766971</v>
      </c>
      <c r="AS160" s="0" t="n">
        <v>0.694022289766971</v>
      </c>
      <c r="AT160" s="0" t="n">
        <v>0.694022289766971</v>
      </c>
      <c r="AU160" s="0" t="n">
        <v>1.375</v>
      </c>
      <c r="AV160" s="0" t="n">
        <v>1.375</v>
      </c>
      <c r="AW160" s="0" t="n">
        <v>1.375</v>
      </c>
      <c r="AX160" s="0" t="n">
        <v>1.375</v>
      </c>
      <c r="AY160" s="0" t="n">
        <v>1.375</v>
      </c>
      <c r="AZ160" s="0" t="n">
        <v>1.375</v>
      </c>
      <c r="BA160" s="0" t="n">
        <v>1.375</v>
      </c>
      <c r="BB160" s="0" t="n">
        <v>1.375</v>
      </c>
      <c r="BC160" s="0" t="n">
        <v>1.375</v>
      </c>
      <c r="BD160" s="0" t="n">
        <v>1.375</v>
      </c>
      <c r="BE160" s="0" t="n">
        <v>1.375</v>
      </c>
      <c r="BF160" s="0" t="n">
        <v>1.375</v>
      </c>
      <c r="BG160" s="0" t="n">
        <v>0.799142523060933</v>
      </c>
      <c r="BH160" s="0" t="n">
        <v>0.799142523060933</v>
      </c>
      <c r="BI160" s="0" t="n">
        <v>0.799142523060933</v>
      </c>
      <c r="BJ160" s="0" t="n">
        <v>0.799142523060933</v>
      </c>
      <c r="BK160" s="0" t="n">
        <v>0.799142523060933</v>
      </c>
    </row>
    <row r="161" customFormat="false" ht="12.8" hidden="false" customHeight="false" outlineLevel="0" collapsed="false">
      <c r="A161" s="21" t="n">
        <f aca="false">A160+1/24</f>
        <v>43898.6250004162</v>
      </c>
      <c r="B161" s="0" t="n">
        <v>0.804815729071933</v>
      </c>
      <c r="C161" s="0" t="n">
        <v>0.804815729071933</v>
      </c>
      <c r="D161" s="0" t="n">
        <v>0.804815729071933</v>
      </c>
      <c r="E161" s="0" t="n">
        <v>0.804815729071933</v>
      </c>
      <c r="F161" s="0" t="n">
        <v>0.804815729071933</v>
      </c>
      <c r="G161" s="0" t="n">
        <v>0.804815729071933</v>
      </c>
      <c r="H161" s="0" t="n">
        <v>0.804815729071933</v>
      </c>
      <c r="I161" s="0" t="n">
        <v>0.804815729071933</v>
      </c>
      <c r="J161" s="0" t="n">
        <v>0.804815729071933</v>
      </c>
      <c r="K161" s="0" t="n">
        <v>0.804815729071933</v>
      </c>
      <c r="L161" s="0" t="n">
        <v>0.804815729071933</v>
      </c>
      <c r="M161" s="0" t="n">
        <v>0.804815729071933</v>
      </c>
      <c r="N161" s="0" t="n">
        <v>0.804815729071933</v>
      </c>
      <c r="O161" s="0" t="n">
        <v>0.804815729071933</v>
      </c>
      <c r="P161" s="0" t="n">
        <v>0.804815729071933</v>
      </c>
      <c r="Q161" s="0" t="n">
        <v>0.804815729071933</v>
      </c>
      <c r="R161" s="0" t="n">
        <v>0.804815729071933</v>
      </c>
      <c r="S161" s="0" t="n">
        <v>0.804815729071933</v>
      </c>
      <c r="T161" s="0" t="n">
        <v>0.804815729071933</v>
      </c>
      <c r="U161" s="0" t="n">
        <v>0.804815729071933</v>
      </c>
      <c r="V161" s="0" t="n">
        <v>0.554204660587639</v>
      </c>
      <c r="W161" s="0" t="n">
        <v>0.554204660587639</v>
      </c>
      <c r="X161" s="0" t="n">
        <v>0.554204660587639</v>
      </c>
      <c r="Y161" s="0" t="n">
        <v>0.554204660587639</v>
      </c>
      <c r="Z161" s="0" t="n">
        <v>0.554204660587639</v>
      </c>
      <c r="AA161" s="0" t="n">
        <v>0.554204660587639</v>
      </c>
      <c r="AB161" s="0" t="n">
        <v>0.554204660587639</v>
      </c>
      <c r="AC161" s="0" t="n">
        <v>0.554204660587639</v>
      </c>
      <c r="AD161" s="0" t="n">
        <v>0.554204660587639</v>
      </c>
      <c r="AE161" s="0" t="n">
        <v>0.554204660587639</v>
      </c>
      <c r="AF161" s="0" t="n">
        <v>0.554204660587639</v>
      </c>
      <c r="AG161" s="0" t="n">
        <v>0.554204660587639</v>
      </c>
      <c r="AH161" s="0" t="n">
        <v>0.554204660587639</v>
      </c>
      <c r="AI161" s="0" t="n">
        <v>0.554204660587639</v>
      </c>
      <c r="AJ161" s="0" t="n">
        <v>0.554204660587639</v>
      </c>
      <c r="AK161" s="0" t="n">
        <v>0.554204660587639</v>
      </c>
      <c r="AL161" s="0" t="n">
        <v>0.554204660587639</v>
      </c>
      <c r="AM161" s="0" t="n">
        <v>0.554204660587639</v>
      </c>
      <c r="AN161" s="0" t="n">
        <v>0.554204660587639</v>
      </c>
      <c r="AO161" s="0" t="n">
        <v>0.554204660587639</v>
      </c>
      <c r="AP161" s="0" t="n">
        <v>0.554204660587639</v>
      </c>
      <c r="AQ161" s="0" t="n">
        <v>0.554204660587639</v>
      </c>
      <c r="AR161" s="0" t="n">
        <v>0.554204660587639</v>
      </c>
      <c r="AS161" s="0" t="n">
        <v>0.554204660587639</v>
      </c>
      <c r="AT161" s="0" t="n">
        <v>0.554204660587639</v>
      </c>
      <c r="AU161" s="0" t="n">
        <v>0.875</v>
      </c>
      <c r="AV161" s="0" t="n">
        <v>0.875</v>
      </c>
      <c r="AW161" s="0" t="n">
        <v>0.875</v>
      </c>
      <c r="AX161" s="0" t="n">
        <v>0.875</v>
      </c>
      <c r="AY161" s="0" t="n">
        <v>0.875</v>
      </c>
      <c r="AZ161" s="0" t="n">
        <v>0.875</v>
      </c>
      <c r="BA161" s="0" t="n">
        <v>0.875</v>
      </c>
      <c r="BB161" s="0" t="n">
        <v>0.875</v>
      </c>
      <c r="BC161" s="0" t="n">
        <v>0.875</v>
      </c>
      <c r="BD161" s="0" t="n">
        <v>0.875</v>
      </c>
      <c r="BE161" s="0" t="n">
        <v>0.875</v>
      </c>
      <c r="BF161" s="0" t="n">
        <v>0.875</v>
      </c>
      <c r="BG161" s="0" t="n">
        <v>0.804815729071933</v>
      </c>
      <c r="BH161" s="0" t="n">
        <v>0.804815729071933</v>
      </c>
      <c r="BI161" s="0" t="n">
        <v>0.804815729071933</v>
      </c>
      <c r="BJ161" s="0" t="n">
        <v>0.804815729071933</v>
      </c>
      <c r="BK161" s="0" t="n">
        <v>0.804815729071933</v>
      </c>
    </row>
    <row r="162" customFormat="false" ht="12.8" hidden="false" customHeight="false" outlineLevel="0" collapsed="false">
      <c r="A162" s="21" t="n">
        <f aca="false">A161+1/24</f>
        <v>43898.6666670829</v>
      </c>
      <c r="B162" s="0" t="n">
        <v>0.934260101338184</v>
      </c>
      <c r="C162" s="0" t="n">
        <v>0.934260101338184</v>
      </c>
      <c r="D162" s="0" t="n">
        <v>0.934260101338184</v>
      </c>
      <c r="E162" s="0" t="n">
        <v>0.934260101338184</v>
      </c>
      <c r="F162" s="0" t="n">
        <v>0.934260101338184</v>
      </c>
      <c r="G162" s="0" t="n">
        <v>0.934260101338184</v>
      </c>
      <c r="H162" s="0" t="n">
        <v>0.934260101338184</v>
      </c>
      <c r="I162" s="0" t="n">
        <v>0.934260101338184</v>
      </c>
      <c r="J162" s="0" t="n">
        <v>0.934260101338184</v>
      </c>
      <c r="K162" s="0" t="n">
        <v>0.934260101338184</v>
      </c>
      <c r="L162" s="0" t="n">
        <v>0.934260101338184</v>
      </c>
      <c r="M162" s="0" t="n">
        <v>0.934260101338184</v>
      </c>
      <c r="N162" s="0" t="n">
        <v>0.934260101338184</v>
      </c>
      <c r="O162" s="0" t="n">
        <v>0.934260101338184</v>
      </c>
      <c r="P162" s="0" t="n">
        <v>0.934260101338184</v>
      </c>
      <c r="Q162" s="0" t="n">
        <v>0.934260101338184</v>
      </c>
      <c r="R162" s="0" t="n">
        <v>0.934260101338184</v>
      </c>
      <c r="S162" s="0" t="n">
        <v>0.934260101338184</v>
      </c>
      <c r="T162" s="0" t="n">
        <v>0.934260101338184</v>
      </c>
      <c r="U162" s="0" t="n">
        <v>0.934260101338184</v>
      </c>
      <c r="V162" s="0" t="n">
        <v>0.550151975683891</v>
      </c>
      <c r="W162" s="0" t="n">
        <v>0.550151975683891</v>
      </c>
      <c r="X162" s="0" t="n">
        <v>0.550151975683891</v>
      </c>
      <c r="Y162" s="0" t="n">
        <v>0.550151975683891</v>
      </c>
      <c r="Z162" s="0" t="n">
        <v>0.550151975683891</v>
      </c>
      <c r="AA162" s="0" t="n">
        <v>0.550151975683891</v>
      </c>
      <c r="AB162" s="0" t="n">
        <v>0.550151975683891</v>
      </c>
      <c r="AC162" s="0" t="n">
        <v>0.550151975683891</v>
      </c>
      <c r="AD162" s="0" t="n">
        <v>0.550151975683891</v>
      </c>
      <c r="AE162" s="0" t="n">
        <v>0.550151975683891</v>
      </c>
      <c r="AF162" s="0" t="n">
        <v>0.550151975683891</v>
      </c>
      <c r="AG162" s="0" t="n">
        <v>0.550151975683891</v>
      </c>
      <c r="AH162" s="0" t="n">
        <v>0.550151975683891</v>
      </c>
      <c r="AI162" s="0" t="n">
        <v>0.550151975683891</v>
      </c>
      <c r="AJ162" s="0" t="n">
        <v>0.550151975683891</v>
      </c>
      <c r="AK162" s="0" t="n">
        <v>0.550151975683891</v>
      </c>
      <c r="AL162" s="0" t="n">
        <v>0.550151975683891</v>
      </c>
      <c r="AM162" s="0" t="n">
        <v>0.550151975683891</v>
      </c>
      <c r="AN162" s="0" t="n">
        <v>0.550151975683891</v>
      </c>
      <c r="AO162" s="0" t="n">
        <v>0.550151975683891</v>
      </c>
      <c r="AP162" s="0" t="n">
        <v>0.550151975683891</v>
      </c>
      <c r="AQ162" s="0" t="n">
        <v>0.550151975683891</v>
      </c>
      <c r="AR162" s="0" t="n">
        <v>0.550151975683891</v>
      </c>
      <c r="AS162" s="0" t="n">
        <v>0.550151975683891</v>
      </c>
      <c r="AT162" s="0" t="n">
        <v>0.550151975683891</v>
      </c>
      <c r="AU162" s="0" t="n">
        <v>0.875</v>
      </c>
      <c r="AV162" s="0" t="n">
        <v>0.875</v>
      </c>
      <c r="AW162" s="0" t="n">
        <v>0.875</v>
      </c>
      <c r="AX162" s="0" t="n">
        <v>0.875</v>
      </c>
      <c r="AY162" s="0" t="n">
        <v>0.875</v>
      </c>
      <c r="AZ162" s="0" t="n">
        <v>0.875</v>
      </c>
      <c r="BA162" s="0" t="n">
        <v>0.875</v>
      </c>
      <c r="BB162" s="0" t="n">
        <v>0.875</v>
      </c>
      <c r="BC162" s="0" t="n">
        <v>0.875</v>
      </c>
      <c r="BD162" s="0" t="n">
        <v>0.875</v>
      </c>
      <c r="BE162" s="0" t="n">
        <v>0.875</v>
      </c>
      <c r="BF162" s="0" t="n">
        <v>0.875</v>
      </c>
      <c r="BG162" s="0" t="n">
        <v>0.934260101338184</v>
      </c>
      <c r="BH162" s="0" t="n">
        <v>0.934260101338184</v>
      </c>
      <c r="BI162" s="0" t="n">
        <v>0.934260101338184</v>
      </c>
      <c r="BJ162" s="0" t="n">
        <v>0.934260101338184</v>
      </c>
      <c r="BK162" s="0" t="n">
        <v>0.934260101338184</v>
      </c>
    </row>
    <row r="163" customFormat="false" ht="12.8" hidden="false" customHeight="false" outlineLevel="0" collapsed="false">
      <c r="A163" s="21" t="n">
        <f aca="false">A162+1/24</f>
        <v>43898.7083337496</v>
      </c>
      <c r="B163" s="0" t="n">
        <v>1.02736997098437</v>
      </c>
      <c r="C163" s="0" t="n">
        <v>1.02736997098437</v>
      </c>
      <c r="D163" s="0" t="n">
        <v>1.02736997098437</v>
      </c>
      <c r="E163" s="0" t="n">
        <v>1.02736997098437</v>
      </c>
      <c r="F163" s="0" t="n">
        <v>1.02736997098437</v>
      </c>
      <c r="G163" s="0" t="n">
        <v>1.02736997098437</v>
      </c>
      <c r="H163" s="0" t="n">
        <v>1.02736997098437</v>
      </c>
      <c r="I163" s="0" t="n">
        <v>1.02736997098437</v>
      </c>
      <c r="J163" s="0" t="n">
        <v>1.02736997098437</v>
      </c>
      <c r="K163" s="0" t="n">
        <v>1.02736997098437</v>
      </c>
      <c r="L163" s="0" t="n">
        <v>1.02736997098437</v>
      </c>
      <c r="M163" s="0" t="n">
        <v>1.02736997098437</v>
      </c>
      <c r="N163" s="0" t="n">
        <v>1.02736997098437</v>
      </c>
      <c r="O163" s="0" t="n">
        <v>1.02736997098437</v>
      </c>
      <c r="P163" s="0" t="n">
        <v>1.02736997098437</v>
      </c>
      <c r="Q163" s="0" t="n">
        <v>1.02736997098437</v>
      </c>
      <c r="R163" s="0" t="n">
        <v>1.02736997098437</v>
      </c>
      <c r="S163" s="0" t="n">
        <v>1.02736997098437</v>
      </c>
      <c r="T163" s="0" t="n">
        <v>1.02736997098437</v>
      </c>
      <c r="U163" s="0" t="n">
        <v>1.02736997098437</v>
      </c>
      <c r="V163" s="0" t="n">
        <v>0.449848024316109</v>
      </c>
      <c r="W163" s="0" t="n">
        <v>0.449848024316109</v>
      </c>
      <c r="X163" s="0" t="n">
        <v>0.449848024316109</v>
      </c>
      <c r="Y163" s="0" t="n">
        <v>0.449848024316109</v>
      </c>
      <c r="Z163" s="0" t="n">
        <v>0.449848024316109</v>
      </c>
      <c r="AA163" s="0" t="n">
        <v>0.449848024316109</v>
      </c>
      <c r="AB163" s="0" t="n">
        <v>0.449848024316109</v>
      </c>
      <c r="AC163" s="0" t="n">
        <v>0.449848024316109</v>
      </c>
      <c r="AD163" s="0" t="n">
        <v>0.449848024316109</v>
      </c>
      <c r="AE163" s="0" t="n">
        <v>0.449848024316109</v>
      </c>
      <c r="AF163" s="0" t="n">
        <v>0.449848024316109</v>
      </c>
      <c r="AG163" s="0" t="n">
        <v>0.449848024316109</v>
      </c>
      <c r="AH163" s="0" t="n">
        <v>0.449848024316109</v>
      </c>
      <c r="AI163" s="0" t="n">
        <v>0.449848024316109</v>
      </c>
      <c r="AJ163" s="0" t="n">
        <v>0.449848024316109</v>
      </c>
      <c r="AK163" s="0" t="n">
        <v>0.449848024316109</v>
      </c>
      <c r="AL163" s="0" t="n">
        <v>0.449848024316109</v>
      </c>
      <c r="AM163" s="0" t="n">
        <v>0.449848024316109</v>
      </c>
      <c r="AN163" s="0" t="n">
        <v>0.449848024316109</v>
      </c>
      <c r="AO163" s="0" t="n">
        <v>0.449848024316109</v>
      </c>
      <c r="AP163" s="0" t="n">
        <v>0.449848024316109</v>
      </c>
      <c r="AQ163" s="0" t="n">
        <v>0.449848024316109</v>
      </c>
      <c r="AR163" s="0" t="n">
        <v>0.449848024316109</v>
      </c>
      <c r="AS163" s="0" t="n">
        <v>0.449848024316109</v>
      </c>
      <c r="AT163" s="0" t="n">
        <v>0.449848024316109</v>
      </c>
      <c r="AU163" s="0" t="n">
        <v>1.25</v>
      </c>
      <c r="AV163" s="0" t="n">
        <v>1.25</v>
      </c>
      <c r="AW163" s="0" t="n">
        <v>1.25</v>
      </c>
      <c r="AX163" s="0" t="n">
        <v>1.25</v>
      </c>
      <c r="AY163" s="0" t="n">
        <v>1.25</v>
      </c>
      <c r="AZ163" s="0" t="n">
        <v>1.25</v>
      </c>
      <c r="BA163" s="0" t="n">
        <v>1.25</v>
      </c>
      <c r="BB163" s="0" t="n">
        <v>1.25</v>
      </c>
      <c r="BC163" s="0" t="n">
        <v>1.25</v>
      </c>
      <c r="BD163" s="0" t="n">
        <v>1.25</v>
      </c>
      <c r="BE163" s="0" t="n">
        <v>1.25</v>
      </c>
      <c r="BF163" s="0" t="n">
        <v>1.25</v>
      </c>
      <c r="BG163" s="0" t="n">
        <v>1.02736997098437</v>
      </c>
      <c r="BH163" s="0" t="n">
        <v>1.02736997098437</v>
      </c>
      <c r="BI163" s="0" t="n">
        <v>1.02736997098437</v>
      </c>
      <c r="BJ163" s="0" t="n">
        <v>1.02736997098437</v>
      </c>
      <c r="BK163" s="0" t="n">
        <v>1.02736997098437</v>
      </c>
    </row>
    <row r="164" customFormat="false" ht="12.8" hidden="false" customHeight="false" outlineLevel="0" collapsed="false">
      <c r="A164" s="21" t="n">
        <f aca="false">A163+1/24</f>
        <v>43898.7500004162</v>
      </c>
      <c r="B164" s="0" t="n">
        <v>1.06340132519163</v>
      </c>
      <c r="C164" s="0" t="n">
        <v>1.06340132519163</v>
      </c>
      <c r="D164" s="0" t="n">
        <v>1.06340132519163</v>
      </c>
      <c r="E164" s="0" t="n">
        <v>1.06340132519163</v>
      </c>
      <c r="F164" s="0" t="n">
        <v>1.06340132519163</v>
      </c>
      <c r="G164" s="0" t="n">
        <v>1.06340132519163</v>
      </c>
      <c r="H164" s="0" t="n">
        <v>1.06340132519163</v>
      </c>
      <c r="I164" s="0" t="n">
        <v>1.06340132519163</v>
      </c>
      <c r="J164" s="0" t="n">
        <v>1.06340132519163</v>
      </c>
      <c r="K164" s="0" t="n">
        <v>1.06340132519163</v>
      </c>
      <c r="L164" s="0" t="n">
        <v>1.06340132519163</v>
      </c>
      <c r="M164" s="0" t="n">
        <v>1.06340132519163</v>
      </c>
      <c r="N164" s="0" t="n">
        <v>1.06340132519163</v>
      </c>
      <c r="O164" s="0" t="n">
        <v>1.06340132519163</v>
      </c>
      <c r="P164" s="0" t="n">
        <v>1.06340132519163</v>
      </c>
      <c r="Q164" s="0" t="n">
        <v>1.06340132519163</v>
      </c>
      <c r="R164" s="0" t="n">
        <v>1.06340132519163</v>
      </c>
      <c r="S164" s="0" t="n">
        <v>1.06340132519163</v>
      </c>
      <c r="T164" s="0" t="n">
        <v>1.06340132519163</v>
      </c>
      <c r="U164" s="0" t="n">
        <v>1.06340132519163</v>
      </c>
      <c r="V164" s="0" t="n">
        <v>0.457953394123607</v>
      </c>
      <c r="W164" s="0" t="n">
        <v>0.457953394123607</v>
      </c>
      <c r="X164" s="0" t="n">
        <v>0.457953394123607</v>
      </c>
      <c r="Y164" s="0" t="n">
        <v>0.457953394123607</v>
      </c>
      <c r="Z164" s="0" t="n">
        <v>0.457953394123607</v>
      </c>
      <c r="AA164" s="0" t="n">
        <v>0.457953394123607</v>
      </c>
      <c r="AB164" s="0" t="n">
        <v>0.457953394123607</v>
      </c>
      <c r="AC164" s="0" t="n">
        <v>0.457953394123607</v>
      </c>
      <c r="AD164" s="0" t="n">
        <v>0.457953394123607</v>
      </c>
      <c r="AE164" s="0" t="n">
        <v>0.457953394123607</v>
      </c>
      <c r="AF164" s="0" t="n">
        <v>0.457953394123607</v>
      </c>
      <c r="AG164" s="0" t="n">
        <v>0.457953394123607</v>
      </c>
      <c r="AH164" s="0" t="n">
        <v>0.457953394123607</v>
      </c>
      <c r="AI164" s="0" t="n">
        <v>0.457953394123607</v>
      </c>
      <c r="AJ164" s="0" t="n">
        <v>0.457953394123607</v>
      </c>
      <c r="AK164" s="0" t="n">
        <v>0.457953394123607</v>
      </c>
      <c r="AL164" s="0" t="n">
        <v>0.457953394123607</v>
      </c>
      <c r="AM164" s="0" t="n">
        <v>0.457953394123607</v>
      </c>
      <c r="AN164" s="0" t="n">
        <v>0.457953394123607</v>
      </c>
      <c r="AO164" s="0" t="n">
        <v>0.457953394123607</v>
      </c>
      <c r="AP164" s="0" t="n">
        <v>0.457953394123607</v>
      </c>
      <c r="AQ164" s="0" t="n">
        <v>0.457953394123607</v>
      </c>
      <c r="AR164" s="0" t="n">
        <v>0.457953394123607</v>
      </c>
      <c r="AS164" s="0" t="n">
        <v>0.457953394123607</v>
      </c>
      <c r="AT164" s="0" t="n">
        <v>0.457953394123607</v>
      </c>
      <c r="AU164" s="0" t="n">
        <v>0.75</v>
      </c>
      <c r="AV164" s="0" t="n">
        <v>0.75</v>
      </c>
      <c r="AW164" s="0" t="n">
        <v>0.75</v>
      </c>
      <c r="AX164" s="0" t="n">
        <v>0.75</v>
      </c>
      <c r="AY164" s="0" t="n">
        <v>0.75</v>
      </c>
      <c r="AZ164" s="0" t="n">
        <v>0.75</v>
      </c>
      <c r="BA164" s="0" t="n">
        <v>0.75</v>
      </c>
      <c r="BB164" s="0" t="n">
        <v>0.75</v>
      </c>
      <c r="BC164" s="0" t="n">
        <v>0.75</v>
      </c>
      <c r="BD164" s="0" t="n">
        <v>0.75</v>
      </c>
      <c r="BE164" s="0" t="n">
        <v>0.75</v>
      </c>
      <c r="BF164" s="0" t="n">
        <v>0.75</v>
      </c>
      <c r="BG164" s="0" t="n">
        <v>1.06340132519163</v>
      </c>
      <c r="BH164" s="0" t="n">
        <v>1.06340132519163</v>
      </c>
      <c r="BI164" s="0" t="n">
        <v>1.06340132519163</v>
      </c>
      <c r="BJ164" s="0" t="n">
        <v>1.06340132519163</v>
      </c>
      <c r="BK164" s="0" t="n">
        <v>1.06340132519163</v>
      </c>
    </row>
    <row r="165" customFormat="false" ht="12.8" hidden="false" customHeight="false" outlineLevel="0" collapsed="false">
      <c r="A165" s="21" t="n">
        <f aca="false">A164+1/24</f>
        <v>43898.7916670829</v>
      </c>
      <c r="B165" s="0" t="n">
        <v>1.01957472608376</v>
      </c>
      <c r="C165" s="0" t="n">
        <v>1.01957472608376</v>
      </c>
      <c r="D165" s="0" t="n">
        <v>1.01957472608376</v>
      </c>
      <c r="E165" s="0" t="n">
        <v>1.01957472608376</v>
      </c>
      <c r="F165" s="0" t="n">
        <v>1.01957472608376</v>
      </c>
      <c r="G165" s="0" t="n">
        <v>1.01957472608376</v>
      </c>
      <c r="H165" s="0" t="n">
        <v>1.01957472608376</v>
      </c>
      <c r="I165" s="0" t="n">
        <v>1.01957472608376</v>
      </c>
      <c r="J165" s="0" t="n">
        <v>1.01957472608376</v>
      </c>
      <c r="K165" s="0" t="n">
        <v>1.01957472608376</v>
      </c>
      <c r="L165" s="0" t="n">
        <v>1.01957472608376</v>
      </c>
      <c r="M165" s="0" t="n">
        <v>1.01957472608376</v>
      </c>
      <c r="N165" s="0" t="n">
        <v>1.01957472608376</v>
      </c>
      <c r="O165" s="0" t="n">
        <v>1.01957472608376</v>
      </c>
      <c r="P165" s="0" t="n">
        <v>1.01957472608376</v>
      </c>
      <c r="Q165" s="0" t="n">
        <v>1.01957472608376</v>
      </c>
      <c r="R165" s="0" t="n">
        <v>1.01957472608376</v>
      </c>
      <c r="S165" s="0" t="n">
        <v>1.01957472608376</v>
      </c>
      <c r="T165" s="0" t="n">
        <v>1.01957472608376</v>
      </c>
      <c r="U165" s="0" t="n">
        <v>1.01957472608376</v>
      </c>
      <c r="V165" s="0" t="n">
        <v>0.522796352583587</v>
      </c>
      <c r="W165" s="0" t="n">
        <v>0.522796352583587</v>
      </c>
      <c r="X165" s="0" t="n">
        <v>0.522796352583587</v>
      </c>
      <c r="Y165" s="0" t="n">
        <v>0.522796352583587</v>
      </c>
      <c r="Z165" s="0" t="n">
        <v>0.522796352583587</v>
      </c>
      <c r="AA165" s="0" t="n">
        <v>0.522796352583587</v>
      </c>
      <c r="AB165" s="0" t="n">
        <v>0.522796352583587</v>
      </c>
      <c r="AC165" s="0" t="n">
        <v>0.522796352583587</v>
      </c>
      <c r="AD165" s="0" t="n">
        <v>0.522796352583587</v>
      </c>
      <c r="AE165" s="0" t="n">
        <v>0.522796352583587</v>
      </c>
      <c r="AF165" s="0" t="n">
        <v>0.522796352583587</v>
      </c>
      <c r="AG165" s="0" t="n">
        <v>0.522796352583587</v>
      </c>
      <c r="AH165" s="0" t="n">
        <v>0.522796352583587</v>
      </c>
      <c r="AI165" s="0" t="n">
        <v>0.522796352583587</v>
      </c>
      <c r="AJ165" s="0" t="n">
        <v>0.522796352583587</v>
      </c>
      <c r="AK165" s="0" t="n">
        <v>0.522796352583587</v>
      </c>
      <c r="AL165" s="0" t="n">
        <v>0.522796352583587</v>
      </c>
      <c r="AM165" s="0" t="n">
        <v>0.522796352583587</v>
      </c>
      <c r="AN165" s="0" t="n">
        <v>0.522796352583587</v>
      </c>
      <c r="AO165" s="0" t="n">
        <v>0.522796352583587</v>
      </c>
      <c r="AP165" s="0" t="n">
        <v>0.522796352583587</v>
      </c>
      <c r="AQ165" s="0" t="n">
        <v>0.522796352583587</v>
      </c>
      <c r="AR165" s="0" t="n">
        <v>0.522796352583587</v>
      </c>
      <c r="AS165" s="0" t="n">
        <v>0.522796352583587</v>
      </c>
      <c r="AT165" s="0" t="n">
        <v>0.522796352583587</v>
      </c>
      <c r="AU165" s="0" t="n">
        <v>1</v>
      </c>
      <c r="AV165" s="0" t="n">
        <v>1</v>
      </c>
      <c r="AW165" s="0" t="n">
        <v>1</v>
      </c>
      <c r="AX165" s="0" t="n">
        <v>1</v>
      </c>
      <c r="AY165" s="0" t="n">
        <v>1</v>
      </c>
      <c r="AZ165" s="0" t="n">
        <v>1</v>
      </c>
      <c r="BA165" s="0" t="n">
        <v>1</v>
      </c>
      <c r="BB165" s="0" t="n">
        <v>1</v>
      </c>
      <c r="BC165" s="0" t="n">
        <v>1</v>
      </c>
      <c r="BD165" s="0" t="n">
        <v>1</v>
      </c>
      <c r="BE165" s="0" t="n">
        <v>1</v>
      </c>
      <c r="BF165" s="0" t="n">
        <v>1</v>
      </c>
      <c r="BG165" s="0" t="n">
        <v>1.01957472608376</v>
      </c>
      <c r="BH165" s="0" t="n">
        <v>1.01957472608376</v>
      </c>
      <c r="BI165" s="0" t="n">
        <v>1.01957472608376</v>
      </c>
      <c r="BJ165" s="0" t="n">
        <v>1.01957472608376</v>
      </c>
      <c r="BK165" s="0" t="n">
        <v>1.01957472608376</v>
      </c>
    </row>
    <row r="166" customFormat="false" ht="12.8" hidden="false" customHeight="false" outlineLevel="0" collapsed="false">
      <c r="A166" s="21" t="n">
        <f aca="false">A165+1/24</f>
        <v>43898.8333337496</v>
      </c>
      <c r="B166" s="0" t="n">
        <v>0.894071283183924</v>
      </c>
      <c r="C166" s="0" t="n">
        <v>0.894071283183924</v>
      </c>
      <c r="D166" s="0" t="n">
        <v>0.894071283183924</v>
      </c>
      <c r="E166" s="0" t="n">
        <v>0.894071283183924</v>
      </c>
      <c r="F166" s="0" t="n">
        <v>0.894071283183924</v>
      </c>
      <c r="G166" s="0" t="n">
        <v>0.894071283183924</v>
      </c>
      <c r="H166" s="0" t="n">
        <v>0.894071283183924</v>
      </c>
      <c r="I166" s="0" t="n">
        <v>0.894071283183924</v>
      </c>
      <c r="J166" s="0" t="n">
        <v>0.894071283183924</v>
      </c>
      <c r="K166" s="0" t="n">
        <v>0.894071283183924</v>
      </c>
      <c r="L166" s="0" t="n">
        <v>0.894071283183924</v>
      </c>
      <c r="M166" s="0" t="n">
        <v>0.894071283183924</v>
      </c>
      <c r="N166" s="0" t="n">
        <v>0.894071283183924</v>
      </c>
      <c r="O166" s="0" t="n">
        <v>0.894071283183924</v>
      </c>
      <c r="P166" s="0" t="n">
        <v>0.894071283183924</v>
      </c>
      <c r="Q166" s="0" t="n">
        <v>0.894071283183924</v>
      </c>
      <c r="R166" s="0" t="n">
        <v>0.894071283183924</v>
      </c>
      <c r="S166" s="0" t="n">
        <v>0.894071283183924</v>
      </c>
      <c r="T166" s="0" t="n">
        <v>0.894071283183924</v>
      </c>
      <c r="U166" s="0" t="n">
        <v>0.894071283183924</v>
      </c>
      <c r="V166" s="0" t="n">
        <v>0.514690982776089</v>
      </c>
      <c r="W166" s="0" t="n">
        <v>0.514690982776089</v>
      </c>
      <c r="X166" s="0" t="n">
        <v>0.514690982776089</v>
      </c>
      <c r="Y166" s="0" t="n">
        <v>0.514690982776089</v>
      </c>
      <c r="Z166" s="0" t="n">
        <v>0.514690982776089</v>
      </c>
      <c r="AA166" s="0" t="n">
        <v>0.514690982776089</v>
      </c>
      <c r="AB166" s="0" t="n">
        <v>0.514690982776089</v>
      </c>
      <c r="AC166" s="0" t="n">
        <v>0.514690982776089</v>
      </c>
      <c r="AD166" s="0" t="n">
        <v>0.514690982776089</v>
      </c>
      <c r="AE166" s="0" t="n">
        <v>0.514690982776089</v>
      </c>
      <c r="AF166" s="0" t="n">
        <v>0.514690982776089</v>
      </c>
      <c r="AG166" s="0" t="n">
        <v>0.514690982776089</v>
      </c>
      <c r="AH166" s="0" t="n">
        <v>0.514690982776089</v>
      </c>
      <c r="AI166" s="0" t="n">
        <v>0.514690982776089</v>
      </c>
      <c r="AJ166" s="0" t="n">
        <v>0.514690982776089</v>
      </c>
      <c r="AK166" s="0" t="n">
        <v>0.514690982776089</v>
      </c>
      <c r="AL166" s="0" t="n">
        <v>0.514690982776089</v>
      </c>
      <c r="AM166" s="0" t="n">
        <v>0.514690982776089</v>
      </c>
      <c r="AN166" s="0" t="n">
        <v>0.514690982776089</v>
      </c>
      <c r="AO166" s="0" t="n">
        <v>0.514690982776089</v>
      </c>
      <c r="AP166" s="0" t="n">
        <v>0.514690982776089</v>
      </c>
      <c r="AQ166" s="0" t="n">
        <v>0.514690982776089</v>
      </c>
      <c r="AR166" s="0" t="n">
        <v>0.514690982776089</v>
      </c>
      <c r="AS166" s="0" t="n">
        <v>0.514690982776089</v>
      </c>
      <c r="AT166" s="0" t="n">
        <v>0.514690982776089</v>
      </c>
      <c r="AU166" s="0" t="n">
        <v>1.75</v>
      </c>
      <c r="AV166" s="0" t="n">
        <v>1.75</v>
      </c>
      <c r="AW166" s="0" t="n">
        <v>1.75</v>
      </c>
      <c r="AX166" s="0" t="n">
        <v>1.75</v>
      </c>
      <c r="AY166" s="0" t="n">
        <v>1.75</v>
      </c>
      <c r="AZ166" s="0" t="n">
        <v>1.75</v>
      </c>
      <c r="BA166" s="0" t="n">
        <v>1.75</v>
      </c>
      <c r="BB166" s="0" t="n">
        <v>1.75</v>
      </c>
      <c r="BC166" s="0" t="n">
        <v>1.75</v>
      </c>
      <c r="BD166" s="0" t="n">
        <v>1.75</v>
      </c>
      <c r="BE166" s="0" t="n">
        <v>1.75</v>
      </c>
      <c r="BF166" s="0" t="n">
        <v>1.75</v>
      </c>
      <c r="BG166" s="0" t="n">
        <v>0.894071283183924</v>
      </c>
      <c r="BH166" s="0" t="n">
        <v>0.894071283183924</v>
      </c>
      <c r="BI166" s="0" t="n">
        <v>0.894071283183924</v>
      </c>
      <c r="BJ166" s="0" t="n">
        <v>0.894071283183924</v>
      </c>
      <c r="BK166" s="0" t="n">
        <v>0.894071283183924</v>
      </c>
    </row>
    <row r="167" customFormat="false" ht="12.8" hidden="false" customHeight="false" outlineLevel="0" collapsed="false">
      <c r="A167" s="21" t="n">
        <f aca="false">A166+1/24</f>
        <v>43898.8750004162</v>
      </c>
      <c r="B167" s="0" t="n">
        <v>0.750335628599887</v>
      </c>
      <c r="C167" s="0" t="n">
        <v>0.750335628599887</v>
      </c>
      <c r="D167" s="0" t="n">
        <v>0.750335628599887</v>
      </c>
      <c r="E167" s="0" t="n">
        <v>0.750335628599887</v>
      </c>
      <c r="F167" s="0" t="n">
        <v>0.750335628599887</v>
      </c>
      <c r="G167" s="0" t="n">
        <v>0.750335628599887</v>
      </c>
      <c r="H167" s="0" t="n">
        <v>0.750335628599887</v>
      </c>
      <c r="I167" s="0" t="n">
        <v>0.750335628599887</v>
      </c>
      <c r="J167" s="0" t="n">
        <v>0.750335628599887</v>
      </c>
      <c r="K167" s="0" t="n">
        <v>0.750335628599887</v>
      </c>
      <c r="L167" s="0" t="n">
        <v>0.750335628599887</v>
      </c>
      <c r="M167" s="0" t="n">
        <v>0.750335628599887</v>
      </c>
      <c r="N167" s="0" t="n">
        <v>0.750335628599887</v>
      </c>
      <c r="O167" s="0" t="n">
        <v>0.750335628599887</v>
      </c>
      <c r="P167" s="0" t="n">
        <v>0.750335628599887</v>
      </c>
      <c r="Q167" s="0" t="n">
        <v>0.750335628599887</v>
      </c>
      <c r="R167" s="0" t="n">
        <v>0.750335628599887</v>
      </c>
      <c r="S167" s="0" t="n">
        <v>0.750335628599887</v>
      </c>
      <c r="T167" s="0" t="n">
        <v>0.750335628599887</v>
      </c>
      <c r="U167" s="0" t="n">
        <v>0.750335628599887</v>
      </c>
      <c r="V167" s="0" t="n">
        <v>0.508611955420466</v>
      </c>
      <c r="W167" s="0" t="n">
        <v>0.508611955420466</v>
      </c>
      <c r="X167" s="0" t="n">
        <v>0.508611955420466</v>
      </c>
      <c r="Y167" s="0" t="n">
        <v>0.508611955420466</v>
      </c>
      <c r="Z167" s="0" t="n">
        <v>0.508611955420466</v>
      </c>
      <c r="AA167" s="0" t="n">
        <v>0.508611955420466</v>
      </c>
      <c r="AB167" s="0" t="n">
        <v>0.508611955420466</v>
      </c>
      <c r="AC167" s="0" t="n">
        <v>0.508611955420466</v>
      </c>
      <c r="AD167" s="0" t="n">
        <v>0.508611955420466</v>
      </c>
      <c r="AE167" s="0" t="n">
        <v>0.508611955420466</v>
      </c>
      <c r="AF167" s="0" t="n">
        <v>0.508611955420466</v>
      </c>
      <c r="AG167" s="0" t="n">
        <v>0.508611955420466</v>
      </c>
      <c r="AH167" s="0" t="n">
        <v>0.508611955420466</v>
      </c>
      <c r="AI167" s="0" t="n">
        <v>0.508611955420466</v>
      </c>
      <c r="AJ167" s="0" t="n">
        <v>0.508611955420466</v>
      </c>
      <c r="AK167" s="0" t="n">
        <v>0.508611955420466</v>
      </c>
      <c r="AL167" s="0" t="n">
        <v>0.508611955420466</v>
      </c>
      <c r="AM167" s="0" t="n">
        <v>0.508611955420466</v>
      </c>
      <c r="AN167" s="0" t="n">
        <v>0.508611955420466</v>
      </c>
      <c r="AO167" s="0" t="n">
        <v>0.508611955420466</v>
      </c>
      <c r="AP167" s="0" t="n">
        <v>0.508611955420466</v>
      </c>
      <c r="AQ167" s="0" t="n">
        <v>0.508611955420466</v>
      </c>
      <c r="AR167" s="0" t="n">
        <v>0.508611955420466</v>
      </c>
      <c r="AS167" s="0" t="n">
        <v>0.508611955420466</v>
      </c>
      <c r="AT167" s="0" t="n">
        <v>0.508611955420466</v>
      </c>
      <c r="AU167" s="0" t="n">
        <v>1</v>
      </c>
      <c r="AV167" s="0" t="n">
        <v>1</v>
      </c>
      <c r="AW167" s="0" t="n">
        <v>1</v>
      </c>
      <c r="AX167" s="0" t="n">
        <v>1</v>
      </c>
      <c r="AY167" s="0" t="n">
        <v>1</v>
      </c>
      <c r="AZ167" s="0" t="n">
        <v>1</v>
      </c>
      <c r="BA167" s="0" t="n">
        <v>1</v>
      </c>
      <c r="BB167" s="0" t="n">
        <v>1</v>
      </c>
      <c r="BC167" s="0" t="n">
        <v>1</v>
      </c>
      <c r="BD167" s="0" t="n">
        <v>1</v>
      </c>
      <c r="BE167" s="0" t="n">
        <v>1</v>
      </c>
      <c r="BF167" s="0" t="n">
        <v>1</v>
      </c>
      <c r="BG167" s="0" t="n">
        <v>0.750335628599887</v>
      </c>
      <c r="BH167" s="0" t="n">
        <v>0.750335628599887</v>
      </c>
      <c r="BI167" s="0" t="n">
        <v>0.750335628599887</v>
      </c>
      <c r="BJ167" s="0" t="n">
        <v>0.750335628599887</v>
      </c>
      <c r="BK167" s="0" t="n">
        <v>0.750335628599887</v>
      </c>
    </row>
    <row r="168" customFormat="false" ht="12.8" hidden="false" customHeight="false" outlineLevel="0" collapsed="false">
      <c r="A168" s="21" t="n">
        <f aca="false">A167+1/24</f>
        <v>43898.9166670829</v>
      </c>
      <c r="B168" s="0" t="n">
        <v>0.511411372396172</v>
      </c>
      <c r="C168" s="0" t="n">
        <v>0.511411372396172</v>
      </c>
      <c r="D168" s="0" t="n">
        <v>0.511411372396172</v>
      </c>
      <c r="E168" s="0" t="n">
        <v>0.511411372396172</v>
      </c>
      <c r="F168" s="0" t="n">
        <v>0.511411372396172</v>
      </c>
      <c r="G168" s="0" t="n">
        <v>0.511411372396172</v>
      </c>
      <c r="H168" s="0" t="n">
        <v>0.511411372396172</v>
      </c>
      <c r="I168" s="0" t="n">
        <v>0.511411372396172</v>
      </c>
      <c r="J168" s="0" t="n">
        <v>0.511411372396172</v>
      </c>
      <c r="K168" s="0" t="n">
        <v>0.511411372396172</v>
      </c>
      <c r="L168" s="0" t="n">
        <v>0.511411372396172</v>
      </c>
      <c r="M168" s="0" t="n">
        <v>0.511411372396172</v>
      </c>
      <c r="N168" s="0" t="n">
        <v>0.511411372396172</v>
      </c>
      <c r="O168" s="0" t="n">
        <v>0.511411372396172</v>
      </c>
      <c r="P168" s="0" t="n">
        <v>0.511411372396172</v>
      </c>
      <c r="Q168" s="0" t="n">
        <v>0.511411372396172</v>
      </c>
      <c r="R168" s="0" t="n">
        <v>0.511411372396172</v>
      </c>
      <c r="S168" s="0" t="n">
        <v>0.511411372396172</v>
      </c>
      <c r="T168" s="0" t="n">
        <v>0.511411372396172</v>
      </c>
      <c r="U168" s="0" t="n">
        <v>0.511411372396172</v>
      </c>
      <c r="V168" s="0" t="n">
        <v>0.483282674772036</v>
      </c>
      <c r="W168" s="0" t="n">
        <v>0.483282674772036</v>
      </c>
      <c r="X168" s="0" t="n">
        <v>0.483282674772036</v>
      </c>
      <c r="Y168" s="0" t="n">
        <v>0.483282674772036</v>
      </c>
      <c r="Z168" s="0" t="n">
        <v>0.483282674772036</v>
      </c>
      <c r="AA168" s="0" t="n">
        <v>0.483282674772036</v>
      </c>
      <c r="AB168" s="0" t="n">
        <v>0.483282674772036</v>
      </c>
      <c r="AC168" s="0" t="n">
        <v>0.483282674772036</v>
      </c>
      <c r="AD168" s="0" t="n">
        <v>0.483282674772036</v>
      </c>
      <c r="AE168" s="0" t="n">
        <v>0.483282674772036</v>
      </c>
      <c r="AF168" s="0" t="n">
        <v>0.483282674772036</v>
      </c>
      <c r="AG168" s="0" t="n">
        <v>0.483282674772036</v>
      </c>
      <c r="AH168" s="0" t="n">
        <v>0.483282674772036</v>
      </c>
      <c r="AI168" s="0" t="n">
        <v>0.483282674772036</v>
      </c>
      <c r="AJ168" s="0" t="n">
        <v>0.483282674772036</v>
      </c>
      <c r="AK168" s="0" t="n">
        <v>0.483282674772036</v>
      </c>
      <c r="AL168" s="0" t="n">
        <v>0.483282674772036</v>
      </c>
      <c r="AM168" s="0" t="n">
        <v>0.483282674772036</v>
      </c>
      <c r="AN168" s="0" t="n">
        <v>0.483282674772036</v>
      </c>
      <c r="AO168" s="0" t="n">
        <v>0.483282674772036</v>
      </c>
      <c r="AP168" s="0" t="n">
        <v>0.483282674772036</v>
      </c>
      <c r="AQ168" s="0" t="n">
        <v>0.483282674772036</v>
      </c>
      <c r="AR168" s="0" t="n">
        <v>0.483282674772036</v>
      </c>
      <c r="AS168" s="0" t="n">
        <v>0.483282674772036</v>
      </c>
      <c r="AT168" s="0" t="n">
        <v>0.483282674772036</v>
      </c>
      <c r="AU168" s="0" t="n">
        <v>1.25</v>
      </c>
      <c r="AV168" s="0" t="n">
        <v>1.25</v>
      </c>
      <c r="AW168" s="0" t="n">
        <v>1.25</v>
      </c>
      <c r="AX168" s="0" t="n">
        <v>1.25</v>
      </c>
      <c r="AY168" s="0" t="n">
        <v>1.25</v>
      </c>
      <c r="AZ168" s="0" t="n">
        <v>1.25</v>
      </c>
      <c r="BA168" s="0" t="n">
        <v>1.25</v>
      </c>
      <c r="BB168" s="0" t="n">
        <v>1.25</v>
      </c>
      <c r="BC168" s="0" t="n">
        <v>1.25</v>
      </c>
      <c r="BD168" s="0" t="n">
        <v>1.25</v>
      </c>
      <c r="BE168" s="0" t="n">
        <v>1.25</v>
      </c>
      <c r="BF168" s="0" t="n">
        <v>1.25</v>
      </c>
      <c r="BG168" s="0" t="n">
        <v>0.511411372396172</v>
      </c>
      <c r="BH168" s="0" t="n">
        <v>0.511411372396172</v>
      </c>
      <c r="BI168" s="0" t="n">
        <v>0.511411372396172</v>
      </c>
      <c r="BJ168" s="0" t="n">
        <v>0.511411372396172</v>
      </c>
      <c r="BK168" s="0" t="n">
        <v>0.511411372396172</v>
      </c>
    </row>
    <row r="169" customFormat="false" ht="12.8" hidden="false" customHeight="false" outlineLevel="0" collapsed="false">
      <c r="A169" s="21" t="n">
        <f aca="false">A168+1/24</f>
        <v>43898.9583337495</v>
      </c>
      <c r="B169" s="0" t="n">
        <v>0.268329652245464</v>
      </c>
      <c r="C169" s="0" t="n">
        <v>0.268329652245464</v>
      </c>
      <c r="D169" s="0" t="n">
        <v>0.268329652245464</v>
      </c>
      <c r="E169" s="0" t="n">
        <v>0.268329652245464</v>
      </c>
      <c r="F169" s="0" t="n">
        <v>0.268329652245464</v>
      </c>
      <c r="G169" s="0" t="n">
        <v>0.268329652245464</v>
      </c>
      <c r="H169" s="0" t="n">
        <v>0.268329652245464</v>
      </c>
      <c r="I169" s="0" t="n">
        <v>0.268329652245464</v>
      </c>
      <c r="J169" s="0" t="n">
        <v>0.268329652245464</v>
      </c>
      <c r="K169" s="0" t="n">
        <v>0.268329652245464</v>
      </c>
      <c r="L169" s="0" t="n">
        <v>0.268329652245464</v>
      </c>
      <c r="M169" s="0" t="n">
        <v>0.268329652245464</v>
      </c>
      <c r="N169" s="0" t="n">
        <v>0.268329652245464</v>
      </c>
      <c r="O169" s="0" t="n">
        <v>0.268329652245464</v>
      </c>
      <c r="P169" s="0" t="n">
        <v>0.268329652245464</v>
      </c>
      <c r="Q169" s="0" t="n">
        <v>0.268329652245464</v>
      </c>
      <c r="R169" s="0" t="n">
        <v>0.268329652245464</v>
      </c>
      <c r="S169" s="0" t="n">
        <v>0.268329652245464</v>
      </c>
      <c r="T169" s="0" t="n">
        <v>0.268329652245464</v>
      </c>
      <c r="U169" s="0" t="n">
        <v>0.268329652245464</v>
      </c>
      <c r="V169" s="0" t="n">
        <v>0.382978723404255</v>
      </c>
      <c r="W169" s="0" t="n">
        <v>0.382978723404255</v>
      </c>
      <c r="X169" s="0" t="n">
        <v>0.382978723404255</v>
      </c>
      <c r="Y169" s="0" t="n">
        <v>0.382978723404255</v>
      </c>
      <c r="Z169" s="0" t="n">
        <v>0.382978723404255</v>
      </c>
      <c r="AA169" s="0" t="n">
        <v>0.382978723404255</v>
      </c>
      <c r="AB169" s="0" t="n">
        <v>0.382978723404255</v>
      </c>
      <c r="AC169" s="0" t="n">
        <v>0.382978723404255</v>
      </c>
      <c r="AD169" s="0" t="n">
        <v>0.382978723404255</v>
      </c>
      <c r="AE169" s="0" t="n">
        <v>0.382978723404255</v>
      </c>
      <c r="AF169" s="0" t="n">
        <v>0.382978723404255</v>
      </c>
      <c r="AG169" s="0" t="n">
        <v>0.382978723404255</v>
      </c>
      <c r="AH169" s="0" t="n">
        <v>0.382978723404255</v>
      </c>
      <c r="AI169" s="0" t="n">
        <v>0.382978723404255</v>
      </c>
      <c r="AJ169" s="0" t="n">
        <v>0.382978723404255</v>
      </c>
      <c r="AK169" s="0" t="n">
        <v>0.382978723404255</v>
      </c>
      <c r="AL169" s="0" t="n">
        <v>0.382978723404255</v>
      </c>
      <c r="AM169" s="0" t="n">
        <v>0.382978723404255</v>
      </c>
      <c r="AN169" s="0" t="n">
        <v>0.382978723404255</v>
      </c>
      <c r="AO169" s="0" t="n">
        <v>0.382978723404255</v>
      </c>
      <c r="AP169" s="0" t="n">
        <v>0.382978723404255</v>
      </c>
      <c r="AQ169" s="0" t="n">
        <v>0.382978723404255</v>
      </c>
      <c r="AR169" s="0" t="n">
        <v>0.382978723404255</v>
      </c>
      <c r="AS169" s="0" t="n">
        <v>0.382978723404255</v>
      </c>
      <c r="AT169" s="0" t="n">
        <v>0.382978723404255</v>
      </c>
      <c r="AU169" s="0" t="n">
        <v>0.5</v>
      </c>
      <c r="AV169" s="0" t="n">
        <v>0.5</v>
      </c>
      <c r="AW169" s="0" t="n">
        <v>0.5</v>
      </c>
      <c r="AX169" s="0" t="n">
        <v>0.5</v>
      </c>
      <c r="AY169" s="0" t="n">
        <v>0.5</v>
      </c>
      <c r="AZ169" s="0" t="n">
        <v>0.5</v>
      </c>
      <c r="BA169" s="0" t="n">
        <v>0.5</v>
      </c>
      <c r="BB169" s="0" t="n">
        <v>0.5</v>
      </c>
      <c r="BC169" s="0" t="n">
        <v>0.5</v>
      </c>
      <c r="BD169" s="0" t="n">
        <v>0.5</v>
      </c>
      <c r="BE169" s="0" t="n">
        <v>0.5</v>
      </c>
      <c r="BF169" s="0" t="n">
        <v>0.5</v>
      </c>
      <c r="BG169" s="0" t="n">
        <v>0.268329652245464</v>
      </c>
      <c r="BH169" s="0" t="n">
        <v>0.268329652245464</v>
      </c>
      <c r="BI169" s="0" t="n">
        <v>0.268329652245464</v>
      </c>
      <c r="BJ169" s="0" t="n">
        <v>0.268329652245464</v>
      </c>
      <c r="BK169" s="0" t="n">
        <v>0.268329652245464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4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0" activeCellId="0" sqref="C10"/>
    </sheetView>
  </sheetViews>
  <sheetFormatPr defaultColWidth="11.77734375" defaultRowHeight="13.2" zeroHeight="false" outlineLevelRow="0" outlineLevelCol="0"/>
  <cols>
    <col collapsed="false" customWidth="true" hidden="false" outlineLevel="0" max="1" min="1" style="0" width="4.66"/>
    <col collapsed="false" customWidth="true" hidden="false" outlineLevel="0" max="13" min="2" style="0" width="17.21"/>
    <col collapsed="false" customWidth="true" hidden="false" outlineLevel="0" max="14" min="14" style="0" width="14.66"/>
    <col collapsed="false" customWidth="true" hidden="false" outlineLevel="0" max="15" min="15" style="0" width="13.43"/>
    <col collapsed="false" customWidth="true" hidden="false" outlineLevel="0" max="16" min="16" style="0" width="14.66"/>
    <col collapsed="false" customWidth="true" hidden="false" outlineLevel="0" max="17" min="17" style="0" width="17.21"/>
    <col collapsed="false" customWidth="true" hidden="false" outlineLevel="0" max="18" min="18" style="0" width="15"/>
    <col collapsed="false" customWidth="true" hidden="false" outlineLevel="0" max="19" min="19" style="0" width="11.22"/>
    <col collapsed="false" customWidth="true" hidden="false" outlineLevel="0" max="20" min="20" style="0" width="14.88"/>
    <col collapsed="false" customWidth="true" hidden="false" outlineLevel="0" max="21" min="21" style="0" width="11.11"/>
    <col collapsed="false" customWidth="true" hidden="false" outlineLevel="0" max="22" min="22" style="0" width="16.56"/>
    <col collapsed="false" customWidth="true" hidden="false" outlineLevel="0" max="23" min="23" style="0" width="19.65"/>
    <col collapsed="false" customWidth="true" hidden="false" outlineLevel="0" max="29" min="24" style="0" width="20.64"/>
    <col collapsed="false" customWidth="true" hidden="false" outlineLevel="0" max="30" min="30" style="0" width="17.56"/>
    <col collapsed="false" customWidth="true" hidden="false" outlineLevel="0" max="31" min="31" style="0" width="16.79"/>
    <col collapsed="false" customWidth="true" hidden="false" outlineLevel="0" max="32" min="32" style="0" width="19.89"/>
    <col collapsed="false" customWidth="true" hidden="false" outlineLevel="0" max="38" min="33" style="0" width="20.78"/>
    <col collapsed="false" customWidth="true" hidden="false" outlineLevel="0" max="39" min="39" style="0" width="17.78"/>
    <col collapsed="false" customWidth="true" hidden="false" outlineLevel="0" max="45" min="40" style="0" width="20.45"/>
    <col collapsed="false" customWidth="true" hidden="false" outlineLevel="0" max="46" min="46" style="0" width="14.55"/>
    <col collapsed="false" customWidth="true" hidden="false" outlineLevel="0" max="47" min="47" style="0" width="14.01"/>
    <col collapsed="false" customWidth="true" hidden="false" outlineLevel="0" max="48" min="48" style="0" width="17.11"/>
    <col collapsed="false" customWidth="true" hidden="false" outlineLevel="0" max="49" min="49" style="0" width="14.01"/>
    <col collapsed="false" customWidth="true" hidden="false" outlineLevel="0" max="50" min="50" style="0" width="14.11"/>
    <col collapsed="false" customWidth="true" hidden="false" outlineLevel="0" max="51" min="51" style="0" width="17.21"/>
    <col collapsed="false" customWidth="true" hidden="false" outlineLevel="0" max="52" min="52" style="0" width="14.11"/>
    <col collapsed="false" customWidth="true" hidden="false" outlineLevel="0" max="54" min="53" style="0" width="18"/>
    <col collapsed="false" customWidth="true" hidden="false" outlineLevel="0" max="56" min="55" style="0" width="18.22"/>
    <col collapsed="false" customWidth="true" hidden="false" outlineLevel="0" max="57" min="57" style="0" width="15.22"/>
    <col collapsed="false" customWidth="true" hidden="false" outlineLevel="0" max="58" min="58" style="0" width="10.89"/>
    <col collapsed="false" customWidth="true" hidden="false" outlineLevel="0" max="59" min="59" style="0" width="13.1"/>
    <col collapsed="false" customWidth="true" hidden="false" outlineLevel="0" max="60" min="60" style="0" width="17.11"/>
    <col collapsed="false" customWidth="true" hidden="false" outlineLevel="0" max="61" min="61" style="0" width="18.12"/>
    <col collapsed="false" customWidth="true" hidden="false" outlineLevel="0" max="62" min="62" style="0" width="14.11"/>
    <col collapsed="false" customWidth="true" hidden="false" outlineLevel="0" max="63" min="63" style="0" width="10"/>
  </cols>
  <sheetData>
    <row r="1" customFormat="false" ht="13.2" hidden="false" customHeight="false" outlineLevel="0" collapsed="false">
      <c r="A1" s="1" t="s">
        <v>233</v>
      </c>
      <c r="B1" s="23" t="str">
        <f aca="false">fleet_age!B1</f>
        <v>PC_MINI_G</v>
      </c>
      <c r="C1" s="23" t="str">
        <f aca="false">fleet_age!C1</f>
        <v>PC_SMALL_G</v>
      </c>
      <c r="D1" s="23" t="str">
        <f aca="false">fleet_age!D1</f>
        <v>PC_MEDIUM_G</v>
      </c>
      <c r="E1" s="23" t="str">
        <f aca="false">fleet_age!E1</f>
        <v>PC_SUV_G</v>
      </c>
      <c r="F1" s="23" t="str">
        <f aca="false">fleet_age!F1</f>
        <v>PC_MINI_D</v>
      </c>
      <c r="G1" s="23" t="str">
        <f aca="false">fleet_age!G1</f>
        <v>PC_SMALL_D</v>
      </c>
      <c r="H1" s="23" t="str">
        <f aca="false">fleet_age!H1</f>
        <v>PC_MEDIUM_D</v>
      </c>
      <c r="I1" s="23" t="str">
        <f aca="false">fleet_age!I1</f>
        <v>PC_SUV_D</v>
      </c>
      <c r="J1" s="23" t="str">
        <f aca="false">fleet_age!J1</f>
        <v>PC_ELEC</v>
      </c>
      <c r="K1" s="23" t="str">
        <f aca="false">fleet_age!K1</f>
        <v>PC_SMALL_HY</v>
      </c>
      <c r="L1" s="24" t="str">
        <f aca="false">fleet_age!L1</f>
        <v>TAXI_SMALL_G</v>
      </c>
      <c r="M1" s="24" t="str">
        <f aca="false">fleet_age!M1</f>
        <v>TAXI_SMALL_GLP</v>
      </c>
      <c r="N1" s="1" t="str">
        <f aca="false">fleet_age!N1</f>
        <v>LCV_NI_G</v>
      </c>
      <c r="O1" s="1" t="str">
        <f aca="false">fleet_age!O1</f>
        <v>LCV_NII_G</v>
      </c>
      <c r="P1" s="1" t="str">
        <f aca="false">fleet_age!P1</f>
        <v>LCV_NIII_G</v>
      </c>
      <c r="Q1" s="1" t="str">
        <f aca="false">fleet_age!Q1</f>
        <v>LCV_NI_D</v>
      </c>
      <c r="R1" s="1" t="str">
        <f aca="false">fleet_age!R1</f>
        <v>LCV_NII_D</v>
      </c>
      <c r="S1" s="1" t="str">
        <f aca="false">fleet_age!S1</f>
        <v>LCV_NIII_D</v>
      </c>
      <c r="T1" s="1" t="str">
        <f aca="false">fleet_age!T1</f>
        <v>LCV_ELEC</v>
      </c>
      <c r="U1" s="1" t="str">
        <f aca="false">fleet_age!U1</f>
        <v>LCV_HY</v>
      </c>
      <c r="V1" s="25" t="str">
        <f aca="false">fleet_age!V1</f>
        <v>TRUCKS_RT_7_D</v>
      </c>
      <c r="W1" s="25" t="str">
        <f aca="false">fleet_age!W1</f>
        <v>TRUCKS_RT_7_12_D</v>
      </c>
      <c r="X1" s="25" t="str">
        <f aca="false">fleet_age!X1</f>
        <v>TRUCKS_RT_12_14_D</v>
      </c>
      <c r="Y1" s="25" t="str">
        <f aca="false">fleet_age!Y1</f>
        <v>TRUCKS_RT_14_16_D</v>
      </c>
      <c r="Z1" s="25" t="str">
        <f aca="false">fleet_age!Z1</f>
        <v>TRUCKS_RT_16_20_D</v>
      </c>
      <c r="AA1" s="25" t="str">
        <f aca="false">fleet_age!AA1</f>
        <v>TRUCKS_RT_20_26_D</v>
      </c>
      <c r="AB1" s="26" t="str">
        <f aca="false">fleet_age!AB1</f>
        <v>TRUCKS_RT_26_28_D</v>
      </c>
      <c r="AC1" s="26" t="str">
        <f aca="false">fleet_age!AC1</f>
        <v>TRUCKS_RT_28_32_D</v>
      </c>
      <c r="AD1" s="26" t="str">
        <f aca="false">fleet_age!AD1</f>
        <v>TRUCKS_RT_32_D</v>
      </c>
      <c r="AE1" s="25" t="str">
        <f aca="false">fleet_age!AE1</f>
        <v>TRUCKS_RT_7_G</v>
      </c>
      <c r="AF1" s="25" t="str">
        <f aca="false">fleet_age!AF1</f>
        <v>TRUCKS_RT_7_12_G</v>
      </c>
      <c r="AG1" s="25" t="str">
        <f aca="false">fleet_age!AG1</f>
        <v>TRUCKS_RT_12_14_G</v>
      </c>
      <c r="AH1" s="25" t="str">
        <f aca="false">fleet_age!AH1</f>
        <v>TRUCKS_RT_14_16_G</v>
      </c>
      <c r="AI1" s="25" t="str">
        <f aca="false">fleet_age!AI1</f>
        <v>TRUCKS_RT_16_20_G</v>
      </c>
      <c r="AJ1" s="25" t="str">
        <f aca="false">fleet_age!AJ1</f>
        <v>TRUCKS_RT_20_26_G</v>
      </c>
      <c r="AK1" s="26" t="str">
        <f aca="false">fleet_age!AK1</f>
        <v>TRUCKS_RT_26_28_G</v>
      </c>
      <c r="AL1" s="26" t="str">
        <f aca="false">fleet_age!AL1</f>
        <v>TRUCKS_RT_28_32_G</v>
      </c>
      <c r="AM1" s="26" t="str">
        <f aca="false">fleet_age!AM1</f>
        <v>TRUCKS_RT_32_G</v>
      </c>
      <c r="AN1" s="26" t="str">
        <f aca="false">fleet_age!AN1</f>
        <v>TRUCKS_AT_16_20_D</v>
      </c>
      <c r="AO1" s="26" t="str">
        <f aca="false">fleet_age!AO1</f>
        <v>TRUCKS_AT_20_28_D</v>
      </c>
      <c r="AP1" s="26" t="str">
        <f aca="false">fleet_age!AP1</f>
        <v>TRUCKS_AT_28_34_D</v>
      </c>
      <c r="AQ1" s="26" t="str">
        <f aca="false">fleet_age!AQ1</f>
        <v>TRUCKS_AT_34_40_D</v>
      </c>
      <c r="AR1" s="26" t="str">
        <f aca="false">fleet_age!AR1</f>
        <v>TRUCKS_AT_40_50_D</v>
      </c>
      <c r="AS1" s="26" t="str">
        <f aca="false">fleet_age!AS1</f>
        <v>TRUCKS_AT_50_60_D</v>
      </c>
      <c r="AT1" s="25" t="str">
        <f aca="false">fleet_age!AT1</f>
        <v>TRUCKS_ELEC</v>
      </c>
      <c r="AU1" s="27" t="str">
        <f aca="false">fleet_age!AU1</f>
        <v>BUS_UB_15_D</v>
      </c>
      <c r="AV1" s="27" t="str">
        <f aca="false">fleet_age!AV1</f>
        <v>BUS_UB_15_18_D</v>
      </c>
      <c r="AW1" s="27" t="str">
        <f aca="false">fleet_age!AW1</f>
        <v>BUS_UB_18_D</v>
      </c>
      <c r="AX1" s="27" t="str">
        <f aca="false">fleet_age!AX1</f>
        <v>BUS_UB_15_G</v>
      </c>
      <c r="AY1" s="27" t="str">
        <f aca="false">fleet_age!AY1</f>
        <v>BUS_UB_15_18_G</v>
      </c>
      <c r="AZ1" s="27" t="str">
        <f aca="false">fleet_age!AZ1</f>
        <v>BUS_UB_18_G</v>
      </c>
      <c r="BA1" s="27" t="str">
        <f aca="false">fleet_age!BA1</f>
        <v>BUS_COACH_17_D</v>
      </c>
      <c r="BB1" s="27" t="str">
        <f aca="false">fleet_age!BB1</f>
        <v>BUS_COACH_18_D</v>
      </c>
      <c r="BC1" s="27" t="str">
        <f aca="false">fleet_age!BC1</f>
        <v>BUS_COACH_17_G</v>
      </c>
      <c r="BD1" s="27" t="str">
        <f aca="false">fleet_age!BD1</f>
        <v>BUS_COACH_18_G</v>
      </c>
      <c r="BE1" s="27" t="str">
        <f aca="false">fleet_age!BE1</f>
        <v>BUS_UB_15_HY</v>
      </c>
      <c r="BF1" s="27" t="str">
        <f aca="false">fleet_age!BF1</f>
        <v>BUS_ELEC</v>
      </c>
      <c r="BG1" s="28" t="str">
        <f aca="false">fleet_age!BG1</f>
        <v>MC_2S_50_G</v>
      </c>
      <c r="BH1" s="28" t="str">
        <f aca="false">fleet_age!BH1</f>
        <v>MC_4S_50_250_G</v>
      </c>
      <c r="BI1" s="28" t="str">
        <f aca="false">fleet_age!BI1</f>
        <v>MC_4S_250_750_G</v>
      </c>
      <c r="BJ1" s="28" t="str">
        <f aca="false">fleet_age!BJ1</f>
        <v>MC_4S_750_G</v>
      </c>
      <c r="BK1" s="28" t="str">
        <f aca="false">fleet_age!BK1</f>
        <v>MC_ELEC</v>
      </c>
    </row>
    <row r="2" customFormat="false" ht="13.2" hidden="false" customHeight="false" outlineLevel="0" collapsed="false">
      <c r="A2" s="0" t="n">
        <v>1</v>
      </c>
      <c r="B2" s="29" t="n">
        <v>11996.7656</v>
      </c>
      <c r="C2" s="29" t="n">
        <v>11996.7656</v>
      </c>
      <c r="D2" s="29" t="n">
        <v>11996.7656</v>
      </c>
      <c r="E2" s="29" t="n">
        <v>11996.7656</v>
      </c>
      <c r="F2" s="29" t="n">
        <v>11996.7656</v>
      </c>
      <c r="G2" s="29" t="n">
        <v>11996.7656</v>
      </c>
      <c r="H2" s="29" t="n">
        <v>11996.7656</v>
      </c>
      <c r="I2" s="29" t="n">
        <v>11996.7656</v>
      </c>
      <c r="J2" s="29" t="n">
        <v>11996.7656</v>
      </c>
      <c r="K2" s="29" t="n">
        <v>11996.7656</v>
      </c>
      <c r="L2" s="30" t="n">
        <f aca="false">K2*7</f>
        <v>83977.3592</v>
      </c>
      <c r="M2" s="30" t="n">
        <f aca="false">L2</f>
        <v>83977.3592</v>
      </c>
      <c r="N2" s="0" t="n">
        <v>17932.7643</v>
      </c>
      <c r="O2" s="0" t="n">
        <v>17932.7643</v>
      </c>
      <c r="P2" s="0" t="n">
        <v>17932.7643</v>
      </c>
      <c r="Q2" s="0" t="n">
        <v>17932.7643</v>
      </c>
      <c r="R2" s="0" t="n">
        <v>17932.7643</v>
      </c>
      <c r="S2" s="0" t="n">
        <v>17932.7643</v>
      </c>
      <c r="T2" s="0" t="n">
        <v>17932.7643</v>
      </c>
      <c r="U2" s="0" t="n">
        <v>17932.7643</v>
      </c>
      <c r="V2" s="31" t="n">
        <v>41083.0622</v>
      </c>
      <c r="W2" s="31" t="n">
        <v>41083.0622</v>
      </c>
      <c r="X2" s="31" t="n">
        <v>41083.0622</v>
      </c>
      <c r="Y2" s="31" t="n">
        <v>41083.0622</v>
      </c>
      <c r="Z2" s="31" t="n">
        <v>41083.0622</v>
      </c>
      <c r="AA2" s="31" t="n">
        <v>41083.0622</v>
      </c>
      <c r="AB2" s="32" t="n">
        <v>56223.3</v>
      </c>
      <c r="AC2" s="32" t="n">
        <v>56223.3</v>
      </c>
      <c r="AD2" s="32" t="n">
        <v>56223.3</v>
      </c>
      <c r="AE2" s="31" t="n">
        <v>41083.0622</v>
      </c>
      <c r="AF2" s="31" t="n">
        <v>41083.0622</v>
      </c>
      <c r="AG2" s="31" t="n">
        <v>41083.0622</v>
      </c>
      <c r="AH2" s="31" t="n">
        <v>41083.0622</v>
      </c>
      <c r="AI2" s="31" t="n">
        <v>41083.0622</v>
      </c>
      <c r="AJ2" s="31" t="n">
        <v>41083.0622</v>
      </c>
      <c r="AK2" s="32" t="n">
        <v>56223.3</v>
      </c>
      <c r="AL2" s="32" t="n">
        <v>56223.3</v>
      </c>
      <c r="AM2" s="32" t="n">
        <v>56223.3</v>
      </c>
      <c r="AN2" s="32" t="n">
        <v>56223.3</v>
      </c>
      <c r="AO2" s="32" t="n">
        <v>56223.3</v>
      </c>
      <c r="AP2" s="32" t="n">
        <v>56223.3</v>
      </c>
      <c r="AQ2" s="32" t="n">
        <v>56223.3</v>
      </c>
      <c r="AR2" s="32" t="n">
        <v>56223.3</v>
      </c>
      <c r="AS2" s="32" t="n">
        <v>56223.3</v>
      </c>
      <c r="AT2" s="31" t="n">
        <v>41083.0622</v>
      </c>
      <c r="AU2" s="33" t="n">
        <v>62470.1549</v>
      </c>
      <c r="AV2" s="33" t="n">
        <v>62470.1549</v>
      </c>
      <c r="AW2" s="33" t="n">
        <v>62470.1549</v>
      </c>
      <c r="AX2" s="33" t="n">
        <v>62470.1549</v>
      </c>
      <c r="AY2" s="33" t="n">
        <v>62470.1549</v>
      </c>
      <c r="AZ2" s="33" t="n">
        <v>62470.1549</v>
      </c>
      <c r="BA2" s="33" t="n">
        <v>62470.1549</v>
      </c>
      <c r="BB2" s="33" t="n">
        <v>62470.1549</v>
      </c>
      <c r="BC2" s="33" t="n">
        <v>62470.1549</v>
      </c>
      <c r="BD2" s="33" t="n">
        <v>62470.1549</v>
      </c>
      <c r="BE2" s="33" t="n">
        <v>62470.1549</v>
      </c>
      <c r="BF2" s="33" t="n">
        <v>62470.1549</v>
      </c>
      <c r="BG2" s="34" t="n">
        <v>12806.7672</v>
      </c>
      <c r="BH2" s="34" t="n">
        <v>12806.7672</v>
      </c>
      <c r="BI2" s="34" t="n">
        <v>12806.7672</v>
      </c>
      <c r="BJ2" s="34" t="n">
        <v>12806.7672</v>
      </c>
      <c r="BK2" s="34" t="n">
        <v>12806.7672</v>
      </c>
    </row>
    <row r="3" customFormat="false" ht="13.2" hidden="false" customHeight="false" outlineLevel="0" collapsed="false">
      <c r="A3" s="0" t="n">
        <f aca="false">A2+1</f>
        <v>2</v>
      </c>
      <c r="B3" s="29" t="n">
        <v>12632.4288</v>
      </c>
      <c r="C3" s="29" t="n">
        <v>12632.4288</v>
      </c>
      <c r="D3" s="29" t="n">
        <v>12632.4288</v>
      </c>
      <c r="E3" s="29" t="n">
        <v>12632.4288</v>
      </c>
      <c r="F3" s="29" t="n">
        <v>12632.4288</v>
      </c>
      <c r="G3" s="29" t="n">
        <v>12632.4288</v>
      </c>
      <c r="H3" s="29" t="n">
        <v>12632.4288</v>
      </c>
      <c r="I3" s="29" t="n">
        <v>12632.4288</v>
      </c>
      <c r="J3" s="29" t="n">
        <v>12632.4288</v>
      </c>
      <c r="K3" s="29" t="n">
        <v>12632.4288</v>
      </c>
      <c r="L3" s="30" t="n">
        <f aca="false">K3*7</f>
        <v>88427.0016</v>
      </c>
      <c r="M3" s="30" t="n">
        <f aca="false">L3</f>
        <v>88427.0016</v>
      </c>
      <c r="N3" s="0" t="n">
        <v>17638.0464</v>
      </c>
      <c r="O3" s="0" t="n">
        <v>17638.0464</v>
      </c>
      <c r="P3" s="0" t="n">
        <v>17638.0464</v>
      </c>
      <c r="Q3" s="0" t="n">
        <v>17638.0464</v>
      </c>
      <c r="R3" s="0" t="n">
        <v>17638.0464</v>
      </c>
      <c r="S3" s="0" t="n">
        <v>17638.0464</v>
      </c>
      <c r="T3" s="0" t="n">
        <v>17638.0464</v>
      </c>
      <c r="U3" s="0" t="n">
        <v>17638.0464</v>
      </c>
      <c r="V3" s="31" t="n">
        <v>38116.5968</v>
      </c>
      <c r="W3" s="31" t="n">
        <v>38116.5968</v>
      </c>
      <c r="X3" s="31" t="n">
        <v>38116.5968</v>
      </c>
      <c r="Y3" s="31" t="n">
        <v>38116.5968</v>
      </c>
      <c r="Z3" s="31" t="n">
        <v>38116.5968</v>
      </c>
      <c r="AA3" s="31" t="n">
        <v>38116.5968</v>
      </c>
      <c r="AB3" s="32" t="n">
        <v>55199.6</v>
      </c>
      <c r="AC3" s="32" t="n">
        <v>55199.6</v>
      </c>
      <c r="AD3" s="32" t="n">
        <v>55199.6</v>
      </c>
      <c r="AE3" s="31" t="n">
        <v>38116.5968</v>
      </c>
      <c r="AF3" s="31" t="n">
        <v>38116.5968</v>
      </c>
      <c r="AG3" s="31" t="n">
        <v>38116.5968</v>
      </c>
      <c r="AH3" s="31" t="n">
        <v>38116.5968</v>
      </c>
      <c r="AI3" s="31" t="n">
        <v>38116.5968</v>
      </c>
      <c r="AJ3" s="31" t="n">
        <v>38116.5968</v>
      </c>
      <c r="AK3" s="32" t="n">
        <v>55199.6</v>
      </c>
      <c r="AL3" s="32" t="n">
        <v>55199.6</v>
      </c>
      <c r="AM3" s="32" t="n">
        <v>55199.6</v>
      </c>
      <c r="AN3" s="32" t="n">
        <v>55199.6</v>
      </c>
      <c r="AO3" s="32" t="n">
        <v>55199.6</v>
      </c>
      <c r="AP3" s="32" t="n">
        <v>55199.6</v>
      </c>
      <c r="AQ3" s="32" t="n">
        <v>55199.6</v>
      </c>
      <c r="AR3" s="32" t="n">
        <v>55199.6</v>
      </c>
      <c r="AS3" s="32" t="n">
        <v>55199.6</v>
      </c>
      <c r="AT3" s="31" t="n">
        <v>38116.5968</v>
      </c>
      <c r="AU3" s="33" t="n">
        <v>58978.9992</v>
      </c>
      <c r="AV3" s="33" t="n">
        <v>58978.9992</v>
      </c>
      <c r="AW3" s="33" t="n">
        <v>58978.9992</v>
      </c>
      <c r="AX3" s="33" t="n">
        <v>58978.9992</v>
      </c>
      <c r="AY3" s="33" t="n">
        <v>58978.9992</v>
      </c>
      <c r="AZ3" s="33" t="n">
        <v>58978.9992</v>
      </c>
      <c r="BA3" s="33" t="n">
        <v>58978.9992</v>
      </c>
      <c r="BB3" s="33" t="n">
        <v>58978.9992</v>
      </c>
      <c r="BC3" s="33" t="n">
        <v>58978.9992</v>
      </c>
      <c r="BD3" s="33" t="n">
        <v>58978.9992</v>
      </c>
      <c r="BE3" s="33" t="n">
        <v>58978.9992</v>
      </c>
      <c r="BF3" s="33" t="n">
        <v>58978.9992</v>
      </c>
      <c r="BG3" s="34" t="n">
        <v>13077.5856</v>
      </c>
      <c r="BH3" s="34" t="n">
        <v>13077.5856</v>
      </c>
      <c r="BI3" s="34" t="n">
        <v>13077.5856</v>
      </c>
      <c r="BJ3" s="34" t="n">
        <v>13077.5856</v>
      </c>
      <c r="BK3" s="34" t="n">
        <v>13077.5856</v>
      </c>
    </row>
    <row r="4" customFormat="false" ht="13.2" hidden="false" customHeight="false" outlineLevel="0" collapsed="false">
      <c r="A4" s="0" t="n">
        <f aca="false">A3+1</f>
        <v>3</v>
      </c>
      <c r="B4" s="29" t="n">
        <v>13177.0192</v>
      </c>
      <c r="C4" s="29" t="n">
        <v>13177.0192</v>
      </c>
      <c r="D4" s="29" t="n">
        <v>13177.0192</v>
      </c>
      <c r="E4" s="29" t="n">
        <v>13177.0192</v>
      </c>
      <c r="F4" s="29" t="n">
        <v>13177.0192</v>
      </c>
      <c r="G4" s="29" t="n">
        <v>13177.0192</v>
      </c>
      <c r="H4" s="29" t="n">
        <v>13177.0192</v>
      </c>
      <c r="I4" s="29" t="n">
        <v>13177.0192</v>
      </c>
      <c r="J4" s="29" t="n">
        <v>13177.0192</v>
      </c>
      <c r="K4" s="29" t="n">
        <v>13177.0192</v>
      </c>
      <c r="L4" s="30" t="n">
        <f aca="false">K4*7</f>
        <v>92239.1344</v>
      </c>
      <c r="M4" s="30" t="n">
        <f aca="false">L4</f>
        <v>92239.1344</v>
      </c>
      <c r="N4" s="0" t="n">
        <v>17320.0201</v>
      </c>
      <c r="O4" s="0" t="n">
        <v>17320.0201</v>
      </c>
      <c r="P4" s="0" t="n">
        <v>17320.0201</v>
      </c>
      <c r="Q4" s="0" t="n">
        <v>17320.0201</v>
      </c>
      <c r="R4" s="0" t="n">
        <v>17320.0201</v>
      </c>
      <c r="S4" s="0" t="n">
        <v>17320.0201</v>
      </c>
      <c r="T4" s="0" t="n">
        <v>17320.0201</v>
      </c>
      <c r="U4" s="0" t="n">
        <v>17320.0201</v>
      </c>
      <c r="V4" s="31" t="n">
        <v>35564.019</v>
      </c>
      <c r="W4" s="31" t="n">
        <v>35564.019</v>
      </c>
      <c r="X4" s="31" t="n">
        <v>35564.019</v>
      </c>
      <c r="Y4" s="31" t="n">
        <v>35564.019</v>
      </c>
      <c r="Z4" s="31" t="n">
        <v>35564.019</v>
      </c>
      <c r="AA4" s="31" t="n">
        <v>35564.019</v>
      </c>
      <c r="AB4" s="32" t="n">
        <v>54175.9</v>
      </c>
      <c r="AC4" s="32" t="n">
        <v>54175.9</v>
      </c>
      <c r="AD4" s="32" t="n">
        <v>54175.9</v>
      </c>
      <c r="AE4" s="31" t="n">
        <v>35564.019</v>
      </c>
      <c r="AF4" s="31" t="n">
        <v>35564.019</v>
      </c>
      <c r="AG4" s="31" t="n">
        <v>35564.019</v>
      </c>
      <c r="AH4" s="31" t="n">
        <v>35564.019</v>
      </c>
      <c r="AI4" s="31" t="n">
        <v>35564.019</v>
      </c>
      <c r="AJ4" s="31" t="n">
        <v>35564.019</v>
      </c>
      <c r="AK4" s="32" t="n">
        <v>54175.9</v>
      </c>
      <c r="AL4" s="32" t="n">
        <v>54175.9</v>
      </c>
      <c r="AM4" s="32" t="n">
        <v>54175.9</v>
      </c>
      <c r="AN4" s="32" t="n">
        <v>54175.9</v>
      </c>
      <c r="AO4" s="32" t="n">
        <v>54175.9</v>
      </c>
      <c r="AP4" s="32" t="n">
        <v>54175.9</v>
      </c>
      <c r="AQ4" s="32" t="n">
        <v>54175.9</v>
      </c>
      <c r="AR4" s="32" t="n">
        <v>54175.9</v>
      </c>
      <c r="AS4" s="32" t="n">
        <v>54175.9</v>
      </c>
      <c r="AT4" s="31" t="n">
        <v>35564.019</v>
      </c>
      <c r="AU4" s="33" t="n">
        <v>55908.4023</v>
      </c>
      <c r="AV4" s="33" t="n">
        <v>55908.4023</v>
      </c>
      <c r="AW4" s="33" t="n">
        <v>55908.4023</v>
      </c>
      <c r="AX4" s="33" t="n">
        <v>55908.4023</v>
      </c>
      <c r="AY4" s="33" t="n">
        <v>55908.4023</v>
      </c>
      <c r="AZ4" s="33" t="n">
        <v>55908.4023</v>
      </c>
      <c r="BA4" s="33" t="n">
        <v>55908.4023</v>
      </c>
      <c r="BB4" s="33" t="n">
        <v>55908.4023</v>
      </c>
      <c r="BC4" s="33" t="n">
        <v>55908.4023</v>
      </c>
      <c r="BD4" s="33" t="n">
        <v>55908.4023</v>
      </c>
      <c r="BE4" s="33" t="n">
        <v>55908.4023</v>
      </c>
      <c r="BF4" s="33" t="n">
        <v>55908.4023</v>
      </c>
      <c r="BG4" s="34" t="n">
        <v>13243.4904</v>
      </c>
      <c r="BH4" s="34" t="n">
        <v>13243.4904</v>
      </c>
      <c r="BI4" s="34" t="n">
        <v>13243.4904</v>
      </c>
      <c r="BJ4" s="34" t="n">
        <v>13243.4904</v>
      </c>
      <c r="BK4" s="34" t="n">
        <v>13243.4904</v>
      </c>
    </row>
    <row r="5" customFormat="false" ht="13.2" hidden="false" customHeight="false" outlineLevel="0" collapsed="false">
      <c r="A5" s="0" t="n">
        <f aca="false">A4+1</f>
        <v>4</v>
      </c>
      <c r="B5" s="29" t="n">
        <v>13634.5664</v>
      </c>
      <c r="C5" s="29" t="n">
        <v>13634.5664</v>
      </c>
      <c r="D5" s="29" t="n">
        <v>13634.5664</v>
      </c>
      <c r="E5" s="29" t="n">
        <v>13634.5664</v>
      </c>
      <c r="F5" s="29" t="n">
        <v>13634.5664</v>
      </c>
      <c r="G5" s="29" t="n">
        <v>13634.5664</v>
      </c>
      <c r="H5" s="29" t="n">
        <v>13634.5664</v>
      </c>
      <c r="I5" s="29" t="n">
        <v>13634.5664</v>
      </c>
      <c r="J5" s="29" t="n">
        <v>13634.5664</v>
      </c>
      <c r="K5" s="29" t="n">
        <v>13634.5664</v>
      </c>
      <c r="L5" s="30" t="n">
        <f aca="false">K5*7</f>
        <v>95441.9648</v>
      </c>
      <c r="M5" s="30" t="n">
        <f aca="false">L5</f>
        <v>95441.9648</v>
      </c>
      <c r="N5" s="0" t="n">
        <v>16980.8592</v>
      </c>
      <c r="O5" s="0" t="n">
        <v>16980.8592</v>
      </c>
      <c r="P5" s="0" t="n">
        <v>16980.8592</v>
      </c>
      <c r="Q5" s="0" t="n">
        <v>16980.8592</v>
      </c>
      <c r="R5" s="0" t="n">
        <v>16980.8592</v>
      </c>
      <c r="S5" s="0" t="n">
        <v>16980.8592</v>
      </c>
      <c r="T5" s="0" t="n">
        <v>16980.8592</v>
      </c>
      <c r="U5" s="0" t="n">
        <v>16980.8592</v>
      </c>
      <c r="V5" s="31" t="n">
        <v>33385.6016</v>
      </c>
      <c r="W5" s="31" t="n">
        <v>33385.6016</v>
      </c>
      <c r="X5" s="31" t="n">
        <v>33385.6016</v>
      </c>
      <c r="Y5" s="31" t="n">
        <v>33385.6016</v>
      </c>
      <c r="Z5" s="31" t="n">
        <v>33385.6016</v>
      </c>
      <c r="AA5" s="31" t="n">
        <v>33385.6016</v>
      </c>
      <c r="AB5" s="32" t="n">
        <v>53152.2</v>
      </c>
      <c r="AC5" s="32" t="n">
        <v>53152.2</v>
      </c>
      <c r="AD5" s="32" t="n">
        <v>53152.2</v>
      </c>
      <c r="AE5" s="31" t="n">
        <v>33385.6016</v>
      </c>
      <c r="AF5" s="31" t="n">
        <v>33385.6016</v>
      </c>
      <c r="AG5" s="31" t="n">
        <v>33385.6016</v>
      </c>
      <c r="AH5" s="31" t="n">
        <v>33385.6016</v>
      </c>
      <c r="AI5" s="31" t="n">
        <v>33385.6016</v>
      </c>
      <c r="AJ5" s="31" t="n">
        <v>33385.6016</v>
      </c>
      <c r="AK5" s="32" t="n">
        <v>53152.2</v>
      </c>
      <c r="AL5" s="32" t="n">
        <v>53152.2</v>
      </c>
      <c r="AM5" s="32" t="n">
        <v>53152.2</v>
      </c>
      <c r="AN5" s="32" t="n">
        <v>53152.2</v>
      </c>
      <c r="AO5" s="32" t="n">
        <v>53152.2</v>
      </c>
      <c r="AP5" s="32" t="n">
        <v>53152.2</v>
      </c>
      <c r="AQ5" s="32" t="n">
        <v>53152.2</v>
      </c>
      <c r="AR5" s="32" t="n">
        <v>53152.2</v>
      </c>
      <c r="AS5" s="32" t="n">
        <v>53152.2</v>
      </c>
      <c r="AT5" s="31" t="n">
        <v>33385.6016</v>
      </c>
      <c r="AU5" s="33" t="n">
        <v>53205.2336</v>
      </c>
      <c r="AV5" s="33" t="n">
        <v>53205.2336</v>
      </c>
      <c r="AW5" s="33" t="n">
        <v>53205.2336</v>
      </c>
      <c r="AX5" s="33" t="n">
        <v>53205.2336</v>
      </c>
      <c r="AY5" s="33" t="n">
        <v>53205.2336</v>
      </c>
      <c r="AZ5" s="33" t="n">
        <v>53205.2336</v>
      </c>
      <c r="BA5" s="33" t="n">
        <v>53205.2336</v>
      </c>
      <c r="BB5" s="33" t="n">
        <v>53205.2336</v>
      </c>
      <c r="BC5" s="33" t="n">
        <v>53205.2336</v>
      </c>
      <c r="BD5" s="33" t="n">
        <v>53205.2336</v>
      </c>
      <c r="BE5" s="33" t="n">
        <v>53205.2336</v>
      </c>
      <c r="BF5" s="33" t="n">
        <v>53205.2336</v>
      </c>
      <c r="BG5" s="34" t="n">
        <v>13312.5168</v>
      </c>
      <c r="BH5" s="34" t="n">
        <v>13312.5168</v>
      </c>
      <c r="BI5" s="34" t="n">
        <v>13312.5168</v>
      </c>
      <c r="BJ5" s="34" t="n">
        <v>13312.5168</v>
      </c>
      <c r="BK5" s="34" t="n">
        <v>13312.5168</v>
      </c>
    </row>
    <row r="6" customFormat="false" ht="13.2" hidden="false" customHeight="false" outlineLevel="0" collapsed="false">
      <c r="A6" s="0" t="n">
        <f aca="false">A5+1</f>
        <v>5</v>
      </c>
      <c r="B6" s="29" t="n">
        <v>14009.1</v>
      </c>
      <c r="C6" s="29" t="n">
        <v>14009.1</v>
      </c>
      <c r="D6" s="29" t="n">
        <v>14009.1</v>
      </c>
      <c r="E6" s="29" t="n">
        <v>14009.1</v>
      </c>
      <c r="F6" s="29" t="n">
        <v>14009.1</v>
      </c>
      <c r="G6" s="29" t="n">
        <v>14009.1</v>
      </c>
      <c r="H6" s="29" t="n">
        <v>14009.1</v>
      </c>
      <c r="I6" s="29" t="n">
        <v>14009.1</v>
      </c>
      <c r="J6" s="29" t="n">
        <v>14009.1</v>
      </c>
      <c r="K6" s="29" t="n">
        <v>14009.1</v>
      </c>
      <c r="L6" s="30" t="n">
        <f aca="false">K6*7</f>
        <v>98063.7</v>
      </c>
      <c r="M6" s="30" t="n">
        <f aca="false">L6</f>
        <v>98063.7</v>
      </c>
      <c r="N6" s="0" t="n">
        <v>16622.7375</v>
      </c>
      <c r="O6" s="0" t="n">
        <v>16622.7375</v>
      </c>
      <c r="P6" s="0" t="n">
        <v>16622.7375</v>
      </c>
      <c r="Q6" s="0" t="n">
        <v>16622.7375</v>
      </c>
      <c r="R6" s="0" t="n">
        <v>16622.7375</v>
      </c>
      <c r="S6" s="0" t="n">
        <v>16622.7375</v>
      </c>
      <c r="T6" s="0" t="n">
        <v>16622.7375</v>
      </c>
      <c r="U6" s="0" t="n">
        <v>16622.7375</v>
      </c>
      <c r="V6" s="31" t="n">
        <v>31543.475</v>
      </c>
      <c r="W6" s="31" t="n">
        <v>31543.475</v>
      </c>
      <c r="X6" s="31" t="n">
        <v>31543.475</v>
      </c>
      <c r="Y6" s="31" t="n">
        <v>31543.475</v>
      </c>
      <c r="Z6" s="31" t="n">
        <v>31543.475</v>
      </c>
      <c r="AA6" s="31" t="n">
        <v>31543.475</v>
      </c>
      <c r="AB6" s="32" t="n">
        <v>52128.5</v>
      </c>
      <c r="AC6" s="32" t="n">
        <v>52128.5</v>
      </c>
      <c r="AD6" s="32" t="n">
        <v>52128.5</v>
      </c>
      <c r="AE6" s="31" t="n">
        <v>31543.475</v>
      </c>
      <c r="AF6" s="31" t="n">
        <v>31543.475</v>
      </c>
      <c r="AG6" s="31" t="n">
        <v>31543.475</v>
      </c>
      <c r="AH6" s="31" t="n">
        <v>31543.475</v>
      </c>
      <c r="AI6" s="31" t="n">
        <v>31543.475</v>
      </c>
      <c r="AJ6" s="31" t="n">
        <v>31543.475</v>
      </c>
      <c r="AK6" s="32" t="n">
        <v>52128.5</v>
      </c>
      <c r="AL6" s="32" t="n">
        <v>52128.5</v>
      </c>
      <c r="AM6" s="32" t="n">
        <v>52128.5</v>
      </c>
      <c r="AN6" s="32" t="n">
        <v>52128.5</v>
      </c>
      <c r="AO6" s="32" t="n">
        <v>52128.5</v>
      </c>
      <c r="AP6" s="32" t="n">
        <v>52128.5</v>
      </c>
      <c r="AQ6" s="32" t="n">
        <v>52128.5</v>
      </c>
      <c r="AR6" s="32" t="n">
        <v>52128.5</v>
      </c>
      <c r="AS6" s="32" t="n">
        <v>52128.5</v>
      </c>
      <c r="AT6" s="31" t="n">
        <v>31543.475</v>
      </c>
      <c r="AU6" s="33" t="n">
        <v>50816.3625</v>
      </c>
      <c r="AV6" s="33" t="n">
        <v>50816.3625</v>
      </c>
      <c r="AW6" s="33" t="n">
        <v>50816.3625</v>
      </c>
      <c r="AX6" s="33" t="n">
        <v>50816.3625</v>
      </c>
      <c r="AY6" s="33" t="n">
        <v>50816.3625</v>
      </c>
      <c r="AZ6" s="33" t="n">
        <v>50816.3625</v>
      </c>
      <c r="BA6" s="33" t="n">
        <v>50816.3625</v>
      </c>
      <c r="BB6" s="33" t="n">
        <v>50816.3625</v>
      </c>
      <c r="BC6" s="33" t="n">
        <v>50816.3625</v>
      </c>
      <c r="BD6" s="33" t="n">
        <v>50816.3625</v>
      </c>
      <c r="BE6" s="33" t="n">
        <v>50816.3625</v>
      </c>
      <c r="BF6" s="33" t="n">
        <v>50816.3625</v>
      </c>
      <c r="BG6" s="34" t="n">
        <v>13292.7</v>
      </c>
      <c r="BH6" s="34" t="n">
        <v>13292.7</v>
      </c>
      <c r="BI6" s="34" t="n">
        <v>13292.7</v>
      </c>
      <c r="BJ6" s="34" t="n">
        <v>13292.7</v>
      </c>
      <c r="BK6" s="34" t="n">
        <v>13292.7</v>
      </c>
    </row>
    <row r="7" customFormat="false" ht="13.2" hidden="false" customHeight="false" outlineLevel="0" collapsed="false">
      <c r="A7" s="0" t="n">
        <f aca="false">A6+1</f>
        <v>6</v>
      </c>
      <c r="B7" s="29" t="n">
        <v>14304.6496</v>
      </c>
      <c r="C7" s="29" t="n">
        <v>14304.6496</v>
      </c>
      <c r="D7" s="29" t="n">
        <v>14304.6496</v>
      </c>
      <c r="E7" s="29" t="n">
        <v>14304.6496</v>
      </c>
      <c r="F7" s="29" t="n">
        <v>14304.6496</v>
      </c>
      <c r="G7" s="29" t="n">
        <v>14304.6496</v>
      </c>
      <c r="H7" s="29" t="n">
        <v>14304.6496</v>
      </c>
      <c r="I7" s="29" t="n">
        <v>14304.6496</v>
      </c>
      <c r="J7" s="29" t="n">
        <v>14304.6496</v>
      </c>
      <c r="K7" s="29" t="n">
        <v>14304.6496</v>
      </c>
      <c r="L7" s="30" t="n">
        <f aca="false">K7*7</f>
        <v>100132.5472</v>
      </c>
      <c r="M7" s="30" t="n">
        <f aca="false">L7</f>
        <v>100132.5472</v>
      </c>
      <c r="N7" s="0" t="n">
        <v>16247.8288</v>
      </c>
      <c r="O7" s="0" t="n">
        <v>16247.8288</v>
      </c>
      <c r="P7" s="0" t="n">
        <v>16247.8288</v>
      </c>
      <c r="Q7" s="0" t="n">
        <v>16247.8288</v>
      </c>
      <c r="R7" s="0" t="n">
        <v>16247.8288</v>
      </c>
      <c r="S7" s="0" t="n">
        <v>16247.8288</v>
      </c>
      <c r="T7" s="0" t="n">
        <v>16247.8288</v>
      </c>
      <c r="U7" s="0" t="n">
        <v>16247.8288</v>
      </c>
      <c r="V7" s="31" t="n">
        <v>30001.6272</v>
      </c>
      <c r="W7" s="31" t="n">
        <v>30001.6272</v>
      </c>
      <c r="X7" s="31" t="n">
        <v>30001.6272</v>
      </c>
      <c r="Y7" s="31" t="n">
        <v>30001.6272</v>
      </c>
      <c r="Z7" s="31" t="n">
        <v>30001.6272</v>
      </c>
      <c r="AA7" s="31" t="n">
        <v>30001.6272</v>
      </c>
      <c r="AB7" s="32" t="n">
        <v>51104.8</v>
      </c>
      <c r="AC7" s="32" t="n">
        <v>51104.8</v>
      </c>
      <c r="AD7" s="32" t="n">
        <v>51104.8</v>
      </c>
      <c r="AE7" s="31" t="n">
        <v>30001.6272</v>
      </c>
      <c r="AF7" s="31" t="n">
        <v>30001.6272</v>
      </c>
      <c r="AG7" s="31" t="n">
        <v>30001.6272</v>
      </c>
      <c r="AH7" s="31" t="n">
        <v>30001.6272</v>
      </c>
      <c r="AI7" s="31" t="n">
        <v>30001.6272</v>
      </c>
      <c r="AJ7" s="31" t="n">
        <v>30001.6272</v>
      </c>
      <c r="AK7" s="32" t="n">
        <v>51104.8</v>
      </c>
      <c r="AL7" s="32" t="n">
        <v>51104.8</v>
      </c>
      <c r="AM7" s="32" t="n">
        <v>51104.8</v>
      </c>
      <c r="AN7" s="32" t="n">
        <v>51104.8</v>
      </c>
      <c r="AO7" s="32" t="n">
        <v>51104.8</v>
      </c>
      <c r="AP7" s="32" t="n">
        <v>51104.8</v>
      </c>
      <c r="AQ7" s="32" t="n">
        <v>51104.8</v>
      </c>
      <c r="AR7" s="32" t="n">
        <v>51104.8</v>
      </c>
      <c r="AS7" s="32" t="n">
        <v>51104.8</v>
      </c>
      <c r="AT7" s="31" t="n">
        <v>30001.6272</v>
      </c>
      <c r="AU7" s="33" t="n">
        <v>48688.6584</v>
      </c>
      <c r="AV7" s="33" t="n">
        <v>48688.6584</v>
      </c>
      <c r="AW7" s="33" t="n">
        <v>48688.6584</v>
      </c>
      <c r="AX7" s="33" t="n">
        <v>48688.6584</v>
      </c>
      <c r="AY7" s="33" t="n">
        <v>48688.6584</v>
      </c>
      <c r="AZ7" s="33" t="n">
        <v>48688.6584</v>
      </c>
      <c r="BA7" s="33" t="n">
        <v>48688.6584</v>
      </c>
      <c r="BB7" s="33" t="n">
        <v>48688.6584</v>
      </c>
      <c r="BC7" s="33" t="n">
        <v>48688.6584</v>
      </c>
      <c r="BD7" s="33" t="n">
        <v>48688.6584</v>
      </c>
      <c r="BE7" s="33" t="n">
        <v>48688.6584</v>
      </c>
      <c r="BF7" s="33" t="n">
        <v>48688.6584</v>
      </c>
      <c r="BG7" s="34" t="n">
        <v>13192.0752</v>
      </c>
      <c r="BH7" s="34" t="n">
        <v>13192.0752</v>
      </c>
      <c r="BI7" s="34" t="n">
        <v>13192.0752</v>
      </c>
      <c r="BJ7" s="34" t="n">
        <v>13192.0752</v>
      </c>
      <c r="BK7" s="34" t="n">
        <v>13192.0752</v>
      </c>
    </row>
    <row r="8" customFormat="false" ht="13.2" hidden="false" customHeight="false" outlineLevel="0" collapsed="false">
      <c r="A8" s="0" t="n">
        <f aca="false">A7+1</f>
        <v>7</v>
      </c>
      <c r="B8" s="29" t="n">
        <v>14525.2448</v>
      </c>
      <c r="C8" s="29" t="n">
        <v>14525.2448</v>
      </c>
      <c r="D8" s="29" t="n">
        <v>14525.2448</v>
      </c>
      <c r="E8" s="29" t="n">
        <v>14525.2448</v>
      </c>
      <c r="F8" s="29" t="n">
        <v>14525.2448</v>
      </c>
      <c r="G8" s="29" t="n">
        <v>14525.2448</v>
      </c>
      <c r="H8" s="29" t="n">
        <v>14525.2448</v>
      </c>
      <c r="I8" s="29" t="n">
        <v>14525.2448</v>
      </c>
      <c r="J8" s="29" t="n">
        <v>14525.2448</v>
      </c>
      <c r="K8" s="29" t="n">
        <v>14525.2448</v>
      </c>
      <c r="L8" s="30" t="n">
        <f aca="false">K8*7</f>
        <v>101676.7136</v>
      </c>
      <c r="M8" s="30" t="n">
        <f aca="false">L8</f>
        <v>101676.7136</v>
      </c>
      <c r="N8" s="0" t="n">
        <v>15858.3069</v>
      </c>
      <c r="O8" s="0" t="n">
        <v>15858.3069</v>
      </c>
      <c r="P8" s="0" t="n">
        <v>15858.3069</v>
      </c>
      <c r="Q8" s="0" t="n">
        <v>15858.3069</v>
      </c>
      <c r="R8" s="0" t="n">
        <v>15858.3069</v>
      </c>
      <c r="S8" s="0" t="n">
        <v>15858.3069</v>
      </c>
      <c r="T8" s="0" t="n">
        <v>15858.3069</v>
      </c>
      <c r="U8" s="0" t="n">
        <v>15858.3069</v>
      </c>
      <c r="V8" s="31" t="n">
        <v>28725.9038</v>
      </c>
      <c r="W8" s="31" t="n">
        <v>28725.9038</v>
      </c>
      <c r="X8" s="31" t="n">
        <v>28725.9038</v>
      </c>
      <c r="Y8" s="31" t="n">
        <v>28725.9038</v>
      </c>
      <c r="Z8" s="31" t="n">
        <v>28725.9038</v>
      </c>
      <c r="AA8" s="31" t="n">
        <v>28725.9038</v>
      </c>
      <c r="AB8" s="32" t="n">
        <v>50081.1</v>
      </c>
      <c r="AC8" s="32" t="n">
        <v>50081.1</v>
      </c>
      <c r="AD8" s="32" t="n">
        <v>50081.1</v>
      </c>
      <c r="AE8" s="31" t="n">
        <v>28725.9038</v>
      </c>
      <c r="AF8" s="31" t="n">
        <v>28725.9038</v>
      </c>
      <c r="AG8" s="31" t="n">
        <v>28725.9038</v>
      </c>
      <c r="AH8" s="31" t="n">
        <v>28725.9038</v>
      </c>
      <c r="AI8" s="31" t="n">
        <v>28725.9038</v>
      </c>
      <c r="AJ8" s="31" t="n">
        <v>28725.9038</v>
      </c>
      <c r="AK8" s="32" t="n">
        <v>50081.1</v>
      </c>
      <c r="AL8" s="32" t="n">
        <v>50081.1</v>
      </c>
      <c r="AM8" s="32" t="n">
        <v>50081.1</v>
      </c>
      <c r="AN8" s="32" t="n">
        <v>50081.1</v>
      </c>
      <c r="AO8" s="32" t="n">
        <v>50081.1</v>
      </c>
      <c r="AP8" s="32" t="n">
        <v>50081.1</v>
      </c>
      <c r="AQ8" s="32" t="n">
        <v>50081.1</v>
      </c>
      <c r="AR8" s="32" t="n">
        <v>50081.1</v>
      </c>
      <c r="AS8" s="32" t="n">
        <v>50081.1</v>
      </c>
      <c r="AT8" s="31" t="n">
        <v>28725.9038</v>
      </c>
      <c r="AU8" s="33" t="n">
        <v>46768.9907</v>
      </c>
      <c r="AV8" s="33" t="n">
        <v>46768.9907</v>
      </c>
      <c r="AW8" s="33" t="n">
        <v>46768.9907</v>
      </c>
      <c r="AX8" s="33" t="n">
        <v>46768.9907</v>
      </c>
      <c r="AY8" s="33" t="n">
        <v>46768.9907</v>
      </c>
      <c r="AZ8" s="33" t="n">
        <v>46768.9907</v>
      </c>
      <c r="BA8" s="33" t="n">
        <v>46768.9907</v>
      </c>
      <c r="BB8" s="33" t="n">
        <v>46768.9907</v>
      </c>
      <c r="BC8" s="33" t="n">
        <v>46768.9907</v>
      </c>
      <c r="BD8" s="33" t="n">
        <v>46768.9907</v>
      </c>
      <c r="BE8" s="33" t="n">
        <v>46768.9907</v>
      </c>
      <c r="BF8" s="33" t="n">
        <v>46768.9907</v>
      </c>
      <c r="BG8" s="34" t="n">
        <v>13018.6776</v>
      </c>
      <c r="BH8" s="34" t="n">
        <v>13018.6776</v>
      </c>
      <c r="BI8" s="34" t="n">
        <v>13018.6776</v>
      </c>
      <c r="BJ8" s="34" t="n">
        <v>13018.6776</v>
      </c>
      <c r="BK8" s="34" t="n">
        <v>13018.6776</v>
      </c>
    </row>
    <row r="9" customFormat="false" ht="13.2" hidden="false" customHeight="false" outlineLevel="0" collapsed="false">
      <c r="A9" s="0" t="n">
        <f aca="false">A8+1</f>
        <v>8</v>
      </c>
      <c r="B9" s="29" t="n">
        <v>14674.9152</v>
      </c>
      <c r="C9" s="29" t="n">
        <v>14674.9152</v>
      </c>
      <c r="D9" s="29" t="n">
        <v>14674.9152</v>
      </c>
      <c r="E9" s="29" t="n">
        <v>14674.9152</v>
      </c>
      <c r="F9" s="29" t="n">
        <v>14674.9152</v>
      </c>
      <c r="G9" s="29" t="n">
        <v>14674.9152</v>
      </c>
      <c r="H9" s="29" t="n">
        <v>14674.9152</v>
      </c>
      <c r="I9" s="29" t="n">
        <v>14674.9152</v>
      </c>
      <c r="J9" s="29" t="n">
        <v>14674.9152</v>
      </c>
      <c r="K9" s="29" t="n">
        <v>14674.9152</v>
      </c>
      <c r="L9" s="30" t="n">
        <f aca="false">K9*7</f>
        <v>102724.4064</v>
      </c>
      <c r="M9" s="30" t="n">
        <f aca="false">L9</f>
        <v>102724.4064</v>
      </c>
      <c r="N9" s="0" t="n">
        <v>15456.3456</v>
      </c>
      <c r="O9" s="0" t="n">
        <v>15456.3456</v>
      </c>
      <c r="P9" s="0" t="n">
        <v>15456.3456</v>
      </c>
      <c r="Q9" s="0" t="n">
        <v>15456.3456</v>
      </c>
      <c r="R9" s="0" t="n">
        <v>15456.3456</v>
      </c>
      <c r="S9" s="0" t="n">
        <v>15456.3456</v>
      </c>
      <c r="T9" s="0" t="n">
        <v>15456.3456</v>
      </c>
      <c r="U9" s="0" t="n">
        <v>15456.3456</v>
      </c>
      <c r="V9" s="31" t="n">
        <v>27684.008</v>
      </c>
      <c r="W9" s="31" t="n">
        <v>27684.008</v>
      </c>
      <c r="X9" s="31" t="n">
        <v>27684.008</v>
      </c>
      <c r="Y9" s="31" t="n">
        <v>27684.008</v>
      </c>
      <c r="Z9" s="31" t="n">
        <v>27684.008</v>
      </c>
      <c r="AA9" s="31" t="n">
        <v>27684.008</v>
      </c>
      <c r="AB9" s="32" t="n">
        <v>49057.4</v>
      </c>
      <c r="AC9" s="32" t="n">
        <v>49057.4</v>
      </c>
      <c r="AD9" s="32" t="n">
        <v>49057.4</v>
      </c>
      <c r="AE9" s="31" t="n">
        <v>27684.008</v>
      </c>
      <c r="AF9" s="31" t="n">
        <v>27684.008</v>
      </c>
      <c r="AG9" s="31" t="n">
        <v>27684.008</v>
      </c>
      <c r="AH9" s="31" t="n">
        <v>27684.008</v>
      </c>
      <c r="AI9" s="31" t="n">
        <v>27684.008</v>
      </c>
      <c r="AJ9" s="31" t="n">
        <v>27684.008</v>
      </c>
      <c r="AK9" s="32" t="n">
        <v>49057.4</v>
      </c>
      <c r="AL9" s="32" t="n">
        <v>49057.4</v>
      </c>
      <c r="AM9" s="32" t="n">
        <v>49057.4</v>
      </c>
      <c r="AN9" s="32" t="n">
        <v>49057.4</v>
      </c>
      <c r="AO9" s="32" t="n">
        <v>49057.4</v>
      </c>
      <c r="AP9" s="32" t="n">
        <v>49057.4</v>
      </c>
      <c r="AQ9" s="32" t="n">
        <v>49057.4</v>
      </c>
      <c r="AR9" s="32" t="n">
        <v>49057.4</v>
      </c>
      <c r="AS9" s="32" t="n">
        <v>49057.4</v>
      </c>
      <c r="AT9" s="31" t="n">
        <v>27684.008</v>
      </c>
      <c r="AU9" s="33" t="n">
        <v>45004.2288</v>
      </c>
      <c r="AV9" s="33" t="n">
        <v>45004.2288</v>
      </c>
      <c r="AW9" s="33" t="n">
        <v>45004.2288</v>
      </c>
      <c r="AX9" s="33" t="n">
        <v>45004.2288</v>
      </c>
      <c r="AY9" s="33" t="n">
        <v>45004.2288</v>
      </c>
      <c r="AZ9" s="33" t="n">
        <v>45004.2288</v>
      </c>
      <c r="BA9" s="33" t="n">
        <v>45004.2288</v>
      </c>
      <c r="BB9" s="33" t="n">
        <v>45004.2288</v>
      </c>
      <c r="BC9" s="33" t="n">
        <v>45004.2288</v>
      </c>
      <c r="BD9" s="33" t="n">
        <v>45004.2288</v>
      </c>
      <c r="BE9" s="33" t="n">
        <v>45004.2288</v>
      </c>
      <c r="BF9" s="33" t="n">
        <v>45004.2288</v>
      </c>
      <c r="BG9" s="34" t="n">
        <v>12780.5424</v>
      </c>
      <c r="BH9" s="34" t="n">
        <v>12780.5424</v>
      </c>
      <c r="BI9" s="34" t="n">
        <v>12780.5424</v>
      </c>
      <c r="BJ9" s="34" t="n">
        <v>12780.5424</v>
      </c>
      <c r="BK9" s="34" t="n">
        <v>12780.5424</v>
      </c>
    </row>
    <row r="10" customFormat="false" ht="13.2" hidden="false" customHeight="false" outlineLevel="0" collapsed="false">
      <c r="A10" s="0" t="n">
        <f aca="false">A9+1</f>
        <v>9</v>
      </c>
      <c r="B10" s="29" t="n">
        <v>14757.6904</v>
      </c>
      <c r="C10" s="29" t="n">
        <v>14757.6904</v>
      </c>
      <c r="D10" s="29" t="n">
        <v>14757.6904</v>
      </c>
      <c r="E10" s="29" t="n">
        <v>14757.6904</v>
      </c>
      <c r="F10" s="29" t="n">
        <v>14757.6904</v>
      </c>
      <c r="G10" s="29" t="n">
        <v>14757.6904</v>
      </c>
      <c r="H10" s="29" t="n">
        <v>14757.6904</v>
      </c>
      <c r="I10" s="29" t="n">
        <v>14757.6904</v>
      </c>
      <c r="J10" s="29" t="n">
        <v>14757.6904</v>
      </c>
      <c r="K10" s="29" t="n">
        <v>14757.6904</v>
      </c>
      <c r="L10" s="30" t="n">
        <f aca="false">K10*7</f>
        <v>103303.8328</v>
      </c>
      <c r="M10" s="30" t="n">
        <f aca="false">L10</f>
        <v>103303.8328</v>
      </c>
      <c r="N10" s="0" t="n">
        <v>15044.1187</v>
      </c>
      <c r="O10" s="0" t="n">
        <v>15044.1187</v>
      </c>
      <c r="P10" s="0" t="n">
        <v>15044.1187</v>
      </c>
      <c r="Q10" s="0" t="n">
        <v>15044.1187</v>
      </c>
      <c r="R10" s="0" t="n">
        <v>15044.1187</v>
      </c>
      <c r="S10" s="0" t="n">
        <v>15044.1187</v>
      </c>
      <c r="T10" s="0" t="n">
        <v>15044.1187</v>
      </c>
      <c r="U10" s="0" t="n">
        <v>15044.1187</v>
      </c>
      <c r="V10" s="31" t="n">
        <v>26845.5006</v>
      </c>
      <c r="W10" s="31" t="n">
        <v>26845.5006</v>
      </c>
      <c r="X10" s="31" t="n">
        <v>26845.5006</v>
      </c>
      <c r="Y10" s="31" t="n">
        <v>26845.5006</v>
      </c>
      <c r="Z10" s="31" t="n">
        <v>26845.5006</v>
      </c>
      <c r="AA10" s="31" t="n">
        <v>26845.5006</v>
      </c>
      <c r="AB10" s="32" t="n">
        <v>48033.7</v>
      </c>
      <c r="AC10" s="32" t="n">
        <v>48033.7</v>
      </c>
      <c r="AD10" s="32" t="n">
        <v>48033.7</v>
      </c>
      <c r="AE10" s="31" t="n">
        <v>26845.5006</v>
      </c>
      <c r="AF10" s="31" t="n">
        <v>26845.5006</v>
      </c>
      <c r="AG10" s="31" t="n">
        <v>26845.5006</v>
      </c>
      <c r="AH10" s="31" t="n">
        <v>26845.5006</v>
      </c>
      <c r="AI10" s="31" t="n">
        <v>26845.5006</v>
      </c>
      <c r="AJ10" s="31" t="n">
        <v>26845.5006</v>
      </c>
      <c r="AK10" s="32" t="n">
        <v>48033.7</v>
      </c>
      <c r="AL10" s="32" t="n">
        <v>48033.7</v>
      </c>
      <c r="AM10" s="32" t="n">
        <v>48033.7</v>
      </c>
      <c r="AN10" s="32" t="n">
        <v>48033.7</v>
      </c>
      <c r="AO10" s="32" t="n">
        <v>48033.7</v>
      </c>
      <c r="AP10" s="32" t="n">
        <v>48033.7</v>
      </c>
      <c r="AQ10" s="32" t="n">
        <v>48033.7</v>
      </c>
      <c r="AR10" s="32" t="n">
        <v>48033.7</v>
      </c>
      <c r="AS10" s="32" t="n">
        <v>48033.7</v>
      </c>
      <c r="AT10" s="31" t="n">
        <v>26845.5006</v>
      </c>
      <c r="AU10" s="33" t="n">
        <v>43341.2421</v>
      </c>
      <c r="AV10" s="33" t="n">
        <v>43341.2421</v>
      </c>
      <c r="AW10" s="33" t="n">
        <v>43341.2421</v>
      </c>
      <c r="AX10" s="33" t="n">
        <v>43341.2421</v>
      </c>
      <c r="AY10" s="33" t="n">
        <v>43341.2421</v>
      </c>
      <c r="AZ10" s="33" t="n">
        <v>43341.2421</v>
      </c>
      <c r="BA10" s="33" t="n">
        <v>43341.2421</v>
      </c>
      <c r="BB10" s="33" t="n">
        <v>43341.2421</v>
      </c>
      <c r="BC10" s="33" t="n">
        <v>43341.2421</v>
      </c>
      <c r="BD10" s="33" t="n">
        <v>43341.2421</v>
      </c>
      <c r="BE10" s="33" t="n">
        <v>43341.2421</v>
      </c>
      <c r="BF10" s="33" t="n">
        <v>43341.2421</v>
      </c>
      <c r="BG10" s="34" t="n">
        <v>12485.7048</v>
      </c>
      <c r="BH10" s="34" t="n">
        <v>12485.7048</v>
      </c>
      <c r="BI10" s="34" t="n">
        <v>12485.7048</v>
      </c>
      <c r="BJ10" s="34" t="n">
        <v>12485.7048</v>
      </c>
      <c r="BK10" s="34" t="n">
        <v>12485.7048</v>
      </c>
    </row>
    <row r="11" customFormat="false" ht="13.2" hidden="false" customHeight="false" outlineLevel="0" collapsed="false">
      <c r="A11" s="0" t="n">
        <f aca="false">A10+1</f>
        <v>10</v>
      </c>
      <c r="B11" s="29" t="n">
        <v>14777.6</v>
      </c>
      <c r="C11" s="29" t="n">
        <v>14777.6</v>
      </c>
      <c r="D11" s="29" t="n">
        <v>14777.6</v>
      </c>
      <c r="E11" s="29" t="n">
        <v>14777.6</v>
      </c>
      <c r="F11" s="29" t="n">
        <v>14777.6</v>
      </c>
      <c r="G11" s="29" t="n">
        <v>14777.6</v>
      </c>
      <c r="H11" s="29" t="n">
        <v>14777.6</v>
      </c>
      <c r="I11" s="29" t="n">
        <v>14777.6</v>
      </c>
      <c r="J11" s="29" t="n">
        <v>14777.6</v>
      </c>
      <c r="K11" s="29" t="n">
        <v>14777.6</v>
      </c>
      <c r="L11" s="30" t="n">
        <f aca="false">K11*7</f>
        <v>103443.2</v>
      </c>
      <c r="M11" s="30" t="n">
        <f aca="false">L11</f>
        <v>103443.2</v>
      </c>
      <c r="N11" s="0" t="n">
        <v>14623.8</v>
      </c>
      <c r="O11" s="0" t="n">
        <v>14623.8</v>
      </c>
      <c r="P11" s="0" t="n">
        <v>14623.8</v>
      </c>
      <c r="Q11" s="0" t="n">
        <v>14623.8</v>
      </c>
      <c r="R11" s="0" t="n">
        <v>14623.8</v>
      </c>
      <c r="S11" s="0" t="n">
        <v>14623.8</v>
      </c>
      <c r="T11" s="0" t="n">
        <v>14623.8</v>
      </c>
      <c r="U11" s="0" t="n">
        <v>14623.8</v>
      </c>
      <c r="V11" s="31" t="n">
        <v>26181.8</v>
      </c>
      <c r="W11" s="31" t="n">
        <v>26181.8</v>
      </c>
      <c r="X11" s="31" t="n">
        <v>26181.8</v>
      </c>
      <c r="Y11" s="31" t="n">
        <v>26181.8</v>
      </c>
      <c r="Z11" s="31" t="n">
        <v>26181.8</v>
      </c>
      <c r="AA11" s="31" t="n">
        <v>26181.8</v>
      </c>
      <c r="AB11" s="32" t="n">
        <v>47010</v>
      </c>
      <c r="AC11" s="32" t="n">
        <v>47010</v>
      </c>
      <c r="AD11" s="32" t="n">
        <v>47010</v>
      </c>
      <c r="AE11" s="31" t="n">
        <v>26181.8</v>
      </c>
      <c r="AF11" s="31" t="n">
        <v>26181.8</v>
      </c>
      <c r="AG11" s="31" t="n">
        <v>26181.8</v>
      </c>
      <c r="AH11" s="31" t="n">
        <v>26181.8</v>
      </c>
      <c r="AI11" s="31" t="n">
        <v>26181.8</v>
      </c>
      <c r="AJ11" s="31" t="n">
        <v>26181.8</v>
      </c>
      <c r="AK11" s="32" t="n">
        <v>47010</v>
      </c>
      <c r="AL11" s="32" t="n">
        <v>47010</v>
      </c>
      <c r="AM11" s="32" t="n">
        <v>47010</v>
      </c>
      <c r="AN11" s="32" t="n">
        <v>47010</v>
      </c>
      <c r="AO11" s="32" t="n">
        <v>47010</v>
      </c>
      <c r="AP11" s="32" t="n">
        <v>47010</v>
      </c>
      <c r="AQ11" s="32" t="n">
        <v>47010</v>
      </c>
      <c r="AR11" s="32" t="n">
        <v>47010</v>
      </c>
      <c r="AS11" s="32" t="n">
        <v>47010</v>
      </c>
      <c r="AT11" s="31" t="n">
        <v>26181.8</v>
      </c>
      <c r="AU11" s="33" t="n">
        <v>41726.9</v>
      </c>
      <c r="AV11" s="33" t="n">
        <v>41726.9</v>
      </c>
      <c r="AW11" s="33" t="n">
        <v>41726.9</v>
      </c>
      <c r="AX11" s="33" t="n">
        <v>41726.9</v>
      </c>
      <c r="AY11" s="33" t="n">
        <v>41726.9</v>
      </c>
      <c r="AZ11" s="33" t="n">
        <v>41726.9</v>
      </c>
      <c r="BA11" s="33" t="n">
        <v>41726.9</v>
      </c>
      <c r="BB11" s="33" t="n">
        <v>41726.9</v>
      </c>
      <c r="BC11" s="33" t="n">
        <v>41726.9</v>
      </c>
      <c r="BD11" s="33" t="n">
        <v>41726.9</v>
      </c>
      <c r="BE11" s="33" t="n">
        <v>41726.9</v>
      </c>
      <c r="BF11" s="33" t="n">
        <v>41726.9</v>
      </c>
      <c r="BG11" s="34" t="n">
        <v>12142.2</v>
      </c>
      <c r="BH11" s="34" t="n">
        <v>12142.2</v>
      </c>
      <c r="BI11" s="34" t="n">
        <v>12142.2</v>
      </c>
      <c r="BJ11" s="34" t="n">
        <v>12142.2</v>
      </c>
      <c r="BK11" s="34" t="n">
        <v>12142.2</v>
      </c>
    </row>
    <row r="12" customFormat="false" ht="13.2" hidden="false" customHeight="false" outlineLevel="0" collapsed="false">
      <c r="A12" s="0" t="n">
        <f aca="false">A11+1</f>
        <v>11</v>
      </c>
      <c r="B12" s="29" t="n">
        <v>14738.6736</v>
      </c>
      <c r="C12" s="29" t="n">
        <v>14738.6736</v>
      </c>
      <c r="D12" s="29" t="n">
        <v>14738.6736</v>
      </c>
      <c r="E12" s="29" t="n">
        <v>14738.6736</v>
      </c>
      <c r="F12" s="29" t="n">
        <v>14738.6736</v>
      </c>
      <c r="G12" s="29" t="n">
        <v>14738.6736</v>
      </c>
      <c r="H12" s="29" t="n">
        <v>14738.6736</v>
      </c>
      <c r="I12" s="29" t="n">
        <v>14738.6736</v>
      </c>
      <c r="J12" s="29" t="n">
        <v>14738.6736</v>
      </c>
      <c r="K12" s="29" t="n">
        <v>14738.6736</v>
      </c>
      <c r="L12" s="30" t="n">
        <f aca="false">K12*7</f>
        <v>103170.7152</v>
      </c>
      <c r="M12" s="30" t="n">
        <f aca="false">L12</f>
        <v>103170.7152</v>
      </c>
      <c r="N12" s="0" t="n">
        <v>14197.5633</v>
      </c>
      <c r="O12" s="0" t="n">
        <v>14197.5633</v>
      </c>
      <c r="P12" s="0" t="n">
        <v>14197.5633</v>
      </c>
      <c r="Q12" s="0" t="n">
        <v>14197.5633</v>
      </c>
      <c r="R12" s="0" t="n">
        <v>14197.5633</v>
      </c>
      <c r="S12" s="0" t="n">
        <v>14197.5633</v>
      </c>
      <c r="T12" s="0" t="n">
        <v>14197.5633</v>
      </c>
      <c r="U12" s="0" t="n">
        <v>14197.5633</v>
      </c>
      <c r="V12" s="31" t="n">
        <v>25666.1822</v>
      </c>
      <c r="W12" s="31" t="n">
        <v>25666.1822</v>
      </c>
      <c r="X12" s="31" t="n">
        <v>25666.1822</v>
      </c>
      <c r="Y12" s="31" t="n">
        <v>25666.1822</v>
      </c>
      <c r="Z12" s="31" t="n">
        <v>25666.1822</v>
      </c>
      <c r="AA12" s="31" t="n">
        <v>25666.1822</v>
      </c>
      <c r="AB12" s="32" t="n">
        <v>45986.3</v>
      </c>
      <c r="AC12" s="32" t="n">
        <v>45986.3</v>
      </c>
      <c r="AD12" s="32" t="n">
        <v>45986.3</v>
      </c>
      <c r="AE12" s="31" t="n">
        <v>25666.1822</v>
      </c>
      <c r="AF12" s="31" t="n">
        <v>25666.1822</v>
      </c>
      <c r="AG12" s="31" t="n">
        <v>25666.1822</v>
      </c>
      <c r="AH12" s="31" t="n">
        <v>25666.1822</v>
      </c>
      <c r="AI12" s="31" t="n">
        <v>25666.1822</v>
      </c>
      <c r="AJ12" s="31" t="n">
        <v>25666.1822</v>
      </c>
      <c r="AK12" s="32" t="n">
        <v>45986.3</v>
      </c>
      <c r="AL12" s="32" t="n">
        <v>45986.3</v>
      </c>
      <c r="AM12" s="32" t="n">
        <v>45986.3</v>
      </c>
      <c r="AN12" s="32" t="n">
        <v>45986.3</v>
      </c>
      <c r="AO12" s="32" t="n">
        <v>45986.3</v>
      </c>
      <c r="AP12" s="32" t="n">
        <v>45986.3</v>
      </c>
      <c r="AQ12" s="32" t="n">
        <v>45986.3</v>
      </c>
      <c r="AR12" s="32" t="n">
        <v>45986.3</v>
      </c>
      <c r="AS12" s="32" t="n">
        <v>45986.3</v>
      </c>
      <c r="AT12" s="31" t="n">
        <v>25666.1822</v>
      </c>
      <c r="AU12" s="33" t="n">
        <v>40108.0719</v>
      </c>
      <c r="AV12" s="33" t="n">
        <v>40108.0719</v>
      </c>
      <c r="AW12" s="33" t="n">
        <v>40108.0719</v>
      </c>
      <c r="AX12" s="33" t="n">
        <v>40108.0719</v>
      </c>
      <c r="AY12" s="33" t="n">
        <v>40108.0719</v>
      </c>
      <c r="AZ12" s="33" t="n">
        <v>40108.0719</v>
      </c>
      <c r="BA12" s="33" t="n">
        <v>40108.0719</v>
      </c>
      <c r="BB12" s="33" t="n">
        <v>40108.0719</v>
      </c>
      <c r="BC12" s="33" t="n">
        <v>40108.0719</v>
      </c>
      <c r="BD12" s="33" t="n">
        <v>40108.0719</v>
      </c>
      <c r="BE12" s="33" t="n">
        <v>40108.0719</v>
      </c>
      <c r="BF12" s="33" t="n">
        <v>40108.0719</v>
      </c>
      <c r="BG12" s="34" t="n">
        <v>11758.0632</v>
      </c>
      <c r="BH12" s="34" t="n">
        <v>11758.0632</v>
      </c>
      <c r="BI12" s="34" t="n">
        <v>11758.0632</v>
      </c>
      <c r="BJ12" s="34" t="n">
        <v>11758.0632</v>
      </c>
      <c r="BK12" s="34" t="n">
        <v>11758.0632</v>
      </c>
    </row>
    <row r="13" customFormat="false" ht="13.2" hidden="false" customHeight="false" outlineLevel="0" collapsed="false">
      <c r="A13" s="0" t="n">
        <f aca="false">A12+1</f>
        <v>12</v>
      </c>
      <c r="B13" s="29" t="n">
        <v>14644.9408</v>
      </c>
      <c r="C13" s="29" t="n">
        <v>14644.9408</v>
      </c>
      <c r="D13" s="29" t="n">
        <v>14644.9408</v>
      </c>
      <c r="E13" s="29" t="n">
        <v>14644.9408</v>
      </c>
      <c r="F13" s="29" t="n">
        <v>14644.9408</v>
      </c>
      <c r="G13" s="29" t="n">
        <v>14644.9408</v>
      </c>
      <c r="H13" s="29" t="n">
        <v>14644.9408</v>
      </c>
      <c r="I13" s="29" t="n">
        <v>14644.9408</v>
      </c>
      <c r="J13" s="29" t="n">
        <v>14644.9408</v>
      </c>
      <c r="K13" s="29" t="n">
        <v>14644.9408</v>
      </c>
      <c r="L13" s="30" t="n">
        <f aca="false">K13*7</f>
        <v>102514.5856</v>
      </c>
      <c r="M13" s="30" t="n">
        <f aca="false">L13</f>
        <v>102514.5856</v>
      </c>
      <c r="N13" s="0" t="n">
        <v>13767.5824</v>
      </c>
      <c r="O13" s="0" t="n">
        <v>13767.5824</v>
      </c>
      <c r="P13" s="0" t="n">
        <v>13767.5824</v>
      </c>
      <c r="Q13" s="0" t="n">
        <v>13767.5824</v>
      </c>
      <c r="R13" s="0" t="n">
        <v>13767.5824</v>
      </c>
      <c r="S13" s="0" t="n">
        <v>13767.5824</v>
      </c>
      <c r="T13" s="0" t="n">
        <v>13767.5824</v>
      </c>
      <c r="U13" s="0" t="n">
        <v>13767.5824</v>
      </c>
      <c r="V13" s="31" t="n">
        <v>25273.7808</v>
      </c>
      <c r="W13" s="31" t="n">
        <v>25273.7808</v>
      </c>
      <c r="X13" s="31" t="n">
        <v>25273.7808</v>
      </c>
      <c r="Y13" s="31" t="n">
        <v>25273.7808</v>
      </c>
      <c r="Z13" s="31" t="n">
        <v>25273.7808</v>
      </c>
      <c r="AA13" s="31" t="n">
        <v>25273.7808</v>
      </c>
      <c r="AB13" s="32" t="n">
        <v>44962.6</v>
      </c>
      <c r="AC13" s="32" t="n">
        <v>44962.6</v>
      </c>
      <c r="AD13" s="32" t="n">
        <v>44962.6</v>
      </c>
      <c r="AE13" s="31" t="n">
        <v>25273.7808</v>
      </c>
      <c r="AF13" s="31" t="n">
        <v>25273.7808</v>
      </c>
      <c r="AG13" s="31" t="n">
        <v>25273.7808</v>
      </c>
      <c r="AH13" s="31" t="n">
        <v>25273.7808</v>
      </c>
      <c r="AI13" s="31" t="n">
        <v>25273.7808</v>
      </c>
      <c r="AJ13" s="31" t="n">
        <v>25273.7808</v>
      </c>
      <c r="AK13" s="32" t="n">
        <v>44962.6</v>
      </c>
      <c r="AL13" s="32" t="n">
        <v>44962.6</v>
      </c>
      <c r="AM13" s="32" t="n">
        <v>44962.6</v>
      </c>
      <c r="AN13" s="32" t="n">
        <v>44962.6</v>
      </c>
      <c r="AO13" s="32" t="n">
        <v>44962.6</v>
      </c>
      <c r="AP13" s="32" t="n">
        <v>44962.6</v>
      </c>
      <c r="AQ13" s="32" t="n">
        <v>44962.6</v>
      </c>
      <c r="AR13" s="32" t="n">
        <v>44962.6</v>
      </c>
      <c r="AS13" s="32" t="n">
        <v>44962.6</v>
      </c>
      <c r="AT13" s="31" t="n">
        <v>25273.7808</v>
      </c>
      <c r="AU13" s="33" t="n">
        <v>38431.6272</v>
      </c>
      <c r="AV13" s="33" t="n">
        <v>38431.6272</v>
      </c>
      <c r="AW13" s="33" t="n">
        <v>38431.6272</v>
      </c>
      <c r="AX13" s="33" t="n">
        <v>38431.6272</v>
      </c>
      <c r="AY13" s="33" t="n">
        <v>38431.6272</v>
      </c>
      <c r="AZ13" s="33" t="n">
        <v>38431.6272</v>
      </c>
      <c r="BA13" s="33" t="n">
        <v>38431.6272</v>
      </c>
      <c r="BB13" s="33" t="n">
        <v>38431.6272</v>
      </c>
      <c r="BC13" s="33" t="n">
        <v>38431.6272</v>
      </c>
      <c r="BD13" s="33" t="n">
        <v>38431.6272</v>
      </c>
      <c r="BE13" s="33" t="n">
        <v>38431.6272</v>
      </c>
      <c r="BF13" s="33" t="n">
        <v>38431.6272</v>
      </c>
      <c r="BG13" s="34" t="n">
        <v>11341.3296</v>
      </c>
      <c r="BH13" s="34" t="n">
        <v>11341.3296</v>
      </c>
      <c r="BI13" s="34" t="n">
        <v>11341.3296</v>
      </c>
      <c r="BJ13" s="34" t="n">
        <v>11341.3296</v>
      </c>
      <c r="BK13" s="34" t="n">
        <v>11341.3296</v>
      </c>
    </row>
    <row r="14" customFormat="false" ht="13.2" hidden="false" customHeight="false" outlineLevel="0" collapsed="false">
      <c r="A14" s="0" t="n">
        <f aca="false">A13+1</f>
        <v>13</v>
      </c>
      <c r="B14" s="29" t="n">
        <v>14500.4312</v>
      </c>
      <c r="C14" s="29" t="n">
        <v>14500.4312</v>
      </c>
      <c r="D14" s="29" t="n">
        <v>14500.4312</v>
      </c>
      <c r="E14" s="29" t="n">
        <v>14500.4312</v>
      </c>
      <c r="F14" s="29" t="n">
        <v>14500.4312</v>
      </c>
      <c r="G14" s="29" t="n">
        <v>14500.4312</v>
      </c>
      <c r="H14" s="29" t="n">
        <v>14500.4312</v>
      </c>
      <c r="I14" s="29" t="n">
        <v>14500.4312</v>
      </c>
      <c r="J14" s="29" t="n">
        <v>14500.4312</v>
      </c>
      <c r="K14" s="29" t="n">
        <v>14500.4312</v>
      </c>
      <c r="L14" s="30" t="n">
        <f aca="false">K14*7</f>
        <v>101503.0184</v>
      </c>
      <c r="M14" s="30" t="n">
        <f aca="false">L14</f>
        <v>101503.0184</v>
      </c>
      <c r="N14" s="0" t="n">
        <v>13336.0311</v>
      </c>
      <c r="O14" s="0" t="n">
        <v>13336.0311</v>
      </c>
      <c r="P14" s="0" t="n">
        <v>13336.0311</v>
      </c>
      <c r="Q14" s="0" t="n">
        <v>13336.0311</v>
      </c>
      <c r="R14" s="0" t="n">
        <v>13336.0311</v>
      </c>
      <c r="S14" s="0" t="n">
        <v>13336.0311</v>
      </c>
      <c r="T14" s="0" t="n">
        <v>13336.0311</v>
      </c>
      <c r="U14" s="0" t="n">
        <v>13336.0311</v>
      </c>
      <c r="V14" s="31" t="n">
        <v>24981.587</v>
      </c>
      <c r="W14" s="31" t="n">
        <v>24981.587</v>
      </c>
      <c r="X14" s="31" t="n">
        <v>24981.587</v>
      </c>
      <c r="Y14" s="31" t="n">
        <v>24981.587</v>
      </c>
      <c r="Z14" s="31" t="n">
        <v>24981.587</v>
      </c>
      <c r="AA14" s="31" t="n">
        <v>24981.587</v>
      </c>
      <c r="AB14" s="32" t="n">
        <v>43938.9</v>
      </c>
      <c r="AC14" s="32" t="n">
        <v>43938.9</v>
      </c>
      <c r="AD14" s="32" t="n">
        <v>43938.9</v>
      </c>
      <c r="AE14" s="31" t="n">
        <v>24981.587</v>
      </c>
      <c r="AF14" s="31" t="n">
        <v>24981.587</v>
      </c>
      <c r="AG14" s="31" t="n">
        <v>24981.587</v>
      </c>
      <c r="AH14" s="31" t="n">
        <v>24981.587</v>
      </c>
      <c r="AI14" s="31" t="n">
        <v>24981.587</v>
      </c>
      <c r="AJ14" s="31" t="n">
        <v>24981.587</v>
      </c>
      <c r="AK14" s="32" t="n">
        <v>43938.9</v>
      </c>
      <c r="AL14" s="32" t="n">
        <v>43938.9</v>
      </c>
      <c r="AM14" s="32" t="n">
        <v>43938.9</v>
      </c>
      <c r="AN14" s="32" t="n">
        <v>43938.9</v>
      </c>
      <c r="AO14" s="32" t="n">
        <v>43938.9</v>
      </c>
      <c r="AP14" s="32" t="n">
        <v>43938.9</v>
      </c>
      <c r="AQ14" s="32" t="n">
        <v>43938.9</v>
      </c>
      <c r="AR14" s="32" t="n">
        <v>43938.9</v>
      </c>
      <c r="AS14" s="32" t="n">
        <v>43938.9</v>
      </c>
      <c r="AT14" s="31" t="n">
        <v>24981.587</v>
      </c>
      <c r="AU14" s="33" t="n">
        <v>36644.4353</v>
      </c>
      <c r="AV14" s="33" t="n">
        <v>36644.4353</v>
      </c>
      <c r="AW14" s="33" t="n">
        <v>36644.4353</v>
      </c>
      <c r="AX14" s="33" t="n">
        <v>36644.4353</v>
      </c>
      <c r="AY14" s="33" t="n">
        <v>36644.4353</v>
      </c>
      <c r="AZ14" s="33" t="n">
        <v>36644.4353</v>
      </c>
      <c r="BA14" s="33" t="n">
        <v>36644.4353</v>
      </c>
      <c r="BB14" s="33" t="n">
        <v>36644.4353</v>
      </c>
      <c r="BC14" s="33" t="n">
        <v>36644.4353</v>
      </c>
      <c r="BD14" s="33" t="n">
        <v>36644.4353</v>
      </c>
      <c r="BE14" s="33" t="n">
        <v>36644.4353</v>
      </c>
      <c r="BF14" s="33" t="n">
        <v>36644.4353</v>
      </c>
      <c r="BG14" s="34" t="n">
        <v>10900.0344</v>
      </c>
      <c r="BH14" s="34" t="n">
        <v>10900.0344</v>
      </c>
      <c r="BI14" s="34" t="n">
        <v>10900.0344</v>
      </c>
      <c r="BJ14" s="34" t="n">
        <v>10900.0344</v>
      </c>
      <c r="BK14" s="34" t="n">
        <v>10900.0344</v>
      </c>
    </row>
    <row r="15" customFormat="false" ht="13.2" hidden="false" customHeight="false" outlineLevel="0" collapsed="false">
      <c r="A15" s="0" t="n">
        <f aca="false">A14+1</f>
        <v>14</v>
      </c>
      <c r="B15" s="29" t="n">
        <v>14309.1744</v>
      </c>
      <c r="C15" s="29" t="n">
        <v>14309.1744</v>
      </c>
      <c r="D15" s="29" t="n">
        <v>14309.1744</v>
      </c>
      <c r="E15" s="29" t="n">
        <v>14309.1744</v>
      </c>
      <c r="F15" s="29" t="n">
        <v>14309.1744</v>
      </c>
      <c r="G15" s="29" t="n">
        <v>14309.1744</v>
      </c>
      <c r="H15" s="29" t="n">
        <v>14309.1744</v>
      </c>
      <c r="I15" s="29" t="n">
        <v>14309.1744</v>
      </c>
      <c r="J15" s="29" t="n">
        <v>14309.1744</v>
      </c>
      <c r="K15" s="29" t="n">
        <v>14309.1744</v>
      </c>
      <c r="L15" s="30" t="n">
        <f aca="false">K15*7</f>
        <v>100164.2208</v>
      </c>
      <c r="M15" s="30" t="n">
        <f aca="false">L15</f>
        <v>100164.2208</v>
      </c>
      <c r="N15" s="0" t="n">
        <v>12905.0832</v>
      </c>
      <c r="O15" s="0" t="n">
        <v>12905.0832</v>
      </c>
      <c r="P15" s="0" t="n">
        <v>12905.0832</v>
      </c>
      <c r="Q15" s="0" t="n">
        <v>12905.0832</v>
      </c>
      <c r="R15" s="0" t="n">
        <v>12905.0832</v>
      </c>
      <c r="S15" s="0" t="n">
        <v>12905.0832</v>
      </c>
      <c r="T15" s="0" t="n">
        <v>12905.0832</v>
      </c>
      <c r="U15" s="0" t="n">
        <v>12905.0832</v>
      </c>
      <c r="V15" s="31" t="n">
        <v>24768.4496</v>
      </c>
      <c r="W15" s="31" t="n">
        <v>24768.4496</v>
      </c>
      <c r="X15" s="31" t="n">
        <v>24768.4496</v>
      </c>
      <c r="Y15" s="31" t="n">
        <v>24768.4496</v>
      </c>
      <c r="Z15" s="31" t="n">
        <v>24768.4496</v>
      </c>
      <c r="AA15" s="31" t="n">
        <v>24768.4496</v>
      </c>
      <c r="AB15" s="32" t="n">
        <v>42915.2</v>
      </c>
      <c r="AC15" s="32" t="n">
        <v>42915.2</v>
      </c>
      <c r="AD15" s="32" t="n">
        <v>42915.2</v>
      </c>
      <c r="AE15" s="31" t="n">
        <v>24768.4496</v>
      </c>
      <c r="AF15" s="31" t="n">
        <v>24768.4496</v>
      </c>
      <c r="AG15" s="31" t="n">
        <v>24768.4496</v>
      </c>
      <c r="AH15" s="31" t="n">
        <v>24768.4496</v>
      </c>
      <c r="AI15" s="31" t="n">
        <v>24768.4496</v>
      </c>
      <c r="AJ15" s="31" t="n">
        <v>24768.4496</v>
      </c>
      <c r="AK15" s="32" t="n">
        <v>42915.2</v>
      </c>
      <c r="AL15" s="32" t="n">
        <v>42915.2</v>
      </c>
      <c r="AM15" s="32" t="n">
        <v>42915.2</v>
      </c>
      <c r="AN15" s="32" t="n">
        <v>42915.2</v>
      </c>
      <c r="AO15" s="32" t="n">
        <v>42915.2</v>
      </c>
      <c r="AP15" s="32" t="n">
        <v>42915.2</v>
      </c>
      <c r="AQ15" s="32" t="n">
        <v>42915.2</v>
      </c>
      <c r="AR15" s="32" t="n">
        <v>42915.2</v>
      </c>
      <c r="AS15" s="32" t="n">
        <v>42915.2</v>
      </c>
      <c r="AT15" s="31" t="n">
        <v>24768.4496</v>
      </c>
      <c r="AU15" s="33" t="n">
        <v>34693.3656</v>
      </c>
      <c r="AV15" s="33" t="n">
        <v>34693.3656</v>
      </c>
      <c r="AW15" s="33" t="n">
        <v>34693.3656</v>
      </c>
      <c r="AX15" s="33" t="n">
        <v>34693.3656</v>
      </c>
      <c r="AY15" s="33" t="n">
        <v>34693.3656</v>
      </c>
      <c r="AZ15" s="33" t="n">
        <v>34693.3656</v>
      </c>
      <c r="BA15" s="33" t="n">
        <v>34693.3656</v>
      </c>
      <c r="BB15" s="33" t="n">
        <v>34693.3656</v>
      </c>
      <c r="BC15" s="33" t="n">
        <v>34693.3656</v>
      </c>
      <c r="BD15" s="33" t="n">
        <v>34693.3656</v>
      </c>
      <c r="BE15" s="33" t="n">
        <v>34693.3656</v>
      </c>
      <c r="BF15" s="33" t="n">
        <v>34693.3656</v>
      </c>
      <c r="BG15" s="34" t="n">
        <v>10442.2128</v>
      </c>
      <c r="BH15" s="34" t="n">
        <v>10442.2128</v>
      </c>
      <c r="BI15" s="34" t="n">
        <v>10442.2128</v>
      </c>
      <c r="BJ15" s="34" t="n">
        <v>10442.2128</v>
      </c>
      <c r="BK15" s="34" t="n">
        <v>10442.2128</v>
      </c>
    </row>
    <row r="16" customFormat="false" ht="13.2" hidden="false" customHeight="false" outlineLevel="0" collapsed="false">
      <c r="A16" s="0" t="n">
        <f aca="false">A15+1</f>
        <v>15</v>
      </c>
      <c r="B16" s="29" t="n">
        <v>14075.2</v>
      </c>
      <c r="C16" s="29" t="n">
        <v>14075.2</v>
      </c>
      <c r="D16" s="29" t="n">
        <v>14075.2</v>
      </c>
      <c r="E16" s="29" t="n">
        <v>14075.2</v>
      </c>
      <c r="F16" s="29" t="n">
        <v>14075.2</v>
      </c>
      <c r="G16" s="29" t="n">
        <v>14075.2</v>
      </c>
      <c r="H16" s="29" t="n">
        <v>14075.2</v>
      </c>
      <c r="I16" s="29" t="n">
        <v>14075.2</v>
      </c>
      <c r="J16" s="29" t="n">
        <v>14075.2</v>
      </c>
      <c r="K16" s="29" t="n">
        <v>14075.2</v>
      </c>
      <c r="L16" s="30" t="n">
        <f aca="false">K16*7</f>
        <v>98526.4</v>
      </c>
      <c r="M16" s="30" t="n">
        <f aca="false">L16</f>
        <v>98526.4</v>
      </c>
      <c r="N16" s="0" t="n">
        <v>12476.9125</v>
      </c>
      <c r="O16" s="0" t="n">
        <v>12476.9125</v>
      </c>
      <c r="P16" s="0" t="n">
        <v>12476.9125</v>
      </c>
      <c r="Q16" s="0" t="n">
        <v>12476.9125</v>
      </c>
      <c r="R16" s="0" t="n">
        <v>12476.9125</v>
      </c>
      <c r="S16" s="0" t="n">
        <v>12476.9125</v>
      </c>
      <c r="T16" s="0" t="n">
        <v>12476.9125</v>
      </c>
      <c r="U16" s="0" t="n">
        <v>12476.9125</v>
      </c>
      <c r="V16" s="31" t="n">
        <v>24615.075</v>
      </c>
      <c r="W16" s="31" t="n">
        <v>24615.075</v>
      </c>
      <c r="X16" s="31" t="n">
        <v>24615.075</v>
      </c>
      <c r="Y16" s="31" t="n">
        <v>24615.075</v>
      </c>
      <c r="Z16" s="31" t="n">
        <v>24615.075</v>
      </c>
      <c r="AA16" s="31" t="n">
        <v>24615.075</v>
      </c>
      <c r="AB16" s="32" t="n">
        <v>41891.5</v>
      </c>
      <c r="AC16" s="32" t="n">
        <v>41891.5</v>
      </c>
      <c r="AD16" s="32" t="n">
        <v>41891.5</v>
      </c>
      <c r="AE16" s="31" t="n">
        <v>24615.075</v>
      </c>
      <c r="AF16" s="31" t="n">
        <v>24615.075</v>
      </c>
      <c r="AG16" s="31" t="n">
        <v>24615.075</v>
      </c>
      <c r="AH16" s="31" t="n">
        <v>24615.075</v>
      </c>
      <c r="AI16" s="31" t="n">
        <v>24615.075</v>
      </c>
      <c r="AJ16" s="31" t="n">
        <v>24615.075</v>
      </c>
      <c r="AK16" s="32" t="n">
        <v>41891.5</v>
      </c>
      <c r="AL16" s="32" t="n">
        <v>41891.5</v>
      </c>
      <c r="AM16" s="32" t="n">
        <v>41891.5</v>
      </c>
      <c r="AN16" s="32" t="n">
        <v>41891.5</v>
      </c>
      <c r="AO16" s="32" t="n">
        <v>41891.5</v>
      </c>
      <c r="AP16" s="32" t="n">
        <v>41891.5</v>
      </c>
      <c r="AQ16" s="32" t="n">
        <v>41891.5</v>
      </c>
      <c r="AR16" s="32" t="n">
        <v>41891.5</v>
      </c>
      <c r="AS16" s="32" t="n">
        <v>41891.5</v>
      </c>
      <c r="AT16" s="31" t="n">
        <v>24615.075</v>
      </c>
      <c r="AU16" s="33" t="n">
        <v>32525.2875</v>
      </c>
      <c r="AV16" s="33" t="n">
        <v>32525.2875</v>
      </c>
      <c r="AW16" s="33" t="n">
        <v>32525.2875</v>
      </c>
      <c r="AX16" s="33" t="n">
        <v>32525.2875</v>
      </c>
      <c r="AY16" s="33" t="n">
        <v>32525.2875</v>
      </c>
      <c r="AZ16" s="33" t="n">
        <v>32525.2875</v>
      </c>
      <c r="BA16" s="33" t="n">
        <v>32525.2875</v>
      </c>
      <c r="BB16" s="33" t="n">
        <v>32525.2875</v>
      </c>
      <c r="BC16" s="33" t="n">
        <v>32525.2875</v>
      </c>
      <c r="BD16" s="33" t="n">
        <v>32525.2875</v>
      </c>
      <c r="BE16" s="33" t="n">
        <v>32525.2875</v>
      </c>
      <c r="BF16" s="33" t="n">
        <v>32525.2875</v>
      </c>
      <c r="BG16" s="34" t="n">
        <v>9975.9</v>
      </c>
      <c r="BH16" s="34" t="n">
        <v>9975.9</v>
      </c>
      <c r="BI16" s="34" t="n">
        <v>9975.9</v>
      </c>
      <c r="BJ16" s="34" t="n">
        <v>9975.9</v>
      </c>
      <c r="BK16" s="34" t="n">
        <v>9975.9</v>
      </c>
    </row>
    <row r="17" customFormat="false" ht="13.2" hidden="false" customHeight="false" outlineLevel="0" collapsed="false">
      <c r="A17" s="0" t="n">
        <f aca="false">A16+1</f>
        <v>16</v>
      </c>
      <c r="B17" s="29" t="n">
        <v>13802.5376</v>
      </c>
      <c r="C17" s="29" t="n">
        <v>13802.5376</v>
      </c>
      <c r="D17" s="29" t="n">
        <v>13802.5376</v>
      </c>
      <c r="E17" s="29" t="n">
        <v>13802.5376</v>
      </c>
      <c r="F17" s="29" t="n">
        <v>13802.5376</v>
      </c>
      <c r="G17" s="29" t="n">
        <v>13802.5376</v>
      </c>
      <c r="H17" s="29" t="n">
        <v>13802.5376</v>
      </c>
      <c r="I17" s="29" t="n">
        <v>13802.5376</v>
      </c>
      <c r="J17" s="29" t="n">
        <v>13802.5376</v>
      </c>
      <c r="K17" s="29" t="n">
        <v>13802.5376</v>
      </c>
      <c r="L17" s="30" t="n">
        <f aca="false">K17*7</f>
        <v>96617.7632</v>
      </c>
      <c r="M17" s="30" t="n">
        <f aca="false">L17</f>
        <v>96617.7632</v>
      </c>
      <c r="N17" s="0" t="n">
        <v>12053.6928</v>
      </c>
      <c r="O17" s="0" t="n">
        <v>12053.6928</v>
      </c>
      <c r="P17" s="0" t="n">
        <v>12053.6928</v>
      </c>
      <c r="Q17" s="0" t="n">
        <v>12053.6928</v>
      </c>
      <c r="R17" s="0" t="n">
        <v>12053.6928</v>
      </c>
      <c r="S17" s="0" t="n">
        <v>12053.6928</v>
      </c>
      <c r="T17" s="0" t="n">
        <v>12053.6928</v>
      </c>
      <c r="U17" s="0" t="n">
        <v>12053.6928</v>
      </c>
      <c r="V17" s="31" t="n">
        <v>24504.0272</v>
      </c>
      <c r="W17" s="31" t="n">
        <v>24504.0272</v>
      </c>
      <c r="X17" s="31" t="n">
        <v>24504.0272</v>
      </c>
      <c r="Y17" s="31" t="n">
        <v>24504.0272</v>
      </c>
      <c r="Z17" s="31" t="n">
        <v>24504.0272</v>
      </c>
      <c r="AA17" s="31" t="n">
        <v>24504.0272</v>
      </c>
      <c r="AB17" s="32" t="n">
        <v>40867.8</v>
      </c>
      <c r="AC17" s="32" t="n">
        <v>40867.8</v>
      </c>
      <c r="AD17" s="32" t="n">
        <v>40867.8</v>
      </c>
      <c r="AE17" s="31" t="n">
        <v>24504.0272</v>
      </c>
      <c r="AF17" s="31" t="n">
        <v>24504.0272</v>
      </c>
      <c r="AG17" s="31" t="n">
        <v>24504.0272</v>
      </c>
      <c r="AH17" s="31" t="n">
        <v>24504.0272</v>
      </c>
      <c r="AI17" s="31" t="n">
        <v>24504.0272</v>
      </c>
      <c r="AJ17" s="31" t="n">
        <v>24504.0272</v>
      </c>
      <c r="AK17" s="32" t="n">
        <v>40867.8</v>
      </c>
      <c r="AL17" s="32" t="n">
        <v>40867.8</v>
      </c>
      <c r="AM17" s="32" t="n">
        <v>40867.8</v>
      </c>
      <c r="AN17" s="32" t="n">
        <v>40867.8</v>
      </c>
      <c r="AO17" s="32" t="n">
        <v>40867.8</v>
      </c>
      <c r="AP17" s="32" t="n">
        <v>40867.8</v>
      </c>
      <c r="AQ17" s="32" t="n">
        <v>40867.8</v>
      </c>
      <c r="AR17" s="32" t="n">
        <v>40867.8</v>
      </c>
      <c r="AS17" s="32" t="n">
        <v>40867.8</v>
      </c>
      <c r="AT17" s="31" t="n">
        <v>24504.0272</v>
      </c>
      <c r="AU17" s="33" t="n">
        <v>32525.2875</v>
      </c>
      <c r="AV17" s="33" t="n">
        <v>32525.2875</v>
      </c>
      <c r="AW17" s="33" t="n">
        <v>32525.2875</v>
      </c>
      <c r="AX17" s="33" t="n">
        <v>32525.2875</v>
      </c>
      <c r="AY17" s="33" t="n">
        <v>32525.2875</v>
      </c>
      <c r="AZ17" s="33" t="n">
        <v>32525.2875</v>
      </c>
      <c r="BA17" s="33" t="n">
        <v>32525.2875</v>
      </c>
      <c r="BB17" s="33" t="n">
        <v>32525.2875</v>
      </c>
      <c r="BC17" s="33" t="n">
        <v>32525.2875</v>
      </c>
      <c r="BD17" s="33" t="n">
        <v>32525.2875</v>
      </c>
      <c r="BE17" s="33" t="n">
        <v>32525.2875</v>
      </c>
      <c r="BF17" s="33" t="n">
        <v>32525.2875</v>
      </c>
      <c r="BG17" s="34" t="n">
        <v>9509.1312</v>
      </c>
      <c r="BH17" s="34" t="n">
        <v>9509.1312</v>
      </c>
      <c r="BI17" s="34" t="n">
        <v>9509.1312</v>
      </c>
      <c r="BJ17" s="34" t="n">
        <v>9509.1312</v>
      </c>
      <c r="BK17" s="34" t="n">
        <v>9509.1312</v>
      </c>
    </row>
    <row r="18" customFormat="false" ht="13.2" hidden="false" customHeight="false" outlineLevel="0" collapsed="false">
      <c r="A18" s="0" t="n">
        <f aca="false">A17+1</f>
        <v>17</v>
      </c>
      <c r="B18" s="29" t="n">
        <v>13495.2168</v>
      </c>
      <c r="C18" s="29" t="n">
        <v>13495.2168</v>
      </c>
      <c r="D18" s="29" t="n">
        <v>13495.2168</v>
      </c>
      <c r="E18" s="29" t="n">
        <v>13495.2168</v>
      </c>
      <c r="F18" s="29" t="n">
        <v>13495.2168</v>
      </c>
      <c r="G18" s="29" t="n">
        <v>13495.2168</v>
      </c>
      <c r="H18" s="29" t="n">
        <v>13495.2168</v>
      </c>
      <c r="I18" s="29" t="n">
        <v>13495.2168</v>
      </c>
      <c r="J18" s="29" t="n">
        <v>13495.2168</v>
      </c>
      <c r="K18" s="29" t="n">
        <v>13495.2168</v>
      </c>
      <c r="L18" s="30" t="n">
        <f aca="false">K18*7</f>
        <v>94466.5176</v>
      </c>
      <c r="M18" s="30" t="n">
        <f aca="false">L18</f>
        <v>94466.5176</v>
      </c>
      <c r="N18" s="0" t="n">
        <v>11637.5979</v>
      </c>
      <c r="O18" s="0" t="n">
        <v>11637.5979</v>
      </c>
      <c r="P18" s="0" t="n">
        <v>11637.5979</v>
      </c>
      <c r="Q18" s="0" t="n">
        <v>11637.5979</v>
      </c>
      <c r="R18" s="0" t="n">
        <v>11637.5979</v>
      </c>
      <c r="S18" s="0" t="n">
        <v>11637.5979</v>
      </c>
      <c r="T18" s="0" t="n">
        <v>11637.5979</v>
      </c>
      <c r="U18" s="0" t="n">
        <v>11637.5979</v>
      </c>
      <c r="V18" s="31" t="n">
        <v>24419.7278</v>
      </c>
      <c r="W18" s="31" t="n">
        <v>24419.7278</v>
      </c>
      <c r="X18" s="31" t="n">
        <v>24419.7278</v>
      </c>
      <c r="Y18" s="31" t="n">
        <v>24419.7278</v>
      </c>
      <c r="Z18" s="31" t="n">
        <v>24419.7278</v>
      </c>
      <c r="AA18" s="31" t="n">
        <v>24419.7278</v>
      </c>
      <c r="AB18" s="32" t="n">
        <v>39844.1</v>
      </c>
      <c r="AC18" s="32" t="n">
        <v>39844.1</v>
      </c>
      <c r="AD18" s="32" t="n">
        <v>39844.1</v>
      </c>
      <c r="AE18" s="31" t="n">
        <v>24419.7278</v>
      </c>
      <c r="AF18" s="31" t="n">
        <v>24419.7278</v>
      </c>
      <c r="AG18" s="31" t="n">
        <v>24419.7278</v>
      </c>
      <c r="AH18" s="31" t="n">
        <v>24419.7278</v>
      </c>
      <c r="AI18" s="31" t="n">
        <v>24419.7278</v>
      </c>
      <c r="AJ18" s="31" t="n">
        <v>24419.7278</v>
      </c>
      <c r="AK18" s="32" t="n">
        <v>39844.1</v>
      </c>
      <c r="AL18" s="32" t="n">
        <v>39844.1</v>
      </c>
      <c r="AM18" s="32" t="n">
        <v>39844.1</v>
      </c>
      <c r="AN18" s="32" t="n">
        <v>39844.1</v>
      </c>
      <c r="AO18" s="32" t="n">
        <v>39844.1</v>
      </c>
      <c r="AP18" s="32" t="n">
        <v>39844.1</v>
      </c>
      <c r="AQ18" s="32" t="n">
        <v>39844.1</v>
      </c>
      <c r="AR18" s="32" t="n">
        <v>39844.1</v>
      </c>
      <c r="AS18" s="32" t="n">
        <v>39844.1</v>
      </c>
      <c r="AT18" s="31" t="n">
        <v>24419.7278</v>
      </c>
      <c r="AU18" s="33" t="n">
        <v>32525.2875</v>
      </c>
      <c r="AV18" s="33" t="n">
        <v>32525.2875</v>
      </c>
      <c r="AW18" s="33" t="n">
        <v>32525.2875</v>
      </c>
      <c r="AX18" s="33" t="n">
        <v>32525.2875</v>
      </c>
      <c r="AY18" s="33" t="n">
        <v>32525.2875</v>
      </c>
      <c r="AZ18" s="33" t="n">
        <v>32525.2875</v>
      </c>
      <c r="BA18" s="33" t="n">
        <v>32525.2875</v>
      </c>
      <c r="BB18" s="33" t="n">
        <v>32525.2875</v>
      </c>
      <c r="BC18" s="33" t="n">
        <v>32525.2875</v>
      </c>
      <c r="BD18" s="33" t="n">
        <v>32525.2875</v>
      </c>
      <c r="BE18" s="33" t="n">
        <v>32525.2875</v>
      </c>
      <c r="BF18" s="33" t="n">
        <v>32525.2875</v>
      </c>
      <c r="BG18" s="34" t="n">
        <v>9049.9416</v>
      </c>
      <c r="BH18" s="34" t="n">
        <v>9049.9416</v>
      </c>
      <c r="BI18" s="34" t="n">
        <v>9049.9416</v>
      </c>
      <c r="BJ18" s="34" t="n">
        <v>9049.9416</v>
      </c>
      <c r="BK18" s="34" t="n">
        <v>9049.9416</v>
      </c>
    </row>
    <row r="19" customFormat="false" ht="13.2" hidden="false" customHeight="false" outlineLevel="0" collapsed="false">
      <c r="A19" s="0" t="n">
        <f aca="false">A18+1</f>
        <v>18</v>
      </c>
      <c r="B19" s="29" t="n">
        <v>13157.2672</v>
      </c>
      <c r="C19" s="29" t="n">
        <v>13157.2672</v>
      </c>
      <c r="D19" s="29" t="n">
        <v>13157.2672</v>
      </c>
      <c r="E19" s="29" t="n">
        <v>13157.2672</v>
      </c>
      <c r="F19" s="29" t="n">
        <v>13157.2672</v>
      </c>
      <c r="G19" s="29" t="n">
        <v>13157.2672</v>
      </c>
      <c r="H19" s="29" t="n">
        <v>13157.2672</v>
      </c>
      <c r="I19" s="29" t="n">
        <v>13157.2672</v>
      </c>
      <c r="J19" s="29" t="n">
        <v>13157.2672</v>
      </c>
      <c r="K19" s="29" t="n">
        <v>13157.2672</v>
      </c>
      <c r="L19" s="30" t="n">
        <f aca="false">K19*7</f>
        <v>92100.8704</v>
      </c>
      <c r="M19" s="30" t="n">
        <f aca="false">L19</f>
        <v>92100.8704</v>
      </c>
      <c r="N19" s="0" t="n">
        <v>11230.8016</v>
      </c>
      <c r="O19" s="0" t="n">
        <v>11230.8016</v>
      </c>
      <c r="P19" s="0" t="n">
        <v>11230.8016</v>
      </c>
      <c r="Q19" s="0" t="n">
        <v>11230.8016</v>
      </c>
      <c r="R19" s="0" t="n">
        <v>11230.8016</v>
      </c>
      <c r="S19" s="0" t="n">
        <v>11230.8016</v>
      </c>
      <c r="T19" s="0" t="n">
        <v>11230.8016</v>
      </c>
      <c r="U19" s="0" t="n">
        <v>11230.8016</v>
      </c>
      <c r="V19" s="31" t="n">
        <v>24348.456</v>
      </c>
      <c r="W19" s="31" t="n">
        <v>24348.456</v>
      </c>
      <c r="X19" s="31" t="n">
        <v>24348.456</v>
      </c>
      <c r="Y19" s="31" t="n">
        <v>24348.456</v>
      </c>
      <c r="Z19" s="31" t="n">
        <v>24348.456</v>
      </c>
      <c r="AA19" s="31" t="n">
        <v>24348.456</v>
      </c>
      <c r="AB19" s="32" t="n">
        <v>38820.4</v>
      </c>
      <c r="AC19" s="32" t="n">
        <v>38820.4</v>
      </c>
      <c r="AD19" s="32" t="n">
        <v>38820.4</v>
      </c>
      <c r="AE19" s="31" t="n">
        <v>24348.456</v>
      </c>
      <c r="AF19" s="31" t="n">
        <v>24348.456</v>
      </c>
      <c r="AG19" s="31" t="n">
        <v>24348.456</v>
      </c>
      <c r="AH19" s="31" t="n">
        <v>24348.456</v>
      </c>
      <c r="AI19" s="31" t="n">
        <v>24348.456</v>
      </c>
      <c r="AJ19" s="31" t="n">
        <v>24348.456</v>
      </c>
      <c r="AK19" s="32" t="n">
        <v>38820.4</v>
      </c>
      <c r="AL19" s="32" t="n">
        <v>38820.4</v>
      </c>
      <c r="AM19" s="32" t="n">
        <v>38820.4</v>
      </c>
      <c r="AN19" s="32" t="n">
        <v>38820.4</v>
      </c>
      <c r="AO19" s="32" t="n">
        <v>38820.4</v>
      </c>
      <c r="AP19" s="32" t="n">
        <v>38820.4</v>
      </c>
      <c r="AQ19" s="32" t="n">
        <v>38820.4</v>
      </c>
      <c r="AR19" s="32" t="n">
        <v>38820.4</v>
      </c>
      <c r="AS19" s="32" t="n">
        <v>38820.4</v>
      </c>
      <c r="AT19" s="31" t="n">
        <v>24348.456</v>
      </c>
      <c r="AU19" s="33" t="n">
        <v>32525.2875</v>
      </c>
      <c r="AV19" s="33" t="n">
        <v>32525.2875</v>
      </c>
      <c r="AW19" s="33" t="n">
        <v>32525.2875</v>
      </c>
      <c r="AX19" s="33" t="n">
        <v>32525.2875</v>
      </c>
      <c r="AY19" s="33" t="n">
        <v>32525.2875</v>
      </c>
      <c r="AZ19" s="33" t="n">
        <v>32525.2875</v>
      </c>
      <c r="BA19" s="33" t="n">
        <v>32525.2875</v>
      </c>
      <c r="BB19" s="33" t="n">
        <v>32525.2875</v>
      </c>
      <c r="BC19" s="33" t="n">
        <v>32525.2875</v>
      </c>
      <c r="BD19" s="33" t="n">
        <v>32525.2875</v>
      </c>
      <c r="BE19" s="33" t="n">
        <v>32525.2875</v>
      </c>
      <c r="BF19" s="33" t="n">
        <v>32525.2875</v>
      </c>
      <c r="BG19" s="34" t="n">
        <v>8606.3664</v>
      </c>
      <c r="BH19" s="34" t="n">
        <v>8606.3664</v>
      </c>
      <c r="BI19" s="34" t="n">
        <v>8606.3664</v>
      </c>
      <c r="BJ19" s="34" t="n">
        <v>8606.3664</v>
      </c>
      <c r="BK19" s="34" t="n">
        <v>8606.3664</v>
      </c>
    </row>
    <row r="20" customFormat="false" ht="13.2" hidden="false" customHeight="false" outlineLevel="0" collapsed="false">
      <c r="A20" s="0" t="n">
        <f aca="false">A19+1</f>
        <v>19</v>
      </c>
      <c r="B20" s="29" t="n">
        <v>12792.7184</v>
      </c>
      <c r="C20" s="29" t="n">
        <v>12792.7184</v>
      </c>
      <c r="D20" s="29" t="n">
        <v>12792.7184</v>
      </c>
      <c r="E20" s="29" t="n">
        <v>12792.7184</v>
      </c>
      <c r="F20" s="29" t="n">
        <v>12792.7184</v>
      </c>
      <c r="G20" s="29" t="n">
        <v>12792.7184</v>
      </c>
      <c r="H20" s="29" t="n">
        <v>12792.7184</v>
      </c>
      <c r="I20" s="29" t="n">
        <v>12792.7184</v>
      </c>
      <c r="J20" s="29" t="n">
        <v>12792.7184</v>
      </c>
      <c r="K20" s="29" t="n">
        <v>12792.7184</v>
      </c>
      <c r="L20" s="30" t="n">
        <f aca="false">K20*7</f>
        <v>89549.0288</v>
      </c>
      <c r="M20" s="30" t="n">
        <f aca="false">L20</f>
        <v>89549.0288</v>
      </c>
      <c r="N20" s="0" t="n">
        <v>10835.4777</v>
      </c>
      <c r="O20" s="0" t="n">
        <v>10835.4777</v>
      </c>
      <c r="P20" s="0" t="n">
        <v>10835.4777</v>
      </c>
      <c r="Q20" s="0" t="n">
        <v>10835.4777</v>
      </c>
      <c r="R20" s="0" t="n">
        <v>10835.4777</v>
      </c>
      <c r="S20" s="0" t="n">
        <v>10835.4777</v>
      </c>
      <c r="T20" s="0" t="n">
        <v>10835.4777</v>
      </c>
      <c r="U20" s="0" t="n">
        <v>10835.4777</v>
      </c>
      <c r="V20" s="31" t="n">
        <v>24278.3486</v>
      </c>
      <c r="W20" s="31" t="n">
        <v>24278.3486</v>
      </c>
      <c r="X20" s="31" t="n">
        <v>24278.3486</v>
      </c>
      <c r="Y20" s="31" t="n">
        <v>24278.3486</v>
      </c>
      <c r="Z20" s="31" t="n">
        <v>24278.3486</v>
      </c>
      <c r="AA20" s="31" t="n">
        <v>24278.3486</v>
      </c>
      <c r="AB20" s="32" t="n">
        <v>37796.7</v>
      </c>
      <c r="AC20" s="32" t="n">
        <v>37796.7</v>
      </c>
      <c r="AD20" s="32" t="n">
        <v>37796.7</v>
      </c>
      <c r="AE20" s="31" t="n">
        <v>24278.3486</v>
      </c>
      <c r="AF20" s="31" t="n">
        <v>24278.3486</v>
      </c>
      <c r="AG20" s="31" t="n">
        <v>24278.3486</v>
      </c>
      <c r="AH20" s="31" t="n">
        <v>24278.3486</v>
      </c>
      <c r="AI20" s="31" t="n">
        <v>24278.3486</v>
      </c>
      <c r="AJ20" s="31" t="n">
        <v>24278.3486</v>
      </c>
      <c r="AK20" s="32" t="n">
        <v>37796.7</v>
      </c>
      <c r="AL20" s="32" t="n">
        <v>37796.7</v>
      </c>
      <c r="AM20" s="32" t="n">
        <v>37796.7</v>
      </c>
      <c r="AN20" s="32" t="n">
        <v>37796.7</v>
      </c>
      <c r="AO20" s="32" t="n">
        <v>37796.7</v>
      </c>
      <c r="AP20" s="32" t="n">
        <v>37796.7</v>
      </c>
      <c r="AQ20" s="32" t="n">
        <v>37796.7</v>
      </c>
      <c r="AR20" s="32" t="n">
        <v>37796.7</v>
      </c>
      <c r="AS20" s="32" t="n">
        <v>37796.7</v>
      </c>
      <c r="AT20" s="31" t="n">
        <v>24278.3486</v>
      </c>
      <c r="AU20" s="33" t="n">
        <v>32525.2875</v>
      </c>
      <c r="AV20" s="33" t="n">
        <v>32525.2875</v>
      </c>
      <c r="AW20" s="33" t="n">
        <v>32525.2875</v>
      </c>
      <c r="AX20" s="33" t="n">
        <v>32525.2875</v>
      </c>
      <c r="AY20" s="33" t="n">
        <v>32525.2875</v>
      </c>
      <c r="AZ20" s="33" t="n">
        <v>32525.2875</v>
      </c>
      <c r="BA20" s="33" t="n">
        <v>32525.2875</v>
      </c>
      <c r="BB20" s="33" t="n">
        <v>32525.2875</v>
      </c>
      <c r="BC20" s="33" t="n">
        <v>32525.2875</v>
      </c>
      <c r="BD20" s="33" t="n">
        <v>32525.2875</v>
      </c>
      <c r="BE20" s="33" t="n">
        <v>32525.2875</v>
      </c>
      <c r="BF20" s="33" t="n">
        <v>32525.2875</v>
      </c>
      <c r="BG20" s="34" t="n">
        <v>8186.4408</v>
      </c>
      <c r="BH20" s="34" t="n">
        <v>8186.4408</v>
      </c>
      <c r="BI20" s="34" t="n">
        <v>8186.4408</v>
      </c>
      <c r="BJ20" s="34" t="n">
        <v>8186.4408</v>
      </c>
      <c r="BK20" s="34" t="n">
        <v>8186.4408</v>
      </c>
    </row>
    <row r="21" customFormat="false" ht="13.2" hidden="false" customHeight="false" outlineLevel="0" collapsed="false">
      <c r="A21" s="0" t="n">
        <f aca="false">A20+1</f>
        <v>20</v>
      </c>
      <c r="B21" s="29" t="n">
        <v>12405.6</v>
      </c>
      <c r="C21" s="29" t="n">
        <v>12405.6</v>
      </c>
      <c r="D21" s="29" t="n">
        <v>12405.6</v>
      </c>
      <c r="E21" s="29" t="n">
        <v>12405.6</v>
      </c>
      <c r="F21" s="29" t="n">
        <v>12405.6</v>
      </c>
      <c r="G21" s="29" t="n">
        <v>12405.6</v>
      </c>
      <c r="H21" s="29" t="n">
        <v>12405.6</v>
      </c>
      <c r="I21" s="29" t="n">
        <v>12405.6</v>
      </c>
      <c r="J21" s="29" t="n">
        <v>12405.6</v>
      </c>
      <c r="K21" s="29" t="n">
        <v>12405.6</v>
      </c>
      <c r="L21" s="30" t="n">
        <f aca="false">K21*7</f>
        <v>86839.2</v>
      </c>
      <c r="M21" s="30" t="n">
        <f aca="false">L21</f>
        <v>86839.2</v>
      </c>
      <c r="N21" s="0" t="n">
        <v>10453.8</v>
      </c>
      <c r="O21" s="0" t="n">
        <v>10453.8</v>
      </c>
      <c r="P21" s="0" t="n">
        <v>10453.8</v>
      </c>
      <c r="Q21" s="0" t="n">
        <v>10453.8</v>
      </c>
      <c r="R21" s="0" t="n">
        <v>10453.8</v>
      </c>
      <c r="S21" s="0" t="n">
        <v>10453.8</v>
      </c>
      <c r="T21" s="0" t="n">
        <v>10453.8</v>
      </c>
      <c r="U21" s="0" t="n">
        <v>10453.8</v>
      </c>
      <c r="V21" s="31" t="n">
        <v>24199.4</v>
      </c>
      <c r="W21" s="31" t="n">
        <v>24199.4</v>
      </c>
      <c r="X21" s="31" t="n">
        <v>24199.4</v>
      </c>
      <c r="Y21" s="31" t="n">
        <v>24199.4</v>
      </c>
      <c r="Z21" s="31" t="n">
        <v>24199.4</v>
      </c>
      <c r="AA21" s="31" t="n">
        <v>24199.4</v>
      </c>
      <c r="AB21" s="32" t="n">
        <v>36773</v>
      </c>
      <c r="AC21" s="32" t="n">
        <v>36773</v>
      </c>
      <c r="AD21" s="32" t="n">
        <v>36773</v>
      </c>
      <c r="AE21" s="31" t="n">
        <v>24199.4</v>
      </c>
      <c r="AF21" s="31" t="n">
        <v>24199.4</v>
      </c>
      <c r="AG21" s="31" t="n">
        <v>24199.4</v>
      </c>
      <c r="AH21" s="31" t="n">
        <v>24199.4</v>
      </c>
      <c r="AI21" s="31" t="n">
        <v>24199.4</v>
      </c>
      <c r="AJ21" s="31" t="n">
        <v>24199.4</v>
      </c>
      <c r="AK21" s="32" t="n">
        <v>36773</v>
      </c>
      <c r="AL21" s="32" t="n">
        <v>36773</v>
      </c>
      <c r="AM21" s="32" t="n">
        <v>36773</v>
      </c>
      <c r="AN21" s="32" t="n">
        <v>36773</v>
      </c>
      <c r="AO21" s="32" t="n">
        <v>36773</v>
      </c>
      <c r="AP21" s="32" t="n">
        <v>36773</v>
      </c>
      <c r="AQ21" s="32" t="n">
        <v>36773</v>
      </c>
      <c r="AR21" s="32" t="n">
        <v>36773</v>
      </c>
      <c r="AS21" s="32" t="n">
        <v>36773</v>
      </c>
      <c r="AT21" s="31" t="n">
        <v>24199.4</v>
      </c>
      <c r="AU21" s="33" t="n">
        <v>32525.2875</v>
      </c>
      <c r="AV21" s="33" t="n">
        <v>32525.2875</v>
      </c>
      <c r="AW21" s="33" t="n">
        <v>32525.2875</v>
      </c>
      <c r="AX21" s="33" t="n">
        <v>32525.2875</v>
      </c>
      <c r="AY21" s="33" t="n">
        <v>32525.2875</v>
      </c>
      <c r="AZ21" s="33" t="n">
        <v>32525.2875</v>
      </c>
      <c r="BA21" s="33" t="n">
        <v>32525.2875</v>
      </c>
      <c r="BB21" s="33" t="n">
        <v>32525.2875</v>
      </c>
      <c r="BC21" s="33" t="n">
        <v>32525.2875</v>
      </c>
      <c r="BD21" s="33" t="n">
        <v>32525.2875</v>
      </c>
      <c r="BE21" s="33" t="n">
        <v>32525.2875</v>
      </c>
      <c r="BF21" s="33" t="n">
        <v>32525.2875</v>
      </c>
      <c r="BG21" s="34" t="n">
        <v>7798.2</v>
      </c>
      <c r="BH21" s="34" t="n">
        <v>7798.2</v>
      </c>
      <c r="BI21" s="34" t="n">
        <v>7798.2</v>
      </c>
      <c r="BJ21" s="34" t="n">
        <v>7798.2</v>
      </c>
      <c r="BK21" s="34" t="n">
        <v>7798.2</v>
      </c>
    </row>
    <row r="22" customFormat="false" ht="13.2" hidden="false" customHeight="false" outlineLevel="0" collapsed="false">
      <c r="A22" s="0" t="n">
        <f aca="false">A21+1</f>
        <v>21</v>
      </c>
      <c r="B22" s="29" t="n">
        <v>11999.9416</v>
      </c>
      <c r="C22" s="29" t="n">
        <v>11999.9416</v>
      </c>
      <c r="D22" s="29" t="n">
        <v>11999.9416</v>
      </c>
      <c r="E22" s="29" t="n">
        <v>11999.9416</v>
      </c>
      <c r="F22" s="29" t="n">
        <v>11999.9416</v>
      </c>
      <c r="G22" s="29" t="n">
        <v>11999.9416</v>
      </c>
      <c r="H22" s="29" t="n">
        <v>11999.9416</v>
      </c>
      <c r="I22" s="29" t="n">
        <v>11999.9416</v>
      </c>
      <c r="J22" s="29" t="n">
        <v>11999.9416</v>
      </c>
      <c r="K22" s="29" t="n">
        <v>11999.9416</v>
      </c>
      <c r="L22" s="30" t="n">
        <f aca="false">K22*7</f>
        <v>83999.5912</v>
      </c>
      <c r="M22" s="30" t="n">
        <f aca="false">L22</f>
        <v>83999.5912</v>
      </c>
      <c r="N22" s="0" t="n">
        <v>10087.9423</v>
      </c>
      <c r="O22" s="0" t="n">
        <v>10087.9423</v>
      </c>
      <c r="P22" s="0" t="n">
        <v>10087.9423</v>
      </c>
      <c r="Q22" s="0" t="n">
        <v>10087.9423</v>
      </c>
      <c r="R22" s="0" t="n">
        <v>10087.9423</v>
      </c>
      <c r="S22" s="0" t="n">
        <v>10087.9423</v>
      </c>
      <c r="T22" s="0" t="n">
        <v>10087.9423</v>
      </c>
      <c r="U22" s="0" t="n">
        <v>10087.9423</v>
      </c>
      <c r="V22" s="31" t="n">
        <v>24103.4622</v>
      </c>
      <c r="W22" s="31" t="n">
        <v>24103.4622</v>
      </c>
      <c r="X22" s="31" t="n">
        <v>24103.4622</v>
      </c>
      <c r="Y22" s="31" t="n">
        <v>24103.4622</v>
      </c>
      <c r="Z22" s="31" t="n">
        <v>24103.4622</v>
      </c>
      <c r="AA22" s="31" t="n">
        <v>24103.4622</v>
      </c>
      <c r="AB22" s="32" t="n">
        <v>35749.3</v>
      </c>
      <c r="AC22" s="32" t="n">
        <v>35749.3</v>
      </c>
      <c r="AD22" s="32" t="n">
        <v>35749.3</v>
      </c>
      <c r="AE22" s="31" t="n">
        <v>24103.4622</v>
      </c>
      <c r="AF22" s="31" t="n">
        <v>24103.4622</v>
      </c>
      <c r="AG22" s="31" t="n">
        <v>24103.4622</v>
      </c>
      <c r="AH22" s="31" t="n">
        <v>24103.4622</v>
      </c>
      <c r="AI22" s="31" t="n">
        <v>24103.4622</v>
      </c>
      <c r="AJ22" s="31" t="n">
        <v>24103.4622</v>
      </c>
      <c r="AK22" s="32" t="n">
        <v>35749.3</v>
      </c>
      <c r="AL22" s="32" t="n">
        <v>35749.3</v>
      </c>
      <c r="AM22" s="32" t="n">
        <v>35749.3</v>
      </c>
      <c r="AN22" s="32" t="n">
        <v>35749.3</v>
      </c>
      <c r="AO22" s="32" t="n">
        <v>35749.3</v>
      </c>
      <c r="AP22" s="32" t="n">
        <v>35749.3</v>
      </c>
      <c r="AQ22" s="32" t="n">
        <v>35749.3</v>
      </c>
      <c r="AR22" s="32" t="n">
        <v>35749.3</v>
      </c>
      <c r="AS22" s="32" t="n">
        <v>35749.3</v>
      </c>
      <c r="AT22" s="31" t="n">
        <v>24103.4622</v>
      </c>
      <c r="AU22" s="33" t="n">
        <v>32525.2875</v>
      </c>
      <c r="AV22" s="33" t="n">
        <v>32525.2875</v>
      </c>
      <c r="AW22" s="33" t="n">
        <v>32525.2875</v>
      </c>
      <c r="AX22" s="33" t="n">
        <v>32525.2875</v>
      </c>
      <c r="AY22" s="33" t="n">
        <v>32525.2875</v>
      </c>
      <c r="AZ22" s="33" t="n">
        <v>32525.2875</v>
      </c>
      <c r="BA22" s="33" t="n">
        <v>32525.2875</v>
      </c>
      <c r="BB22" s="33" t="n">
        <v>32525.2875</v>
      </c>
      <c r="BC22" s="33" t="n">
        <v>32525.2875</v>
      </c>
      <c r="BD22" s="33" t="n">
        <v>32525.2875</v>
      </c>
      <c r="BE22" s="33" t="n">
        <v>32525.2875</v>
      </c>
      <c r="BF22" s="33" t="n">
        <v>32525.2875</v>
      </c>
      <c r="BG22" s="34" t="n">
        <v>7798.2</v>
      </c>
      <c r="BH22" s="34" t="n">
        <v>7798.2</v>
      </c>
      <c r="BI22" s="34" t="n">
        <v>7798.2</v>
      </c>
      <c r="BJ22" s="34" t="n">
        <v>7798.2</v>
      </c>
      <c r="BK22" s="34" t="n">
        <v>7798.2</v>
      </c>
    </row>
    <row r="23" customFormat="false" ht="13.2" hidden="false" customHeight="false" outlineLevel="0" collapsed="false">
      <c r="A23" s="0" t="n">
        <f aca="false">A22+1</f>
        <v>22</v>
      </c>
      <c r="B23" s="29" t="n">
        <v>11579.7728</v>
      </c>
      <c r="C23" s="29" t="n">
        <v>11579.7728</v>
      </c>
      <c r="D23" s="29" t="n">
        <v>11579.7728</v>
      </c>
      <c r="E23" s="29" t="n">
        <v>11579.7728</v>
      </c>
      <c r="F23" s="29" t="n">
        <v>11579.7728</v>
      </c>
      <c r="G23" s="29" t="n">
        <v>11579.7728</v>
      </c>
      <c r="H23" s="29" t="n">
        <v>11579.7728</v>
      </c>
      <c r="I23" s="29" t="n">
        <v>11579.7728</v>
      </c>
      <c r="J23" s="29" t="n">
        <v>11579.7728</v>
      </c>
      <c r="K23" s="29" t="n">
        <v>11579.7728</v>
      </c>
      <c r="L23" s="30" t="n">
        <f aca="false">K23*7</f>
        <v>81058.4096</v>
      </c>
      <c r="M23" s="30" t="n">
        <f aca="false">L23</f>
        <v>81058.4096</v>
      </c>
      <c r="N23" s="0" t="n">
        <v>9740.0784</v>
      </c>
      <c r="O23" s="0" t="n">
        <v>9740.0784</v>
      </c>
      <c r="P23" s="0" t="n">
        <v>9740.0784</v>
      </c>
      <c r="Q23" s="0" t="n">
        <v>9740.0784</v>
      </c>
      <c r="R23" s="0" t="n">
        <v>9740.0784</v>
      </c>
      <c r="S23" s="0" t="n">
        <v>9740.0784</v>
      </c>
      <c r="T23" s="0" t="n">
        <v>9740.0784</v>
      </c>
      <c r="U23" s="0" t="n">
        <v>9740.0784</v>
      </c>
      <c r="V23" s="31" t="n">
        <v>23984.2448</v>
      </c>
      <c r="W23" s="31" t="n">
        <v>23984.2448</v>
      </c>
      <c r="X23" s="31" t="n">
        <v>23984.2448</v>
      </c>
      <c r="Y23" s="31" t="n">
        <v>23984.2448</v>
      </c>
      <c r="Z23" s="31" t="n">
        <v>23984.2448</v>
      </c>
      <c r="AA23" s="31" t="n">
        <v>23984.2448</v>
      </c>
      <c r="AB23" s="32" t="n">
        <v>34725.6</v>
      </c>
      <c r="AC23" s="32" t="n">
        <v>34725.6</v>
      </c>
      <c r="AD23" s="32" t="n">
        <v>34725.6</v>
      </c>
      <c r="AE23" s="31" t="n">
        <v>23984.2448</v>
      </c>
      <c r="AF23" s="31" t="n">
        <v>23984.2448</v>
      </c>
      <c r="AG23" s="31" t="n">
        <v>23984.2448</v>
      </c>
      <c r="AH23" s="31" t="n">
        <v>23984.2448</v>
      </c>
      <c r="AI23" s="31" t="n">
        <v>23984.2448</v>
      </c>
      <c r="AJ23" s="31" t="n">
        <v>23984.2448</v>
      </c>
      <c r="AK23" s="32" t="n">
        <v>34725.6</v>
      </c>
      <c r="AL23" s="32" t="n">
        <v>34725.6</v>
      </c>
      <c r="AM23" s="32" t="n">
        <v>34725.6</v>
      </c>
      <c r="AN23" s="32" t="n">
        <v>34725.6</v>
      </c>
      <c r="AO23" s="32" t="n">
        <v>34725.6</v>
      </c>
      <c r="AP23" s="32" t="n">
        <v>34725.6</v>
      </c>
      <c r="AQ23" s="32" t="n">
        <v>34725.6</v>
      </c>
      <c r="AR23" s="32" t="n">
        <v>34725.6</v>
      </c>
      <c r="AS23" s="32" t="n">
        <v>34725.6</v>
      </c>
      <c r="AT23" s="31" t="n">
        <v>23984.2448</v>
      </c>
      <c r="AU23" s="33" t="n">
        <v>32525.2875</v>
      </c>
      <c r="AV23" s="33" t="n">
        <v>32525.2875</v>
      </c>
      <c r="AW23" s="33" t="n">
        <v>32525.2875</v>
      </c>
      <c r="AX23" s="33" t="n">
        <v>32525.2875</v>
      </c>
      <c r="AY23" s="33" t="n">
        <v>32525.2875</v>
      </c>
      <c r="AZ23" s="33" t="n">
        <v>32525.2875</v>
      </c>
      <c r="BA23" s="33" t="n">
        <v>32525.2875</v>
      </c>
      <c r="BB23" s="33" t="n">
        <v>32525.2875</v>
      </c>
      <c r="BC23" s="33" t="n">
        <v>32525.2875</v>
      </c>
      <c r="BD23" s="33" t="n">
        <v>32525.2875</v>
      </c>
      <c r="BE23" s="33" t="n">
        <v>32525.2875</v>
      </c>
      <c r="BF23" s="33" t="n">
        <v>32525.2875</v>
      </c>
      <c r="BG23" s="34" t="n">
        <v>7798.2</v>
      </c>
      <c r="BH23" s="34" t="n">
        <v>7798.2</v>
      </c>
      <c r="BI23" s="34" t="n">
        <v>7798.2</v>
      </c>
      <c r="BJ23" s="34" t="n">
        <v>7798.2</v>
      </c>
      <c r="BK23" s="34" t="n">
        <v>7798.2</v>
      </c>
    </row>
    <row r="24" customFormat="false" ht="13.2" hidden="false" customHeight="false" outlineLevel="0" collapsed="false">
      <c r="A24" s="0" t="n">
        <f aca="false">A23+1</f>
        <v>23</v>
      </c>
      <c r="B24" s="29" t="n">
        <v>11149.1232</v>
      </c>
      <c r="C24" s="29" t="n">
        <v>11149.1232</v>
      </c>
      <c r="D24" s="29" t="n">
        <v>11149.1232</v>
      </c>
      <c r="E24" s="29" t="n">
        <v>11149.1232</v>
      </c>
      <c r="F24" s="29" t="n">
        <v>11149.1232</v>
      </c>
      <c r="G24" s="29" t="n">
        <v>11149.1232</v>
      </c>
      <c r="H24" s="29" t="n">
        <v>11149.1232</v>
      </c>
      <c r="I24" s="29" t="n">
        <v>11149.1232</v>
      </c>
      <c r="J24" s="29" t="n">
        <v>11149.1232</v>
      </c>
      <c r="K24" s="29" t="n">
        <v>11149.1232</v>
      </c>
      <c r="L24" s="30" t="n">
        <f aca="false">K24*7</f>
        <v>78043.8624</v>
      </c>
      <c r="M24" s="30" t="n">
        <f aca="false">L24</f>
        <v>78043.8624</v>
      </c>
      <c r="N24" s="0" t="n">
        <v>9412.3821</v>
      </c>
      <c r="O24" s="0" t="n">
        <v>9412.3821</v>
      </c>
      <c r="P24" s="0" t="n">
        <v>9412.3821</v>
      </c>
      <c r="Q24" s="0" t="n">
        <v>9412.3821</v>
      </c>
      <c r="R24" s="0" t="n">
        <v>9412.3821</v>
      </c>
      <c r="S24" s="0" t="n">
        <v>9412.3821</v>
      </c>
      <c r="T24" s="0" t="n">
        <v>9412.3821</v>
      </c>
      <c r="U24" s="0" t="n">
        <v>9412.3821</v>
      </c>
      <c r="V24" s="31" t="n">
        <v>23837.315</v>
      </c>
      <c r="W24" s="31" t="n">
        <v>23837.315</v>
      </c>
      <c r="X24" s="31" t="n">
        <v>23837.315</v>
      </c>
      <c r="Y24" s="31" t="n">
        <v>23837.315</v>
      </c>
      <c r="Z24" s="31" t="n">
        <v>23837.315</v>
      </c>
      <c r="AA24" s="31" t="n">
        <v>23837.315</v>
      </c>
      <c r="AB24" s="32" t="n">
        <v>33701.9</v>
      </c>
      <c r="AC24" s="32" t="n">
        <v>33701.9</v>
      </c>
      <c r="AD24" s="32" t="n">
        <v>33701.9</v>
      </c>
      <c r="AE24" s="31" t="n">
        <v>23837.315</v>
      </c>
      <c r="AF24" s="31" t="n">
        <v>23837.315</v>
      </c>
      <c r="AG24" s="31" t="n">
        <v>23837.315</v>
      </c>
      <c r="AH24" s="31" t="n">
        <v>23837.315</v>
      </c>
      <c r="AI24" s="31" t="n">
        <v>23837.315</v>
      </c>
      <c r="AJ24" s="31" t="n">
        <v>23837.315</v>
      </c>
      <c r="AK24" s="32" t="n">
        <v>33701.9</v>
      </c>
      <c r="AL24" s="32" t="n">
        <v>33701.9</v>
      </c>
      <c r="AM24" s="32" t="n">
        <v>33701.9</v>
      </c>
      <c r="AN24" s="32" t="n">
        <v>33701.9</v>
      </c>
      <c r="AO24" s="32" t="n">
        <v>33701.9</v>
      </c>
      <c r="AP24" s="32" t="n">
        <v>33701.9</v>
      </c>
      <c r="AQ24" s="32" t="n">
        <v>33701.9</v>
      </c>
      <c r="AR24" s="32" t="n">
        <v>33701.9</v>
      </c>
      <c r="AS24" s="32" t="n">
        <v>33701.9</v>
      </c>
      <c r="AT24" s="31" t="n">
        <v>23837.315</v>
      </c>
      <c r="AU24" s="33" t="n">
        <v>32525.2875</v>
      </c>
      <c r="AV24" s="33" t="n">
        <v>32525.2875</v>
      </c>
      <c r="AW24" s="33" t="n">
        <v>32525.2875</v>
      </c>
      <c r="AX24" s="33" t="n">
        <v>32525.2875</v>
      </c>
      <c r="AY24" s="33" t="n">
        <v>32525.2875</v>
      </c>
      <c r="AZ24" s="33" t="n">
        <v>32525.2875</v>
      </c>
      <c r="BA24" s="33" t="n">
        <v>32525.2875</v>
      </c>
      <c r="BB24" s="33" t="n">
        <v>32525.2875</v>
      </c>
      <c r="BC24" s="33" t="n">
        <v>32525.2875</v>
      </c>
      <c r="BD24" s="33" t="n">
        <v>32525.2875</v>
      </c>
      <c r="BE24" s="33" t="n">
        <v>32525.2875</v>
      </c>
      <c r="BF24" s="33" t="n">
        <v>32525.2875</v>
      </c>
      <c r="BG24" s="34" t="n">
        <v>7798.2</v>
      </c>
      <c r="BH24" s="34" t="n">
        <v>7798.2</v>
      </c>
      <c r="BI24" s="34" t="n">
        <v>7798.2</v>
      </c>
      <c r="BJ24" s="34" t="n">
        <v>7798.2</v>
      </c>
      <c r="BK24" s="34" t="n">
        <v>7798.2</v>
      </c>
    </row>
    <row r="25" customFormat="false" ht="13.2" hidden="false" customHeight="false" outlineLevel="0" collapsed="false">
      <c r="A25" s="0" t="n">
        <f aca="false">A24+1</f>
        <v>24</v>
      </c>
      <c r="B25" s="29" t="n">
        <v>10712.0224</v>
      </c>
      <c r="C25" s="29" t="n">
        <v>10712.0224</v>
      </c>
      <c r="D25" s="29" t="n">
        <v>10712.0224</v>
      </c>
      <c r="E25" s="29" t="n">
        <v>10712.0224</v>
      </c>
      <c r="F25" s="29" t="n">
        <v>10712.0224</v>
      </c>
      <c r="G25" s="29" t="n">
        <v>10712.0224</v>
      </c>
      <c r="H25" s="29" t="n">
        <v>10712.0224</v>
      </c>
      <c r="I25" s="29" t="n">
        <v>10712.0224</v>
      </c>
      <c r="J25" s="29" t="n">
        <v>10712.0224</v>
      </c>
      <c r="K25" s="29" t="n">
        <v>10712.0224</v>
      </c>
      <c r="L25" s="30" t="n">
        <f aca="false">K25*7</f>
        <v>74984.1568</v>
      </c>
      <c r="M25" s="30" t="n">
        <f aca="false">L25</f>
        <v>74984.1568</v>
      </c>
      <c r="N25" s="0" t="n">
        <v>9107.0272</v>
      </c>
      <c r="O25" s="0" t="n">
        <v>9107.0272</v>
      </c>
      <c r="P25" s="0" t="n">
        <v>9107.0272</v>
      </c>
      <c r="Q25" s="0" t="n">
        <v>9107.0272</v>
      </c>
      <c r="R25" s="0" t="n">
        <v>9107.0272</v>
      </c>
      <c r="S25" s="0" t="n">
        <v>9107.0272</v>
      </c>
      <c r="T25" s="0" t="n">
        <v>9107.0272</v>
      </c>
      <c r="U25" s="0" t="n">
        <v>9107.0272</v>
      </c>
      <c r="V25" s="31" t="n">
        <v>23660.0976</v>
      </c>
      <c r="W25" s="31" t="n">
        <v>23660.0976</v>
      </c>
      <c r="X25" s="31" t="n">
        <v>23660.0976</v>
      </c>
      <c r="Y25" s="31" t="n">
        <v>23660.0976</v>
      </c>
      <c r="Z25" s="31" t="n">
        <v>23660.0976</v>
      </c>
      <c r="AA25" s="31" t="n">
        <v>23660.0976</v>
      </c>
      <c r="AB25" s="32" t="n">
        <v>32678.2</v>
      </c>
      <c r="AC25" s="32" t="n">
        <v>32678.2</v>
      </c>
      <c r="AD25" s="32" t="n">
        <v>32678.2</v>
      </c>
      <c r="AE25" s="31" t="n">
        <v>23660.0976</v>
      </c>
      <c r="AF25" s="31" t="n">
        <v>23660.0976</v>
      </c>
      <c r="AG25" s="31" t="n">
        <v>23660.0976</v>
      </c>
      <c r="AH25" s="31" t="n">
        <v>23660.0976</v>
      </c>
      <c r="AI25" s="31" t="n">
        <v>23660.0976</v>
      </c>
      <c r="AJ25" s="31" t="n">
        <v>23660.0976</v>
      </c>
      <c r="AK25" s="32" t="n">
        <v>32678.2</v>
      </c>
      <c r="AL25" s="32" t="n">
        <v>32678.2</v>
      </c>
      <c r="AM25" s="32" t="n">
        <v>32678.2</v>
      </c>
      <c r="AN25" s="32" t="n">
        <v>32678.2</v>
      </c>
      <c r="AO25" s="32" t="n">
        <v>32678.2</v>
      </c>
      <c r="AP25" s="32" t="n">
        <v>32678.2</v>
      </c>
      <c r="AQ25" s="32" t="n">
        <v>32678.2</v>
      </c>
      <c r="AR25" s="32" t="n">
        <v>32678.2</v>
      </c>
      <c r="AS25" s="32" t="n">
        <v>32678.2</v>
      </c>
      <c r="AT25" s="31" t="n">
        <v>23660.0976</v>
      </c>
      <c r="AU25" s="33" t="n">
        <v>32525.2875</v>
      </c>
      <c r="AV25" s="33" t="n">
        <v>32525.2875</v>
      </c>
      <c r="AW25" s="33" t="n">
        <v>32525.2875</v>
      </c>
      <c r="AX25" s="33" t="n">
        <v>32525.2875</v>
      </c>
      <c r="AY25" s="33" t="n">
        <v>32525.2875</v>
      </c>
      <c r="AZ25" s="33" t="n">
        <v>32525.2875</v>
      </c>
      <c r="BA25" s="33" t="n">
        <v>32525.2875</v>
      </c>
      <c r="BB25" s="33" t="n">
        <v>32525.2875</v>
      </c>
      <c r="BC25" s="33" t="n">
        <v>32525.2875</v>
      </c>
      <c r="BD25" s="33" t="n">
        <v>32525.2875</v>
      </c>
      <c r="BE25" s="33" t="n">
        <v>32525.2875</v>
      </c>
      <c r="BF25" s="33" t="n">
        <v>32525.2875</v>
      </c>
      <c r="BG25" s="34" t="n">
        <v>7798.2</v>
      </c>
      <c r="BH25" s="34" t="n">
        <v>7798.2</v>
      </c>
      <c r="BI25" s="34" t="n">
        <v>7798.2</v>
      </c>
      <c r="BJ25" s="34" t="n">
        <v>7798.2</v>
      </c>
      <c r="BK25" s="34" t="n">
        <v>7798.2</v>
      </c>
    </row>
    <row r="26" customFormat="false" ht="13.2" hidden="false" customHeight="false" outlineLevel="0" collapsed="false">
      <c r="A26" s="0" t="n">
        <f aca="false">A25+1</f>
        <v>25</v>
      </c>
      <c r="B26" s="29" t="n">
        <v>10272.5</v>
      </c>
      <c r="C26" s="29" t="n">
        <v>10272.5</v>
      </c>
      <c r="D26" s="29" t="n">
        <v>10272.5</v>
      </c>
      <c r="E26" s="29" t="n">
        <v>10272.5</v>
      </c>
      <c r="F26" s="29" t="n">
        <v>10272.5</v>
      </c>
      <c r="G26" s="29" t="n">
        <v>10272.5</v>
      </c>
      <c r="H26" s="29" t="n">
        <v>10272.5</v>
      </c>
      <c r="I26" s="29" t="n">
        <v>10272.5</v>
      </c>
      <c r="J26" s="29" t="n">
        <v>10272.5</v>
      </c>
      <c r="K26" s="29" t="n">
        <v>10272.5</v>
      </c>
      <c r="L26" s="30" t="n">
        <f aca="false">K26*7</f>
        <v>71907.5</v>
      </c>
      <c r="M26" s="30" t="n">
        <f aca="false">L26</f>
        <v>71907.5</v>
      </c>
      <c r="N26" s="0" t="n">
        <v>8826.1875</v>
      </c>
      <c r="O26" s="0" t="n">
        <v>8826.1875</v>
      </c>
      <c r="P26" s="0" t="n">
        <v>8826.1875</v>
      </c>
      <c r="Q26" s="0" t="n">
        <v>8826.1875</v>
      </c>
      <c r="R26" s="0" t="n">
        <v>8826.1875</v>
      </c>
      <c r="S26" s="0" t="n">
        <v>8826.1875</v>
      </c>
      <c r="T26" s="0" t="n">
        <v>8826.1875</v>
      </c>
      <c r="U26" s="0" t="n">
        <v>8826.1875</v>
      </c>
      <c r="V26" s="31" t="n">
        <v>23451.875</v>
      </c>
      <c r="W26" s="31" t="n">
        <v>23451.875</v>
      </c>
      <c r="X26" s="31" t="n">
        <v>23451.875</v>
      </c>
      <c r="Y26" s="31" t="n">
        <v>23451.875</v>
      </c>
      <c r="Z26" s="31" t="n">
        <v>23451.875</v>
      </c>
      <c r="AA26" s="31" t="n">
        <v>23451.875</v>
      </c>
      <c r="AB26" s="32" t="n">
        <v>31654.5</v>
      </c>
      <c r="AC26" s="32" t="n">
        <v>31654.5</v>
      </c>
      <c r="AD26" s="32" t="n">
        <v>31654.5</v>
      </c>
      <c r="AE26" s="31" t="n">
        <v>23451.875</v>
      </c>
      <c r="AF26" s="31" t="n">
        <v>23451.875</v>
      </c>
      <c r="AG26" s="31" t="n">
        <v>23451.875</v>
      </c>
      <c r="AH26" s="31" t="n">
        <v>23451.875</v>
      </c>
      <c r="AI26" s="31" t="n">
        <v>23451.875</v>
      </c>
      <c r="AJ26" s="31" t="n">
        <v>23451.875</v>
      </c>
      <c r="AK26" s="32" t="n">
        <v>31654.5</v>
      </c>
      <c r="AL26" s="32" t="n">
        <v>31654.5</v>
      </c>
      <c r="AM26" s="32" t="n">
        <v>31654.5</v>
      </c>
      <c r="AN26" s="32" t="n">
        <v>31654.5</v>
      </c>
      <c r="AO26" s="32" t="n">
        <v>31654.5</v>
      </c>
      <c r="AP26" s="32" t="n">
        <v>31654.5</v>
      </c>
      <c r="AQ26" s="32" t="n">
        <v>31654.5</v>
      </c>
      <c r="AR26" s="32" t="n">
        <v>31654.5</v>
      </c>
      <c r="AS26" s="32" t="n">
        <v>31654.5</v>
      </c>
      <c r="AT26" s="31" t="n">
        <v>23451.875</v>
      </c>
      <c r="AU26" s="33" t="n">
        <v>32525.2875</v>
      </c>
      <c r="AV26" s="33" t="n">
        <v>32525.2875</v>
      </c>
      <c r="AW26" s="33" t="n">
        <v>32525.2875</v>
      </c>
      <c r="AX26" s="33" t="n">
        <v>32525.2875</v>
      </c>
      <c r="AY26" s="33" t="n">
        <v>32525.2875</v>
      </c>
      <c r="AZ26" s="33" t="n">
        <v>32525.2875</v>
      </c>
      <c r="BA26" s="33" t="n">
        <v>32525.2875</v>
      </c>
      <c r="BB26" s="33" t="n">
        <v>32525.2875</v>
      </c>
      <c r="BC26" s="33" t="n">
        <v>32525.2875</v>
      </c>
      <c r="BD26" s="33" t="n">
        <v>32525.2875</v>
      </c>
      <c r="BE26" s="33" t="n">
        <v>32525.2875</v>
      </c>
      <c r="BF26" s="33" t="n">
        <v>32525.2875</v>
      </c>
      <c r="BG26" s="34" t="n">
        <v>7798.2</v>
      </c>
      <c r="BH26" s="34" t="n">
        <v>7798.2</v>
      </c>
      <c r="BI26" s="34" t="n">
        <v>7798.2</v>
      </c>
      <c r="BJ26" s="34" t="n">
        <v>7798.2</v>
      </c>
      <c r="BK26" s="34" t="n">
        <v>7798.2</v>
      </c>
    </row>
    <row r="27" customFormat="false" ht="13.2" hidden="false" customHeight="false" outlineLevel="0" collapsed="false">
      <c r="A27" s="0" t="n">
        <f aca="false">A26+1</f>
        <v>26</v>
      </c>
      <c r="B27" s="29" t="n">
        <v>9834.58559999999</v>
      </c>
      <c r="C27" s="29" t="n">
        <v>9834.58559999999</v>
      </c>
      <c r="D27" s="29" t="n">
        <v>9834.58559999999</v>
      </c>
      <c r="E27" s="29" t="n">
        <v>9834.58559999999</v>
      </c>
      <c r="F27" s="29" t="n">
        <v>9834.58559999999</v>
      </c>
      <c r="G27" s="29" t="n">
        <v>9834.58559999999</v>
      </c>
      <c r="H27" s="29" t="n">
        <v>9834.58559999999</v>
      </c>
      <c r="I27" s="29" t="n">
        <v>9834.58559999999</v>
      </c>
      <c r="J27" s="29" t="n">
        <v>9834.58559999999</v>
      </c>
      <c r="K27" s="29" t="n">
        <v>9834.58559999999</v>
      </c>
      <c r="L27" s="30" t="n">
        <f aca="false">K27*7</f>
        <v>68842.0991999999</v>
      </c>
      <c r="M27" s="30" t="n">
        <f aca="false">L27</f>
        <v>68842.0991999999</v>
      </c>
      <c r="N27" s="0" t="n">
        <v>8572.0368</v>
      </c>
      <c r="O27" s="0" t="n">
        <v>8572.0368</v>
      </c>
      <c r="P27" s="0" t="n">
        <v>8572.0368</v>
      </c>
      <c r="Q27" s="0" t="n">
        <v>8572.0368</v>
      </c>
      <c r="R27" s="0" t="n">
        <v>8572.0368</v>
      </c>
      <c r="S27" s="0" t="n">
        <v>8572.0368</v>
      </c>
      <c r="T27" s="0" t="n">
        <v>8572.0368</v>
      </c>
      <c r="U27" s="0" t="n">
        <v>8572.0368</v>
      </c>
      <c r="V27" s="31" t="n">
        <v>23213.7872</v>
      </c>
      <c r="W27" s="31" t="n">
        <v>23213.7872</v>
      </c>
      <c r="X27" s="31" t="n">
        <v>23213.7872</v>
      </c>
      <c r="Y27" s="31" t="n">
        <v>23213.7872</v>
      </c>
      <c r="Z27" s="31" t="n">
        <v>23213.7872</v>
      </c>
      <c r="AA27" s="31" t="n">
        <v>23213.7872</v>
      </c>
      <c r="AB27" s="32" t="n">
        <v>30630.8</v>
      </c>
      <c r="AC27" s="32" t="n">
        <v>30630.8</v>
      </c>
      <c r="AD27" s="32" t="n">
        <v>30630.8</v>
      </c>
      <c r="AE27" s="31" t="n">
        <v>23213.7872</v>
      </c>
      <c r="AF27" s="31" t="n">
        <v>23213.7872</v>
      </c>
      <c r="AG27" s="31" t="n">
        <v>23213.7872</v>
      </c>
      <c r="AH27" s="31" t="n">
        <v>23213.7872</v>
      </c>
      <c r="AI27" s="31" t="n">
        <v>23213.7872</v>
      </c>
      <c r="AJ27" s="31" t="n">
        <v>23213.7872</v>
      </c>
      <c r="AK27" s="32" t="n">
        <v>30630.8</v>
      </c>
      <c r="AL27" s="32" t="n">
        <v>30630.8</v>
      </c>
      <c r="AM27" s="32" t="n">
        <v>30630.8</v>
      </c>
      <c r="AN27" s="32" t="n">
        <v>30630.8</v>
      </c>
      <c r="AO27" s="32" t="n">
        <v>30630.8</v>
      </c>
      <c r="AP27" s="32" t="n">
        <v>30630.8</v>
      </c>
      <c r="AQ27" s="32" t="n">
        <v>30630.8</v>
      </c>
      <c r="AR27" s="32" t="n">
        <v>30630.8</v>
      </c>
      <c r="AS27" s="32" t="n">
        <v>30630.8</v>
      </c>
      <c r="AT27" s="31" t="n">
        <v>23213.7872</v>
      </c>
      <c r="AU27" s="33" t="n">
        <v>32525.2875</v>
      </c>
      <c r="AV27" s="33" t="n">
        <v>32525.2875</v>
      </c>
      <c r="AW27" s="33" t="n">
        <v>32525.2875</v>
      </c>
      <c r="AX27" s="33" t="n">
        <v>32525.2875</v>
      </c>
      <c r="AY27" s="33" t="n">
        <v>32525.2875</v>
      </c>
      <c r="AZ27" s="33" t="n">
        <v>32525.2875</v>
      </c>
      <c r="BA27" s="33" t="n">
        <v>32525.2875</v>
      </c>
      <c r="BB27" s="33" t="n">
        <v>32525.2875</v>
      </c>
      <c r="BC27" s="33" t="n">
        <v>32525.2875</v>
      </c>
      <c r="BD27" s="33" t="n">
        <v>32525.2875</v>
      </c>
      <c r="BE27" s="33" t="n">
        <v>32525.2875</v>
      </c>
      <c r="BF27" s="33" t="n">
        <v>32525.2875</v>
      </c>
      <c r="BG27" s="34" t="n">
        <v>7798.2</v>
      </c>
      <c r="BH27" s="34" t="n">
        <v>7798.2</v>
      </c>
      <c r="BI27" s="34" t="n">
        <v>7798.2</v>
      </c>
      <c r="BJ27" s="34" t="n">
        <v>7798.2</v>
      </c>
      <c r="BK27" s="34" t="n">
        <v>7798.2</v>
      </c>
    </row>
    <row r="28" customFormat="false" ht="13.2" hidden="false" customHeight="false" outlineLevel="0" collapsed="false">
      <c r="A28" s="0" t="n">
        <f aca="false">A27+1</f>
        <v>27</v>
      </c>
      <c r="B28" s="29" t="n">
        <v>9402.3088</v>
      </c>
      <c r="C28" s="29" t="n">
        <v>9402.3088</v>
      </c>
      <c r="D28" s="29" t="n">
        <v>9402.3088</v>
      </c>
      <c r="E28" s="29" t="n">
        <v>9402.3088</v>
      </c>
      <c r="F28" s="29" t="n">
        <v>9402.3088</v>
      </c>
      <c r="G28" s="29" t="n">
        <v>9402.3088</v>
      </c>
      <c r="H28" s="29" t="n">
        <v>9402.3088</v>
      </c>
      <c r="I28" s="29" t="n">
        <v>9402.3088</v>
      </c>
      <c r="J28" s="29" t="n">
        <v>9402.3088</v>
      </c>
      <c r="K28" s="29" t="n">
        <v>9402.3088</v>
      </c>
      <c r="L28" s="30" t="n">
        <f aca="false">K28*7</f>
        <v>65816.1616</v>
      </c>
      <c r="M28" s="30" t="n">
        <f aca="false">L28</f>
        <v>65816.1616</v>
      </c>
      <c r="N28" s="0" t="n">
        <v>8346.7489</v>
      </c>
      <c r="O28" s="0" t="n">
        <v>8346.7489</v>
      </c>
      <c r="P28" s="0" t="n">
        <v>8346.7489</v>
      </c>
      <c r="Q28" s="0" t="n">
        <v>8346.7489</v>
      </c>
      <c r="R28" s="0" t="n">
        <v>8346.7489</v>
      </c>
      <c r="S28" s="0" t="n">
        <v>8346.7489</v>
      </c>
      <c r="T28" s="0" t="n">
        <v>8346.7489</v>
      </c>
      <c r="U28" s="0" t="n">
        <v>8346.7489</v>
      </c>
      <c r="V28" s="31" t="n">
        <v>22948.8318</v>
      </c>
      <c r="W28" s="31" t="n">
        <v>22948.8318</v>
      </c>
      <c r="X28" s="31" t="n">
        <v>22948.8318</v>
      </c>
      <c r="Y28" s="31" t="n">
        <v>22948.8318</v>
      </c>
      <c r="Z28" s="31" t="n">
        <v>22948.8318</v>
      </c>
      <c r="AA28" s="31" t="n">
        <v>22948.8318</v>
      </c>
      <c r="AB28" s="32" t="n">
        <v>29607.1</v>
      </c>
      <c r="AC28" s="32" t="n">
        <v>29607.1</v>
      </c>
      <c r="AD28" s="32" t="n">
        <v>29607.1</v>
      </c>
      <c r="AE28" s="31" t="n">
        <v>22948.8318</v>
      </c>
      <c r="AF28" s="31" t="n">
        <v>22948.8318</v>
      </c>
      <c r="AG28" s="31" t="n">
        <v>22948.8318</v>
      </c>
      <c r="AH28" s="31" t="n">
        <v>22948.8318</v>
      </c>
      <c r="AI28" s="31" t="n">
        <v>22948.8318</v>
      </c>
      <c r="AJ28" s="31" t="n">
        <v>22948.8318</v>
      </c>
      <c r="AK28" s="32" t="n">
        <v>29607.1</v>
      </c>
      <c r="AL28" s="32" t="n">
        <v>29607.1</v>
      </c>
      <c r="AM28" s="32" t="n">
        <v>29607.1</v>
      </c>
      <c r="AN28" s="32" t="n">
        <v>29607.1</v>
      </c>
      <c r="AO28" s="32" t="n">
        <v>29607.1</v>
      </c>
      <c r="AP28" s="32" t="n">
        <v>29607.1</v>
      </c>
      <c r="AQ28" s="32" t="n">
        <v>29607.1</v>
      </c>
      <c r="AR28" s="32" t="n">
        <v>29607.1</v>
      </c>
      <c r="AS28" s="32" t="n">
        <v>29607.1</v>
      </c>
      <c r="AT28" s="31" t="n">
        <v>22948.8318</v>
      </c>
      <c r="AU28" s="33" t="n">
        <v>32525.2875</v>
      </c>
      <c r="AV28" s="33" t="n">
        <v>32525.2875</v>
      </c>
      <c r="AW28" s="33" t="n">
        <v>32525.2875</v>
      </c>
      <c r="AX28" s="33" t="n">
        <v>32525.2875</v>
      </c>
      <c r="AY28" s="33" t="n">
        <v>32525.2875</v>
      </c>
      <c r="AZ28" s="33" t="n">
        <v>32525.2875</v>
      </c>
      <c r="BA28" s="33" t="n">
        <v>32525.2875</v>
      </c>
      <c r="BB28" s="33" t="n">
        <v>32525.2875</v>
      </c>
      <c r="BC28" s="33" t="n">
        <v>32525.2875</v>
      </c>
      <c r="BD28" s="33" t="n">
        <v>32525.2875</v>
      </c>
      <c r="BE28" s="33" t="n">
        <v>32525.2875</v>
      </c>
      <c r="BF28" s="33" t="n">
        <v>32525.2875</v>
      </c>
      <c r="BG28" s="34" t="n">
        <v>7798.2</v>
      </c>
      <c r="BH28" s="34" t="n">
        <v>7798.2</v>
      </c>
      <c r="BI28" s="34" t="n">
        <v>7798.2</v>
      </c>
      <c r="BJ28" s="34" t="n">
        <v>7798.2</v>
      </c>
      <c r="BK28" s="34" t="n">
        <v>7798.2</v>
      </c>
    </row>
    <row r="29" customFormat="false" ht="13.2" hidden="false" customHeight="false" outlineLevel="0" collapsed="false">
      <c r="A29" s="0" t="n">
        <f aca="false">A28+1</f>
        <v>28</v>
      </c>
      <c r="B29" s="29" t="n">
        <v>8979.6992</v>
      </c>
      <c r="C29" s="29" t="n">
        <v>8979.6992</v>
      </c>
      <c r="D29" s="29" t="n">
        <v>8979.6992</v>
      </c>
      <c r="E29" s="29" t="n">
        <v>8979.6992</v>
      </c>
      <c r="F29" s="29" t="n">
        <v>8979.6992</v>
      </c>
      <c r="G29" s="29" t="n">
        <v>8979.6992</v>
      </c>
      <c r="H29" s="29" t="n">
        <v>8979.6992</v>
      </c>
      <c r="I29" s="29" t="n">
        <v>8979.6992</v>
      </c>
      <c r="J29" s="29" t="n">
        <v>8979.6992</v>
      </c>
      <c r="K29" s="29" t="n">
        <v>8979.6992</v>
      </c>
      <c r="L29" s="30" t="n">
        <f aca="false">K29*7</f>
        <v>62857.8944</v>
      </c>
      <c r="M29" s="30" t="n">
        <f aca="false">L29</f>
        <v>62857.8944</v>
      </c>
      <c r="N29" s="0" t="n">
        <v>8152.4976</v>
      </c>
      <c r="O29" s="0" t="n">
        <v>8152.4976</v>
      </c>
      <c r="P29" s="0" t="n">
        <v>8152.4976</v>
      </c>
      <c r="Q29" s="0" t="n">
        <v>8152.4976</v>
      </c>
      <c r="R29" s="0" t="n">
        <v>8152.4976</v>
      </c>
      <c r="S29" s="0" t="n">
        <v>8152.4976</v>
      </c>
      <c r="T29" s="0" t="n">
        <v>8152.4976</v>
      </c>
      <c r="U29" s="0" t="n">
        <v>8152.4976</v>
      </c>
      <c r="V29" s="31" t="n">
        <v>22661.864</v>
      </c>
      <c r="W29" s="31" t="n">
        <v>22661.864</v>
      </c>
      <c r="X29" s="31" t="n">
        <v>22661.864</v>
      </c>
      <c r="Y29" s="31" t="n">
        <v>22661.864</v>
      </c>
      <c r="Z29" s="31" t="n">
        <v>22661.864</v>
      </c>
      <c r="AA29" s="31" t="n">
        <v>22661.864</v>
      </c>
      <c r="AB29" s="32" t="n">
        <v>28583.4</v>
      </c>
      <c r="AC29" s="32" t="n">
        <v>28583.4</v>
      </c>
      <c r="AD29" s="32" t="n">
        <v>28583.4</v>
      </c>
      <c r="AE29" s="31" t="n">
        <v>22661.864</v>
      </c>
      <c r="AF29" s="31" t="n">
        <v>22661.864</v>
      </c>
      <c r="AG29" s="31" t="n">
        <v>22661.864</v>
      </c>
      <c r="AH29" s="31" t="n">
        <v>22661.864</v>
      </c>
      <c r="AI29" s="31" t="n">
        <v>22661.864</v>
      </c>
      <c r="AJ29" s="31" t="n">
        <v>22661.864</v>
      </c>
      <c r="AK29" s="32" t="n">
        <v>28583.4</v>
      </c>
      <c r="AL29" s="32" t="n">
        <v>28583.4</v>
      </c>
      <c r="AM29" s="32" t="n">
        <v>28583.4</v>
      </c>
      <c r="AN29" s="32" t="n">
        <v>28583.4</v>
      </c>
      <c r="AO29" s="32" t="n">
        <v>28583.4</v>
      </c>
      <c r="AP29" s="32" t="n">
        <v>28583.4</v>
      </c>
      <c r="AQ29" s="32" t="n">
        <v>28583.4</v>
      </c>
      <c r="AR29" s="32" t="n">
        <v>28583.4</v>
      </c>
      <c r="AS29" s="32" t="n">
        <v>28583.4</v>
      </c>
      <c r="AT29" s="31" t="n">
        <v>22661.864</v>
      </c>
      <c r="AU29" s="33" t="n">
        <v>32525.2875</v>
      </c>
      <c r="AV29" s="33" t="n">
        <v>32525.2875</v>
      </c>
      <c r="AW29" s="33" t="n">
        <v>32525.2875</v>
      </c>
      <c r="AX29" s="33" t="n">
        <v>32525.2875</v>
      </c>
      <c r="AY29" s="33" t="n">
        <v>32525.2875</v>
      </c>
      <c r="AZ29" s="33" t="n">
        <v>32525.2875</v>
      </c>
      <c r="BA29" s="33" t="n">
        <v>32525.2875</v>
      </c>
      <c r="BB29" s="33" t="n">
        <v>32525.2875</v>
      </c>
      <c r="BC29" s="33" t="n">
        <v>32525.2875</v>
      </c>
      <c r="BD29" s="33" t="n">
        <v>32525.2875</v>
      </c>
      <c r="BE29" s="33" t="n">
        <v>32525.2875</v>
      </c>
      <c r="BF29" s="33" t="n">
        <v>32525.2875</v>
      </c>
      <c r="BG29" s="34" t="n">
        <v>7798.2</v>
      </c>
      <c r="BH29" s="34" t="n">
        <v>7798.2</v>
      </c>
      <c r="BI29" s="34" t="n">
        <v>7798.2</v>
      </c>
      <c r="BJ29" s="34" t="n">
        <v>7798.2</v>
      </c>
      <c r="BK29" s="34" t="n">
        <v>7798.2</v>
      </c>
    </row>
    <row r="30" customFormat="false" ht="13.2" hidden="false" customHeight="false" outlineLevel="0" collapsed="false">
      <c r="A30" s="0" t="n">
        <f aca="false">A29+1</f>
        <v>29</v>
      </c>
      <c r="B30" s="29" t="n">
        <v>8570.7864</v>
      </c>
      <c r="C30" s="29" t="n">
        <v>8570.7864</v>
      </c>
      <c r="D30" s="29" t="n">
        <v>8570.7864</v>
      </c>
      <c r="E30" s="29" t="n">
        <v>8570.7864</v>
      </c>
      <c r="F30" s="29" t="n">
        <v>8570.7864</v>
      </c>
      <c r="G30" s="29" t="n">
        <v>8570.7864</v>
      </c>
      <c r="H30" s="29" t="n">
        <v>8570.7864</v>
      </c>
      <c r="I30" s="29" t="n">
        <v>8570.7864</v>
      </c>
      <c r="J30" s="29" t="n">
        <v>8570.7864</v>
      </c>
      <c r="K30" s="29" t="n">
        <v>8570.7864</v>
      </c>
      <c r="L30" s="30" t="n">
        <f aca="false">K30*7</f>
        <v>59995.5048</v>
      </c>
      <c r="M30" s="30" t="n">
        <f aca="false">L30</f>
        <v>59995.5048</v>
      </c>
      <c r="N30" s="0" t="n">
        <v>7991.4567</v>
      </c>
      <c r="O30" s="0" t="n">
        <v>7991.4567</v>
      </c>
      <c r="P30" s="0" t="n">
        <v>7991.4567</v>
      </c>
      <c r="Q30" s="0" t="n">
        <v>7991.4567</v>
      </c>
      <c r="R30" s="0" t="n">
        <v>7991.4567</v>
      </c>
      <c r="S30" s="0" t="n">
        <v>7991.4567</v>
      </c>
      <c r="T30" s="0" t="n">
        <v>7991.4567</v>
      </c>
      <c r="U30" s="0" t="n">
        <v>7991.4567</v>
      </c>
      <c r="V30" s="31" t="n">
        <v>22359.5966</v>
      </c>
      <c r="W30" s="31" t="n">
        <v>22359.5966</v>
      </c>
      <c r="X30" s="31" t="n">
        <v>22359.5966</v>
      </c>
      <c r="Y30" s="31" t="n">
        <v>22359.5966</v>
      </c>
      <c r="Z30" s="31" t="n">
        <v>22359.5966</v>
      </c>
      <c r="AA30" s="31" t="n">
        <v>22359.5966</v>
      </c>
      <c r="AB30" s="32" t="n">
        <v>27559.7</v>
      </c>
      <c r="AC30" s="32" t="n">
        <v>27559.7</v>
      </c>
      <c r="AD30" s="32" t="n">
        <v>27559.7</v>
      </c>
      <c r="AE30" s="31" t="n">
        <v>22359.5966</v>
      </c>
      <c r="AF30" s="31" t="n">
        <v>22359.5966</v>
      </c>
      <c r="AG30" s="31" t="n">
        <v>22359.5966</v>
      </c>
      <c r="AH30" s="31" t="n">
        <v>22359.5966</v>
      </c>
      <c r="AI30" s="31" t="n">
        <v>22359.5966</v>
      </c>
      <c r="AJ30" s="31" t="n">
        <v>22359.5966</v>
      </c>
      <c r="AK30" s="32" t="n">
        <v>27559.7</v>
      </c>
      <c r="AL30" s="32" t="n">
        <v>27559.7</v>
      </c>
      <c r="AM30" s="32" t="n">
        <v>27559.7</v>
      </c>
      <c r="AN30" s="32" t="n">
        <v>27559.7</v>
      </c>
      <c r="AO30" s="32" t="n">
        <v>27559.7</v>
      </c>
      <c r="AP30" s="32" t="n">
        <v>27559.7</v>
      </c>
      <c r="AQ30" s="32" t="n">
        <v>27559.7</v>
      </c>
      <c r="AR30" s="32" t="n">
        <v>27559.7</v>
      </c>
      <c r="AS30" s="32" t="n">
        <v>27559.7</v>
      </c>
      <c r="AT30" s="31" t="n">
        <v>22359.5966</v>
      </c>
      <c r="AU30" s="33" t="n">
        <v>32525.2875</v>
      </c>
      <c r="AV30" s="33" t="n">
        <v>32525.2875</v>
      </c>
      <c r="AW30" s="33" t="n">
        <v>32525.2875</v>
      </c>
      <c r="AX30" s="33" t="n">
        <v>32525.2875</v>
      </c>
      <c r="AY30" s="33" t="n">
        <v>32525.2875</v>
      </c>
      <c r="AZ30" s="33" t="n">
        <v>32525.2875</v>
      </c>
      <c r="BA30" s="33" t="n">
        <v>32525.2875</v>
      </c>
      <c r="BB30" s="33" t="n">
        <v>32525.2875</v>
      </c>
      <c r="BC30" s="33" t="n">
        <v>32525.2875</v>
      </c>
      <c r="BD30" s="33" t="n">
        <v>32525.2875</v>
      </c>
      <c r="BE30" s="33" t="n">
        <v>32525.2875</v>
      </c>
      <c r="BF30" s="33" t="n">
        <v>32525.2875</v>
      </c>
      <c r="BG30" s="34" t="n">
        <v>7798.2</v>
      </c>
      <c r="BH30" s="34" t="n">
        <v>7798.2</v>
      </c>
      <c r="BI30" s="34" t="n">
        <v>7798.2</v>
      </c>
      <c r="BJ30" s="34" t="n">
        <v>7798.2</v>
      </c>
      <c r="BK30" s="34" t="n">
        <v>7798.2</v>
      </c>
    </row>
    <row r="31" customFormat="false" ht="13.2" hidden="false" customHeight="false" outlineLevel="0" collapsed="false">
      <c r="A31" s="0" t="n">
        <f aca="false">A30+1</f>
        <v>30</v>
      </c>
      <c r="B31" s="29" t="n">
        <v>8179.6</v>
      </c>
      <c r="C31" s="29" t="n">
        <v>8179.6</v>
      </c>
      <c r="D31" s="29" t="n">
        <v>8179.6</v>
      </c>
      <c r="E31" s="29" t="n">
        <v>8179.6</v>
      </c>
      <c r="F31" s="29" t="n">
        <v>8179.6</v>
      </c>
      <c r="G31" s="29" t="n">
        <v>8179.6</v>
      </c>
      <c r="H31" s="29" t="n">
        <v>8179.6</v>
      </c>
      <c r="I31" s="29" t="n">
        <v>8179.6</v>
      </c>
      <c r="J31" s="29" t="n">
        <v>8179.6</v>
      </c>
      <c r="K31" s="29" t="n">
        <v>8179.6</v>
      </c>
      <c r="L31" s="30" t="n">
        <f aca="false">K31*7</f>
        <v>57257.2</v>
      </c>
      <c r="M31" s="30" t="n">
        <f aca="false">L31</f>
        <v>57257.2</v>
      </c>
      <c r="N31" s="0" t="n">
        <v>7865.8</v>
      </c>
      <c r="O31" s="0" t="n">
        <v>7865.8</v>
      </c>
      <c r="P31" s="0" t="n">
        <v>7865.8</v>
      </c>
      <c r="Q31" s="0" t="n">
        <v>7865.8</v>
      </c>
      <c r="R31" s="0" t="n">
        <v>7865.8</v>
      </c>
      <c r="S31" s="0" t="n">
        <v>7865.8</v>
      </c>
      <c r="T31" s="0" t="n">
        <v>7865.8</v>
      </c>
      <c r="U31" s="0" t="n">
        <v>7865.8</v>
      </c>
      <c r="V31" s="31" t="n">
        <v>22050.6</v>
      </c>
      <c r="W31" s="31" t="n">
        <v>22050.6</v>
      </c>
      <c r="X31" s="31" t="n">
        <v>22050.6</v>
      </c>
      <c r="Y31" s="31" t="n">
        <v>22050.6</v>
      </c>
      <c r="Z31" s="31" t="n">
        <v>22050.6</v>
      </c>
      <c r="AA31" s="31" t="n">
        <v>22050.6</v>
      </c>
      <c r="AB31" s="32" t="n">
        <v>26536</v>
      </c>
      <c r="AC31" s="32" t="n">
        <v>26536</v>
      </c>
      <c r="AD31" s="32" t="n">
        <v>26536</v>
      </c>
      <c r="AE31" s="31" t="n">
        <v>22050.6</v>
      </c>
      <c r="AF31" s="31" t="n">
        <v>22050.6</v>
      </c>
      <c r="AG31" s="31" t="n">
        <v>22050.6</v>
      </c>
      <c r="AH31" s="31" t="n">
        <v>22050.6</v>
      </c>
      <c r="AI31" s="31" t="n">
        <v>22050.6</v>
      </c>
      <c r="AJ31" s="31" t="n">
        <v>22050.6</v>
      </c>
      <c r="AK31" s="32" t="n">
        <v>26536</v>
      </c>
      <c r="AL31" s="32" t="n">
        <v>26536</v>
      </c>
      <c r="AM31" s="32" t="n">
        <v>26536</v>
      </c>
      <c r="AN31" s="32" t="n">
        <v>26536</v>
      </c>
      <c r="AO31" s="32" t="n">
        <v>26536</v>
      </c>
      <c r="AP31" s="32" t="n">
        <v>26536</v>
      </c>
      <c r="AQ31" s="32" t="n">
        <v>26536</v>
      </c>
      <c r="AR31" s="32" t="n">
        <v>26536</v>
      </c>
      <c r="AS31" s="32" t="n">
        <v>26536</v>
      </c>
      <c r="AT31" s="31" t="n">
        <v>22050.6</v>
      </c>
      <c r="AU31" s="33" t="n">
        <v>32525.2875</v>
      </c>
      <c r="AV31" s="33" t="n">
        <v>32525.2875</v>
      </c>
      <c r="AW31" s="33" t="n">
        <v>32525.2875</v>
      </c>
      <c r="AX31" s="33" t="n">
        <v>32525.2875</v>
      </c>
      <c r="AY31" s="33" t="n">
        <v>32525.2875</v>
      </c>
      <c r="AZ31" s="33" t="n">
        <v>32525.2875</v>
      </c>
      <c r="BA31" s="33" t="n">
        <v>32525.2875</v>
      </c>
      <c r="BB31" s="33" t="n">
        <v>32525.2875</v>
      </c>
      <c r="BC31" s="33" t="n">
        <v>32525.2875</v>
      </c>
      <c r="BD31" s="33" t="n">
        <v>32525.2875</v>
      </c>
      <c r="BE31" s="33" t="n">
        <v>32525.2875</v>
      </c>
      <c r="BF31" s="33" t="n">
        <v>32525.2875</v>
      </c>
      <c r="BG31" s="34" t="n">
        <v>7798.2</v>
      </c>
      <c r="BH31" s="34" t="n">
        <v>7798.2</v>
      </c>
      <c r="BI31" s="34" t="n">
        <v>7798.2</v>
      </c>
      <c r="BJ31" s="34" t="n">
        <v>7798.2</v>
      </c>
      <c r="BK31" s="34" t="n">
        <v>7798.2</v>
      </c>
    </row>
    <row r="32" customFormat="false" ht="13.2" hidden="false" customHeight="false" outlineLevel="0" collapsed="false">
      <c r="A32" s="0" t="n">
        <f aca="false">A31+1</f>
        <v>31</v>
      </c>
      <c r="B32" s="29" t="n">
        <v>7810.1696</v>
      </c>
      <c r="C32" s="29" t="n">
        <v>7810.1696</v>
      </c>
      <c r="D32" s="29" t="n">
        <v>7810.1696</v>
      </c>
      <c r="E32" s="29" t="n">
        <v>7810.1696</v>
      </c>
      <c r="F32" s="29" t="n">
        <v>7810.1696</v>
      </c>
      <c r="G32" s="29" t="n">
        <v>7810.1696</v>
      </c>
      <c r="H32" s="29" t="n">
        <v>7810.1696</v>
      </c>
      <c r="I32" s="29" t="n">
        <v>7810.1696</v>
      </c>
      <c r="J32" s="29" t="n">
        <v>7810.1696</v>
      </c>
      <c r="K32" s="29" t="n">
        <v>7810.1696</v>
      </c>
      <c r="L32" s="30" t="n">
        <f aca="false">K32*7</f>
        <v>54671.1872</v>
      </c>
      <c r="M32" s="30" t="n">
        <f aca="false">L32</f>
        <v>54671.1872</v>
      </c>
      <c r="N32" s="0" t="n">
        <v>7865.8</v>
      </c>
      <c r="O32" s="0" t="n">
        <v>7865.8</v>
      </c>
      <c r="P32" s="0" t="n">
        <v>7865.8</v>
      </c>
      <c r="Q32" s="0" t="n">
        <v>7865.8</v>
      </c>
      <c r="R32" s="0" t="n">
        <v>7865.8</v>
      </c>
      <c r="S32" s="0" t="n">
        <v>7865.8</v>
      </c>
      <c r="T32" s="0" t="n">
        <v>7865.8</v>
      </c>
      <c r="U32" s="0" t="n">
        <v>7865.8</v>
      </c>
      <c r="V32" s="31" t="n">
        <v>21745.3022</v>
      </c>
      <c r="W32" s="31" t="n">
        <v>21745.3022</v>
      </c>
      <c r="X32" s="31" t="n">
        <v>21745.3022</v>
      </c>
      <c r="Y32" s="31" t="n">
        <v>21745.3022</v>
      </c>
      <c r="Z32" s="31" t="n">
        <v>21745.3022</v>
      </c>
      <c r="AA32" s="31" t="n">
        <v>21745.3022</v>
      </c>
      <c r="AB32" s="32" t="n">
        <v>25512.3</v>
      </c>
      <c r="AC32" s="32" t="n">
        <v>25512.3</v>
      </c>
      <c r="AD32" s="32" t="n">
        <v>25512.3</v>
      </c>
      <c r="AE32" s="31" t="n">
        <v>21745.3022</v>
      </c>
      <c r="AF32" s="31" t="n">
        <v>21745.3022</v>
      </c>
      <c r="AG32" s="31" t="n">
        <v>21745.3022</v>
      </c>
      <c r="AH32" s="31" t="n">
        <v>21745.3022</v>
      </c>
      <c r="AI32" s="31" t="n">
        <v>21745.3022</v>
      </c>
      <c r="AJ32" s="31" t="n">
        <v>21745.3022</v>
      </c>
      <c r="AK32" s="32" t="n">
        <v>25512.3</v>
      </c>
      <c r="AL32" s="32" t="n">
        <v>25512.3</v>
      </c>
      <c r="AM32" s="32" t="n">
        <v>25512.3</v>
      </c>
      <c r="AN32" s="32" t="n">
        <v>25512.3</v>
      </c>
      <c r="AO32" s="32" t="n">
        <v>25512.3</v>
      </c>
      <c r="AP32" s="32" t="n">
        <v>25512.3</v>
      </c>
      <c r="AQ32" s="32" t="n">
        <v>25512.3</v>
      </c>
      <c r="AR32" s="32" t="n">
        <v>25512.3</v>
      </c>
      <c r="AS32" s="32" t="n">
        <v>25512.3</v>
      </c>
      <c r="AT32" s="31" t="n">
        <v>21745.3022</v>
      </c>
      <c r="AU32" s="33" t="n">
        <v>32525.2875</v>
      </c>
      <c r="AV32" s="33" t="n">
        <v>32525.2875</v>
      </c>
      <c r="AW32" s="33" t="n">
        <v>32525.2875</v>
      </c>
      <c r="AX32" s="33" t="n">
        <v>32525.2875</v>
      </c>
      <c r="AY32" s="33" t="n">
        <v>32525.2875</v>
      </c>
      <c r="AZ32" s="33" t="n">
        <v>32525.2875</v>
      </c>
      <c r="BA32" s="33" t="n">
        <v>32525.2875</v>
      </c>
      <c r="BB32" s="33" t="n">
        <v>32525.2875</v>
      </c>
      <c r="BC32" s="33" t="n">
        <v>32525.2875</v>
      </c>
      <c r="BD32" s="33" t="n">
        <v>32525.2875</v>
      </c>
      <c r="BE32" s="33" t="n">
        <v>32525.2875</v>
      </c>
      <c r="BF32" s="33" t="n">
        <v>32525.2875</v>
      </c>
      <c r="BG32" s="34" t="n">
        <v>7798.2</v>
      </c>
      <c r="BH32" s="34" t="n">
        <v>7798.2</v>
      </c>
      <c r="BI32" s="34" t="n">
        <v>7798.2</v>
      </c>
      <c r="BJ32" s="34" t="n">
        <v>7798.2</v>
      </c>
      <c r="BK32" s="34" t="n">
        <v>7798.2</v>
      </c>
    </row>
    <row r="33" customFormat="false" ht="13.2" hidden="false" customHeight="false" outlineLevel="0" collapsed="false">
      <c r="A33" s="0" t="n">
        <f aca="false">A32+1</f>
        <v>32</v>
      </c>
      <c r="B33" s="29" t="n">
        <v>7466.5248</v>
      </c>
      <c r="C33" s="29" t="n">
        <v>7466.5248</v>
      </c>
      <c r="D33" s="29" t="n">
        <v>7466.5248</v>
      </c>
      <c r="E33" s="29" t="n">
        <v>7466.5248</v>
      </c>
      <c r="F33" s="29" t="n">
        <v>7466.5248</v>
      </c>
      <c r="G33" s="29" t="n">
        <v>7466.5248</v>
      </c>
      <c r="H33" s="29" t="n">
        <v>7466.5248</v>
      </c>
      <c r="I33" s="29" t="n">
        <v>7466.5248</v>
      </c>
      <c r="J33" s="29" t="n">
        <v>7466.5248</v>
      </c>
      <c r="K33" s="29" t="n">
        <v>7466.5248</v>
      </c>
      <c r="L33" s="30" t="n">
        <f aca="false">K33*7</f>
        <v>52265.6736</v>
      </c>
      <c r="M33" s="30" t="n">
        <f aca="false">L33</f>
        <v>52265.6736</v>
      </c>
      <c r="N33" s="0" t="n">
        <v>7865.8</v>
      </c>
      <c r="O33" s="0" t="n">
        <v>7865.8</v>
      </c>
      <c r="P33" s="0" t="n">
        <v>7865.8</v>
      </c>
      <c r="Q33" s="0" t="n">
        <v>7865.8</v>
      </c>
      <c r="R33" s="0" t="n">
        <v>7865.8</v>
      </c>
      <c r="S33" s="0" t="n">
        <v>7865.8</v>
      </c>
      <c r="T33" s="0" t="n">
        <v>7865.8</v>
      </c>
      <c r="U33" s="0" t="n">
        <v>7865.8</v>
      </c>
      <c r="V33" s="31" t="n">
        <v>21455.9888</v>
      </c>
      <c r="W33" s="31" t="n">
        <v>21455.9888</v>
      </c>
      <c r="X33" s="31" t="n">
        <v>21455.9888</v>
      </c>
      <c r="Y33" s="31" t="n">
        <v>21455.9888</v>
      </c>
      <c r="Z33" s="31" t="n">
        <v>21455.9888</v>
      </c>
      <c r="AA33" s="31" t="n">
        <v>21455.9888</v>
      </c>
      <c r="AB33" s="32" t="n">
        <v>24488.6</v>
      </c>
      <c r="AC33" s="32" t="n">
        <v>24488.6</v>
      </c>
      <c r="AD33" s="32" t="n">
        <v>24488.6</v>
      </c>
      <c r="AE33" s="31" t="n">
        <v>21455.9888</v>
      </c>
      <c r="AF33" s="31" t="n">
        <v>21455.9888</v>
      </c>
      <c r="AG33" s="31" t="n">
        <v>21455.9888</v>
      </c>
      <c r="AH33" s="31" t="n">
        <v>21455.9888</v>
      </c>
      <c r="AI33" s="31" t="n">
        <v>21455.9888</v>
      </c>
      <c r="AJ33" s="31" t="n">
        <v>21455.9888</v>
      </c>
      <c r="AK33" s="32" t="n">
        <v>24488.6</v>
      </c>
      <c r="AL33" s="32" t="n">
        <v>24488.6</v>
      </c>
      <c r="AM33" s="32" t="n">
        <v>24488.6</v>
      </c>
      <c r="AN33" s="32" t="n">
        <v>24488.6</v>
      </c>
      <c r="AO33" s="32" t="n">
        <v>24488.6</v>
      </c>
      <c r="AP33" s="32" t="n">
        <v>24488.6</v>
      </c>
      <c r="AQ33" s="32" t="n">
        <v>24488.6</v>
      </c>
      <c r="AR33" s="32" t="n">
        <v>24488.6</v>
      </c>
      <c r="AS33" s="32" t="n">
        <v>24488.6</v>
      </c>
      <c r="AT33" s="31" t="n">
        <v>21455.9888</v>
      </c>
      <c r="AU33" s="33" t="n">
        <v>32525.2875</v>
      </c>
      <c r="AV33" s="33" t="n">
        <v>32525.2875</v>
      </c>
      <c r="AW33" s="33" t="n">
        <v>32525.2875</v>
      </c>
      <c r="AX33" s="33" t="n">
        <v>32525.2875</v>
      </c>
      <c r="AY33" s="33" t="n">
        <v>32525.2875</v>
      </c>
      <c r="AZ33" s="33" t="n">
        <v>32525.2875</v>
      </c>
      <c r="BA33" s="33" t="n">
        <v>32525.2875</v>
      </c>
      <c r="BB33" s="33" t="n">
        <v>32525.2875</v>
      </c>
      <c r="BC33" s="33" t="n">
        <v>32525.2875</v>
      </c>
      <c r="BD33" s="33" t="n">
        <v>32525.2875</v>
      </c>
      <c r="BE33" s="33" t="n">
        <v>32525.2875</v>
      </c>
      <c r="BF33" s="33" t="n">
        <v>32525.2875</v>
      </c>
      <c r="BG33" s="34" t="n">
        <v>7798.2</v>
      </c>
      <c r="BH33" s="34" t="n">
        <v>7798.2</v>
      </c>
      <c r="BI33" s="34" t="n">
        <v>7798.2</v>
      </c>
      <c r="BJ33" s="34" t="n">
        <v>7798.2</v>
      </c>
      <c r="BK33" s="34" t="n">
        <v>7798.2</v>
      </c>
    </row>
    <row r="34" customFormat="false" ht="13.2" hidden="false" customHeight="false" outlineLevel="0" collapsed="false">
      <c r="A34" s="0" t="n">
        <f aca="false">A33+1</f>
        <v>33</v>
      </c>
      <c r="B34" s="29" t="n">
        <v>7152.69519999999</v>
      </c>
      <c r="C34" s="29" t="n">
        <v>7152.69519999999</v>
      </c>
      <c r="D34" s="29" t="n">
        <v>7152.69519999999</v>
      </c>
      <c r="E34" s="29" t="n">
        <v>7152.69519999999</v>
      </c>
      <c r="F34" s="29" t="n">
        <v>7152.69519999999</v>
      </c>
      <c r="G34" s="29" t="n">
        <v>7152.69519999999</v>
      </c>
      <c r="H34" s="29" t="n">
        <v>7152.69519999999</v>
      </c>
      <c r="I34" s="29" t="n">
        <v>7152.69519999999</v>
      </c>
      <c r="J34" s="29" t="n">
        <v>7152.69519999999</v>
      </c>
      <c r="K34" s="29" t="n">
        <v>7152.69519999999</v>
      </c>
      <c r="L34" s="30" t="n">
        <f aca="false">K34*7</f>
        <v>50068.8663999999</v>
      </c>
      <c r="M34" s="30" t="n">
        <f aca="false">L34</f>
        <v>50068.8663999999</v>
      </c>
      <c r="N34" s="0" t="n">
        <v>7865.8</v>
      </c>
      <c r="O34" s="0" t="n">
        <v>7865.8</v>
      </c>
      <c r="P34" s="0" t="n">
        <v>7865.8</v>
      </c>
      <c r="Q34" s="0" t="n">
        <v>7865.8</v>
      </c>
      <c r="R34" s="0" t="n">
        <v>7865.8</v>
      </c>
      <c r="S34" s="0" t="n">
        <v>7865.8</v>
      </c>
      <c r="T34" s="0" t="n">
        <v>7865.8</v>
      </c>
      <c r="U34" s="0" t="n">
        <v>7865.8</v>
      </c>
      <c r="V34" s="31" t="n">
        <v>21196.803</v>
      </c>
      <c r="W34" s="31" t="n">
        <v>21196.803</v>
      </c>
      <c r="X34" s="31" t="n">
        <v>21196.803</v>
      </c>
      <c r="Y34" s="31" t="n">
        <v>21196.803</v>
      </c>
      <c r="Z34" s="31" t="n">
        <v>21196.803</v>
      </c>
      <c r="AA34" s="31" t="n">
        <v>21196.803</v>
      </c>
      <c r="AB34" s="32" t="n">
        <v>23464.9</v>
      </c>
      <c r="AC34" s="32" t="n">
        <v>23464.9</v>
      </c>
      <c r="AD34" s="32" t="n">
        <v>23464.9</v>
      </c>
      <c r="AE34" s="31" t="n">
        <v>21196.803</v>
      </c>
      <c r="AF34" s="31" t="n">
        <v>21196.803</v>
      </c>
      <c r="AG34" s="31" t="n">
        <v>21196.803</v>
      </c>
      <c r="AH34" s="31" t="n">
        <v>21196.803</v>
      </c>
      <c r="AI34" s="31" t="n">
        <v>21196.803</v>
      </c>
      <c r="AJ34" s="31" t="n">
        <v>21196.803</v>
      </c>
      <c r="AK34" s="32" t="n">
        <v>23464.9</v>
      </c>
      <c r="AL34" s="32" t="n">
        <v>23464.9</v>
      </c>
      <c r="AM34" s="32" t="n">
        <v>23464.9</v>
      </c>
      <c r="AN34" s="32" t="n">
        <v>23464.9</v>
      </c>
      <c r="AO34" s="32" t="n">
        <v>23464.9</v>
      </c>
      <c r="AP34" s="32" t="n">
        <v>23464.9</v>
      </c>
      <c r="AQ34" s="32" t="n">
        <v>23464.9</v>
      </c>
      <c r="AR34" s="32" t="n">
        <v>23464.9</v>
      </c>
      <c r="AS34" s="32" t="n">
        <v>23464.9</v>
      </c>
      <c r="AT34" s="31" t="n">
        <v>21196.803</v>
      </c>
      <c r="AU34" s="33" t="n">
        <v>32525.2875</v>
      </c>
      <c r="AV34" s="33" t="n">
        <v>32525.2875</v>
      </c>
      <c r="AW34" s="33" t="n">
        <v>32525.2875</v>
      </c>
      <c r="AX34" s="33" t="n">
        <v>32525.2875</v>
      </c>
      <c r="AY34" s="33" t="n">
        <v>32525.2875</v>
      </c>
      <c r="AZ34" s="33" t="n">
        <v>32525.2875</v>
      </c>
      <c r="BA34" s="33" t="n">
        <v>32525.2875</v>
      </c>
      <c r="BB34" s="33" t="n">
        <v>32525.2875</v>
      </c>
      <c r="BC34" s="33" t="n">
        <v>32525.2875</v>
      </c>
      <c r="BD34" s="33" t="n">
        <v>32525.2875</v>
      </c>
      <c r="BE34" s="33" t="n">
        <v>32525.2875</v>
      </c>
      <c r="BF34" s="33" t="n">
        <v>32525.2875</v>
      </c>
      <c r="BG34" s="34" t="n">
        <v>7798.2</v>
      </c>
      <c r="BH34" s="34" t="n">
        <v>7798.2</v>
      </c>
      <c r="BI34" s="34" t="n">
        <v>7798.2</v>
      </c>
      <c r="BJ34" s="34" t="n">
        <v>7798.2</v>
      </c>
      <c r="BK34" s="34" t="n">
        <v>7798.2</v>
      </c>
    </row>
    <row r="35" customFormat="false" ht="13.2" hidden="false" customHeight="false" outlineLevel="0" collapsed="false">
      <c r="A35" s="0" t="n">
        <f aca="false">A34+1</f>
        <v>34</v>
      </c>
      <c r="B35" s="29" t="n">
        <v>6872.7104</v>
      </c>
      <c r="C35" s="29" t="n">
        <v>6872.7104</v>
      </c>
      <c r="D35" s="29" t="n">
        <v>6872.7104</v>
      </c>
      <c r="E35" s="29" t="n">
        <v>6872.7104</v>
      </c>
      <c r="F35" s="29" t="n">
        <v>6872.7104</v>
      </c>
      <c r="G35" s="29" t="n">
        <v>6872.7104</v>
      </c>
      <c r="H35" s="29" t="n">
        <v>6872.7104</v>
      </c>
      <c r="I35" s="29" t="n">
        <v>6872.7104</v>
      </c>
      <c r="J35" s="29" t="n">
        <v>6872.7104</v>
      </c>
      <c r="K35" s="29" t="n">
        <v>6872.7104</v>
      </c>
      <c r="L35" s="30" t="n">
        <f aca="false">K35*7</f>
        <v>48108.9728</v>
      </c>
      <c r="M35" s="30" t="n">
        <f aca="false">L35</f>
        <v>48108.9728</v>
      </c>
      <c r="N35" s="0" t="n">
        <v>7865.8</v>
      </c>
      <c r="O35" s="0" t="n">
        <v>7865.8</v>
      </c>
      <c r="P35" s="0" t="n">
        <v>7865.8</v>
      </c>
      <c r="Q35" s="0" t="n">
        <v>7865.8</v>
      </c>
      <c r="R35" s="0" t="n">
        <v>7865.8</v>
      </c>
      <c r="S35" s="0" t="n">
        <v>7865.8</v>
      </c>
      <c r="T35" s="0" t="n">
        <v>7865.8</v>
      </c>
      <c r="U35" s="0" t="n">
        <v>7865.8</v>
      </c>
      <c r="V35" s="31" t="n">
        <v>20983.7456</v>
      </c>
      <c r="W35" s="31" t="n">
        <v>20983.7456</v>
      </c>
      <c r="X35" s="31" t="n">
        <v>20983.7456</v>
      </c>
      <c r="Y35" s="31" t="n">
        <v>20983.7456</v>
      </c>
      <c r="Z35" s="31" t="n">
        <v>20983.7456</v>
      </c>
      <c r="AA35" s="31" t="n">
        <v>20983.7456</v>
      </c>
      <c r="AB35" s="32" t="n">
        <v>22441.2</v>
      </c>
      <c r="AC35" s="32" t="n">
        <v>22441.2</v>
      </c>
      <c r="AD35" s="32" t="n">
        <v>22441.2</v>
      </c>
      <c r="AE35" s="31" t="n">
        <v>20983.7456</v>
      </c>
      <c r="AF35" s="31" t="n">
        <v>20983.7456</v>
      </c>
      <c r="AG35" s="31" t="n">
        <v>20983.7456</v>
      </c>
      <c r="AH35" s="31" t="n">
        <v>20983.7456</v>
      </c>
      <c r="AI35" s="31" t="n">
        <v>20983.7456</v>
      </c>
      <c r="AJ35" s="31" t="n">
        <v>20983.7456</v>
      </c>
      <c r="AK35" s="32" t="n">
        <v>22441.2</v>
      </c>
      <c r="AL35" s="32" t="n">
        <v>22441.2</v>
      </c>
      <c r="AM35" s="32" t="n">
        <v>22441.2</v>
      </c>
      <c r="AN35" s="32" t="n">
        <v>22441.2</v>
      </c>
      <c r="AO35" s="32" t="n">
        <v>22441.2</v>
      </c>
      <c r="AP35" s="32" t="n">
        <v>22441.2</v>
      </c>
      <c r="AQ35" s="32" t="n">
        <v>22441.2</v>
      </c>
      <c r="AR35" s="32" t="n">
        <v>22441.2</v>
      </c>
      <c r="AS35" s="32" t="n">
        <v>22441.2</v>
      </c>
      <c r="AT35" s="31" t="n">
        <v>20983.7456</v>
      </c>
      <c r="AU35" s="33" t="n">
        <v>32525.2875</v>
      </c>
      <c r="AV35" s="33" t="n">
        <v>32525.2875</v>
      </c>
      <c r="AW35" s="33" t="n">
        <v>32525.2875</v>
      </c>
      <c r="AX35" s="33" t="n">
        <v>32525.2875</v>
      </c>
      <c r="AY35" s="33" t="n">
        <v>32525.2875</v>
      </c>
      <c r="AZ35" s="33" t="n">
        <v>32525.2875</v>
      </c>
      <c r="BA35" s="33" t="n">
        <v>32525.2875</v>
      </c>
      <c r="BB35" s="33" t="n">
        <v>32525.2875</v>
      </c>
      <c r="BC35" s="33" t="n">
        <v>32525.2875</v>
      </c>
      <c r="BD35" s="33" t="n">
        <v>32525.2875</v>
      </c>
      <c r="BE35" s="33" t="n">
        <v>32525.2875</v>
      </c>
      <c r="BF35" s="33" t="n">
        <v>32525.2875</v>
      </c>
      <c r="BG35" s="34" t="n">
        <v>7798.2</v>
      </c>
      <c r="BH35" s="34" t="n">
        <v>7798.2</v>
      </c>
      <c r="BI35" s="34" t="n">
        <v>7798.2</v>
      </c>
      <c r="BJ35" s="34" t="n">
        <v>7798.2</v>
      </c>
      <c r="BK35" s="34" t="n">
        <v>7798.2</v>
      </c>
    </row>
    <row r="36" customFormat="false" ht="13.2" hidden="false" customHeight="false" outlineLevel="0" collapsed="false">
      <c r="A36" s="0" t="n">
        <f aca="false">A35+1</f>
        <v>35</v>
      </c>
      <c r="B36" s="29" t="n">
        <v>6630.59999999999</v>
      </c>
      <c r="C36" s="29" t="n">
        <v>6630.59999999999</v>
      </c>
      <c r="D36" s="29" t="n">
        <v>6630.59999999999</v>
      </c>
      <c r="E36" s="29" t="n">
        <v>6630.59999999999</v>
      </c>
      <c r="F36" s="29" t="n">
        <v>6630.59999999999</v>
      </c>
      <c r="G36" s="29" t="n">
        <v>6630.59999999999</v>
      </c>
      <c r="H36" s="29" t="n">
        <v>6630.59999999999</v>
      </c>
      <c r="I36" s="29" t="n">
        <v>6630.59999999999</v>
      </c>
      <c r="J36" s="29" t="n">
        <v>6630.59999999999</v>
      </c>
      <c r="K36" s="29" t="n">
        <v>6630.59999999999</v>
      </c>
      <c r="L36" s="30" t="n">
        <f aca="false">K36*7</f>
        <v>46414.1999999999</v>
      </c>
      <c r="M36" s="30" t="n">
        <f aca="false">L36</f>
        <v>46414.1999999999</v>
      </c>
      <c r="N36" s="0" t="n">
        <v>7865.8</v>
      </c>
      <c r="O36" s="0" t="n">
        <v>7865.8</v>
      </c>
      <c r="P36" s="0" t="n">
        <v>7865.8</v>
      </c>
      <c r="Q36" s="0" t="n">
        <v>7865.8</v>
      </c>
      <c r="R36" s="0" t="n">
        <v>7865.8</v>
      </c>
      <c r="S36" s="0" t="n">
        <v>7865.8</v>
      </c>
      <c r="T36" s="0" t="n">
        <v>7865.8</v>
      </c>
      <c r="U36" s="0" t="n">
        <v>7865.8</v>
      </c>
      <c r="V36" s="31" t="n">
        <v>20834.675</v>
      </c>
      <c r="W36" s="31" t="n">
        <v>20834.675</v>
      </c>
      <c r="X36" s="31" t="n">
        <v>20834.675</v>
      </c>
      <c r="Y36" s="31" t="n">
        <v>20834.675</v>
      </c>
      <c r="Z36" s="31" t="n">
        <v>20834.675</v>
      </c>
      <c r="AA36" s="31" t="n">
        <v>20834.675</v>
      </c>
      <c r="AB36" s="32" t="n">
        <v>21417.5</v>
      </c>
      <c r="AC36" s="32" t="n">
        <v>21417.5</v>
      </c>
      <c r="AD36" s="32" t="n">
        <v>21417.5</v>
      </c>
      <c r="AE36" s="31" t="n">
        <v>20834.675</v>
      </c>
      <c r="AF36" s="31" t="n">
        <v>20834.675</v>
      </c>
      <c r="AG36" s="31" t="n">
        <v>20834.675</v>
      </c>
      <c r="AH36" s="31" t="n">
        <v>20834.675</v>
      </c>
      <c r="AI36" s="31" t="n">
        <v>20834.675</v>
      </c>
      <c r="AJ36" s="31" t="n">
        <v>20834.675</v>
      </c>
      <c r="AK36" s="32" t="n">
        <v>21417.5</v>
      </c>
      <c r="AL36" s="32" t="n">
        <v>21417.5</v>
      </c>
      <c r="AM36" s="32" t="n">
        <v>21417.5</v>
      </c>
      <c r="AN36" s="32" t="n">
        <v>21417.5</v>
      </c>
      <c r="AO36" s="32" t="n">
        <v>21417.5</v>
      </c>
      <c r="AP36" s="32" t="n">
        <v>21417.5</v>
      </c>
      <c r="AQ36" s="32" t="n">
        <v>21417.5</v>
      </c>
      <c r="AR36" s="32" t="n">
        <v>21417.5</v>
      </c>
      <c r="AS36" s="32" t="n">
        <v>21417.5</v>
      </c>
      <c r="AT36" s="31" t="n">
        <v>20834.675</v>
      </c>
      <c r="AU36" s="33" t="n">
        <v>32525.2875</v>
      </c>
      <c r="AV36" s="33" t="n">
        <v>32525.2875</v>
      </c>
      <c r="AW36" s="33" t="n">
        <v>32525.2875</v>
      </c>
      <c r="AX36" s="33" t="n">
        <v>32525.2875</v>
      </c>
      <c r="AY36" s="33" t="n">
        <v>32525.2875</v>
      </c>
      <c r="AZ36" s="33" t="n">
        <v>32525.2875</v>
      </c>
      <c r="BA36" s="33" t="n">
        <v>32525.2875</v>
      </c>
      <c r="BB36" s="33" t="n">
        <v>32525.2875</v>
      </c>
      <c r="BC36" s="33" t="n">
        <v>32525.2875</v>
      </c>
      <c r="BD36" s="33" t="n">
        <v>32525.2875</v>
      </c>
      <c r="BE36" s="33" t="n">
        <v>32525.2875</v>
      </c>
      <c r="BF36" s="33" t="n">
        <v>32525.2875</v>
      </c>
      <c r="BG36" s="34" t="n">
        <v>7798.2</v>
      </c>
      <c r="BH36" s="34" t="n">
        <v>7798.2</v>
      </c>
      <c r="BI36" s="34" t="n">
        <v>7798.2</v>
      </c>
      <c r="BJ36" s="34" t="n">
        <v>7798.2</v>
      </c>
      <c r="BK36" s="34" t="n">
        <v>7798.2</v>
      </c>
    </row>
    <row r="37" customFormat="false" ht="13.2" hidden="false" customHeight="false" outlineLevel="0" collapsed="false">
      <c r="A37" s="0" t="n">
        <f aca="false">A36+1</f>
        <v>36</v>
      </c>
      <c r="B37" s="29" t="n">
        <v>6430.3936</v>
      </c>
      <c r="C37" s="29" t="n">
        <v>6430.3936</v>
      </c>
      <c r="D37" s="29" t="n">
        <v>6430.3936</v>
      </c>
      <c r="E37" s="29" t="n">
        <v>6430.3936</v>
      </c>
      <c r="F37" s="29" t="n">
        <v>6430.3936</v>
      </c>
      <c r="G37" s="29" t="n">
        <v>6430.3936</v>
      </c>
      <c r="H37" s="29" t="n">
        <v>6430.3936</v>
      </c>
      <c r="I37" s="29" t="n">
        <v>6430.3936</v>
      </c>
      <c r="J37" s="29" t="n">
        <v>6430.3936</v>
      </c>
      <c r="K37" s="29" t="n">
        <v>6430.3936</v>
      </c>
      <c r="L37" s="30" t="n">
        <f aca="false">K37*7</f>
        <v>45012.7552</v>
      </c>
      <c r="M37" s="30" t="n">
        <f aca="false">L37</f>
        <v>45012.7552</v>
      </c>
      <c r="N37" s="0" t="n">
        <v>7865.8</v>
      </c>
      <c r="O37" s="0" t="n">
        <v>7865.8</v>
      </c>
      <c r="P37" s="0" t="n">
        <v>7865.8</v>
      </c>
      <c r="Q37" s="0" t="n">
        <v>7865.8</v>
      </c>
      <c r="R37" s="0" t="n">
        <v>7865.8</v>
      </c>
      <c r="S37" s="0" t="n">
        <v>7865.8</v>
      </c>
      <c r="T37" s="0" t="n">
        <v>7865.8</v>
      </c>
      <c r="U37" s="0" t="n">
        <v>7865.8</v>
      </c>
      <c r="V37" s="31" t="n">
        <v>20769.3072</v>
      </c>
      <c r="W37" s="31" t="n">
        <v>20769.3072</v>
      </c>
      <c r="X37" s="31" t="n">
        <v>20769.3072</v>
      </c>
      <c r="Y37" s="31" t="n">
        <v>20769.3072</v>
      </c>
      <c r="Z37" s="31" t="n">
        <v>20769.3072</v>
      </c>
      <c r="AA37" s="31" t="n">
        <v>20769.3072</v>
      </c>
      <c r="AB37" s="32" t="n">
        <v>20393.8</v>
      </c>
      <c r="AC37" s="32" t="n">
        <v>20393.8</v>
      </c>
      <c r="AD37" s="32" t="n">
        <v>20393.8</v>
      </c>
      <c r="AE37" s="31" t="n">
        <v>20769.3072</v>
      </c>
      <c r="AF37" s="31" t="n">
        <v>20769.3072</v>
      </c>
      <c r="AG37" s="31" t="n">
        <v>20769.3072</v>
      </c>
      <c r="AH37" s="31" t="n">
        <v>20769.3072</v>
      </c>
      <c r="AI37" s="31" t="n">
        <v>20769.3072</v>
      </c>
      <c r="AJ37" s="31" t="n">
        <v>20769.3072</v>
      </c>
      <c r="AK37" s="32" t="n">
        <v>20393.8</v>
      </c>
      <c r="AL37" s="32" t="n">
        <v>20393.8</v>
      </c>
      <c r="AM37" s="32" t="n">
        <v>20393.8</v>
      </c>
      <c r="AN37" s="32" t="n">
        <v>20393.8</v>
      </c>
      <c r="AO37" s="32" t="n">
        <v>20393.8</v>
      </c>
      <c r="AP37" s="32" t="n">
        <v>20393.8</v>
      </c>
      <c r="AQ37" s="32" t="n">
        <v>20393.8</v>
      </c>
      <c r="AR37" s="32" t="n">
        <v>20393.8</v>
      </c>
      <c r="AS37" s="32" t="n">
        <v>20393.8</v>
      </c>
      <c r="AT37" s="31" t="n">
        <v>20769.3072</v>
      </c>
      <c r="AU37" s="33" t="n">
        <v>32525.2875</v>
      </c>
      <c r="AV37" s="33" t="n">
        <v>32525.2875</v>
      </c>
      <c r="AW37" s="33" t="n">
        <v>32525.2875</v>
      </c>
      <c r="AX37" s="33" t="n">
        <v>32525.2875</v>
      </c>
      <c r="AY37" s="33" t="n">
        <v>32525.2875</v>
      </c>
      <c r="AZ37" s="33" t="n">
        <v>32525.2875</v>
      </c>
      <c r="BA37" s="33" t="n">
        <v>32525.2875</v>
      </c>
      <c r="BB37" s="33" t="n">
        <v>32525.2875</v>
      </c>
      <c r="BC37" s="33" t="n">
        <v>32525.2875</v>
      </c>
      <c r="BD37" s="33" t="n">
        <v>32525.2875</v>
      </c>
      <c r="BE37" s="33" t="n">
        <v>32525.2875</v>
      </c>
      <c r="BF37" s="33" t="n">
        <v>32525.2875</v>
      </c>
      <c r="BG37" s="34" t="n">
        <v>7798.2</v>
      </c>
      <c r="BH37" s="34" t="n">
        <v>7798.2</v>
      </c>
      <c r="BI37" s="34" t="n">
        <v>7798.2</v>
      </c>
      <c r="BJ37" s="34" t="n">
        <v>7798.2</v>
      </c>
      <c r="BK37" s="34" t="n">
        <v>7798.2</v>
      </c>
    </row>
    <row r="38" customFormat="false" ht="13.2" hidden="false" customHeight="false" outlineLevel="0" collapsed="false">
      <c r="A38" s="0" t="n">
        <f aca="false">A37+1</f>
        <v>37</v>
      </c>
      <c r="B38" s="29" t="n">
        <v>6276.12079999999</v>
      </c>
      <c r="C38" s="29" t="n">
        <v>6276.12079999999</v>
      </c>
      <c r="D38" s="29" t="n">
        <v>6276.12079999999</v>
      </c>
      <c r="E38" s="29" t="n">
        <v>6276.12079999999</v>
      </c>
      <c r="F38" s="29" t="n">
        <v>6276.12079999999</v>
      </c>
      <c r="G38" s="29" t="n">
        <v>6276.12079999999</v>
      </c>
      <c r="H38" s="29" t="n">
        <v>6276.12079999999</v>
      </c>
      <c r="I38" s="29" t="n">
        <v>6276.12079999999</v>
      </c>
      <c r="J38" s="29" t="n">
        <v>6276.12079999999</v>
      </c>
      <c r="K38" s="29" t="n">
        <v>6276.12079999999</v>
      </c>
      <c r="L38" s="30" t="n">
        <f aca="false">K38*7</f>
        <v>43932.8455999999</v>
      </c>
      <c r="M38" s="30" t="n">
        <f aca="false">L38</f>
        <v>43932.8455999999</v>
      </c>
      <c r="N38" s="0" t="n">
        <v>7865.8</v>
      </c>
      <c r="O38" s="0" t="n">
        <v>7865.8</v>
      </c>
      <c r="P38" s="0" t="n">
        <v>7865.8</v>
      </c>
      <c r="Q38" s="0" t="n">
        <v>7865.8</v>
      </c>
      <c r="R38" s="0" t="n">
        <v>7865.8</v>
      </c>
      <c r="S38" s="0" t="n">
        <v>7865.8</v>
      </c>
      <c r="T38" s="0" t="n">
        <v>7865.8</v>
      </c>
      <c r="U38" s="0" t="n">
        <v>7865.8</v>
      </c>
      <c r="V38" s="31" t="n">
        <v>20809.2158</v>
      </c>
      <c r="W38" s="31" t="n">
        <v>20809.2158</v>
      </c>
      <c r="X38" s="31" t="n">
        <v>20809.2158</v>
      </c>
      <c r="Y38" s="31" t="n">
        <v>20809.2158</v>
      </c>
      <c r="Z38" s="31" t="n">
        <v>20809.2158</v>
      </c>
      <c r="AA38" s="31" t="n">
        <v>20809.2158</v>
      </c>
      <c r="AB38" s="32" t="n">
        <v>19370.1</v>
      </c>
      <c r="AC38" s="32" t="n">
        <v>19370.1</v>
      </c>
      <c r="AD38" s="32" t="n">
        <v>19370.1</v>
      </c>
      <c r="AE38" s="31" t="n">
        <v>20809.2158</v>
      </c>
      <c r="AF38" s="31" t="n">
        <v>20809.2158</v>
      </c>
      <c r="AG38" s="31" t="n">
        <v>20809.2158</v>
      </c>
      <c r="AH38" s="31" t="n">
        <v>20809.2158</v>
      </c>
      <c r="AI38" s="31" t="n">
        <v>20809.2158</v>
      </c>
      <c r="AJ38" s="31" t="n">
        <v>20809.2158</v>
      </c>
      <c r="AK38" s="32" t="n">
        <v>19370.1</v>
      </c>
      <c r="AL38" s="32" t="n">
        <v>19370.1</v>
      </c>
      <c r="AM38" s="32" t="n">
        <v>19370.1</v>
      </c>
      <c r="AN38" s="32" t="n">
        <v>19370.1</v>
      </c>
      <c r="AO38" s="32" t="n">
        <v>19370.1</v>
      </c>
      <c r="AP38" s="32" t="n">
        <v>19370.1</v>
      </c>
      <c r="AQ38" s="32" t="n">
        <v>19370.1</v>
      </c>
      <c r="AR38" s="32" t="n">
        <v>19370.1</v>
      </c>
      <c r="AS38" s="32" t="n">
        <v>19370.1</v>
      </c>
      <c r="AT38" s="31" t="n">
        <v>20809.2158</v>
      </c>
      <c r="AU38" s="33" t="n">
        <v>32525.2875</v>
      </c>
      <c r="AV38" s="33" t="n">
        <v>32525.2875</v>
      </c>
      <c r="AW38" s="33" t="n">
        <v>32525.2875</v>
      </c>
      <c r="AX38" s="33" t="n">
        <v>32525.2875</v>
      </c>
      <c r="AY38" s="33" t="n">
        <v>32525.2875</v>
      </c>
      <c r="AZ38" s="33" t="n">
        <v>32525.2875</v>
      </c>
      <c r="BA38" s="33" t="n">
        <v>32525.2875</v>
      </c>
      <c r="BB38" s="33" t="n">
        <v>32525.2875</v>
      </c>
      <c r="BC38" s="33" t="n">
        <v>32525.2875</v>
      </c>
      <c r="BD38" s="33" t="n">
        <v>32525.2875</v>
      </c>
      <c r="BE38" s="33" t="n">
        <v>32525.2875</v>
      </c>
      <c r="BF38" s="33" t="n">
        <v>32525.2875</v>
      </c>
      <c r="BG38" s="34" t="n">
        <v>7798.2</v>
      </c>
      <c r="BH38" s="34" t="n">
        <v>7798.2</v>
      </c>
      <c r="BI38" s="34" t="n">
        <v>7798.2</v>
      </c>
      <c r="BJ38" s="34" t="n">
        <v>7798.2</v>
      </c>
      <c r="BK38" s="34" t="n">
        <v>7798.2</v>
      </c>
    </row>
    <row r="39" customFormat="false" ht="13.2" hidden="false" customHeight="false" outlineLevel="0" collapsed="false">
      <c r="A39" s="0" t="n">
        <f aca="false">A38+1</f>
        <v>38</v>
      </c>
      <c r="B39" s="29" t="n">
        <v>6171.81119999999</v>
      </c>
      <c r="C39" s="29" t="n">
        <v>6171.81119999999</v>
      </c>
      <c r="D39" s="29" t="n">
        <v>6171.81119999999</v>
      </c>
      <c r="E39" s="29" t="n">
        <v>6171.81119999999</v>
      </c>
      <c r="F39" s="29" t="n">
        <v>6171.81119999999</v>
      </c>
      <c r="G39" s="29" t="n">
        <v>6171.81119999999</v>
      </c>
      <c r="H39" s="29" t="n">
        <v>6171.81119999999</v>
      </c>
      <c r="I39" s="29" t="n">
        <v>6171.81119999999</v>
      </c>
      <c r="J39" s="29" t="n">
        <v>6171.81119999999</v>
      </c>
      <c r="K39" s="29" t="n">
        <v>6171.81119999999</v>
      </c>
      <c r="L39" s="30" t="n">
        <f aca="false">K39*7</f>
        <v>43202.6783999999</v>
      </c>
      <c r="M39" s="30" t="n">
        <f aca="false">L39</f>
        <v>43202.6783999999</v>
      </c>
      <c r="N39" s="0" t="n">
        <v>7865.8</v>
      </c>
      <c r="O39" s="0" t="n">
        <v>7865.8</v>
      </c>
      <c r="P39" s="0" t="n">
        <v>7865.8</v>
      </c>
      <c r="Q39" s="0" t="n">
        <v>7865.8</v>
      </c>
      <c r="R39" s="0" t="n">
        <v>7865.8</v>
      </c>
      <c r="S39" s="0" t="n">
        <v>7865.8</v>
      </c>
      <c r="T39" s="0" t="n">
        <v>7865.8</v>
      </c>
      <c r="U39" s="0" t="n">
        <v>7865.8</v>
      </c>
      <c r="V39" s="31" t="n">
        <v>20977.832</v>
      </c>
      <c r="W39" s="31" t="n">
        <v>20977.832</v>
      </c>
      <c r="X39" s="31" t="n">
        <v>20977.832</v>
      </c>
      <c r="Y39" s="31" t="n">
        <v>20977.832</v>
      </c>
      <c r="Z39" s="31" t="n">
        <v>20977.832</v>
      </c>
      <c r="AA39" s="31" t="n">
        <v>20977.832</v>
      </c>
      <c r="AB39" s="32" t="n">
        <v>18346.4</v>
      </c>
      <c r="AC39" s="32" t="n">
        <v>18346.4</v>
      </c>
      <c r="AD39" s="32" t="n">
        <v>18346.4</v>
      </c>
      <c r="AE39" s="31" t="n">
        <v>20977.832</v>
      </c>
      <c r="AF39" s="31" t="n">
        <v>20977.832</v>
      </c>
      <c r="AG39" s="31" t="n">
        <v>20977.832</v>
      </c>
      <c r="AH39" s="31" t="n">
        <v>20977.832</v>
      </c>
      <c r="AI39" s="31" t="n">
        <v>20977.832</v>
      </c>
      <c r="AJ39" s="31" t="n">
        <v>20977.832</v>
      </c>
      <c r="AK39" s="32" t="n">
        <v>18346.4</v>
      </c>
      <c r="AL39" s="32" t="n">
        <v>18346.4</v>
      </c>
      <c r="AM39" s="32" t="n">
        <v>18346.4</v>
      </c>
      <c r="AN39" s="32" t="n">
        <v>18346.4</v>
      </c>
      <c r="AO39" s="32" t="n">
        <v>18346.4</v>
      </c>
      <c r="AP39" s="32" t="n">
        <v>18346.4</v>
      </c>
      <c r="AQ39" s="32" t="n">
        <v>18346.4</v>
      </c>
      <c r="AR39" s="32" t="n">
        <v>18346.4</v>
      </c>
      <c r="AS39" s="32" t="n">
        <v>18346.4</v>
      </c>
      <c r="AT39" s="31" t="n">
        <v>20977.832</v>
      </c>
      <c r="AU39" s="33" t="n">
        <v>32525.2875</v>
      </c>
      <c r="AV39" s="33" t="n">
        <v>32525.2875</v>
      </c>
      <c r="AW39" s="33" t="n">
        <v>32525.2875</v>
      </c>
      <c r="AX39" s="33" t="n">
        <v>32525.2875</v>
      </c>
      <c r="AY39" s="33" t="n">
        <v>32525.2875</v>
      </c>
      <c r="AZ39" s="33" t="n">
        <v>32525.2875</v>
      </c>
      <c r="BA39" s="33" t="n">
        <v>32525.2875</v>
      </c>
      <c r="BB39" s="33" t="n">
        <v>32525.2875</v>
      </c>
      <c r="BC39" s="33" t="n">
        <v>32525.2875</v>
      </c>
      <c r="BD39" s="33" t="n">
        <v>32525.2875</v>
      </c>
      <c r="BE39" s="33" t="n">
        <v>32525.2875</v>
      </c>
      <c r="BF39" s="33" t="n">
        <v>32525.2875</v>
      </c>
      <c r="BG39" s="34" t="n">
        <v>7798.2</v>
      </c>
      <c r="BH39" s="34" t="n">
        <v>7798.2</v>
      </c>
      <c r="BI39" s="34" t="n">
        <v>7798.2</v>
      </c>
      <c r="BJ39" s="34" t="n">
        <v>7798.2</v>
      </c>
      <c r="BK39" s="34" t="n">
        <v>7798.2</v>
      </c>
    </row>
    <row r="40" customFormat="false" ht="13.2" hidden="false" customHeight="false" outlineLevel="0" collapsed="false">
      <c r="A40" s="0" t="n">
        <f aca="false">A39+1</f>
        <v>39</v>
      </c>
      <c r="B40" s="29" t="n">
        <v>6121.4944</v>
      </c>
      <c r="C40" s="29" t="n">
        <v>6121.4944</v>
      </c>
      <c r="D40" s="29" t="n">
        <v>6121.4944</v>
      </c>
      <c r="E40" s="29" t="n">
        <v>6121.4944</v>
      </c>
      <c r="F40" s="29" t="n">
        <v>6121.4944</v>
      </c>
      <c r="G40" s="29" t="n">
        <v>6121.4944</v>
      </c>
      <c r="H40" s="29" t="n">
        <v>6121.4944</v>
      </c>
      <c r="I40" s="29" t="n">
        <v>6121.4944</v>
      </c>
      <c r="J40" s="29" t="n">
        <v>6121.4944</v>
      </c>
      <c r="K40" s="29" t="n">
        <v>6121.4944</v>
      </c>
      <c r="L40" s="30" t="n">
        <f aca="false">K40*7</f>
        <v>42850.4608</v>
      </c>
      <c r="M40" s="30" t="n">
        <f aca="false">L40</f>
        <v>42850.4608</v>
      </c>
      <c r="N40" s="0" t="n">
        <v>7865.8</v>
      </c>
      <c r="O40" s="0" t="n">
        <v>7865.8</v>
      </c>
      <c r="P40" s="0" t="n">
        <v>7865.8</v>
      </c>
      <c r="Q40" s="0" t="n">
        <v>7865.8</v>
      </c>
      <c r="R40" s="0" t="n">
        <v>7865.8</v>
      </c>
      <c r="S40" s="0" t="n">
        <v>7865.8</v>
      </c>
      <c r="T40" s="0" t="n">
        <v>7865.8</v>
      </c>
      <c r="U40" s="0" t="n">
        <v>7865.8</v>
      </c>
      <c r="V40" s="31" t="n">
        <v>21300.4446</v>
      </c>
      <c r="W40" s="31" t="n">
        <v>21300.4446</v>
      </c>
      <c r="X40" s="31" t="n">
        <v>21300.4446</v>
      </c>
      <c r="Y40" s="31" t="n">
        <v>21300.4446</v>
      </c>
      <c r="Z40" s="31" t="n">
        <v>21300.4446</v>
      </c>
      <c r="AA40" s="31" t="n">
        <v>21300.4446</v>
      </c>
      <c r="AB40" s="32" t="n">
        <v>17322.7</v>
      </c>
      <c r="AC40" s="32" t="n">
        <v>17322.7</v>
      </c>
      <c r="AD40" s="32" t="n">
        <v>17322.7</v>
      </c>
      <c r="AE40" s="31" t="n">
        <v>21300.4446</v>
      </c>
      <c r="AF40" s="31" t="n">
        <v>21300.4446</v>
      </c>
      <c r="AG40" s="31" t="n">
        <v>21300.4446</v>
      </c>
      <c r="AH40" s="31" t="n">
        <v>21300.4446</v>
      </c>
      <c r="AI40" s="31" t="n">
        <v>21300.4446</v>
      </c>
      <c r="AJ40" s="31" t="n">
        <v>21300.4446</v>
      </c>
      <c r="AK40" s="32" t="n">
        <v>17322.7</v>
      </c>
      <c r="AL40" s="32" t="n">
        <v>17322.7</v>
      </c>
      <c r="AM40" s="32" t="n">
        <v>17322.7</v>
      </c>
      <c r="AN40" s="32" t="n">
        <v>17322.7</v>
      </c>
      <c r="AO40" s="32" t="n">
        <v>17322.7</v>
      </c>
      <c r="AP40" s="32" t="n">
        <v>17322.7</v>
      </c>
      <c r="AQ40" s="32" t="n">
        <v>17322.7</v>
      </c>
      <c r="AR40" s="32" t="n">
        <v>17322.7</v>
      </c>
      <c r="AS40" s="32" t="n">
        <v>17322.7</v>
      </c>
      <c r="AT40" s="31" t="n">
        <v>21300.4446</v>
      </c>
      <c r="AU40" s="33" t="n">
        <v>32525.2875</v>
      </c>
      <c r="AV40" s="33" t="n">
        <v>32525.2875</v>
      </c>
      <c r="AW40" s="33" t="n">
        <v>32525.2875</v>
      </c>
      <c r="AX40" s="33" t="n">
        <v>32525.2875</v>
      </c>
      <c r="AY40" s="33" t="n">
        <v>32525.2875</v>
      </c>
      <c r="AZ40" s="33" t="n">
        <v>32525.2875</v>
      </c>
      <c r="BA40" s="33" t="n">
        <v>32525.2875</v>
      </c>
      <c r="BB40" s="33" t="n">
        <v>32525.2875</v>
      </c>
      <c r="BC40" s="33" t="n">
        <v>32525.2875</v>
      </c>
      <c r="BD40" s="33" t="n">
        <v>32525.2875</v>
      </c>
      <c r="BE40" s="33" t="n">
        <v>32525.2875</v>
      </c>
      <c r="BF40" s="33" t="n">
        <v>32525.2875</v>
      </c>
      <c r="BG40" s="34" t="n">
        <v>7798.2</v>
      </c>
      <c r="BH40" s="34" t="n">
        <v>7798.2</v>
      </c>
      <c r="BI40" s="34" t="n">
        <v>7798.2</v>
      </c>
      <c r="BJ40" s="34" t="n">
        <v>7798.2</v>
      </c>
      <c r="BK40" s="34" t="n">
        <v>7798.2</v>
      </c>
    </row>
    <row r="41" customFormat="false" ht="13.2" hidden="false" customHeight="false" outlineLevel="0" collapsed="false">
      <c r="A41" s="0" t="n">
        <f aca="false">A40+1</f>
        <v>40</v>
      </c>
      <c r="B41" s="29" t="n">
        <v>6129.19999999999</v>
      </c>
      <c r="C41" s="29" t="n">
        <v>6129.19999999999</v>
      </c>
      <c r="D41" s="29" t="n">
        <v>6129.19999999999</v>
      </c>
      <c r="E41" s="29" t="n">
        <v>6129.19999999999</v>
      </c>
      <c r="F41" s="29" t="n">
        <v>6129.19999999999</v>
      </c>
      <c r="G41" s="29" t="n">
        <v>6129.19999999999</v>
      </c>
      <c r="H41" s="29" t="n">
        <v>6129.19999999999</v>
      </c>
      <c r="I41" s="29" t="n">
        <v>6129.19999999999</v>
      </c>
      <c r="J41" s="29" t="n">
        <v>6129.19999999999</v>
      </c>
      <c r="K41" s="29" t="n">
        <v>6129.19999999999</v>
      </c>
      <c r="L41" s="30" t="n">
        <f aca="false">K41*7</f>
        <v>42904.3999999999</v>
      </c>
      <c r="M41" s="30" t="n">
        <f aca="false">L41</f>
        <v>42904.3999999999</v>
      </c>
      <c r="N41" s="0" t="n">
        <v>7865.8</v>
      </c>
      <c r="O41" s="0" t="n">
        <v>7865.8</v>
      </c>
      <c r="P41" s="0" t="n">
        <v>7865.8</v>
      </c>
      <c r="Q41" s="0" t="n">
        <v>7865.8</v>
      </c>
      <c r="R41" s="0" t="n">
        <v>7865.8</v>
      </c>
      <c r="S41" s="0" t="n">
        <v>7865.8</v>
      </c>
      <c r="T41" s="0" t="n">
        <v>7865.8</v>
      </c>
      <c r="U41" s="0" t="n">
        <v>7865.8</v>
      </c>
      <c r="V41" s="31" t="n">
        <v>21804.2</v>
      </c>
      <c r="W41" s="31" t="n">
        <v>21804.2</v>
      </c>
      <c r="X41" s="31" t="n">
        <v>21804.2</v>
      </c>
      <c r="Y41" s="31" t="n">
        <v>21804.2</v>
      </c>
      <c r="Z41" s="31" t="n">
        <v>21804.2</v>
      </c>
      <c r="AA41" s="31" t="n">
        <v>21804.2</v>
      </c>
      <c r="AB41" s="32" t="n">
        <v>16299</v>
      </c>
      <c r="AC41" s="32" t="n">
        <v>16299</v>
      </c>
      <c r="AD41" s="32" t="n">
        <v>16299</v>
      </c>
      <c r="AE41" s="31" t="n">
        <v>21804.2</v>
      </c>
      <c r="AF41" s="31" t="n">
        <v>21804.2</v>
      </c>
      <c r="AG41" s="31" t="n">
        <v>21804.2</v>
      </c>
      <c r="AH41" s="31" t="n">
        <v>21804.2</v>
      </c>
      <c r="AI41" s="31" t="n">
        <v>21804.2</v>
      </c>
      <c r="AJ41" s="31" t="n">
        <v>21804.2</v>
      </c>
      <c r="AK41" s="32" t="n">
        <v>16299</v>
      </c>
      <c r="AL41" s="32" t="n">
        <v>16299</v>
      </c>
      <c r="AM41" s="32" t="n">
        <v>16299</v>
      </c>
      <c r="AN41" s="32" t="n">
        <v>16299</v>
      </c>
      <c r="AO41" s="32" t="n">
        <v>16299</v>
      </c>
      <c r="AP41" s="32" t="n">
        <v>16299</v>
      </c>
      <c r="AQ41" s="32" t="n">
        <v>16299</v>
      </c>
      <c r="AR41" s="32" t="n">
        <v>16299</v>
      </c>
      <c r="AS41" s="32" t="n">
        <v>16299</v>
      </c>
      <c r="AT41" s="31" t="n">
        <v>21804.2</v>
      </c>
      <c r="AU41" s="33" t="n">
        <v>32525.2875</v>
      </c>
      <c r="AV41" s="33" t="n">
        <v>32525.2875</v>
      </c>
      <c r="AW41" s="33" t="n">
        <v>32525.2875</v>
      </c>
      <c r="AX41" s="33" t="n">
        <v>32525.2875</v>
      </c>
      <c r="AY41" s="33" t="n">
        <v>32525.2875</v>
      </c>
      <c r="AZ41" s="33" t="n">
        <v>32525.2875</v>
      </c>
      <c r="BA41" s="33" t="n">
        <v>32525.2875</v>
      </c>
      <c r="BB41" s="33" t="n">
        <v>32525.2875</v>
      </c>
      <c r="BC41" s="33" t="n">
        <v>32525.2875</v>
      </c>
      <c r="BD41" s="33" t="n">
        <v>32525.2875</v>
      </c>
      <c r="BE41" s="33" t="n">
        <v>32525.2875</v>
      </c>
      <c r="BF41" s="33" t="n">
        <v>32525.2875</v>
      </c>
      <c r="BG41" s="34" t="n">
        <v>7798.2</v>
      </c>
      <c r="BH41" s="34" t="n">
        <v>7798.2</v>
      </c>
      <c r="BI41" s="34" t="n">
        <v>7798.2</v>
      </c>
      <c r="BJ41" s="34" t="n">
        <v>7798.2</v>
      </c>
      <c r="BK41" s="34" t="n">
        <v>7798.2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12.109375" defaultRowHeight="13.2" zeroHeight="false" outlineLevelRow="0" outlineLevelCol="0"/>
  <cols>
    <col collapsed="false" customWidth="true" hidden="false" outlineLevel="0" max="1" min="1" style="0" width="4.44"/>
    <col collapsed="false" customWidth="true" hidden="false" outlineLevel="0" max="2" min="2" style="0" width="11.45"/>
    <col collapsed="false" customWidth="true" hidden="false" outlineLevel="0" max="3" min="3" style="0" width="18.12"/>
    <col collapsed="false" customWidth="true" hidden="false" outlineLevel="0" max="5" min="5" style="0" width="20.96"/>
    <col collapsed="false" customWidth="true" hidden="false" outlineLevel="0" max="6" min="6" style="0" width="14.01"/>
    <col collapsed="false" customWidth="true" hidden="false" outlineLevel="0" max="1019" min="1009" style="0" width="11.57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35" t="s">
        <v>3</v>
      </c>
      <c r="B1" s="18" t="s">
        <v>234</v>
      </c>
      <c r="C1" s="18" t="s">
        <v>235</v>
      </c>
      <c r="D1" s="35" t="s">
        <v>236</v>
      </c>
      <c r="E1" s="35" t="s">
        <v>237</v>
      </c>
      <c r="F1" s="35" t="s">
        <v>238</v>
      </c>
      <c r="G1" s="35" t="s">
        <v>232</v>
      </c>
      <c r="H1" s="35" t="s">
        <v>239</v>
      </c>
      <c r="I1" s="0" t="s">
        <v>240</v>
      </c>
    </row>
    <row r="2" customFormat="false" ht="13.8" hidden="false" customHeight="false" outlineLevel="0" collapsed="false">
      <c r="A2" s="0" t="s">
        <v>27</v>
      </c>
      <c r="B2" s="0" t="n">
        <v>0.75425</v>
      </c>
      <c r="C2" s="0" t="n">
        <f aca="false">F2*1000</f>
        <v>53563551.5</v>
      </c>
      <c r="D2" s="35" t="s">
        <v>241</v>
      </c>
      <c r="E2" s="36" t="s">
        <v>242</v>
      </c>
      <c r="F2" s="0" t="n">
        <f aca="false">0.00378541*I2</f>
        <v>53563.5515</v>
      </c>
      <c r="G2" s="35" t="n">
        <v>2017</v>
      </c>
      <c r="H2" s="0" t="s">
        <v>243</v>
      </c>
      <c r="I2" s="0" t="n">
        <f aca="false">0.55*10^6+13.6*10^6</f>
        <v>14150000</v>
      </c>
    </row>
    <row r="3" customFormat="false" ht="13.8" hidden="false" customHeight="false" outlineLevel="0" collapsed="false">
      <c r="A3" s="0" t="s">
        <v>49</v>
      </c>
      <c r="B3" s="0" t="n">
        <v>0.84</v>
      </c>
      <c r="C3" s="0" t="n">
        <f aca="false">F3*1000</f>
        <v>35166458.9</v>
      </c>
      <c r="D3" s="35" t="s">
        <v>241</v>
      </c>
      <c r="E3" s="36" t="s">
        <v>242</v>
      </c>
      <c r="F3" s="0" t="n">
        <f aca="false">0.00378541*I3</f>
        <v>35166.4589</v>
      </c>
      <c r="G3" s="35" t="n">
        <v>2017</v>
      </c>
      <c r="H3" s="0" t="s">
        <v>244</v>
      </c>
      <c r="I3" s="0" t="n">
        <f aca="false">9.29*10^6</f>
        <v>9290000</v>
      </c>
    </row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6" activeCellId="0" sqref="F6"/>
    </sheetView>
  </sheetViews>
  <sheetFormatPr defaultColWidth="11.77734375" defaultRowHeight="12.8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11.33"/>
    <col collapsed="false" customWidth="true" hidden="false" outlineLevel="0" max="3" min="3" style="0" width="13.43"/>
    <col collapsed="false" customWidth="true" hidden="false" outlineLevel="0" max="4" min="4" style="0" width="14.88"/>
    <col collapsed="false" customWidth="true" hidden="false" outlineLevel="0" max="5" min="5" style="0" width="11.11"/>
    <col collapsed="false" customWidth="true" hidden="false" outlineLevel="0" max="6" min="6" style="0" width="11.22"/>
    <col collapsed="false" customWidth="true" hidden="false" outlineLevel="0" max="7" min="7" style="0" width="13.22"/>
    <col collapsed="false" customWidth="true" hidden="false" outlineLevel="0" max="8" min="8" style="0" width="14.66"/>
    <col collapsed="false" customWidth="true" hidden="false" outlineLevel="0" max="9" min="9" style="0" width="10.89"/>
    <col collapsed="false" customWidth="true" hidden="false" outlineLevel="0" max="10" min="10" style="0" width="9.66"/>
    <col collapsed="false" customWidth="true" hidden="false" outlineLevel="0" max="11" min="11" style="0" width="14.43"/>
    <col collapsed="false" customWidth="true" hidden="false" outlineLevel="0" max="12" min="12" style="0" width="14.88"/>
    <col collapsed="false" customWidth="true" hidden="false" outlineLevel="0" max="13" min="13" style="0" width="17.11"/>
    <col collapsed="false" customWidth="true" hidden="false" outlineLevel="0" max="14" min="14" style="0" width="10.22"/>
    <col collapsed="false" customWidth="true" hidden="false" outlineLevel="0" max="15" min="15" style="0" width="10.89"/>
    <col collapsed="false" customWidth="true" hidden="false" outlineLevel="0" max="16" min="16" style="0" width="11.33"/>
    <col collapsed="false" customWidth="true" hidden="false" outlineLevel="0" max="17" min="17" style="0" width="10.12"/>
    <col collapsed="false" customWidth="true" hidden="false" outlineLevel="0" max="18" min="18" style="0" width="10.65"/>
    <col collapsed="false" customWidth="true" hidden="false" outlineLevel="0" max="19" min="19" style="0" width="11.22"/>
    <col collapsed="false" customWidth="true" hidden="false" outlineLevel="0" max="20" min="20" style="0" width="10.65"/>
    <col collapsed="false" customWidth="true" hidden="false" outlineLevel="0" max="21" min="21" style="0" width="8.44"/>
    <col collapsed="false" customWidth="true" hidden="false" outlineLevel="0" max="22" min="22" style="0" width="16.56"/>
    <col collapsed="false" customWidth="true" hidden="false" outlineLevel="0" max="23" min="23" style="0" width="19.65"/>
    <col collapsed="false" customWidth="true" hidden="false" outlineLevel="0" max="29" min="24" style="0" width="20.64"/>
    <col collapsed="false" customWidth="true" hidden="false" outlineLevel="0" max="30" min="30" style="0" width="17.56"/>
    <col collapsed="false" customWidth="true" hidden="false" outlineLevel="0" max="31" min="31" style="0" width="16.79"/>
    <col collapsed="false" customWidth="true" hidden="false" outlineLevel="0" max="32" min="32" style="0" width="19.77"/>
    <col collapsed="false" customWidth="true" hidden="false" outlineLevel="0" max="38" min="33" style="0" width="20.78"/>
    <col collapsed="false" customWidth="true" hidden="false" outlineLevel="0" max="39" min="39" style="0" width="17.78"/>
    <col collapsed="false" customWidth="true" hidden="false" outlineLevel="0" max="45" min="40" style="0" width="20.45"/>
    <col collapsed="false" customWidth="true" hidden="false" outlineLevel="0" max="46" min="46" style="0" width="14.55"/>
    <col collapsed="false" customWidth="true" hidden="false" outlineLevel="0" max="47" min="47" style="0" width="14.01"/>
    <col collapsed="false" customWidth="true" hidden="false" outlineLevel="0" max="48" min="48" style="0" width="17"/>
    <col collapsed="false" customWidth="true" hidden="false" outlineLevel="0" max="49" min="49" style="0" width="14.01"/>
    <col collapsed="false" customWidth="true" hidden="false" outlineLevel="0" max="50" min="50" style="0" width="14.11"/>
    <col collapsed="false" customWidth="true" hidden="false" outlineLevel="0" max="51" min="51" style="0" width="17.21"/>
    <col collapsed="false" customWidth="true" hidden="false" outlineLevel="0" max="52" min="52" style="0" width="14.11"/>
    <col collapsed="false" customWidth="true" hidden="false" outlineLevel="0" max="54" min="53" style="0" width="18"/>
    <col collapsed="false" customWidth="true" hidden="false" outlineLevel="0" max="56" min="55" style="0" width="18.22"/>
    <col collapsed="false" customWidth="true" hidden="false" outlineLevel="0" max="57" min="57" style="0" width="15.22"/>
    <col collapsed="false" customWidth="true" hidden="false" outlineLevel="0" max="58" min="58" style="0" width="10.89"/>
    <col collapsed="false" customWidth="true" hidden="false" outlineLevel="0" max="59" min="59" style="0" width="13.1"/>
    <col collapsed="false" customWidth="true" hidden="false" outlineLevel="0" max="60" min="60" style="0" width="17.11"/>
    <col collapsed="false" customWidth="true" hidden="false" outlineLevel="0" max="61" min="61" style="0" width="18.12"/>
    <col collapsed="false" customWidth="true" hidden="false" outlineLevel="0" max="62" min="62" style="0" width="14.11"/>
    <col collapsed="false" customWidth="true" hidden="false" outlineLevel="0" max="63" min="63" style="0" width="10"/>
    <col collapsed="false" customWidth="true" hidden="false" outlineLevel="0" max="1024" min="1021" style="0" width="11.52"/>
  </cols>
  <sheetData>
    <row r="1" customFormat="false" ht="12.8" hidden="false" customHeight="false" outlineLevel="0" collapsed="false">
      <c r="A1" s="6" t="s">
        <v>232</v>
      </c>
      <c r="B1" s="6" t="str">
        <f aca="false">metadata!B2</f>
        <v>PC_MINI_G</v>
      </c>
      <c r="C1" s="6" t="str">
        <f aca="false">metadata!B3</f>
        <v>PC_SMALL_G</v>
      </c>
      <c r="D1" s="6" t="str">
        <f aca="false">metadata!B4</f>
        <v>PC_MEDIUM_G</v>
      </c>
      <c r="E1" s="6" t="str">
        <f aca="false">metadata!B5</f>
        <v>PC_SUV_G</v>
      </c>
      <c r="F1" s="6" t="str">
        <f aca="false">metadata!B6</f>
        <v>PC_MINI_D</v>
      </c>
      <c r="G1" s="6" t="str">
        <f aca="false">metadata!B7</f>
        <v>PC_SMALL_D</v>
      </c>
      <c r="H1" s="6" t="str">
        <f aca="false">metadata!B8</f>
        <v>PC_MEDIUM_D</v>
      </c>
      <c r="I1" s="6" t="str">
        <f aca="false">metadata!B9</f>
        <v>PC_SUV_D</v>
      </c>
      <c r="J1" s="6" t="str">
        <f aca="false">metadata!B10</f>
        <v>PC_ELEC</v>
      </c>
      <c r="K1" s="6" t="str">
        <f aca="false">metadata!B11</f>
        <v>PC_SMALL_HY</v>
      </c>
      <c r="L1" s="6" t="str">
        <f aca="false">metadata!B12</f>
        <v>TAXI_SMALL_G</v>
      </c>
      <c r="M1" s="6" t="str">
        <f aca="false">metadata!B13</f>
        <v>TAXI_SMALL_GLP</v>
      </c>
      <c r="N1" s="6" t="str">
        <f aca="false">metadata!B14</f>
        <v>LCV_NI_G</v>
      </c>
      <c r="O1" s="6" t="str">
        <f aca="false">metadata!B15</f>
        <v>LCV_NII_G</v>
      </c>
      <c r="P1" s="6" t="str">
        <f aca="false">metadata!B16</f>
        <v>LCV_NIII_G</v>
      </c>
      <c r="Q1" s="6" t="str">
        <f aca="false">metadata!B17</f>
        <v>LCV_NI_D</v>
      </c>
      <c r="R1" s="6" t="str">
        <f aca="false">metadata!B18</f>
        <v>LCV_NII_D</v>
      </c>
      <c r="S1" s="6" t="str">
        <f aca="false">metadata!B19</f>
        <v>LCV_NIII_D</v>
      </c>
      <c r="T1" s="6" t="str">
        <f aca="false">metadata!B20</f>
        <v>LCV_ELEC</v>
      </c>
      <c r="U1" s="6" t="str">
        <f aca="false">metadata!B21</f>
        <v>LCV_HY</v>
      </c>
      <c r="V1" s="6" t="str">
        <f aca="false">metadata!B22</f>
        <v>TRUCKS_RT_7_D</v>
      </c>
      <c r="W1" s="6" t="str">
        <f aca="false">metadata!B23</f>
        <v>TRUCKS_RT_7_12_D</v>
      </c>
      <c r="X1" s="6" t="str">
        <f aca="false">metadata!B24</f>
        <v>TRUCKS_RT_12_14_D</v>
      </c>
      <c r="Y1" s="6" t="str">
        <f aca="false">metadata!B25</f>
        <v>TRUCKS_RT_14_16_D</v>
      </c>
      <c r="Z1" s="6" t="str">
        <f aca="false">metadata!B26</f>
        <v>TRUCKS_RT_16_20_D</v>
      </c>
      <c r="AA1" s="6" t="str">
        <f aca="false">metadata!B27</f>
        <v>TRUCKS_RT_20_26_D</v>
      </c>
      <c r="AB1" s="6" t="str">
        <f aca="false">metadata!B28</f>
        <v>TRUCKS_RT_26_28_D</v>
      </c>
      <c r="AC1" s="6" t="str">
        <f aca="false">metadata!B29</f>
        <v>TRUCKS_RT_28_32_D</v>
      </c>
      <c r="AD1" s="3" t="str">
        <f aca="false">metadata!B30</f>
        <v>TRUCKS_RT_32_D</v>
      </c>
      <c r="AE1" s="3" t="str">
        <f aca="false">metadata!B31</f>
        <v>TRUCKS_RT_7_G</v>
      </c>
      <c r="AF1" s="3" t="str">
        <f aca="false">metadata!B32</f>
        <v>TRUCKS_RT_7_12_G</v>
      </c>
      <c r="AG1" s="3" t="str">
        <f aca="false">metadata!B33</f>
        <v>TRUCKS_RT_12_14_G</v>
      </c>
      <c r="AH1" s="3" t="str">
        <f aca="false">metadata!B34</f>
        <v>TRUCKS_RT_14_16_G</v>
      </c>
      <c r="AI1" s="3" t="str">
        <f aca="false">metadata!B35</f>
        <v>TRUCKS_RT_16_20_G</v>
      </c>
      <c r="AJ1" s="3" t="str">
        <f aca="false">metadata!B36</f>
        <v>TRUCKS_RT_20_26_G</v>
      </c>
      <c r="AK1" s="3" t="str">
        <f aca="false">metadata!B37</f>
        <v>TRUCKS_RT_26_28_G</v>
      </c>
      <c r="AL1" s="3" t="str">
        <f aca="false">metadata!B38</f>
        <v>TRUCKS_RT_28_32_G</v>
      </c>
      <c r="AM1" s="3" t="str">
        <f aca="false">metadata!B39</f>
        <v>TRUCKS_RT_32_G</v>
      </c>
      <c r="AN1" s="3" t="str">
        <f aca="false">metadata!B40</f>
        <v>TRUCKS_AT_16_20_D</v>
      </c>
      <c r="AO1" s="6" t="str">
        <f aca="false">metadata!B41</f>
        <v>TRUCKS_AT_20_28_D</v>
      </c>
      <c r="AP1" s="6" t="str">
        <f aca="false">metadata!B42</f>
        <v>TRUCKS_AT_28_34_D</v>
      </c>
      <c r="AQ1" s="0" t="str">
        <f aca="false">metadata!B43</f>
        <v>TRUCKS_AT_34_40_D</v>
      </c>
      <c r="AR1" s="0" t="str">
        <f aca="false">metadata!B44</f>
        <v>TRUCKS_AT_40_50_D</v>
      </c>
      <c r="AS1" s="0" t="str">
        <f aca="false">metadata!B45</f>
        <v>TRUCKS_AT_50_60_D</v>
      </c>
      <c r="AT1" s="0" t="str">
        <f aca="false">metadata!B46</f>
        <v>TRUCKS_ELEC</v>
      </c>
      <c r="AU1" s="0" t="str">
        <f aca="false">metadata!B47</f>
        <v>BUS_UB_15_D</v>
      </c>
      <c r="AV1" s="0" t="str">
        <f aca="false">metadata!B48</f>
        <v>BUS_UB_15_18_D</v>
      </c>
      <c r="AW1" s="0" t="str">
        <f aca="false">metadata!B49</f>
        <v>BUS_UB_18_D</v>
      </c>
      <c r="AX1" s="0" t="str">
        <f aca="false">metadata!B50</f>
        <v>BUS_UB_15_G</v>
      </c>
      <c r="AY1" s="0" t="str">
        <f aca="false">metadata!B51</f>
        <v>BUS_UB_15_18_G</v>
      </c>
      <c r="AZ1" s="0" t="str">
        <f aca="false">metadata!B52</f>
        <v>BUS_UB_18_G</v>
      </c>
      <c r="BA1" s="0" t="str">
        <f aca="false">metadata!B53</f>
        <v>BUS_COACH_17_D</v>
      </c>
      <c r="BB1" s="0" t="str">
        <f aca="false">metadata!B54</f>
        <v>BUS_COACH_18_D</v>
      </c>
      <c r="BC1" s="0" t="str">
        <f aca="false">metadata!B55</f>
        <v>BUS_COACH_17_G</v>
      </c>
      <c r="BD1" s="0" t="str">
        <f aca="false">metadata!B56</f>
        <v>BUS_COACH_18_G</v>
      </c>
      <c r="BE1" s="0" t="str">
        <f aca="false">metadata!B57</f>
        <v>BUS_UB_15_HY</v>
      </c>
      <c r="BF1" s="0" t="str">
        <f aca="false">metadata!B58</f>
        <v>BUS_ELEC</v>
      </c>
      <c r="BG1" s="0" t="str">
        <f aca="false">metadata!B59</f>
        <v>MC_2S_50_G</v>
      </c>
      <c r="BH1" s="0" t="str">
        <f aca="false">metadata!B60</f>
        <v>MC_4S_50_250_G</v>
      </c>
      <c r="BI1" s="0" t="str">
        <f aca="false">metadata!B61</f>
        <v>MC_4S_250_750_G</v>
      </c>
      <c r="BJ1" s="0" t="str">
        <f aca="false">metadata!B62</f>
        <v>MC_4S_750_G</v>
      </c>
      <c r="BK1" s="0" t="str">
        <f aca="false">metadata!B63</f>
        <v>MC_ELEC</v>
      </c>
    </row>
    <row r="2" customFormat="false" ht="12.8" hidden="false" customHeight="false" outlineLevel="0" collapsed="false">
      <c r="A2" s="0" t="n">
        <v>2017</v>
      </c>
      <c r="B2" s="0" t="s">
        <v>245</v>
      </c>
      <c r="C2" s="0" t="s">
        <v>245</v>
      </c>
      <c r="D2" s="0" t="s">
        <v>245</v>
      </c>
      <c r="E2" s="0" t="s">
        <v>245</v>
      </c>
      <c r="F2" s="0" t="s">
        <v>246</v>
      </c>
      <c r="G2" s="0" t="s">
        <v>246</v>
      </c>
      <c r="H2" s="0" t="s">
        <v>246</v>
      </c>
      <c r="I2" s="0" t="s">
        <v>246</v>
      </c>
      <c r="J2" s="0" t="s">
        <v>55</v>
      </c>
      <c r="K2" s="0" t="s">
        <v>247</v>
      </c>
      <c r="L2" s="0" t="s">
        <v>245</v>
      </c>
      <c r="M2" s="0" t="s">
        <v>246</v>
      </c>
      <c r="N2" s="0" t="s">
        <v>245</v>
      </c>
      <c r="O2" s="0" t="s">
        <v>245</v>
      </c>
      <c r="P2" s="0" t="s">
        <v>245</v>
      </c>
      <c r="Q2" s="0" t="s">
        <v>246</v>
      </c>
      <c r="R2" s="0" t="s">
        <v>246</v>
      </c>
      <c r="S2" s="0" t="s">
        <v>246</v>
      </c>
      <c r="T2" s="0" t="s">
        <v>55</v>
      </c>
      <c r="U2" s="0" t="s">
        <v>246</v>
      </c>
      <c r="V2" s="0" t="s">
        <v>246</v>
      </c>
      <c r="W2" s="0" t="s">
        <v>246</v>
      </c>
      <c r="X2" s="0" t="s">
        <v>246</v>
      </c>
      <c r="Y2" s="0" t="s">
        <v>246</v>
      </c>
      <c r="Z2" s="0" t="s">
        <v>246</v>
      </c>
      <c r="AA2" s="0" t="s">
        <v>246</v>
      </c>
      <c r="AB2" s="0" t="s">
        <v>246</v>
      </c>
      <c r="AC2" s="0" t="s">
        <v>246</v>
      </c>
      <c r="AD2" s="0" t="s">
        <v>246</v>
      </c>
      <c r="AE2" s="0" t="s">
        <v>245</v>
      </c>
      <c r="AF2" s="0" t="s">
        <v>245</v>
      </c>
      <c r="AG2" s="0" t="s">
        <v>245</v>
      </c>
      <c r="AH2" s="0" t="s">
        <v>245</v>
      </c>
      <c r="AI2" s="0" t="s">
        <v>245</v>
      </c>
      <c r="AJ2" s="0" t="s">
        <v>245</v>
      </c>
      <c r="AK2" s="0" t="s">
        <v>245</v>
      </c>
      <c r="AL2" s="0" t="s">
        <v>245</v>
      </c>
      <c r="AM2" s="0" t="s">
        <v>245</v>
      </c>
      <c r="AN2" s="0" t="s">
        <v>246</v>
      </c>
      <c r="AO2" s="0" t="s">
        <v>246</v>
      </c>
      <c r="AP2" s="0" t="s">
        <v>246</v>
      </c>
      <c r="AQ2" s="0" t="s">
        <v>246</v>
      </c>
      <c r="AR2" s="0" t="s">
        <v>246</v>
      </c>
      <c r="AS2" s="0" t="s">
        <v>246</v>
      </c>
      <c r="AT2" s="0" t="s">
        <v>55</v>
      </c>
      <c r="AU2" s="0" t="s">
        <v>245</v>
      </c>
      <c r="AV2" s="0" t="s">
        <v>245</v>
      </c>
      <c r="AW2" s="0" t="s">
        <v>245</v>
      </c>
      <c r="AX2" s="0" t="s">
        <v>245</v>
      </c>
      <c r="AY2" s="0" t="s">
        <v>245</v>
      </c>
      <c r="AZ2" s="0" t="s">
        <v>245</v>
      </c>
      <c r="BA2" s="0" t="s">
        <v>245</v>
      </c>
      <c r="BB2" s="0" t="s">
        <v>245</v>
      </c>
      <c r="BC2" s="0" t="s">
        <v>245</v>
      </c>
      <c r="BD2" s="0" t="s">
        <v>245</v>
      </c>
      <c r="BE2" s="0" t="s">
        <v>247</v>
      </c>
      <c r="BF2" s="0" t="s">
        <v>55</v>
      </c>
      <c r="BG2" s="0" t="s">
        <v>245</v>
      </c>
      <c r="BH2" s="0" t="s">
        <v>245</v>
      </c>
      <c r="BI2" s="0" t="s">
        <v>245</v>
      </c>
      <c r="BJ2" s="0" t="s">
        <v>245</v>
      </c>
      <c r="BK2" s="0" t="s">
        <v>55</v>
      </c>
    </row>
    <row r="3" customFormat="false" ht="12.8" hidden="false" customHeight="false" outlineLevel="0" collapsed="false">
      <c r="A3" s="0" t="n">
        <f aca="false">A2-1</f>
        <v>2016</v>
      </c>
      <c r="B3" s="0" t="s">
        <v>245</v>
      </c>
      <c r="C3" s="0" t="s">
        <v>245</v>
      </c>
      <c r="D3" s="0" t="s">
        <v>245</v>
      </c>
      <c r="E3" s="0" t="s">
        <v>245</v>
      </c>
      <c r="F3" s="0" t="s">
        <v>246</v>
      </c>
      <c r="G3" s="0" t="s">
        <v>246</v>
      </c>
      <c r="H3" s="0" t="s">
        <v>246</v>
      </c>
      <c r="I3" s="0" t="s">
        <v>246</v>
      </c>
      <c r="J3" s="0" t="s">
        <v>55</v>
      </c>
      <c r="K3" s="0" t="s">
        <v>247</v>
      </c>
      <c r="L3" s="0" t="s">
        <v>245</v>
      </c>
      <c r="M3" s="0" t="s">
        <v>246</v>
      </c>
      <c r="N3" s="0" t="s">
        <v>245</v>
      </c>
      <c r="O3" s="0" t="s">
        <v>245</v>
      </c>
      <c r="P3" s="0" t="s">
        <v>245</v>
      </c>
      <c r="Q3" s="0" t="s">
        <v>246</v>
      </c>
      <c r="R3" s="0" t="s">
        <v>246</v>
      </c>
      <c r="S3" s="0" t="s">
        <v>246</v>
      </c>
      <c r="T3" s="0" t="s">
        <v>55</v>
      </c>
      <c r="U3" s="0" t="s">
        <v>246</v>
      </c>
      <c r="V3" s="0" t="s">
        <v>246</v>
      </c>
      <c r="W3" s="0" t="s">
        <v>246</v>
      </c>
      <c r="X3" s="0" t="s">
        <v>246</v>
      </c>
      <c r="Y3" s="0" t="s">
        <v>246</v>
      </c>
      <c r="Z3" s="0" t="s">
        <v>246</v>
      </c>
      <c r="AA3" s="0" t="s">
        <v>246</v>
      </c>
      <c r="AB3" s="0" t="s">
        <v>246</v>
      </c>
      <c r="AC3" s="0" t="s">
        <v>246</v>
      </c>
      <c r="AD3" s="0" t="s">
        <v>246</v>
      </c>
      <c r="AE3" s="0" t="s">
        <v>245</v>
      </c>
      <c r="AF3" s="0" t="s">
        <v>245</v>
      </c>
      <c r="AG3" s="0" t="s">
        <v>245</v>
      </c>
      <c r="AH3" s="0" t="s">
        <v>245</v>
      </c>
      <c r="AI3" s="0" t="s">
        <v>245</v>
      </c>
      <c r="AJ3" s="0" t="s">
        <v>245</v>
      </c>
      <c r="AK3" s="0" t="s">
        <v>245</v>
      </c>
      <c r="AL3" s="0" t="s">
        <v>245</v>
      </c>
      <c r="AM3" s="0" t="s">
        <v>245</v>
      </c>
      <c r="AN3" s="0" t="s">
        <v>246</v>
      </c>
      <c r="AO3" s="0" t="s">
        <v>246</v>
      </c>
      <c r="AP3" s="0" t="s">
        <v>246</v>
      </c>
      <c r="AQ3" s="0" t="s">
        <v>246</v>
      </c>
      <c r="AR3" s="0" t="s">
        <v>246</v>
      </c>
      <c r="AS3" s="0" t="s">
        <v>246</v>
      </c>
      <c r="AT3" s="0" t="s">
        <v>55</v>
      </c>
      <c r="AU3" s="0" t="s">
        <v>245</v>
      </c>
      <c r="AV3" s="0" t="s">
        <v>245</v>
      </c>
      <c r="AW3" s="0" t="s">
        <v>245</v>
      </c>
      <c r="AX3" s="0" t="s">
        <v>245</v>
      </c>
      <c r="AY3" s="0" t="s">
        <v>245</v>
      </c>
      <c r="AZ3" s="0" t="s">
        <v>245</v>
      </c>
      <c r="BA3" s="0" t="s">
        <v>245</v>
      </c>
      <c r="BB3" s="0" t="s">
        <v>245</v>
      </c>
      <c r="BC3" s="0" t="s">
        <v>245</v>
      </c>
      <c r="BD3" s="0" t="s">
        <v>245</v>
      </c>
      <c r="BE3" s="0" t="s">
        <v>247</v>
      </c>
      <c r="BF3" s="0" t="s">
        <v>55</v>
      </c>
      <c r="BG3" s="0" t="s">
        <v>245</v>
      </c>
      <c r="BH3" s="0" t="s">
        <v>245</v>
      </c>
      <c r="BI3" s="0" t="s">
        <v>245</v>
      </c>
      <c r="BJ3" s="0" t="s">
        <v>245</v>
      </c>
      <c r="BK3" s="0" t="s">
        <v>55</v>
      </c>
    </row>
    <row r="4" customFormat="false" ht="12.8" hidden="false" customHeight="false" outlineLevel="0" collapsed="false">
      <c r="A4" s="0" t="n">
        <f aca="false">A3-1</f>
        <v>2015</v>
      </c>
      <c r="B4" s="0" t="s">
        <v>245</v>
      </c>
      <c r="C4" s="0" t="s">
        <v>245</v>
      </c>
      <c r="D4" s="0" t="s">
        <v>245</v>
      </c>
      <c r="E4" s="0" t="s">
        <v>245</v>
      </c>
      <c r="F4" s="0" t="s">
        <v>246</v>
      </c>
      <c r="G4" s="0" t="s">
        <v>246</v>
      </c>
      <c r="H4" s="0" t="s">
        <v>246</v>
      </c>
      <c r="I4" s="0" t="s">
        <v>246</v>
      </c>
      <c r="J4" s="0" t="s">
        <v>55</v>
      </c>
      <c r="K4" s="0" t="s">
        <v>247</v>
      </c>
      <c r="L4" s="0" t="s">
        <v>245</v>
      </c>
      <c r="M4" s="0" t="s">
        <v>246</v>
      </c>
      <c r="N4" s="0" t="s">
        <v>245</v>
      </c>
      <c r="O4" s="0" t="s">
        <v>245</v>
      </c>
      <c r="P4" s="0" t="s">
        <v>245</v>
      </c>
      <c r="Q4" s="0" t="s">
        <v>246</v>
      </c>
      <c r="R4" s="0" t="s">
        <v>246</v>
      </c>
      <c r="S4" s="0" t="s">
        <v>246</v>
      </c>
      <c r="T4" s="0" t="s">
        <v>55</v>
      </c>
      <c r="U4" s="0" t="s">
        <v>246</v>
      </c>
      <c r="V4" s="0" t="s">
        <v>246</v>
      </c>
      <c r="W4" s="0" t="s">
        <v>246</v>
      </c>
      <c r="X4" s="0" t="s">
        <v>246</v>
      </c>
      <c r="Y4" s="0" t="s">
        <v>246</v>
      </c>
      <c r="Z4" s="0" t="s">
        <v>246</v>
      </c>
      <c r="AA4" s="0" t="s">
        <v>246</v>
      </c>
      <c r="AB4" s="0" t="s">
        <v>246</v>
      </c>
      <c r="AC4" s="0" t="s">
        <v>246</v>
      </c>
      <c r="AD4" s="0" t="s">
        <v>246</v>
      </c>
      <c r="AE4" s="0" t="s">
        <v>245</v>
      </c>
      <c r="AF4" s="0" t="s">
        <v>245</v>
      </c>
      <c r="AG4" s="0" t="s">
        <v>245</v>
      </c>
      <c r="AH4" s="0" t="s">
        <v>245</v>
      </c>
      <c r="AI4" s="0" t="s">
        <v>245</v>
      </c>
      <c r="AJ4" s="0" t="s">
        <v>245</v>
      </c>
      <c r="AK4" s="0" t="s">
        <v>245</v>
      </c>
      <c r="AL4" s="0" t="s">
        <v>245</v>
      </c>
      <c r="AM4" s="0" t="s">
        <v>245</v>
      </c>
      <c r="AN4" s="0" t="s">
        <v>246</v>
      </c>
      <c r="AO4" s="0" t="s">
        <v>246</v>
      </c>
      <c r="AP4" s="0" t="s">
        <v>246</v>
      </c>
      <c r="AQ4" s="0" t="s">
        <v>246</v>
      </c>
      <c r="AR4" s="0" t="s">
        <v>246</v>
      </c>
      <c r="AS4" s="0" t="s">
        <v>246</v>
      </c>
      <c r="AT4" s="0" t="s">
        <v>55</v>
      </c>
      <c r="AU4" s="0" t="s">
        <v>245</v>
      </c>
      <c r="AV4" s="0" t="s">
        <v>245</v>
      </c>
      <c r="AW4" s="0" t="s">
        <v>245</v>
      </c>
      <c r="AX4" s="0" t="s">
        <v>245</v>
      </c>
      <c r="AY4" s="0" t="s">
        <v>245</v>
      </c>
      <c r="AZ4" s="0" t="s">
        <v>245</v>
      </c>
      <c r="BA4" s="0" t="s">
        <v>245</v>
      </c>
      <c r="BB4" s="0" t="s">
        <v>245</v>
      </c>
      <c r="BC4" s="0" t="s">
        <v>245</v>
      </c>
      <c r="BD4" s="0" t="s">
        <v>245</v>
      </c>
      <c r="BE4" s="0" t="s">
        <v>247</v>
      </c>
      <c r="BF4" s="0" t="s">
        <v>55</v>
      </c>
      <c r="BG4" s="0" t="s">
        <v>245</v>
      </c>
      <c r="BH4" s="0" t="s">
        <v>245</v>
      </c>
      <c r="BI4" s="0" t="s">
        <v>245</v>
      </c>
      <c r="BJ4" s="0" t="s">
        <v>245</v>
      </c>
      <c r="BK4" s="0" t="s">
        <v>55</v>
      </c>
    </row>
    <row r="5" customFormat="false" ht="12.8" hidden="false" customHeight="false" outlineLevel="0" collapsed="false">
      <c r="A5" s="0" t="n">
        <f aca="false">A4-1</f>
        <v>2014</v>
      </c>
      <c r="B5" s="0" t="s">
        <v>245</v>
      </c>
      <c r="C5" s="0" t="s">
        <v>245</v>
      </c>
      <c r="D5" s="0" t="s">
        <v>245</v>
      </c>
      <c r="E5" s="0" t="s">
        <v>245</v>
      </c>
      <c r="F5" s="0" t="s">
        <v>246</v>
      </c>
      <c r="G5" s="0" t="s">
        <v>246</v>
      </c>
      <c r="H5" s="0" t="s">
        <v>246</v>
      </c>
      <c r="I5" s="0" t="s">
        <v>246</v>
      </c>
      <c r="J5" s="0" t="s">
        <v>55</v>
      </c>
      <c r="K5" s="0" t="s">
        <v>247</v>
      </c>
      <c r="L5" s="0" t="s">
        <v>245</v>
      </c>
      <c r="M5" s="0" t="s">
        <v>246</v>
      </c>
      <c r="N5" s="0" t="s">
        <v>245</v>
      </c>
      <c r="O5" s="0" t="s">
        <v>245</v>
      </c>
      <c r="P5" s="0" t="s">
        <v>245</v>
      </c>
      <c r="Q5" s="0" t="s">
        <v>246</v>
      </c>
      <c r="R5" s="0" t="s">
        <v>246</v>
      </c>
      <c r="S5" s="0" t="s">
        <v>246</v>
      </c>
      <c r="T5" s="0" t="s">
        <v>55</v>
      </c>
      <c r="U5" s="0" t="s">
        <v>246</v>
      </c>
      <c r="V5" s="0" t="s">
        <v>246</v>
      </c>
      <c r="W5" s="0" t="s">
        <v>246</v>
      </c>
      <c r="X5" s="0" t="s">
        <v>246</v>
      </c>
      <c r="Y5" s="0" t="s">
        <v>246</v>
      </c>
      <c r="Z5" s="0" t="s">
        <v>246</v>
      </c>
      <c r="AA5" s="0" t="s">
        <v>246</v>
      </c>
      <c r="AB5" s="0" t="s">
        <v>246</v>
      </c>
      <c r="AC5" s="0" t="s">
        <v>246</v>
      </c>
      <c r="AD5" s="0" t="s">
        <v>246</v>
      </c>
      <c r="AE5" s="0" t="s">
        <v>245</v>
      </c>
      <c r="AF5" s="0" t="s">
        <v>245</v>
      </c>
      <c r="AG5" s="0" t="s">
        <v>245</v>
      </c>
      <c r="AH5" s="0" t="s">
        <v>245</v>
      </c>
      <c r="AI5" s="0" t="s">
        <v>245</v>
      </c>
      <c r="AJ5" s="0" t="s">
        <v>245</v>
      </c>
      <c r="AK5" s="0" t="s">
        <v>245</v>
      </c>
      <c r="AL5" s="0" t="s">
        <v>245</v>
      </c>
      <c r="AM5" s="0" t="s">
        <v>245</v>
      </c>
      <c r="AN5" s="0" t="s">
        <v>246</v>
      </c>
      <c r="AO5" s="0" t="s">
        <v>246</v>
      </c>
      <c r="AP5" s="0" t="s">
        <v>246</v>
      </c>
      <c r="AQ5" s="0" t="s">
        <v>246</v>
      </c>
      <c r="AR5" s="0" t="s">
        <v>246</v>
      </c>
      <c r="AS5" s="0" t="s">
        <v>246</v>
      </c>
      <c r="AT5" s="0" t="s">
        <v>55</v>
      </c>
      <c r="AU5" s="0" t="s">
        <v>245</v>
      </c>
      <c r="AV5" s="0" t="s">
        <v>245</v>
      </c>
      <c r="AW5" s="0" t="s">
        <v>245</v>
      </c>
      <c r="AX5" s="0" t="s">
        <v>245</v>
      </c>
      <c r="AY5" s="0" t="s">
        <v>245</v>
      </c>
      <c r="AZ5" s="0" t="s">
        <v>245</v>
      </c>
      <c r="BA5" s="0" t="s">
        <v>245</v>
      </c>
      <c r="BB5" s="0" t="s">
        <v>245</v>
      </c>
      <c r="BC5" s="0" t="s">
        <v>245</v>
      </c>
      <c r="BD5" s="0" t="s">
        <v>245</v>
      </c>
      <c r="BE5" s="0" t="s">
        <v>247</v>
      </c>
      <c r="BF5" s="0" t="s">
        <v>55</v>
      </c>
      <c r="BG5" s="0" t="s">
        <v>245</v>
      </c>
      <c r="BH5" s="0" t="s">
        <v>245</v>
      </c>
      <c r="BI5" s="0" t="s">
        <v>245</v>
      </c>
      <c r="BJ5" s="0" t="s">
        <v>245</v>
      </c>
      <c r="BK5" s="0" t="s">
        <v>55</v>
      </c>
    </row>
    <row r="6" customFormat="false" ht="12.8" hidden="false" customHeight="false" outlineLevel="0" collapsed="false">
      <c r="A6" s="0" t="n">
        <f aca="false">A5-1</f>
        <v>2013</v>
      </c>
      <c r="B6" s="0" t="s">
        <v>245</v>
      </c>
      <c r="C6" s="0" t="s">
        <v>245</v>
      </c>
      <c r="D6" s="0" t="s">
        <v>245</v>
      </c>
      <c r="E6" s="0" t="s">
        <v>245</v>
      </c>
      <c r="F6" s="0" t="s">
        <v>246</v>
      </c>
      <c r="G6" s="0" t="s">
        <v>246</v>
      </c>
      <c r="H6" s="0" t="s">
        <v>246</v>
      </c>
      <c r="I6" s="0" t="s">
        <v>246</v>
      </c>
      <c r="J6" s="0" t="s">
        <v>55</v>
      </c>
      <c r="K6" s="0" t="s">
        <v>247</v>
      </c>
      <c r="L6" s="0" t="s">
        <v>245</v>
      </c>
      <c r="M6" s="0" t="s">
        <v>246</v>
      </c>
      <c r="N6" s="0" t="s">
        <v>245</v>
      </c>
      <c r="O6" s="0" t="s">
        <v>245</v>
      </c>
      <c r="P6" s="0" t="s">
        <v>245</v>
      </c>
      <c r="Q6" s="0" t="s">
        <v>246</v>
      </c>
      <c r="R6" s="0" t="s">
        <v>246</v>
      </c>
      <c r="S6" s="0" t="s">
        <v>246</v>
      </c>
      <c r="T6" s="0" t="s">
        <v>55</v>
      </c>
      <c r="U6" s="0" t="s">
        <v>246</v>
      </c>
      <c r="V6" s="0" t="s">
        <v>246</v>
      </c>
      <c r="W6" s="0" t="s">
        <v>246</v>
      </c>
      <c r="X6" s="0" t="s">
        <v>246</v>
      </c>
      <c r="Y6" s="0" t="s">
        <v>246</v>
      </c>
      <c r="Z6" s="0" t="s">
        <v>246</v>
      </c>
      <c r="AA6" s="0" t="s">
        <v>246</v>
      </c>
      <c r="AB6" s="0" t="s">
        <v>246</v>
      </c>
      <c r="AC6" s="0" t="s">
        <v>246</v>
      </c>
      <c r="AD6" s="0" t="s">
        <v>246</v>
      </c>
      <c r="AE6" s="0" t="s">
        <v>245</v>
      </c>
      <c r="AF6" s="0" t="s">
        <v>245</v>
      </c>
      <c r="AG6" s="0" t="s">
        <v>245</v>
      </c>
      <c r="AH6" s="0" t="s">
        <v>245</v>
      </c>
      <c r="AI6" s="0" t="s">
        <v>245</v>
      </c>
      <c r="AJ6" s="0" t="s">
        <v>245</v>
      </c>
      <c r="AK6" s="0" t="s">
        <v>245</v>
      </c>
      <c r="AL6" s="0" t="s">
        <v>245</v>
      </c>
      <c r="AM6" s="0" t="s">
        <v>245</v>
      </c>
      <c r="AN6" s="0" t="s">
        <v>246</v>
      </c>
      <c r="AO6" s="0" t="s">
        <v>246</v>
      </c>
      <c r="AP6" s="0" t="s">
        <v>246</v>
      </c>
      <c r="AQ6" s="0" t="s">
        <v>246</v>
      </c>
      <c r="AR6" s="0" t="s">
        <v>246</v>
      </c>
      <c r="AS6" s="0" t="s">
        <v>246</v>
      </c>
      <c r="AT6" s="0" t="s">
        <v>55</v>
      </c>
      <c r="AU6" s="0" t="s">
        <v>245</v>
      </c>
      <c r="AV6" s="0" t="s">
        <v>245</v>
      </c>
      <c r="AW6" s="0" t="s">
        <v>245</v>
      </c>
      <c r="AX6" s="0" t="s">
        <v>245</v>
      </c>
      <c r="AY6" s="0" t="s">
        <v>245</v>
      </c>
      <c r="AZ6" s="0" t="s">
        <v>245</v>
      </c>
      <c r="BA6" s="0" t="s">
        <v>245</v>
      </c>
      <c r="BB6" s="0" t="s">
        <v>245</v>
      </c>
      <c r="BC6" s="0" t="s">
        <v>245</v>
      </c>
      <c r="BD6" s="0" t="s">
        <v>245</v>
      </c>
      <c r="BE6" s="0" t="s">
        <v>247</v>
      </c>
      <c r="BF6" s="0" t="s">
        <v>55</v>
      </c>
      <c r="BG6" s="0" t="s">
        <v>245</v>
      </c>
      <c r="BH6" s="0" t="s">
        <v>245</v>
      </c>
      <c r="BI6" s="0" t="s">
        <v>245</v>
      </c>
      <c r="BJ6" s="0" t="s">
        <v>245</v>
      </c>
      <c r="BK6" s="0" t="s">
        <v>55</v>
      </c>
    </row>
    <row r="7" customFormat="false" ht="12.8" hidden="false" customHeight="false" outlineLevel="0" collapsed="false">
      <c r="A7" s="0" t="n">
        <f aca="false">A6-1</f>
        <v>2012</v>
      </c>
      <c r="B7" s="0" t="s">
        <v>247</v>
      </c>
      <c r="C7" s="0" t="s">
        <v>247</v>
      </c>
      <c r="D7" s="0" t="s">
        <v>247</v>
      </c>
      <c r="E7" s="0" t="s">
        <v>247</v>
      </c>
      <c r="F7" s="0" t="s">
        <v>247</v>
      </c>
      <c r="G7" s="0" t="s">
        <v>247</v>
      </c>
      <c r="H7" s="0" t="s">
        <v>247</v>
      </c>
      <c r="I7" s="0" t="s">
        <v>247</v>
      </c>
      <c r="J7" s="0" t="s">
        <v>55</v>
      </c>
      <c r="K7" s="0" t="s">
        <v>247</v>
      </c>
      <c r="L7" s="0" t="s">
        <v>247</v>
      </c>
      <c r="M7" s="0" t="s">
        <v>247</v>
      </c>
      <c r="N7" s="0" t="s">
        <v>247</v>
      </c>
      <c r="O7" s="0" t="s">
        <v>247</v>
      </c>
      <c r="P7" s="0" t="s">
        <v>247</v>
      </c>
      <c r="Q7" s="0" t="s">
        <v>247</v>
      </c>
      <c r="R7" s="0" t="s">
        <v>247</v>
      </c>
      <c r="S7" s="0" t="s">
        <v>247</v>
      </c>
      <c r="T7" s="0" t="s">
        <v>55</v>
      </c>
      <c r="U7" s="0" t="s">
        <v>247</v>
      </c>
      <c r="V7" s="0" t="s">
        <v>247</v>
      </c>
      <c r="W7" s="0" t="s">
        <v>247</v>
      </c>
      <c r="X7" s="0" t="s">
        <v>247</v>
      </c>
      <c r="Y7" s="0" t="s">
        <v>247</v>
      </c>
      <c r="Z7" s="0" t="s">
        <v>247</v>
      </c>
      <c r="AA7" s="0" t="s">
        <v>247</v>
      </c>
      <c r="AB7" s="0" t="s">
        <v>247</v>
      </c>
      <c r="AC7" s="0" t="s">
        <v>247</v>
      </c>
      <c r="AD7" s="0" t="s">
        <v>247</v>
      </c>
      <c r="AE7" s="0" t="s">
        <v>247</v>
      </c>
      <c r="AF7" s="0" t="s">
        <v>247</v>
      </c>
      <c r="AG7" s="0" t="s">
        <v>247</v>
      </c>
      <c r="AH7" s="0" t="s">
        <v>247</v>
      </c>
      <c r="AI7" s="0" t="s">
        <v>247</v>
      </c>
      <c r="AJ7" s="0" t="s">
        <v>247</v>
      </c>
      <c r="AK7" s="0" t="s">
        <v>247</v>
      </c>
      <c r="AL7" s="0" t="s">
        <v>247</v>
      </c>
      <c r="AM7" s="0" t="s">
        <v>247</v>
      </c>
      <c r="AN7" s="0" t="s">
        <v>247</v>
      </c>
      <c r="AO7" s="0" t="s">
        <v>247</v>
      </c>
      <c r="AP7" s="0" t="s">
        <v>247</v>
      </c>
      <c r="AQ7" s="0" t="s">
        <v>247</v>
      </c>
      <c r="AR7" s="0" t="s">
        <v>247</v>
      </c>
      <c r="AS7" s="0" t="s">
        <v>247</v>
      </c>
      <c r="AT7" s="0" t="s">
        <v>55</v>
      </c>
      <c r="AU7" s="0" t="s">
        <v>247</v>
      </c>
      <c r="AV7" s="0" t="s">
        <v>247</v>
      </c>
      <c r="AW7" s="0" t="s">
        <v>247</v>
      </c>
      <c r="AX7" s="0" t="s">
        <v>247</v>
      </c>
      <c r="AY7" s="0" t="s">
        <v>247</v>
      </c>
      <c r="AZ7" s="0" t="s">
        <v>247</v>
      </c>
      <c r="BA7" s="0" t="s">
        <v>247</v>
      </c>
      <c r="BB7" s="0" t="s">
        <v>247</v>
      </c>
      <c r="BC7" s="0" t="s">
        <v>247</v>
      </c>
      <c r="BD7" s="0" t="s">
        <v>247</v>
      </c>
      <c r="BE7" s="0" t="s">
        <v>247</v>
      </c>
      <c r="BF7" s="0" t="s">
        <v>55</v>
      </c>
      <c r="BG7" s="0" t="s">
        <v>247</v>
      </c>
      <c r="BH7" s="0" t="s">
        <v>247</v>
      </c>
      <c r="BI7" s="0" t="s">
        <v>247</v>
      </c>
      <c r="BJ7" s="0" t="s">
        <v>247</v>
      </c>
      <c r="BK7" s="0" t="s">
        <v>55</v>
      </c>
    </row>
    <row r="8" customFormat="false" ht="12.8" hidden="false" customHeight="false" outlineLevel="0" collapsed="false">
      <c r="A8" s="0" t="n">
        <f aca="false">A7-1</f>
        <v>2011</v>
      </c>
      <c r="B8" s="0" t="s">
        <v>247</v>
      </c>
      <c r="C8" s="0" t="s">
        <v>247</v>
      </c>
      <c r="D8" s="0" t="s">
        <v>247</v>
      </c>
      <c r="E8" s="0" t="s">
        <v>247</v>
      </c>
      <c r="F8" s="0" t="s">
        <v>247</v>
      </c>
      <c r="G8" s="0" t="s">
        <v>247</v>
      </c>
      <c r="H8" s="0" t="s">
        <v>247</v>
      </c>
      <c r="I8" s="0" t="s">
        <v>247</v>
      </c>
      <c r="J8" s="0" t="s">
        <v>55</v>
      </c>
      <c r="K8" s="0" t="s">
        <v>247</v>
      </c>
      <c r="L8" s="0" t="s">
        <v>247</v>
      </c>
      <c r="M8" s="0" t="s">
        <v>247</v>
      </c>
      <c r="N8" s="0" t="s">
        <v>247</v>
      </c>
      <c r="O8" s="0" t="s">
        <v>247</v>
      </c>
      <c r="P8" s="0" t="s">
        <v>247</v>
      </c>
      <c r="Q8" s="0" t="s">
        <v>247</v>
      </c>
      <c r="R8" s="0" t="s">
        <v>247</v>
      </c>
      <c r="S8" s="0" t="s">
        <v>247</v>
      </c>
      <c r="T8" s="0" t="s">
        <v>55</v>
      </c>
      <c r="U8" s="0" t="s">
        <v>247</v>
      </c>
      <c r="V8" s="0" t="s">
        <v>247</v>
      </c>
      <c r="W8" s="0" t="s">
        <v>247</v>
      </c>
      <c r="X8" s="0" t="s">
        <v>247</v>
      </c>
      <c r="Y8" s="0" t="s">
        <v>247</v>
      </c>
      <c r="Z8" s="0" t="s">
        <v>247</v>
      </c>
      <c r="AA8" s="0" t="s">
        <v>247</v>
      </c>
      <c r="AB8" s="0" t="s">
        <v>247</v>
      </c>
      <c r="AC8" s="0" t="s">
        <v>247</v>
      </c>
      <c r="AD8" s="0" t="s">
        <v>247</v>
      </c>
      <c r="AE8" s="0" t="s">
        <v>247</v>
      </c>
      <c r="AF8" s="0" t="s">
        <v>247</v>
      </c>
      <c r="AG8" s="0" t="s">
        <v>247</v>
      </c>
      <c r="AH8" s="0" t="s">
        <v>247</v>
      </c>
      <c r="AI8" s="0" t="s">
        <v>247</v>
      </c>
      <c r="AJ8" s="0" t="s">
        <v>247</v>
      </c>
      <c r="AK8" s="0" t="s">
        <v>247</v>
      </c>
      <c r="AL8" s="0" t="s">
        <v>247</v>
      </c>
      <c r="AM8" s="0" t="s">
        <v>247</v>
      </c>
      <c r="AN8" s="0" t="s">
        <v>247</v>
      </c>
      <c r="AO8" s="0" t="s">
        <v>247</v>
      </c>
      <c r="AP8" s="0" t="s">
        <v>247</v>
      </c>
      <c r="AQ8" s="0" t="s">
        <v>247</v>
      </c>
      <c r="AR8" s="0" t="s">
        <v>247</v>
      </c>
      <c r="AS8" s="0" t="s">
        <v>247</v>
      </c>
      <c r="AT8" s="0" t="s">
        <v>55</v>
      </c>
      <c r="AU8" s="0" t="s">
        <v>247</v>
      </c>
      <c r="AV8" s="0" t="s">
        <v>247</v>
      </c>
      <c r="AW8" s="0" t="s">
        <v>247</v>
      </c>
      <c r="AX8" s="0" t="s">
        <v>247</v>
      </c>
      <c r="AY8" s="0" t="s">
        <v>247</v>
      </c>
      <c r="AZ8" s="0" t="s">
        <v>247</v>
      </c>
      <c r="BA8" s="0" t="s">
        <v>247</v>
      </c>
      <c r="BB8" s="0" t="s">
        <v>247</v>
      </c>
      <c r="BC8" s="0" t="s">
        <v>247</v>
      </c>
      <c r="BD8" s="0" t="s">
        <v>247</v>
      </c>
      <c r="BE8" s="0" t="s">
        <v>247</v>
      </c>
      <c r="BF8" s="0" t="s">
        <v>55</v>
      </c>
      <c r="BG8" s="0" t="s">
        <v>247</v>
      </c>
      <c r="BH8" s="0" t="s">
        <v>247</v>
      </c>
      <c r="BI8" s="0" t="s">
        <v>247</v>
      </c>
      <c r="BJ8" s="0" t="s">
        <v>247</v>
      </c>
      <c r="BK8" s="0" t="s">
        <v>55</v>
      </c>
    </row>
    <row r="9" customFormat="false" ht="12.8" hidden="false" customHeight="false" outlineLevel="0" collapsed="false">
      <c r="A9" s="0" t="n">
        <f aca="false">A8-1</f>
        <v>2010</v>
      </c>
      <c r="B9" s="0" t="s">
        <v>247</v>
      </c>
      <c r="C9" s="0" t="s">
        <v>247</v>
      </c>
      <c r="D9" s="0" t="s">
        <v>247</v>
      </c>
      <c r="E9" s="0" t="s">
        <v>247</v>
      </c>
      <c r="F9" s="0" t="s">
        <v>247</v>
      </c>
      <c r="G9" s="0" t="s">
        <v>247</v>
      </c>
      <c r="H9" s="0" t="s">
        <v>247</v>
      </c>
      <c r="I9" s="0" t="s">
        <v>247</v>
      </c>
      <c r="J9" s="0" t="s">
        <v>55</v>
      </c>
      <c r="K9" s="0" t="s">
        <v>247</v>
      </c>
      <c r="L9" s="0" t="s">
        <v>247</v>
      </c>
      <c r="M9" s="0" t="s">
        <v>247</v>
      </c>
      <c r="N9" s="0" t="s">
        <v>247</v>
      </c>
      <c r="O9" s="0" t="s">
        <v>247</v>
      </c>
      <c r="P9" s="0" t="s">
        <v>247</v>
      </c>
      <c r="Q9" s="0" t="s">
        <v>247</v>
      </c>
      <c r="R9" s="0" t="s">
        <v>247</v>
      </c>
      <c r="S9" s="0" t="s">
        <v>247</v>
      </c>
      <c r="T9" s="0" t="s">
        <v>55</v>
      </c>
      <c r="U9" s="0" t="s">
        <v>247</v>
      </c>
      <c r="V9" s="0" t="s">
        <v>247</v>
      </c>
      <c r="W9" s="0" t="s">
        <v>247</v>
      </c>
      <c r="X9" s="0" t="s">
        <v>247</v>
      </c>
      <c r="Y9" s="0" t="s">
        <v>247</v>
      </c>
      <c r="Z9" s="0" t="s">
        <v>247</v>
      </c>
      <c r="AA9" s="0" t="s">
        <v>247</v>
      </c>
      <c r="AB9" s="0" t="s">
        <v>247</v>
      </c>
      <c r="AC9" s="0" t="s">
        <v>247</v>
      </c>
      <c r="AD9" s="0" t="s">
        <v>247</v>
      </c>
      <c r="AE9" s="0" t="s">
        <v>247</v>
      </c>
      <c r="AF9" s="0" t="s">
        <v>247</v>
      </c>
      <c r="AG9" s="0" t="s">
        <v>247</v>
      </c>
      <c r="AH9" s="0" t="s">
        <v>247</v>
      </c>
      <c r="AI9" s="0" t="s">
        <v>247</v>
      </c>
      <c r="AJ9" s="0" t="s">
        <v>247</v>
      </c>
      <c r="AK9" s="0" t="s">
        <v>247</v>
      </c>
      <c r="AL9" s="0" t="s">
        <v>247</v>
      </c>
      <c r="AM9" s="0" t="s">
        <v>247</v>
      </c>
      <c r="AN9" s="0" t="s">
        <v>247</v>
      </c>
      <c r="AO9" s="0" t="s">
        <v>247</v>
      </c>
      <c r="AP9" s="0" t="s">
        <v>247</v>
      </c>
      <c r="AQ9" s="0" t="s">
        <v>247</v>
      </c>
      <c r="AR9" s="0" t="s">
        <v>247</v>
      </c>
      <c r="AS9" s="0" t="s">
        <v>247</v>
      </c>
      <c r="AT9" s="0" t="s">
        <v>55</v>
      </c>
      <c r="AU9" s="0" t="s">
        <v>247</v>
      </c>
      <c r="AV9" s="0" t="s">
        <v>247</v>
      </c>
      <c r="AW9" s="0" t="s">
        <v>247</v>
      </c>
      <c r="AX9" s="0" t="s">
        <v>247</v>
      </c>
      <c r="AY9" s="0" t="s">
        <v>247</v>
      </c>
      <c r="AZ9" s="0" t="s">
        <v>247</v>
      </c>
      <c r="BA9" s="0" t="s">
        <v>247</v>
      </c>
      <c r="BB9" s="0" t="s">
        <v>247</v>
      </c>
      <c r="BC9" s="0" t="s">
        <v>247</v>
      </c>
      <c r="BD9" s="0" t="s">
        <v>247</v>
      </c>
      <c r="BE9" s="0" t="s">
        <v>247</v>
      </c>
      <c r="BF9" s="0" t="s">
        <v>55</v>
      </c>
      <c r="BG9" s="0" t="s">
        <v>247</v>
      </c>
      <c r="BH9" s="0" t="s">
        <v>247</v>
      </c>
      <c r="BI9" s="0" t="s">
        <v>247</v>
      </c>
      <c r="BJ9" s="0" t="s">
        <v>247</v>
      </c>
      <c r="BK9" s="0" t="s">
        <v>55</v>
      </c>
    </row>
    <row r="10" customFormat="false" ht="12.8" hidden="false" customHeight="false" outlineLevel="0" collapsed="false">
      <c r="A10" s="0" t="n">
        <f aca="false">A9-1</f>
        <v>2009</v>
      </c>
      <c r="B10" s="0" t="s">
        <v>248</v>
      </c>
      <c r="C10" s="0" t="s">
        <v>248</v>
      </c>
      <c r="D10" s="0" t="s">
        <v>248</v>
      </c>
      <c r="E10" s="0" t="s">
        <v>248</v>
      </c>
      <c r="F10" s="0" t="s">
        <v>247</v>
      </c>
      <c r="G10" s="0" t="s">
        <v>247</v>
      </c>
      <c r="H10" s="0" t="s">
        <v>247</v>
      </c>
      <c r="I10" s="0" t="s">
        <v>247</v>
      </c>
      <c r="J10" s="0" t="s">
        <v>55</v>
      </c>
      <c r="K10" s="0" t="s">
        <v>247</v>
      </c>
      <c r="L10" s="0" t="s">
        <v>248</v>
      </c>
      <c r="M10" s="0" t="s">
        <v>247</v>
      </c>
      <c r="N10" s="0" t="s">
        <v>248</v>
      </c>
      <c r="O10" s="0" t="s">
        <v>248</v>
      </c>
      <c r="P10" s="0" t="s">
        <v>248</v>
      </c>
      <c r="Q10" s="0" t="s">
        <v>247</v>
      </c>
      <c r="R10" s="0" t="s">
        <v>247</v>
      </c>
      <c r="S10" s="0" t="s">
        <v>247</v>
      </c>
      <c r="T10" s="0" t="s">
        <v>55</v>
      </c>
      <c r="U10" s="0" t="s">
        <v>247</v>
      </c>
      <c r="V10" s="0" t="s">
        <v>247</v>
      </c>
      <c r="W10" s="0" t="s">
        <v>248</v>
      </c>
      <c r="X10" s="0" t="s">
        <v>248</v>
      </c>
      <c r="Y10" s="0" t="s">
        <v>248</v>
      </c>
      <c r="Z10" s="0" t="s">
        <v>248</v>
      </c>
      <c r="AA10" s="0" t="s">
        <v>248</v>
      </c>
      <c r="AB10" s="0" t="s">
        <v>248</v>
      </c>
      <c r="AC10" s="0" t="s">
        <v>248</v>
      </c>
      <c r="AD10" s="0" t="s">
        <v>248</v>
      </c>
      <c r="AE10" s="0" t="s">
        <v>248</v>
      </c>
      <c r="AF10" s="0" t="s">
        <v>248</v>
      </c>
      <c r="AG10" s="0" t="s">
        <v>248</v>
      </c>
      <c r="AH10" s="0" t="s">
        <v>248</v>
      </c>
      <c r="AI10" s="0" t="s">
        <v>248</v>
      </c>
      <c r="AJ10" s="0" t="s">
        <v>248</v>
      </c>
      <c r="AK10" s="0" t="s">
        <v>248</v>
      </c>
      <c r="AL10" s="0" t="s">
        <v>248</v>
      </c>
      <c r="AM10" s="0" t="s">
        <v>248</v>
      </c>
      <c r="AN10" s="0" t="s">
        <v>248</v>
      </c>
      <c r="AO10" s="0" t="s">
        <v>248</v>
      </c>
      <c r="AP10" s="0" t="s">
        <v>248</v>
      </c>
      <c r="AQ10" s="0" t="s">
        <v>248</v>
      </c>
      <c r="AR10" s="0" t="s">
        <v>248</v>
      </c>
      <c r="AS10" s="0" t="s">
        <v>248</v>
      </c>
      <c r="AT10" s="0" t="s">
        <v>55</v>
      </c>
      <c r="AU10" s="0" t="s">
        <v>248</v>
      </c>
      <c r="AV10" s="0" t="s">
        <v>248</v>
      </c>
      <c r="AW10" s="0" t="s">
        <v>248</v>
      </c>
      <c r="AX10" s="0" t="s">
        <v>248</v>
      </c>
      <c r="AY10" s="0" t="s">
        <v>248</v>
      </c>
      <c r="AZ10" s="0" t="s">
        <v>248</v>
      </c>
      <c r="BA10" s="0" t="s">
        <v>248</v>
      </c>
      <c r="BB10" s="0" t="s">
        <v>248</v>
      </c>
      <c r="BC10" s="0" t="s">
        <v>248</v>
      </c>
      <c r="BD10" s="0" t="s">
        <v>248</v>
      </c>
      <c r="BE10" s="0" t="s">
        <v>247</v>
      </c>
      <c r="BF10" s="0" t="s">
        <v>55</v>
      </c>
      <c r="BG10" s="0" t="s">
        <v>248</v>
      </c>
      <c r="BH10" s="0" t="s">
        <v>248</v>
      </c>
      <c r="BI10" s="0" t="s">
        <v>248</v>
      </c>
      <c r="BJ10" s="0" t="s">
        <v>248</v>
      </c>
      <c r="BK10" s="0" t="s">
        <v>55</v>
      </c>
    </row>
    <row r="11" customFormat="false" ht="12.8" hidden="false" customHeight="false" outlineLevel="0" collapsed="false">
      <c r="A11" s="0" t="n">
        <f aca="false">A10-1</f>
        <v>2008</v>
      </c>
      <c r="B11" s="0" t="s">
        <v>248</v>
      </c>
      <c r="C11" s="0" t="s">
        <v>248</v>
      </c>
      <c r="D11" s="0" t="s">
        <v>248</v>
      </c>
      <c r="E11" s="0" t="s">
        <v>248</v>
      </c>
      <c r="F11" s="0" t="s">
        <v>247</v>
      </c>
      <c r="G11" s="0" t="s">
        <v>247</v>
      </c>
      <c r="H11" s="0" t="s">
        <v>247</v>
      </c>
      <c r="I11" s="0" t="s">
        <v>247</v>
      </c>
      <c r="J11" s="0" t="s">
        <v>55</v>
      </c>
      <c r="K11" s="0" t="s">
        <v>247</v>
      </c>
      <c r="L11" s="0" t="s">
        <v>248</v>
      </c>
      <c r="M11" s="0" t="s">
        <v>247</v>
      </c>
      <c r="N11" s="0" t="s">
        <v>248</v>
      </c>
      <c r="O11" s="0" t="s">
        <v>248</v>
      </c>
      <c r="P11" s="0" t="s">
        <v>248</v>
      </c>
      <c r="Q11" s="0" t="s">
        <v>247</v>
      </c>
      <c r="R11" s="0" t="s">
        <v>247</v>
      </c>
      <c r="S11" s="0" t="s">
        <v>247</v>
      </c>
      <c r="T11" s="0" t="s">
        <v>55</v>
      </c>
      <c r="U11" s="0" t="s">
        <v>247</v>
      </c>
      <c r="V11" s="0" t="s">
        <v>247</v>
      </c>
      <c r="W11" s="0" t="s">
        <v>248</v>
      </c>
      <c r="X11" s="0" t="s">
        <v>248</v>
      </c>
      <c r="Y11" s="0" t="s">
        <v>248</v>
      </c>
      <c r="Z11" s="0" t="s">
        <v>248</v>
      </c>
      <c r="AA11" s="0" t="s">
        <v>248</v>
      </c>
      <c r="AB11" s="0" t="s">
        <v>248</v>
      </c>
      <c r="AC11" s="0" t="s">
        <v>248</v>
      </c>
      <c r="AD11" s="0" t="s">
        <v>248</v>
      </c>
      <c r="AE11" s="0" t="s">
        <v>248</v>
      </c>
      <c r="AF11" s="0" t="s">
        <v>248</v>
      </c>
      <c r="AG11" s="0" t="s">
        <v>248</v>
      </c>
      <c r="AH11" s="0" t="s">
        <v>248</v>
      </c>
      <c r="AI11" s="0" t="s">
        <v>248</v>
      </c>
      <c r="AJ11" s="0" t="s">
        <v>248</v>
      </c>
      <c r="AK11" s="0" t="s">
        <v>248</v>
      </c>
      <c r="AL11" s="0" t="s">
        <v>248</v>
      </c>
      <c r="AM11" s="0" t="s">
        <v>248</v>
      </c>
      <c r="AN11" s="0" t="s">
        <v>248</v>
      </c>
      <c r="AO11" s="0" t="s">
        <v>248</v>
      </c>
      <c r="AP11" s="0" t="s">
        <v>248</v>
      </c>
      <c r="AQ11" s="0" t="s">
        <v>248</v>
      </c>
      <c r="AR11" s="0" t="s">
        <v>248</v>
      </c>
      <c r="AS11" s="0" t="s">
        <v>248</v>
      </c>
      <c r="AT11" s="0" t="s">
        <v>55</v>
      </c>
      <c r="AU11" s="0" t="s">
        <v>248</v>
      </c>
      <c r="AV11" s="0" t="s">
        <v>248</v>
      </c>
      <c r="AW11" s="0" t="s">
        <v>248</v>
      </c>
      <c r="AX11" s="0" t="s">
        <v>248</v>
      </c>
      <c r="AY11" s="0" t="s">
        <v>248</v>
      </c>
      <c r="AZ11" s="0" t="s">
        <v>248</v>
      </c>
      <c r="BA11" s="0" t="s">
        <v>248</v>
      </c>
      <c r="BB11" s="0" t="s">
        <v>248</v>
      </c>
      <c r="BC11" s="0" t="s">
        <v>248</v>
      </c>
      <c r="BD11" s="0" t="s">
        <v>248</v>
      </c>
      <c r="BE11" s="0" t="s">
        <v>247</v>
      </c>
      <c r="BF11" s="0" t="s">
        <v>55</v>
      </c>
      <c r="BG11" s="0" t="s">
        <v>248</v>
      </c>
      <c r="BH11" s="0" t="s">
        <v>248</v>
      </c>
      <c r="BI11" s="0" t="s">
        <v>248</v>
      </c>
      <c r="BJ11" s="0" t="s">
        <v>248</v>
      </c>
      <c r="BK11" s="0" t="s">
        <v>55</v>
      </c>
    </row>
    <row r="12" customFormat="false" ht="12.8" hidden="false" customHeight="false" outlineLevel="0" collapsed="false">
      <c r="A12" s="0" t="n">
        <f aca="false">A11-1</f>
        <v>2007</v>
      </c>
      <c r="B12" s="0" t="s">
        <v>248</v>
      </c>
      <c r="C12" s="0" t="s">
        <v>248</v>
      </c>
      <c r="D12" s="0" t="s">
        <v>248</v>
      </c>
      <c r="E12" s="0" t="s">
        <v>248</v>
      </c>
      <c r="F12" s="0" t="s">
        <v>247</v>
      </c>
      <c r="G12" s="0" t="s">
        <v>247</v>
      </c>
      <c r="H12" s="0" t="s">
        <v>247</v>
      </c>
      <c r="I12" s="0" t="s">
        <v>247</v>
      </c>
      <c r="J12" s="0" t="s">
        <v>55</v>
      </c>
      <c r="K12" s="0" t="s">
        <v>247</v>
      </c>
      <c r="L12" s="0" t="s">
        <v>248</v>
      </c>
      <c r="M12" s="0" t="s">
        <v>247</v>
      </c>
      <c r="N12" s="0" t="s">
        <v>248</v>
      </c>
      <c r="O12" s="0" t="s">
        <v>248</v>
      </c>
      <c r="P12" s="0" t="s">
        <v>248</v>
      </c>
      <c r="Q12" s="0" t="s">
        <v>247</v>
      </c>
      <c r="R12" s="0" t="s">
        <v>247</v>
      </c>
      <c r="S12" s="0" t="s">
        <v>247</v>
      </c>
      <c r="T12" s="0" t="s">
        <v>55</v>
      </c>
      <c r="U12" s="0" t="s">
        <v>247</v>
      </c>
      <c r="V12" s="0" t="s">
        <v>247</v>
      </c>
      <c r="W12" s="0" t="s">
        <v>248</v>
      </c>
      <c r="X12" s="0" t="s">
        <v>248</v>
      </c>
      <c r="Y12" s="0" t="s">
        <v>248</v>
      </c>
      <c r="Z12" s="0" t="s">
        <v>248</v>
      </c>
      <c r="AA12" s="0" t="s">
        <v>248</v>
      </c>
      <c r="AB12" s="0" t="s">
        <v>248</v>
      </c>
      <c r="AC12" s="0" t="s">
        <v>248</v>
      </c>
      <c r="AD12" s="0" t="s">
        <v>248</v>
      </c>
      <c r="AE12" s="0" t="s">
        <v>248</v>
      </c>
      <c r="AF12" s="0" t="s">
        <v>248</v>
      </c>
      <c r="AG12" s="0" t="s">
        <v>248</v>
      </c>
      <c r="AH12" s="0" t="s">
        <v>248</v>
      </c>
      <c r="AI12" s="0" t="s">
        <v>248</v>
      </c>
      <c r="AJ12" s="0" t="s">
        <v>248</v>
      </c>
      <c r="AK12" s="0" t="s">
        <v>248</v>
      </c>
      <c r="AL12" s="0" t="s">
        <v>248</v>
      </c>
      <c r="AM12" s="0" t="s">
        <v>248</v>
      </c>
      <c r="AN12" s="0" t="s">
        <v>248</v>
      </c>
      <c r="AO12" s="0" t="s">
        <v>248</v>
      </c>
      <c r="AP12" s="0" t="s">
        <v>248</v>
      </c>
      <c r="AQ12" s="0" t="s">
        <v>248</v>
      </c>
      <c r="AR12" s="0" t="s">
        <v>248</v>
      </c>
      <c r="AS12" s="0" t="s">
        <v>248</v>
      </c>
      <c r="AT12" s="0" t="s">
        <v>55</v>
      </c>
      <c r="AU12" s="0" t="s">
        <v>248</v>
      </c>
      <c r="AV12" s="0" t="s">
        <v>248</v>
      </c>
      <c r="AW12" s="0" t="s">
        <v>248</v>
      </c>
      <c r="AX12" s="0" t="s">
        <v>248</v>
      </c>
      <c r="AY12" s="0" t="s">
        <v>248</v>
      </c>
      <c r="AZ12" s="0" t="s">
        <v>248</v>
      </c>
      <c r="BA12" s="0" t="s">
        <v>248</v>
      </c>
      <c r="BB12" s="0" t="s">
        <v>248</v>
      </c>
      <c r="BC12" s="0" t="s">
        <v>248</v>
      </c>
      <c r="BD12" s="0" t="s">
        <v>248</v>
      </c>
      <c r="BE12" s="0" t="s">
        <v>247</v>
      </c>
      <c r="BF12" s="0" t="s">
        <v>55</v>
      </c>
      <c r="BG12" s="0" t="s">
        <v>248</v>
      </c>
      <c r="BH12" s="0" t="s">
        <v>248</v>
      </c>
      <c r="BI12" s="0" t="s">
        <v>248</v>
      </c>
      <c r="BJ12" s="0" t="s">
        <v>248</v>
      </c>
      <c r="BK12" s="0" t="s">
        <v>55</v>
      </c>
    </row>
    <row r="13" customFormat="false" ht="12.8" hidden="false" customHeight="false" outlineLevel="0" collapsed="false">
      <c r="A13" s="0" t="n">
        <f aca="false">A12-1</f>
        <v>2006</v>
      </c>
      <c r="B13" s="0" t="s">
        <v>248</v>
      </c>
      <c r="C13" s="0" t="s">
        <v>248</v>
      </c>
      <c r="D13" s="0" t="s">
        <v>248</v>
      </c>
      <c r="E13" s="0" t="s">
        <v>248</v>
      </c>
      <c r="F13" s="0" t="s">
        <v>247</v>
      </c>
      <c r="G13" s="0" t="s">
        <v>247</v>
      </c>
      <c r="H13" s="0" t="s">
        <v>247</v>
      </c>
      <c r="I13" s="0" t="s">
        <v>247</v>
      </c>
      <c r="J13" s="0" t="s">
        <v>55</v>
      </c>
      <c r="K13" s="0" t="s">
        <v>247</v>
      </c>
      <c r="L13" s="0" t="s">
        <v>248</v>
      </c>
      <c r="M13" s="0" t="s">
        <v>247</v>
      </c>
      <c r="N13" s="0" t="s">
        <v>248</v>
      </c>
      <c r="O13" s="0" t="s">
        <v>248</v>
      </c>
      <c r="P13" s="0" t="s">
        <v>248</v>
      </c>
      <c r="Q13" s="0" t="s">
        <v>247</v>
      </c>
      <c r="R13" s="0" t="s">
        <v>247</v>
      </c>
      <c r="S13" s="0" t="s">
        <v>247</v>
      </c>
      <c r="T13" s="0" t="s">
        <v>55</v>
      </c>
      <c r="U13" s="0" t="s">
        <v>247</v>
      </c>
      <c r="V13" s="0" t="s">
        <v>247</v>
      </c>
      <c r="W13" s="0" t="s">
        <v>248</v>
      </c>
      <c r="X13" s="0" t="s">
        <v>248</v>
      </c>
      <c r="Y13" s="0" t="s">
        <v>248</v>
      </c>
      <c r="Z13" s="0" t="s">
        <v>248</v>
      </c>
      <c r="AA13" s="0" t="s">
        <v>248</v>
      </c>
      <c r="AB13" s="0" t="s">
        <v>248</v>
      </c>
      <c r="AC13" s="0" t="s">
        <v>248</v>
      </c>
      <c r="AD13" s="0" t="s">
        <v>248</v>
      </c>
      <c r="AE13" s="0" t="s">
        <v>248</v>
      </c>
      <c r="AF13" s="0" t="s">
        <v>248</v>
      </c>
      <c r="AG13" s="0" t="s">
        <v>248</v>
      </c>
      <c r="AH13" s="0" t="s">
        <v>248</v>
      </c>
      <c r="AI13" s="0" t="s">
        <v>248</v>
      </c>
      <c r="AJ13" s="0" t="s">
        <v>248</v>
      </c>
      <c r="AK13" s="0" t="s">
        <v>248</v>
      </c>
      <c r="AL13" s="0" t="s">
        <v>248</v>
      </c>
      <c r="AM13" s="0" t="s">
        <v>248</v>
      </c>
      <c r="AN13" s="0" t="s">
        <v>248</v>
      </c>
      <c r="AO13" s="0" t="s">
        <v>248</v>
      </c>
      <c r="AP13" s="0" t="s">
        <v>248</v>
      </c>
      <c r="AQ13" s="0" t="s">
        <v>248</v>
      </c>
      <c r="AR13" s="0" t="s">
        <v>248</v>
      </c>
      <c r="AS13" s="0" t="s">
        <v>248</v>
      </c>
      <c r="AT13" s="0" t="s">
        <v>55</v>
      </c>
      <c r="AU13" s="0" t="s">
        <v>248</v>
      </c>
      <c r="AV13" s="0" t="s">
        <v>248</v>
      </c>
      <c r="AW13" s="0" t="s">
        <v>248</v>
      </c>
      <c r="AX13" s="0" t="s">
        <v>248</v>
      </c>
      <c r="AY13" s="0" t="s">
        <v>248</v>
      </c>
      <c r="AZ13" s="0" t="s">
        <v>248</v>
      </c>
      <c r="BA13" s="0" t="s">
        <v>248</v>
      </c>
      <c r="BB13" s="0" t="s">
        <v>248</v>
      </c>
      <c r="BC13" s="0" t="s">
        <v>248</v>
      </c>
      <c r="BD13" s="0" t="s">
        <v>248</v>
      </c>
      <c r="BE13" s="0" t="s">
        <v>247</v>
      </c>
      <c r="BF13" s="0" t="s">
        <v>55</v>
      </c>
      <c r="BG13" s="0" t="s">
        <v>248</v>
      </c>
      <c r="BH13" s="0" t="s">
        <v>248</v>
      </c>
      <c r="BI13" s="0" t="s">
        <v>248</v>
      </c>
      <c r="BJ13" s="0" t="s">
        <v>248</v>
      </c>
      <c r="BK13" s="0" t="s">
        <v>55</v>
      </c>
    </row>
    <row r="14" customFormat="false" ht="12.8" hidden="false" customHeight="false" outlineLevel="0" collapsed="false">
      <c r="A14" s="0" t="n">
        <f aca="false">A13-1</f>
        <v>2005</v>
      </c>
      <c r="B14" s="0" t="s">
        <v>248</v>
      </c>
      <c r="C14" s="0" t="s">
        <v>248</v>
      </c>
      <c r="D14" s="0" t="s">
        <v>248</v>
      </c>
      <c r="E14" s="0" t="s">
        <v>248</v>
      </c>
      <c r="F14" s="0" t="s">
        <v>247</v>
      </c>
      <c r="G14" s="0" t="s">
        <v>247</v>
      </c>
      <c r="H14" s="0" t="s">
        <v>247</v>
      </c>
      <c r="I14" s="0" t="s">
        <v>247</v>
      </c>
      <c r="J14" s="0" t="s">
        <v>55</v>
      </c>
      <c r="K14" s="0" t="s">
        <v>247</v>
      </c>
      <c r="L14" s="0" t="s">
        <v>248</v>
      </c>
      <c r="M14" s="0" t="s">
        <v>247</v>
      </c>
      <c r="N14" s="0" t="s">
        <v>248</v>
      </c>
      <c r="O14" s="0" t="s">
        <v>248</v>
      </c>
      <c r="P14" s="0" t="s">
        <v>248</v>
      </c>
      <c r="Q14" s="0" t="s">
        <v>247</v>
      </c>
      <c r="R14" s="0" t="s">
        <v>247</v>
      </c>
      <c r="S14" s="0" t="s">
        <v>247</v>
      </c>
      <c r="T14" s="0" t="s">
        <v>55</v>
      </c>
      <c r="U14" s="0" t="s">
        <v>247</v>
      </c>
      <c r="V14" s="0" t="s">
        <v>247</v>
      </c>
      <c r="W14" s="0" t="s">
        <v>248</v>
      </c>
      <c r="X14" s="0" t="s">
        <v>248</v>
      </c>
      <c r="Y14" s="0" t="s">
        <v>248</v>
      </c>
      <c r="Z14" s="0" t="s">
        <v>248</v>
      </c>
      <c r="AA14" s="0" t="s">
        <v>248</v>
      </c>
      <c r="AB14" s="0" t="s">
        <v>248</v>
      </c>
      <c r="AC14" s="0" t="s">
        <v>248</v>
      </c>
      <c r="AD14" s="0" t="s">
        <v>248</v>
      </c>
      <c r="AE14" s="0" t="s">
        <v>248</v>
      </c>
      <c r="AF14" s="0" t="s">
        <v>248</v>
      </c>
      <c r="AG14" s="0" t="s">
        <v>248</v>
      </c>
      <c r="AH14" s="0" t="s">
        <v>248</v>
      </c>
      <c r="AI14" s="0" t="s">
        <v>248</v>
      </c>
      <c r="AJ14" s="0" t="s">
        <v>248</v>
      </c>
      <c r="AK14" s="0" t="s">
        <v>248</v>
      </c>
      <c r="AL14" s="0" t="s">
        <v>248</v>
      </c>
      <c r="AM14" s="0" t="s">
        <v>248</v>
      </c>
      <c r="AN14" s="0" t="s">
        <v>248</v>
      </c>
      <c r="AO14" s="0" t="s">
        <v>248</v>
      </c>
      <c r="AP14" s="0" t="s">
        <v>248</v>
      </c>
      <c r="AQ14" s="0" t="s">
        <v>248</v>
      </c>
      <c r="AR14" s="0" t="s">
        <v>248</v>
      </c>
      <c r="AS14" s="0" t="s">
        <v>248</v>
      </c>
      <c r="AT14" s="0" t="s">
        <v>55</v>
      </c>
      <c r="AU14" s="0" t="s">
        <v>248</v>
      </c>
      <c r="AV14" s="0" t="s">
        <v>248</v>
      </c>
      <c r="AW14" s="0" t="s">
        <v>248</v>
      </c>
      <c r="AX14" s="0" t="s">
        <v>248</v>
      </c>
      <c r="AY14" s="0" t="s">
        <v>248</v>
      </c>
      <c r="AZ14" s="0" t="s">
        <v>248</v>
      </c>
      <c r="BA14" s="0" t="s">
        <v>248</v>
      </c>
      <c r="BB14" s="0" t="s">
        <v>248</v>
      </c>
      <c r="BC14" s="0" t="s">
        <v>248</v>
      </c>
      <c r="BD14" s="0" t="s">
        <v>248</v>
      </c>
      <c r="BE14" s="0" t="s">
        <v>247</v>
      </c>
      <c r="BF14" s="0" t="s">
        <v>55</v>
      </c>
      <c r="BG14" s="0" t="s">
        <v>248</v>
      </c>
      <c r="BH14" s="0" t="s">
        <v>248</v>
      </c>
      <c r="BI14" s="0" t="s">
        <v>248</v>
      </c>
      <c r="BJ14" s="0" t="s">
        <v>248</v>
      </c>
      <c r="BK14" s="0" t="s">
        <v>55</v>
      </c>
    </row>
    <row r="15" customFormat="false" ht="12.8" hidden="false" customHeight="false" outlineLevel="0" collapsed="false">
      <c r="A15" s="0" t="n">
        <f aca="false">A14-1</f>
        <v>2004</v>
      </c>
      <c r="B15" s="0" t="s">
        <v>248</v>
      </c>
      <c r="C15" s="0" t="s">
        <v>248</v>
      </c>
      <c r="D15" s="0" t="s">
        <v>248</v>
      </c>
      <c r="E15" s="0" t="s">
        <v>248</v>
      </c>
      <c r="F15" s="0" t="s">
        <v>247</v>
      </c>
      <c r="G15" s="0" t="s">
        <v>247</v>
      </c>
      <c r="H15" s="0" t="s">
        <v>247</v>
      </c>
      <c r="I15" s="0" t="s">
        <v>247</v>
      </c>
      <c r="J15" s="0" t="s">
        <v>55</v>
      </c>
      <c r="K15" s="0" t="s">
        <v>247</v>
      </c>
      <c r="L15" s="0" t="s">
        <v>248</v>
      </c>
      <c r="M15" s="0" t="s">
        <v>247</v>
      </c>
      <c r="N15" s="0" t="s">
        <v>248</v>
      </c>
      <c r="O15" s="0" t="s">
        <v>248</v>
      </c>
      <c r="P15" s="0" t="s">
        <v>248</v>
      </c>
      <c r="Q15" s="0" t="s">
        <v>247</v>
      </c>
      <c r="R15" s="0" t="s">
        <v>247</v>
      </c>
      <c r="S15" s="0" t="s">
        <v>247</v>
      </c>
      <c r="T15" s="0" t="s">
        <v>55</v>
      </c>
      <c r="U15" s="0" t="s">
        <v>247</v>
      </c>
      <c r="V15" s="0" t="s">
        <v>247</v>
      </c>
      <c r="W15" s="0" t="s">
        <v>248</v>
      </c>
      <c r="X15" s="0" t="s">
        <v>248</v>
      </c>
      <c r="Y15" s="0" t="s">
        <v>248</v>
      </c>
      <c r="Z15" s="0" t="s">
        <v>248</v>
      </c>
      <c r="AA15" s="0" t="s">
        <v>248</v>
      </c>
      <c r="AB15" s="0" t="s">
        <v>248</v>
      </c>
      <c r="AC15" s="0" t="s">
        <v>248</v>
      </c>
      <c r="AD15" s="0" t="s">
        <v>248</v>
      </c>
      <c r="AE15" s="0" t="s">
        <v>248</v>
      </c>
      <c r="AF15" s="0" t="s">
        <v>248</v>
      </c>
      <c r="AG15" s="0" t="s">
        <v>248</v>
      </c>
      <c r="AH15" s="0" t="s">
        <v>248</v>
      </c>
      <c r="AI15" s="0" t="s">
        <v>248</v>
      </c>
      <c r="AJ15" s="0" t="s">
        <v>248</v>
      </c>
      <c r="AK15" s="0" t="s">
        <v>248</v>
      </c>
      <c r="AL15" s="0" t="s">
        <v>248</v>
      </c>
      <c r="AM15" s="0" t="s">
        <v>248</v>
      </c>
      <c r="AN15" s="0" t="s">
        <v>248</v>
      </c>
      <c r="AO15" s="0" t="s">
        <v>248</v>
      </c>
      <c r="AP15" s="0" t="s">
        <v>248</v>
      </c>
      <c r="AQ15" s="0" t="s">
        <v>248</v>
      </c>
      <c r="AR15" s="0" t="s">
        <v>248</v>
      </c>
      <c r="AS15" s="0" t="s">
        <v>248</v>
      </c>
      <c r="AT15" s="0" t="s">
        <v>55</v>
      </c>
      <c r="AU15" s="0" t="s">
        <v>248</v>
      </c>
      <c r="AV15" s="0" t="s">
        <v>248</v>
      </c>
      <c r="AW15" s="0" t="s">
        <v>248</v>
      </c>
      <c r="AX15" s="0" t="s">
        <v>248</v>
      </c>
      <c r="AY15" s="0" t="s">
        <v>248</v>
      </c>
      <c r="AZ15" s="0" t="s">
        <v>248</v>
      </c>
      <c r="BA15" s="0" t="s">
        <v>248</v>
      </c>
      <c r="BB15" s="0" t="s">
        <v>248</v>
      </c>
      <c r="BC15" s="0" t="s">
        <v>248</v>
      </c>
      <c r="BD15" s="0" t="s">
        <v>248</v>
      </c>
      <c r="BE15" s="0" t="s">
        <v>247</v>
      </c>
      <c r="BF15" s="0" t="s">
        <v>55</v>
      </c>
      <c r="BG15" s="0" t="s">
        <v>248</v>
      </c>
      <c r="BH15" s="0" t="s">
        <v>248</v>
      </c>
      <c r="BI15" s="0" t="s">
        <v>248</v>
      </c>
      <c r="BJ15" s="0" t="s">
        <v>248</v>
      </c>
      <c r="BK15" s="0" t="s">
        <v>55</v>
      </c>
    </row>
    <row r="16" customFormat="false" ht="12.8" hidden="false" customHeight="false" outlineLevel="0" collapsed="false">
      <c r="A16" s="0" t="n">
        <f aca="false">A15-1</f>
        <v>2003</v>
      </c>
      <c r="B16" s="0" t="s">
        <v>248</v>
      </c>
      <c r="C16" s="0" t="s">
        <v>248</v>
      </c>
      <c r="D16" s="0" t="s">
        <v>248</v>
      </c>
      <c r="E16" s="0" t="s">
        <v>248</v>
      </c>
      <c r="F16" s="0" t="s">
        <v>247</v>
      </c>
      <c r="G16" s="0" t="s">
        <v>247</v>
      </c>
      <c r="H16" s="0" t="s">
        <v>247</v>
      </c>
      <c r="I16" s="0" t="s">
        <v>247</v>
      </c>
      <c r="J16" s="0" t="s">
        <v>55</v>
      </c>
      <c r="K16" s="0" t="s">
        <v>247</v>
      </c>
      <c r="L16" s="0" t="s">
        <v>248</v>
      </c>
      <c r="M16" s="0" t="s">
        <v>247</v>
      </c>
      <c r="N16" s="0" t="s">
        <v>248</v>
      </c>
      <c r="O16" s="0" t="s">
        <v>248</v>
      </c>
      <c r="P16" s="0" t="s">
        <v>248</v>
      </c>
      <c r="Q16" s="0" t="s">
        <v>247</v>
      </c>
      <c r="R16" s="0" t="s">
        <v>247</v>
      </c>
      <c r="S16" s="0" t="s">
        <v>247</v>
      </c>
      <c r="T16" s="0" t="s">
        <v>55</v>
      </c>
      <c r="U16" s="0" t="s">
        <v>247</v>
      </c>
      <c r="V16" s="0" t="s">
        <v>247</v>
      </c>
      <c r="W16" s="0" t="s">
        <v>248</v>
      </c>
      <c r="X16" s="0" t="s">
        <v>248</v>
      </c>
      <c r="Y16" s="0" t="s">
        <v>248</v>
      </c>
      <c r="Z16" s="0" t="s">
        <v>248</v>
      </c>
      <c r="AA16" s="0" t="s">
        <v>248</v>
      </c>
      <c r="AB16" s="0" t="s">
        <v>248</v>
      </c>
      <c r="AC16" s="0" t="s">
        <v>248</v>
      </c>
      <c r="AD16" s="0" t="s">
        <v>248</v>
      </c>
      <c r="AE16" s="0" t="s">
        <v>248</v>
      </c>
      <c r="AF16" s="0" t="s">
        <v>248</v>
      </c>
      <c r="AG16" s="0" t="s">
        <v>248</v>
      </c>
      <c r="AH16" s="0" t="s">
        <v>248</v>
      </c>
      <c r="AI16" s="0" t="s">
        <v>248</v>
      </c>
      <c r="AJ16" s="0" t="s">
        <v>248</v>
      </c>
      <c r="AK16" s="0" t="s">
        <v>248</v>
      </c>
      <c r="AL16" s="0" t="s">
        <v>248</v>
      </c>
      <c r="AM16" s="0" t="s">
        <v>248</v>
      </c>
      <c r="AN16" s="0" t="s">
        <v>248</v>
      </c>
      <c r="AO16" s="0" t="s">
        <v>248</v>
      </c>
      <c r="AP16" s="0" t="s">
        <v>248</v>
      </c>
      <c r="AQ16" s="0" t="s">
        <v>248</v>
      </c>
      <c r="AR16" s="0" t="s">
        <v>248</v>
      </c>
      <c r="AS16" s="0" t="s">
        <v>248</v>
      </c>
      <c r="AT16" s="0" t="s">
        <v>55</v>
      </c>
      <c r="AU16" s="0" t="s">
        <v>248</v>
      </c>
      <c r="AV16" s="0" t="s">
        <v>248</v>
      </c>
      <c r="AW16" s="0" t="s">
        <v>248</v>
      </c>
      <c r="AX16" s="0" t="s">
        <v>248</v>
      </c>
      <c r="AY16" s="0" t="s">
        <v>248</v>
      </c>
      <c r="AZ16" s="0" t="s">
        <v>248</v>
      </c>
      <c r="BA16" s="0" t="s">
        <v>248</v>
      </c>
      <c r="BB16" s="0" t="s">
        <v>248</v>
      </c>
      <c r="BC16" s="0" t="s">
        <v>248</v>
      </c>
      <c r="BD16" s="0" t="s">
        <v>248</v>
      </c>
      <c r="BE16" s="0" t="s">
        <v>247</v>
      </c>
      <c r="BF16" s="0" t="s">
        <v>55</v>
      </c>
      <c r="BG16" s="0" t="s">
        <v>248</v>
      </c>
      <c r="BH16" s="0" t="s">
        <v>248</v>
      </c>
      <c r="BI16" s="0" t="s">
        <v>248</v>
      </c>
      <c r="BJ16" s="0" t="s">
        <v>248</v>
      </c>
      <c r="BK16" s="0" t="s">
        <v>55</v>
      </c>
    </row>
    <row r="17" customFormat="false" ht="12.8" hidden="false" customHeight="false" outlineLevel="0" collapsed="false">
      <c r="A17" s="0" t="n">
        <f aca="false">A16-1</f>
        <v>2002</v>
      </c>
      <c r="B17" s="0" t="s">
        <v>248</v>
      </c>
      <c r="C17" s="0" t="s">
        <v>248</v>
      </c>
      <c r="D17" s="0" t="s">
        <v>248</v>
      </c>
      <c r="E17" s="0" t="s">
        <v>248</v>
      </c>
      <c r="F17" s="0" t="s">
        <v>247</v>
      </c>
      <c r="G17" s="0" t="s">
        <v>247</v>
      </c>
      <c r="H17" s="0" t="s">
        <v>247</v>
      </c>
      <c r="I17" s="0" t="s">
        <v>247</v>
      </c>
      <c r="J17" s="0" t="s">
        <v>55</v>
      </c>
      <c r="K17" s="0" t="s">
        <v>247</v>
      </c>
      <c r="L17" s="0" t="s">
        <v>248</v>
      </c>
      <c r="M17" s="0" t="s">
        <v>247</v>
      </c>
      <c r="N17" s="0" t="s">
        <v>248</v>
      </c>
      <c r="O17" s="0" t="s">
        <v>248</v>
      </c>
      <c r="P17" s="0" t="s">
        <v>248</v>
      </c>
      <c r="Q17" s="0" t="s">
        <v>247</v>
      </c>
      <c r="R17" s="0" t="s">
        <v>247</v>
      </c>
      <c r="S17" s="0" t="s">
        <v>247</v>
      </c>
      <c r="T17" s="0" t="s">
        <v>55</v>
      </c>
      <c r="U17" s="0" t="s">
        <v>247</v>
      </c>
      <c r="V17" s="0" t="s">
        <v>247</v>
      </c>
      <c r="W17" s="0" t="s">
        <v>248</v>
      </c>
      <c r="X17" s="0" t="s">
        <v>248</v>
      </c>
      <c r="Y17" s="0" t="s">
        <v>248</v>
      </c>
      <c r="Z17" s="0" t="s">
        <v>248</v>
      </c>
      <c r="AA17" s="0" t="s">
        <v>248</v>
      </c>
      <c r="AB17" s="0" t="s">
        <v>248</v>
      </c>
      <c r="AC17" s="0" t="s">
        <v>248</v>
      </c>
      <c r="AD17" s="0" t="s">
        <v>248</v>
      </c>
      <c r="AE17" s="0" t="s">
        <v>248</v>
      </c>
      <c r="AF17" s="0" t="s">
        <v>248</v>
      </c>
      <c r="AG17" s="0" t="s">
        <v>248</v>
      </c>
      <c r="AH17" s="0" t="s">
        <v>248</v>
      </c>
      <c r="AI17" s="0" t="s">
        <v>248</v>
      </c>
      <c r="AJ17" s="0" t="s">
        <v>248</v>
      </c>
      <c r="AK17" s="0" t="s">
        <v>248</v>
      </c>
      <c r="AL17" s="0" t="s">
        <v>248</v>
      </c>
      <c r="AM17" s="0" t="s">
        <v>248</v>
      </c>
      <c r="AN17" s="0" t="s">
        <v>248</v>
      </c>
      <c r="AO17" s="0" t="s">
        <v>248</v>
      </c>
      <c r="AP17" s="0" t="s">
        <v>248</v>
      </c>
      <c r="AQ17" s="0" t="s">
        <v>248</v>
      </c>
      <c r="AR17" s="0" t="s">
        <v>248</v>
      </c>
      <c r="AS17" s="0" t="s">
        <v>248</v>
      </c>
      <c r="AT17" s="0" t="s">
        <v>55</v>
      </c>
      <c r="AU17" s="0" t="s">
        <v>248</v>
      </c>
      <c r="AV17" s="0" t="s">
        <v>248</v>
      </c>
      <c r="AW17" s="0" t="s">
        <v>248</v>
      </c>
      <c r="AX17" s="0" t="s">
        <v>248</v>
      </c>
      <c r="AY17" s="0" t="s">
        <v>248</v>
      </c>
      <c r="AZ17" s="0" t="s">
        <v>248</v>
      </c>
      <c r="BA17" s="0" t="s">
        <v>248</v>
      </c>
      <c r="BB17" s="0" t="s">
        <v>248</v>
      </c>
      <c r="BC17" s="0" t="s">
        <v>248</v>
      </c>
      <c r="BD17" s="0" t="s">
        <v>248</v>
      </c>
      <c r="BE17" s="0" t="s">
        <v>247</v>
      </c>
      <c r="BF17" s="0" t="s">
        <v>55</v>
      </c>
      <c r="BG17" s="0" t="s">
        <v>248</v>
      </c>
      <c r="BH17" s="0" t="s">
        <v>248</v>
      </c>
      <c r="BI17" s="0" t="s">
        <v>248</v>
      </c>
      <c r="BJ17" s="0" t="s">
        <v>248</v>
      </c>
      <c r="BK17" s="0" t="s">
        <v>55</v>
      </c>
    </row>
    <row r="18" customFormat="false" ht="12.8" hidden="false" customHeight="false" outlineLevel="0" collapsed="false">
      <c r="A18" s="0" t="n">
        <f aca="false">A17-1</f>
        <v>2001</v>
      </c>
      <c r="B18" s="0" t="s">
        <v>248</v>
      </c>
      <c r="C18" s="0" t="s">
        <v>248</v>
      </c>
      <c r="D18" s="0" t="s">
        <v>248</v>
      </c>
      <c r="E18" s="0" t="s">
        <v>248</v>
      </c>
      <c r="F18" s="0" t="s">
        <v>247</v>
      </c>
      <c r="G18" s="0" t="s">
        <v>247</v>
      </c>
      <c r="H18" s="0" t="s">
        <v>247</v>
      </c>
      <c r="I18" s="0" t="s">
        <v>247</v>
      </c>
      <c r="J18" s="0" t="s">
        <v>55</v>
      </c>
      <c r="K18" s="0" t="s">
        <v>247</v>
      </c>
      <c r="L18" s="0" t="s">
        <v>248</v>
      </c>
      <c r="M18" s="0" t="s">
        <v>247</v>
      </c>
      <c r="N18" s="0" t="s">
        <v>248</v>
      </c>
      <c r="O18" s="0" t="s">
        <v>248</v>
      </c>
      <c r="P18" s="0" t="s">
        <v>248</v>
      </c>
      <c r="Q18" s="0" t="s">
        <v>247</v>
      </c>
      <c r="R18" s="0" t="s">
        <v>247</v>
      </c>
      <c r="S18" s="0" t="s">
        <v>247</v>
      </c>
      <c r="T18" s="0" t="s">
        <v>55</v>
      </c>
      <c r="U18" s="0" t="s">
        <v>247</v>
      </c>
      <c r="V18" s="0" t="s">
        <v>247</v>
      </c>
      <c r="W18" s="0" t="s">
        <v>248</v>
      </c>
      <c r="X18" s="0" t="s">
        <v>248</v>
      </c>
      <c r="Y18" s="0" t="s">
        <v>248</v>
      </c>
      <c r="Z18" s="0" t="s">
        <v>248</v>
      </c>
      <c r="AA18" s="0" t="s">
        <v>248</v>
      </c>
      <c r="AB18" s="0" t="s">
        <v>248</v>
      </c>
      <c r="AC18" s="0" t="s">
        <v>248</v>
      </c>
      <c r="AD18" s="0" t="s">
        <v>248</v>
      </c>
      <c r="AE18" s="0" t="s">
        <v>248</v>
      </c>
      <c r="AF18" s="0" t="s">
        <v>248</v>
      </c>
      <c r="AG18" s="0" t="s">
        <v>248</v>
      </c>
      <c r="AH18" s="0" t="s">
        <v>248</v>
      </c>
      <c r="AI18" s="0" t="s">
        <v>248</v>
      </c>
      <c r="AJ18" s="0" t="s">
        <v>248</v>
      </c>
      <c r="AK18" s="0" t="s">
        <v>248</v>
      </c>
      <c r="AL18" s="0" t="s">
        <v>248</v>
      </c>
      <c r="AM18" s="0" t="s">
        <v>248</v>
      </c>
      <c r="AN18" s="0" t="s">
        <v>248</v>
      </c>
      <c r="AO18" s="0" t="s">
        <v>248</v>
      </c>
      <c r="AP18" s="0" t="s">
        <v>248</v>
      </c>
      <c r="AQ18" s="0" t="s">
        <v>248</v>
      </c>
      <c r="AR18" s="0" t="s">
        <v>248</v>
      </c>
      <c r="AS18" s="0" t="s">
        <v>248</v>
      </c>
      <c r="AT18" s="0" t="s">
        <v>55</v>
      </c>
      <c r="AU18" s="0" t="s">
        <v>248</v>
      </c>
      <c r="AV18" s="0" t="s">
        <v>248</v>
      </c>
      <c r="AW18" s="0" t="s">
        <v>248</v>
      </c>
      <c r="AX18" s="0" t="s">
        <v>248</v>
      </c>
      <c r="AY18" s="0" t="s">
        <v>248</v>
      </c>
      <c r="AZ18" s="0" t="s">
        <v>248</v>
      </c>
      <c r="BA18" s="0" t="s">
        <v>248</v>
      </c>
      <c r="BB18" s="0" t="s">
        <v>248</v>
      </c>
      <c r="BC18" s="0" t="s">
        <v>248</v>
      </c>
      <c r="BD18" s="0" t="s">
        <v>248</v>
      </c>
      <c r="BE18" s="0" t="s">
        <v>247</v>
      </c>
      <c r="BF18" s="0" t="s">
        <v>55</v>
      </c>
      <c r="BG18" s="0" t="s">
        <v>248</v>
      </c>
      <c r="BH18" s="0" t="s">
        <v>248</v>
      </c>
      <c r="BI18" s="0" t="s">
        <v>248</v>
      </c>
      <c r="BJ18" s="0" t="s">
        <v>248</v>
      </c>
      <c r="BK18" s="0" t="s">
        <v>55</v>
      </c>
    </row>
    <row r="19" customFormat="false" ht="12.8" hidden="false" customHeight="false" outlineLevel="0" collapsed="false">
      <c r="A19" s="0" t="n">
        <f aca="false">A18-1</f>
        <v>2000</v>
      </c>
      <c r="B19" s="0" t="s">
        <v>248</v>
      </c>
      <c r="C19" s="0" t="s">
        <v>248</v>
      </c>
      <c r="D19" s="0" t="s">
        <v>248</v>
      </c>
      <c r="E19" s="0" t="s">
        <v>248</v>
      </c>
      <c r="F19" s="0" t="s">
        <v>247</v>
      </c>
      <c r="G19" s="0" t="s">
        <v>247</v>
      </c>
      <c r="H19" s="0" t="s">
        <v>247</v>
      </c>
      <c r="I19" s="0" t="s">
        <v>247</v>
      </c>
      <c r="J19" s="0" t="s">
        <v>55</v>
      </c>
      <c r="K19" s="0" t="s">
        <v>247</v>
      </c>
      <c r="L19" s="0" t="s">
        <v>248</v>
      </c>
      <c r="M19" s="0" t="s">
        <v>247</v>
      </c>
      <c r="N19" s="0" t="s">
        <v>248</v>
      </c>
      <c r="O19" s="0" t="s">
        <v>248</v>
      </c>
      <c r="P19" s="0" t="s">
        <v>248</v>
      </c>
      <c r="Q19" s="0" t="s">
        <v>247</v>
      </c>
      <c r="R19" s="0" t="s">
        <v>247</v>
      </c>
      <c r="S19" s="0" t="s">
        <v>247</v>
      </c>
      <c r="T19" s="0" t="s">
        <v>55</v>
      </c>
      <c r="U19" s="0" t="s">
        <v>247</v>
      </c>
      <c r="V19" s="0" t="s">
        <v>247</v>
      </c>
      <c r="W19" s="0" t="s">
        <v>248</v>
      </c>
      <c r="X19" s="0" t="s">
        <v>248</v>
      </c>
      <c r="Y19" s="0" t="s">
        <v>248</v>
      </c>
      <c r="Z19" s="0" t="s">
        <v>248</v>
      </c>
      <c r="AA19" s="0" t="s">
        <v>248</v>
      </c>
      <c r="AB19" s="0" t="s">
        <v>248</v>
      </c>
      <c r="AC19" s="0" t="s">
        <v>248</v>
      </c>
      <c r="AD19" s="0" t="s">
        <v>248</v>
      </c>
      <c r="AE19" s="0" t="s">
        <v>248</v>
      </c>
      <c r="AF19" s="0" t="s">
        <v>248</v>
      </c>
      <c r="AG19" s="0" t="s">
        <v>248</v>
      </c>
      <c r="AH19" s="0" t="s">
        <v>248</v>
      </c>
      <c r="AI19" s="0" t="s">
        <v>248</v>
      </c>
      <c r="AJ19" s="0" t="s">
        <v>248</v>
      </c>
      <c r="AK19" s="0" t="s">
        <v>248</v>
      </c>
      <c r="AL19" s="0" t="s">
        <v>248</v>
      </c>
      <c r="AM19" s="0" t="s">
        <v>248</v>
      </c>
      <c r="AN19" s="0" t="s">
        <v>248</v>
      </c>
      <c r="AO19" s="0" t="s">
        <v>248</v>
      </c>
      <c r="AP19" s="0" t="s">
        <v>248</v>
      </c>
      <c r="AQ19" s="0" t="s">
        <v>248</v>
      </c>
      <c r="AR19" s="0" t="s">
        <v>248</v>
      </c>
      <c r="AS19" s="0" t="s">
        <v>248</v>
      </c>
      <c r="AT19" s="0" t="s">
        <v>55</v>
      </c>
      <c r="AU19" s="0" t="s">
        <v>248</v>
      </c>
      <c r="AV19" s="0" t="s">
        <v>248</v>
      </c>
      <c r="AW19" s="0" t="s">
        <v>248</v>
      </c>
      <c r="AX19" s="0" t="s">
        <v>248</v>
      </c>
      <c r="AY19" s="0" t="s">
        <v>248</v>
      </c>
      <c r="AZ19" s="0" t="s">
        <v>248</v>
      </c>
      <c r="BA19" s="0" t="s">
        <v>248</v>
      </c>
      <c r="BB19" s="0" t="s">
        <v>248</v>
      </c>
      <c r="BC19" s="0" t="s">
        <v>248</v>
      </c>
      <c r="BD19" s="0" t="s">
        <v>248</v>
      </c>
      <c r="BE19" s="0" t="s">
        <v>247</v>
      </c>
      <c r="BF19" s="0" t="s">
        <v>55</v>
      </c>
      <c r="BG19" s="0" t="s">
        <v>248</v>
      </c>
      <c r="BH19" s="0" t="s">
        <v>248</v>
      </c>
      <c r="BI19" s="0" t="s">
        <v>248</v>
      </c>
      <c r="BJ19" s="0" t="s">
        <v>248</v>
      </c>
      <c r="BK19" s="0" t="s">
        <v>55</v>
      </c>
    </row>
    <row r="20" customFormat="false" ht="12.8" hidden="false" customHeight="false" outlineLevel="0" collapsed="false">
      <c r="A20" s="0" t="n">
        <f aca="false">A19-1</f>
        <v>1999</v>
      </c>
      <c r="B20" s="37" t="s">
        <v>249</v>
      </c>
      <c r="C20" s="37" t="s">
        <v>249</v>
      </c>
      <c r="D20" s="37" t="s">
        <v>249</v>
      </c>
      <c r="E20" s="37" t="s">
        <v>249</v>
      </c>
      <c r="F20" s="37" t="s">
        <v>250</v>
      </c>
      <c r="G20" s="37" t="s">
        <v>250</v>
      </c>
      <c r="H20" s="37" t="s">
        <v>250</v>
      </c>
      <c r="I20" s="37" t="s">
        <v>250</v>
      </c>
      <c r="J20" s="0" t="s">
        <v>55</v>
      </c>
      <c r="K20" s="37" t="s">
        <v>251</v>
      </c>
      <c r="L20" s="37" t="s">
        <v>249</v>
      </c>
      <c r="M20" s="37" t="s">
        <v>250</v>
      </c>
      <c r="N20" s="37" t="s">
        <v>249</v>
      </c>
      <c r="O20" s="37" t="s">
        <v>249</v>
      </c>
      <c r="P20" s="37" t="s">
        <v>249</v>
      </c>
      <c r="Q20" s="37" t="s">
        <v>250</v>
      </c>
      <c r="R20" s="37" t="s">
        <v>250</v>
      </c>
      <c r="S20" s="37" t="s">
        <v>250</v>
      </c>
      <c r="T20" s="0" t="s">
        <v>55</v>
      </c>
      <c r="U20" s="37" t="s">
        <v>251</v>
      </c>
      <c r="V20" s="37" t="s">
        <v>250</v>
      </c>
      <c r="W20" s="37" t="s">
        <v>250</v>
      </c>
      <c r="X20" s="37" t="s">
        <v>250</v>
      </c>
      <c r="Y20" s="37" t="s">
        <v>250</v>
      </c>
      <c r="Z20" s="37" t="s">
        <v>250</v>
      </c>
      <c r="AA20" s="37" t="s">
        <v>250</v>
      </c>
      <c r="AB20" s="37" t="s">
        <v>250</v>
      </c>
      <c r="AC20" s="37" t="s">
        <v>250</v>
      </c>
      <c r="AD20" s="37" t="s">
        <v>250</v>
      </c>
      <c r="AE20" s="37" t="s">
        <v>249</v>
      </c>
      <c r="AF20" s="37" t="s">
        <v>249</v>
      </c>
      <c r="AG20" s="37" t="s">
        <v>249</v>
      </c>
      <c r="AH20" s="37" t="s">
        <v>249</v>
      </c>
      <c r="AI20" s="37" t="s">
        <v>249</v>
      </c>
      <c r="AJ20" s="37" t="s">
        <v>249</v>
      </c>
      <c r="AK20" s="37" t="s">
        <v>249</v>
      </c>
      <c r="AL20" s="37" t="s">
        <v>249</v>
      </c>
      <c r="AM20" s="37" t="s">
        <v>249</v>
      </c>
      <c r="AN20" s="37" t="s">
        <v>250</v>
      </c>
      <c r="AO20" s="37" t="s">
        <v>250</v>
      </c>
      <c r="AP20" s="37" t="s">
        <v>250</v>
      </c>
      <c r="AQ20" s="37" t="s">
        <v>250</v>
      </c>
      <c r="AR20" s="37" t="s">
        <v>250</v>
      </c>
      <c r="AS20" s="37" t="s">
        <v>250</v>
      </c>
      <c r="AT20" s="0" t="s">
        <v>55</v>
      </c>
      <c r="AU20" s="37" t="s">
        <v>250</v>
      </c>
      <c r="AV20" s="37" t="s">
        <v>250</v>
      </c>
      <c r="AW20" s="37" t="s">
        <v>250</v>
      </c>
      <c r="AX20" s="37" t="s">
        <v>249</v>
      </c>
      <c r="AY20" s="37" t="s">
        <v>249</v>
      </c>
      <c r="AZ20" s="37" t="s">
        <v>249</v>
      </c>
      <c r="BA20" s="37" t="s">
        <v>250</v>
      </c>
      <c r="BB20" s="37" t="s">
        <v>250</v>
      </c>
      <c r="BC20" s="37" t="s">
        <v>249</v>
      </c>
      <c r="BD20" s="37" t="s">
        <v>249</v>
      </c>
      <c r="BE20" s="37" t="s">
        <v>251</v>
      </c>
      <c r="BF20" s="0" t="s">
        <v>55</v>
      </c>
      <c r="BG20" s="37" t="s">
        <v>249</v>
      </c>
      <c r="BH20" s="37" t="s">
        <v>249</v>
      </c>
      <c r="BI20" s="37" t="s">
        <v>249</v>
      </c>
      <c r="BJ20" s="37" t="s">
        <v>249</v>
      </c>
      <c r="BK20" s="0" t="s">
        <v>55</v>
      </c>
    </row>
    <row r="21" customFormat="false" ht="12.8" hidden="false" customHeight="false" outlineLevel="0" collapsed="false">
      <c r="A21" s="0" t="n">
        <f aca="false">A20-1</f>
        <v>1998</v>
      </c>
      <c r="B21" s="37" t="s">
        <v>249</v>
      </c>
      <c r="C21" s="37" t="s">
        <v>249</v>
      </c>
      <c r="D21" s="37" t="s">
        <v>249</v>
      </c>
      <c r="E21" s="37" t="s">
        <v>249</v>
      </c>
      <c r="F21" s="37" t="s">
        <v>250</v>
      </c>
      <c r="G21" s="37" t="s">
        <v>250</v>
      </c>
      <c r="H21" s="37" t="s">
        <v>250</v>
      </c>
      <c r="I21" s="37" t="s">
        <v>250</v>
      </c>
      <c r="J21" s="0" t="s">
        <v>55</v>
      </c>
      <c r="K21" s="37" t="s">
        <v>251</v>
      </c>
      <c r="L21" s="37" t="s">
        <v>249</v>
      </c>
      <c r="M21" s="37" t="s">
        <v>250</v>
      </c>
      <c r="N21" s="37" t="s">
        <v>249</v>
      </c>
      <c r="O21" s="37" t="s">
        <v>249</v>
      </c>
      <c r="P21" s="37" t="s">
        <v>249</v>
      </c>
      <c r="Q21" s="37" t="s">
        <v>250</v>
      </c>
      <c r="R21" s="37" t="s">
        <v>250</v>
      </c>
      <c r="S21" s="37" t="s">
        <v>250</v>
      </c>
      <c r="T21" s="0" t="s">
        <v>55</v>
      </c>
      <c r="U21" s="37" t="s">
        <v>251</v>
      </c>
      <c r="V21" s="37" t="s">
        <v>250</v>
      </c>
      <c r="W21" s="37" t="s">
        <v>250</v>
      </c>
      <c r="X21" s="37" t="s">
        <v>250</v>
      </c>
      <c r="Y21" s="37" t="s">
        <v>250</v>
      </c>
      <c r="Z21" s="37" t="s">
        <v>250</v>
      </c>
      <c r="AA21" s="37" t="s">
        <v>250</v>
      </c>
      <c r="AB21" s="37" t="s">
        <v>250</v>
      </c>
      <c r="AC21" s="37" t="s">
        <v>250</v>
      </c>
      <c r="AD21" s="37" t="s">
        <v>250</v>
      </c>
      <c r="AE21" s="37" t="s">
        <v>249</v>
      </c>
      <c r="AF21" s="37" t="s">
        <v>249</v>
      </c>
      <c r="AG21" s="37" t="s">
        <v>249</v>
      </c>
      <c r="AH21" s="37" t="s">
        <v>249</v>
      </c>
      <c r="AI21" s="37" t="s">
        <v>249</v>
      </c>
      <c r="AJ21" s="37" t="s">
        <v>249</v>
      </c>
      <c r="AK21" s="37" t="s">
        <v>249</v>
      </c>
      <c r="AL21" s="37" t="s">
        <v>249</v>
      </c>
      <c r="AM21" s="37" t="s">
        <v>249</v>
      </c>
      <c r="AN21" s="37" t="s">
        <v>250</v>
      </c>
      <c r="AO21" s="37" t="s">
        <v>250</v>
      </c>
      <c r="AP21" s="37" t="s">
        <v>250</v>
      </c>
      <c r="AQ21" s="37" t="s">
        <v>250</v>
      </c>
      <c r="AR21" s="37" t="s">
        <v>250</v>
      </c>
      <c r="AS21" s="37" t="s">
        <v>250</v>
      </c>
      <c r="AT21" s="0" t="s">
        <v>55</v>
      </c>
      <c r="AU21" s="37" t="s">
        <v>250</v>
      </c>
      <c r="AV21" s="37" t="s">
        <v>250</v>
      </c>
      <c r="AW21" s="37" t="s">
        <v>250</v>
      </c>
      <c r="AX21" s="37" t="s">
        <v>249</v>
      </c>
      <c r="AY21" s="37" t="s">
        <v>249</v>
      </c>
      <c r="AZ21" s="37" t="s">
        <v>249</v>
      </c>
      <c r="BA21" s="37" t="s">
        <v>250</v>
      </c>
      <c r="BB21" s="37" t="s">
        <v>250</v>
      </c>
      <c r="BC21" s="37" t="s">
        <v>249</v>
      </c>
      <c r="BD21" s="37" t="s">
        <v>249</v>
      </c>
      <c r="BE21" s="37" t="s">
        <v>251</v>
      </c>
      <c r="BF21" s="0" t="s">
        <v>55</v>
      </c>
      <c r="BG21" s="37" t="s">
        <v>249</v>
      </c>
      <c r="BH21" s="37" t="s">
        <v>249</v>
      </c>
      <c r="BI21" s="37" t="s">
        <v>249</v>
      </c>
      <c r="BJ21" s="37" t="s">
        <v>249</v>
      </c>
      <c r="BK21" s="0" t="s">
        <v>55</v>
      </c>
    </row>
    <row r="22" customFormat="false" ht="12.8" hidden="false" customHeight="false" outlineLevel="0" collapsed="false">
      <c r="A22" s="0" t="n">
        <f aca="false">A21-1</f>
        <v>1997</v>
      </c>
      <c r="B22" s="37" t="s">
        <v>249</v>
      </c>
      <c r="C22" s="37" t="s">
        <v>249</v>
      </c>
      <c r="D22" s="37" t="s">
        <v>249</v>
      </c>
      <c r="E22" s="37" t="s">
        <v>249</v>
      </c>
      <c r="F22" s="37" t="s">
        <v>250</v>
      </c>
      <c r="G22" s="37" t="s">
        <v>250</v>
      </c>
      <c r="H22" s="37" t="s">
        <v>250</v>
      </c>
      <c r="I22" s="37" t="s">
        <v>250</v>
      </c>
      <c r="J22" s="0" t="s">
        <v>55</v>
      </c>
      <c r="K22" s="37" t="s">
        <v>251</v>
      </c>
      <c r="L22" s="37" t="s">
        <v>249</v>
      </c>
      <c r="M22" s="37" t="s">
        <v>250</v>
      </c>
      <c r="N22" s="37" t="s">
        <v>249</v>
      </c>
      <c r="O22" s="37" t="s">
        <v>249</v>
      </c>
      <c r="P22" s="37" t="s">
        <v>249</v>
      </c>
      <c r="Q22" s="37" t="s">
        <v>250</v>
      </c>
      <c r="R22" s="37" t="s">
        <v>250</v>
      </c>
      <c r="S22" s="37" t="s">
        <v>250</v>
      </c>
      <c r="T22" s="0" t="s">
        <v>55</v>
      </c>
      <c r="U22" s="37" t="s">
        <v>251</v>
      </c>
      <c r="V22" s="37" t="s">
        <v>250</v>
      </c>
      <c r="W22" s="37" t="s">
        <v>250</v>
      </c>
      <c r="X22" s="37" t="s">
        <v>250</v>
      </c>
      <c r="Y22" s="37" t="s">
        <v>250</v>
      </c>
      <c r="Z22" s="37" t="s">
        <v>250</v>
      </c>
      <c r="AA22" s="37" t="s">
        <v>250</v>
      </c>
      <c r="AB22" s="37" t="s">
        <v>250</v>
      </c>
      <c r="AC22" s="37" t="s">
        <v>250</v>
      </c>
      <c r="AD22" s="37" t="s">
        <v>250</v>
      </c>
      <c r="AE22" s="37" t="s">
        <v>249</v>
      </c>
      <c r="AF22" s="37" t="s">
        <v>249</v>
      </c>
      <c r="AG22" s="37" t="s">
        <v>249</v>
      </c>
      <c r="AH22" s="37" t="s">
        <v>249</v>
      </c>
      <c r="AI22" s="37" t="s">
        <v>249</v>
      </c>
      <c r="AJ22" s="37" t="s">
        <v>249</v>
      </c>
      <c r="AK22" s="37" t="s">
        <v>249</v>
      </c>
      <c r="AL22" s="37" t="s">
        <v>249</v>
      </c>
      <c r="AM22" s="37" t="s">
        <v>249</v>
      </c>
      <c r="AN22" s="37" t="s">
        <v>250</v>
      </c>
      <c r="AO22" s="37" t="s">
        <v>250</v>
      </c>
      <c r="AP22" s="37" t="s">
        <v>250</v>
      </c>
      <c r="AQ22" s="37" t="s">
        <v>250</v>
      </c>
      <c r="AR22" s="37" t="s">
        <v>250</v>
      </c>
      <c r="AS22" s="37" t="s">
        <v>250</v>
      </c>
      <c r="AT22" s="0" t="s">
        <v>55</v>
      </c>
      <c r="AU22" s="37" t="s">
        <v>250</v>
      </c>
      <c r="AV22" s="37" t="s">
        <v>250</v>
      </c>
      <c r="AW22" s="37" t="s">
        <v>250</v>
      </c>
      <c r="AX22" s="37" t="s">
        <v>249</v>
      </c>
      <c r="AY22" s="37" t="s">
        <v>249</v>
      </c>
      <c r="AZ22" s="37" t="s">
        <v>249</v>
      </c>
      <c r="BA22" s="37" t="s">
        <v>250</v>
      </c>
      <c r="BB22" s="37" t="s">
        <v>250</v>
      </c>
      <c r="BC22" s="37" t="s">
        <v>249</v>
      </c>
      <c r="BD22" s="37" t="s">
        <v>249</v>
      </c>
      <c r="BE22" s="37" t="s">
        <v>251</v>
      </c>
      <c r="BF22" s="0" t="s">
        <v>55</v>
      </c>
      <c r="BG22" s="37" t="s">
        <v>249</v>
      </c>
      <c r="BH22" s="37" t="s">
        <v>249</v>
      </c>
      <c r="BI22" s="37" t="s">
        <v>249</v>
      </c>
      <c r="BJ22" s="37" t="s">
        <v>249</v>
      </c>
      <c r="BK22" s="0" t="s">
        <v>55</v>
      </c>
    </row>
    <row r="23" customFormat="false" ht="12.8" hidden="false" customHeight="false" outlineLevel="0" collapsed="false">
      <c r="A23" s="0" t="n">
        <f aca="false">A22-1</f>
        <v>1996</v>
      </c>
      <c r="B23" s="37" t="s">
        <v>249</v>
      </c>
      <c r="C23" s="37" t="s">
        <v>249</v>
      </c>
      <c r="D23" s="37" t="s">
        <v>249</v>
      </c>
      <c r="E23" s="37" t="s">
        <v>249</v>
      </c>
      <c r="F23" s="37" t="s">
        <v>250</v>
      </c>
      <c r="G23" s="37" t="s">
        <v>250</v>
      </c>
      <c r="H23" s="37" t="s">
        <v>250</v>
      </c>
      <c r="I23" s="37" t="s">
        <v>250</v>
      </c>
      <c r="J23" s="0" t="s">
        <v>55</v>
      </c>
      <c r="K23" s="37" t="s">
        <v>251</v>
      </c>
      <c r="L23" s="37" t="s">
        <v>249</v>
      </c>
      <c r="M23" s="37" t="s">
        <v>250</v>
      </c>
      <c r="N23" s="37" t="s">
        <v>249</v>
      </c>
      <c r="O23" s="37" t="s">
        <v>249</v>
      </c>
      <c r="P23" s="37" t="s">
        <v>249</v>
      </c>
      <c r="Q23" s="37" t="s">
        <v>250</v>
      </c>
      <c r="R23" s="37" t="s">
        <v>250</v>
      </c>
      <c r="S23" s="37" t="s">
        <v>250</v>
      </c>
      <c r="T23" s="0" t="s">
        <v>55</v>
      </c>
      <c r="U23" s="37" t="s">
        <v>251</v>
      </c>
      <c r="V23" s="37" t="s">
        <v>250</v>
      </c>
      <c r="W23" s="37" t="s">
        <v>250</v>
      </c>
      <c r="X23" s="37" t="s">
        <v>250</v>
      </c>
      <c r="Y23" s="37" t="s">
        <v>250</v>
      </c>
      <c r="Z23" s="37" t="s">
        <v>250</v>
      </c>
      <c r="AA23" s="37" t="s">
        <v>250</v>
      </c>
      <c r="AB23" s="37" t="s">
        <v>250</v>
      </c>
      <c r="AC23" s="37" t="s">
        <v>250</v>
      </c>
      <c r="AD23" s="37" t="s">
        <v>250</v>
      </c>
      <c r="AE23" s="37" t="s">
        <v>249</v>
      </c>
      <c r="AF23" s="37" t="s">
        <v>249</v>
      </c>
      <c r="AG23" s="37" t="s">
        <v>249</v>
      </c>
      <c r="AH23" s="37" t="s">
        <v>249</v>
      </c>
      <c r="AI23" s="37" t="s">
        <v>249</v>
      </c>
      <c r="AJ23" s="37" t="s">
        <v>249</v>
      </c>
      <c r="AK23" s="37" t="s">
        <v>249</v>
      </c>
      <c r="AL23" s="37" t="s">
        <v>249</v>
      </c>
      <c r="AM23" s="37" t="s">
        <v>249</v>
      </c>
      <c r="AN23" s="37" t="s">
        <v>250</v>
      </c>
      <c r="AO23" s="37" t="s">
        <v>250</v>
      </c>
      <c r="AP23" s="37" t="s">
        <v>250</v>
      </c>
      <c r="AQ23" s="37" t="s">
        <v>250</v>
      </c>
      <c r="AR23" s="37" t="s">
        <v>250</v>
      </c>
      <c r="AS23" s="37" t="s">
        <v>250</v>
      </c>
      <c r="AT23" s="0" t="s">
        <v>55</v>
      </c>
      <c r="AU23" s="37" t="s">
        <v>250</v>
      </c>
      <c r="AV23" s="37" t="s">
        <v>250</v>
      </c>
      <c r="AW23" s="37" t="s">
        <v>250</v>
      </c>
      <c r="AX23" s="37" t="s">
        <v>249</v>
      </c>
      <c r="AY23" s="37" t="s">
        <v>249</v>
      </c>
      <c r="AZ23" s="37" t="s">
        <v>249</v>
      </c>
      <c r="BA23" s="37" t="s">
        <v>250</v>
      </c>
      <c r="BB23" s="37" t="s">
        <v>250</v>
      </c>
      <c r="BC23" s="37" t="s">
        <v>249</v>
      </c>
      <c r="BD23" s="37" t="s">
        <v>249</v>
      </c>
      <c r="BE23" s="37" t="s">
        <v>251</v>
      </c>
      <c r="BF23" s="0" t="s">
        <v>55</v>
      </c>
      <c r="BG23" s="37" t="s">
        <v>249</v>
      </c>
      <c r="BH23" s="37" t="s">
        <v>249</v>
      </c>
      <c r="BI23" s="37" t="s">
        <v>249</v>
      </c>
      <c r="BJ23" s="37" t="s">
        <v>249</v>
      </c>
      <c r="BK23" s="0" t="s">
        <v>55</v>
      </c>
    </row>
    <row r="24" customFormat="false" ht="12.8" hidden="false" customHeight="false" outlineLevel="0" collapsed="false">
      <c r="A24" s="0" t="n">
        <f aca="false">A23-1</f>
        <v>1995</v>
      </c>
      <c r="B24" s="37" t="s">
        <v>252</v>
      </c>
      <c r="C24" s="37" t="s">
        <v>252</v>
      </c>
      <c r="D24" s="37" t="s">
        <v>252</v>
      </c>
      <c r="E24" s="37" t="s">
        <v>252</v>
      </c>
      <c r="F24" s="37" t="s">
        <v>250</v>
      </c>
      <c r="G24" s="37" t="s">
        <v>250</v>
      </c>
      <c r="H24" s="37" t="s">
        <v>250</v>
      </c>
      <c r="I24" s="37" t="s">
        <v>250</v>
      </c>
      <c r="J24" s="0" t="s">
        <v>55</v>
      </c>
      <c r="K24" s="37" t="s">
        <v>251</v>
      </c>
      <c r="L24" s="37" t="s">
        <v>252</v>
      </c>
      <c r="M24" s="37" t="s">
        <v>250</v>
      </c>
      <c r="N24" s="37" t="s">
        <v>252</v>
      </c>
      <c r="O24" s="37" t="s">
        <v>252</v>
      </c>
      <c r="P24" s="37" t="s">
        <v>252</v>
      </c>
      <c r="Q24" s="37" t="s">
        <v>250</v>
      </c>
      <c r="R24" s="37" t="s">
        <v>250</v>
      </c>
      <c r="S24" s="37" t="s">
        <v>250</v>
      </c>
      <c r="T24" s="0" t="s">
        <v>55</v>
      </c>
      <c r="U24" s="37" t="s">
        <v>251</v>
      </c>
      <c r="V24" s="37" t="s">
        <v>250</v>
      </c>
      <c r="W24" s="37" t="s">
        <v>250</v>
      </c>
      <c r="X24" s="37" t="s">
        <v>250</v>
      </c>
      <c r="Y24" s="37" t="s">
        <v>250</v>
      </c>
      <c r="Z24" s="37" t="s">
        <v>250</v>
      </c>
      <c r="AA24" s="37" t="s">
        <v>250</v>
      </c>
      <c r="AB24" s="37" t="s">
        <v>250</v>
      </c>
      <c r="AC24" s="37" t="s">
        <v>250</v>
      </c>
      <c r="AD24" s="37" t="s">
        <v>250</v>
      </c>
      <c r="AE24" s="37" t="s">
        <v>252</v>
      </c>
      <c r="AF24" s="37" t="s">
        <v>252</v>
      </c>
      <c r="AG24" s="37" t="s">
        <v>252</v>
      </c>
      <c r="AH24" s="37" t="s">
        <v>252</v>
      </c>
      <c r="AI24" s="37" t="s">
        <v>252</v>
      </c>
      <c r="AJ24" s="37" t="s">
        <v>252</v>
      </c>
      <c r="AK24" s="37" t="s">
        <v>252</v>
      </c>
      <c r="AL24" s="37" t="s">
        <v>252</v>
      </c>
      <c r="AM24" s="37" t="s">
        <v>252</v>
      </c>
      <c r="AN24" s="37" t="s">
        <v>250</v>
      </c>
      <c r="AO24" s="37" t="s">
        <v>250</v>
      </c>
      <c r="AP24" s="37" t="s">
        <v>250</v>
      </c>
      <c r="AQ24" s="37" t="s">
        <v>250</v>
      </c>
      <c r="AR24" s="37" t="s">
        <v>250</v>
      </c>
      <c r="AS24" s="37" t="s">
        <v>250</v>
      </c>
      <c r="AT24" s="0" t="s">
        <v>55</v>
      </c>
      <c r="AU24" s="37" t="s">
        <v>250</v>
      </c>
      <c r="AV24" s="37" t="s">
        <v>250</v>
      </c>
      <c r="AW24" s="37" t="s">
        <v>250</v>
      </c>
      <c r="AX24" s="37" t="s">
        <v>252</v>
      </c>
      <c r="AY24" s="37" t="s">
        <v>252</v>
      </c>
      <c r="AZ24" s="37" t="s">
        <v>252</v>
      </c>
      <c r="BA24" s="37" t="s">
        <v>250</v>
      </c>
      <c r="BB24" s="37" t="s">
        <v>250</v>
      </c>
      <c r="BC24" s="37" t="s">
        <v>252</v>
      </c>
      <c r="BD24" s="37" t="s">
        <v>252</v>
      </c>
      <c r="BE24" s="37" t="s">
        <v>251</v>
      </c>
      <c r="BF24" s="0" t="s">
        <v>55</v>
      </c>
      <c r="BG24" s="37" t="s">
        <v>252</v>
      </c>
      <c r="BH24" s="37" t="s">
        <v>252</v>
      </c>
      <c r="BI24" s="37" t="s">
        <v>252</v>
      </c>
      <c r="BJ24" s="37" t="s">
        <v>252</v>
      </c>
      <c r="BK24" s="0" t="s">
        <v>55</v>
      </c>
    </row>
    <row r="25" customFormat="false" ht="12.8" hidden="false" customHeight="false" outlineLevel="0" collapsed="false">
      <c r="A25" s="0" t="n">
        <f aca="false">A24-1</f>
        <v>1994</v>
      </c>
      <c r="B25" s="37" t="s">
        <v>252</v>
      </c>
      <c r="C25" s="37" t="s">
        <v>252</v>
      </c>
      <c r="D25" s="37" t="s">
        <v>252</v>
      </c>
      <c r="E25" s="37" t="s">
        <v>252</v>
      </c>
      <c r="F25" s="37" t="s">
        <v>250</v>
      </c>
      <c r="G25" s="37" t="s">
        <v>250</v>
      </c>
      <c r="H25" s="37" t="s">
        <v>250</v>
      </c>
      <c r="I25" s="37" t="s">
        <v>250</v>
      </c>
      <c r="J25" s="0" t="s">
        <v>55</v>
      </c>
      <c r="K25" s="37" t="s">
        <v>251</v>
      </c>
      <c r="L25" s="37" t="s">
        <v>252</v>
      </c>
      <c r="M25" s="37" t="s">
        <v>250</v>
      </c>
      <c r="N25" s="37" t="s">
        <v>252</v>
      </c>
      <c r="O25" s="37" t="s">
        <v>252</v>
      </c>
      <c r="P25" s="37" t="s">
        <v>252</v>
      </c>
      <c r="Q25" s="37" t="s">
        <v>250</v>
      </c>
      <c r="R25" s="37" t="s">
        <v>250</v>
      </c>
      <c r="S25" s="37" t="s">
        <v>250</v>
      </c>
      <c r="T25" s="0" t="s">
        <v>55</v>
      </c>
      <c r="U25" s="37" t="s">
        <v>251</v>
      </c>
      <c r="V25" s="37" t="s">
        <v>250</v>
      </c>
      <c r="W25" s="37" t="s">
        <v>250</v>
      </c>
      <c r="X25" s="37" t="s">
        <v>250</v>
      </c>
      <c r="Y25" s="37" t="s">
        <v>250</v>
      </c>
      <c r="Z25" s="37" t="s">
        <v>250</v>
      </c>
      <c r="AA25" s="37" t="s">
        <v>250</v>
      </c>
      <c r="AB25" s="37" t="s">
        <v>250</v>
      </c>
      <c r="AC25" s="37" t="s">
        <v>250</v>
      </c>
      <c r="AD25" s="37" t="s">
        <v>250</v>
      </c>
      <c r="AE25" s="37" t="s">
        <v>252</v>
      </c>
      <c r="AF25" s="37" t="s">
        <v>252</v>
      </c>
      <c r="AG25" s="37" t="s">
        <v>252</v>
      </c>
      <c r="AH25" s="37" t="s">
        <v>252</v>
      </c>
      <c r="AI25" s="37" t="s">
        <v>252</v>
      </c>
      <c r="AJ25" s="37" t="s">
        <v>252</v>
      </c>
      <c r="AK25" s="37" t="s">
        <v>252</v>
      </c>
      <c r="AL25" s="37" t="s">
        <v>252</v>
      </c>
      <c r="AM25" s="37" t="s">
        <v>252</v>
      </c>
      <c r="AN25" s="37" t="s">
        <v>250</v>
      </c>
      <c r="AO25" s="37" t="s">
        <v>250</v>
      </c>
      <c r="AP25" s="37" t="s">
        <v>250</v>
      </c>
      <c r="AQ25" s="37" t="s">
        <v>250</v>
      </c>
      <c r="AR25" s="37" t="s">
        <v>250</v>
      </c>
      <c r="AS25" s="37" t="s">
        <v>250</v>
      </c>
      <c r="AT25" s="0" t="s">
        <v>55</v>
      </c>
      <c r="AU25" s="37" t="s">
        <v>250</v>
      </c>
      <c r="AV25" s="37" t="s">
        <v>250</v>
      </c>
      <c r="AW25" s="37" t="s">
        <v>250</v>
      </c>
      <c r="AX25" s="37" t="s">
        <v>252</v>
      </c>
      <c r="AY25" s="37" t="s">
        <v>252</v>
      </c>
      <c r="AZ25" s="37" t="s">
        <v>252</v>
      </c>
      <c r="BA25" s="37" t="s">
        <v>250</v>
      </c>
      <c r="BB25" s="37" t="s">
        <v>250</v>
      </c>
      <c r="BC25" s="37" t="s">
        <v>252</v>
      </c>
      <c r="BD25" s="37" t="s">
        <v>252</v>
      </c>
      <c r="BE25" s="37" t="s">
        <v>251</v>
      </c>
      <c r="BF25" s="0" t="s">
        <v>55</v>
      </c>
      <c r="BG25" s="37" t="s">
        <v>252</v>
      </c>
      <c r="BH25" s="37" t="s">
        <v>252</v>
      </c>
      <c r="BI25" s="37" t="s">
        <v>252</v>
      </c>
      <c r="BJ25" s="37" t="s">
        <v>252</v>
      </c>
      <c r="BK25" s="0" t="s">
        <v>55</v>
      </c>
    </row>
    <row r="26" customFormat="false" ht="12.8" hidden="false" customHeight="false" outlineLevel="0" collapsed="false">
      <c r="A26" s="0" t="n">
        <f aca="false">A25-1</f>
        <v>1993</v>
      </c>
      <c r="B26" s="37" t="s">
        <v>252</v>
      </c>
      <c r="C26" s="37" t="s">
        <v>252</v>
      </c>
      <c r="D26" s="37" t="s">
        <v>252</v>
      </c>
      <c r="E26" s="37" t="s">
        <v>252</v>
      </c>
      <c r="F26" s="37" t="s">
        <v>250</v>
      </c>
      <c r="G26" s="37" t="s">
        <v>250</v>
      </c>
      <c r="H26" s="37" t="s">
        <v>250</v>
      </c>
      <c r="I26" s="37" t="s">
        <v>250</v>
      </c>
      <c r="J26" s="0" t="s">
        <v>55</v>
      </c>
      <c r="K26" s="37" t="s">
        <v>251</v>
      </c>
      <c r="L26" s="37" t="s">
        <v>252</v>
      </c>
      <c r="M26" s="37" t="s">
        <v>250</v>
      </c>
      <c r="N26" s="37" t="s">
        <v>252</v>
      </c>
      <c r="O26" s="37" t="s">
        <v>252</v>
      </c>
      <c r="P26" s="37" t="s">
        <v>252</v>
      </c>
      <c r="Q26" s="37" t="s">
        <v>250</v>
      </c>
      <c r="R26" s="37" t="s">
        <v>250</v>
      </c>
      <c r="S26" s="37" t="s">
        <v>250</v>
      </c>
      <c r="T26" s="0" t="s">
        <v>55</v>
      </c>
      <c r="U26" s="37" t="s">
        <v>251</v>
      </c>
      <c r="V26" s="37" t="s">
        <v>250</v>
      </c>
      <c r="W26" s="37" t="s">
        <v>250</v>
      </c>
      <c r="X26" s="37" t="s">
        <v>250</v>
      </c>
      <c r="Y26" s="37" t="s">
        <v>250</v>
      </c>
      <c r="Z26" s="37" t="s">
        <v>250</v>
      </c>
      <c r="AA26" s="37" t="s">
        <v>250</v>
      </c>
      <c r="AB26" s="37" t="s">
        <v>250</v>
      </c>
      <c r="AC26" s="37" t="s">
        <v>250</v>
      </c>
      <c r="AD26" s="37" t="s">
        <v>250</v>
      </c>
      <c r="AE26" s="37" t="s">
        <v>252</v>
      </c>
      <c r="AF26" s="37" t="s">
        <v>252</v>
      </c>
      <c r="AG26" s="37" t="s">
        <v>252</v>
      </c>
      <c r="AH26" s="37" t="s">
        <v>252</v>
      </c>
      <c r="AI26" s="37" t="s">
        <v>252</v>
      </c>
      <c r="AJ26" s="37" t="s">
        <v>252</v>
      </c>
      <c r="AK26" s="37" t="s">
        <v>252</v>
      </c>
      <c r="AL26" s="37" t="s">
        <v>252</v>
      </c>
      <c r="AM26" s="37" t="s">
        <v>252</v>
      </c>
      <c r="AN26" s="37" t="s">
        <v>250</v>
      </c>
      <c r="AO26" s="37" t="s">
        <v>250</v>
      </c>
      <c r="AP26" s="37" t="s">
        <v>250</v>
      </c>
      <c r="AQ26" s="37" t="s">
        <v>250</v>
      </c>
      <c r="AR26" s="37" t="s">
        <v>250</v>
      </c>
      <c r="AS26" s="37" t="s">
        <v>250</v>
      </c>
      <c r="AT26" s="0" t="s">
        <v>55</v>
      </c>
      <c r="AU26" s="37" t="s">
        <v>250</v>
      </c>
      <c r="AV26" s="37" t="s">
        <v>250</v>
      </c>
      <c r="AW26" s="37" t="s">
        <v>250</v>
      </c>
      <c r="AX26" s="37" t="s">
        <v>252</v>
      </c>
      <c r="AY26" s="37" t="s">
        <v>252</v>
      </c>
      <c r="AZ26" s="37" t="s">
        <v>252</v>
      </c>
      <c r="BA26" s="37" t="s">
        <v>250</v>
      </c>
      <c r="BB26" s="37" t="s">
        <v>250</v>
      </c>
      <c r="BC26" s="37" t="s">
        <v>252</v>
      </c>
      <c r="BD26" s="37" t="s">
        <v>252</v>
      </c>
      <c r="BE26" s="37" t="s">
        <v>251</v>
      </c>
      <c r="BF26" s="0" t="s">
        <v>55</v>
      </c>
      <c r="BG26" s="37" t="s">
        <v>252</v>
      </c>
      <c r="BH26" s="37" t="s">
        <v>252</v>
      </c>
      <c r="BI26" s="37" t="s">
        <v>252</v>
      </c>
      <c r="BJ26" s="37" t="s">
        <v>252</v>
      </c>
      <c r="BK26" s="0" t="s">
        <v>55</v>
      </c>
    </row>
    <row r="27" customFormat="false" ht="12.8" hidden="false" customHeight="false" outlineLevel="0" collapsed="false">
      <c r="A27" s="0" t="n">
        <f aca="false">A26-1</f>
        <v>1992</v>
      </c>
      <c r="B27" s="37" t="s">
        <v>252</v>
      </c>
      <c r="C27" s="37" t="s">
        <v>252</v>
      </c>
      <c r="D27" s="37" t="s">
        <v>252</v>
      </c>
      <c r="E27" s="37" t="s">
        <v>252</v>
      </c>
      <c r="F27" s="37" t="s">
        <v>250</v>
      </c>
      <c r="G27" s="37" t="s">
        <v>250</v>
      </c>
      <c r="H27" s="37" t="s">
        <v>250</v>
      </c>
      <c r="I27" s="37" t="s">
        <v>250</v>
      </c>
      <c r="J27" s="0" t="s">
        <v>55</v>
      </c>
      <c r="K27" s="37" t="s">
        <v>251</v>
      </c>
      <c r="L27" s="37" t="s">
        <v>252</v>
      </c>
      <c r="M27" s="37" t="s">
        <v>250</v>
      </c>
      <c r="N27" s="37" t="s">
        <v>252</v>
      </c>
      <c r="O27" s="37" t="s">
        <v>252</v>
      </c>
      <c r="P27" s="37" t="s">
        <v>252</v>
      </c>
      <c r="Q27" s="37" t="s">
        <v>250</v>
      </c>
      <c r="R27" s="37" t="s">
        <v>250</v>
      </c>
      <c r="S27" s="37" t="s">
        <v>250</v>
      </c>
      <c r="T27" s="0" t="s">
        <v>55</v>
      </c>
      <c r="U27" s="37" t="s">
        <v>251</v>
      </c>
      <c r="V27" s="37" t="s">
        <v>250</v>
      </c>
      <c r="W27" s="37" t="s">
        <v>250</v>
      </c>
      <c r="X27" s="37" t="s">
        <v>250</v>
      </c>
      <c r="Y27" s="37" t="s">
        <v>250</v>
      </c>
      <c r="Z27" s="37" t="s">
        <v>250</v>
      </c>
      <c r="AA27" s="37" t="s">
        <v>250</v>
      </c>
      <c r="AB27" s="37" t="s">
        <v>250</v>
      </c>
      <c r="AC27" s="37" t="s">
        <v>250</v>
      </c>
      <c r="AD27" s="37" t="s">
        <v>250</v>
      </c>
      <c r="AE27" s="37" t="s">
        <v>252</v>
      </c>
      <c r="AF27" s="37" t="s">
        <v>252</v>
      </c>
      <c r="AG27" s="37" t="s">
        <v>252</v>
      </c>
      <c r="AH27" s="37" t="s">
        <v>252</v>
      </c>
      <c r="AI27" s="37" t="s">
        <v>252</v>
      </c>
      <c r="AJ27" s="37" t="s">
        <v>252</v>
      </c>
      <c r="AK27" s="37" t="s">
        <v>252</v>
      </c>
      <c r="AL27" s="37" t="s">
        <v>252</v>
      </c>
      <c r="AM27" s="37" t="s">
        <v>252</v>
      </c>
      <c r="AN27" s="37" t="s">
        <v>250</v>
      </c>
      <c r="AO27" s="37" t="s">
        <v>250</v>
      </c>
      <c r="AP27" s="37" t="s">
        <v>250</v>
      </c>
      <c r="AQ27" s="37" t="s">
        <v>250</v>
      </c>
      <c r="AR27" s="37" t="s">
        <v>250</v>
      </c>
      <c r="AS27" s="37" t="s">
        <v>250</v>
      </c>
      <c r="AT27" s="0" t="s">
        <v>55</v>
      </c>
      <c r="AU27" s="37" t="s">
        <v>250</v>
      </c>
      <c r="AV27" s="37" t="s">
        <v>250</v>
      </c>
      <c r="AW27" s="37" t="s">
        <v>250</v>
      </c>
      <c r="AX27" s="37" t="s">
        <v>252</v>
      </c>
      <c r="AY27" s="37" t="s">
        <v>252</v>
      </c>
      <c r="AZ27" s="37" t="s">
        <v>252</v>
      </c>
      <c r="BA27" s="37" t="s">
        <v>250</v>
      </c>
      <c r="BB27" s="37" t="s">
        <v>250</v>
      </c>
      <c r="BC27" s="37" t="s">
        <v>252</v>
      </c>
      <c r="BD27" s="37" t="s">
        <v>252</v>
      </c>
      <c r="BE27" s="37" t="s">
        <v>251</v>
      </c>
      <c r="BF27" s="0" t="s">
        <v>55</v>
      </c>
      <c r="BG27" s="37" t="s">
        <v>252</v>
      </c>
      <c r="BH27" s="37" t="s">
        <v>252</v>
      </c>
      <c r="BI27" s="37" t="s">
        <v>252</v>
      </c>
      <c r="BJ27" s="37" t="s">
        <v>252</v>
      </c>
      <c r="BK27" s="0" t="s">
        <v>55</v>
      </c>
    </row>
    <row r="28" customFormat="false" ht="12.8" hidden="false" customHeight="false" outlineLevel="0" collapsed="false">
      <c r="A28" s="0" t="n">
        <f aca="false">A27-1</f>
        <v>1991</v>
      </c>
      <c r="B28" s="37" t="s">
        <v>252</v>
      </c>
      <c r="C28" s="37" t="s">
        <v>252</v>
      </c>
      <c r="D28" s="37" t="s">
        <v>252</v>
      </c>
      <c r="E28" s="37" t="s">
        <v>252</v>
      </c>
      <c r="F28" s="37" t="s">
        <v>250</v>
      </c>
      <c r="G28" s="37" t="s">
        <v>250</v>
      </c>
      <c r="H28" s="37" t="s">
        <v>250</v>
      </c>
      <c r="I28" s="37" t="s">
        <v>250</v>
      </c>
      <c r="J28" s="0" t="s">
        <v>55</v>
      </c>
      <c r="K28" s="37" t="s">
        <v>251</v>
      </c>
      <c r="L28" s="37" t="s">
        <v>252</v>
      </c>
      <c r="M28" s="37" t="s">
        <v>250</v>
      </c>
      <c r="N28" s="37" t="s">
        <v>252</v>
      </c>
      <c r="O28" s="37" t="s">
        <v>252</v>
      </c>
      <c r="P28" s="37" t="s">
        <v>252</v>
      </c>
      <c r="Q28" s="37" t="s">
        <v>250</v>
      </c>
      <c r="R28" s="37" t="s">
        <v>250</v>
      </c>
      <c r="S28" s="37" t="s">
        <v>250</v>
      </c>
      <c r="T28" s="0" t="s">
        <v>55</v>
      </c>
      <c r="U28" s="37" t="s">
        <v>251</v>
      </c>
      <c r="V28" s="37" t="s">
        <v>250</v>
      </c>
      <c r="W28" s="37" t="s">
        <v>250</v>
      </c>
      <c r="X28" s="37" t="s">
        <v>250</v>
      </c>
      <c r="Y28" s="37" t="s">
        <v>250</v>
      </c>
      <c r="Z28" s="37" t="s">
        <v>250</v>
      </c>
      <c r="AA28" s="37" t="s">
        <v>250</v>
      </c>
      <c r="AB28" s="37" t="s">
        <v>250</v>
      </c>
      <c r="AC28" s="37" t="s">
        <v>250</v>
      </c>
      <c r="AD28" s="37" t="s">
        <v>250</v>
      </c>
      <c r="AE28" s="37" t="s">
        <v>252</v>
      </c>
      <c r="AF28" s="37" t="s">
        <v>252</v>
      </c>
      <c r="AG28" s="37" t="s">
        <v>252</v>
      </c>
      <c r="AH28" s="37" t="s">
        <v>252</v>
      </c>
      <c r="AI28" s="37" t="s">
        <v>252</v>
      </c>
      <c r="AJ28" s="37" t="s">
        <v>252</v>
      </c>
      <c r="AK28" s="37" t="s">
        <v>252</v>
      </c>
      <c r="AL28" s="37" t="s">
        <v>252</v>
      </c>
      <c r="AM28" s="37" t="s">
        <v>252</v>
      </c>
      <c r="AN28" s="37" t="s">
        <v>250</v>
      </c>
      <c r="AO28" s="37" t="s">
        <v>250</v>
      </c>
      <c r="AP28" s="37" t="s">
        <v>250</v>
      </c>
      <c r="AQ28" s="37" t="s">
        <v>250</v>
      </c>
      <c r="AR28" s="37" t="s">
        <v>250</v>
      </c>
      <c r="AS28" s="37" t="s">
        <v>250</v>
      </c>
      <c r="AT28" s="0" t="s">
        <v>55</v>
      </c>
      <c r="AU28" s="37" t="s">
        <v>250</v>
      </c>
      <c r="AV28" s="37" t="s">
        <v>250</v>
      </c>
      <c r="AW28" s="37" t="s">
        <v>250</v>
      </c>
      <c r="AX28" s="37" t="s">
        <v>252</v>
      </c>
      <c r="AY28" s="37" t="s">
        <v>252</v>
      </c>
      <c r="AZ28" s="37" t="s">
        <v>252</v>
      </c>
      <c r="BA28" s="37" t="s">
        <v>250</v>
      </c>
      <c r="BB28" s="37" t="s">
        <v>250</v>
      </c>
      <c r="BC28" s="37" t="s">
        <v>252</v>
      </c>
      <c r="BD28" s="37" t="s">
        <v>252</v>
      </c>
      <c r="BE28" s="37" t="s">
        <v>251</v>
      </c>
      <c r="BF28" s="0" t="s">
        <v>55</v>
      </c>
      <c r="BG28" s="37" t="s">
        <v>252</v>
      </c>
      <c r="BH28" s="37" t="s">
        <v>252</v>
      </c>
      <c r="BI28" s="37" t="s">
        <v>252</v>
      </c>
      <c r="BJ28" s="37" t="s">
        <v>252</v>
      </c>
      <c r="BK28" s="0" t="s">
        <v>55</v>
      </c>
    </row>
    <row r="29" customFormat="false" ht="12.8" hidden="false" customHeight="false" outlineLevel="0" collapsed="false">
      <c r="A29" s="0" t="n">
        <f aca="false">A28-1</f>
        <v>1990</v>
      </c>
      <c r="B29" s="37" t="s">
        <v>252</v>
      </c>
      <c r="C29" s="37" t="s">
        <v>252</v>
      </c>
      <c r="D29" s="37" t="s">
        <v>252</v>
      </c>
      <c r="E29" s="37" t="s">
        <v>252</v>
      </c>
      <c r="F29" s="37" t="s">
        <v>250</v>
      </c>
      <c r="G29" s="37" t="s">
        <v>250</v>
      </c>
      <c r="H29" s="37" t="s">
        <v>250</v>
      </c>
      <c r="I29" s="37" t="s">
        <v>250</v>
      </c>
      <c r="J29" s="0" t="s">
        <v>55</v>
      </c>
      <c r="K29" s="37" t="s">
        <v>251</v>
      </c>
      <c r="L29" s="37" t="s">
        <v>252</v>
      </c>
      <c r="M29" s="37" t="s">
        <v>250</v>
      </c>
      <c r="N29" s="37" t="s">
        <v>252</v>
      </c>
      <c r="O29" s="37" t="s">
        <v>252</v>
      </c>
      <c r="P29" s="37" t="s">
        <v>252</v>
      </c>
      <c r="Q29" s="37" t="s">
        <v>250</v>
      </c>
      <c r="R29" s="37" t="s">
        <v>250</v>
      </c>
      <c r="S29" s="37" t="s">
        <v>250</v>
      </c>
      <c r="T29" s="0" t="s">
        <v>55</v>
      </c>
      <c r="U29" s="37" t="s">
        <v>251</v>
      </c>
      <c r="V29" s="37" t="s">
        <v>250</v>
      </c>
      <c r="W29" s="37" t="s">
        <v>250</v>
      </c>
      <c r="X29" s="37" t="s">
        <v>250</v>
      </c>
      <c r="Y29" s="37" t="s">
        <v>250</v>
      </c>
      <c r="Z29" s="37" t="s">
        <v>250</v>
      </c>
      <c r="AA29" s="37" t="s">
        <v>250</v>
      </c>
      <c r="AB29" s="37" t="s">
        <v>250</v>
      </c>
      <c r="AC29" s="37" t="s">
        <v>250</v>
      </c>
      <c r="AD29" s="37" t="s">
        <v>250</v>
      </c>
      <c r="AE29" s="37" t="s">
        <v>252</v>
      </c>
      <c r="AF29" s="37" t="s">
        <v>252</v>
      </c>
      <c r="AG29" s="37" t="s">
        <v>252</v>
      </c>
      <c r="AH29" s="37" t="s">
        <v>252</v>
      </c>
      <c r="AI29" s="37" t="s">
        <v>252</v>
      </c>
      <c r="AJ29" s="37" t="s">
        <v>252</v>
      </c>
      <c r="AK29" s="37" t="s">
        <v>252</v>
      </c>
      <c r="AL29" s="37" t="s">
        <v>252</v>
      </c>
      <c r="AM29" s="37" t="s">
        <v>252</v>
      </c>
      <c r="AN29" s="37" t="s">
        <v>250</v>
      </c>
      <c r="AO29" s="37" t="s">
        <v>250</v>
      </c>
      <c r="AP29" s="37" t="s">
        <v>250</v>
      </c>
      <c r="AQ29" s="37" t="s">
        <v>250</v>
      </c>
      <c r="AR29" s="37" t="s">
        <v>250</v>
      </c>
      <c r="AS29" s="37" t="s">
        <v>250</v>
      </c>
      <c r="AT29" s="0" t="s">
        <v>55</v>
      </c>
      <c r="AU29" s="37" t="s">
        <v>250</v>
      </c>
      <c r="AV29" s="37" t="s">
        <v>250</v>
      </c>
      <c r="AW29" s="37" t="s">
        <v>250</v>
      </c>
      <c r="AX29" s="37" t="s">
        <v>252</v>
      </c>
      <c r="AY29" s="37" t="s">
        <v>252</v>
      </c>
      <c r="AZ29" s="37" t="s">
        <v>252</v>
      </c>
      <c r="BA29" s="37" t="s">
        <v>250</v>
      </c>
      <c r="BB29" s="37" t="s">
        <v>250</v>
      </c>
      <c r="BC29" s="37" t="s">
        <v>252</v>
      </c>
      <c r="BD29" s="37" t="s">
        <v>252</v>
      </c>
      <c r="BE29" s="37" t="s">
        <v>251</v>
      </c>
      <c r="BF29" s="0" t="s">
        <v>55</v>
      </c>
      <c r="BG29" s="37" t="s">
        <v>252</v>
      </c>
      <c r="BH29" s="37" t="s">
        <v>252</v>
      </c>
      <c r="BI29" s="37" t="s">
        <v>252</v>
      </c>
      <c r="BJ29" s="37" t="s">
        <v>252</v>
      </c>
      <c r="BK29" s="0" t="s">
        <v>55</v>
      </c>
    </row>
    <row r="30" customFormat="false" ht="12.8" hidden="false" customHeight="false" outlineLevel="0" collapsed="false">
      <c r="A30" s="0" t="n">
        <f aca="false">A29-1</f>
        <v>1989</v>
      </c>
      <c r="B30" s="37" t="s">
        <v>252</v>
      </c>
      <c r="C30" s="37" t="s">
        <v>252</v>
      </c>
      <c r="D30" s="37" t="s">
        <v>252</v>
      </c>
      <c r="E30" s="37" t="s">
        <v>252</v>
      </c>
      <c r="F30" s="37" t="s">
        <v>250</v>
      </c>
      <c r="G30" s="37" t="s">
        <v>250</v>
      </c>
      <c r="H30" s="37" t="s">
        <v>250</v>
      </c>
      <c r="I30" s="37" t="s">
        <v>250</v>
      </c>
      <c r="J30" s="0" t="s">
        <v>55</v>
      </c>
      <c r="K30" s="37" t="s">
        <v>251</v>
      </c>
      <c r="L30" s="37" t="s">
        <v>252</v>
      </c>
      <c r="M30" s="37" t="s">
        <v>250</v>
      </c>
      <c r="N30" s="37" t="s">
        <v>252</v>
      </c>
      <c r="O30" s="37" t="s">
        <v>252</v>
      </c>
      <c r="P30" s="37" t="s">
        <v>252</v>
      </c>
      <c r="Q30" s="37" t="s">
        <v>250</v>
      </c>
      <c r="R30" s="37" t="s">
        <v>250</v>
      </c>
      <c r="S30" s="37" t="s">
        <v>250</v>
      </c>
      <c r="T30" s="0" t="s">
        <v>55</v>
      </c>
      <c r="U30" s="37" t="s">
        <v>251</v>
      </c>
      <c r="V30" s="37" t="s">
        <v>250</v>
      </c>
      <c r="W30" s="37" t="s">
        <v>250</v>
      </c>
      <c r="X30" s="37" t="s">
        <v>250</v>
      </c>
      <c r="Y30" s="37" t="s">
        <v>250</v>
      </c>
      <c r="Z30" s="37" t="s">
        <v>250</v>
      </c>
      <c r="AA30" s="37" t="s">
        <v>250</v>
      </c>
      <c r="AB30" s="37" t="s">
        <v>250</v>
      </c>
      <c r="AC30" s="37" t="s">
        <v>250</v>
      </c>
      <c r="AD30" s="37" t="s">
        <v>250</v>
      </c>
      <c r="AE30" s="37" t="s">
        <v>252</v>
      </c>
      <c r="AF30" s="37" t="s">
        <v>252</v>
      </c>
      <c r="AG30" s="37" t="s">
        <v>252</v>
      </c>
      <c r="AH30" s="37" t="s">
        <v>252</v>
      </c>
      <c r="AI30" s="37" t="s">
        <v>252</v>
      </c>
      <c r="AJ30" s="37" t="s">
        <v>252</v>
      </c>
      <c r="AK30" s="37" t="s">
        <v>252</v>
      </c>
      <c r="AL30" s="37" t="s">
        <v>252</v>
      </c>
      <c r="AM30" s="37" t="s">
        <v>252</v>
      </c>
      <c r="AN30" s="37" t="s">
        <v>250</v>
      </c>
      <c r="AO30" s="37" t="s">
        <v>250</v>
      </c>
      <c r="AP30" s="37" t="s">
        <v>250</v>
      </c>
      <c r="AQ30" s="37" t="s">
        <v>250</v>
      </c>
      <c r="AR30" s="37" t="s">
        <v>250</v>
      </c>
      <c r="AS30" s="37" t="s">
        <v>250</v>
      </c>
      <c r="AT30" s="0" t="s">
        <v>55</v>
      </c>
      <c r="AU30" s="37" t="s">
        <v>250</v>
      </c>
      <c r="AV30" s="37" t="s">
        <v>250</v>
      </c>
      <c r="AW30" s="37" t="s">
        <v>250</v>
      </c>
      <c r="AX30" s="37" t="s">
        <v>252</v>
      </c>
      <c r="AY30" s="37" t="s">
        <v>252</v>
      </c>
      <c r="AZ30" s="37" t="s">
        <v>252</v>
      </c>
      <c r="BA30" s="37" t="s">
        <v>250</v>
      </c>
      <c r="BB30" s="37" t="s">
        <v>250</v>
      </c>
      <c r="BC30" s="37" t="s">
        <v>252</v>
      </c>
      <c r="BD30" s="37" t="s">
        <v>252</v>
      </c>
      <c r="BE30" s="37" t="s">
        <v>251</v>
      </c>
      <c r="BF30" s="0" t="s">
        <v>55</v>
      </c>
      <c r="BG30" s="37" t="s">
        <v>252</v>
      </c>
      <c r="BH30" s="37" t="s">
        <v>252</v>
      </c>
      <c r="BI30" s="37" t="s">
        <v>252</v>
      </c>
      <c r="BJ30" s="37" t="s">
        <v>252</v>
      </c>
      <c r="BK30" s="0" t="s">
        <v>55</v>
      </c>
    </row>
    <row r="31" customFormat="false" ht="12.8" hidden="false" customHeight="false" outlineLevel="0" collapsed="false">
      <c r="A31" s="0" t="n">
        <f aca="false">A30-1</f>
        <v>1988</v>
      </c>
      <c r="B31" s="37" t="s">
        <v>252</v>
      </c>
      <c r="C31" s="37" t="s">
        <v>252</v>
      </c>
      <c r="D31" s="37" t="s">
        <v>252</v>
      </c>
      <c r="E31" s="37" t="s">
        <v>252</v>
      </c>
      <c r="F31" s="37" t="s">
        <v>250</v>
      </c>
      <c r="G31" s="37" t="s">
        <v>250</v>
      </c>
      <c r="H31" s="37" t="s">
        <v>250</v>
      </c>
      <c r="I31" s="37" t="s">
        <v>250</v>
      </c>
      <c r="J31" s="0" t="s">
        <v>55</v>
      </c>
      <c r="K31" s="37" t="s">
        <v>251</v>
      </c>
      <c r="L31" s="37" t="s">
        <v>252</v>
      </c>
      <c r="M31" s="37" t="s">
        <v>250</v>
      </c>
      <c r="N31" s="37" t="s">
        <v>252</v>
      </c>
      <c r="O31" s="37" t="s">
        <v>252</v>
      </c>
      <c r="P31" s="37" t="s">
        <v>252</v>
      </c>
      <c r="Q31" s="37" t="s">
        <v>250</v>
      </c>
      <c r="R31" s="37" t="s">
        <v>250</v>
      </c>
      <c r="S31" s="37" t="s">
        <v>250</v>
      </c>
      <c r="T31" s="0" t="s">
        <v>55</v>
      </c>
      <c r="U31" s="37" t="s">
        <v>251</v>
      </c>
      <c r="V31" s="37" t="s">
        <v>250</v>
      </c>
      <c r="W31" s="37" t="s">
        <v>250</v>
      </c>
      <c r="X31" s="37" t="s">
        <v>250</v>
      </c>
      <c r="Y31" s="37" t="s">
        <v>250</v>
      </c>
      <c r="Z31" s="37" t="s">
        <v>250</v>
      </c>
      <c r="AA31" s="37" t="s">
        <v>250</v>
      </c>
      <c r="AB31" s="37" t="s">
        <v>250</v>
      </c>
      <c r="AC31" s="37" t="s">
        <v>250</v>
      </c>
      <c r="AD31" s="37" t="s">
        <v>250</v>
      </c>
      <c r="AE31" s="37" t="s">
        <v>252</v>
      </c>
      <c r="AF31" s="37" t="s">
        <v>252</v>
      </c>
      <c r="AG31" s="37" t="s">
        <v>252</v>
      </c>
      <c r="AH31" s="37" t="s">
        <v>252</v>
      </c>
      <c r="AI31" s="37" t="s">
        <v>252</v>
      </c>
      <c r="AJ31" s="37" t="s">
        <v>252</v>
      </c>
      <c r="AK31" s="37" t="s">
        <v>252</v>
      </c>
      <c r="AL31" s="37" t="s">
        <v>252</v>
      </c>
      <c r="AM31" s="37" t="s">
        <v>252</v>
      </c>
      <c r="AN31" s="37" t="s">
        <v>250</v>
      </c>
      <c r="AO31" s="37" t="s">
        <v>250</v>
      </c>
      <c r="AP31" s="37" t="s">
        <v>250</v>
      </c>
      <c r="AQ31" s="37" t="s">
        <v>250</v>
      </c>
      <c r="AR31" s="37" t="s">
        <v>250</v>
      </c>
      <c r="AS31" s="37" t="s">
        <v>250</v>
      </c>
      <c r="AT31" s="0" t="s">
        <v>55</v>
      </c>
      <c r="AU31" s="37" t="s">
        <v>250</v>
      </c>
      <c r="AV31" s="37" t="s">
        <v>250</v>
      </c>
      <c r="AW31" s="37" t="s">
        <v>250</v>
      </c>
      <c r="AX31" s="37" t="s">
        <v>252</v>
      </c>
      <c r="AY31" s="37" t="s">
        <v>252</v>
      </c>
      <c r="AZ31" s="37" t="s">
        <v>252</v>
      </c>
      <c r="BA31" s="37" t="s">
        <v>250</v>
      </c>
      <c r="BB31" s="37" t="s">
        <v>250</v>
      </c>
      <c r="BC31" s="37" t="s">
        <v>252</v>
      </c>
      <c r="BD31" s="37" t="s">
        <v>252</v>
      </c>
      <c r="BE31" s="37" t="s">
        <v>251</v>
      </c>
      <c r="BF31" s="0" t="s">
        <v>55</v>
      </c>
      <c r="BG31" s="37" t="s">
        <v>252</v>
      </c>
      <c r="BH31" s="37" t="s">
        <v>252</v>
      </c>
      <c r="BI31" s="37" t="s">
        <v>252</v>
      </c>
      <c r="BJ31" s="37" t="s">
        <v>252</v>
      </c>
      <c r="BK31" s="0" t="s">
        <v>55</v>
      </c>
    </row>
    <row r="32" customFormat="false" ht="12.8" hidden="false" customHeight="false" outlineLevel="0" collapsed="false">
      <c r="A32" s="0" t="n">
        <f aca="false">A31-1</f>
        <v>1987</v>
      </c>
      <c r="B32" s="37" t="s">
        <v>252</v>
      </c>
      <c r="C32" s="37" t="s">
        <v>252</v>
      </c>
      <c r="D32" s="37" t="s">
        <v>252</v>
      </c>
      <c r="E32" s="37" t="s">
        <v>252</v>
      </c>
      <c r="F32" s="37" t="s">
        <v>250</v>
      </c>
      <c r="G32" s="37" t="s">
        <v>250</v>
      </c>
      <c r="H32" s="37" t="s">
        <v>250</v>
      </c>
      <c r="I32" s="37" t="s">
        <v>250</v>
      </c>
      <c r="J32" s="0" t="s">
        <v>55</v>
      </c>
      <c r="K32" s="37" t="s">
        <v>251</v>
      </c>
      <c r="L32" s="37" t="s">
        <v>252</v>
      </c>
      <c r="M32" s="37" t="s">
        <v>250</v>
      </c>
      <c r="N32" s="37" t="s">
        <v>252</v>
      </c>
      <c r="O32" s="37" t="s">
        <v>252</v>
      </c>
      <c r="P32" s="37" t="s">
        <v>252</v>
      </c>
      <c r="Q32" s="37" t="s">
        <v>250</v>
      </c>
      <c r="R32" s="37" t="s">
        <v>250</v>
      </c>
      <c r="S32" s="37" t="s">
        <v>250</v>
      </c>
      <c r="T32" s="0" t="s">
        <v>55</v>
      </c>
      <c r="U32" s="37" t="s">
        <v>251</v>
      </c>
      <c r="V32" s="37" t="s">
        <v>250</v>
      </c>
      <c r="W32" s="37" t="s">
        <v>250</v>
      </c>
      <c r="X32" s="37" t="s">
        <v>250</v>
      </c>
      <c r="Y32" s="37" t="s">
        <v>250</v>
      </c>
      <c r="Z32" s="37" t="s">
        <v>250</v>
      </c>
      <c r="AA32" s="37" t="s">
        <v>250</v>
      </c>
      <c r="AB32" s="37" t="s">
        <v>250</v>
      </c>
      <c r="AC32" s="37" t="s">
        <v>250</v>
      </c>
      <c r="AD32" s="37" t="s">
        <v>250</v>
      </c>
      <c r="AE32" s="37" t="s">
        <v>252</v>
      </c>
      <c r="AF32" s="37" t="s">
        <v>252</v>
      </c>
      <c r="AG32" s="37" t="s">
        <v>252</v>
      </c>
      <c r="AH32" s="37" t="s">
        <v>252</v>
      </c>
      <c r="AI32" s="37" t="s">
        <v>252</v>
      </c>
      <c r="AJ32" s="37" t="s">
        <v>252</v>
      </c>
      <c r="AK32" s="37" t="s">
        <v>252</v>
      </c>
      <c r="AL32" s="37" t="s">
        <v>252</v>
      </c>
      <c r="AM32" s="37" t="s">
        <v>252</v>
      </c>
      <c r="AN32" s="37" t="s">
        <v>250</v>
      </c>
      <c r="AO32" s="37" t="s">
        <v>250</v>
      </c>
      <c r="AP32" s="37" t="s">
        <v>250</v>
      </c>
      <c r="AQ32" s="37" t="s">
        <v>250</v>
      </c>
      <c r="AR32" s="37" t="s">
        <v>250</v>
      </c>
      <c r="AS32" s="37" t="s">
        <v>250</v>
      </c>
      <c r="AT32" s="0" t="s">
        <v>55</v>
      </c>
      <c r="AU32" s="37" t="s">
        <v>250</v>
      </c>
      <c r="AV32" s="37" t="s">
        <v>250</v>
      </c>
      <c r="AW32" s="37" t="s">
        <v>250</v>
      </c>
      <c r="AX32" s="37" t="s">
        <v>252</v>
      </c>
      <c r="AY32" s="37" t="s">
        <v>252</v>
      </c>
      <c r="AZ32" s="37" t="s">
        <v>252</v>
      </c>
      <c r="BA32" s="37" t="s">
        <v>250</v>
      </c>
      <c r="BB32" s="37" t="s">
        <v>250</v>
      </c>
      <c r="BC32" s="37" t="s">
        <v>252</v>
      </c>
      <c r="BD32" s="37" t="s">
        <v>252</v>
      </c>
      <c r="BE32" s="37" t="s">
        <v>251</v>
      </c>
      <c r="BF32" s="0" t="s">
        <v>55</v>
      </c>
      <c r="BG32" s="37" t="s">
        <v>252</v>
      </c>
      <c r="BH32" s="37" t="s">
        <v>252</v>
      </c>
      <c r="BI32" s="37" t="s">
        <v>252</v>
      </c>
      <c r="BJ32" s="37" t="s">
        <v>252</v>
      </c>
      <c r="BK32" s="0" t="s">
        <v>55</v>
      </c>
    </row>
    <row r="33" customFormat="false" ht="12.8" hidden="false" customHeight="false" outlineLevel="0" collapsed="false">
      <c r="A33" s="0" t="n">
        <f aca="false">A32-1</f>
        <v>1986</v>
      </c>
      <c r="B33" s="37" t="s">
        <v>252</v>
      </c>
      <c r="C33" s="37" t="s">
        <v>252</v>
      </c>
      <c r="D33" s="37" t="s">
        <v>252</v>
      </c>
      <c r="E33" s="37" t="s">
        <v>252</v>
      </c>
      <c r="F33" s="37" t="s">
        <v>250</v>
      </c>
      <c r="G33" s="37" t="s">
        <v>250</v>
      </c>
      <c r="H33" s="37" t="s">
        <v>250</v>
      </c>
      <c r="I33" s="37" t="s">
        <v>250</v>
      </c>
      <c r="J33" s="0" t="s">
        <v>55</v>
      </c>
      <c r="K33" s="37" t="s">
        <v>251</v>
      </c>
      <c r="L33" s="37" t="s">
        <v>252</v>
      </c>
      <c r="M33" s="37" t="s">
        <v>250</v>
      </c>
      <c r="N33" s="37" t="s">
        <v>252</v>
      </c>
      <c r="O33" s="37" t="s">
        <v>252</v>
      </c>
      <c r="P33" s="37" t="s">
        <v>252</v>
      </c>
      <c r="Q33" s="37" t="s">
        <v>250</v>
      </c>
      <c r="R33" s="37" t="s">
        <v>250</v>
      </c>
      <c r="S33" s="37" t="s">
        <v>250</v>
      </c>
      <c r="T33" s="0" t="s">
        <v>55</v>
      </c>
      <c r="U33" s="37" t="s">
        <v>251</v>
      </c>
      <c r="V33" s="37" t="s">
        <v>250</v>
      </c>
      <c r="W33" s="37" t="s">
        <v>250</v>
      </c>
      <c r="X33" s="37" t="s">
        <v>250</v>
      </c>
      <c r="Y33" s="37" t="s">
        <v>250</v>
      </c>
      <c r="Z33" s="37" t="s">
        <v>250</v>
      </c>
      <c r="AA33" s="37" t="s">
        <v>250</v>
      </c>
      <c r="AB33" s="37" t="s">
        <v>250</v>
      </c>
      <c r="AC33" s="37" t="s">
        <v>250</v>
      </c>
      <c r="AD33" s="37" t="s">
        <v>250</v>
      </c>
      <c r="AE33" s="37" t="s">
        <v>252</v>
      </c>
      <c r="AF33" s="37" t="s">
        <v>252</v>
      </c>
      <c r="AG33" s="37" t="s">
        <v>252</v>
      </c>
      <c r="AH33" s="37" t="s">
        <v>252</v>
      </c>
      <c r="AI33" s="37" t="s">
        <v>252</v>
      </c>
      <c r="AJ33" s="37" t="s">
        <v>252</v>
      </c>
      <c r="AK33" s="37" t="s">
        <v>252</v>
      </c>
      <c r="AL33" s="37" t="s">
        <v>252</v>
      </c>
      <c r="AM33" s="37" t="s">
        <v>252</v>
      </c>
      <c r="AN33" s="37" t="s">
        <v>250</v>
      </c>
      <c r="AO33" s="37" t="s">
        <v>250</v>
      </c>
      <c r="AP33" s="37" t="s">
        <v>250</v>
      </c>
      <c r="AQ33" s="37" t="s">
        <v>250</v>
      </c>
      <c r="AR33" s="37" t="s">
        <v>250</v>
      </c>
      <c r="AS33" s="37" t="s">
        <v>250</v>
      </c>
      <c r="AT33" s="0" t="s">
        <v>55</v>
      </c>
      <c r="AU33" s="37" t="s">
        <v>250</v>
      </c>
      <c r="AV33" s="37" t="s">
        <v>250</v>
      </c>
      <c r="AW33" s="37" t="s">
        <v>250</v>
      </c>
      <c r="AX33" s="37" t="s">
        <v>252</v>
      </c>
      <c r="AY33" s="37" t="s">
        <v>252</v>
      </c>
      <c r="AZ33" s="37" t="s">
        <v>252</v>
      </c>
      <c r="BA33" s="37" t="s">
        <v>250</v>
      </c>
      <c r="BB33" s="37" t="s">
        <v>250</v>
      </c>
      <c r="BC33" s="37" t="s">
        <v>252</v>
      </c>
      <c r="BD33" s="37" t="s">
        <v>252</v>
      </c>
      <c r="BE33" s="37" t="s">
        <v>251</v>
      </c>
      <c r="BF33" s="0" t="s">
        <v>55</v>
      </c>
      <c r="BG33" s="37" t="s">
        <v>252</v>
      </c>
      <c r="BH33" s="37" t="s">
        <v>252</v>
      </c>
      <c r="BI33" s="37" t="s">
        <v>252</v>
      </c>
      <c r="BJ33" s="37" t="s">
        <v>252</v>
      </c>
      <c r="BK33" s="0" t="s">
        <v>55</v>
      </c>
    </row>
    <row r="34" customFormat="false" ht="12.8" hidden="false" customHeight="false" outlineLevel="0" collapsed="false">
      <c r="A34" s="0" t="n">
        <f aca="false">A33-1</f>
        <v>1985</v>
      </c>
      <c r="B34" s="37" t="s">
        <v>252</v>
      </c>
      <c r="C34" s="37" t="s">
        <v>252</v>
      </c>
      <c r="D34" s="37" t="s">
        <v>252</v>
      </c>
      <c r="E34" s="37" t="s">
        <v>252</v>
      </c>
      <c r="F34" s="37" t="s">
        <v>250</v>
      </c>
      <c r="G34" s="37" t="s">
        <v>250</v>
      </c>
      <c r="H34" s="37" t="s">
        <v>250</v>
      </c>
      <c r="I34" s="37" t="s">
        <v>250</v>
      </c>
      <c r="J34" s="0" t="s">
        <v>55</v>
      </c>
      <c r="K34" s="37" t="s">
        <v>251</v>
      </c>
      <c r="L34" s="37" t="s">
        <v>252</v>
      </c>
      <c r="M34" s="37" t="s">
        <v>250</v>
      </c>
      <c r="N34" s="37" t="s">
        <v>252</v>
      </c>
      <c r="O34" s="37" t="s">
        <v>252</v>
      </c>
      <c r="P34" s="37" t="s">
        <v>252</v>
      </c>
      <c r="Q34" s="37" t="s">
        <v>250</v>
      </c>
      <c r="R34" s="37" t="s">
        <v>250</v>
      </c>
      <c r="S34" s="37" t="s">
        <v>250</v>
      </c>
      <c r="T34" s="0" t="s">
        <v>55</v>
      </c>
      <c r="U34" s="37" t="s">
        <v>251</v>
      </c>
      <c r="V34" s="37" t="s">
        <v>250</v>
      </c>
      <c r="W34" s="37" t="s">
        <v>250</v>
      </c>
      <c r="X34" s="37" t="s">
        <v>250</v>
      </c>
      <c r="Y34" s="37" t="s">
        <v>250</v>
      </c>
      <c r="Z34" s="37" t="s">
        <v>250</v>
      </c>
      <c r="AA34" s="37" t="s">
        <v>250</v>
      </c>
      <c r="AB34" s="37" t="s">
        <v>250</v>
      </c>
      <c r="AC34" s="37" t="s">
        <v>250</v>
      </c>
      <c r="AD34" s="37" t="s">
        <v>250</v>
      </c>
      <c r="AE34" s="37" t="s">
        <v>252</v>
      </c>
      <c r="AF34" s="37" t="s">
        <v>252</v>
      </c>
      <c r="AG34" s="37" t="s">
        <v>252</v>
      </c>
      <c r="AH34" s="37" t="s">
        <v>252</v>
      </c>
      <c r="AI34" s="37" t="s">
        <v>252</v>
      </c>
      <c r="AJ34" s="37" t="s">
        <v>252</v>
      </c>
      <c r="AK34" s="37" t="s">
        <v>252</v>
      </c>
      <c r="AL34" s="37" t="s">
        <v>252</v>
      </c>
      <c r="AM34" s="37" t="s">
        <v>252</v>
      </c>
      <c r="AN34" s="37" t="s">
        <v>250</v>
      </c>
      <c r="AO34" s="37" t="s">
        <v>250</v>
      </c>
      <c r="AP34" s="37" t="s">
        <v>250</v>
      </c>
      <c r="AQ34" s="37" t="s">
        <v>250</v>
      </c>
      <c r="AR34" s="37" t="s">
        <v>250</v>
      </c>
      <c r="AS34" s="37" t="s">
        <v>250</v>
      </c>
      <c r="AT34" s="0" t="s">
        <v>55</v>
      </c>
      <c r="AU34" s="37" t="s">
        <v>250</v>
      </c>
      <c r="AV34" s="37" t="s">
        <v>250</v>
      </c>
      <c r="AW34" s="37" t="s">
        <v>250</v>
      </c>
      <c r="AX34" s="37" t="s">
        <v>252</v>
      </c>
      <c r="AY34" s="37" t="s">
        <v>252</v>
      </c>
      <c r="AZ34" s="37" t="s">
        <v>252</v>
      </c>
      <c r="BA34" s="37" t="s">
        <v>250</v>
      </c>
      <c r="BB34" s="37" t="s">
        <v>250</v>
      </c>
      <c r="BC34" s="37" t="s">
        <v>252</v>
      </c>
      <c r="BD34" s="37" t="s">
        <v>252</v>
      </c>
      <c r="BE34" s="37" t="s">
        <v>251</v>
      </c>
      <c r="BF34" s="0" t="s">
        <v>55</v>
      </c>
      <c r="BG34" s="37" t="s">
        <v>252</v>
      </c>
      <c r="BH34" s="37" t="s">
        <v>252</v>
      </c>
      <c r="BI34" s="37" t="s">
        <v>252</v>
      </c>
      <c r="BJ34" s="37" t="s">
        <v>252</v>
      </c>
      <c r="BK34" s="0" t="s">
        <v>55</v>
      </c>
    </row>
    <row r="35" customFormat="false" ht="12.8" hidden="false" customHeight="false" outlineLevel="0" collapsed="false">
      <c r="A35" s="0" t="n">
        <f aca="false">A34-1</f>
        <v>1984</v>
      </c>
      <c r="B35" s="37" t="s">
        <v>252</v>
      </c>
      <c r="C35" s="37" t="s">
        <v>252</v>
      </c>
      <c r="D35" s="37" t="s">
        <v>252</v>
      </c>
      <c r="E35" s="37" t="s">
        <v>252</v>
      </c>
      <c r="F35" s="37" t="s">
        <v>250</v>
      </c>
      <c r="G35" s="37" t="s">
        <v>250</v>
      </c>
      <c r="H35" s="37" t="s">
        <v>250</v>
      </c>
      <c r="I35" s="37" t="s">
        <v>250</v>
      </c>
      <c r="J35" s="0" t="s">
        <v>55</v>
      </c>
      <c r="K35" s="37" t="s">
        <v>251</v>
      </c>
      <c r="L35" s="37" t="s">
        <v>252</v>
      </c>
      <c r="M35" s="37" t="s">
        <v>250</v>
      </c>
      <c r="N35" s="37" t="s">
        <v>252</v>
      </c>
      <c r="O35" s="37" t="s">
        <v>252</v>
      </c>
      <c r="P35" s="37" t="s">
        <v>252</v>
      </c>
      <c r="Q35" s="37" t="s">
        <v>250</v>
      </c>
      <c r="R35" s="37" t="s">
        <v>250</v>
      </c>
      <c r="S35" s="37" t="s">
        <v>250</v>
      </c>
      <c r="T35" s="0" t="s">
        <v>55</v>
      </c>
      <c r="U35" s="37" t="s">
        <v>251</v>
      </c>
      <c r="V35" s="37" t="s">
        <v>250</v>
      </c>
      <c r="W35" s="37" t="s">
        <v>250</v>
      </c>
      <c r="X35" s="37" t="s">
        <v>250</v>
      </c>
      <c r="Y35" s="37" t="s">
        <v>250</v>
      </c>
      <c r="Z35" s="37" t="s">
        <v>250</v>
      </c>
      <c r="AA35" s="37" t="s">
        <v>250</v>
      </c>
      <c r="AB35" s="37" t="s">
        <v>250</v>
      </c>
      <c r="AC35" s="37" t="s">
        <v>250</v>
      </c>
      <c r="AD35" s="37" t="s">
        <v>250</v>
      </c>
      <c r="AE35" s="37" t="s">
        <v>252</v>
      </c>
      <c r="AF35" s="37" t="s">
        <v>252</v>
      </c>
      <c r="AG35" s="37" t="s">
        <v>252</v>
      </c>
      <c r="AH35" s="37" t="s">
        <v>252</v>
      </c>
      <c r="AI35" s="37" t="s">
        <v>252</v>
      </c>
      <c r="AJ35" s="37" t="s">
        <v>252</v>
      </c>
      <c r="AK35" s="37" t="s">
        <v>252</v>
      </c>
      <c r="AL35" s="37" t="s">
        <v>252</v>
      </c>
      <c r="AM35" s="37" t="s">
        <v>252</v>
      </c>
      <c r="AN35" s="37" t="s">
        <v>250</v>
      </c>
      <c r="AO35" s="37" t="s">
        <v>250</v>
      </c>
      <c r="AP35" s="37" t="s">
        <v>250</v>
      </c>
      <c r="AQ35" s="37" t="s">
        <v>250</v>
      </c>
      <c r="AR35" s="37" t="s">
        <v>250</v>
      </c>
      <c r="AS35" s="37" t="s">
        <v>250</v>
      </c>
      <c r="AT35" s="0" t="s">
        <v>55</v>
      </c>
      <c r="AU35" s="37" t="s">
        <v>250</v>
      </c>
      <c r="AV35" s="37" t="s">
        <v>250</v>
      </c>
      <c r="AW35" s="37" t="s">
        <v>250</v>
      </c>
      <c r="AX35" s="37" t="s">
        <v>252</v>
      </c>
      <c r="AY35" s="37" t="s">
        <v>252</v>
      </c>
      <c r="AZ35" s="37" t="s">
        <v>252</v>
      </c>
      <c r="BA35" s="37" t="s">
        <v>250</v>
      </c>
      <c r="BB35" s="37" t="s">
        <v>250</v>
      </c>
      <c r="BC35" s="37" t="s">
        <v>252</v>
      </c>
      <c r="BD35" s="37" t="s">
        <v>252</v>
      </c>
      <c r="BE35" s="37" t="s">
        <v>251</v>
      </c>
      <c r="BF35" s="0" t="s">
        <v>55</v>
      </c>
      <c r="BG35" s="37" t="s">
        <v>252</v>
      </c>
      <c r="BH35" s="37" t="s">
        <v>252</v>
      </c>
      <c r="BI35" s="37" t="s">
        <v>252</v>
      </c>
      <c r="BJ35" s="37" t="s">
        <v>252</v>
      </c>
      <c r="BK35" s="0" t="s">
        <v>55</v>
      </c>
    </row>
    <row r="36" customFormat="false" ht="12.8" hidden="false" customHeight="false" outlineLevel="0" collapsed="false">
      <c r="A36" s="0" t="n">
        <f aca="false">A35-1</f>
        <v>1983</v>
      </c>
      <c r="B36" s="37" t="s">
        <v>252</v>
      </c>
      <c r="C36" s="37" t="s">
        <v>252</v>
      </c>
      <c r="D36" s="37" t="s">
        <v>252</v>
      </c>
      <c r="E36" s="37" t="s">
        <v>252</v>
      </c>
      <c r="F36" s="37" t="s">
        <v>250</v>
      </c>
      <c r="G36" s="37" t="s">
        <v>250</v>
      </c>
      <c r="H36" s="37" t="s">
        <v>250</v>
      </c>
      <c r="I36" s="37" t="s">
        <v>250</v>
      </c>
      <c r="J36" s="0" t="s">
        <v>55</v>
      </c>
      <c r="K36" s="37" t="s">
        <v>251</v>
      </c>
      <c r="L36" s="37" t="s">
        <v>252</v>
      </c>
      <c r="M36" s="37" t="s">
        <v>250</v>
      </c>
      <c r="N36" s="37" t="s">
        <v>252</v>
      </c>
      <c r="O36" s="37" t="s">
        <v>252</v>
      </c>
      <c r="P36" s="37" t="s">
        <v>252</v>
      </c>
      <c r="Q36" s="37" t="s">
        <v>250</v>
      </c>
      <c r="R36" s="37" t="s">
        <v>250</v>
      </c>
      <c r="S36" s="37" t="s">
        <v>250</v>
      </c>
      <c r="T36" s="0" t="s">
        <v>55</v>
      </c>
      <c r="U36" s="37" t="s">
        <v>251</v>
      </c>
      <c r="V36" s="37" t="s">
        <v>250</v>
      </c>
      <c r="W36" s="37" t="s">
        <v>250</v>
      </c>
      <c r="X36" s="37" t="s">
        <v>250</v>
      </c>
      <c r="Y36" s="37" t="s">
        <v>250</v>
      </c>
      <c r="Z36" s="37" t="s">
        <v>250</v>
      </c>
      <c r="AA36" s="37" t="s">
        <v>250</v>
      </c>
      <c r="AB36" s="37" t="s">
        <v>250</v>
      </c>
      <c r="AC36" s="37" t="s">
        <v>250</v>
      </c>
      <c r="AD36" s="37" t="s">
        <v>250</v>
      </c>
      <c r="AE36" s="37" t="s">
        <v>252</v>
      </c>
      <c r="AF36" s="37" t="s">
        <v>252</v>
      </c>
      <c r="AG36" s="37" t="s">
        <v>252</v>
      </c>
      <c r="AH36" s="37" t="s">
        <v>252</v>
      </c>
      <c r="AI36" s="37" t="s">
        <v>252</v>
      </c>
      <c r="AJ36" s="37" t="s">
        <v>252</v>
      </c>
      <c r="AK36" s="37" t="s">
        <v>252</v>
      </c>
      <c r="AL36" s="37" t="s">
        <v>252</v>
      </c>
      <c r="AM36" s="37" t="s">
        <v>252</v>
      </c>
      <c r="AN36" s="37" t="s">
        <v>250</v>
      </c>
      <c r="AO36" s="37" t="s">
        <v>250</v>
      </c>
      <c r="AP36" s="37" t="s">
        <v>250</v>
      </c>
      <c r="AQ36" s="37" t="s">
        <v>250</v>
      </c>
      <c r="AR36" s="37" t="s">
        <v>250</v>
      </c>
      <c r="AS36" s="37" t="s">
        <v>250</v>
      </c>
      <c r="AT36" s="0" t="s">
        <v>55</v>
      </c>
      <c r="AU36" s="37" t="s">
        <v>250</v>
      </c>
      <c r="AV36" s="37" t="s">
        <v>250</v>
      </c>
      <c r="AW36" s="37" t="s">
        <v>250</v>
      </c>
      <c r="AX36" s="37" t="s">
        <v>252</v>
      </c>
      <c r="AY36" s="37" t="s">
        <v>252</v>
      </c>
      <c r="AZ36" s="37" t="s">
        <v>252</v>
      </c>
      <c r="BA36" s="37" t="s">
        <v>250</v>
      </c>
      <c r="BB36" s="37" t="s">
        <v>250</v>
      </c>
      <c r="BC36" s="37" t="s">
        <v>252</v>
      </c>
      <c r="BD36" s="37" t="s">
        <v>252</v>
      </c>
      <c r="BE36" s="37" t="s">
        <v>251</v>
      </c>
      <c r="BF36" s="0" t="s">
        <v>55</v>
      </c>
      <c r="BG36" s="37" t="s">
        <v>252</v>
      </c>
      <c r="BH36" s="37" t="s">
        <v>252</v>
      </c>
      <c r="BI36" s="37" t="s">
        <v>252</v>
      </c>
      <c r="BJ36" s="37" t="s">
        <v>252</v>
      </c>
      <c r="BK36" s="0" t="s">
        <v>55</v>
      </c>
    </row>
    <row r="37" customFormat="false" ht="12.8" hidden="false" customHeight="false" outlineLevel="0" collapsed="false">
      <c r="A37" s="0" t="n">
        <f aca="false">A36-1</f>
        <v>1982</v>
      </c>
      <c r="B37" s="37" t="s">
        <v>252</v>
      </c>
      <c r="C37" s="37" t="s">
        <v>252</v>
      </c>
      <c r="D37" s="37" t="s">
        <v>252</v>
      </c>
      <c r="E37" s="37" t="s">
        <v>252</v>
      </c>
      <c r="F37" s="37" t="s">
        <v>250</v>
      </c>
      <c r="G37" s="37" t="s">
        <v>250</v>
      </c>
      <c r="H37" s="37" t="s">
        <v>250</v>
      </c>
      <c r="I37" s="37" t="s">
        <v>250</v>
      </c>
      <c r="J37" s="0" t="s">
        <v>55</v>
      </c>
      <c r="K37" s="37" t="s">
        <v>251</v>
      </c>
      <c r="L37" s="37" t="s">
        <v>252</v>
      </c>
      <c r="M37" s="37" t="s">
        <v>250</v>
      </c>
      <c r="N37" s="37" t="s">
        <v>252</v>
      </c>
      <c r="O37" s="37" t="s">
        <v>252</v>
      </c>
      <c r="P37" s="37" t="s">
        <v>252</v>
      </c>
      <c r="Q37" s="37" t="s">
        <v>250</v>
      </c>
      <c r="R37" s="37" t="s">
        <v>250</v>
      </c>
      <c r="S37" s="37" t="s">
        <v>250</v>
      </c>
      <c r="T37" s="0" t="s">
        <v>55</v>
      </c>
      <c r="U37" s="37" t="s">
        <v>251</v>
      </c>
      <c r="V37" s="37" t="s">
        <v>250</v>
      </c>
      <c r="W37" s="37" t="s">
        <v>250</v>
      </c>
      <c r="X37" s="37" t="s">
        <v>250</v>
      </c>
      <c r="Y37" s="37" t="s">
        <v>250</v>
      </c>
      <c r="Z37" s="37" t="s">
        <v>250</v>
      </c>
      <c r="AA37" s="37" t="s">
        <v>250</v>
      </c>
      <c r="AB37" s="37" t="s">
        <v>250</v>
      </c>
      <c r="AC37" s="37" t="s">
        <v>250</v>
      </c>
      <c r="AD37" s="37" t="s">
        <v>250</v>
      </c>
      <c r="AE37" s="37" t="s">
        <v>252</v>
      </c>
      <c r="AF37" s="37" t="s">
        <v>252</v>
      </c>
      <c r="AG37" s="37" t="s">
        <v>252</v>
      </c>
      <c r="AH37" s="37" t="s">
        <v>252</v>
      </c>
      <c r="AI37" s="37" t="s">
        <v>252</v>
      </c>
      <c r="AJ37" s="37" t="s">
        <v>252</v>
      </c>
      <c r="AK37" s="37" t="s">
        <v>252</v>
      </c>
      <c r="AL37" s="37" t="s">
        <v>252</v>
      </c>
      <c r="AM37" s="37" t="s">
        <v>252</v>
      </c>
      <c r="AN37" s="37" t="s">
        <v>250</v>
      </c>
      <c r="AO37" s="37" t="s">
        <v>250</v>
      </c>
      <c r="AP37" s="37" t="s">
        <v>250</v>
      </c>
      <c r="AQ37" s="37" t="s">
        <v>250</v>
      </c>
      <c r="AR37" s="37" t="s">
        <v>250</v>
      </c>
      <c r="AS37" s="37" t="s">
        <v>250</v>
      </c>
      <c r="AT37" s="0" t="s">
        <v>55</v>
      </c>
      <c r="AU37" s="37" t="s">
        <v>250</v>
      </c>
      <c r="AV37" s="37" t="s">
        <v>250</v>
      </c>
      <c r="AW37" s="37" t="s">
        <v>250</v>
      </c>
      <c r="AX37" s="37" t="s">
        <v>252</v>
      </c>
      <c r="AY37" s="37" t="s">
        <v>252</v>
      </c>
      <c r="AZ37" s="37" t="s">
        <v>252</v>
      </c>
      <c r="BA37" s="37" t="s">
        <v>250</v>
      </c>
      <c r="BB37" s="37" t="s">
        <v>250</v>
      </c>
      <c r="BC37" s="37" t="s">
        <v>252</v>
      </c>
      <c r="BD37" s="37" t="s">
        <v>252</v>
      </c>
      <c r="BE37" s="37" t="s">
        <v>251</v>
      </c>
      <c r="BF37" s="0" t="s">
        <v>55</v>
      </c>
      <c r="BG37" s="37" t="s">
        <v>252</v>
      </c>
      <c r="BH37" s="37" t="s">
        <v>252</v>
      </c>
      <c r="BI37" s="37" t="s">
        <v>252</v>
      </c>
      <c r="BJ37" s="37" t="s">
        <v>252</v>
      </c>
      <c r="BK37" s="0" t="s">
        <v>55</v>
      </c>
    </row>
    <row r="38" customFormat="false" ht="12.8" hidden="false" customHeight="false" outlineLevel="0" collapsed="false">
      <c r="A38" s="0" t="n">
        <f aca="false">A37-1</f>
        <v>1981</v>
      </c>
      <c r="B38" s="37" t="s">
        <v>252</v>
      </c>
      <c r="C38" s="37" t="s">
        <v>252</v>
      </c>
      <c r="D38" s="37" t="s">
        <v>252</v>
      </c>
      <c r="E38" s="37" t="s">
        <v>252</v>
      </c>
      <c r="F38" s="37" t="s">
        <v>250</v>
      </c>
      <c r="G38" s="37" t="s">
        <v>250</v>
      </c>
      <c r="H38" s="37" t="s">
        <v>250</v>
      </c>
      <c r="I38" s="37" t="s">
        <v>250</v>
      </c>
      <c r="J38" s="0" t="s">
        <v>55</v>
      </c>
      <c r="K38" s="37" t="s">
        <v>251</v>
      </c>
      <c r="L38" s="37" t="s">
        <v>252</v>
      </c>
      <c r="M38" s="37" t="s">
        <v>250</v>
      </c>
      <c r="N38" s="37" t="s">
        <v>252</v>
      </c>
      <c r="O38" s="37" t="s">
        <v>252</v>
      </c>
      <c r="P38" s="37" t="s">
        <v>252</v>
      </c>
      <c r="Q38" s="37" t="s">
        <v>250</v>
      </c>
      <c r="R38" s="37" t="s">
        <v>250</v>
      </c>
      <c r="S38" s="37" t="s">
        <v>250</v>
      </c>
      <c r="T38" s="0" t="s">
        <v>55</v>
      </c>
      <c r="U38" s="37" t="s">
        <v>251</v>
      </c>
      <c r="V38" s="37" t="s">
        <v>250</v>
      </c>
      <c r="W38" s="37" t="s">
        <v>250</v>
      </c>
      <c r="X38" s="37" t="s">
        <v>250</v>
      </c>
      <c r="Y38" s="37" t="s">
        <v>250</v>
      </c>
      <c r="Z38" s="37" t="s">
        <v>250</v>
      </c>
      <c r="AA38" s="37" t="s">
        <v>250</v>
      </c>
      <c r="AB38" s="37" t="s">
        <v>250</v>
      </c>
      <c r="AC38" s="37" t="s">
        <v>250</v>
      </c>
      <c r="AD38" s="37" t="s">
        <v>250</v>
      </c>
      <c r="AE38" s="37" t="s">
        <v>252</v>
      </c>
      <c r="AF38" s="37" t="s">
        <v>252</v>
      </c>
      <c r="AG38" s="37" t="s">
        <v>252</v>
      </c>
      <c r="AH38" s="37" t="s">
        <v>252</v>
      </c>
      <c r="AI38" s="37" t="s">
        <v>252</v>
      </c>
      <c r="AJ38" s="37" t="s">
        <v>252</v>
      </c>
      <c r="AK38" s="37" t="s">
        <v>252</v>
      </c>
      <c r="AL38" s="37" t="s">
        <v>252</v>
      </c>
      <c r="AM38" s="37" t="s">
        <v>252</v>
      </c>
      <c r="AN38" s="37" t="s">
        <v>250</v>
      </c>
      <c r="AO38" s="37" t="s">
        <v>250</v>
      </c>
      <c r="AP38" s="37" t="s">
        <v>250</v>
      </c>
      <c r="AQ38" s="37" t="s">
        <v>250</v>
      </c>
      <c r="AR38" s="37" t="s">
        <v>250</v>
      </c>
      <c r="AS38" s="37" t="s">
        <v>250</v>
      </c>
      <c r="AT38" s="0" t="s">
        <v>55</v>
      </c>
      <c r="AU38" s="37" t="s">
        <v>250</v>
      </c>
      <c r="AV38" s="37" t="s">
        <v>250</v>
      </c>
      <c r="AW38" s="37" t="s">
        <v>250</v>
      </c>
      <c r="AX38" s="37" t="s">
        <v>252</v>
      </c>
      <c r="AY38" s="37" t="s">
        <v>252</v>
      </c>
      <c r="AZ38" s="37" t="s">
        <v>252</v>
      </c>
      <c r="BA38" s="37" t="s">
        <v>250</v>
      </c>
      <c r="BB38" s="37" t="s">
        <v>250</v>
      </c>
      <c r="BC38" s="37" t="s">
        <v>252</v>
      </c>
      <c r="BD38" s="37" t="s">
        <v>252</v>
      </c>
      <c r="BE38" s="37" t="s">
        <v>251</v>
      </c>
      <c r="BF38" s="0" t="s">
        <v>55</v>
      </c>
      <c r="BG38" s="37" t="s">
        <v>252</v>
      </c>
      <c r="BH38" s="37" t="s">
        <v>252</v>
      </c>
      <c r="BI38" s="37" t="s">
        <v>252</v>
      </c>
      <c r="BJ38" s="37" t="s">
        <v>252</v>
      </c>
      <c r="BK38" s="0" t="s">
        <v>55</v>
      </c>
    </row>
    <row r="39" customFormat="false" ht="12.8" hidden="false" customHeight="false" outlineLevel="0" collapsed="false">
      <c r="A39" s="0" t="n">
        <f aca="false">A38-1</f>
        <v>1980</v>
      </c>
      <c r="B39" s="37" t="s">
        <v>252</v>
      </c>
      <c r="C39" s="37" t="s">
        <v>252</v>
      </c>
      <c r="D39" s="37" t="s">
        <v>252</v>
      </c>
      <c r="E39" s="37" t="s">
        <v>252</v>
      </c>
      <c r="F39" s="37" t="s">
        <v>250</v>
      </c>
      <c r="G39" s="37" t="s">
        <v>250</v>
      </c>
      <c r="H39" s="37" t="s">
        <v>250</v>
      </c>
      <c r="I39" s="37" t="s">
        <v>250</v>
      </c>
      <c r="J39" s="0" t="s">
        <v>55</v>
      </c>
      <c r="K39" s="37" t="s">
        <v>251</v>
      </c>
      <c r="L39" s="37" t="s">
        <v>252</v>
      </c>
      <c r="M39" s="37" t="s">
        <v>250</v>
      </c>
      <c r="N39" s="37" t="s">
        <v>252</v>
      </c>
      <c r="O39" s="37" t="s">
        <v>252</v>
      </c>
      <c r="P39" s="37" t="s">
        <v>252</v>
      </c>
      <c r="Q39" s="37" t="s">
        <v>250</v>
      </c>
      <c r="R39" s="37" t="s">
        <v>250</v>
      </c>
      <c r="S39" s="37" t="s">
        <v>250</v>
      </c>
      <c r="T39" s="0" t="s">
        <v>55</v>
      </c>
      <c r="U39" s="37" t="s">
        <v>251</v>
      </c>
      <c r="V39" s="37" t="s">
        <v>250</v>
      </c>
      <c r="W39" s="37" t="s">
        <v>250</v>
      </c>
      <c r="X39" s="37" t="s">
        <v>250</v>
      </c>
      <c r="Y39" s="37" t="s">
        <v>250</v>
      </c>
      <c r="Z39" s="37" t="s">
        <v>250</v>
      </c>
      <c r="AA39" s="37" t="s">
        <v>250</v>
      </c>
      <c r="AB39" s="37" t="s">
        <v>250</v>
      </c>
      <c r="AC39" s="37" t="s">
        <v>250</v>
      </c>
      <c r="AD39" s="37" t="s">
        <v>250</v>
      </c>
      <c r="AE39" s="37" t="s">
        <v>252</v>
      </c>
      <c r="AF39" s="37" t="s">
        <v>252</v>
      </c>
      <c r="AG39" s="37" t="s">
        <v>252</v>
      </c>
      <c r="AH39" s="37" t="s">
        <v>252</v>
      </c>
      <c r="AI39" s="37" t="s">
        <v>252</v>
      </c>
      <c r="AJ39" s="37" t="s">
        <v>252</v>
      </c>
      <c r="AK39" s="37" t="s">
        <v>252</v>
      </c>
      <c r="AL39" s="37" t="s">
        <v>252</v>
      </c>
      <c r="AM39" s="37" t="s">
        <v>252</v>
      </c>
      <c r="AN39" s="37" t="s">
        <v>250</v>
      </c>
      <c r="AO39" s="37" t="s">
        <v>250</v>
      </c>
      <c r="AP39" s="37" t="s">
        <v>250</v>
      </c>
      <c r="AQ39" s="37" t="s">
        <v>250</v>
      </c>
      <c r="AR39" s="37" t="s">
        <v>250</v>
      </c>
      <c r="AS39" s="37" t="s">
        <v>250</v>
      </c>
      <c r="AT39" s="0" t="s">
        <v>55</v>
      </c>
      <c r="AU39" s="37" t="s">
        <v>250</v>
      </c>
      <c r="AV39" s="37" t="s">
        <v>250</v>
      </c>
      <c r="AW39" s="37" t="s">
        <v>250</v>
      </c>
      <c r="AX39" s="37" t="s">
        <v>252</v>
      </c>
      <c r="AY39" s="37" t="s">
        <v>252</v>
      </c>
      <c r="AZ39" s="37" t="s">
        <v>252</v>
      </c>
      <c r="BA39" s="37" t="s">
        <v>250</v>
      </c>
      <c r="BB39" s="37" t="s">
        <v>250</v>
      </c>
      <c r="BC39" s="37" t="s">
        <v>252</v>
      </c>
      <c r="BD39" s="37" t="s">
        <v>252</v>
      </c>
      <c r="BE39" s="37" t="s">
        <v>251</v>
      </c>
      <c r="BF39" s="0" t="s">
        <v>55</v>
      </c>
      <c r="BG39" s="37" t="s">
        <v>252</v>
      </c>
      <c r="BH39" s="37" t="s">
        <v>252</v>
      </c>
      <c r="BI39" s="37" t="s">
        <v>252</v>
      </c>
      <c r="BJ39" s="37" t="s">
        <v>252</v>
      </c>
      <c r="BK39" s="0" t="s">
        <v>55</v>
      </c>
    </row>
    <row r="40" customFormat="false" ht="12.8" hidden="false" customHeight="false" outlineLevel="0" collapsed="false">
      <c r="A40" s="0" t="n">
        <f aca="false">A39-1</f>
        <v>1979</v>
      </c>
      <c r="B40" s="37" t="s">
        <v>252</v>
      </c>
      <c r="C40" s="37" t="s">
        <v>252</v>
      </c>
      <c r="D40" s="37" t="s">
        <v>252</v>
      </c>
      <c r="E40" s="37" t="s">
        <v>252</v>
      </c>
      <c r="F40" s="37" t="s">
        <v>250</v>
      </c>
      <c r="G40" s="37" t="s">
        <v>250</v>
      </c>
      <c r="H40" s="37" t="s">
        <v>250</v>
      </c>
      <c r="I40" s="37" t="s">
        <v>250</v>
      </c>
      <c r="J40" s="0" t="s">
        <v>55</v>
      </c>
      <c r="K40" s="37" t="s">
        <v>251</v>
      </c>
      <c r="L40" s="37" t="s">
        <v>252</v>
      </c>
      <c r="M40" s="37" t="s">
        <v>250</v>
      </c>
      <c r="N40" s="37" t="s">
        <v>252</v>
      </c>
      <c r="O40" s="37" t="s">
        <v>252</v>
      </c>
      <c r="P40" s="37" t="s">
        <v>252</v>
      </c>
      <c r="Q40" s="37" t="s">
        <v>250</v>
      </c>
      <c r="R40" s="37" t="s">
        <v>250</v>
      </c>
      <c r="S40" s="37" t="s">
        <v>250</v>
      </c>
      <c r="T40" s="0" t="s">
        <v>55</v>
      </c>
      <c r="U40" s="37" t="s">
        <v>251</v>
      </c>
      <c r="V40" s="37" t="s">
        <v>250</v>
      </c>
      <c r="W40" s="37" t="s">
        <v>250</v>
      </c>
      <c r="X40" s="37" t="s">
        <v>250</v>
      </c>
      <c r="Y40" s="37" t="s">
        <v>250</v>
      </c>
      <c r="Z40" s="37" t="s">
        <v>250</v>
      </c>
      <c r="AA40" s="37" t="s">
        <v>250</v>
      </c>
      <c r="AB40" s="37" t="s">
        <v>250</v>
      </c>
      <c r="AC40" s="37" t="s">
        <v>250</v>
      </c>
      <c r="AD40" s="37" t="s">
        <v>250</v>
      </c>
      <c r="AE40" s="37" t="s">
        <v>252</v>
      </c>
      <c r="AF40" s="37" t="s">
        <v>252</v>
      </c>
      <c r="AG40" s="37" t="s">
        <v>252</v>
      </c>
      <c r="AH40" s="37" t="s">
        <v>252</v>
      </c>
      <c r="AI40" s="37" t="s">
        <v>252</v>
      </c>
      <c r="AJ40" s="37" t="s">
        <v>252</v>
      </c>
      <c r="AK40" s="37" t="s">
        <v>252</v>
      </c>
      <c r="AL40" s="37" t="s">
        <v>252</v>
      </c>
      <c r="AM40" s="37" t="s">
        <v>252</v>
      </c>
      <c r="AN40" s="37" t="s">
        <v>250</v>
      </c>
      <c r="AO40" s="37" t="s">
        <v>250</v>
      </c>
      <c r="AP40" s="37" t="s">
        <v>250</v>
      </c>
      <c r="AQ40" s="37" t="s">
        <v>250</v>
      </c>
      <c r="AR40" s="37" t="s">
        <v>250</v>
      </c>
      <c r="AS40" s="37" t="s">
        <v>250</v>
      </c>
      <c r="AT40" s="0" t="s">
        <v>55</v>
      </c>
      <c r="AU40" s="37" t="s">
        <v>250</v>
      </c>
      <c r="AV40" s="37" t="s">
        <v>250</v>
      </c>
      <c r="AW40" s="37" t="s">
        <v>250</v>
      </c>
      <c r="AX40" s="37" t="s">
        <v>252</v>
      </c>
      <c r="AY40" s="37" t="s">
        <v>252</v>
      </c>
      <c r="AZ40" s="37" t="s">
        <v>252</v>
      </c>
      <c r="BA40" s="37" t="s">
        <v>250</v>
      </c>
      <c r="BB40" s="37" t="s">
        <v>250</v>
      </c>
      <c r="BC40" s="37" t="s">
        <v>252</v>
      </c>
      <c r="BD40" s="37" t="s">
        <v>252</v>
      </c>
      <c r="BE40" s="37" t="s">
        <v>251</v>
      </c>
      <c r="BF40" s="0" t="s">
        <v>55</v>
      </c>
      <c r="BG40" s="37" t="s">
        <v>252</v>
      </c>
      <c r="BH40" s="37" t="s">
        <v>252</v>
      </c>
      <c r="BI40" s="37" t="s">
        <v>252</v>
      </c>
      <c r="BJ40" s="37" t="s">
        <v>252</v>
      </c>
      <c r="BK40" s="0" t="s">
        <v>55</v>
      </c>
    </row>
    <row r="41" customFormat="false" ht="12.8" hidden="false" customHeight="false" outlineLevel="0" collapsed="false">
      <c r="A41" s="0" t="n">
        <f aca="false">A40-1</f>
        <v>1978</v>
      </c>
      <c r="B41" s="37" t="s">
        <v>252</v>
      </c>
      <c r="C41" s="37" t="s">
        <v>252</v>
      </c>
      <c r="D41" s="37" t="s">
        <v>252</v>
      </c>
      <c r="E41" s="37" t="s">
        <v>252</v>
      </c>
      <c r="F41" s="37" t="s">
        <v>250</v>
      </c>
      <c r="G41" s="37" t="s">
        <v>250</v>
      </c>
      <c r="H41" s="37" t="s">
        <v>250</v>
      </c>
      <c r="I41" s="37" t="s">
        <v>250</v>
      </c>
      <c r="J41" s="0" t="s">
        <v>55</v>
      </c>
      <c r="K41" s="37" t="s">
        <v>251</v>
      </c>
      <c r="L41" s="37" t="s">
        <v>252</v>
      </c>
      <c r="M41" s="37" t="s">
        <v>250</v>
      </c>
      <c r="N41" s="37" t="s">
        <v>252</v>
      </c>
      <c r="O41" s="37" t="s">
        <v>252</v>
      </c>
      <c r="P41" s="37" t="s">
        <v>252</v>
      </c>
      <c r="Q41" s="37" t="s">
        <v>250</v>
      </c>
      <c r="R41" s="37" t="s">
        <v>250</v>
      </c>
      <c r="S41" s="37" t="s">
        <v>250</v>
      </c>
      <c r="T41" s="0" t="s">
        <v>55</v>
      </c>
      <c r="U41" s="37" t="s">
        <v>251</v>
      </c>
      <c r="V41" s="37" t="s">
        <v>250</v>
      </c>
      <c r="W41" s="37" t="s">
        <v>250</v>
      </c>
      <c r="X41" s="37" t="s">
        <v>250</v>
      </c>
      <c r="Y41" s="37" t="s">
        <v>250</v>
      </c>
      <c r="Z41" s="37" t="s">
        <v>250</v>
      </c>
      <c r="AA41" s="37" t="s">
        <v>250</v>
      </c>
      <c r="AB41" s="37" t="s">
        <v>250</v>
      </c>
      <c r="AC41" s="37" t="s">
        <v>250</v>
      </c>
      <c r="AD41" s="37" t="s">
        <v>250</v>
      </c>
      <c r="AE41" s="37" t="s">
        <v>252</v>
      </c>
      <c r="AF41" s="37" t="s">
        <v>252</v>
      </c>
      <c r="AG41" s="37" t="s">
        <v>252</v>
      </c>
      <c r="AH41" s="37" t="s">
        <v>252</v>
      </c>
      <c r="AI41" s="37" t="s">
        <v>252</v>
      </c>
      <c r="AJ41" s="37" t="s">
        <v>252</v>
      </c>
      <c r="AK41" s="37" t="s">
        <v>252</v>
      </c>
      <c r="AL41" s="37" t="s">
        <v>252</v>
      </c>
      <c r="AM41" s="37" t="s">
        <v>252</v>
      </c>
      <c r="AN41" s="37" t="s">
        <v>250</v>
      </c>
      <c r="AO41" s="37" t="s">
        <v>250</v>
      </c>
      <c r="AP41" s="37" t="s">
        <v>250</v>
      </c>
      <c r="AQ41" s="37" t="s">
        <v>250</v>
      </c>
      <c r="AR41" s="37" t="s">
        <v>250</v>
      </c>
      <c r="AS41" s="37" t="s">
        <v>250</v>
      </c>
      <c r="AT41" s="0" t="s">
        <v>55</v>
      </c>
      <c r="AU41" s="37" t="s">
        <v>250</v>
      </c>
      <c r="AV41" s="37" t="s">
        <v>250</v>
      </c>
      <c r="AW41" s="37" t="s">
        <v>250</v>
      </c>
      <c r="AX41" s="37" t="s">
        <v>252</v>
      </c>
      <c r="AY41" s="37" t="s">
        <v>252</v>
      </c>
      <c r="AZ41" s="37" t="s">
        <v>252</v>
      </c>
      <c r="BA41" s="37" t="s">
        <v>250</v>
      </c>
      <c r="BB41" s="37" t="s">
        <v>250</v>
      </c>
      <c r="BC41" s="37" t="s">
        <v>252</v>
      </c>
      <c r="BD41" s="37" t="s">
        <v>252</v>
      </c>
      <c r="BE41" s="37" t="s">
        <v>251</v>
      </c>
      <c r="BF41" s="0" t="s">
        <v>55</v>
      </c>
      <c r="BG41" s="37" t="s">
        <v>252</v>
      </c>
      <c r="BH41" s="37" t="s">
        <v>252</v>
      </c>
      <c r="BI41" s="37" t="s">
        <v>252</v>
      </c>
      <c r="BJ41" s="37" t="s">
        <v>252</v>
      </c>
      <c r="BK41" s="0" t="s">
        <v>55</v>
      </c>
    </row>
    <row r="42" customFormat="false" ht="12.8" hidden="false" customHeight="false" outlineLevel="0" collapsed="false">
      <c r="A42" s="0" t="n">
        <f aca="false">A41-1</f>
        <v>1977</v>
      </c>
      <c r="B42" s="37" t="s">
        <v>252</v>
      </c>
      <c r="C42" s="37" t="s">
        <v>252</v>
      </c>
      <c r="D42" s="37" t="s">
        <v>252</v>
      </c>
      <c r="E42" s="37" t="s">
        <v>252</v>
      </c>
      <c r="F42" s="37" t="s">
        <v>250</v>
      </c>
      <c r="G42" s="37" t="s">
        <v>250</v>
      </c>
      <c r="H42" s="37" t="s">
        <v>250</v>
      </c>
      <c r="I42" s="37" t="s">
        <v>250</v>
      </c>
      <c r="J42" s="0" t="s">
        <v>55</v>
      </c>
      <c r="K42" s="37" t="s">
        <v>251</v>
      </c>
      <c r="L42" s="37" t="s">
        <v>252</v>
      </c>
      <c r="M42" s="37" t="s">
        <v>250</v>
      </c>
      <c r="N42" s="37" t="s">
        <v>252</v>
      </c>
      <c r="O42" s="37" t="s">
        <v>252</v>
      </c>
      <c r="P42" s="37" t="s">
        <v>252</v>
      </c>
      <c r="Q42" s="37" t="s">
        <v>250</v>
      </c>
      <c r="R42" s="37" t="s">
        <v>250</v>
      </c>
      <c r="S42" s="37" t="s">
        <v>250</v>
      </c>
      <c r="T42" s="0" t="s">
        <v>55</v>
      </c>
      <c r="U42" s="37" t="s">
        <v>251</v>
      </c>
      <c r="V42" s="37" t="s">
        <v>250</v>
      </c>
      <c r="W42" s="37" t="s">
        <v>250</v>
      </c>
      <c r="X42" s="37" t="s">
        <v>250</v>
      </c>
      <c r="Y42" s="37" t="s">
        <v>250</v>
      </c>
      <c r="Z42" s="37" t="s">
        <v>250</v>
      </c>
      <c r="AA42" s="37" t="s">
        <v>250</v>
      </c>
      <c r="AB42" s="37" t="s">
        <v>250</v>
      </c>
      <c r="AC42" s="37" t="s">
        <v>250</v>
      </c>
      <c r="AD42" s="37" t="s">
        <v>250</v>
      </c>
      <c r="AE42" s="37" t="s">
        <v>252</v>
      </c>
      <c r="AF42" s="37" t="s">
        <v>252</v>
      </c>
      <c r="AG42" s="37" t="s">
        <v>252</v>
      </c>
      <c r="AH42" s="37" t="s">
        <v>252</v>
      </c>
      <c r="AI42" s="37" t="s">
        <v>252</v>
      </c>
      <c r="AJ42" s="37" t="s">
        <v>252</v>
      </c>
      <c r="AK42" s="37" t="s">
        <v>252</v>
      </c>
      <c r="AL42" s="37" t="s">
        <v>252</v>
      </c>
      <c r="AM42" s="37" t="s">
        <v>252</v>
      </c>
      <c r="AN42" s="37" t="s">
        <v>250</v>
      </c>
      <c r="AO42" s="37" t="s">
        <v>250</v>
      </c>
      <c r="AP42" s="37" t="s">
        <v>250</v>
      </c>
      <c r="AQ42" s="37" t="s">
        <v>250</v>
      </c>
      <c r="AR42" s="37" t="s">
        <v>250</v>
      </c>
      <c r="AS42" s="37" t="s">
        <v>250</v>
      </c>
      <c r="AT42" s="0" t="s">
        <v>55</v>
      </c>
      <c r="AU42" s="37" t="s">
        <v>250</v>
      </c>
      <c r="AV42" s="37" t="s">
        <v>250</v>
      </c>
      <c r="AW42" s="37" t="s">
        <v>250</v>
      </c>
      <c r="AX42" s="37" t="s">
        <v>252</v>
      </c>
      <c r="AY42" s="37" t="s">
        <v>252</v>
      </c>
      <c r="AZ42" s="37" t="s">
        <v>252</v>
      </c>
      <c r="BA42" s="37" t="s">
        <v>250</v>
      </c>
      <c r="BB42" s="37" t="s">
        <v>250</v>
      </c>
      <c r="BC42" s="37" t="s">
        <v>252</v>
      </c>
      <c r="BD42" s="37" t="s">
        <v>252</v>
      </c>
      <c r="BE42" s="37" t="s">
        <v>251</v>
      </c>
      <c r="BF42" s="0" t="s">
        <v>55</v>
      </c>
      <c r="BG42" s="37" t="s">
        <v>252</v>
      </c>
      <c r="BH42" s="37" t="s">
        <v>252</v>
      </c>
      <c r="BI42" s="37" t="s">
        <v>252</v>
      </c>
      <c r="BJ42" s="37" t="s">
        <v>252</v>
      </c>
      <c r="BK42" s="0" t="s">
        <v>55</v>
      </c>
    </row>
    <row r="43" customFormat="false" ht="12.8" hidden="false" customHeight="false" outlineLevel="0" collapsed="false">
      <c r="A43" s="0" t="n">
        <f aca="false">A42-1</f>
        <v>1976</v>
      </c>
      <c r="B43" s="37" t="s">
        <v>252</v>
      </c>
      <c r="C43" s="37" t="s">
        <v>252</v>
      </c>
      <c r="D43" s="37" t="s">
        <v>252</v>
      </c>
      <c r="E43" s="37" t="s">
        <v>252</v>
      </c>
      <c r="F43" s="37" t="s">
        <v>250</v>
      </c>
      <c r="G43" s="37" t="s">
        <v>250</v>
      </c>
      <c r="H43" s="37" t="s">
        <v>250</v>
      </c>
      <c r="I43" s="37" t="s">
        <v>250</v>
      </c>
      <c r="J43" s="0" t="s">
        <v>55</v>
      </c>
      <c r="K43" s="37" t="s">
        <v>251</v>
      </c>
      <c r="L43" s="37" t="s">
        <v>252</v>
      </c>
      <c r="M43" s="37" t="s">
        <v>250</v>
      </c>
      <c r="N43" s="37" t="s">
        <v>252</v>
      </c>
      <c r="O43" s="37" t="s">
        <v>252</v>
      </c>
      <c r="P43" s="37" t="s">
        <v>252</v>
      </c>
      <c r="Q43" s="37" t="s">
        <v>250</v>
      </c>
      <c r="R43" s="37" t="s">
        <v>250</v>
      </c>
      <c r="S43" s="37" t="s">
        <v>250</v>
      </c>
      <c r="T43" s="0" t="s">
        <v>55</v>
      </c>
      <c r="U43" s="37" t="s">
        <v>251</v>
      </c>
      <c r="V43" s="37" t="s">
        <v>250</v>
      </c>
      <c r="W43" s="37" t="s">
        <v>250</v>
      </c>
      <c r="X43" s="37" t="s">
        <v>250</v>
      </c>
      <c r="Y43" s="37" t="s">
        <v>250</v>
      </c>
      <c r="Z43" s="37" t="s">
        <v>250</v>
      </c>
      <c r="AA43" s="37" t="s">
        <v>250</v>
      </c>
      <c r="AB43" s="37" t="s">
        <v>250</v>
      </c>
      <c r="AC43" s="37" t="s">
        <v>250</v>
      </c>
      <c r="AD43" s="37" t="s">
        <v>250</v>
      </c>
      <c r="AE43" s="37" t="s">
        <v>252</v>
      </c>
      <c r="AF43" s="37" t="s">
        <v>252</v>
      </c>
      <c r="AG43" s="37" t="s">
        <v>252</v>
      </c>
      <c r="AH43" s="37" t="s">
        <v>252</v>
      </c>
      <c r="AI43" s="37" t="s">
        <v>252</v>
      </c>
      <c r="AJ43" s="37" t="s">
        <v>252</v>
      </c>
      <c r="AK43" s="37" t="s">
        <v>252</v>
      </c>
      <c r="AL43" s="37" t="s">
        <v>252</v>
      </c>
      <c r="AM43" s="37" t="s">
        <v>252</v>
      </c>
      <c r="AN43" s="37" t="s">
        <v>250</v>
      </c>
      <c r="AO43" s="37" t="s">
        <v>250</v>
      </c>
      <c r="AP43" s="37" t="s">
        <v>250</v>
      </c>
      <c r="AQ43" s="37" t="s">
        <v>250</v>
      </c>
      <c r="AR43" s="37" t="s">
        <v>250</v>
      </c>
      <c r="AS43" s="37" t="s">
        <v>250</v>
      </c>
      <c r="AT43" s="0" t="s">
        <v>55</v>
      </c>
      <c r="AU43" s="37" t="s">
        <v>250</v>
      </c>
      <c r="AV43" s="37" t="s">
        <v>250</v>
      </c>
      <c r="AW43" s="37" t="s">
        <v>250</v>
      </c>
      <c r="AX43" s="37" t="s">
        <v>252</v>
      </c>
      <c r="AY43" s="37" t="s">
        <v>252</v>
      </c>
      <c r="AZ43" s="37" t="s">
        <v>252</v>
      </c>
      <c r="BA43" s="37" t="s">
        <v>250</v>
      </c>
      <c r="BB43" s="37" t="s">
        <v>250</v>
      </c>
      <c r="BC43" s="37" t="s">
        <v>252</v>
      </c>
      <c r="BD43" s="37" t="s">
        <v>252</v>
      </c>
      <c r="BE43" s="37" t="s">
        <v>251</v>
      </c>
      <c r="BF43" s="0" t="s">
        <v>55</v>
      </c>
      <c r="BG43" s="37" t="s">
        <v>252</v>
      </c>
      <c r="BH43" s="37" t="s">
        <v>252</v>
      </c>
      <c r="BI43" s="37" t="s">
        <v>252</v>
      </c>
      <c r="BJ43" s="37" t="s">
        <v>252</v>
      </c>
      <c r="BK43" s="0" t="s">
        <v>55</v>
      </c>
    </row>
    <row r="44" customFormat="false" ht="12.8" hidden="false" customHeight="false" outlineLevel="0" collapsed="false">
      <c r="A44" s="0" t="n">
        <f aca="false">A43-1</f>
        <v>1975</v>
      </c>
      <c r="B44" s="37" t="s">
        <v>252</v>
      </c>
      <c r="C44" s="37" t="s">
        <v>252</v>
      </c>
      <c r="D44" s="37" t="s">
        <v>252</v>
      </c>
      <c r="E44" s="37" t="s">
        <v>252</v>
      </c>
      <c r="F44" s="37" t="s">
        <v>250</v>
      </c>
      <c r="G44" s="37" t="s">
        <v>250</v>
      </c>
      <c r="H44" s="37" t="s">
        <v>250</v>
      </c>
      <c r="I44" s="37" t="s">
        <v>250</v>
      </c>
      <c r="J44" s="0" t="s">
        <v>55</v>
      </c>
      <c r="K44" s="37" t="s">
        <v>251</v>
      </c>
      <c r="L44" s="37" t="s">
        <v>252</v>
      </c>
      <c r="M44" s="37" t="s">
        <v>250</v>
      </c>
      <c r="N44" s="37" t="s">
        <v>252</v>
      </c>
      <c r="O44" s="37" t="s">
        <v>252</v>
      </c>
      <c r="P44" s="37" t="s">
        <v>252</v>
      </c>
      <c r="Q44" s="37" t="s">
        <v>250</v>
      </c>
      <c r="R44" s="37" t="s">
        <v>250</v>
      </c>
      <c r="S44" s="37" t="s">
        <v>250</v>
      </c>
      <c r="T44" s="0" t="s">
        <v>55</v>
      </c>
      <c r="U44" s="37" t="s">
        <v>251</v>
      </c>
      <c r="V44" s="37" t="s">
        <v>250</v>
      </c>
      <c r="W44" s="37" t="s">
        <v>250</v>
      </c>
      <c r="X44" s="37" t="s">
        <v>250</v>
      </c>
      <c r="Y44" s="37" t="s">
        <v>250</v>
      </c>
      <c r="Z44" s="37" t="s">
        <v>250</v>
      </c>
      <c r="AA44" s="37" t="s">
        <v>250</v>
      </c>
      <c r="AB44" s="37" t="s">
        <v>250</v>
      </c>
      <c r="AC44" s="37" t="s">
        <v>250</v>
      </c>
      <c r="AD44" s="37" t="s">
        <v>250</v>
      </c>
      <c r="AE44" s="37" t="s">
        <v>252</v>
      </c>
      <c r="AF44" s="37" t="s">
        <v>252</v>
      </c>
      <c r="AG44" s="37" t="s">
        <v>252</v>
      </c>
      <c r="AH44" s="37" t="s">
        <v>252</v>
      </c>
      <c r="AI44" s="37" t="s">
        <v>252</v>
      </c>
      <c r="AJ44" s="37" t="s">
        <v>252</v>
      </c>
      <c r="AK44" s="37" t="s">
        <v>252</v>
      </c>
      <c r="AL44" s="37" t="s">
        <v>252</v>
      </c>
      <c r="AM44" s="37" t="s">
        <v>252</v>
      </c>
      <c r="AN44" s="37" t="s">
        <v>250</v>
      </c>
      <c r="AO44" s="37" t="s">
        <v>250</v>
      </c>
      <c r="AP44" s="37" t="s">
        <v>250</v>
      </c>
      <c r="AQ44" s="37" t="s">
        <v>250</v>
      </c>
      <c r="AR44" s="37" t="s">
        <v>250</v>
      </c>
      <c r="AS44" s="37" t="s">
        <v>250</v>
      </c>
      <c r="AT44" s="0" t="s">
        <v>55</v>
      </c>
      <c r="AU44" s="37" t="s">
        <v>250</v>
      </c>
      <c r="AV44" s="37" t="s">
        <v>250</v>
      </c>
      <c r="AW44" s="37" t="s">
        <v>250</v>
      </c>
      <c r="AX44" s="37" t="s">
        <v>252</v>
      </c>
      <c r="AY44" s="37" t="s">
        <v>252</v>
      </c>
      <c r="AZ44" s="37" t="s">
        <v>252</v>
      </c>
      <c r="BA44" s="37" t="s">
        <v>250</v>
      </c>
      <c r="BB44" s="37" t="s">
        <v>250</v>
      </c>
      <c r="BC44" s="37" t="s">
        <v>252</v>
      </c>
      <c r="BD44" s="37" t="s">
        <v>252</v>
      </c>
      <c r="BE44" s="37" t="s">
        <v>251</v>
      </c>
      <c r="BF44" s="0" t="s">
        <v>55</v>
      </c>
      <c r="BG44" s="37" t="s">
        <v>252</v>
      </c>
      <c r="BH44" s="37" t="s">
        <v>252</v>
      </c>
      <c r="BI44" s="37" t="s">
        <v>252</v>
      </c>
      <c r="BJ44" s="37" t="s">
        <v>252</v>
      </c>
      <c r="BK44" s="0" t="s">
        <v>55</v>
      </c>
    </row>
    <row r="45" customFormat="false" ht="12.8" hidden="false" customHeight="false" outlineLevel="0" collapsed="false">
      <c r="A45" s="0" t="n">
        <f aca="false">A44-1</f>
        <v>1974</v>
      </c>
      <c r="B45" s="37" t="s">
        <v>252</v>
      </c>
      <c r="C45" s="37" t="s">
        <v>252</v>
      </c>
      <c r="D45" s="37" t="s">
        <v>252</v>
      </c>
      <c r="E45" s="37" t="s">
        <v>252</v>
      </c>
      <c r="F45" s="37" t="s">
        <v>250</v>
      </c>
      <c r="G45" s="37" t="s">
        <v>250</v>
      </c>
      <c r="H45" s="37" t="s">
        <v>250</v>
      </c>
      <c r="I45" s="37" t="s">
        <v>250</v>
      </c>
      <c r="J45" s="0" t="s">
        <v>55</v>
      </c>
      <c r="K45" s="37" t="s">
        <v>251</v>
      </c>
      <c r="L45" s="37" t="s">
        <v>252</v>
      </c>
      <c r="M45" s="37" t="s">
        <v>250</v>
      </c>
      <c r="N45" s="37" t="s">
        <v>252</v>
      </c>
      <c r="O45" s="37" t="s">
        <v>252</v>
      </c>
      <c r="P45" s="37" t="s">
        <v>252</v>
      </c>
      <c r="Q45" s="37" t="s">
        <v>250</v>
      </c>
      <c r="R45" s="37" t="s">
        <v>250</v>
      </c>
      <c r="S45" s="37" t="s">
        <v>250</v>
      </c>
      <c r="T45" s="0" t="s">
        <v>55</v>
      </c>
      <c r="U45" s="37" t="s">
        <v>251</v>
      </c>
      <c r="V45" s="37" t="s">
        <v>250</v>
      </c>
      <c r="W45" s="37" t="s">
        <v>250</v>
      </c>
      <c r="X45" s="37" t="s">
        <v>250</v>
      </c>
      <c r="Y45" s="37" t="s">
        <v>250</v>
      </c>
      <c r="Z45" s="37" t="s">
        <v>250</v>
      </c>
      <c r="AA45" s="37" t="s">
        <v>250</v>
      </c>
      <c r="AB45" s="37" t="s">
        <v>250</v>
      </c>
      <c r="AC45" s="37" t="s">
        <v>250</v>
      </c>
      <c r="AD45" s="37" t="s">
        <v>250</v>
      </c>
      <c r="AE45" s="37" t="s">
        <v>252</v>
      </c>
      <c r="AF45" s="37" t="s">
        <v>252</v>
      </c>
      <c r="AG45" s="37" t="s">
        <v>252</v>
      </c>
      <c r="AH45" s="37" t="s">
        <v>252</v>
      </c>
      <c r="AI45" s="37" t="s">
        <v>252</v>
      </c>
      <c r="AJ45" s="37" t="s">
        <v>252</v>
      </c>
      <c r="AK45" s="37" t="s">
        <v>252</v>
      </c>
      <c r="AL45" s="37" t="s">
        <v>252</v>
      </c>
      <c r="AM45" s="37" t="s">
        <v>252</v>
      </c>
      <c r="AN45" s="37" t="s">
        <v>250</v>
      </c>
      <c r="AO45" s="37" t="s">
        <v>250</v>
      </c>
      <c r="AP45" s="37" t="s">
        <v>250</v>
      </c>
      <c r="AQ45" s="37" t="s">
        <v>250</v>
      </c>
      <c r="AR45" s="37" t="s">
        <v>250</v>
      </c>
      <c r="AS45" s="37" t="s">
        <v>250</v>
      </c>
      <c r="AT45" s="0" t="s">
        <v>55</v>
      </c>
      <c r="AU45" s="37" t="s">
        <v>250</v>
      </c>
      <c r="AV45" s="37" t="s">
        <v>250</v>
      </c>
      <c r="AW45" s="37" t="s">
        <v>250</v>
      </c>
      <c r="AX45" s="37" t="s">
        <v>252</v>
      </c>
      <c r="AY45" s="37" t="s">
        <v>252</v>
      </c>
      <c r="AZ45" s="37" t="s">
        <v>252</v>
      </c>
      <c r="BA45" s="37" t="s">
        <v>250</v>
      </c>
      <c r="BB45" s="37" t="s">
        <v>250</v>
      </c>
      <c r="BC45" s="37" t="s">
        <v>252</v>
      </c>
      <c r="BD45" s="37" t="s">
        <v>252</v>
      </c>
      <c r="BE45" s="37" t="s">
        <v>251</v>
      </c>
      <c r="BF45" s="0" t="s">
        <v>55</v>
      </c>
      <c r="BG45" s="37" t="s">
        <v>252</v>
      </c>
      <c r="BH45" s="37" t="s">
        <v>252</v>
      </c>
      <c r="BI45" s="37" t="s">
        <v>252</v>
      </c>
      <c r="BJ45" s="37" t="s">
        <v>252</v>
      </c>
      <c r="BK45" s="0" t="s">
        <v>55</v>
      </c>
    </row>
    <row r="46" customFormat="false" ht="12.8" hidden="false" customHeight="false" outlineLevel="0" collapsed="false">
      <c r="A46" s="0" t="n">
        <f aca="false">A45-1</f>
        <v>1973</v>
      </c>
      <c r="B46" s="37" t="s">
        <v>252</v>
      </c>
      <c r="C46" s="37" t="s">
        <v>252</v>
      </c>
      <c r="D46" s="37" t="s">
        <v>252</v>
      </c>
      <c r="E46" s="37" t="s">
        <v>252</v>
      </c>
      <c r="F46" s="37" t="s">
        <v>250</v>
      </c>
      <c r="G46" s="37" t="s">
        <v>250</v>
      </c>
      <c r="H46" s="37" t="s">
        <v>250</v>
      </c>
      <c r="I46" s="37" t="s">
        <v>250</v>
      </c>
      <c r="J46" s="0" t="s">
        <v>55</v>
      </c>
      <c r="K46" s="37" t="s">
        <v>251</v>
      </c>
      <c r="L46" s="37" t="s">
        <v>252</v>
      </c>
      <c r="M46" s="37" t="s">
        <v>250</v>
      </c>
      <c r="N46" s="37" t="s">
        <v>252</v>
      </c>
      <c r="O46" s="37" t="s">
        <v>252</v>
      </c>
      <c r="P46" s="37" t="s">
        <v>252</v>
      </c>
      <c r="Q46" s="37" t="s">
        <v>250</v>
      </c>
      <c r="R46" s="37" t="s">
        <v>250</v>
      </c>
      <c r="S46" s="37" t="s">
        <v>250</v>
      </c>
      <c r="T46" s="0" t="s">
        <v>55</v>
      </c>
      <c r="U46" s="37" t="s">
        <v>251</v>
      </c>
      <c r="V46" s="37" t="s">
        <v>250</v>
      </c>
      <c r="W46" s="37" t="s">
        <v>250</v>
      </c>
      <c r="X46" s="37" t="s">
        <v>250</v>
      </c>
      <c r="Y46" s="37" t="s">
        <v>250</v>
      </c>
      <c r="Z46" s="37" t="s">
        <v>250</v>
      </c>
      <c r="AA46" s="37" t="s">
        <v>250</v>
      </c>
      <c r="AB46" s="37" t="s">
        <v>250</v>
      </c>
      <c r="AC46" s="37" t="s">
        <v>250</v>
      </c>
      <c r="AD46" s="37" t="s">
        <v>250</v>
      </c>
      <c r="AE46" s="37" t="s">
        <v>252</v>
      </c>
      <c r="AF46" s="37" t="s">
        <v>252</v>
      </c>
      <c r="AG46" s="37" t="s">
        <v>252</v>
      </c>
      <c r="AH46" s="37" t="s">
        <v>252</v>
      </c>
      <c r="AI46" s="37" t="s">
        <v>252</v>
      </c>
      <c r="AJ46" s="37" t="s">
        <v>252</v>
      </c>
      <c r="AK46" s="37" t="s">
        <v>252</v>
      </c>
      <c r="AL46" s="37" t="s">
        <v>252</v>
      </c>
      <c r="AM46" s="37" t="s">
        <v>252</v>
      </c>
      <c r="AN46" s="37" t="s">
        <v>250</v>
      </c>
      <c r="AO46" s="37" t="s">
        <v>250</v>
      </c>
      <c r="AP46" s="37" t="s">
        <v>250</v>
      </c>
      <c r="AQ46" s="37" t="s">
        <v>250</v>
      </c>
      <c r="AR46" s="37" t="s">
        <v>250</v>
      </c>
      <c r="AS46" s="37" t="s">
        <v>250</v>
      </c>
      <c r="AT46" s="0" t="s">
        <v>55</v>
      </c>
      <c r="AU46" s="37" t="s">
        <v>250</v>
      </c>
      <c r="AV46" s="37" t="s">
        <v>250</v>
      </c>
      <c r="AW46" s="37" t="s">
        <v>250</v>
      </c>
      <c r="AX46" s="37" t="s">
        <v>252</v>
      </c>
      <c r="AY46" s="37" t="s">
        <v>252</v>
      </c>
      <c r="AZ46" s="37" t="s">
        <v>252</v>
      </c>
      <c r="BA46" s="37" t="s">
        <v>250</v>
      </c>
      <c r="BB46" s="37" t="s">
        <v>250</v>
      </c>
      <c r="BC46" s="37" t="s">
        <v>252</v>
      </c>
      <c r="BD46" s="37" t="s">
        <v>252</v>
      </c>
      <c r="BE46" s="37" t="s">
        <v>251</v>
      </c>
      <c r="BF46" s="0" t="s">
        <v>55</v>
      </c>
      <c r="BG46" s="37" t="s">
        <v>252</v>
      </c>
      <c r="BH46" s="37" t="s">
        <v>252</v>
      </c>
      <c r="BI46" s="37" t="s">
        <v>252</v>
      </c>
      <c r="BJ46" s="37" t="s">
        <v>252</v>
      </c>
      <c r="BK46" s="0" t="s">
        <v>55</v>
      </c>
    </row>
    <row r="47" customFormat="false" ht="12.8" hidden="false" customHeight="false" outlineLevel="0" collapsed="false">
      <c r="A47" s="0" t="n">
        <f aca="false">A46-1</f>
        <v>1972</v>
      </c>
      <c r="B47" s="37" t="s">
        <v>252</v>
      </c>
      <c r="C47" s="37" t="s">
        <v>252</v>
      </c>
      <c r="D47" s="37" t="s">
        <v>252</v>
      </c>
      <c r="E47" s="37" t="s">
        <v>252</v>
      </c>
      <c r="F47" s="37" t="s">
        <v>250</v>
      </c>
      <c r="G47" s="37" t="s">
        <v>250</v>
      </c>
      <c r="H47" s="37" t="s">
        <v>250</v>
      </c>
      <c r="I47" s="37" t="s">
        <v>250</v>
      </c>
      <c r="J47" s="0" t="s">
        <v>55</v>
      </c>
      <c r="K47" s="37" t="s">
        <v>251</v>
      </c>
      <c r="L47" s="37" t="s">
        <v>252</v>
      </c>
      <c r="M47" s="37" t="s">
        <v>250</v>
      </c>
      <c r="N47" s="37" t="s">
        <v>252</v>
      </c>
      <c r="O47" s="37" t="s">
        <v>252</v>
      </c>
      <c r="P47" s="37" t="s">
        <v>252</v>
      </c>
      <c r="Q47" s="37" t="s">
        <v>250</v>
      </c>
      <c r="R47" s="37" t="s">
        <v>250</v>
      </c>
      <c r="S47" s="37" t="s">
        <v>250</v>
      </c>
      <c r="T47" s="0" t="s">
        <v>55</v>
      </c>
      <c r="U47" s="37" t="s">
        <v>251</v>
      </c>
      <c r="V47" s="37" t="s">
        <v>250</v>
      </c>
      <c r="W47" s="37" t="s">
        <v>250</v>
      </c>
      <c r="X47" s="37" t="s">
        <v>250</v>
      </c>
      <c r="Y47" s="37" t="s">
        <v>250</v>
      </c>
      <c r="Z47" s="37" t="s">
        <v>250</v>
      </c>
      <c r="AA47" s="37" t="s">
        <v>250</v>
      </c>
      <c r="AB47" s="37" t="s">
        <v>250</v>
      </c>
      <c r="AC47" s="37" t="s">
        <v>250</v>
      </c>
      <c r="AD47" s="37" t="s">
        <v>250</v>
      </c>
      <c r="AE47" s="37" t="s">
        <v>252</v>
      </c>
      <c r="AF47" s="37" t="s">
        <v>252</v>
      </c>
      <c r="AG47" s="37" t="s">
        <v>252</v>
      </c>
      <c r="AH47" s="37" t="s">
        <v>252</v>
      </c>
      <c r="AI47" s="37" t="s">
        <v>252</v>
      </c>
      <c r="AJ47" s="37" t="s">
        <v>252</v>
      </c>
      <c r="AK47" s="37" t="s">
        <v>252</v>
      </c>
      <c r="AL47" s="37" t="s">
        <v>252</v>
      </c>
      <c r="AM47" s="37" t="s">
        <v>252</v>
      </c>
      <c r="AN47" s="37" t="s">
        <v>250</v>
      </c>
      <c r="AO47" s="37" t="s">
        <v>250</v>
      </c>
      <c r="AP47" s="37" t="s">
        <v>250</v>
      </c>
      <c r="AQ47" s="37" t="s">
        <v>250</v>
      </c>
      <c r="AR47" s="37" t="s">
        <v>250</v>
      </c>
      <c r="AS47" s="37" t="s">
        <v>250</v>
      </c>
      <c r="AT47" s="0" t="s">
        <v>55</v>
      </c>
      <c r="AU47" s="37" t="s">
        <v>250</v>
      </c>
      <c r="AV47" s="37" t="s">
        <v>250</v>
      </c>
      <c r="AW47" s="37" t="s">
        <v>250</v>
      </c>
      <c r="AX47" s="37" t="s">
        <v>252</v>
      </c>
      <c r="AY47" s="37" t="s">
        <v>252</v>
      </c>
      <c r="AZ47" s="37" t="s">
        <v>252</v>
      </c>
      <c r="BA47" s="37" t="s">
        <v>250</v>
      </c>
      <c r="BB47" s="37" t="s">
        <v>250</v>
      </c>
      <c r="BC47" s="37" t="s">
        <v>252</v>
      </c>
      <c r="BD47" s="37" t="s">
        <v>252</v>
      </c>
      <c r="BE47" s="37" t="s">
        <v>251</v>
      </c>
      <c r="BF47" s="0" t="s">
        <v>55</v>
      </c>
      <c r="BG47" s="37" t="s">
        <v>252</v>
      </c>
      <c r="BH47" s="37" t="s">
        <v>252</v>
      </c>
      <c r="BI47" s="37" t="s">
        <v>252</v>
      </c>
      <c r="BJ47" s="37" t="s">
        <v>252</v>
      </c>
      <c r="BK47" s="0" t="s">
        <v>55</v>
      </c>
    </row>
    <row r="48" customFormat="false" ht="12.8" hidden="false" customHeight="false" outlineLevel="0" collapsed="false">
      <c r="A48" s="0" t="n">
        <f aca="false">A47-1</f>
        <v>1971</v>
      </c>
      <c r="B48" s="37" t="s">
        <v>252</v>
      </c>
      <c r="C48" s="37" t="s">
        <v>252</v>
      </c>
      <c r="D48" s="37" t="s">
        <v>252</v>
      </c>
      <c r="E48" s="37" t="s">
        <v>252</v>
      </c>
      <c r="F48" s="37" t="s">
        <v>250</v>
      </c>
      <c r="G48" s="37" t="s">
        <v>250</v>
      </c>
      <c r="H48" s="37" t="s">
        <v>250</v>
      </c>
      <c r="I48" s="37" t="s">
        <v>250</v>
      </c>
      <c r="J48" s="0" t="s">
        <v>55</v>
      </c>
      <c r="K48" s="37" t="s">
        <v>251</v>
      </c>
      <c r="L48" s="37" t="s">
        <v>252</v>
      </c>
      <c r="M48" s="37" t="s">
        <v>250</v>
      </c>
      <c r="N48" s="37" t="s">
        <v>252</v>
      </c>
      <c r="O48" s="37" t="s">
        <v>252</v>
      </c>
      <c r="P48" s="37" t="s">
        <v>252</v>
      </c>
      <c r="Q48" s="37" t="s">
        <v>250</v>
      </c>
      <c r="R48" s="37" t="s">
        <v>250</v>
      </c>
      <c r="S48" s="37" t="s">
        <v>250</v>
      </c>
      <c r="T48" s="0" t="s">
        <v>55</v>
      </c>
      <c r="U48" s="37" t="s">
        <v>251</v>
      </c>
      <c r="V48" s="37" t="s">
        <v>250</v>
      </c>
      <c r="W48" s="37" t="s">
        <v>250</v>
      </c>
      <c r="X48" s="37" t="s">
        <v>250</v>
      </c>
      <c r="Y48" s="37" t="s">
        <v>250</v>
      </c>
      <c r="Z48" s="37" t="s">
        <v>250</v>
      </c>
      <c r="AA48" s="37" t="s">
        <v>250</v>
      </c>
      <c r="AB48" s="37" t="s">
        <v>250</v>
      </c>
      <c r="AC48" s="37" t="s">
        <v>250</v>
      </c>
      <c r="AD48" s="37" t="s">
        <v>250</v>
      </c>
      <c r="AE48" s="37" t="s">
        <v>252</v>
      </c>
      <c r="AF48" s="37" t="s">
        <v>252</v>
      </c>
      <c r="AG48" s="37" t="s">
        <v>252</v>
      </c>
      <c r="AH48" s="37" t="s">
        <v>252</v>
      </c>
      <c r="AI48" s="37" t="s">
        <v>252</v>
      </c>
      <c r="AJ48" s="37" t="s">
        <v>252</v>
      </c>
      <c r="AK48" s="37" t="s">
        <v>252</v>
      </c>
      <c r="AL48" s="37" t="s">
        <v>252</v>
      </c>
      <c r="AM48" s="37" t="s">
        <v>252</v>
      </c>
      <c r="AN48" s="37" t="s">
        <v>250</v>
      </c>
      <c r="AO48" s="37" t="s">
        <v>250</v>
      </c>
      <c r="AP48" s="37" t="s">
        <v>250</v>
      </c>
      <c r="AQ48" s="37" t="s">
        <v>250</v>
      </c>
      <c r="AR48" s="37" t="s">
        <v>250</v>
      </c>
      <c r="AS48" s="37" t="s">
        <v>250</v>
      </c>
      <c r="AT48" s="0" t="s">
        <v>55</v>
      </c>
      <c r="AU48" s="37" t="s">
        <v>250</v>
      </c>
      <c r="AV48" s="37" t="s">
        <v>250</v>
      </c>
      <c r="AW48" s="37" t="s">
        <v>250</v>
      </c>
      <c r="AX48" s="37" t="s">
        <v>252</v>
      </c>
      <c r="AY48" s="37" t="s">
        <v>252</v>
      </c>
      <c r="AZ48" s="37" t="s">
        <v>252</v>
      </c>
      <c r="BA48" s="37" t="s">
        <v>250</v>
      </c>
      <c r="BB48" s="37" t="s">
        <v>250</v>
      </c>
      <c r="BC48" s="37" t="s">
        <v>252</v>
      </c>
      <c r="BD48" s="37" t="s">
        <v>252</v>
      </c>
      <c r="BE48" s="37" t="s">
        <v>251</v>
      </c>
      <c r="BF48" s="0" t="s">
        <v>55</v>
      </c>
      <c r="BG48" s="37" t="s">
        <v>252</v>
      </c>
      <c r="BH48" s="37" t="s">
        <v>252</v>
      </c>
      <c r="BI48" s="37" t="s">
        <v>252</v>
      </c>
      <c r="BJ48" s="37" t="s">
        <v>252</v>
      </c>
      <c r="BK48" s="0" t="s">
        <v>55</v>
      </c>
    </row>
    <row r="49" customFormat="false" ht="12.8" hidden="false" customHeight="false" outlineLevel="0" collapsed="false">
      <c r="A49" s="0" t="n">
        <f aca="false">A48-1</f>
        <v>1970</v>
      </c>
      <c r="B49" s="37" t="s">
        <v>252</v>
      </c>
      <c r="C49" s="37" t="s">
        <v>252</v>
      </c>
      <c r="D49" s="37" t="s">
        <v>252</v>
      </c>
      <c r="E49" s="37" t="s">
        <v>252</v>
      </c>
      <c r="F49" s="37" t="s">
        <v>250</v>
      </c>
      <c r="G49" s="37" t="s">
        <v>250</v>
      </c>
      <c r="H49" s="37" t="s">
        <v>250</v>
      </c>
      <c r="I49" s="37" t="s">
        <v>250</v>
      </c>
      <c r="J49" s="0" t="s">
        <v>55</v>
      </c>
      <c r="K49" s="37" t="s">
        <v>251</v>
      </c>
      <c r="L49" s="37" t="s">
        <v>252</v>
      </c>
      <c r="M49" s="37" t="s">
        <v>250</v>
      </c>
      <c r="N49" s="37" t="s">
        <v>252</v>
      </c>
      <c r="O49" s="37" t="s">
        <v>252</v>
      </c>
      <c r="P49" s="37" t="s">
        <v>252</v>
      </c>
      <c r="Q49" s="37" t="s">
        <v>250</v>
      </c>
      <c r="R49" s="37" t="s">
        <v>250</v>
      </c>
      <c r="S49" s="37" t="s">
        <v>250</v>
      </c>
      <c r="T49" s="0" t="s">
        <v>55</v>
      </c>
      <c r="U49" s="37" t="s">
        <v>251</v>
      </c>
      <c r="V49" s="37" t="s">
        <v>250</v>
      </c>
      <c r="W49" s="37" t="s">
        <v>250</v>
      </c>
      <c r="X49" s="37" t="s">
        <v>250</v>
      </c>
      <c r="Y49" s="37" t="s">
        <v>250</v>
      </c>
      <c r="Z49" s="37" t="s">
        <v>250</v>
      </c>
      <c r="AA49" s="37" t="s">
        <v>250</v>
      </c>
      <c r="AB49" s="37" t="s">
        <v>250</v>
      </c>
      <c r="AC49" s="37" t="s">
        <v>250</v>
      </c>
      <c r="AD49" s="37" t="s">
        <v>250</v>
      </c>
      <c r="AE49" s="37" t="s">
        <v>252</v>
      </c>
      <c r="AF49" s="37" t="s">
        <v>252</v>
      </c>
      <c r="AG49" s="37" t="s">
        <v>252</v>
      </c>
      <c r="AH49" s="37" t="s">
        <v>252</v>
      </c>
      <c r="AI49" s="37" t="s">
        <v>252</v>
      </c>
      <c r="AJ49" s="37" t="s">
        <v>252</v>
      </c>
      <c r="AK49" s="37" t="s">
        <v>252</v>
      </c>
      <c r="AL49" s="37" t="s">
        <v>252</v>
      </c>
      <c r="AM49" s="37" t="s">
        <v>252</v>
      </c>
      <c r="AN49" s="37" t="s">
        <v>250</v>
      </c>
      <c r="AO49" s="37" t="s">
        <v>250</v>
      </c>
      <c r="AP49" s="37" t="s">
        <v>250</v>
      </c>
      <c r="AQ49" s="37" t="s">
        <v>250</v>
      </c>
      <c r="AR49" s="37" t="s">
        <v>250</v>
      </c>
      <c r="AS49" s="37" t="s">
        <v>250</v>
      </c>
      <c r="AT49" s="0" t="s">
        <v>55</v>
      </c>
      <c r="AU49" s="37" t="s">
        <v>250</v>
      </c>
      <c r="AV49" s="37" t="s">
        <v>250</v>
      </c>
      <c r="AW49" s="37" t="s">
        <v>250</v>
      </c>
      <c r="AX49" s="37" t="s">
        <v>252</v>
      </c>
      <c r="AY49" s="37" t="s">
        <v>252</v>
      </c>
      <c r="AZ49" s="37" t="s">
        <v>252</v>
      </c>
      <c r="BA49" s="37" t="s">
        <v>250</v>
      </c>
      <c r="BB49" s="37" t="s">
        <v>250</v>
      </c>
      <c r="BC49" s="37" t="s">
        <v>252</v>
      </c>
      <c r="BD49" s="37" t="s">
        <v>252</v>
      </c>
      <c r="BE49" s="37" t="s">
        <v>251</v>
      </c>
      <c r="BF49" s="0" t="s">
        <v>55</v>
      </c>
      <c r="BG49" s="37" t="s">
        <v>252</v>
      </c>
      <c r="BH49" s="37" t="s">
        <v>252</v>
      </c>
      <c r="BI49" s="37" t="s">
        <v>252</v>
      </c>
      <c r="BJ49" s="37" t="s">
        <v>252</v>
      </c>
      <c r="BK49" s="0" t="s">
        <v>55</v>
      </c>
    </row>
    <row r="50" customFormat="false" ht="12.8" hidden="false" customHeight="false" outlineLevel="0" collapsed="false">
      <c r="A50" s="0" t="n">
        <f aca="false">A49-1</f>
        <v>1969</v>
      </c>
      <c r="B50" s="37" t="s">
        <v>252</v>
      </c>
      <c r="C50" s="37" t="s">
        <v>252</v>
      </c>
      <c r="D50" s="37" t="s">
        <v>252</v>
      </c>
      <c r="E50" s="37" t="s">
        <v>252</v>
      </c>
      <c r="F50" s="37" t="s">
        <v>250</v>
      </c>
      <c r="G50" s="37" t="s">
        <v>250</v>
      </c>
      <c r="H50" s="37" t="s">
        <v>250</v>
      </c>
      <c r="I50" s="37" t="s">
        <v>250</v>
      </c>
      <c r="J50" s="0" t="s">
        <v>55</v>
      </c>
      <c r="K50" s="37" t="s">
        <v>251</v>
      </c>
      <c r="L50" s="37" t="s">
        <v>252</v>
      </c>
      <c r="M50" s="37" t="s">
        <v>250</v>
      </c>
      <c r="N50" s="37" t="s">
        <v>252</v>
      </c>
      <c r="O50" s="37" t="s">
        <v>252</v>
      </c>
      <c r="P50" s="37" t="s">
        <v>252</v>
      </c>
      <c r="Q50" s="37" t="s">
        <v>250</v>
      </c>
      <c r="R50" s="37" t="s">
        <v>250</v>
      </c>
      <c r="S50" s="37" t="s">
        <v>250</v>
      </c>
      <c r="T50" s="0" t="s">
        <v>55</v>
      </c>
      <c r="U50" s="37" t="s">
        <v>251</v>
      </c>
      <c r="V50" s="37" t="s">
        <v>250</v>
      </c>
      <c r="W50" s="37" t="s">
        <v>250</v>
      </c>
      <c r="X50" s="37" t="s">
        <v>250</v>
      </c>
      <c r="Y50" s="37" t="s">
        <v>250</v>
      </c>
      <c r="Z50" s="37" t="s">
        <v>250</v>
      </c>
      <c r="AA50" s="37" t="s">
        <v>250</v>
      </c>
      <c r="AB50" s="37" t="s">
        <v>250</v>
      </c>
      <c r="AC50" s="37" t="s">
        <v>250</v>
      </c>
      <c r="AD50" s="37" t="s">
        <v>250</v>
      </c>
      <c r="AE50" s="37" t="s">
        <v>252</v>
      </c>
      <c r="AF50" s="37" t="s">
        <v>252</v>
      </c>
      <c r="AG50" s="37" t="s">
        <v>252</v>
      </c>
      <c r="AH50" s="37" t="s">
        <v>252</v>
      </c>
      <c r="AI50" s="37" t="s">
        <v>252</v>
      </c>
      <c r="AJ50" s="37" t="s">
        <v>252</v>
      </c>
      <c r="AK50" s="37" t="s">
        <v>252</v>
      </c>
      <c r="AL50" s="37" t="s">
        <v>252</v>
      </c>
      <c r="AM50" s="37" t="s">
        <v>252</v>
      </c>
      <c r="AN50" s="37" t="s">
        <v>250</v>
      </c>
      <c r="AO50" s="37" t="s">
        <v>250</v>
      </c>
      <c r="AP50" s="37" t="s">
        <v>250</v>
      </c>
      <c r="AQ50" s="37" t="s">
        <v>250</v>
      </c>
      <c r="AR50" s="37" t="s">
        <v>250</v>
      </c>
      <c r="AS50" s="37" t="s">
        <v>250</v>
      </c>
      <c r="AT50" s="0" t="s">
        <v>55</v>
      </c>
      <c r="AU50" s="37" t="s">
        <v>250</v>
      </c>
      <c r="AV50" s="37" t="s">
        <v>250</v>
      </c>
      <c r="AW50" s="37" t="s">
        <v>250</v>
      </c>
      <c r="AX50" s="37" t="s">
        <v>252</v>
      </c>
      <c r="AY50" s="37" t="s">
        <v>252</v>
      </c>
      <c r="AZ50" s="37" t="s">
        <v>252</v>
      </c>
      <c r="BA50" s="37" t="s">
        <v>250</v>
      </c>
      <c r="BB50" s="37" t="s">
        <v>250</v>
      </c>
      <c r="BC50" s="37" t="s">
        <v>252</v>
      </c>
      <c r="BD50" s="37" t="s">
        <v>252</v>
      </c>
      <c r="BE50" s="37" t="s">
        <v>251</v>
      </c>
      <c r="BF50" s="0" t="s">
        <v>55</v>
      </c>
      <c r="BG50" s="37" t="s">
        <v>252</v>
      </c>
      <c r="BH50" s="37" t="s">
        <v>252</v>
      </c>
      <c r="BI50" s="37" t="s">
        <v>252</v>
      </c>
      <c r="BJ50" s="37" t="s">
        <v>252</v>
      </c>
      <c r="BK50" s="0" t="s">
        <v>55</v>
      </c>
    </row>
    <row r="51" customFormat="false" ht="12.8" hidden="false" customHeight="false" outlineLevel="0" collapsed="false">
      <c r="A51" s="0" t="n">
        <f aca="false">A50-1</f>
        <v>1968</v>
      </c>
      <c r="B51" s="37" t="s">
        <v>252</v>
      </c>
      <c r="C51" s="37" t="s">
        <v>252</v>
      </c>
      <c r="D51" s="37" t="s">
        <v>252</v>
      </c>
      <c r="E51" s="37" t="s">
        <v>252</v>
      </c>
      <c r="F51" s="37" t="s">
        <v>250</v>
      </c>
      <c r="G51" s="37" t="s">
        <v>250</v>
      </c>
      <c r="H51" s="37" t="s">
        <v>250</v>
      </c>
      <c r="I51" s="37" t="s">
        <v>250</v>
      </c>
      <c r="J51" s="0" t="s">
        <v>55</v>
      </c>
      <c r="K51" s="37" t="s">
        <v>251</v>
      </c>
      <c r="L51" s="37" t="s">
        <v>252</v>
      </c>
      <c r="M51" s="37" t="s">
        <v>250</v>
      </c>
      <c r="N51" s="37" t="s">
        <v>252</v>
      </c>
      <c r="O51" s="37" t="s">
        <v>252</v>
      </c>
      <c r="P51" s="37" t="s">
        <v>252</v>
      </c>
      <c r="Q51" s="37" t="s">
        <v>250</v>
      </c>
      <c r="R51" s="37" t="s">
        <v>250</v>
      </c>
      <c r="S51" s="37" t="s">
        <v>250</v>
      </c>
      <c r="T51" s="0" t="s">
        <v>55</v>
      </c>
      <c r="U51" s="37" t="s">
        <v>251</v>
      </c>
      <c r="V51" s="37" t="s">
        <v>250</v>
      </c>
      <c r="W51" s="37" t="s">
        <v>250</v>
      </c>
      <c r="X51" s="37" t="s">
        <v>250</v>
      </c>
      <c r="Y51" s="37" t="s">
        <v>250</v>
      </c>
      <c r="Z51" s="37" t="s">
        <v>250</v>
      </c>
      <c r="AA51" s="37" t="s">
        <v>250</v>
      </c>
      <c r="AB51" s="37" t="s">
        <v>250</v>
      </c>
      <c r="AC51" s="37" t="s">
        <v>250</v>
      </c>
      <c r="AD51" s="37" t="s">
        <v>250</v>
      </c>
      <c r="AE51" s="37" t="s">
        <v>252</v>
      </c>
      <c r="AF51" s="37" t="s">
        <v>252</v>
      </c>
      <c r="AG51" s="37" t="s">
        <v>252</v>
      </c>
      <c r="AH51" s="37" t="s">
        <v>252</v>
      </c>
      <c r="AI51" s="37" t="s">
        <v>252</v>
      </c>
      <c r="AJ51" s="37" t="s">
        <v>252</v>
      </c>
      <c r="AK51" s="37" t="s">
        <v>252</v>
      </c>
      <c r="AL51" s="37" t="s">
        <v>252</v>
      </c>
      <c r="AM51" s="37" t="s">
        <v>252</v>
      </c>
      <c r="AN51" s="37" t="s">
        <v>250</v>
      </c>
      <c r="AO51" s="37" t="s">
        <v>250</v>
      </c>
      <c r="AP51" s="37" t="s">
        <v>250</v>
      </c>
      <c r="AQ51" s="37" t="s">
        <v>250</v>
      </c>
      <c r="AR51" s="37" t="s">
        <v>250</v>
      </c>
      <c r="AS51" s="37" t="s">
        <v>250</v>
      </c>
      <c r="AT51" s="0" t="s">
        <v>55</v>
      </c>
      <c r="AU51" s="37" t="s">
        <v>250</v>
      </c>
      <c r="AV51" s="37" t="s">
        <v>250</v>
      </c>
      <c r="AW51" s="37" t="s">
        <v>250</v>
      </c>
      <c r="AX51" s="37" t="s">
        <v>252</v>
      </c>
      <c r="AY51" s="37" t="s">
        <v>252</v>
      </c>
      <c r="AZ51" s="37" t="s">
        <v>252</v>
      </c>
      <c r="BA51" s="37" t="s">
        <v>250</v>
      </c>
      <c r="BB51" s="37" t="s">
        <v>250</v>
      </c>
      <c r="BC51" s="37" t="s">
        <v>252</v>
      </c>
      <c r="BD51" s="37" t="s">
        <v>252</v>
      </c>
      <c r="BE51" s="37" t="s">
        <v>251</v>
      </c>
      <c r="BF51" s="0" t="s">
        <v>55</v>
      </c>
      <c r="BG51" s="37" t="s">
        <v>252</v>
      </c>
      <c r="BH51" s="37" t="s">
        <v>252</v>
      </c>
      <c r="BI51" s="37" t="s">
        <v>252</v>
      </c>
      <c r="BJ51" s="37" t="s">
        <v>252</v>
      </c>
      <c r="BK51" s="0" t="s">
        <v>55</v>
      </c>
    </row>
    <row r="52" customFormat="false" ht="12.8" hidden="false" customHeight="false" outlineLevel="0" collapsed="false">
      <c r="A52" s="0" t="n">
        <f aca="false">A51-1</f>
        <v>1967</v>
      </c>
      <c r="B52" s="37" t="s">
        <v>252</v>
      </c>
      <c r="C52" s="37" t="s">
        <v>252</v>
      </c>
      <c r="D52" s="37" t="s">
        <v>252</v>
      </c>
      <c r="E52" s="37" t="s">
        <v>252</v>
      </c>
      <c r="F52" s="37" t="s">
        <v>250</v>
      </c>
      <c r="G52" s="37" t="s">
        <v>250</v>
      </c>
      <c r="H52" s="37" t="s">
        <v>250</v>
      </c>
      <c r="I52" s="37" t="s">
        <v>250</v>
      </c>
      <c r="J52" s="0" t="s">
        <v>55</v>
      </c>
      <c r="K52" s="37" t="s">
        <v>251</v>
      </c>
      <c r="L52" s="37" t="s">
        <v>252</v>
      </c>
      <c r="M52" s="37" t="s">
        <v>250</v>
      </c>
      <c r="N52" s="37" t="s">
        <v>252</v>
      </c>
      <c r="O52" s="37" t="s">
        <v>252</v>
      </c>
      <c r="P52" s="37" t="s">
        <v>252</v>
      </c>
      <c r="Q52" s="37" t="s">
        <v>250</v>
      </c>
      <c r="R52" s="37" t="s">
        <v>250</v>
      </c>
      <c r="S52" s="37" t="s">
        <v>250</v>
      </c>
      <c r="T52" s="0" t="s">
        <v>55</v>
      </c>
      <c r="U52" s="37" t="s">
        <v>251</v>
      </c>
      <c r="V52" s="37" t="s">
        <v>250</v>
      </c>
      <c r="W52" s="37" t="s">
        <v>250</v>
      </c>
      <c r="X52" s="37" t="s">
        <v>250</v>
      </c>
      <c r="Y52" s="37" t="s">
        <v>250</v>
      </c>
      <c r="Z52" s="37" t="s">
        <v>250</v>
      </c>
      <c r="AA52" s="37" t="s">
        <v>250</v>
      </c>
      <c r="AB52" s="37" t="s">
        <v>250</v>
      </c>
      <c r="AC52" s="37" t="s">
        <v>250</v>
      </c>
      <c r="AD52" s="37" t="s">
        <v>250</v>
      </c>
      <c r="AE52" s="37" t="s">
        <v>252</v>
      </c>
      <c r="AF52" s="37" t="s">
        <v>252</v>
      </c>
      <c r="AG52" s="37" t="s">
        <v>252</v>
      </c>
      <c r="AH52" s="37" t="s">
        <v>252</v>
      </c>
      <c r="AI52" s="37" t="s">
        <v>252</v>
      </c>
      <c r="AJ52" s="37" t="s">
        <v>252</v>
      </c>
      <c r="AK52" s="37" t="s">
        <v>252</v>
      </c>
      <c r="AL52" s="37" t="s">
        <v>252</v>
      </c>
      <c r="AM52" s="37" t="s">
        <v>252</v>
      </c>
      <c r="AN52" s="37" t="s">
        <v>250</v>
      </c>
      <c r="AO52" s="37" t="s">
        <v>250</v>
      </c>
      <c r="AP52" s="37" t="s">
        <v>250</v>
      </c>
      <c r="AQ52" s="37" t="s">
        <v>250</v>
      </c>
      <c r="AR52" s="37" t="s">
        <v>250</v>
      </c>
      <c r="AS52" s="37" t="s">
        <v>250</v>
      </c>
      <c r="AT52" s="0" t="s">
        <v>55</v>
      </c>
      <c r="AU52" s="37" t="s">
        <v>250</v>
      </c>
      <c r="AV52" s="37" t="s">
        <v>250</v>
      </c>
      <c r="AW52" s="37" t="s">
        <v>250</v>
      </c>
      <c r="AX52" s="37" t="s">
        <v>252</v>
      </c>
      <c r="AY52" s="37" t="s">
        <v>252</v>
      </c>
      <c r="AZ52" s="37" t="s">
        <v>252</v>
      </c>
      <c r="BA52" s="37" t="s">
        <v>250</v>
      </c>
      <c r="BB52" s="37" t="s">
        <v>250</v>
      </c>
      <c r="BC52" s="37" t="s">
        <v>252</v>
      </c>
      <c r="BD52" s="37" t="s">
        <v>252</v>
      </c>
      <c r="BE52" s="37" t="s">
        <v>251</v>
      </c>
      <c r="BF52" s="0" t="s">
        <v>55</v>
      </c>
      <c r="BG52" s="37" t="s">
        <v>252</v>
      </c>
      <c r="BH52" s="37" t="s">
        <v>252</v>
      </c>
      <c r="BI52" s="37" t="s">
        <v>252</v>
      </c>
      <c r="BJ52" s="37" t="s">
        <v>252</v>
      </c>
      <c r="BK52" s="0" t="s">
        <v>55</v>
      </c>
    </row>
    <row r="53" customFormat="false" ht="12.8" hidden="false" customHeight="false" outlineLevel="0" collapsed="false">
      <c r="A53" s="0" t="n">
        <f aca="false">A52-1</f>
        <v>1966</v>
      </c>
      <c r="B53" s="37" t="s">
        <v>252</v>
      </c>
      <c r="C53" s="37" t="s">
        <v>252</v>
      </c>
      <c r="D53" s="37" t="s">
        <v>252</v>
      </c>
      <c r="E53" s="37" t="s">
        <v>252</v>
      </c>
      <c r="F53" s="37" t="s">
        <v>250</v>
      </c>
      <c r="G53" s="37" t="s">
        <v>250</v>
      </c>
      <c r="H53" s="37" t="s">
        <v>250</v>
      </c>
      <c r="I53" s="37" t="s">
        <v>250</v>
      </c>
      <c r="J53" s="0" t="s">
        <v>55</v>
      </c>
      <c r="K53" s="37" t="s">
        <v>251</v>
      </c>
      <c r="L53" s="37" t="s">
        <v>252</v>
      </c>
      <c r="M53" s="37" t="s">
        <v>250</v>
      </c>
      <c r="N53" s="37" t="s">
        <v>252</v>
      </c>
      <c r="O53" s="37" t="s">
        <v>252</v>
      </c>
      <c r="P53" s="37" t="s">
        <v>252</v>
      </c>
      <c r="Q53" s="37" t="s">
        <v>250</v>
      </c>
      <c r="R53" s="37" t="s">
        <v>250</v>
      </c>
      <c r="S53" s="37" t="s">
        <v>250</v>
      </c>
      <c r="T53" s="0" t="s">
        <v>55</v>
      </c>
      <c r="U53" s="37" t="s">
        <v>251</v>
      </c>
      <c r="V53" s="37" t="s">
        <v>250</v>
      </c>
      <c r="W53" s="37" t="s">
        <v>250</v>
      </c>
      <c r="X53" s="37" t="s">
        <v>250</v>
      </c>
      <c r="Y53" s="37" t="s">
        <v>250</v>
      </c>
      <c r="Z53" s="37" t="s">
        <v>250</v>
      </c>
      <c r="AA53" s="37" t="s">
        <v>250</v>
      </c>
      <c r="AB53" s="37" t="s">
        <v>250</v>
      </c>
      <c r="AC53" s="37" t="s">
        <v>250</v>
      </c>
      <c r="AD53" s="37" t="s">
        <v>250</v>
      </c>
      <c r="AE53" s="37" t="s">
        <v>252</v>
      </c>
      <c r="AF53" s="37" t="s">
        <v>252</v>
      </c>
      <c r="AG53" s="37" t="s">
        <v>252</v>
      </c>
      <c r="AH53" s="37" t="s">
        <v>252</v>
      </c>
      <c r="AI53" s="37" t="s">
        <v>252</v>
      </c>
      <c r="AJ53" s="37" t="s">
        <v>252</v>
      </c>
      <c r="AK53" s="37" t="s">
        <v>252</v>
      </c>
      <c r="AL53" s="37" t="s">
        <v>252</v>
      </c>
      <c r="AM53" s="37" t="s">
        <v>252</v>
      </c>
      <c r="AN53" s="37" t="s">
        <v>250</v>
      </c>
      <c r="AO53" s="37" t="s">
        <v>250</v>
      </c>
      <c r="AP53" s="37" t="s">
        <v>250</v>
      </c>
      <c r="AQ53" s="37" t="s">
        <v>250</v>
      </c>
      <c r="AR53" s="37" t="s">
        <v>250</v>
      </c>
      <c r="AS53" s="37" t="s">
        <v>250</v>
      </c>
      <c r="AT53" s="0" t="s">
        <v>55</v>
      </c>
      <c r="AU53" s="37" t="s">
        <v>250</v>
      </c>
      <c r="AV53" s="37" t="s">
        <v>250</v>
      </c>
      <c r="AW53" s="37" t="s">
        <v>250</v>
      </c>
      <c r="AX53" s="37" t="s">
        <v>252</v>
      </c>
      <c r="AY53" s="37" t="s">
        <v>252</v>
      </c>
      <c r="AZ53" s="37" t="s">
        <v>252</v>
      </c>
      <c r="BA53" s="37" t="s">
        <v>250</v>
      </c>
      <c r="BB53" s="37" t="s">
        <v>250</v>
      </c>
      <c r="BC53" s="37" t="s">
        <v>252</v>
      </c>
      <c r="BD53" s="37" t="s">
        <v>252</v>
      </c>
      <c r="BE53" s="37" t="s">
        <v>251</v>
      </c>
      <c r="BF53" s="0" t="s">
        <v>55</v>
      </c>
      <c r="BG53" s="37" t="s">
        <v>252</v>
      </c>
      <c r="BH53" s="37" t="s">
        <v>252</v>
      </c>
      <c r="BI53" s="37" t="s">
        <v>252</v>
      </c>
      <c r="BJ53" s="37" t="s">
        <v>252</v>
      </c>
      <c r="BK53" s="0" t="s">
        <v>55</v>
      </c>
    </row>
    <row r="54" customFormat="false" ht="12.8" hidden="false" customHeight="false" outlineLevel="0" collapsed="false">
      <c r="A54" s="0" t="n">
        <f aca="false">A53-1</f>
        <v>1965</v>
      </c>
      <c r="B54" s="37" t="s">
        <v>252</v>
      </c>
      <c r="C54" s="37" t="s">
        <v>252</v>
      </c>
      <c r="D54" s="37" t="s">
        <v>252</v>
      </c>
      <c r="E54" s="37" t="s">
        <v>252</v>
      </c>
      <c r="F54" s="37" t="s">
        <v>250</v>
      </c>
      <c r="G54" s="37" t="s">
        <v>250</v>
      </c>
      <c r="H54" s="37" t="s">
        <v>250</v>
      </c>
      <c r="I54" s="37" t="s">
        <v>250</v>
      </c>
      <c r="J54" s="0" t="s">
        <v>55</v>
      </c>
      <c r="K54" s="37" t="s">
        <v>251</v>
      </c>
      <c r="L54" s="37" t="s">
        <v>252</v>
      </c>
      <c r="M54" s="37" t="s">
        <v>250</v>
      </c>
      <c r="N54" s="37" t="s">
        <v>252</v>
      </c>
      <c r="O54" s="37" t="s">
        <v>252</v>
      </c>
      <c r="P54" s="37" t="s">
        <v>252</v>
      </c>
      <c r="Q54" s="37" t="s">
        <v>250</v>
      </c>
      <c r="R54" s="37" t="s">
        <v>250</v>
      </c>
      <c r="S54" s="37" t="s">
        <v>250</v>
      </c>
      <c r="T54" s="0" t="s">
        <v>55</v>
      </c>
      <c r="U54" s="37" t="s">
        <v>251</v>
      </c>
      <c r="V54" s="37" t="s">
        <v>250</v>
      </c>
      <c r="W54" s="37" t="s">
        <v>250</v>
      </c>
      <c r="X54" s="37" t="s">
        <v>250</v>
      </c>
      <c r="Y54" s="37" t="s">
        <v>250</v>
      </c>
      <c r="Z54" s="37" t="s">
        <v>250</v>
      </c>
      <c r="AA54" s="37" t="s">
        <v>250</v>
      </c>
      <c r="AB54" s="37" t="s">
        <v>250</v>
      </c>
      <c r="AC54" s="37" t="s">
        <v>250</v>
      </c>
      <c r="AD54" s="37" t="s">
        <v>250</v>
      </c>
      <c r="AE54" s="37" t="s">
        <v>252</v>
      </c>
      <c r="AF54" s="37" t="s">
        <v>252</v>
      </c>
      <c r="AG54" s="37" t="s">
        <v>252</v>
      </c>
      <c r="AH54" s="37" t="s">
        <v>252</v>
      </c>
      <c r="AI54" s="37" t="s">
        <v>252</v>
      </c>
      <c r="AJ54" s="37" t="s">
        <v>252</v>
      </c>
      <c r="AK54" s="37" t="s">
        <v>252</v>
      </c>
      <c r="AL54" s="37" t="s">
        <v>252</v>
      </c>
      <c r="AM54" s="37" t="s">
        <v>252</v>
      </c>
      <c r="AN54" s="37" t="s">
        <v>250</v>
      </c>
      <c r="AO54" s="37" t="s">
        <v>250</v>
      </c>
      <c r="AP54" s="37" t="s">
        <v>250</v>
      </c>
      <c r="AQ54" s="37" t="s">
        <v>250</v>
      </c>
      <c r="AR54" s="37" t="s">
        <v>250</v>
      </c>
      <c r="AS54" s="37" t="s">
        <v>250</v>
      </c>
      <c r="AT54" s="0" t="s">
        <v>55</v>
      </c>
      <c r="AU54" s="37" t="s">
        <v>250</v>
      </c>
      <c r="AV54" s="37" t="s">
        <v>250</v>
      </c>
      <c r="AW54" s="37" t="s">
        <v>250</v>
      </c>
      <c r="AX54" s="37" t="s">
        <v>252</v>
      </c>
      <c r="AY54" s="37" t="s">
        <v>252</v>
      </c>
      <c r="AZ54" s="37" t="s">
        <v>252</v>
      </c>
      <c r="BA54" s="37" t="s">
        <v>250</v>
      </c>
      <c r="BB54" s="37" t="s">
        <v>250</v>
      </c>
      <c r="BC54" s="37" t="s">
        <v>252</v>
      </c>
      <c r="BD54" s="37" t="s">
        <v>252</v>
      </c>
      <c r="BE54" s="37" t="s">
        <v>251</v>
      </c>
      <c r="BF54" s="0" t="s">
        <v>55</v>
      </c>
      <c r="BG54" s="37" t="s">
        <v>252</v>
      </c>
      <c r="BH54" s="37" t="s">
        <v>252</v>
      </c>
      <c r="BI54" s="37" t="s">
        <v>252</v>
      </c>
      <c r="BJ54" s="37" t="s">
        <v>252</v>
      </c>
      <c r="BK54" s="0" t="s">
        <v>55</v>
      </c>
    </row>
    <row r="55" customFormat="false" ht="12.8" hidden="false" customHeight="false" outlineLevel="0" collapsed="false">
      <c r="A55" s="0" t="n">
        <f aca="false">A54-1</f>
        <v>1964</v>
      </c>
      <c r="B55" s="37" t="s">
        <v>252</v>
      </c>
      <c r="C55" s="37" t="s">
        <v>252</v>
      </c>
      <c r="D55" s="37" t="s">
        <v>252</v>
      </c>
      <c r="E55" s="37" t="s">
        <v>252</v>
      </c>
      <c r="F55" s="37" t="s">
        <v>250</v>
      </c>
      <c r="G55" s="37" t="s">
        <v>250</v>
      </c>
      <c r="H55" s="37" t="s">
        <v>250</v>
      </c>
      <c r="I55" s="37" t="s">
        <v>250</v>
      </c>
      <c r="J55" s="0" t="s">
        <v>55</v>
      </c>
      <c r="K55" s="37" t="s">
        <v>251</v>
      </c>
      <c r="L55" s="37" t="s">
        <v>252</v>
      </c>
      <c r="M55" s="37" t="s">
        <v>250</v>
      </c>
      <c r="N55" s="37" t="s">
        <v>252</v>
      </c>
      <c r="O55" s="37" t="s">
        <v>252</v>
      </c>
      <c r="P55" s="37" t="s">
        <v>252</v>
      </c>
      <c r="Q55" s="37" t="s">
        <v>250</v>
      </c>
      <c r="R55" s="37" t="s">
        <v>250</v>
      </c>
      <c r="S55" s="37" t="s">
        <v>250</v>
      </c>
      <c r="T55" s="0" t="s">
        <v>55</v>
      </c>
      <c r="U55" s="37" t="s">
        <v>251</v>
      </c>
      <c r="V55" s="37" t="s">
        <v>250</v>
      </c>
      <c r="W55" s="37" t="s">
        <v>250</v>
      </c>
      <c r="X55" s="37" t="s">
        <v>250</v>
      </c>
      <c r="Y55" s="37" t="s">
        <v>250</v>
      </c>
      <c r="Z55" s="37" t="s">
        <v>250</v>
      </c>
      <c r="AA55" s="37" t="s">
        <v>250</v>
      </c>
      <c r="AB55" s="37" t="s">
        <v>250</v>
      </c>
      <c r="AC55" s="37" t="s">
        <v>250</v>
      </c>
      <c r="AD55" s="37" t="s">
        <v>250</v>
      </c>
      <c r="AE55" s="37" t="s">
        <v>252</v>
      </c>
      <c r="AF55" s="37" t="s">
        <v>252</v>
      </c>
      <c r="AG55" s="37" t="s">
        <v>252</v>
      </c>
      <c r="AH55" s="37" t="s">
        <v>252</v>
      </c>
      <c r="AI55" s="37" t="s">
        <v>252</v>
      </c>
      <c r="AJ55" s="37" t="s">
        <v>252</v>
      </c>
      <c r="AK55" s="37" t="s">
        <v>252</v>
      </c>
      <c r="AL55" s="37" t="s">
        <v>252</v>
      </c>
      <c r="AM55" s="37" t="s">
        <v>252</v>
      </c>
      <c r="AN55" s="37" t="s">
        <v>250</v>
      </c>
      <c r="AO55" s="37" t="s">
        <v>250</v>
      </c>
      <c r="AP55" s="37" t="s">
        <v>250</v>
      </c>
      <c r="AQ55" s="37" t="s">
        <v>250</v>
      </c>
      <c r="AR55" s="37" t="s">
        <v>250</v>
      </c>
      <c r="AS55" s="37" t="s">
        <v>250</v>
      </c>
      <c r="AT55" s="0" t="s">
        <v>55</v>
      </c>
      <c r="AU55" s="37" t="s">
        <v>250</v>
      </c>
      <c r="AV55" s="37" t="s">
        <v>250</v>
      </c>
      <c r="AW55" s="37" t="s">
        <v>250</v>
      </c>
      <c r="AX55" s="37" t="s">
        <v>252</v>
      </c>
      <c r="AY55" s="37" t="s">
        <v>252</v>
      </c>
      <c r="AZ55" s="37" t="s">
        <v>252</v>
      </c>
      <c r="BA55" s="37" t="s">
        <v>250</v>
      </c>
      <c r="BB55" s="37" t="s">
        <v>250</v>
      </c>
      <c r="BC55" s="37" t="s">
        <v>252</v>
      </c>
      <c r="BD55" s="37" t="s">
        <v>252</v>
      </c>
      <c r="BE55" s="37" t="s">
        <v>251</v>
      </c>
      <c r="BF55" s="0" t="s">
        <v>55</v>
      </c>
      <c r="BG55" s="37" t="s">
        <v>252</v>
      </c>
      <c r="BH55" s="37" t="s">
        <v>252</v>
      </c>
      <c r="BI55" s="37" t="s">
        <v>252</v>
      </c>
      <c r="BJ55" s="37" t="s">
        <v>252</v>
      </c>
      <c r="BK55" s="0" t="s">
        <v>55</v>
      </c>
    </row>
    <row r="56" customFormat="false" ht="12.8" hidden="false" customHeight="false" outlineLevel="0" collapsed="false">
      <c r="A56" s="0" t="n">
        <f aca="false">A55-1</f>
        <v>1963</v>
      </c>
      <c r="B56" s="37" t="s">
        <v>252</v>
      </c>
      <c r="C56" s="37" t="s">
        <v>252</v>
      </c>
      <c r="D56" s="37" t="s">
        <v>252</v>
      </c>
      <c r="E56" s="37" t="s">
        <v>252</v>
      </c>
      <c r="F56" s="37" t="s">
        <v>250</v>
      </c>
      <c r="G56" s="37" t="s">
        <v>250</v>
      </c>
      <c r="H56" s="37" t="s">
        <v>250</v>
      </c>
      <c r="I56" s="37" t="s">
        <v>250</v>
      </c>
      <c r="J56" s="0" t="s">
        <v>55</v>
      </c>
      <c r="K56" s="37" t="s">
        <v>251</v>
      </c>
      <c r="L56" s="37" t="s">
        <v>252</v>
      </c>
      <c r="M56" s="37" t="s">
        <v>250</v>
      </c>
      <c r="N56" s="37" t="s">
        <v>252</v>
      </c>
      <c r="O56" s="37" t="s">
        <v>252</v>
      </c>
      <c r="P56" s="37" t="s">
        <v>252</v>
      </c>
      <c r="Q56" s="37" t="s">
        <v>250</v>
      </c>
      <c r="R56" s="37" t="s">
        <v>250</v>
      </c>
      <c r="S56" s="37" t="s">
        <v>250</v>
      </c>
      <c r="T56" s="0" t="s">
        <v>55</v>
      </c>
      <c r="U56" s="37" t="s">
        <v>251</v>
      </c>
      <c r="V56" s="37" t="s">
        <v>250</v>
      </c>
      <c r="W56" s="37" t="s">
        <v>250</v>
      </c>
      <c r="X56" s="37" t="s">
        <v>250</v>
      </c>
      <c r="Y56" s="37" t="s">
        <v>250</v>
      </c>
      <c r="Z56" s="37" t="s">
        <v>250</v>
      </c>
      <c r="AA56" s="37" t="s">
        <v>250</v>
      </c>
      <c r="AB56" s="37" t="s">
        <v>250</v>
      </c>
      <c r="AC56" s="37" t="s">
        <v>250</v>
      </c>
      <c r="AD56" s="37" t="s">
        <v>250</v>
      </c>
      <c r="AE56" s="37" t="s">
        <v>252</v>
      </c>
      <c r="AF56" s="37" t="s">
        <v>252</v>
      </c>
      <c r="AG56" s="37" t="s">
        <v>252</v>
      </c>
      <c r="AH56" s="37" t="s">
        <v>252</v>
      </c>
      <c r="AI56" s="37" t="s">
        <v>252</v>
      </c>
      <c r="AJ56" s="37" t="s">
        <v>252</v>
      </c>
      <c r="AK56" s="37" t="s">
        <v>252</v>
      </c>
      <c r="AL56" s="37" t="s">
        <v>252</v>
      </c>
      <c r="AM56" s="37" t="s">
        <v>252</v>
      </c>
      <c r="AN56" s="37" t="s">
        <v>250</v>
      </c>
      <c r="AO56" s="37" t="s">
        <v>250</v>
      </c>
      <c r="AP56" s="37" t="s">
        <v>250</v>
      </c>
      <c r="AQ56" s="37" t="s">
        <v>250</v>
      </c>
      <c r="AR56" s="37" t="s">
        <v>250</v>
      </c>
      <c r="AS56" s="37" t="s">
        <v>250</v>
      </c>
      <c r="AT56" s="0" t="s">
        <v>55</v>
      </c>
      <c r="AU56" s="37" t="s">
        <v>250</v>
      </c>
      <c r="AV56" s="37" t="s">
        <v>250</v>
      </c>
      <c r="AW56" s="37" t="s">
        <v>250</v>
      </c>
      <c r="AX56" s="37" t="s">
        <v>252</v>
      </c>
      <c r="AY56" s="37" t="s">
        <v>252</v>
      </c>
      <c r="AZ56" s="37" t="s">
        <v>252</v>
      </c>
      <c r="BA56" s="37" t="s">
        <v>250</v>
      </c>
      <c r="BB56" s="37" t="s">
        <v>250</v>
      </c>
      <c r="BC56" s="37" t="s">
        <v>252</v>
      </c>
      <c r="BD56" s="37" t="s">
        <v>252</v>
      </c>
      <c r="BE56" s="37" t="s">
        <v>251</v>
      </c>
      <c r="BF56" s="0" t="s">
        <v>55</v>
      </c>
      <c r="BG56" s="37" t="s">
        <v>252</v>
      </c>
      <c r="BH56" s="37" t="s">
        <v>252</v>
      </c>
      <c r="BI56" s="37" t="s">
        <v>252</v>
      </c>
      <c r="BJ56" s="37" t="s">
        <v>252</v>
      </c>
      <c r="BK56" s="0" t="s">
        <v>55</v>
      </c>
    </row>
    <row r="57" customFormat="false" ht="12.8" hidden="false" customHeight="false" outlineLevel="0" collapsed="false">
      <c r="A57" s="0" t="n">
        <f aca="false">A56-1</f>
        <v>1962</v>
      </c>
      <c r="B57" s="37" t="s">
        <v>252</v>
      </c>
      <c r="C57" s="37" t="s">
        <v>252</v>
      </c>
      <c r="D57" s="37" t="s">
        <v>252</v>
      </c>
      <c r="E57" s="37" t="s">
        <v>252</v>
      </c>
      <c r="F57" s="37" t="s">
        <v>250</v>
      </c>
      <c r="G57" s="37" t="s">
        <v>250</v>
      </c>
      <c r="H57" s="37" t="s">
        <v>250</v>
      </c>
      <c r="I57" s="37" t="s">
        <v>250</v>
      </c>
      <c r="J57" s="0" t="s">
        <v>55</v>
      </c>
      <c r="K57" s="37" t="s">
        <v>251</v>
      </c>
      <c r="L57" s="37" t="s">
        <v>252</v>
      </c>
      <c r="M57" s="37" t="s">
        <v>250</v>
      </c>
      <c r="N57" s="37" t="s">
        <v>252</v>
      </c>
      <c r="O57" s="37" t="s">
        <v>252</v>
      </c>
      <c r="P57" s="37" t="s">
        <v>252</v>
      </c>
      <c r="Q57" s="37" t="s">
        <v>250</v>
      </c>
      <c r="R57" s="37" t="s">
        <v>250</v>
      </c>
      <c r="S57" s="37" t="s">
        <v>250</v>
      </c>
      <c r="T57" s="0" t="s">
        <v>55</v>
      </c>
      <c r="U57" s="37" t="s">
        <v>251</v>
      </c>
      <c r="V57" s="37" t="s">
        <v>250</v>
      </c>
      <c r="W57" s="37" t="s">
        <v>250</v>
      </c>
      <c r="X57" s="37" t="s">
        <v>250</v>
      </c>
      <c r="Y57" s="37" t="s">
        <v>250</v>
      </c>
      <c r="Z57" s="37" t="s">
        <v>250</v>
      </c>
      <c r="AA57" s="37" t="s">
        <v>250</v>
      </c>
      <c r="AB57" s="37" t="s">
        <v>250</v>
      </c>
      <c r="AC57" s="37" t="s">
        <v>250</v>
      </c>
      <c r="AD57" s="37" t="s">
        <v>250</v>
      </c>
      <c r="AE57" s="37" t="s">
        <v>252</v>
      </c>
      <c r="AF57" s="37" t="s">
        <v>252</v>
      </c>
      <c r="AG57" s="37" t="s">
        <v>252</v>
      </c>
      <c r="AH57" s="37" t="s">
        <v>252</v>
      </c>
      <c r="AI57" s="37" t="s">
        <v>252</v>
      </c>
      <c r="AJ57" s="37" t="s">
        <v>252</v>
      </c>
      <c r="AK57" s="37" t="s">
        <v>252</v>
      </c>
      <c r="AL57" s="37" t="s">
        <v>252</v>
      </c>
      <c r="AM57" s="37" t="s">
        <v>252</v>
      </c>
      <c r="AN57" s="37" t="s">
        <v>250</v>
      </c>
      <c r="AO57" s="37" t="s">
        <v>250</v>
      </c>
      <c r="AP57" s="37" t="s">
        <v>250</v>
      </c>
      <c r="AQ57" s="37" t="s">
        <v>250</v>
      </c>
      <c r="AR57" s="37" t="s">
        <v>250</v>
      </c>
      <c r="AS57" s="37" t="s">
        <v>250</v>
      </c>
      <c r="AT57" s="0" t="s">
        <v>55</v>
      </c>
      <c r="AU57" s="37" t="s">
        <v>250</v>
      </c>
      <c r="AV57" s="37" t="s">
        <v>250</v>
      </c>
      <c r="AW57" s="37" t="s">
        <v>250</v>
      </c>
      <c r="AX57" s="37" t="s">
        <v>252</v>
      </c>
      <c r="AY57" s="37" t="s">
        <v>252</v>
      </c>
      <c r="AZ57" s="37" t="s">
        <v>252</v>
      </c>
      <c r="BA57" s="37" t="s">
        <v>250</v>
      </c>
      <c r="BB57" s="37" t="s">
        <v>250</v>
      </c>
      <c r="BC57" s="37" t="s">
        <v>252</v>
      </c>
      <c r="BD57" s="37" t="s">
        <v>252</v>
      </c>
      <c r="BE57" s="37" t="s">
        <v>251</v>
      </c>
      <c r="BF57" s="0" t="s">
        <v>55</v>
      </c>
      <c r="BG57" s="37" t="s">
        <v>252</v>
      </c>
      <c r="BH57" s="37" t="s">
        <v>252</v>
      </c>
      <c r="BI57" s="37" t="s">
        <v>252</v>
      </c>
      <c r="BJ57" s="37" t="s">
        <v>252</v>
      </c>
      <c r="BK57" s="0" t="s">
        <v>55</v>
      </c>
    </row>
    <row r="58" customFormat="false" ht="12.8" hidden="false" customHeight="false" outlineLevel="0" collapsed="false">
      <c r="A58" s="0" t="n">
        <f aca="false">A57-1</f>
        <v>1961</v>
      </c>
      <c r="B58" s="37" t="s">
        <v>252</v>
      </c>
      <c r="C58" s="37" t="s">
        <v>252</v>
      </c>
      <c r="D58" s="37" t="s">
        <v>252</v>
      </c>
      <c r="E58" s="37" t="s">
        <v>252</v>
      </c>
      <c r="F58" s="37" t="s">
        <v>250</v>
      </c>
      <c r="G58" s="37" t="s">
        <v>250</v>
      </c>
      <c r="H58" s="37" t="s">
        <v>250</v>
      </c>
      <c r="I58" s="37" t="s">
        <v>250</v>
      </c>
      <c r="J58" s="0" t="s">
        <v>55</v>
      </c>
      <c r="K58" s="37" t="s">
        <v>251</v>
      </c>
      <c r="L58" s="37" t="s">
        <v>252</v>
      </c>
      <c r="M58" s="37" t="s">
        <v>250</v>
      </c>
      <c r="N58" s="37" t="s">
        <v>252</v>
      </c>
      <c r="O58" s="37" t="s">
        <v>252</v>
      </c>
      <c r="P58" s="37" t="s">
        <v>252</v>
      </c>
      <c r="Q58" s="37" t="s">
        <v>250</v>
      </c>
      <c r="R58" s="37" t="s">
        <v>250</v>
      </c>
      <c r="S58" s="37" t="s">
        <v>250</v>
      </c>
      <c r="T58" s="0" t="s">
        <v>55</v>
      </c>
      <c r="U58" s="37" t="s">
        <v>251</v>
      </c>
      <c r="V58" s="37" t="s">
        <v>250</v>
      </c>
      <c r="W58" s="37" t="s">
        <v>250</v>
      </c>
      <c r="X58" s="37" t="s">
        <v>250</v>
      </c>
      <c r="Y58" s="37" t="s">
        <v>250</v>
      </c>
      <c r="Z58" s="37" t="s">
        <v>250</v>
      </c>
      <c r="AA58" s="37" t="s">
        <v>250</v>
      </c>
      <c r="AB58" s="37" t="s">
        <v>250</v>
      </c>
      <c r="AC58" s="37" t="s">
        <v>250</v>
      </c>
      <c r="AD58" s="37" t="s">
        <v>250</v>
      </c>
      <c r="AE58" s="37" t="s">
        <v>252</v>
      </c>
      <c r="AF58" s="37" t="s">
        <v>252</v>
      </c>
      <c r="AG58" s="37" t="s">
        <v>252</v>
      </c>
      <c r="AH58" s="37" t="s">
        <v>252</v>
      </c>
      <c r="AI58" s="37" t="s">
        <v>252</v>
      </c>
      <c r="AJ58" s="37" t="s">
        <v>252</v>
      </c>
      <c r="AK58" s="37" t="s">
        <v>252</v>
      </c>
      <c r="AL58" s="37" t="s">
        <v>252</v>
      </c>
      <c r="AM58" s="37" t="s">
        <v>252</v>
      </c>
      <c r="AN58" s="37" t="s">
        <v>250</v>
      </c>
      <c r="AO58" s="37" t="s">
        <v>250</v>
      </c>
      <c r="AP58" s="37" t="s">
        <v>250</v>
      </c>
      <c r="AQ58" s="37" t="s">
        <v>250</v>
      </c>
      <c r="AR58" s="37" t="s">
        <v>250</v>
      </c>
      <c r="AS58" s="37" t="s">
        <v>250</v>
      </c>
      <c r="AT58" s="0" t="s">
        <v>55</v>
      </c>
      <c r="AU58" s="37" t="s">
        <v>250</v>
      </c>
      <c r="AV58" s="37" t="s">
        <v>250</v>
      </c>
      <c r="AW58" s="37" t="s">
        <v>250</v>
      </c>
      <c r="AX58" s="37" t="s">
        <v>252</v>
      </c>
      <c r="AY58" s="37" t="s">
        <v>252</v>
      </c>
      <c r="AZ58" s="37" t="s">
        <v>252</v>
      </c>
      <c r="BA58" s="37" t="s">
        <v>250</v>
      </c>
      <c r="BB58" s="37" t="s">
        <v>250</v>
      </c>
      <c r="BC58" s="37" t="s">
        <v>252</v>
      </c>
      <c r="BD58" s="37" t="s">
        <v>252</v>
      </c>
      <c r="BE58" s="37" t="s">
        <v>251</v>
      </c>
      <c r="BF58" s="0" t="s">
        <v>55</v>
      </c>
      <c r="BG58" s="37" t="s">
        <v>252</v>
      </c>
      <c r="BH58" s="37" t="s">
        <v>252</v>
      </c>
      <c r="BI58" s="37" t="s">
        <v>252</v>
      </c>
      <c r="BJ58" s="37" t="s">
        <v>252</v>
      </c>
      <c r="BK58" s="0" t="s">
        <v>55</v>
      </c>
    </row>
    <row r="59" customFormat="false" ht="12.8" hidden="false" customHeight="false" outlineLevel="0" collapsed="false">
      <c r="A59" s="0" t="n">
        <f aca="false">A58-1</f>
        <v>1960</v>
      </c>
      <c r="B59" s="37" t="s">
        <v>252</v>
      </c>
      <c r="C59" s="37" t="s">
        <v>252</v>
      </c>
      <c r="D59" s="37" t="s">
        <v>252</v>
      </c>
      <c r="E59" s="37" t="s">
        <v>252</v>
      </c>
      <c r="F59" s="37" t="s">
        <v>250</v>
      </c>
      <c r="G59" s="37" t="s">
        <v>250</v>
      </c>
      <c r="H59" s="37" t="s">
        <v>250</v>
      </c>
      <c r="I59" s="37" t="s">
        <v>250</v>
      </c>
      <c r="J59" s="0" t="s">
        <v>55</v>
      </c>
      <c r="K59" s="37" t="s">
        <v>251</v>
      </c>
      <c r="L59" s="37" t="s">
        <v>252</v>
      </c>
      <c r="M59" s="37" t="s">
        <v>250</v>
      </c>
      <c r="N59" s="37" t="s">
        <v>252</v>
      </c>
      <c r="O59" s="37" t="s">
        <v>252</v>
      </c>
      <c r="P59" s="37" t="s">
        <v>252</v>
      </c>
      <c r="Q59" s="37" t="s">
        <v>250</v>
      </c>
      <c r="R59" s="37" t="s">
        <v>250</v>
      </c>
      <c r="S59" s="37" t="s">
        <v>250</v>
      </c>
      <c r="T59" s="0" t="s">
        <v>55</v>
      </c>
      <c r="U59" s="37" t="s">
        <v>251</v>
      </c>
      <c r="V59" s="37" t="s">
        <v>250</v>
      </c>
      <c r="W59" s="37" t="s">
        <v>250</v>
      </c>
      <c r="X59" s="37" t="s">
        <v>250</v>
      </c>
      <c r="Y59" s="37" t="s">
        <v>250</v>
      </c>
      <c r="Z59" s="37" t="s">
        <v>250</v>
      </c>
      <c r="AA59" s="37" t="s">
        <v>250</v>
      </c>
      <c r="AB59" s="37" t="s">
        <v>250</v>
      </c>
      <c r="AC59" s="37" t="s">
        <v>250</v>
      </c>
      <c r="AD59" s="37" t="s">
        <v>250</v>
      </c>
      <c r="AE59" s="37" t="s">
        <v>252</v>
      </c>
      <c r="AF59" s="37" t="s">
        <v>252</v>
      </c>
      <c r="AG59" s="37" t="s">
        <v>252</v>
      </c>
      <c r="AH59" s="37" t="s">
        <v>252</v>
      </c>
      <c r="AI59" s="37" t="s">
        <v>252</v>
      </c>
      <c r="AJ59" s="37" t="s">
        <v>252</v>
      </c>
      <c r="AK59" s="37" t="s">
        <v>252</v>
      </c>
      <c r="AL59" s="37" t="s">
        <v>252</v>
      </c>
      <c r="AM59" s="37" t="s">
        <v>252</v>
      </c>
      <c r="AN59" s="37" t="s">
        <v>250</v>
      </c>
      <c r="AO59" s="37" t="s">
        <v>250</v>
      </c>
      <c r="AP59" s="37" t="s">
        <v>250</v>
      </c>
      <c r="AQ59" s="37" t="s">
        <v>250</v>
      </c>
      <c r="AR59" s="37" t="s">
        <v>250</v>
      </c>
      <c r="AS59" s="37" t="s">
        <v>250</v>
      </c>
      <c r="AT59" s="0" t="s">
        <v>55</v>
      </c>
      <c r="AU59" s="37" t="s">
        <v>250</v>
      </c>
      <c r="AV59" s="37" t="s">
        <v>250</v>
      </c>
      <c r="AW59" s="37" t="s">
        <v>250</v>
      </c>
      <c r="AX59" s="37" t="s">
        <v>252</v>
      </c>
      <c r="AY59" s="37" t="s">
        <v>252</v>
      </c>
      <c r="AZ59" s="37" t="s">
        <v>252</v>
      </c>
      <c r="BA59" s="37" t="s">
        <v>250</v>
      </c>
      <c r="BB59" s="37" t="s">
        <v>250</v>
      </c>
      <c r="BC59" s="37" t="s">
        <v>252</v>
      </c>
      <c r="BD59" s="37" t="s">
        <v>252</v>
      </c>
      <c r="BE59" s="37" t="s">
        <v>251</v>
      </c>
      <c r="BF59" s="0" t="s">
        <v>55</v>
      </c>
      <c r="BG59" s="37" t="s">
        <v>252</v>
      </c>
      <c r="BH59" s="37" t="s">
        <v>252</v>
      </c>
      <c r="BI59" s="37" t="s">
        <v>252</v>
      </c>
      <c r="BJ59" s="37" t="s">
        <v>252</v>
      </c>
      <c r="BK59" s="0" t="s">
        <v>55</v>
      </c>
    </row>
    <row r="60" customFormat="false" ht="12.8" hidden="false" customHeight="false" outlineLevel="0" collapsed="false">
      <c r="A60" s="0" t="n">
        <f aca="false">A59-1</f>
        <v>1959</v>
      </c>
      <c r="B60" s="37" t="s">
        <v>252</v>
      </c>
      <c r="C60" s="37" t="s">
        <v>252</v>
      </c>
      <c r="D60" s="37" t="s">
        <v>252</v>
      </c>
      <c r="E60" s="37" t="s">
        <v>252</v>
      </c>
      <c r="F60" s="37" t="s">
        <v>250</v>
      </c>
      <c r="G60" s="37" t="s">
        <v>250</v>
      </c>
      <c r="H60" s="37" t="s">
        <v>250</v>
      </c>
      <c r="I60" s="37" t="s">
        <v>250</v>
      </c>
      <c r="J60" s="0" t="s">
        <v>55</v>
      </c>
      <c r="K60" s="37" t="s">
        <v>251</v>
      </c>
      <c r="L60" s="37" t="s">
        <v>252</v>
      </c>
      <c r="M60" s="37" t="s">
        <v>250</v>
      </c>
      <c r="N60" s="37" t="s">
        <v>252</v>
      </c>
      <c r="O60" s="37" t="s">
        <v>252</v>
      </c>
      <c r="P60" s="37" t="s">
        <v>252</v>
      </c>
      <c r="Q60" s="37" t="s">
        <v>250</v>
      </c>
      <c r="R60" s="37" t="s">
        <v>250</v>
      </c>
      <c r="S60" s="37" t="s">
        <v>250</v>
      </c>
      <c r="T60" s="0" t="s">
        <v>55</v>
      </c>
      <c r="U60" s="37" t="s">
        <v>251</v>
      </c>
      <c r="V60" s="37" t="s">
        <v>250</v>
      </c>
      <c r="W60" s="37" t="s">
        <v>250</v>
      </c>
      <c r="X60" s="37" t="s">
        <v>250</v>
      </c>
      <c r="Y60" s="37" t="s">
        <v>250</v>
      </c>
      <c r="Z60" s="37" t="s">
        <v>250</v>
      </c>
      <c r="AA60" s="37" t="s">
        <v>250</v>
      </c>
      <c r="AB60" s="37" t="s">
        <v>250</v>
      </c>
      <c r="AC60" s="37" t="s">
        <v>250</v>
      </c>
      <c r="AD60" s="37" t="s">
        <v>250</v>
      </c>
      <c r="AE60" s="37" t="s">
        <v>252</v>
      </c>
      <c r="AF60" s="37" t="s">
        <v>252</v>
      </c>
      <c r="AG60" s="37" t="s">
        <v>252</v>
      </c>
      <c r="AH60" s="37" t="s">
        <v>252</v>
      </c>
      <c r="AI60" s="37" t="s">
        <v>252</v>
      </c>
      <c r="AJ60" s="37" t="s">
        <v>252</v>
      </c>
      <c r="AK60" s="37" t="s">
        <v>252</v>
      </c>
      <c r="AL60" s="37" t="s">
        <v>252</v>
      </c>
      <c r="AM60" s="37" t="s">
        <v>252</v>
      </c>
      <c r="AN60" s="37" t="s">
        <v>250</v>
      </c>
      <c r="AO60" s="37" t="s">
        <v>250</v>
      </c>
      <c r="AP60" s="37" t="s">
        <v>250</v>
      </c>
      <c r="AQ60" s="37" t="s">
        <v>250</v>
      </c>
      <c r="AR60" s="37" t="s">
        <v>250</v>
      </c>
      <c r="AS60" s="37" t="s">
        <v>250</v>
      </c>
      <c r="AT60" s="0" t="s">
        <v>55</v>
      </c>
      <c r="AU60" s="37" t="s">
        <v>250</v>
      </c>
      <c r="AV60" s="37" t="s">
        <v>250</v>
      </c>
      <c r="AW60" s="37" t="s">
        <v>250</v>
      </c>
      <c r="AX60" s="37" t="s">
        <v>252</v>
      </c>
      <c r="AY60" s="37" t="s">
        <v>252</v>
      </c>
      <c r="AZ60" s="37" t="s">
        <v>252</v>
      </c>
      <c r="BA60" s="37" t="s">
        <v>250</v>
      </c>
      <c r="BB60" s="37" t="s">
        <v>250</v>
      </c>
      <c r="BC60" s="37" t="s">
        <v>252</v>
      </c>
      <c r="BD60" s="37" t="s">
        <v>252</v>
      </c>
      <c r="BE60" s="37" t="s">
        <v>251</v>
      </c>
      <c r="BF60" s="0" t="s">
        <v>55</v>
      </c>
      <c r="BG60" s="37" t="s">
        <v>252</v>
      </c>
      <c r="BH60" s="37" t="s">
        <v>252</v>
      </c>
      <c r="BI60" s="37" t="s">
        <v>252</v>
      </c>
      <c r="BJ60" s="37" t="s">
        <v>252</v>
      </c>
      <c r="BK60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1048576"/>
  <sheetViews>
    <sheetView showFormulas="false" showGridLines="true" showRowColHeaders="true" showZeros="true" rightToLeft="false" tabSelected="false" showOutlineSymbols="true" defaultGridColor="true" view="normal" topLeftCell="BE41" colorId="64" zoomScale="120" zoomScaleNormal="120" zoomScalePageLayoutView="100" workbookViewId="0">
      <selection pane="topLeft" activeCell="B2" activeCellId="0" sqref="B2"/>
    </sheetView>
  </sheetViews>
  <sheetFormatPr defaultColWidth="11.5703125" defaultRowHeight="13.2" zeroHeight="false" outlineLevelRow="0" outlineLevelCol="0"/>
  <cols>
    <col collapsed="false" customWidth="true" hidden="false" outlineLevel="0" max="1" min="1" style="0" width="5.62"/>
    <col collapsed="false" customWidth="true" hidden="false" outlineLevel="0" max="2" min="2" style="0" width="11.43"/>
    <col collapsed="false" customWidth="true" hidden="false" outlineLevel="0" max="3" min="3" style="0" width="13.75"/>
    <col collapsed="false" customWidth="true" hidden="false" outlineLevel="0" max="4" min="4" style="0" width="15.14"/>
    <col collapsed="false" customWidth="true" hidden="false" outlineLevel="0" max="6" min="6" style="0" width="11.43"/>
    <col collapsed="false" customWidth="true" hidden="false" outlineLevel="0" max="7" min="7" style="0" width="13.75"/>
    <col collapsed="false" customWidth="true" hidden="false" outlineLevel="0" max="8" min="8" style="0" width="15.14"/>
    <col collapsed="false" customWidth="true" hidden="false" outlineLevel="0" max="10" min="10" style="0" width="10.16"/>
    <col collapsed="false" customWidth="true" hidden="false" outlineLevel="0" max="11" min="11" style="0" width="15.02"/>
    <col collapsed="false" customWidth="true" hidden="false" outlineLevel="0" max="12" min="12" style="0" width="15.14"/>
    <col collapsed="false" customWidth="true" hidden="false" outlineLevel="0" max="13" min="13" style="0" width="17.45"/>
    <col collapsed="false" customWidth="true" hidden="false" outlineLevel="0" max="14" min="14" style="0" width="10.51"/>
    <col collapsed="false" customWidth="true" hidden="false" outlineLevel="0" max="15" min="15" style="0" width="10.97"/>
    <col collapsed="false" customWidth="true" hidden="false" outlineLevel="0" max="16" min="16" style="0" width="11.43"/>
    <col collapsed="false" customWidth="true" hidden="false" outlineLevel="0" max="17" min="17" style="0" width="10.51"/>
    <col collapsed="false" customWidth="true" hidden="false" outlineLevel="0" max="18" min="18" style="0" width="10.97"/>
    <col collapsed="false" customWidth="true" hidden="false" outlineLevel="0" max="19" min="19" style="0" width="11.43"/>
    <col collapsed="false" customWidth="true" hidden="false" outlineLevel="0" max="20" min="20" style="0" width="11.19"/>
    <col collapsed="false" customWidth="true" hidden="false" outlineLevel="0" max="21" min="21" style="0" width="8.87"/>
    <col collapsed="false" customWidth="true" hidden="false" outlineLevel="0" max="22" min="22" style="0" width="17.34"/>
    <col collapsed="false" customWidth="true" hidden="false" outlineLevel="0" max="23" min="23" style="0" width="20.45"/>
    <col collapsed="false" customWidth="true" hidden="false" outlineLevel="0" max="29" min="24" style="0" width="21.51"/>
    <col collapsed="false" customWidth="true" hidden="false" outlineLevel="0" max="30" min="30" style="0" width="18.38"/>
    <col collapsed="false" customWidth="true" hidden="false" outlineLevel="0" max="31" min="31" style="0" width="17.34"/>
    <col collapsed="false" customWidth="true" hidden="false" outlineLevel="0" max="32" min="32" style="0" width="20.45"/>
    <col collapsed="false" customWidth="true" hidden="false" outlineLevel="0" max="38" min="33" style="0" width="21.51"/>
    <col collapsed="false" customWidth="true" hidden="false" outlineLevel="0" max="39" min="39" style="0" width="18.38"/>
    <col collapsed="false" customWidth="true" hidden="false" outlineLevel="0" max="45" min="40" style="0" width="21.29"/>
    <col collapsed="false" customWidth="true" hidden="false" outlineLevel="0" max="46" min="46" style="0" width="15.37"/>
    <col collapsed="false" customWidth="true" hidden="false" outlineLevel="0" max="47" min="47" style="0" width="14.68"/>
    <col collapsed="false" customWidth="true" hidden="false" outlineLevel="0" max="48" min="48" style="0" width="17.8"/>
    <col collapsed="false" customWidth="true" hidden="false" outlineLevel="0" max="50" min="49" style="0" width="14.68"/>
    <col collapsed="false" customWidth="true" hidden="false" outlineLevel="0" max="51" min="51" style="0" width="17.8"/>
    <col collapsed="false" customWidth="true" hidden="false" outlineLevel="0" max="52" min="52" style="0" width="14.68"/>
    <col collapsed="false" customWidth="true" hidden="false" outlineLevel="0" max="56" min="53" style="0" width="18.85"/>
    <col collapsed="false" customWidth="true" hidden="false" outlineLevel="0" max="57" min="57" style="0" width="15.95"/>
    <col collapsed="false" customWidth="true" hidden="false" outlineLevel="0" max="58" min="58" style="0" width="11.43"/>
    <col collapsed="false" customWidth="true" hidden="false" outlineLevel="0" max="59" min="59" style="0" width="13.29"/>
    <col collapsed="false" customWidth="true" hidden="false" outlineLevel="0" max="60" min="60" style="0" width="17.45"/>
    <col collapsed="false" customWidth="true" hidden="false" outlineLevel="0" max="61" min="61" style="0" width="18.49"/>
    <col collapsed="false" customWidth="true" hidden="false" outlineLevel="0" max="62" min="62" style="0" width="14.35"/>
    <col collapsed="false" customWidth="true" hidden="false" outlineLevel="0" max="63" min="63" style="0" width="10.39"/>
  </cols>
  <sheetData>
    <row r="1" customFormat="false" ht="13.2" hidden="false" customHeight="false" outlineLevel="0" collapsed="false">
      <c r="A1" s="6" t="s">
        <v>232</v>
      </c>
      <c r="B1" s="6" t="str">
        <f aca="false">metadata!B2</f>
        <v>PC_MINI_G</v>
      </c>
      <c r="C1" s="6" t="str">
        <f aca="false">metadata!B3</f>
        <v>PC_SMALL_G</v>
      </c>
      <c r="D1" s="6" t="str">
        <f aca="false">metadata!B4</f>
        <v>PC_MEDIUM_G</v>
      </c>
      <c r="E1" s="6" t="str">
        <f aca="false">metadata!B5</f>
        <v>PC_SUV_G</v>
      </c>
      <c r="F1" s="6" t="str">
        <f aca="false">metadata!B6</f>
        <v>PC_MINI_D</v>
      </c>
      <c r="G1" s="6" t="str">
        <f aca="false">metadata!B7</f>
        <v>PC_SMALL_D</v>
      </c>
      <c r="H1" s="6" t="str">
        <f aca="false">metadata!B8</f>
        <v>PC_MEDIUM_D</v>
      </c>
      <c r="I1" s="6" t="str">
        <f aca="false">metadata!B9</f>
        <v>PC_SUV_D</v>
      </c>
      <c r="J1" s="6" t="str">
        <f aca="false">metadata!B10</f>
        <v>PC_ELEC</v>
      </c>
      <c r="K1" s="6" t="str">
        <f aca="false">metadata!B11</f>
        <v>PC_SMALL_HY</v>
      </c>
      <c r="L1" s="6" t="str">
        <f aca="false">metadata!B12</f>
        <v>TAXI_SMALL_G</v>
      </c>
      <c r="M1" s="6" t="str">
        <f aca="false">metadata!B13</f>
        <v>TAXI_SMALL_GLP</v>
      </c>
      <c r="N1" s="6" t="str">
        <f aca="false">metadata!B14</f>
        <v>LCV_NI_G</v>
      </c>
      <c r="O1" s="6" t="str">
        <f aca="false">metadata!B15</f>
        <v>LCV_NII_G</v>
      </c>
      <c r="P1" s="6" t="str">
        <f aca="false">metadata!B16</f>
        <v>LCV_NIII_G</v>
      </c>
      <c r="Q1" s="6" t="str">
        <f aca="false">metadata!B17</f>
        <v>LCV_NI_D</v>
      </c>
      <c r="R1" s="6" t="str">
        <f aca="false">metadata!B18</f>
        <v>LCV_NII_D</v>
      </c>
      <c r="S1" s="6" t="str">
        <f aca="false">metadata!B19</f>
        <v>LCV_NIII_D</v>
      </c>
      <c r="T1" s="6" t="str">
        <f aca="false">metadata!B20</f>
        <v>LCV_ELEC</v>
      </c>
      <c r="U1" s="6" t="str">
        <f aca="false">metadata!B21</f>
        <v>LCV_HY</v>
      </c>
      <c r="V1" s="6" t="str">
        <f aca="false">metadata!B22</f>
        <v>TRUCKS_RT_7_D</v>
      </c>
      <c r="W1" s="6" t="str">
        <f aca="false">metadata!B23</f>
        <v>TRUCKS_RT_7_12_D</v>
      </c>
      <c r="X1" s="6" t="str">
        <f aca="false">metadata!B24</f>
        <v>TRUCKS_RT_12_14_D</v>
      </c>
      <c r="Y1" s="6" t="str">
        <f aca="false">metadata!B25</f>
        <v>TRUCKS_RT_14_16_D</v>
      </c>
      <c r="Z1" s="6" t="str">
        <f aca="false">metadata!B26</f>
        <v>TRUCKS_RT_16_20_D</v>
      </c>
      <c r="AA1" s="6" t="str">
        <f aca="false">metadata!B27</f>
        <v>TRUCKS_RT_20_26_D</v>
      </c>
      <c r="AB1" s="6" t="str">
        <f aca="false">metadata!B28</f>
        <v>TRUCKS_RT_26_28_D</v>
      </c>
      <c r="AC1" s="6" t="str">
        <f aca="false">metadata!B29</f>
        <v>TRUCKS_RT_28_32_D</v>
      </c>
      <c r="AD1" s="3" t="str">
        <f aca="false">metadata!B30</f>
        <v>TRUCKS_RT_32_D</v>
      </c>
      <c r="AE1" s="3" t="str">
        <f aca="false">metadata!B31</f>
        <v>TRUCKS_RT_7_G</v>
      </c>
      <c r="AF1" s="3" t="str">
        <f aca="false">metadata!B32</f>
        <v>TRUCKS_RT_7_12_G</v>
      </c>
      <c r="AG1" s="3" t="str">
        <f aca="false">metadata!B33</f>
        <v>TRUCKS_RT_12_14_G</v>
      </c>
      <c r="AH1" s="3" t="str">
        <f aca="false">metadata!B34</f>
        <v>TRUCKS_RT_14_16_G</v>
      </c>
      <c r="AI1" s="3" t="str">
        <f aca="false">metadata!B35</f>
        <v>TRUCKS_RT_16_20_G</v>
      </c>
      <c r="AJ1" s="3" t="str">
        <f aca="false">metadata!B36</f>
        <v>TRUCKS_RT_20_26_G</v>
      </c>
      <c r="AK1" s="3" t="str">
        <f aca="false">metadata!B37</f>
        <v>TRUCKS_RT_26_28_G</v>
      </c>
      <c r="AL1" s="3" t="str">
        <f aca="false">metadata!B38</f>
        <v>TRUCKS_RT_28_32_G</v>
      </c>
      <c r="AM1" s="3" t="str">
        <f aca="false">metadata!B39</f>
        <v>TRUCKS_RT_32_G</v>
      </c>
      <c r="AN1" s="3" t="str">
        <f aca="false">metadata!B40</f>
        <v>TRUCKS_AT_16_20_D</v>
      </c>
      <c r="AO1" s="6" t="str">
        <f aca="false">metadata!B41</f>
        <v>TRUCKS_AT_20_28_D</v>
      </c>
      <c r="AP1" s="6" t="str">
        <f aca="false">metadata!B42</f>
        <v>TRUCKS_AT_28_34_D</v>
      </c>
      <c r="AQ1" s="0" t="str">
        <f aca="false">metadata!B43</f>
        <v>TRUCKS_AT_34_40_D</v>
      </c>
      <c r="AR1" s="0" t="str">
        <f aca="false">metadata!B44</f>
        <v>TRUCKS_AT_40_50_D</v>
      </c>
      <c r="AS1" s="0" t="str">
        <f aca="false">metadata!B45</f>
        <v>TRUCKS_AT_50_60_D</v>
      </c>
      <c r="AT1" s="0" t="str">
        <f aca="false">metadata!B46</f>
        <v>TRUCKS_ELEC</v>
      </c>
      <c r="AU1" s="0" t="str">
        <f aca="false">metadata!B47</f>
        <v>BUS_UB_15_D</v>
      </c>
      <c r="AV1" s="0" t="str">
        <f aca="false">metadata!B48</f>
        <v>BUS_UB_15_18_D</v>
      </c>
      <c r="AW1" s="0" t="str">
        <f aca="false">metadata!B49</f>
        <v>BUS_UB_18_D</v>
      </c>
      <c r="AX1" s="0" t="str">
        <f aca="false">metadata!B50</f>
        <v>BUS_UB_15_G</v>
      </c>
      <c r="AY1" s="0" t="str">
        <f aca="false">metadata!B51</f>
        <v>BUS_UB_15_18_G</v>
      </c>
      <c r="AZ1" s="0" t="str">
        <f aca="false">metadata!B52</f>
        <v>BUS_UB_18_G</v>
      </c>
      <c r="BA1" s="0" t="str">
        <f aca="false">metadata!B53</f>
        <v>BUS_COACH_17_D</v>
      </c>
      <c r="BB1" s="0" t="str">
        <f aca="false">metadata!B54</f>
        <v>BUS_COACH_18_D</v>
      </c>
      <c r="BC1" s="0" t="str">
        <f aca="false">metadata!B55</f>
        <v>BUS_COACH_17_G</v>
      </c>
      <c r="BD1" s="0" t="str">
        <f aca="false">metadata!B56</f>
        <v>BUS_COACH_18_G</v>
      </c>
      <c r="BE1" s="0" t="str">
        <f aca="false">metadata!B57</f>
        <v>BUS_UB_15_HY</v>
      </c>
      <c r="BF1" s="0" t="str">
        <f aca="false">metadata!B58</f>
        <v>BUS_ELEC</v>
      </c>
      <c r="BG1" s="0" t="str">
        <f aca="false">metadata!B59</f>
        <v>MC_2S_50_G</v>
      </c>
      <c r="BH1" s="0" t="str">
        <f aca="false">metadata!B60</f>
        <v>MC_4S_50_250_G</v>
      </c>
      <c r="BI1" s="0" t="str">
        <f aca="false">metadata!B61</f>
        <v>MC_4S_250_750_G</v>
      </c>
      <c r="BJ1" s="0" t="str">
        <f aca="false">metadata!B62</f>
        <v>MC_4S_750_G</v>
      </c>
      <c r="BK1" s="0" t="str">
        <f aca="false">metadata!B63</f>
        <v>MC_ELEC</v>
      </c>
    </row>
    <row r="2" customFormat="false" ht="12.8" hidden="false" customHeight="false" outlineLevel="0" collapsed="false">
      <c r="A2" s="0" t="n">
        <v>2017</v>
      </c>
      <c r="B2" s="0" t="s">
        <v>253</v>
      </c>
      <c r="C2" s="0" t="s">
        <v>253</v>
      </c>
      <c r="D2" s="0" t="s">
        <v>253</v>
      </c>
      <c r="E2" s="0" t="s">
        <v>253</v>
      </c>
      <c r="F2" s="0" t="s">
        <v>254</v>
      </c>
      <c r="G2" s="0" t="s">
        <v>254</v>
      </c>
      <c r="H2" s="0" t="s">
        <v>254</v>
      </c>
      <c r="I2" s="0" t="s">
        <v>254</v>
      </c>
      <c r="J2" s="0" t="s">
        <v>55</v>
      </c>
      <c r="K2" s="0" t="s">
        <v>255</v>
      </c>
      <c r="L2" s="0" t="s">
        <v>253</v>
      </c>
      <c r="M2" s="0" t="s">
        <v>254</v>
      </c>
      <c r="N2" s="0" t="s">
        <v>253</v>
      </c>
      <c r="O2" s="0" t="s">
        <v>253</v>
      </c>
      <c r="P2" s="0" t="s">
        <v>253</v>
      </c>
      <c r="Q2" s="0" t="s">
        <v>254</v>
      </c>
      <c r="R2" s="0" t="s">
        <v>254</v>
      </c>
      <c r="S2" s="0" t="s">
        <v>254</v>
      </c>
      <c r="T2" s="0" t="s">
        <v>55</v>
      </c>
      <c r="U2" s="0" t="s">
        <v>254</v>
      </c>
      <c r="V2" s="0" t="s">
        <v>254</v>
      </c>
      <c r="W2" s="0" t="s">
        <v>254</v>
      </c>
      <c r="X2" s="0" t="s">
        <v>254</v>
      </c>
      <c r="Y2" s="0" t="s">
        <v>254</v>
      </c>
      <c r="Z2" s="0" t="s">
        <v>254</v>
      </c>
      <c r="AA2" s="0" t="s">
        <v>254</v>
      </c>
      <c r="AB2" s="0" t="s">
        <v>254</v>
      </c>
      <c r="AC2" s="0" t="s">
        <v>254</v>
      </c>
      <c r="AD2" s="0" t="s">
        <v>254</v>
      </c>
      <c r="AE2" s="0" t="s">
        <v>253</v>
      </c>
      <c r="AF2" s="0" t="s">
        <v>253</v>
      </c>
      <c r="AG2" s="0" t="s">
        <v>253</v>
      </c>
      <c r="AH2" s="0" t="s">
        <v>253</v>
      </c>
      <c r="AI2" s="0" t="s">
        <v>253</v>
      </c>
      <c r="AJ2" s="0" t="s">
        <v>253</v>
      </c>
      <c r="AK2" s="0" t="s">
        <v>253</v>
      </c>
      <c r="AL2" s="0" t="s">
        <v>253</v>
      </c>
      <c r="AM2" s="0" t="s">
        <v>253</v>
      </c>
      <c r="AN2" s="0" t="s">
        <v>254</v>
      </c>
      <c r="AO2" s="0" t="s">
        <v>254</v>
      </c>
      <c r="AP2" s="0" t="s">
        <v>254</v>
      </c>
      <c r="AQ2" s="0" t="s">
        <v>254</v>
      </c>
      <c r="AR2" s="0" t="s">
        <v>254</v>
      </c>
      <c r="AS2" s="0" t="s">
        <v>254</v>
      </c>
      <c r="AT2" s="0" t="s">
        <v>55</v>
      </c>
      <c r="AU2" s="0" t="s">
        <v>253</v>
      </c>
      <c r="AV2" s="0" t="s">
        <v>253</v>
      </c>
      <c r="AW2" s="0" t="s">
        <v>253</v>
      </c>
      <c r="AX2" s="0" t="s">
        <v>253</v>
      </c>
      <c r="AY2" s="0" t="s">
        <v>253</v>
      </c>
      <c r="AZ2" s="0" t="s">
        <v>253</v>
      </c>
      <c r="BA2" s="0" t="s">
        <v>253</v>
      </c>
      <c r="BB2" s="0" t="s">
        <v>253</v>
      </c>
      <c r="BC2" s="0" t="s">
        <v>253</v>
      </c>
      <c r="BD2" s="0" t="s">
        <v>253</v>
      </c>
      <c r="BE2" s="0" t="s">
        <v>255</v>
      </c>
      <c r="BF2" s="0" t="s">
        <v>55</v>
      </c>
      <c r="BG2" s="0" t="s">
        <v>253</v>
      </c>
      <c r="BH2" s="0" t="s">
        <v>253</v>
      </c>
      <c r="BI2" s="0" t="s">
        <v>253</v>
      </c>
      <c r="BJ2" s="0" t="s">
        <v>253</v>
      </c>
      <c r="BK2" s="0" t="s">
        <v>55</v>
      </c>
    </row>
    <row r="3" customFormat="false" ht="12.8" hidden="false" customHeight="false" outlineLevel="0" collapsed="false">
      <c r="A3" s="0" t="n">
        <f aca="false">A2-1</f>
        <v>2016</v>
      </c>
      <c r="B3" s="0" t="s">
        <v>253</v>
      </c>
      <c r="C3" s="0" t="s">
        <v>253</v>
      </c>
      <c r="D3" s="0" t="s">
        <v>253</v>
      </c>
      <c r="E3" s="0" t="s">
        <v>253</v>
      </c>
      <c r="F3" s="0" t="s">
        <v>254</v>
      </c>
      <c r="G3" s="0" t="s">
        <v>254</v>
      </c>
      <c r="H3" s="0" t="s">
        <v>254</v>
      </c>
      <c r="I3" s="0" t="s">
        <v>254</v>
      </c>
      <c r="J3" s="0" t="s">
        <v>55</v>
      </c>
      <c r="K3" s="0" t="s">
        <v>255</v>
      </c>
      <c r="L3" s="0" t="s">
        <v>253</v>
      </c>
      <c r="M3" s="0" t="s">
        <v>254</v>
      </c>
      <c r="N3" s="0" t="s">
        <v>253</v>
      </c>
      <c r="O3" s="0" t="s">
        <v>253</v>
      </c>
      <c r="P3" s="0" t="s">
        <v>253</v>
      </c>
      <c r="Q3" s="0" t="s">
        <v>254</v>
      </c>
      <c r="R3" s="0" t="s">
        <v>254</v>
      </c>
      <c r="S3" s="0" t="s">
        <v>254</v>
      </c>
      <c r="T3" s="0" t="s">
        <v>55</v>
      </c>
      <c r="U3" s="0" t="s">
        <v>254</v>
      </c>
      <c r="V3" s="0" t="s">
        <v>254</v>
      </c>
      <c r="W3" s="0" t="s">
        <v>254</v>
      </c>
      <c r="X3" s="0" t="s">
        <v>254</v>
      </c>
      <c r="Y3" s="0" t="s">
        <v>254</v>
      </c>
      <c r="Z3" s="0" t="s">
        <v>254</v>
      </c>
      <c r="AA3" s="0" t="s">
        <v>254</v>
      </c>
      <c r="AB3" s="0" t="s">
        <v>254</v>
      </c>
      <c r="AC3" s="0" t="s">
        <v>254</v>
      </c>
      <c r="AD3" s="0" t="s">
        <v>254</v>
      </c>
      <c r="AE3" s="0" t="s">
        <v>253</v>
      </c>
      <c r="AF3" s="0" t="s">
        <v>253</v>
      </c>
      <c r="AG3" s="0" t="s">
        <v>253</v>
      </c>
      <c r="AH3" s="0" t="s">
        <v>253</v>
      </c>
      <c r="AI3" s="0" t="s">
        <v>253</v>
      </c>
      <c r="AJ3" s="0" t="s">
        <v>253</v>
      </c>
      <c r="AK3" s="0" t="s">
        <v>253</v>
      </c>
      <c r="AL3" s="0" t="s">
        <v>253</v>
      </c>
      <c r="AM3" s="0" t="s">
        <v>253</v>
      </c>
      <c r="AN3" s="0" t="s">
        <v>254</v>
      </c>
      <c r="AO3" s="0" t="s">
        <v>254</v>
      </c>
      <c r="AP3" s="0" t="s">
        <v>254</v>
      </c>
      <c r="AQ3" s="0" t="s">
        <v>254</v>
      </c>
      <c r="AR3" s="0" t="s">
        <v>254</v>
      </c>
      <c r="AS3" s="0" t="s">
        <v>254</v>
      </c>
      <c r="AT3" s="0" t="s">
        <v>55</v>
      </c>
      <c r="AU3" s="0" t="s">
        <v>253</v>
      </c>
      <c r="AV3" s="0" t="s">
        <v>253</v>
      </c>
      <c r="AW3" s="0" t="s">
        <v>253</v>
      </c>
      <c r="AX3" s="0" t="s">
        <v>253</v>
      </c>
      <c r="AY3" s="0" t="s">
        <v>253</v>
      </c>
      <c r="AZ3" s="0" t="s">
        <v>253</v>
      </c>
      <c r="BA3" s="0" t="s">
        <v>253</v>
      </c>
      <c r="BB3" s="0" t="s">
        <v>253</v>
      </c>
      <c r="BC3" s="0" t="s">
        <v>253</v>
      </c>
      <c r="BD3" s="0" t="s">
        <v>253</v>
      </c>
      <c r="BE3" s="0" t="s">
        <v>255</v>
      </c>
      <c r="BF3" s="0" t="s">
        <v>55</v>
      </c>
      <c r="BG3" s="0" t="s">
        <v>253</v>
      </c>
      <c r="BH3" s="0" t="s">
        <v>253</v>
      </c>
      <c r="BI3" s="0" t="s">
        <v>253</v>
      </c>
      <c r="BJ3" s="0" t="s">
        <v>253</v>
      </c>
      <c r="BK3" s="0" t="s">
        <v>55</v>
      </c>
    </row>
    <row r="4" customFormat="false" ht="12.8" hidden="false" customHeight="false" outlineLevel="0" collapsed="false">
      <c r="A4" s="0" t="n">
        <f aca="false">A3-1</f>
        <v>2015</v>
      </c>
      <c r="B4" s="0" t="s">
        <v>253</v>
      </c>
      <c r="C4" s="0" t="s">
        <v>253</v>
      </c>
      <c r="D4" s="0" t="s">
        <v>253</v>
      </c>
      <c r="E4" s="0" t="s">
        <v>253</v>
      </c>
      <c r="F4" s="0" t="s">
        <v>254</v>
      </c>
      <c r="G4" s="0" t="s">
        <v>254</v>
      </c>
      <c r="H4" s="0" t="s">
        <v>254</v>
      </c>
      <c r="I4" s="0" t="s">
        <v>254</v>
      </c>
      <c r="J4" s="0" t="s">
        <v>55</v>
      </c>
      <c r="K4" s="0" t="s">
        <v>255</v>
      </c>
      <c r="L4" s="0" t="s">
        <v>253</v>
      </c>
      <c r="M4" s="0" t="s">
        <v>254</v>
      </c>
      <c r="N4" s="0" t="s">
        <v>253</v>
      </c>
      <c r="O4" s="0" t="s">
        <v>253</v>
      </c>
      <c r="P4" s="0" t="s">
        <v>253</v>
      </c>
      <c r="Q4" s="0" t="s">
        <v>254</v>
      </c>
      <c r="R4" s="0" t="s">
        <v>254</v>
      </c>
      <c r="S4" s="0" t="s">
        <v>254</v>
      </c>
      <c r="T4" s="0" t="s">
        <v>55</v>
      </c>
      <c r="U4" s="0" t="s">
        <v>254</v>
      </c>
      <c r="V4" s="0" t="s">
        <v>254</v>
      </c>
      <c r="W4" s="0" t="s">
        <v>254</v>
      </c>
      <c r="X4" s="0" t="s">
        <v>254</v>
      </c>
      <c r="Y4" s="0" t="s">
        <v>254</v>
      </c>
      <c r="Z4" s="0" t="s">
        <v>254</v>
      </c>
      <c r="AA4" s="0" t="s">
        <v>254</v>
      </c>
      <c r="AB4" s="0" t="s">
        <v>254</v>
      </c>
      <c r="AC4" s="0" t="s">
        <v>254</v>
      </c>
      <c r="AD4" s="0" t="s">
        <v>254</v>
      </c>
      <c r="AE4" s="0" t="s">
        <v>253</v>
      </c>
      <c r="AF4" s="0" t="s">
        <v>253</v>
      </c>
      <c r="AG4" s="0" t="s">
        <v>253</v>
      </c>
      <c r="AH4" s="0" t="s">
        <v>253</v>
      </c>
      <c r="AI4" s="0" t="s">
        <v>253</v>
      </c>
      <c r="AJ4" s="0" t="s">
        <v>253</v>
      </c>
      <c r="AK4" s="0" t="s">
        <v>253</v>
      </c>
      <c r="AL4" s="0" t="s">
        <v>253</v>
      </c>
      <c r="AM4" s="0" t="s">
        <v>253</v>
      </c>
      <c r="AN4" s="0" t="s">
        <v>254</v>
      </c>
      <c r="AO4" s="0" t="s">
        <v>254</v>
      </c>
      <c r="AP4" s="0" t="s">
        <v>254</v>
      </c>
      <c r="AQ4" s="0" t="s">
        <v>254</v>
      </c>
      <c r="AR4" s="0" t="s">
        <v>254</v>
      </c>
      <c r="AS4" s="0" t="s">
        <v>254</v>
      </c>
      <c r="AT4" s="0" t="s">
        <v>55</v>
      </c>
      <c r="AU4" s="0" t="s">
        <v>253</v>
      </c>
      <c r="AV4" s="0" t="s">
        <v>253</v>
      </c>
      <c r="AW4" s="0" t="s">
        <v>253</v>
      </c>
      <c r="AX4" s="0" t="s">
        <v>253</v>
      </c>
      <c r="AY4" s="0" t="s">
        <v>253</v>
      </c>
      <c r="AZ4" s="0" t="s">
        <v>253</v>
      </c>
      <c r="BA4" s="0" t="s">
        <v>253</v>
      </c>
      <c r="BB4" s="0" t="s">
        <v>253</v>
      </c>
      <c r="BC4" s="0" t="s">
        <v>253</v>
      </c>
      <c r="BD4" s="0" t="s">
        <v>253</v>
      </c>
      <c r="BE4" s="0" t="s">
        <v>255</v>
      </c>
      <c r="BF4" s="0" t="s">
        <v>55</v>
      </c>
      <c r="BG4" s="0" t="s">
        <v>253</v>
      </c>
      <c r="BH4" s="0" t="s">
        <v>253</v>
      </c>
      <c r="BI4" s="0" t="s">
        <v>253</v>
      </c>
      <c r="BJ4" s="0" t="s">
        <v>253</v>
      </c>
      <c r="BK4" s="0" t="s">
        <v>55</v>
      </c>
    </row>
    <row r="5" customFormat="false" ht="12.8" hidden="false" customHeight="false" outlineLevel="0" collapsed="false">
      <c r="A5" s="0" t="n">
        <f aca="false">A4-1</f>
        <v>2014</v>
      </c>
      <c r="B5" s="0" t="s">
        <v>253</v>
      </c>
      <c r="C5" s="0" t="s">
        <v>253</v>
      </c>
      <c r="D5" s="0" t="s">
        <v>253</v>
      </c>
      <c r="E5" s="0" t="s">
        <v>253</v>
      </c>
      <c r="F5" s="0" t="s">
        <v>254</v>
      </c>
      <c r="G5" s="0" t="s">
        <v>254</v>
      </c>
      <c r="H5" s="0" t="s">
        <v>254</v>
      </c>
      <c r="I5" s="0" t="s">
        <v>254</v>
      </c>
      <c r="J5" s="0" t="s">
        <v>55</v>
      </c>
      <c r="K5" s="0" t="s">
        <v>255</v>
      </c>
      <c r="L5" s="0" t="s">
        <v>253</v>
      </c>
      <c r="M5" s="0" t="s">
        <v>254</v>
      </c>
      <c r="N5" s="0" t="s">
        <v>253</v>
      </c>
      <c r="O5" s="0" t="s">
        <v>253</v>
      </c>
      <c r="P5" s="0" t="s">
        <v>253</v>
      </c>
      <c r="Q5" s="0" t="s">
        <v>254</v>
      </c>
      <c r="R5" s="0" t="s">
        <v>254</v>
      </c>
      <c r="S5" s="0" t="s">
        <v>254</v>
      </c>
      <c r="T5" s="0" t="s">
        <v>55</v>
      </c>
      <c r="U5" s="0" t="s">
        <v>254</v>
      </c>
      <c r="V5" s="0" t="s">
        <v>254</v>
      </c>
      <c r="W5" s="0" t="s">
        <v>254</v>
      </c>
      <c r="X5" s="0" t="s">
        <v>254</v>
      </c>
      <c r="Y5" s="0" t="s">
        <v>254</v>
      </c>
      <c r="Z5" s="0" t="s">
        <v>254</v>
      </c>
      <c r="AA5" s="0" t="s">
        <v>254</v>
      </c>
      <c r="AB5" s="0" t="s">
        <v>254</v>
      </c>
      <c r="AC5" s="0" t="s">
        <v>254</v>
      </c>
      <c r="AD5" s="0" t="s">
        <v>254</v>
      </c>
      <c r="AE5" s="0" t="s">
        <v>253</v>
      </c>
      <c r="AF5" s="0" t="s">
        <v>253</v>
      </c>
      <c r="AG5" s="0" t="s">
        <v>253</v>
      </c>
      <c r="AH5" s="0" t="s">
        <v>253</v>
      </c>
      <c r="AI5" s="0" t="s">
        <v>253</v>
      </c>
      <c r="AJ5" s="0" t="s">
        <v>253</v>
      </c>
      <c r="AK5" s="0" t="s">
        <v>253</v>
      </c>
      <c r="AL5" s="0" t="s">
        <v>253</v>
      </c>
      <c r="AM5" s="0" t="s">
        <v>253</v>
      </c>
      <c r="AN5" s="0" t="s">
        <v>254</v>
      </c>
      <c r="AO5" s="0" t="s">
        <v>254</v>
      </c>
      <c r="AP5" s="0" t="s">
        <v>254</v>
      </c>
      <c r="AQ5" s="0" t="s">
        <v>254</v>
      </c>
      <c r="AR5" s="0" t="s">
        <v>254</v>
      </c>
      <c r="AS5" s="0" t="s">
        <v>254</v>
      </c>
      <c r="AT5" s="0" t="s">
        <v>55</v>
      </c>
      <c r="AU5" s="0" t="s">
        <v>253</v>
      </c>
      <c r="AV5" s="0" t="s">
        <v>253</v>
      </c>
      <c r="AW5" s="0" t="s">
        <v>253</v>
      </c>
      <c r="AX5" s="0" t="s">
        <v>253</v>
      </c>
      <c r="AY5" s="0" t="s">
        <v>253</v>
      </c>
      <c r="AZ5" s="0" t="s">
        <v>253</v>
      </c>
      <c r="BA5" s="0" t="s">
        <v>253</v>
      </c>
      <c r="BB5" s="0" t="s">
        <v>253</v>
      </c>
      <c r="BC5" s="0" t="s">
        <v>253</v>
      </c>
      <c r="BD5" s="0" t="s">
        <v>253</v>
      </c>
      <c r="BE5" s="0" t="s">
        <v>255</v>
      </c>
      <c r="BF5" s="0" t="s">
        <v>55</v>
      </c>
      <c r="BG5" s="0" t="s">
        <v>253</v>
      </c>
      <c r="BH5" s="0" t="s">
        <v>253</v>
      </c>
      <c r="BI5" s="0" t="s">
        <v>253</v>
      </c>
      <c r="BJ5" s="0" t="s">
        <v>253</v>
      </c>
      <c r="BK5" s="0" t="s">
        <v>55</v>
      </c>
    </row>
    <row r="6" customFormat="false" ht="12.8" hidden="false" customHeight="false" outlineLevel="0" collapsed="false">
      <c r="A6" s="0" t="n">
        <f aca="false">A5-1</f>
        <v>2013</v>
      </c>
      <c r="B6" s="0" t="s">
        <v>253</v>
      </c>
      <c r="C6" s="0" t="s">
        <v>253</v>
      </c>
      <c r="D6" s="0" t="s">
        <v>253</v>
      </c>
      <c r="E6" s="0" t="s">
        <v>253</v>
      </c>
      <c r="F6" s="0" t="s">
        <v>254</v>
      </c>
      <c r="G6" s="0" t="s">
        <v>254</v>
      </c>
      <c r="H6" s="0" t="s">
        <v>254</v>
      </c>
      <c r="I6" s="0" t="s">
        <v>254</v>
      </c>
      <c r="J6" s="0" t="s">
        <v>55</v>
      </c>
      <c r="K6" s="0" t="s">
        <v>255</v>
      </c>
      <c r="L6" s="0" t="s">
        <v>253</v>
      </c>
      <c r="M6" s="0" t="s">
        <v>254</v>
      </c>
      <c r="N6" s="0" t="s">
        <v>253</v>
      </c>
      <c r="O6" s="0" t="s">
        <v>253</v>
      </c>
      <c r="P6" s="0" t="s">
        <v>253</v>
      </c>
      <c r="Q6" s="0" t="s">
        <v>254</v>
      </c>
      <c r="R6" s="0" t="s">
        <v>254</v>
      </c>
      <c r="S6" s="0" t="s">
        <v>254</v>
      </c>
      <c r="T6" s="0" t="s">
        <v>55</v>
      </c>
      <c r="U6" s="0" t="s">
        <v>254</v>
      </c>
      <c r="V6" s="0" t="s">
        <v>254</v>
      </c>
      <c r="W6" s="0" t="s">
        <v>254</v>
      </c>
      <c r="X6" s="0" t="s">
        <v>254</v>
      </c>
      <c r="Y6" s="0" t="s">
        <v>254</v>
      </c>
      <c r="Z6" s="0" t="s">
        <v>254</v>
      </c>
      <c r="AA6" s="0" t="s">
        <v>254</v>
      </c>
      <c r="AB6" s="0" t="s">
        <v>254</v>
      </c>
      <c r="AC6" s="0" t="s">
        <v>254</v>
      </c>
      <c r="AD6" s="0" t="s">
        <v>254</v>
      </c>
      <c r="AE6" s="0" t="s">
        <v>253</v>
      </c>
      <c r="AF6" s="0" t="s">
        <v>253</v>
      </c>
      <c r="AG6" s="0" t="s">
        <v>253</v>
      </c>
      <c r="AH6" s="0" t="s">
        <v>253</v>
      </c>
      <c r="AI6" s="0" t="s">
        <v>253</v>
      </c>
      <c r="AJ6" s="0" t="s">
        <v>253</v>
      </c>
      <c r="AK6" s="0" t="s">
        <v>253</v>
      </c>
      <c r="AL6" s="0" t="s">
        <v>253</v>
      </c>
      <c r="AM6" s="0" t="s">
        <v>253</v>
      </c>
      <c r="AN6" s="0" t="s">
        <v>254</v>
      </c>
      <c r="AO6" s="0" t="s">
        <v>254</v>
      </c>
      <c r="AP6" s="0" t="s">
        <v>254</v>
      </c>
      <c r="AQ6" s="0" t="s">
        <v>254</v>
      </c>
      <c r="AR6" s="0" t="s">
        <v>254</v>
      </c>
      <c r="AS6" s="0" t="s">
        <v>254</v>
      </c>
      <c r="AT6" s="0" t="s">
        <v>55</v>
      </c>
      <c r="AU6" s="0" t="s">
        <v>253</v>
      </c>
      <c r="AV6" s="0" t="s">
        <v>253</v>
      </c>
      <c r="AW6" s="0" t="s">
        <v>253</v>
      </c>
      <c r="AX6" s="0" t="s">
        <v>253</v>
      </c>
      <c r="AY6" s="0" t="s">
        <v>253</v>
      </c>
      <c r="AZ6" s="0" t="s">
        <v>253</v>
      </c>
      <c r="BA6" s="0" t="s">
        <v>253</v>
      </c>
      <c r="BB6" s="0" t="s">
        <v>253</v>
      </c>
      <c r="BC6" s="0" t="s">
        <v>253</v>
      </c>
      <c r="BD6" s="0" t="s">
        <v>253</v>
      </c>
      <c r="BE6" s="0" t="s">
        <v>255</v>
      </c>
      <c r="BF6" s="0" t="s">
        <v>55</v>
      </c>
      <c r="BG6" s="0" t="s">
        <v>253</v>
      </c>
      <c r="BH6" s="0" t="s">
        <v>253</v>
      </c>
      <c r="BI6" s="0" t="s">
        <v>253</v>
      </c>
      <c r="BJ6" s="0" t="s">
        <v>253</v>
      </c>
      <c r="BK6" s="0" t="s">
        <v>55</v>
      </c>
    </row>
    <row r="7" customFormat="false" ht="12.8" hidden="false" customHeight="false" outlineLevel="0" collapsed="false">
      <c r="A7" s="0" t="n">
        <f aca="false">A6-1</f>
        <v>2012</v>
      </c>
      <c r="B7" s="0" t="s">
        <v>255</v>
      </c>
      <c r="C7" s="0" t="s">
        <v>255</v>
      </c>
      <c r="D7" s="0" t="s">
        <v>255</v>
      </c>
      <c r="E7" s="0" t="s">
        <v>255</v>
      </c>
      <c r="F7" s="0" t="s">
        <v>255</v>
      </c>
      <c r="G7" s="0" t="s">
        <v>255</v>
      </c>
      <c r="H7" s="0" t="s">
        <v>255</v>
      </c>
      <c r="I7" s="0" t="s">
        <v>255</v>
      </c>
      <c r="J7" s="0" t="s">
        <v>55</v>
      </c>
      <c r="K7" s="0" t="s">
        <v>255</v>
      </c>
      <c r="L7" s="0" t="s">
        <v>255</v>
      </c>
      <c r="M7" s="0" t="s">
        <v>255</v>
      </c>
      <c r="N7" s="0" t="s">
        <v>255</v>
      </c>
      <c r="O7" s="0" t="s">
        <v>255</v>
      </c>
      <c r="P7" s="0" t="s">
        <v>255</v>
      </c>
      <c r="Q7" s="0" t="s">
        <v>255</v>
      </c>
      <c r="R7" s="0" t="s">
        <v>255</v>
      </c>
      <c r="S7" s="0" t="s">
        <v>255</v>
      </c>
      <c r="T7" s="0" t="s">
        <v>55</v>
      </c>
      <c r="U7" s="0" t="s">
        <v>255</v>
      </c>
      <c r="V7" s="0" t="s">
        <v>255</v>
      </c>
      <c r="W7" s="0" t="s">
        <v>255</v>
      </c>
      <c r="X7" s="0" t="s">
        <v>255</v>
      </c>
      <c r="Y7" s="0" t="s">
        <v>255</v>
      </c>
      <c r="Z7" s="0" t="s">
        <v>255</v>
      </c>
      <c r="AA7" s="0" t="s">
        <v>255</v>
      </c>
      <c r="AB7" s="0" t="s">
        <v>255</v>
      </c>
      <c r="AC7" s="0" t="s">
        <v>255</v>
      </c>
      <c r="AD7" s="0" t="s">
        <v>255</v>
      </c>
      <c r="AE7" s="0" t="s">
        <v>255</v>
      </c>
      <c r="AF7" s="0" t="s">
        <v>255</v>
      </c>
      <c r="AG7" s="0" t="s">
        <v>255</v>
      </c>
      <c r="AH7" s="0" t="s">
        <v>255</v>
      </c>
      <c r="AI7" s="0" t="s">
        <v>255</v>
      </c>
      <c r="AJ7" s="0" t="s">
        <v>255</v>
      </c>
      <c r="AK7" s="0" t="s">
        <v>255</v>
      </c>
      <c r="AL7" s="0" t="s">
        <v>255</v>
      </c>
      <c r="AM7" s="0" t="s">
        <v>255</v>
      </c>
      <c r="AN7" s="0" t="s">
        <v>255</v>
      </c>
      <c r="AO7" s="0" t="s">
        <v>255</v>
      </c>
      <c r="AP7" s="0" t="s">
        <v>255</v>
      </c>
      <c r="AQ7" s="0" t="s">
        <v>255</v>
      </c>
      <c r="AR7" s="0" t="s">
        <v>255</v>
      </c>
      <c r="AS7" s="0" t="s">
        <v>255</v>
      </c>
      <c r="AT7" s="0" t="s">
        <v>55</v>
      </c>
      <c r="AU7" s="0" t="s">
        <v>255</v>
      </c>
      <c r="AV7" s="0" t="s">
        <v>255</v>
      </c>
      <c r="AW7" s="0" t="s">
        <v>255</v>
      </c>
      <c r="AX7" s="0" t="s">
        <v>255</v>
      </c>
      <c r="AY7" s="0" t="s">
        <v>255</v>
      </c>
      <c r="AZ7" s="0" t="s">
        <v>255</v>
      </c>
      <c r="BA7" s="0" t="s">
        <v>255</v>
      </c>
      <c r="BB7" s="0" t="s">
        <v>255</v>
      </c>
      <c r="BC7" s="0" t="s">
        <v>255</v>
      </c>
      <c r="BD7" s="0" t="s">
        <v>255</v>
      </c>
      <c r="BE7" s="0" t="s">
        <v>255</v>
      </c>
      <c r="BF7" s="0" t="s">
        <v>55</v>
      </c>
      <c r="BG7" s="0" t="s">
        <v>255</v>
      </c>
      <c r="BH7" s="0" t="s">
        <v>255</v>
      </c>
      <c r="BI7" s="0" t="s">
        <v>255</v>
      </c>
      <c r="BJ7" s="0" t="s">
        <v>255</v>
      </c>
      <c r="BK7" s="0" t="s">
        <v>55</v>
      </c>
    </row>
    <row r="8" customFormat="false" ht="12.8" hidden="false" customHeight="false" outlineLevel="0" collapsed="false">
      <c r="A8" s="0" t="n">
        <f aca="false">A7-1</f>
        <v>2011</v>
      </c>
      <c r="B8" s="0" t="s">
        <v>255</v>
      </c>
      <c r="C8" s="0" t="s">
        <v>255</v>
      </c>
      <c r="D8" s="0" t="s">
        <v>255</v>
      </c>
      <c r="E8" s="0" t="s">
        <v>255</v>
      </c>
      <c r="F8" s="0" t="s">
        <v>255</v>
      </c>
      <c r="G8" s="0" t="s">
        <v>255</v>
      </c>
      <c r="H8" s="0" t="s">
        <v>255</v>
      </c>
      <c r="I8" s="0" t="s">
        <v>255</v>
      </c>
      <c r="J8" s="0" t="s">
        <v>55</v>
      </c>
      <c r="K8" s="0" t="s">
        <v>255</v>
      </c>
      <c r="L8" s="0" t="s">
        <v>255</v>
      </c>
      <c r="M8" s="0" t="s">
        <v>255</v>
      </c>
      <c r="N8" s="0" t="s">
        <v>255</v>
      </c>
      <c r="O8" s="0" t="s">
        <v>255</v>
      </c>
      <c r="P8" s="0" t="s">
        <v>255</v>
      </c>
      <c r="Q8" s="0" t="s">
        <v>255</v>
      </c>
      <c r="R8" s="0" t="s">
        <v>255</v>
      </c>
      <c r="S8" s="0" t="s">
        <v>255</v>
      </c>
      <c r="T8" s="0" t="s">
        <v>55</v>
      </c>
      <c r="U8" s="0" t="s">
        <v>255</v>
      </c>
      <c r="V8" s="0" t="s">
        <v>255</v>
      </c>
      <c r="W8" s="0" t="s">
        <v>255</v>
      </c>
      <c r="X8" s="0" t="s">
        <v>255</v>
      </c>
      <c r="Y8" s="0" t="s">
        <v>255</v>
      </c>
      <c r="Z8" s="0" t="s">
        <v>255</v>
      </c>
      <c r="AA8" s="0" t="s">
        <v>255</v>
      </c>
      <c r="AB8" s="0" t="s">
        <v>255</v>
      </c>
      <c r="AC8" s="0" t="s">
        <v>255</v>
      </c>
      <c r="AD8" s="0" t="s">
        <v>255</v>
      </c>
      <c r="AE8" s="0" t="s">
        <v>255</v>
      </c>
      <c r="AF8" s="0" t="s">
        <v>255</v>
      </c>
      <c r="AG8" s="0" t="s">
        <v>255</v>
      </c>
      <c r="AH8" s="0" t="s">
        <v>255</v>
      </c>
      <c r="AI8" s="0" t="s">
        <v>255</v>
      </c>
      <c r="AJ8" s="0" t="s">
        <v>255</v>
      </c>
      <c r="AK8" s="0" t="s">
        <v>255</v>
      </c>
      <c r="AL8" s="0" t="s">
        <v>255</v>
      </c>
      <c r="AM8" s="0" t="s">
        <v>255</v>
      </c>
      <c r="AN8" s="0" t="s">
        <v>255</v>
      </c>
      <c r="AO8" s="0" t="s">
        <v>255</v>
      </c>
      <c r="AP8" s="0" t="s">
        <v>255</v>
      </c>
      <c r="AQ8" s="0" t="s">
        <v>255</v>
      </c>
      <c r="AR8" s="0" t="s">
        <v>255</v>
      </c>
      <c r="AS8" s="0" t="s">
        <v>255</v>
      </c>
      <c r="AT8" s="0" t="s">
        <v>55</v>
      </c>
      <c r="AU8" s="0" t="s">
        <v>255</v>
      </c>
      <c r="AV8" s="0" t="s">
        <v>255</v>
      </c>
      <c r="AW8" s="0" t="s">
        <v>255</v>
      </c>
      <c r="AX8" s="0" t="s">
        <v>255</v>
      </c>
      <c r="AY8" s="0" t="s">
        <v>255</v>
      </c>
      <c r="AZ8" s="0" t="s">
        <v>255</v>
      </c>
      <c r="BA8" s="0" t="s">
        <v>255</v>
      </c>
      <c r="BB8" s="0" t="s">
        <v>255</v>
      </c>
      <c r="BC8" s="0" t="s">
        <v>255</v>
      </c>
      <c r="BD8" s="0" t="s">
        <v>255</v>
      </c>
      <c r="BE8" s="0" t="s">
        <v>255</v>
      </c>
      <c r="BF8" s="0" t="s">
        <v>55</v>
      </c>
      <c r="BG8" s="0" t="s">
        <v>255</v>
      </c>
      <c r="BH8" s="0" t="s">
        <v>255</v>
      </c>
      <c r="BI8" s="0" t="s">
        <v>255</v>
      </c>
      <c r="BJ8" s="0" t="s">
        <v>255</v>
      </c>
      <c r="BK8" s="0" t="s">
        <v>55</v>
      </c>
    </row>
    <row r="9" customFormat="false" ht="12.8" hidden="false" customHeight="false" outlineLevel="0" collapsed="false">
      <c r="A9" s="0" t="n">
        <f aca="false">A8-1</f>
        <v>2010</v>
      </c>
      <c r="B9" s="0" t="s">
        <v>255</v>
      </c>
      <c r="C9" s="0" t="s">
        <v>255</v>
      </c>
      <c r="D9" s="0" t="s">
        <v>255</v>
      </c>
      <c r="E9" s="0" t="s">
        <v>255</v>
      </c>
      <c r="F9" s="0" t="s">
        <v>255</v>
      </c>
      <c r="G9" s="0" t="s">
        <v>255</v>
      </c>
      <c r="H9" s="0" t="s">
        <v>255</v>
      </c>
      <c r="I9" s="0" t="s">
        <v>255</v>
      </c>
      <c r="J9" s="0" t="s">
        <v>55</v>
      </c>
      <c r="K9" s="0" t="s">
        <v>255</v>
      </c>
      <c r="L9" s="0" t="s">
        <v>255</v>
      </c>
      <c r="M9" s="0" t="s">
        <v>255</v>
      </c>
      <c r="N9" s="0" t="s">
        <v>255</v>
      </c>
      <c r="O9" s="0" t="s">
        <v>255</v>
      </c>
      <c r="P9" s="0" t="s">
        <v>255</v>
      </c>
      <c r="Q9" s="0" t="s">
        <v>255</v>
      </c>
      <c r="R9" s="0" t="s">
        <v>255</v>
      </c>
      <c r="S9" s="0" t="s">
        <v>255</v>
      </c>
      <c r="T9" s="0" t="s">
        <v>55</v>
      </c>
      <c r="U9" s="0" t="s">
        <v>255</v>
      </c>
      <c r="V9" s="0" t="s">
        <v>255</v>
      </c>
      <c r="W9" s="0" t="s">
        <v>255</v>
      </c>
      <c r="X9" s="0" t="s">
        <v>255</v>
      </c>
      <c r="Y9" s="0" t="s">
        <v>255</v>
      </c>
      <c r="Z9" s="0" t="s">
        <v>255</v>
      </c>
      <c r="AA9" s="0" t="s">
        <v>255</v>
      </c>
      <c r="AB9" s="0" t="s">
        <v>255</v>
      </c>
      <c r="AC9" s="0" t="s">
        <v>255</v>
      </c>
      <c r="AD9" s="0" t="s">
        <v>255</v>
      </c>
      <c r="AE9" s="0" t="s">
        <v>255</v>
      </c>
      <c r="AF9" s="0" t="s">
        <v>255</v>
      </c>
      <c r="AG9" s="0" t="s">
        <v>255</v>
      </c>
      <c r="AH9" s="0" t="s">
        <v>255</v>
      </c>
      <c r="AI9" s="0" t="s">
        <v>255</v>
      </c>
      <c r="AJ9" s="0" t="s">
        <v>255</v>
      </c>
      <c r="AK9" s="0" t="s">
        <v>255</v>
      </c>
      <c r="AL9" s="0" t="s">
        <v>255</v>
      </c>
      <c r="AM9" s="0" t="s">
        <v>255</v>
      </c>
      <c r="AN9" s="0" t="s">
        <v>255</v>
      </c>
      <c r="AO9" s="0" t="s">
        <v>255</v>
      </c>
      <c r="AP9" s="0" t="s">
        <v>255</v>
      </c>
      <c r="AQ9" s="0" t="s">
        <v>255</v>
      </c>
      <c r="AR9" s="0" t="s">
        <v>255</v>
      </c>
      <c r="AS9" s="0" t="s">
        <v>255</v>
      </c>
      <c r="AT9" s="0" t="s">
        <v>55</v>
      </c>
      <c r="AU9" s="0" t="s">
        <v>255</v>
      </c>
      <c r="AV9" s="0" t="s">
        <v>255</v>
      </c>
      <c r="AW9" s="0" t="s">
        <v>255</v>
      </c>
      <c r="AX9" s="0" t="s">
        <v>255</v>
      </c>
      <c r="AY9" s="0" t="s">
        <v>255</v>
      </c>
      <c r="AZ9" s="0" t="s">
        <v>255</v>
      </c>
      <c r="BA9" s="0" t="s">
        <v>255</v>
      </c>
      <c r="BB9" s="0" t="s">
        <v>255</v>
      </c>
      <c r="BC9" s="0" t="s">
        <v>255</v>
      </c>
      <c r="BD9" s="0" t="s">
        <v>255</v>
      </c>
      <c r="BE9" s="0" t="s">
        <v>255</v>
      </c>
      <c r="BF9" s="0" t="s">
        <v>55</v>
      </c>
      <c r="BG9" s="0" t="s">
        <v>255</v>
      </c>
      <c r="BH9" s="0" t="s">
        <v>255</v>
      </c>
      <c r="BI9" s="0" t="s">
        <v>255</v>
      </c>
      <c r="BJ9" s="0" t="s">
        <v>255</v>
      </c>
      <c r="BK9" s="0" t="s">
        <v>55</v>
      </c>
    </row>
    <row r="10" customFormat="false" ht="12.8" hidden="false" customHeight="false" outlineLevel="0" collapsed="false">
      <c r="A10" s="0" t="n">
        <f aca="false">A9-1</f>
        <v>2009</v>
      </c>
      <c r="B10" s="0" t="s">
        <v>256</v>
      </c>
      <c r="C10" s="0" t="s">
        <v>256</v>
      </c>
      <c r="D10" s="0" t="s">
        <v>256</v>
      </c>
      <c r="E10" s="0" t="s">
        <v>256</v>
      </c>
      <c r="F10" s="0" t="s">
        <v>255</v>
      </c>
      <c r="G10" s="0" t="s">
        <v>255</v>
      </c>
      <c r="H10" s="0" t="s">
        <v>255</v>
      </c>
      <c r="I10" s="0" t="s">
        <v>255</v>
      </c>
      <c r="J10" s="0" t="s">
        <v>55</v>
      </c>
      <c r="K10" s="0" t="s">
        <v>255</v>
      </c>
      <c r="L10" s="0" t="s">
        <v>256</v>
      </c>
      <c r="M10" s="0" t="s">
        <v>255</v>
      </c>
      <c r="N10" s="0" t="s">
        <v>256</v>
      </c>
      <c r="O10" s="0" t="s">
        <v>256</v>
      </c>
      <c r="P10" s="0" t="s">
        <v>256</v>
      </c>
      <c r="Q10" s="0" t="s">
        <v>255</v>
      </c>
      <c r="R10" s="0" t="s">
        <v>255</v>
      </c>
      <c r="S10" s="0" t="s">
        <v>255</v>
      </c>
      <c r="T10" s="0" t="s">
        <v>55</v>
      </c>
      <c r="U10" s="0" t="s">
        <v>255</v>
      </c>
      <c r="V10" s="0" t="s">
        <v>255</v>
      </c>
      <c r="W10" s="0" t="s">
        <v>256</v>
      </c>
      <c r="X10" s="0" t="s">
        <v>256</v>
      </c>
      <c r="Y10" s="0" t="s">
        <v>256</v>
      </c>
      <c r="Z10" s="0" t="s">
        <v>256</v>
      </c>
      <c r="AA10" s="0" t="s">
        <v>256</v>
      </c>
      <c r="AB10" s="0" t="s">
        <v>256</v>
      </c>
      <c r="AC10" s="0" t="s">
        <v>256</v>
      </c>
      <c r="AD10" s="0" t="s">
        <v>256</v>
      </c>
      <c r="AE10" s="0" t="s">
        <v>256</v>
      </c>
      <c r="AF10" s="0" t="s">
        <v>256</v>
      </c>
      <c r="AG10" s="0" t="s">
        <v>256</v>
      </c>
      <c r="AH10" s="0" t="s">
        <v>256</v>
      </c>
      <c r="AI10" s="0" t="s">
        <v>256</v>
      </c>
      <c r="AJ10" s="0" t="s">
        <v>256</v>
      </c>
      <c r="AK10" s="0" t="s">
        <v>256</v>
      </c>
      <c r="AL10" s="0" t="s">
        <v>256</v>
      </c>
      <c r="AM10" s="0" t="s">
        <v>256</v>
      </c>
      <c r="AN10" s="0" t="s">
        <v>256</v>
      </c>
      <c r="AO10" s="0" t="s">
        <v>256</v>
      </c>
      <c r="AP10" s="0" t="s">
        <v>256</v>
      </c>
      <c r="AQ10" s="0" t="s">
        <v>256</v>
      </c>
      <c r="AR10" s="0" t="s">
        <v>256</v>
      </c>
      <c r="AS10" s="0" t="s">
        <v>256</v>
      </c>
      <c r="AT10" s="0" t="s">
        <v>55</v>
      </c>
      <c r="AU10" s="0" t="s">
        <v>256</v>
      </c>
      <c r="AV10" s="0" t="s">
        <v>256</v>
      </c>
      <c r="AW10" s="0" t="s">
        <v>256</v>
      </c>
      <c r="AX10" s="0" t="s">
        <v>256</v>
      </c>
      <c r="AY10" s="0" t="s">
        <v>256</v>
      </c>
      <c r="AZ10" s="0" t="s">
        <v>256</v>
      </c>
      <c r="BA10" s="0" t="s">
        <v>256</v>
      </c>
      <c r="BB10" s="0" t="s">
        <v>256</v>
      </c>
      <c r="BC10" s="0" t="s">
        <v>256</v>
      </c>
      <c r="BD10" s="0" t="s">
        <v>256</v>
      </c>
      <c r="BE10" s="0" t="s">
        <v>255</v>
      </c>
      <c r="BF10" s="0" t="s">
        <v>55</v>
      </c>
      <c r="BG10" s="0" t="s">
        <v>256</v>
      </c>
      <c r="BH10" s="0" t="s">
        <v>256</v>
      </c>
      <c r="BI10" s="0" t="s">
        <v>256</v>
      </c>
      <c r="BJ10" s="0" t="s">
        <v>256</v>
      </c>
      <c r="BK10" s="0" t="s">
        <v>55</v>
      </c>
    </row>
    <row r="11" customFormat="false" ht="12.8" hidden="false" customHeight="false" outlineLevel="0" collapsed="false">
      <c r="A11" s="0" t="n">
        <f aca="false">A10-1</f>
        <v>2008</v>
      </c>
      <c r="B11" s="0" t="s">
        <v>256</v>
      </c>
      <c r="C11" s="0" t="s">
        <v>256</v>
      </c>
      <c r="D11" s="0" t="s">
        <v>256</v>
      </c>
      <c r="E11" s="0" t="s">
        <v>256</v>
      </c>
      <c r="F11" s="0" t="s">
        <v>255</v>
      </c>
      <c r="G11" s="0" t="s">
        <v>255</v>
      </c>
      <c r="H11" s="0" t="s">
        <v>255</v>
      </c>
      <c r="I11" s="0" t="s">
        <v>255</v>
      </c>
      <c r="J11" s="0" t="s">
        <v>55</v>
      </c>
      <c r="K11" s="0" t="s">
        <v>255</v>
      </c>
      <c r="L11" s="0" t="s">
        <v>256</v>
      </c>
      <c r="M11" s="0" t="s">
        <v>255</v>
      </c>
      <c r="N11" s="0" t="s">
        <v>256</v>
      </c>
      <c r="O11" s="0" t="s">
        <v>256</v>
      </c>
      <c r="P11" s="0" t="s">
        <v>256</v>
      </c>
      <c r="Q11" s="0" t="s">
        <v>255</v>
      </c>
      <c r="R11" s="0" t="s">
        <v>255</v>
      </c>
      <c r="S11" s="0" t="s">
        <v>255</v>
      </c>
      <c r="T11" s="0" t="s">
        <v>55</v>
      </c>
      <c r="U11" s="0" t="s">
        <v>255</v>
      </c>
      <c r="V11" s="0" t="s">
        <v>255</v>
      </c>
      <c r="W11" s="0" t="s">
        <v>256</v>
      </c>
      <c r="X11" s="0" t="s">
        <v>256</v>
      </c>
      <c r="Y11" s="0" t="s">
        <v>256</v>
      </c>
      <c r="Z11" s="0" t="s">
        <v>256</v>
      </c>
      <c r="AA11" s="0" t="s">
        <v>256</v>
      </c>
      <c r="AB11" s="0" t="s">
        <v>256</v>
      </c>
      <c r="AC11" s="0" t="s">
        <v>256</v>
      </c>
      <c r="AD11" s="0" t="s">
        <v>256</v>
      </c>
      <c r="AE11" s="0" t="s">
        <v>256</v>
      </c>
      <c r="AF11" s="0" t="s">
        <v>256</v>
      </c>
      <c r="AG11" s="0" t="s">
        <v>256</v>
      </c>
      <c r="AH11" s="0" t="s">
        <v>256</v>
      </c>
      <c r="AI11" s="0" t="s">
        <v>256</v>
      </c>
      <c r="AJ11" s="0" t="s">
        <v>256</v>
      </c>
      <c r="AK11" s="0" t="s">
        <v>256</v>
      </c>
      <c r="AL11" s="0" t="s">
        <v>256</v>
      </c>
      <c r="AM11" s="0" t="s">
        <v>256</v>
      </c>
      <c r="AN11" s="0" t="s">
        <v>256</v>
      </c>
      <c r="AO11" s="0" t="s">
        <v>256</v>
      </c>
      <c r="AP11" s="0" t="s">
        <v>256</v>
      </c>
      <c r="AQ11" s="0" t="s">
        <v>256</v>
      </c>
      <c r="AR11" s="0" t="s">
        <v>256</v>
      </c>
      <c r="AS11" s="0" t="s">
        <v>256</v>
      </c>
      <c r="AT11" s="0" t="s">
        <v>55</v>
      </c>
      <c r="AU11" s="0" t="s">
        <v>256</v>
      </c>
      <c r="AV11" s="0" t="s">
        <v>256</v>
      </c>
      <c r="AW11" s="0" t="s">
        <v>256</v>
      </c>
      <c r="AX11" s="0" t="s">
        <v>256</v>
      </c>
      <c r="AY11" s="0" t="s">
        <v>256</v>
      </c>
      <c r="AZ11" s="0" t="s">
        <v>256</v>
      </c>
      <c r="BA11" s="0" t="s">
        <v>256</v>
      </c>
      <c r="BB11" s="0" t="s">
        <v>256</v>
      </c>
      <c r="BC11" s="0" t="s">
        <v>256</v>
      </c>
      <c r="BD11" s="0" t="s">
        <v>256</v>
      </c>
      <c r="BE11" s="0" t="s">
        <v>255</v>
      </c>
      <c r="BF11" s="0" t="s">
        <v>55</v>
      </c>
      <c r="BG11" s="0" t="s">
        <v>256</v>
      </c>
      <c r="BH11" s="0" t="s">
        <v>256</v>
      </c>
      <c r="BI11" s="0" t="s">
        <v>256</v>
      </c>
      <c r="BJ11" s="0" t="s">
        <v>256</v>
      </c>
      <c r="BK11" s="0" t="s">
        <v>55</v>
      </c>
    </row>
    <row r="12" customFormat="false" ht="12.8" hidden="false" customHeight="false" outlineLevel="0" collapsed="false">
      <c r="A12" s="0" t="n">
        <f aca="false">A11-1</f>
        <v>2007</v>
      </c>
      <c r="B12" s="0" t="s">
        <v>256</v>
      </c>
      <c r="C12" s="0" t="s">
        <v>256</v>
      </c>
      <c r="D12" s="0" t="s">
        <v>256</v>
      </c>
      <c r="E12" s="0" t="s">
        <v>256</v>
      </c>
      <c r="F12" s="0" t="s">
        <v>255</v>
      </c>
      <c r="G12" s="0" t="s">
        <v>255</v>
      </c>
      <c r="H12" s="0" t="s">
        <v>255</v>
      </c>
      <c r="I12" s="0" t="s">
        <v>255</v>
      </c>
      <c r="J12" s="0" t="s">
        <v>55</v>
      </c>
      <c r="K12" s="0" t="s">
        <v>255</v>
      </c>
      <c r="L12" s="0" t="s">
        <v>256</v>
      </c>
      <c r="M12" s="0" t="s">
        <v>255</v>
      </c>
      <c r="N12" s="0" t="s">
        <v>256</v>
      </c>
      <c r="O12" s="0" t="s">
        <v>256</v>
      </c>
      <c r="P12" s="0" t="s">
        <v>256</v>
      </c>
      <c r="Q12" s="0" t="s">
        <v>255</v>
      </c>
      <c r="R12" s="0" t="s">
        <v>255</v>
      </c>
      <c r="S12" s="0" t="s">
        <v>255</v>
      </c>
      <c r="T12" s="0" t="s">
        <v>55</v>
      </c>
      <c r="U12" s="0" t="s">
        <v>255</v>
      </c>
      <c r="V12" s="0" t="s">
        <v>255</v>
      </c>
      <c r="W12" s="0" t="s">
        <v>256</v>
      </c>
      <c r="X12" s="0" t="s">
        <v>256</v>
      </c>
      <c r="Y12" s="0" t="s">
        <v>256</v>
      </c>
      <c r="Z12" s="0" t="s">
        <v>256</v>
      </c>
      <c r="AA12" s="0" t="s">
        <v>256</v>
      </c>
      <c r="AB12" s="0" t="s">
        <v>256</v>
      </c>
      <c r="AC12" s="0" t="s">
        <v>256</v>
      </c>
      <c r="AD12" s="0" t="s">
        <v>256</v>
      </c>
      <c r="AE12" s="0" t="s">
        <v>256</v>
      </c>
      <c r="AF12" s="0" t="s">
        <v>256</v>
      </c>
      <c r="AG12" s="0" t="s">
        <v>256</v>
      </c>
      <c r="AH12" s="0" t="s">
        <v>256</v>
      </c>
      <c r="AI12" s="0" t="s">
        <v>256</v>
      </c>
      <c r="AJ12" s="0" t="s">
        <v>256</v>
      </c>
      <c r="AK12" s="0" t="s">
        <v>256</v>
      </c>
      <c r="AL12" s="0" t="s">
        <v>256</v>
      </c>
      <c r="AM12" s="0" t="s">
        <v>256</v>
      </c>
      <c r="AN12" s="0" t="s">
        <v>256</v>
      </c>
      <c r="AO12" s="0" t="s">
        <v>256</v>
      </c>
      <c r="AP12" s="0" t="s">
        <v>256</v>
      </c>
      <c r="AQ12" s="0" t="s">
        <v>256</v>
      </c>
      <c r="AR12" s="0" t="s">
        <v>256</v>
      </c>
      <c r="AS12" s="0" t="s">
        <v>256</v>
      </c>
      <c r="AT12" s="0" t="s">
        <v>55</v>
      </c>
      <c r="AU12" s="0" t="s">
        <v>256</v>
      </c>
      <c r="AV12" s="0" t="s">
        <v>256</v>
      </c>
      <c r="AW12" s="0" t="s">
        <v>256</v>
      </c>
      <c r="AX12" s="0" t="s">
        <v>256</v>
      </c>
      <c r="AY12" s="0" t="s">
        <v>256</v>
      </c>
      <c r="AZ12" s="0" t="s">
        <v>256</v>
      </c>
      <c r="BA12" s="0" t="s">
        <v>256</v>
      </c>
      <c r="BB12" s="0" t="s">
        <v>256</v>
      </c>
      <c r="BC12" s="0" t="s">
        <v>256</v>
      </c>
      <c r="BD12" s="0" t="s">
        <v>256</v>
      </c>
      <c r="BE12" s="0" t="s">
        <v>255</v>
      </c>
      <c r="BF12" s="0" t="s">
        <v>55</v>
      </c>
      <c r="BG12" s="0" t="s">
        <v>256</v>
      </c>
      <c r="BH12" s="0" t="s">
        <v>256</v>
      </c>
      <c r="BI12" s="0" t="s">
        <v>256</v>
      </c>
      <c r="BJ12" s="0" t="s">
        <v>256</v>
      </c>
      <c r="BK12" s="0" t="s">
        <v>55</v>
      </c>
    </row>
    <row r="13" customFormat="false" ht="12.8" hidden="false" customHeight="false" outlineLevel="0" collapsed="false">
      <c r="A13" s="0" t="n">
        <f aca="false">A12-1</f>
        <v>2006</v>
      </c>
      <c r="B13" s="0" t="s">
        <v>256</v>
      </c>
      <c r="C13" s="0" t="s">
        <v>256</v>
      </c>
      <c r="D13" s="0" t="s">
        <v>256</v>
      </c>
      <c r="E13" s="0" t="s">
        <v>256</v>
      </c>
      <c r="F13" s="0" t="s">
        <v>255</v>
      </c>
      <c r="G13" s="0" t="s">
        <v>255</v>
      </c>
      <c r="H13" s="0" t="s">
        <v>255</v>
      </c>
      <c r="I13" s="0" t="s">
        <v>255</v>
      </c>
      <c r="J13" s="0" t="s">
        <v>55</v>
      </c>
      <c r="K13" s="0" t="s">
        <v>255</v>
      </c>
      <c r="L13" s="0" t="s">
        <v>256</v>
      </c>
      <c r="M13" s="0" t="s">
        <v>255</v>
      </c>
      <c r="N13" s="0" t="s">
        <v>256</v>
      </c>
      <c r="O13" s="0" t="s">
        <v>256</v>
      </c>
      <c r="P13" s="0" t="s">
        <v>256</v>
      </c>
      <c r="Q13" s="0" t="s">
        <v>255</v>
      </c>
      <c r="R13" s="0" t="s">
        <v>255</v>
      </c>
      <c r="S13" s="0" t="s">
        <v>255</v>
      </c>
      <c r="T13" s="0" t="s">
        <v>55</v>
      </c>
      <c r="U13" s="0" t="s">
        <v>255</v>
      </c>
      <c r="V13" s="0" t="s">
        <v>255</v>
      </c>
      <c r="W13" s="0" t="s">
        <v>256</v>
      </c>
      <c r="X13" s="0" t="s">
        <v>256</v>
      </c>
      <c r="Y13" s="0" t="s">
        <v>256</v>
      </c>
      <c r="Z13" s="0" t="s">
        <v>256</v>
      </c>
      <c r="AA13" s="0" t="s">
        <v>256</v>
      </c>
      <c r="AB13" s="0" t="s">
        <v>256</v>
      </c>
      <c r="AC13" s="0" t="s">
        <v>256</v>
      </c>
      <c r="AD13" s="0" t="s">
        <v>256</v>
      </c>
      <c r="AE13" s="0" t="s">
        <v>256</v>
      </c>
      <c r="AF13" s="0" t="s">
        <v>256</v>
      </c>
      <c r="AG13" s="0" t="s">
        <v>256</v>
      </c>
      <c r="AH13" s="0" t="s">
        <v>256</v>
      </c>
      <c r="AI13" s="0" t="s">
        <v>256</v>
      </c>
      <c r="AJ13" s="0" t="s">
        <v>256</v>
      </c>
      <c r="AK13" s="0" t="s">
        <v>256</v>
      </c>
      <c r="AL13" s="0" t="s">
        <v>256</v>
      </c>
      <c r="AM13" s="0" t="s">
        <v>256</v>
      </c>
      <c r="AN13" s="0" t="s">
        <v>256</v>
      </c>
      <c r="AO13" s="0" t="s">
        <v>256</v>
      </c>
      <c r="AP13" s="0" t="s">
        <v>256</v>
      </c>
      <c r="AQ13" s="0" t="s">
        <v>256</v>
      </c>
      <c r="AR13" s="0" t="s">
        <v>256</v>
      </c>
      <c r="AS13" s="0" t="s">
        <v>256</v>
      </c>
      <c r="AT13" s="0" t="s">
        <v>55</v>
      </c>
      <c r="AU13" s="0" t="s">
        <v>256</v>
      </c>
      <c r="AV13" s="0" t="s">
        <v>256</v>
      </c>
      <c r="AW13" s="0" t="s">
        <v>256</v>
      </c>
      <c r="AX13" s="0" t="s">
        <v>256</v>
      </c>
      <c r="AY13" s="0" t="s">
        <v>256</v>
      </c>
      <c r="AZ13" s="0" t="s">
        <v>256</v>
      </c>
      <c r="BA13" s="0" t="s">
        <v>256</v>
      </c>
      <c r="BB13" s="0" t="s">
        <v>256</v>
      </c>
      <c r="BC13" s="0" t="s">
        <v>256</v>
      </c>
      <c r="BD13" s="0" t="s">
        <v>256</v>
      </c>
      <c r="BE13" s="0" t="s">
        <v>255</v>
      </c>
      <c r="BF13" s="0" t="s">
        <v>55</v>
      </c>
      <c r="BG13" s="0" t="s">
        <v>256</v>
      </c>
      <c r="BH13" s="0" t="s">
        <v>256</v>
      </c>
      <c r="BI13" s="0" t="s">
        <v>256</v>
      </c>
      <c r="BJ13" s="0" t="s">
        <v>256</v>
      </c>
      <c r="BK13" s="0" t="s">
        <v>55</v>
      </c>
    </row>
    <row r="14" customFormat="false" ht="12.8" hidden="false" customHeight="false" outlineLevel="0" collapsed="false">
      <c r="A14" s="0" t="n">
        <f aca="false">A13-1</f>
        <v>2005</v>
      </c>
      <c r="B14" s="0" t="s">
        <v>256</v>
      </c>
      <c r="C14" s="0" t="s">
        <v>256</v>
      </c>
      <c r="D14" s="0" t="s">
        <v>256</v>
      </c>
      <c r="E14" s="0" t="s">
        <v>256</v>
      </c>
      <c r="F14" s="0" t="s">
        <v>255</v>
      </c>
      <c r="G14" s="0" t="s">
        <v>255</v>
      </c>
      <c r="H14" s="0" t="s">
        <v>255</v>
      </c>
      <c r="I14" s="0" t="s">
        <v>255</v>
      </c>
      <c r="J14" s="0" t="s">
        <v>55</v>
      </c>
      <c r="K14" s="0" t="s">
        <v>255</v>
      </c>
      <c r="L14" s="0" t="s">
        <v>256</v>
      </c>
      <c r="M14" s="0" t="s">
        <v>255</v>
      </c>
      <c r="N14" s="0" t="s">
        <v>256</v>
      </c>
      <c r="O14" s="0" t="s">
        <v>256</v>
      </c>
      <c r="P14" s="0" t="s">
        <v>256</v>
      </c>
      <c r="Q14" s="0" t="s">
        <v>255</v>
      </c>
      <c r="R14" s="0" t="s">
        <v>255</v>
      </c>
      <c r="S14" s="0" t="s">
        <v>255</v>
      </c>
      <c r="T14" s="0" t="s">
        <v>55</v>
      </c>
      <c r="U14" s="0" t="s">
        <v>255</v>
      </c>
      <c r="V14" s="0" t="s">
        <v>255</v>
      </c>
      <c r="W14" s="0" t="s">
        <v>256</v>
      </c>
      <c r="X14" s="0" t="s">
        <v>256</v>
      </c>
      <c r="Y14" s="0" t="s">
        <v>256</v>
      </c>
      <c r="Z14" s="0" t="s">
        <v>256</v>
      </c>
      <c r="AA14" s="0" t="s">
        <v>256</v>
      </c>
      <c r="AB14" s="0" t="s">
        <v>256</v>
      </c>
      <c r="AC14" s="0" t="s">
        <v>256</v>
      </c>
      <c r="AD14" s="0" t="s">
        <v>256</v>
      </c>
      <c r="AE14" s="0" t="s">
        <v>256</v>
      </c>
      <c r="AF14" s="0" t="s">
        <v>256</v>
      </c>
      <c r="AG14" s="0" t="s">
        <v>256</v>
      </c>
      <c r="AH14" s="0" t="s">
        <v>256</v>
      </c>
      <c r="AI14" s="0" t="s">
        <v>256</v>
      </c>
      <c r="AJ14" s="0" t="s">
        <v>256</v>
      </c>
      <c r="AK14" s="0" t="s">
        <v>256</v>
      </c>
      <c r="AL14" s="0" t="s">
        <v>256</v>
      </c>
      <c r="AM14" s="0" t="s">
        <v>256</v>
      </c>
      <c r="AN14" s="0" t="s">
        <v>256</v>
      </c>
      <c r="AO14" s="0" t="s">
        <v>256</v>
      </c>
      <c r="AP14" s="0" t="s">
        <v>256</v>
      </c>
      <c r="AQ14" s="0" t="s">
        <v>256</v>
      </c>
      <c r="AR14" s="0" t="s">
        <v>256</v>
      </c>
      <c r="AS14" s="0" t="s">
        <v>256</v>
      </c>
      <c r="AT14" s="0" t="s">
        <v>55</v>
      </c>
      <c r="AU14" s="0" t="s">
        <v>256</v>
      </c>
      <c r="AV14" s="0" t="s">
        <v>256</v>
      </c>
      <c r="AW14" s="0" t="s">
        <v>256</v>
      </c>
      <c r="AX14" s="0" t="s">
        <v>256</v>
      </c>
      <c r="AY14" s="0" t="s">
        <v>256</v>
      </c>
      <c r="AZ14" s="0" t="s">
        <v>256</v>
      </c>
      <c r="BA14" s="0" t="s">
        <v>256</v>
      </c>
      <c r="BB14" s="0" t="s">
        <v>256</v>
      </c>
      <c r="BC14" s="0" t="s">
        <v>256</v>
      </c>
      <c r="BD14" s="0" t="s">
        <v>256</v>
      </c>
      <c r="BE14" s="0" t="s">
        <v>255</v>
      </c>
      <c r="BF14" s="0" t="s">
        <v>55</v>
      </c>
      <c r="BG14" s="0" t="s">
        <v>256</v>
      </c>
      <c r="BH14" s="0" t="s">
        <v>256</v>
      </c>
      <c r="BI14" s="0" t="s">
        <v>256</v>
      </c>
      <c r="BJ14" s="0" t="s">
        <v>256</v>
      </c>
      <c r="BK14" s="0" t="s">
        <v>55</v>
      </c>
    </row>
    <row r="15" customFormat="false" ht="12.8" hidden="false" customHeight="false" outlineLevel="0" collapsed="false">
      <c r="A15" s="0" t="n">
        <f aca="false">A14-1</f>
        <v>2004</v>
      </c>
      <c r="B15" s="0" t="s">
        <v>256</v>
      </c>
      <c r="C15" s="0" t="s">
        <v>256</v>
      </c>
      <c r="D15" s="0" t="s">
        <v>256</v>
      </c>
      <c r="E15" s="0" t="s">
        <v>256</v>
      </c>
      <c r="F15" s="0" t="s">
        <v>255</v>
      </c>
      <c r="G15" s="0" t="s">
        <v>255</v>
      </c>
      <c r="H15" s="0" t="s">
        <v>255</v>
      </c>
      <c r="I15" s="0" t="s">
        <v>255</v>
      </c>
      <c r="J15" s="0" t="s">
        <v>55</v>
      </c>
      <c r="K15" s="0" t="s">
        <v>255</v>
      </c>
      <c r="L15" s="0" t="s">
        <v>256</v>
      </c>
      <c r="M15" s="0" t="s">
        <v>255</v>
      </c>
      <c r="N15" s="0" t="s">
        <v>256</v>
      </c>
      <c r="O15" s="0" t="s">
        <v>256</v>
      </c>
      <c r="P15" s="0" t="s">
        <v>256</v>
      </c>
      <c r="Q15" s="0" t="s">
        <v>255</v>
      </c>
      <c r="R15" s="0" t="s">
        <v>255</v>
      </c>
      <c r="S15" s="0" t="s">
        <v>255</v>
      </c>
      <c r="T15" s="0" t="s">
        <v>55</v>
      </c>
      <c r="U15" s="0" t="s">
        <v>255</v>
      </c>
      <c r="V15" s="0" t="s">
        <v>255</v>
      </c>
      <c r="W15" s="0" t="s">
        <v>256</v>
      </c>
      <c r="X15" s="0" t="s">
        <v>256</v>
      </c>
      <c r="Y15" s="0" t="s">
        <v>256</v>
      </c>
      <c r="Z15" s="0" t="s">
        <v>256</v>
      </c>
      <c r="AA15" s="0" t="s">
        <v>256</v>
      </c>
      <c r="AB15" s="0" t="s">
        <v>256</v>
      </c>
      <c r="AC15" s="0" t="s">
        <v>256</v>
      </c>
      <c r="AD15" s="0" t="s">
        <v>256</v>
      </c>
      <c r="AE15" s="0" t="s">
        <v>256</v>
      </c>
      <c r="AF15" s="0" t="s">
        <v>256</v>
      </c>
      <c r="AG15" s="0" t="s">
        <v>256</v>
      </c>
      <c r="AH15" s="0" t="s">
        <v>256</v>
      </c>
      <c r="AI15" s="0" t="s">
        <v>256</v>
      </c>
      <c r="AJ15" s="0" t="s">
        <v>256</v>
      </c>
      <c r="AK15" s="0" t="s">
        <v>256</v>
      </c>
      <c r="AL15" s="0" t="s">
        <v>256</v>
      </c>
      <c r="AM15" s="0" t="s">
        <v>256</v>
      </c>
      <c r="AN15" s="0" t="s">
        <v>256</v>
      </c>
      <c r="AO15" s="0" t="s">
        <v>256</v>
      </c>
      <c r="AP15" s="0" t="s">
        <v>256</v>
      </c>
      <c r="AQ15" s="0" t="s">
        <v>256</v>
      </c>
      <c r="AR15" s="0" t="s">
        <v>256</v>
      </c>
      <c r="AS15" s="0" t="s">
        <v>256</v>
      </c>
      <c r="AT15" s="0" t="s">
        <v>55</v>
      </c>
      <c r="AU15" s="0" t="s">
        <v>256</v>
      </c>
      <c r="AV15" s="0" t="s">
        <v>256</v>
      </c>
      <c r="AW15" s="0" t="s">
        <v>256</v>
      </c>
      <c r="AX15" s="0" t="s">
        <v>256</v>
      </c>
      <c r="AY15" s="0" t="s">
        <v>256</v>
      </c>
      <c r="AZ15" s="0" t="s">
        <v>256</v>
      </c>
      <c r="BA15" s="0" t="s">
        <v>256</v>
      </c>
      <c r="BB15" s="0" t="s">
        <v>256</v>
      </c>
      <c r="BC15" s="0" t="s">
        <v>256</v>
      </c>
      <c r="BD15" s="0" t="s">
        <v>256</v>
      </c>
      <c r="BE15" s="0" t="s">
        <v>255</v>
      </c>
      <c r="BF15" s="0" t="s">
        <v>55</v>
      </c>
      <c r="BG15" s="0" t="s">
        <v>256</v>
      </c>
      <c r="BH15" s="0" t="s">
        <v>256</v>
      </c>
      <c r="BI15" s="0" t="s">
        <v>256</v>
      </c>
      <c r="BJ15" s="0" t="s">
        <v>256</v>
      </c>
      <c r="BK15" s="0" t="s">
        <v>55</v>
      </c>
    </row>
    <row r="16" customFormat="false" ht="12.8" hidden="false" customHeight="false" outlineLevel="0" collapsed="false">
      <c r="A16" s="0" t="n">
        <f aca="false">A15-1</f>
        <v>2003</v>
      </c>
      <c r="B16" s="0" t="s">
        <v>256</v>
      </c>
      <c r="C16" s="0" t="s">
        <v>256</v>
      </c>
      <c r="D16" s="0" t="s">
        <v>256</v>
      </c>
      <c r="E16" s="0" t="s">
        <v>256</v>
      </c>
      <c r="F16" s="0" t="s">
        <v>255</v>
      </c>
      <c r="G16" s="0" t="s">
        <v>255</v>
      </c>
      <c r="H16" s="0" t="s">
        <v>255</v>
      </c>
      <c r="I16" s="0" t="s">
        <v>255</v>
      </c>
      <c r="J16" s="0" t="s">
        <v>55</v>
      </c>
      <c r="K16" s="0" t="s">
        <v>255</v>
      </c>
      <c r="L16" s="0" t="s">
        <v>256</v>
      </c>
      <c r="M16" s="0" t="s">
        <v>255</v>
      </c>
      <c r="N16" s="0" t="s">
        <v>256</v>
      </c>
      <c r="O16" s="0" t="s">
        <v>256</v>
      </c>
      <c r="P16" s="0" t="s">
        <v>256</v>
      </c>
      <c r="Q16" s="0" t="s">
        <v>255</v>
      </c>
      <c r="R16" s="0" t="s">
        <v>255</v>
      </c>
      <c r="S16" s="0" t="s">
        <v>255</v>
      </c>
      <c r="T16" s="0" t="s">
        <v>55</v>
      </c>
      <c r="U16" s="0" t="s">
        <v>255</v>
      </c>
      <c r="V16" s="0" t="s">
        <v>255</v>
      </c>
      <c r="W16" s="0" t="s">
        <v>256</v>
      </c>
      <c r="X16" s="0" t="s">
        <v>256</v>
      </c>
      <c r="Y16" s="0" t="s">
        <v>256</v>
      </c>
      <c r="Z16" s="0" t="s">
        <v>256</v>
      </c>
      <c r="AA16" s="0" t="s">
        <v>256</v>
      </c>
      <c r="AB16" s="0" t="s">
        <v>256</v>
      </c>
      <c r="AC16" s="0" t="s">
        <v>256</v>
      </c>
      <c r="AD16" s="0" t="s">
        <v>256</v>
      </c>
      <c r="AE16" s="0" t="s">
        <v>256</v>
      </c>
      <c r="AF16" s="0" t="s">
        <v>256</v>
      </c>
      <c r="AG16" s="0" t="s">
        <v>256</v>
      </c>
      <c r="AH16" s="0" t="s">
        <v>256</v>
      </c>
      <c r="AI16" s="0" t="s">
        <v>256</v>
      </c>
      <c r="AJ16" s="0" t="s">
        <v>256</v>
      </c>
      <c r="AK16" s="0" t="s">
        <v>256</v>
      </c>
      <c r="AL16" s="0" t="s">
        <v>256</v>
      </c>
      <c r="AM16" s="0" t="s">
        <v>256</v>
      </c>
      <c r="AN16" s="0" t="s">
        <v>256</v>
      </c>
      <c r="AO16" s="0" t="s">
        <v>256</v>
      </c>
      <c r="AP16" s="0" t="s">
        <v>256</v>
      </c>
      <c r="AQ16" s="0" t="s">
        <v>256</v>
      </c>
      <c r="AR16" s="0" t="s">
        <v>256</v>
      </c>
      <c r="AS16" s="0" t="s">
        <v>256</v>
      </c>
      <c r="AT16" s="0" t="s">
        <v>55</v>
      </c>
      <c r="AU16" s="0" t="s">
        <v>256</v>
      </c>
      <c r="AV16" s="0" t="s">
        <v>256</v>
      </c>
      <c r="AW16" s="0" t="s">
        <v>256</v>
      </c>
      <c r="AX16" s="0" t="s">
        <v>256</v>
      </c>
      <c r="AY16" s="0" t="s">
        <v>256</v>
      </c>
      <c r="AZ16" s="0" t="s">
        <v>256</v>
      </c>
      <c r="BA16" s="0" t="s">
        <v>256</v>
      </c>
      <c r="BB16" s="0" t="s">
        <v>256</v>
      </c>
      <c r="BC16" s="0" t="s">
        <v>256</v>
      </c>
      <c r="BD16" s="0" t="s">
        <v>256</v>
      </c>
      <c r="BE16" s="0" t="s">
        <v>255</v>
      </c>
      <c r="BF16" s="0" t="s">
        <v>55</v>
      </c>
      <c r="BG16" s="0" t="s">
        <v>256</v>
      </c>
      <c r="BH16" s="0" t="s">
        <v>256</v>
      </c>
      <c r="BI16" s="0" t="s">
        <v>256</v>
      </c>
      <c r="BJ16" s="0" t="s">
        <v>256</v>
      </c>
      <c r="BK16" s="0" t="s">
        <v>55</v>
      </c>
    </row>
    <row r="17" customFormat="false" ht="12.8" hidden="false" customHeight="false" outlineLevel="0" collapsed="false">
      <c r="A17" s="0" t="n">
        <f aca="false">A16-1</f>
        <v>2002</v>
      </c>
      <c r="B17" s="0" t="s">
        <v>256</v>
      </c>
      <c r="C17" s="0" t="s">
        <v>256</v>
      </c>
      <c r="D17" s="0" t="s">
        <v>256</v>
      </c>
      <c r="E17" s="0" t="s">
        <v>256</v>
      </c>
      <c r="F17" s="0" t="s">
        <v>255</v>
      </c>
      <c r="G17" s="0" t="s">
        <v>255</v>
      </c>
      <c r="H17" s="0" t="s">
        <v>255</v>
      </c>
      <c r="I17" s="0" t="s">
        <v>255</v>
      </c>
      <c r="J17" s="0" t="s">
        <v>55</v>
      </c>
      <c r="K17" s="0" t="s">
        <v>255</v>
      </c>
      <c r="L17" s="0" t="s">
        <v>256</v>
      </c>
      <c r="M17" s="0" t="s">
        <v>255</v>
      </c>
      <c r="N17" s="0" t="s">
        <v>256</v>
      </c>
      <c r="O17" s="0" t="s">
        <v>256</v>
      </c>
      <c r="P17" s="0" t="s">
        <v>256</v>
      </c>
      <c r="Q17" s="0" t="s">
        <v>255</v>
      </c>
      <c r="R17" s="0" t="s">
        <v>255</v>
      </c>
      <c r="S17" s="0" t="s">
        <v>255</v>
      </c>
      <c r="T17" s="0" t="s">
        <v>55</v>
      </c>
      <c r="U17" s="0" t="s">
        <v>255</v>
      </c>
      <c r="V17" s="0" t="s">
        <v>255</v>
      </c>
      <c r="W17" s="0" t="s">
        <v>256</v>
      </c>
      <c r="X17" s="0" t="s">
        <v>256</v>
      </c>
      <c r="Y17" s="0" t="s">
        <v>256</v>
      </c>
      <c r="Z17" s="0" t="s">
        <v>256</v>
      </c>
      <c r="AA17" s="0" t="s">
        <v>256</v>
      </c>
      <c r="AB17" s="0" t="s">
        <v>256</v>
      </c>
      <c r="AC17" s="0" t="s">
        <v>256</v>
      </c>
      <c r="AD17" s="0" t="s">
        <v>256</v>
      </c>
      <c r="AE17" s="0" t="s">
        <v>256</v>
      </c>
      <c r="AF17" s="0" t="s">
        <v>256</v>
      </c>
      <c r="AG17" s="0" t="s">
        <v>256</v>
      </c>
      <c r="AH17" s="0" t="s">
        <v>256</v>
      </c>
      <c r="AI17" s="0" t="s">
        <v>256</v>
      </c>
      <c r="AJ17" s="0" t="s">
        <v>256</v>
      </c>
      <c r="AK17" s="0" t="s">
        <v>256</v>
      </c>
      <c r="AL17" s="0" t="s">
        <v>256</v>
      </c>
      <c r="AM17" s="0" t="s">
        <v>256</v>
      </c>
      <c r="AN17" s="0" t="s">
        <v>256</v>
      </c>
      <c r="AO17" s="0" t="s">
        <v>256</v>
      </c>
      <c r="AP17" s="0" t="s">
        <v>256</v>
      </c>
      <c r="AQ17" s="0" t="s">
        <v>256</v>
      </c>
      <c r="AR17" s="0" t="s">
        <v>256</v>
      </c>
      <c r="AS17" s="0" t="s">
        <v>256</v>
      </c>
      <c r="AT17" s="0" t="s">
        <v>55</v>
      </c>
      <c r="AU17" s="0" t="s">
        <v>256</v>
      </c>
      <c r="AV17" s="0" t="s">
        <v>256</v>
      </c>
      <c r="AW17" s="0" t="s">
        <v>256</v>
      </c>
      <c r="AX17" s="0" t="s">
        <v>256</v>
      </c>
      <c r="AY17" s="0" t="s">
        <v>256</v>
      </c>
      <c r="AZ17" s="0" t="s">
        <v>256</v>
      </c>
      <c r="BA17" s="0" t="s">
        <v>256</v>
      </c>
      <c r="BB17" s="0" t="s">
        <v>256</v>
      </c>
      <c r="BC17" s="0" t="s">
        <v>256</v>
      </c>
      <c r="BD17" s="0" t="s">
        <v>256</v>
      </c>
      <c r="BE17" s="0" t="s">
        <v>255</v>
      </c>
      <c r="BF17" s="0" t="s">
        <v>55</v>
      </c>
      <c r="BG17" s="0" t="s">
        <v>256</v>
      </c>
      <c r="BH17" s="0" t="s">
        <v>256</v>
      </c>
      <c r="BI17" s="0" t="s">
        <v>256</v>
      </c>
      <c r="BJ17" s="0" t="s">
        <v>256</v>
      </c>
      <c r="BK17" s="0" t="s">
        <v>55</v>
      </c>
    </row>
    <row r="18" customFormat="false" ht="12.8" hidden="false" customHeight="false" outlineLevel="0" collapsed="false">
      <c r="A18" s="0" t="n">
        <f aca="false">A17-1</f>
        <v>2001</v>
      </c>
      <c r="B18" s="0" t="s">
        <v>256</v>
      </c>
      <c r="C18" s="0" t="s">
        <v>256</v>
      </c>
      <c r="D18" s="0" t="s">
        <v>256</v>
      </c>
      <c r="E18" s="0" t="s">
        <v>256</v>
      </c>
      <c r="F18" s="0" t="s">
        <v>255</v>
      </c>
      <c r="G18" s="0" t="s">
        <v>255</v>
      </c>
      <c r="H18" s="0" t="s">
        <v>255</v>
      </c>
      <c r="I18" s="0" t="s">
        <v>255</v>
      </c>
      <c r="J18" s="0" t="s">
        <v>55</v>
      </c>
      <c r="K18" s="0" t="s">
        <v>255</v>
      </c>
      <c r="L18" s="0" t="s">
        <v>256</v>
      </c>
      <c r="M18" s="0" t="s">
        <v>255</v>
      </c>
      <c r="N18" s="0" t="s">
        <v>256</v>
      </c>
      <c r="O18" s="0" t="s">
        <v>256</v>
      </c>
      <c r="P18" s="0" t="s">
        <v>256</v>
      </c>
      <c r="Q18" s="0" t="s">
        <v>255</v>
      </c>
      <c r="R18" s="0" t="s">
        <v>255</v>
      </c>
      <c r="S18" s="0" t="s">
        <v>255</v>
      </c>
      <c r="T18" s="0" t="s">
        <v>55</v>
      </c>
      <c r="U18" s="0" t="s">
        <v>255</v>
      </c>
      <c r="V18" s="0" t="s">
        <v>255</v>
      </c>
      <c r="W18" s="0" t="s">
        <v>256</v>
      </c>
      <c r="X18" s="0" t="s">
        <v>256</v>
      </c>
      <c r="Y18" s="0" t="s">
        <v>256</v>
      </c>
      <c r="Z18" s="0" t="s">
        <v>256</v>
      </c>
      <c r="AA18" s="0" t="s">
        <v>256</v>
      </c>
      <c r="AB18" s="0" t="s">
        <v>256</v>
      </c>
      <c r="AC18" s="0" t="s">
        <v>256</v>
      </c>
      <c r="AD18" s="0" t="s">
        <v>256</v>
      </c>
      <c r="AE18" s="0" t="s">
        <v>256</v>
      </c>
      <c r="AF18" s="0" t="s">
        <v>256</v>
      </c>
      <c r="AG18" s="0" t="s">
        <v>256</v>
      </c>
      <c r="AH18" s="0" t="s">
        <v>256</v>
      </c>
      <c r="AI18" s="0" t="s">
        <v>256</v>
      </c>
      <c r="AJ18" s="0" t="s">
        <v>256</v>
      </c>
      <c r="AK18" s="0" t="s">
        <v>256</v>
      </c>
      <c r="AL18" s="0" t="s">
        <v>256</v>
      </c>
      <c r="AM18" s="0" t="s">
        <v>256</v>
      </c>
      <c r="AN18" s="0" t="s">
        <v>256</v>
      </c>
      <c r="AO18" s="0" t="s">
        <v>256</v>
      </c>
      <c r="AP18" s="0" t="s">
        <v>256</v>
      </c>
      <c r="AQ18" s="0" t="s">
        <v>256</v>
      </c>
      <c r="AR18" s="0" t="s">
        <v>256</v>
      </c>
      <c r="AS18" s="0" t="s">
        <v>256</v>
      </c>
      <c r="AT18" s="0" t="s">
        <v>55</v>
      </c>
      <c r="AU18" s="0" t="s">
        <v>256</v>
      </c>
      <c r="AV18" s="0" t="s">
        <v>256</v>
      </c>
      <c r="AW18" s="0" t="s">
        <v>256</v>
      </c>
      <c r="AX18" s="0" t="s">
        <v>256</v>
      </c>
      <c r="AY18" s="0" t="s">
        <v>256</v>
      </c>
      <c r="AZ18" s="0" t="s">
        <v>256</v>
      </c>
      <c r="BA18" s="0" t="s">
        <v>256</v>
      </c>
      <c r="BB18" s="0" t="s">
        <v>256</v>
      </c>
      <c r="BC18" s="0" t="s">
        <v>256</v>
      </c>
      <c r="BD18" s="0" t="s">
        <v>256</v>
      </c>
      <c r="BE18" s="0" t="s">
        <v>255</v>
      </c>
      <c r="BF18" s="0" t="s">
        <v>55</v>
      </c>
      <c r="BG18" s="0" t="s">
        <v>256</v>
      </c>
      <c r="BH18" s="0" t="s">
        <v>256</v>
      </c>
      <c r="BI18" s="0" t="s">
        <v>256</v>
      </c>
      <c r="BJ18" s="0" t="s">
        <v>256</v>
      </c>
      <c r="BK18" s="0" t="s">
        <v>55</v>
      </c>
    </row>
    <row r="19" customFormat="false" ht="12.8" hidden="false" customHeight="false" outlineLevel="0" collapsed="false">
      <c r="A19" s="0" t="n">
        <f aca="false">A18-1</f>
        <v>2000</v>
      </c>
      <c r="B19" s="0" t="s">
        <v>256</v>
      </c>
      <c r="C19" s="0" t="s">
        <v>256</v>
      </c>
      <c r="D19" s="0" t="s">
        <v>256</v>
      </c>
      <c r="E19" s="0" t="s">
        <v>256</v>
      </c>
      <c r="F19" s="0" t="s">
        <v>255</v>
      </c>
      <c r="G19" s="0" t="s">
        <v>255</v>
      </c>
      <c r="H19" s="0" t="s">
        <v>255</v>
      </c>
      <c r="I19" s="0" t="s">
        <v>255</v>
      </c>
      <c r="J19" s="0" t="s">
        <v>55</v>
      </c>
      <c r="K19" s="0" t="s">
        <v>255</v>
      </c>
      <c r="L19" s="0" t="s">
        <v>256</v>
      </c>
      <c r="M19" s="0" t="s">
        <v>255</v>
      </c>
      <c r="N19" s="0" t="s">
        <v>256</v>
      </c>
      <c r="O19" s="0" t="s">
        <v>256</v>
      </c>
      <c r="P19" s="0" t="s">
        <v>256</v>
      </c>
      <c r="Q19" s="0" t="s">
        <v>255</v>
      </c>
      <c r="R19" s="0" t="s">
        <v>255</v>
      </c>
      <c r="S19" s="0" t="s">
        <v>255</v>
      </c>
      <c r="T19" s="0" t="s">
        <v>55</v>
      </c>
      <c r="U19" s="0" t="s">
        <v>255</v>
      </c>
      <c r="V19" s="0" t="s">
        <v>255</v>
      </c>
      <c r="W19" s="0" t="s">
        <v>256</v>
      </c>
      <c r="X19" s="0" t="s">
        <v>256</v>
      </c>
      <c r="Y19" s="0" t="s">
        <v>256</v>
      </c>
      <c r="Z19" s="0" t="s">
        <v>256</v>
      </c>
      <c r="AA19" s="0" t="s">
        <v>256</v>
      </c>
      <c r="AB19" s="0" t="s">
        <v>256</v>
      </c>
      <c r="AC19" s="0" t="s">
        <v>256</v>
      </c>
      <c r="AD19" s="0" t="s">
        <v>256</v>
      </c>
      <c r="AE19" s="0" t="s">
        <v>256</v>
      </c>
      <c r="AF19" s="0" t="s">
        <v>256</v>
      </c>
      <c r="AG19" s="0" t="s">
        <v>256</v>
      </c>
      <c r="AH19" s="0" t="s">
        <v>256</v>
      </c>
      <c r="AI19" s="0" t="s">
        <v>256</v>
      </c>
      <c r="AJ19" s="0" t="s">
        <v>256</v>
      </c>
      <c r="AK19" s="0" t="s">
        <v>256</v>
      </c>
      <c r="AL19" s="0" t="s">
        <v>256</v>
      </c>
      <c r="AM19" s="0" t="s">
        <v>256</v>
      </c>
      <c r="AN19" s="0" t="s">
        <v>256</v>
      </c>
      <c r="AO19" s="0" t="s">
        <v>256</v>
      </c>
      <c r="AP19" s="0" t="s">
        <v>256</v>
      </c>
      <c r="AQ19" s="0" t="s">
        <v>256</v>
      </c>
      <c r="AR19" s="0" t="s">
        <v>256</v>
      </c>
      <c r="AS19" s="0" t="s">
        <v>256</v>
      </c>
      <c r="AT19" s="0" t="s">
        <v>55</v>
      </c>
      <c r="AU19" s="0" t="s">
        <v>256</v>
      </c>
      <c r="AV19" s="0" t="s">
        <v>256</v>
      </c>
      <c r="AW19" s="0" t="s">
        <v>256</v>
      </c>
      <c r="AX19" s="0" t="s">
        <v>256</v>
      </c>
      <c r="AY19" s="0" t="s">
        <v>256</v>
      </c>
      <c r="AZ19" s="0" t="s">
        <v>256</v>
      </c>
      <c r="BA19" s="0" t="s">
        <v>256</v>
      </c>
      <c r="BB19" s="0" t="s">
        <v>256</v>
      </c>
      <c r="BC19" s="0" t="s">
        <v>256</v>
      </c>
      <c r="BD19" s="0" t="s">
        <v>256</v>
      </c>
      <c r="BE19" s="0" t="s">
        <v>255</v>
      </c>
      <c r="BF19" s="0" t="s">
        <v>55</v>
      </c>
      <c r="BG19" s="0" t="s">
        <v>256</v>
      </c>
      <c r="BH19" s="0" t="s">
        <v>256</v>
      </c>
      <c r="BI19" s="0" t="s">
        <v>256</v>
      </c>
      <c r="BJ19" s="0" t="s">
        <v>256</v>
      </c>
      <c r="BK19" s="0" t="s">
        <v>55</v>
      </c>
    </row>
    <row r="20" customFormat="false" ht="12.8" hidden="false" customHeight="false" outlineLevel="0" collapsed="false">
      <c r="A20" s="0" t="n">
        <f aca="false">A19-1</f>
        <v>1999</v>
      </c>
      <c r="B20" s="37" t="s">
        <v>249</v>
      </c>
      <c r="C20" s="37" t="s">
        <v>249</v>
      </c>
      <c r="D20" s="37" t="s">
        <v>249</v>
      </c>
      <c r="E20" s="37" t="s">
        <v>249</v>
      </c>
      <c r="F20" s="37" t="s">
        <v>251</v>
      </c>
      <c r="G20" s="37" t="s">
        <v>251</v>
      </c>
      <c r="H20" s="37" t="s">
        <v>251</v>
      </c>
      <c r="I20" s="37" t="s">
        <v>251</v>
      </c>
      <c r="J20" s="0" t="s">
        <v>55</v>
      </c>
      <c r="K20" s="37" t="s">
        <v>251</v>
      </c>
      <c r="L20" s="37" t="s">
        <v>249</v>
      </c>
      <c r="M20" s="37" t="s">
        <v>251</v>
      </c>
      <c r="N20" s="37" t="s">
        <v>249</v>
      </c>
      <c r="O20" s="37" t="s">
        <v>249</v>
      </c>
      <c r="P20" s="37" t="s">
        <v>249</v>
      </c>
      <c r="Q20" s="37" t="s">
        <v>251</v>
      </c>
      <c r="R20" s="37" t="s">
        <v>251</v>
      </c>
      <c r="S20" s="37" t="s">
        <v>251</v>
      </c>
      <c r="T20" s="0" t="s">
        <v>55</v>
      </c>
      <c r="U20" s="37" t="s">
        <v>251</v>
      </c>
      <c r="V20" s="37" t="s">
        <v>251</v>
      </c>
      <c r="W20" s="37" t="s">
        <v>251</v>
      </c>
      <c r="X20" s="37" t="s">
        <v>251</v>
      </c>
      <c r="Y20" s="37" t="s">
        <v>251</v>
      </c>
      <c r="Z20" s="37" t="s">
        <v>251</v>
      </c>
      <c r="AA20" s="37" t="s">
        <v>251</v>
      </c>
      <c r="AB20" s="37" t="s">
        <v>251</v>
      </c>
      <c r="AC20" s="37" t="s">
        <v>251</v>
      </c>
      <c r="AD20" s="37" t="s">
        <v>251</v>
      </c>
      <c r="AE20" s="37" t="s">
        <v>249</v>
      </c>
      <c r="AF20" s="37" t="s">
        <v>249</v>
      </c>
      <c r="AG20" s="37" t="s">
        <v>249</v>
      </c>
      <c r="AH20" s="37" t="s">
        <v>249</v>
      </c>
      <c r="AI20" s="37" t="s">
        <v>249</v>
      </c>
      <c r="AJ20" s="37" t="s">
        <v>249</v>
      </c>
      <c r="AK20" s="37" t="s">
        <v>249</v>
      </c>
      <c r="AL20" s="37" t="s">
        <v>249</v>
      </c>
      <c r="AM20" s="37" t="s">
        <v>249</v>
      </c>
      <c r="AN20" s="37" t="s">
        <v>251</v>
      </c>
      <c r="AO20" s="37" t="s">
        <v>251</v>
      </c>
      <c r="AP20" s="37" t="s">
        <v>251</v>
      </c>
      <c r="AQ20" s="37" t="s">
        <v>251</v>
      </c>
      <c r="AR20" s="37" t="s">
        <v>251</v>
      </c>
      <c r="AS20" s="37" t="s">
        <v>251</v>
      </c>
      <c r="AT20" s="0" t="s">
        <v>55</v>
      </c>
      <c r="AU20" s="37" t="s">
        <v>251</v>
      </c>
      <c r="AV20" s="37" t="s">
        <v>251</v>
      </c>
      <c r="AW20" s="37" t="s">
        <v>251</v>
      </c>
      <c r="AX20" s="37" t="s">
        <v>249</v>
      </c>
      <c r="AY20" s="37" t="s">
        <v>249</v>
      </c>
      <c r="AZ20" s="37" t="s">
        <v>249</v>
      </c>
      <c r="BA20" s="37" t="s">
        <v>251</v>
      </c>
      <c r="BB20" s="37" t="s">
        <v>251</v>
      </c>
      <c r="BC20" s="37" t="s">
        <v>249</v>
      </c>
      <c r="BD20" s="37" t="s">
        <v>249</v>
      </c>
      <c r="BE20" s="37" t="s">
        <v>251</v>
      </c>
      <c r="BF20" s="0" t="s">
        <v>55</v>
      </c>
      <c r="BG20" s="37" t="s">
        <v>249</v>
      </c>
      <c r="BH20" s="37" t="s">
        <v>249</v>
      </c>
      <c r="BI20" s="37" t="s">
        <v>249</v>
      </c>
      <c r="BJ20" s="37" t="s">
        <v>249</v>
      </c>
      <c r="BK20" s="0" t="s">
        <v>55</v>
      </c>
    </row>
    <row r="21" customFormat="false" ht="12.8" hidden="false" customHeight="false" outlineLevel="0" collapsed="false">
      <c r="A21" s="0" t="n">
        <f aca="false">A20-1</f>
        <v>1998</v>
      </c>
      <c r="B21" s="37" t="s">
        <v>249</v>
      </c>
      <c r="C21" s="37" t="s">
        <v>249</v>
      </c>
      <c r="D21" s="37" t="s">
        <v>249</v>
      </c>
      <c r="E21" s="37" t="s">
        <v>249</v>
      </c>
      <c r="F21" s="37" t="s">
        <v>251</v>
      </c>
      <c r="G21" s="37" t="s">
        <v>251</v>
      </c>
      <c r="H21" s="37" t="s">
        <v>251</v>
      </c>
      <c r="I21" s="37" t="s">
        <v>251</v>
      </c>
      <c r="J21" s="0" t="s">
        <v>55</v>
      </c>
      <c r="K21" s="37" t="s">
        <v>251</v>
      </c>
      <c r="L21" s="37" t="s">
        <v>249</v>
      </c>
      <c r="M21" s="37" t="s">
        <v>251</v>
      </c>
      <c r="N21" s="37" t="s">
        <v>249</v>
      </c>
      <c r="O21" s="37" t="s">
        <v>249</v>
      </c>
      <c r="P21" s="37" t="s">
        <v>249</v>
      </c>
      <c r="Q21" s="37" t="s">
        <v>251</v>
      </c>
      <c r="R21" s="37" t="s">
        <v>251</v>
      </c>
      <c r="S21" s="37" t="s">
        <v>251</v>
      </c>
      <c r="T21" s="0" t="s">
        <v>55</v>
      </c>
      <c r="U21" s="37" t="s">
        <v>251</v>
      </c>
      <c r="V21" s="37" t="s">
        <v>251</v>
      </c>
      <c r="W21" s="37" t="s">
        <v>251</v>
      </c>
      <c r="X21" s="37" t="s">
        <v>251</v>
      </c>
      <c r="Y21" s="37" t="s">
        <v>251</v>
      </c>
      <c r="Z21" s="37" t="s">
        <v>251</v>
      </c>
      <c r="AA21" s="37" t="s">
        <v>251</v>
      </c>
      <c r="AB21" s="37" t="s">
        <v>251</v>
      </c>
      <c r="AC21" s="37" t="s">
        <v>251</v>
      </c>
      <c r="AD21" s="37" t="s">
        <v>251</v>
      </c>
      <c r="AE21" s="37" t="s">
        <v>249</v>
      </c>
      <c r="AF21" s="37" t="s">
        <v>249</v>
      </c>
      <c r="AG21" s="37" t="s">
        <v>249</v>
      </c>
      <c r="AH21" s="37" t="s">
        <v>249</v>
      </c>
      <c r="AI21" s="37" t="s">
        <v>249</v>
      </c>
      <c r="AJ21" s="37" t="s">
        <v>249</v>
      </c>
      <c r="AK21" s="37" t="s">
        <v>249</v>
      </c>
      <c r="AL21" s="37" t="s">
        <v>249</v>
      </c>
      <c r="AM21" s="37" t="s">
        <v>249</v>
      </c>
      <c r="AN21" s="37" t="s">
        <v>251</v>
      </c>
      <c r="AO21" s="37" t="s">
        <v>251</v>
      </c>
      <c r="AP21" s="37" t="s">
        <v>251</v>
      </c>
      <c r="AQ21" s="37" t="s">
        <v>251</v>
      </c>
      <c r="AR21" s="37" t="s">
        <v>251</v>
      </c>
      <c r="AS21" s="37" t="s">
        <v>251</v>
      </c>
      <c r="AT21" s="0" t="s">
        <v>55</v>
      </c>
      <c r="AU21" s="37" t="s">
        <v>251</v>
      </c>
      <c r="AV21" s="37" t="s">
        <v>251</v>
      </c>
      <c r="AW21" s="37" t="s">
        <v>251</v>
      </c>
      <c r="AX21" s="37" t="s">
        <v>249</v>
      </c>
      <c r="AY21" s="37" t="s">
        <v>249</v>
      </c>
      <c r="AZ21" s="37" t="s">
        <v>249</v>
      </c>
      <c r="BA21" s="37" t="s">
        <v>251</v>
      </c>
      <c r="BB21" s="37" t="s">
        <v>251</v>
      </c>
      <c r="BC21" s="37" t="s">
        <v>249</v>
      </c>
      <c r="BD21" s="37" t="s">
        <v>249</v>
      </c>
      <c r="BE21" s="37" t="s">
        <v>251</v>
      </c>
      <c r="BF21" s="0" t="s">
        <v>55</v>
      </c>
      <c r="BG21" s="37" t="s">
        <v>249</v>
      </c>
      <c r="BH21" s="37" t="s">
        <v>249</v>
      </c>
      <c r="BI21" s="37" t="s">
        <v>249</v>
      </c>
      <c r="BJ21" s="37" t="s">
        <v>249</v>
      </c>
      <c r="BK21" s="0" t="s">
        <v>55</v>
      </c>
    </row>
    <row r="22" customFormat="false" ht="12.8" hidden="false" customHeight="false" outlineLevel="0" collapsed="false">
      <c r="A22" s="0" t="n">
        <f aca="false">A21-1</f>
        <v>1997</v>
      </c>
      <c r="B22" s="37" t="s">
        <v>249</v>
      </c>
      <c r="C22" s="37" t="s">
        <v>249</v>
      </c>
      <c r="D22" s="37" t="s">
        <v>249</v>
      </c>
      <c r="E22" s="37" t="s">
        <v>249</v>
      </c>
      <c r="F22" s="37" t="s">
        <v>251</v>
      </c>
      <c r="G22" s="37" t="s">
        <v>251</v>
      </c>
      <c r="H22" s="37" t="s">
        <v>251</v>
      </c>
      <c r="I22" s="37" t="s">
        <v>251</v>
      </c>
      <c r="J22" s="0" t="s">
        <v>55</v>
      </c>
      <c r="K22" s="37" t="s">
        <v>251</v>
      </c>
      <c r="L22" s="37" t="s">
        <v>249</v>
      </c>
      <c r="M22" s="37" t="s">
        <v>251</v>
      </c>
      <c r="N22" s="37" t="s">
        <v>249</v>
      </c>
      <c r="O22" s="37" t="s">
        <v>249</v>
      </c>
      <c r="P22" s="37" t="s">
        <v>249</v>
      </c>
      <c r="Q22" s="37" t="s">
        <v>251</v>
      </c>
      <c r="R22" s="37" t="s">
        <v>251</v>
      </c>
      <c r="S22" s="37" t="s">
        <v>251</v>
      </c>
      <c r="T22" s="0" t="s">
        <v>55</v>
      </c>
      <c r="U22" s="37" t="s">
        <v>251</v>
      </c>
      <c r="V22" s="37" t="s">
        <v>251</v>
      </c>
      <c r="W22" s="37" t="s">
        <v>251</v>
      </c>
      <c r="X22" s="37" t="s">
        <v>251</v>
      </c>
      <c r="Y22" s="37" t="s">
        <v>251</v>
      </c>
      <c r="Z22" s="37" t="s">
        <v>251</v>
      </c>
      <c r="AA22" s="37" t="s">
        <v>251</v>
      </c>
      <c r="AB22" s="37" t="s">
        <v>251</v>
      </c>
      <c r="AC22" s="37" t="s">
        <v>251</v>
      </c>
      <c r="AD22" s="37" t="s">
        <v>251</v>
      </c>
      <c r="AE22" s="37" t="s">
        <v>249</v>
      </c>
      <c r="AF22" s="37" t="s">
        <v>249</v>
      </c>
      <c r="AG22" s="37" t="s">
        <v>249</v>
      </c>
      <c r="AH22" s="37" t="s">
        <v>249</v>
      </c>
      <c r="AI22" s="37" t="s">
        <v>249</v>
      </c>
      <c r="AJ22" s="37" t="s">
        <v>249</v>
      </c>
      <c r="AK22" s="37" t="s">
        <v>249</v>
      </c>
      <c r="AL22" s="37" t="s">
        <v>249</v>
      </c>
      <c r="AM22" s="37" t="s">
        <v>249</v>
      </c>
      <c r="AN22" s="37" t="s">
        <v>251</v>
      </c>
      <c r="AO22" s="37" t="s">
        <v>251</v>
      </c>
      <c r="AP22" s="37" t="s">
        <v>251</v>
      </c>
      <c r="AQ22" s="37" t="s">
        <v>251</v>
      </c>
      <c r="AR22" s="37" t="s">
        <v>251</v>
      </c>
      <c r="AS22" s="37" t="s">
        <v>251</v>
      </c>
      <c r="AT22" s="0" t="s">
        <v>55</v>
      </c>
      <c r="AU22" s="37" t="s">
        <v>251</v>
      </c>
      <c r="AV22" s="37" t="s">
        <v>251</v>
      </c>
      <c r="AW22" s="37" t="s">
        <v>251</v>
      </c>
      <c r="AX22" s="37" t="s">
        <v>249</v>
      </c>
      <c r="AY22" s="37" t="s">
        <v>249</v>
      </c>
      <c r="AZ22" s="37" t="s">
        <v>249</v>
      </c>
      <c r="BA22" s="37" t="s">
        <v>251</v>
      </c>
      <c r="BB22" s="37" t="s">
        <v>251</v>
      </c>
      <c r="BC22" s="37" t="s">
        <v>249</v>
      </c>
      <c r="BD22" s="37" t="s">
        <v>249</v>
      </c>
      <c r="BE22" s="37" t="s">
        <v>251</v>
      </c>
      <c r="BF22" s="0" t="s">
        <v>55</v>
      </c>
      <c r="BG22" s="37" t="s">
        <v>249</v>
      </c>
      <c r="BH22" s="37" t="s">
        <v>249</v>
      </c>
      <c r="BI22" s="37" t="s">
        <v>249</v>
      </c>
      <c r="BJ22" s="37" t="s">
        <v>249</v>
      </c>
      <c r="BK22" s="0" t="s">
        <v>55</v>
      </c>
    </row>
    <row r="23" customFormat="false" ht="12.8" hidden="false" customHeight="false" outlineLevel="0" collapsed="false">
      <c r="A23" s="0" t="n">
        <f aca="false">A22-1</f>
        <v>1996</v>
      </c>
      <c r="B23" s="37" t="s">
        <v>249</v>
      </c>
      <c r="C23" s="37" t="s">
        <v>249</v>
      </c>
      <c r="D23" s="37" t="s">
        <v>249</v>
      </c>
      <c r="E23" s="37" t="s">
        <v>249</v>
      </c>
      <c r="F23" s="37" t="s">
        <v>251</v>
      </c>
      <c r="G23" s="37" t="s">
        <v>251</v>
      </c>
      <c r="H23" s="37" t="s">
        <v>251</v>
      </c>
      <c r="I23" s="37" t="s">
        <v>251</v>
      </c>
      <c r="J23" s="0" t="s">
        <v>55</v>
      </c>
      <c r="K23" s="37" t="s">
        <v>251</v>
      </c>
      <c r="L23" s="37" t="s">
        <v>249</v>
      </c>
      <c r="M23" s="37" t="s">
        <v>251</v>
      </c>
      <c r="N23" s="37" t="s">
        <v>249</v>
      </c>
      <c r="O23" s="37" t="s">
        <v>249</v>
      </c>
      <c r="P23" s="37" t="s">
        <v>249</v>
      </c>
      <c r="Q23" s="37" t="s">
        <v>251</v>
      </c>
      <c r="R23" s="37" t="s">
        <v>251</v>
      </c>
      <c r="S23" s="37" t="s">
        <v>251</v>
      </c>
      <c r="T23" s="0" t="s">
        <v>55</v>
      </c>
      <c r="U23" s="37" t="s">
        <v>251</v>
      </c>
      <c r="V23" s="37" t="s">
        <v>251</v>
      </c>
      <c r="W23" s="37" t="s">
        <v>251</v>
      </c>
      <c r="X23" s="37" t="s">
        <v>251</v>
      </c>
      <c r="Y23" s="37" t="s">
        <v>251</v>
      </c>
      <c r="Z23" s="37" t="s">
        <v>251</v>
      </c>
      <c r="AA23" s="37" t="s">
        <v>251</v>
      </c>
      <c r="AB23" s="37" t="s">
        <v>251</v>
      </c>
      <c r="AC23" s="37" t="s">
        <v>251</v>
      </c>
      <c r="AD23" s="37" t="s">
        <v>251</v>
      </c>
      <c r="AE23" s="37" t="s">
        <v>249</v>
      </c>
      <c r="AF23" s="37" t="s">
        <v>249</v>
      </c>
      <c r="AG23" s="37" t="s">
        <v>249</v>
      </c>
      <c r="AH23" s="37" t="s">
        <v>249</v>
      </c>
      <c r="AI23" s="37" t="s">
        <v>249</v>
      </c>
      <c r="AJ23" s="37" t="s">
        <v>249</v>
      </c>
      <c r="AK23" s="37" t="s">
        <v>249</v>
      </c>
      <c r="AL23" s="37" t="s">
        <v>249</v>
      </c>
      <c r="AM23" s="37" t="s">
        <v>249</v>
      </c>
      <c r="AN23" s="37" t="s">
        <v>251</v>
      </c>
      <c r="AO23" s="37" t="s">
        <v>251</v>
      </c>
      <c r="AP23" s="37" t="s">
        <v>251</v>
      </c>
      <c r="AQ23" s="37" t="s">
        <v>251</v>
      </c>
      <c r="AR23" s="37" t="s">
        <v>251</v>
      </c>
      <c r="AS23" s="37" t="s">
        <v>251</v>
      </c>
      <c r="AT23" s="0" t="s">
        <v>55</v>
      </c>
      <c r="AU23" s="37" t="s">
        <v>251</v>
      </c>
      <c r="AV23" s="37" t="s">
        <v>251</v>
      </c>
      <c r="AW23" s="37" t="s">
        <v>251</v>
      </c>
      <c r="AX23" s="37" t="s">
        <v>249</v>
      </c>
      <c r="AY23" s="37" t="s">
        <v>249</v>
      </c>
      <c r="AZ23" s="37" t="s">
        <v>249</v>
      </c>
      <c r="BA23" s="37" t="s">
        <v>251</v>
      </c>
      <c r="BB23" s="37" t="s">
        <v>251</v>
      </c>
      <c r="BC23" s="37" t="s">
        <v>249</v>
      </c>
      <c r="BD23" s="37" t="s">
        <v>249</v>
      </c>
      <c r="BE23" s="37" t="s">
        <v>251</v>
      </c>
      <c r="BF23" s="0" t="s">
        <v>55</v>
      </c>
      <c r="BG23" s="37" t="s">
        <v>249</v>
      </c>
      <c r="BH23" s="37" t="s">
        <v>249</v>
      </c>
      <c r="BI23" s="37" t="s">
        <v>249</v>
      </c>
      <c r="BJ23" s="37" t="s">
        <v>249</v>
      </c>
      <c r="BK23" s="0" t="s">
        <v>55</v>
      </c>
    </row>
    <row r="24" customFormat="false" ht="12.8" hidden="false" customHeight="false" outlineLevel="0" collapsed="false">
      <c r="A24" s="0" t="n">
        <f aca="false">A23-1</f>
        <v>1995</v>
      </c>
      <c r="B24" s="37" t="s">
        <v>252</v>
      </c>
      <c r="C24" s="37" t="s">
        <v>252</v>
      </c>
      <c r="D24" s="37" t="s">
        <v>252</v>
      </c>
      <c r="E24" s="37" t="s">
        <v>252</v>
      </c>
      <c r="F24" s="37" t="s">
        <v>251</v>
      </c>
      <c r="G24" s="37" t="s">
        <v>251</v>
      </c>
      <c r="H24" s="37" t="s">
        <v>251</v>
      </c>
      <c r="I24" s="37" t="s">
        <v>251</v>
      </c>
      <c r="J24" s="0" t="s">
        <v>55</v>
      </c>
      <c r="K24" s="37" t="s">
        <v>251</v>
      </c>
      <c r="L24" s="37" t="s">
        <v>252</v>
      </c>
      <c r="M24" s="37" t="s">
        <v>251</v>
      </c>
      <c r="N24" s="37" t="s">
        <v>252</v>
      </c>
      <c r="O24" s="37" t="s">
        <v>252</v>
      </c>
      <c r="P24" s="37" t="s">
        <v>252</v>
      </c>
      <c r="Q24" s="37" t="s">
        <v>251</v>
      </c>
      <c r="R24" s="37" t="s">
        <v>251</v>
      </c>
      <c r="S24" s="37" t="s">
        <v>251</v>
      </c>
      <c r="T24" s="0" t="s">
        <v>55</v>
      </c>
      <c r="U24" s="37" t="s">
        <v>251</v>
      </c>
      <c r="V24" s="37" t="s">
        <v>251</v>
      </c>
      <c r="W24" s="37" t="s">
        <v>251</v>
      </c>
      <c r="X24" s="37" t="s">
        <v>251</v>
      </c>
      <c r="Y24" s="37" t="s">
        <v>251</v>
      </c>
      <c r="Z24" s="37" t="s">
        <v>251</v>
      </c>
      <c r="AA24" s="37" t="s">
        <v>251</v>
      </c>
      <c r="AB24" s="37" t="s">
        <v>251</v>
      </c>
      <c r="AC24" s="37" t="s">
        <v>251</v>
      </c>
      <c r="AD24" s="37" t="s">
        <v>251</v>
      </c>
      <c r="AE24" s="37" t="s">
        <v>252</v>
      </c>
      <c r="AF24" s="37" t="s">
        <v>252</v>
      </c>
      <c r="AG24" s="37" t="s">
        <v>252</v>
      </c>
      <c r="AH24" s="37" t="s">
        <v>252</v>
      </c>
      <c r="AI24" s="37" t="s">
        <v>252</v>
      </c>
      <c r="AJ24" s="37" t="s">
        <v>252</v>
      </c>
      <c r="AK24" s="37" t="s">
        <v>252</v>
      </c>
      <c r="AL24" s="37" t="s">
        <v>252</v>
      </c>
      <c r="AM24" s="37" t="s">
        <v>252</v>
      </c>
      <c r="AN24" s="37" t="s">
        <v>251</v>
      </c>
      <c r="AO24" s="37" t="s">
        <v>251</v>
      </c>
      <c r="AP24" s="37" t="s">
        <v>251</v>
      </c>
      <c r="AQ24" s="37" t="s">
        <v>251</v>
      </c>
      <c r="AR24" s="37" t="s">
        <v>251</v>
      </c>
      <c r="AS24" s="37" t="s">
        <v>251</v>
      </c>
      <c r="AT24" s="0" t="s">
        <v>55</v>
      </c>
      <c r="AU24" s="37" t="s">
        <v>251</v>
      </c>
      <c r="AV24" s="37" t="s">
        <v>251</v>
      </c>
      <c r="AW24" s="37" t="s">
        <v>251</v>
      </c>
      <c r="AX24" s="37" t="s">
        <v>252</v>
      </c>
      <c r="AY24" s="37" t="s">
        <v>252</v>
      </c>
      <c r="AZ24" s="37" t="s">
        <v>252</v>
      </c>
      <c r="BA24" s="37" t="s">
        <v>251</v>
      </c>
      <c r="BB24" s="37" t="s">
        <v>251</v>
      </c>
      <c r="BC24" s="37" t="s">
        <v>252</v>
      </c>
      <c r="BD24" s="37" t="s">
        <v>252</v>
      </c>
      <c r="BE24" s="37" t="s">
        <v>251</v>
      </c>
      <c r="BF24" s="0" t="s">
        <v>55</v>
      </c>
      <c r="BG24" s="37" t="s">
        <v>252</v>
      </c>
      <c r="BH24" s="37" t="s">
        <v>252</v>
      </c>
      <c r="BI24" s="37" t="s">
        <v>252</v>
      </c>
      <c r="BJ24" s="37" t="s">
        <v>252</v>
      </c>
      <c r="BK24" s="0" t="s">
        <v>55</v>
      </c>
    </row>
    <row r="25" customFormat="false" ht="12.8" hidden="false" customHeight="false" outlineLevel="0" collapsed="false">
      <c r="A25" s="0" t="n">
        <f aca="false">A24-1</f>
        <v>1994</v>
      </c>
      <c r="B25" s="37" t="s">
        <v>252</v>
      </c>
      <c r="C25" s="37" t="s">
        <v>252</v>
      </c>
      <c r="D25" s="37" t="s">
        <v>252</v>
      </c>
      <c r="E25" s="37" t="s">
        <v>252</v>
      </c>
      <c r="F25" s="37" t="s">
        <v>251</v>
      </c>
      <c r="G25" s="37" t="s">
        <v>251</v>
      </c>
      <c r="H25" s="37" t="s">
        <v>251</v>
      </c>
      <c r="I25" s="37" t="s">
        <v>251</v>
      </c>
      <c r="J25" s="0" t="s">
        <v>55</v>
      </c>
      <c r="K25" s="37" t="s">
        <v>251</v>
      </c>
      <c r="L25" s="37" t="s">
        <v>252</v>
      </c>
      <c r="M25" s="37" t="s">
        <v>251</v>
      </c>
      <c r="N25" s="37" t="s">
        <v>252</v>
      </c>
      <c r="O25" s="37" t="s">
        <v>252</v>
      </c>
      <c r="P25" s="37" t="s">
        <v>252</v>
      </c>
      <c r="Q25" s="37" t="s">
        <v>251</v>
      </c>
      <c r="R25" s="37" t="s">
        <v>251</v>
      </c>
      <c r="S25" s="37" t="s">
        <v>251</v>
      </c>
      <c r="T25" s="0" t="s">
        <v>55</v>
      </c>
      <c r="U25" s="37" t="s">
        <v>251</v>
      </c>
      <c r="V25" s="37" t="s">
        <v>251</v>
      </c>
      <c r="W25" s="37" t="s">
        <v>251</v>
      </c>
      <c r="X25" s="37" t="s">
        <v>251</v>
      </c>
      <c r="Y25" s="37" t="s">
        <v>251</v>
      </c>
      <c r="Z25" s="37" t="s">
        <v>251</v>
      </c>
      <c r="AA25" s="37" t="s">
        <v>251</v>
      </c>
      <c r="AB25" s="37" t="s">
        <v>251</v>
      </c>
      <c r="AC25" s="37" t="s">
        <v>251</v>
      </c>
      <c r="AD25" s="37" t="s">
        <v>251</v>
      </c>
      <c r="AE25" s="37" t="s">
        <v>252</v>
      </c>
      <c r="AF25" s="37" t="s">
        <v>252</v>
      </c>
      <c r="AG25" s="37" t="s">
        <v>252</v>
      </c>
      <c r="AH25" s="37" t="s">
        <v>252</v>
      </c>
      <c r="AI25" s="37" t="s">
        <v>252</v>
      </c>
      <c r="AJ25" s="37" t="s">
        <v>252</v>
      </c>
      <c r="AK25" s="37" t="s">
        <v>252</v>
      </c>
      <c r="AL25" s="37" t="s">
        <v>252</v>
      </c>
      <c r="AM25" s="37" t="s">
        <v>252</v>
      </c>
      <c r="AN25" s="37" t="s">
        <v>251</v>
      </c>
      <c r="AO25" s="37" t="s">
        <v>251</v>
      </c>
      <c r="AP25" s="37" t="s">
        <v>251</v>
      </c>
      <c r="AQ25" s="37" t="s">
        <v>251</v>
      </c>
      <c r="AR25" s="37" t="s">
        <v>251</v>
      </c>
      <c r="AS25" s="37" t="s">
        <v>251</v>
      </c>
      <c r="AT25" s="0" t="s">
        <v>55</v>
      </c>
      <c r="AU25" s="37" t="s">
        <v>251</v>
      </c>
      <c r="AV25" s="37" t="s">
        <v>251</v>
      </c>
      <c r="AW25" s="37" t="s">
        <v>251</v>
      </c>
      <c r="AX25" s="37" t="s">
        <v>252</v>
      </c>
      <c r="AY25" s="37" t="s">
        <v>252</v>
      </c>
      <c r="AZ25" s="37" t="s">
        <v>252</v>
      </c>
      <c r="BA25" s="37" t="s">
        <v>251</v>
      </c>
      <c r="BB25" s="37" t="s">
        <v>251</v>
      </c>
      <c r="BC25" s="37" t="s">
        <v>252</v>
      </c>
      <c r="BD25" s="37" t="s">
        <v>252</v>
      </c>
      <c r="BE25" s="37" t="s">
        <v>251</v>
      </c>
      <c r="BF25" s="0" t="s">
        <v>55</v>
      </c>
      <c r="BG25" s="37" t="s">
        <v>252</v>
      </c>
      <c r="BH25" s="37" t="s">
        <v>252</v>
      </c>
      <c r="BI25" s="37" t="s">
        <v>252</v>
      </c>
      <c r="BJ25" s="37" t="s">
        <v>252</v>
      </c>
      <c r="BK25" s="0" t="s">
        <v>55</v>
      </c>
    </row>
    <row r="26" customFormat="false" ht="12.8" hidden="false" customHeight="false" outlineLevel="0" collapsed="false">
      <c r="A26" s="0" t="n">
        <f aca="false">A25-1</f>
        <v>1993</v>
      </c>
      <c r="B26" s="37" t="s">
        <v>252</v>
      </c>
      <c r="C26" s="37" t="s">
        <v>252</v>
      </c>
      <c r="D26" s="37" t="s">
        <v>252</v>
      </c>
      <c r="E26" s="37" t="s">
        <v>252</v>
      </c>
      <c r="F26" s="37" t="s">
        <v>251</v>
      </c>
      <c r="G26" s="37" t="s">
        <v>251</v>
      </c>
      <c r="H26" s="37" t="s">
        <v>251</v>
      </c>
      <c r="I26" s="37" t="s">
        <v>251</v>
      </c>
      <c r="J26" s="0" t="s">
        <v>55</v>
      </c>
      <c r="K26" s="37" t="s">
        <v>251</v>
      </c>
      <c r="L26" s="37" t="s">
        <v>252</v>
      </c>
      <c r="M26" s="37" t="s">
        <v>251</v>
      </c>
      <c r="N26" s="37" t="s">
        <v>252</v>
      </c>
      <c r="O26" s="37" t="s">
        <v>252</v>
      </c>
      <c r="P26" s="37" t="s">
        <v>252</v>
      </c>
      <c r="Q26" s="37" t="s">
        <v>251</v>
      </c>
      <c r="R26" s="37" t="s">
        <v>251</v>
      </c>
      <c r="S26" s="37" t="s">
        <v>251</v>
      </c>
      <c r="T26" s="0" t="s">
        <v>55</v>
      </c>
      <c r="U26" s="37" t="s">
        <v>251</v>
      </c>
      <c r="V26" s="37" t="s">
        <v>251</v>
      </c>
      <c r="W26" s="37" t="s">
        <v>251</v>
      </c>
      <c r="X26" s="37" t="s">
        <v>251</v>
      </c>
      <c r="Y26" s="37" t="s">
        <v>251</v>
      </c>
      <c r="Z26" s="37" t="s">
        <v>251</v>
      </c>
      <c r="AA26" s="37" t="s">
        <v>251</v>
      </c>
      <c r="AB26" s="37" t="s">
        <v>251</v>
      </c>
      <c r="AC26" s="37" t="s">
        <v>251</v>
      </c>
      <c r="AD26" s="37" t="s">
        <v>251</v>
      </c>
      <c r="AE26" s="37" t="s">
        <v>252</v>
      </c>
      <c r="AF26" s="37" t="s">
        <v>252</v>
      </c>
      <c r="AG26" s="37" t="s">
        <v>252</v>
      </c>
      <c r="AH26" s="37" t="s">
        <v>252</v>
      </c>
      <c r="AI26" s="37" t="s">
        <v>252</v>
      </c>
      <c r="AJ26" s="37" t="s">
        <v>252</v>
      </c>
      <c r="AK26" s="37" t="s">
        <v>252</v>
      </c>
      <c r="AL26" s="37" t="s">
        <v>252</v>
      </c>
      <c r="AM26" s="37" t="s">
        <v>252</v>
      </c>
      <c r="AN26" s="37" t="s">
        <v>251</v>
      </c>
      <c r="AO26" s="37" t="s">
        <v>251</v>
      </c>
      <c r="AP26" s="37" t="s">
        <v>251</v>
      </c>
      <c r="AQ26" s="37" t="s">
        <v>251</v>
      </c>
      <c r="AR26" s="37" t="s">
        <v>251</v>
      </c>
      <c r="AS26" s="37" t="s">
        <v>251</v>
      </c>
      <c r="AT26" s="0" t="s">
        <v>55</v>
      </c>
      <c r="AU26" s="37" t="s">
        <v>251</v>
      </c>
      <c r="AV26" s="37" t="s">
        <v>251</v>
      </c>
      <c r="AW26" s="37" t="s">
        <v>251</v>
      </c>
      <c r="AX26" s="37" t="s">
        <v>252</v>
      </c>
      <c r="AY26" s="37" t="s">
        <v>252</v>
      </c>
      <c r="AZ26" s="37" t="s">
        <v>252</v>
      </c>
      <c r="BA26" s="37" t="s">
        <v>251</v>
      </c>
      <c r="BB26" s="37" t="s">
        <v>251</v>
      </c>
      <c r="BC26" s="37" t="s">
        <v>252</v>
      </c>
      <c r="BD26" s="37" t="s">
        <v>252</v>
      </c>
      <c r="BE26" s="37" t="s">
        <v>251</v>
      </c>
      <c r="BF26" s="0" t="s">
        <v>55</v>
      </c>
      <c r="BG26" s="37" t="s">
        <v>252</v>
      </c>
      <c r="BH26" s="37" t="s">
        <v>252</v>
      </c>
      <c r="BI26" s="37" t="s">
        <v>252</v>
      </c>
      <c r="BJ26" s="37" t="s">
        <v>252</v>
      </c>
      <c r="BK26" s="0" t="s">
        <v>55</v>
      </c>
    </row>
    <row r="27" customFormat="false" ht="12.8" hidden="false" customHeight="false" outlineLevel="0" collapsed="false">
      <c r="A27" s="0" t="n">
        <f aca="false">A26-1</f>
        <v>1992</v>
      </c>
      <c r="B27" s="37" t="s">
        <v>252</v>
      </c>
      <c r="C27" s="37" t="s">
        <v>252</v>
      </c>
      <c r="D27" s="37" t="s">
        <v>252</v>
      </c>
      <c r="E27" s="37" t="s">
        <v>252</v>
      </c>
      <c r="F27" s="37" t="s">
        <v>251</v>
      </c>
      <c r="G27" s="37" t="s">
        <v>251</v>
      </c>
      <c r="H27" s="37" t="s">
        <v>251</v>
      </c>
      <c r="I27" s="37" t="s">
        <v>251</v>
      </c>
      <c r="J27" s="0" t="s">
        <v>55</v>
      </c>
      <c r="K27" s="37" t="s">
        <v>251</v>
      </c>
      <c r="L27" s="37" t="s">
        <v>252</v>
      </c>
      <c r="M27" s="37" t="s">
        <v>251</v>
      </c>
      <c r="N27" s="37" t="s">
        <v>252</v>
      </c>
      <c r="O27" s="37" t="s">
        <v>252</v>
      </c>
      <c r="P27" s="37" t="s">
        <v>252</v>
      </c>
      <c r="Q27" s="37" t="s">
        <v>251</v>
      </c>
      <c r="R27" s="37" t="s">
        <v>251</v>
      </c>
      <c r="S27" s="37" t="s">
        <v>251</v>
      </c>
      <c r="T27" s="0" t="s">
        <v>55</v>
      </c>
      <c r="U27" s="37" t="s">
        <v>251</v>
      </c>
      <c r="V27" s="37" t="s">
        <v>251</v>
      </c>
      <c r="W27" s="37" t="s">
        <v>251</v>
      </c>
      <c r="X27" s="37" t="s">
        <v>251</v>
      </c>
      <c r="Y27" s="37" t="s">
        <v>251</v>
      </c>
      <c r="Z27" s="37" t="s">
        <v>251</v>
      </c>
      <c r="AA27" s="37" t="s">
        <v>251</v>
      </c>
      <c r="AB27" s="37" t="s">
        <v>251</v>
      </c>
      <c r="AC27" s="37" t="s">
        <v>251</v>
      </c>
      <c r="AD27" s="37" t="s">
        <v>251</v>
      </c>
      <c r="AE27" s="37" t="s">
        <v>252</v>
      </c>
      <c r="AF27" s="37" t="s">
        <v>252</v>
      </c>
      <c r="AG27" s="37" t="s">
        <v>252</v>
      </c>
      <c r="AH27" s="37" t="s">
        <v>252</v>
      </c>
      <c r="AI27" s="37" t="s">
        <v>252</v>
      </c>
      <c r="AJ27" s="37" t="s">
        <v>252</v>
      </c>
      <c r="AK27" s="37" t="s">
        <v>252</v>
      </c>
      <c r="AL27" s="37" t="s">
        <v>252</v>
      </c>
      <c r="AM27" s="37" t="s">
        <v>252</v>
      </c>
      <c r="AN27" s="37" t="s">
        <v>251</v>
      </c>
      <c r="AO27" s="37" t="s">
        <v>251</v>
      </c>
      <c r="AP27" s="37" t="s">
        <v>251</v>
      </c>
      <c r="AQ27" s="37" t="s">
        <v>251</v>
      </c>
      <c r="AR27" s="37" t="s">
        <v>251</v>
      </c>
      <c r="AS27" s="37" t="s">
        <v>251</v>
      </c>
      <c r="AT27" s="0" t="s">
        <v>55</v>
      </c>
      <c r="AU27" s="37" t="s">
        <v>251</v>
      </c>
      <c r="AV27" s="37" t="s">
        <v>251</v>
      </c>
      <c r="AW27" s="37" t="s">
        <v>251</v>
      </c>
      <c r="AX27" s="37" t="s">
        <v>252</v>
      </c>
      <c r="AY27" s="37" t="s">
        <v>252</v>
      </c>
      <c r="AZ27" s="37" t="s">
        <v>252</v>
      </c>
      <c r="BA27" s="37" t="s">
        <v>251</v>
      </c>
      <c r="BB27" s="37" t="s">
        <v>251</v>
      </c>
      <c r="BC27" s="37" t="s">
        <v>252</v>
      </c>
      <c r="BD27" s="37" t="s">
        <v>252</v>
      </c>
      <c r="BE27" s="37" t="s">
        <v>251</v>
      </c>
      <c r="BF27" s="0" t="s">
        <v>55</v>
      </c>
      <c r="BG27" s="37" t="s">
        <v>252</v>
      </c>
      <c r="BH27" s="37" t="s">
        <v>252</v>
      </c>
      <c r="BI27" s="37" t="s">
        <v>252</v>
      </c>
      <c r="BJ27" s="37" t="s">
        <v>252</v>
      </c>
      <c r="BK27" s="0" t="s">
        <v>55</v>
      </c>
    </row>
    <row r="28" customFormat="false" ht="12.8" hidden="false" customHeight="false" outlineLevel="0" collapsed="false">
      <c r="A28" s="0" t="n">
        <f aca="false">A27-1</f>
        <v>1991</v>
      </c>
      <c r="B28" s="37" t="s">
        <v>252</v>
      </c>
      <c r="C28" s="37" t="s">
        <v>252</v>
      </c>
      <c r="D28" s="37" t="s">
        <v>252</v>
      </c>
      <c r="E28" s="37" t="s">
        <v>252</v>
      </c>
      <c r="F28" s="37" t="s">
        <v>251</v>
      </c>
      <c r="G28" s="37" t="s">
        <v>251</v>
      </c>
      <c r="H28" s="37" t="s">
        <v>251</v>
      </c>
      <c r="I28" s="37" t="s">
        <v>251</v>
      </c>
      <c r="J28" s="0" t="s">
        <v>55</v>
      </c>
      <c r="K28" s="37" t="s">
        <v>251</v>
      </c>
      <c r="L28" s="37" t="s">
        <v>252</v>
      </c>
      <c r="M28" s="37" t="s">
        <v>251</v>
      </c>
      <c r="N28" s="37" t="s">
        <v>252</v>
      </c>
      <c r="O28" s="37" t="s">
        <v>252</v>
      </c>
      <c r="P28" s="37" t="s">
        <v>252</v>
      </c>
      <c r="Q28" s="37" t="s">
        <v>251</v>
      </c>
      <c r="R28" s="37" t="s">
        <v>251</v>
      </c>
      <c r="S28" s="37" t="s">
        <v>251</v>
      </c>
      <c r="T28" s="0" t="s">
        <v>55</v>
      </c>
      <c r="U28" s="37" t="s">
        <v>251</v>
      </c>
      <c r="V28" s="37" t="s">
        <v>251</v>
      </c>
      <c r="W28" s="37" t="s">
        <v>251</v>
      </c>
      <c r="X28" s="37" t="s">
        <v>251</v>
      </c>
      <c r="Y28" s="37" t="s">
        <v>251</v>
      </c>
      <c r="Z28" s="37" t="s">
        <v>251</v>
      </c>
      <c r="AA28" s="37" t="s">
        <v>251</v>
      </c>
      <c r="AB28" s="37" t="s">
        <v>251</v>
      </c>
      <c r="AC28" s="37" t="s">
        <v>251</v>
      </c>
      <c r="AD28" s="37" t="s">
        <v>251</v>
      </c>
      <c r="AE28" s="37" t="s">
        <v>252</v>
      </c>
      <c r="AF28" s="37" t="s">
        <v>252</v>
      </c>
      <c r="AG28" s="37" t="s">
        <v>252</v>
      </c>
      <c r="AH28" s="37" t="s">
        <v>252</v>
      </c>
      <c r="AI28" s="37" t="s">
        <v>252</v>
      </c>
      <c r="AJ28" s="37" t="s">
        <v>252</v>
      </c>
      <c r="AK28" s="37" t="s">
        <v>252</v>
      </c>
      <c r="AL28" s="37" t="s">
        <v>252</v>
      </c>
      <c r="AM28" s="37" t="s">
        <v>252</v>
      </c>
      <c r="AN28" s="37" t="s">
        <v>251</v>
      </c>
      <c r="AO28" s="37" t="s">
        <v>251</v>
      </c>
      <c r="AP28" s="37" t="s">
        <v>251</v>
      </c>
      <c r="AQ28" s="37" t="s">
        <v>251</v>
      </c>
      <c r="AR28" s="37" t="s">
        <v>251</v>
      </c>
      <c r="AS28" s="37" t="s">
        <v>251</v>
      </c>
      <c r="AT28" s="0" t="s">
        <v>55</v>
      </c>
      <c r="AU28" s="37" t="s">
        <v>251</v>
      </c>
      <c r="AV28" s="37" t="s">
        <v>251</v>
      </c>
      <c r="AW28" s="37" t="s">
        <v>251</v>
      </c>
      <c r="AX28" s="37" t="s">
        <v>252</v>
      </c>
      <c r="AY28" s="37" t="s">
        <v>252</v>
      </c>
      <c r="AZ28" s="37" t="s">
        <v>252</v>
      </c>
      <c r="BA28" s="37" t="s">
        <v>251</v>
      </c>
      <c r="BB28" s="37" t="s">
        <v>251</v>
      </c>
      <c r="BC28" s="37" t="s">
        <v>252</v>
      </c>
      <c r="BD28" s="37" t="s">
        <v>252</v>
      </c>
      <c r="BE28" s="37" t="s">
        <v>251</v>
      </c>
      <c r="BF28" s="0" t="s">
        <v>55</v>
      </c>
      <c r="BG28" s="37" t="s">
        <v>252</v>
      </c>
      <c r="BH28" s="37" t="s">
        <v>252</v>
      </c>
      <c r="BI28" s="37" t="s">
        <v>252</v>
      </c>
      <c r="BJ28" s="37" t="s">
        <v>252</v>
      </c>
      <c r="BK28" s="0" t="s">
        <v>55</v>
      </c>
    </row>
    <row r="29" customFormat="false" ht="12.8" hidden="false" customHeight="false" outlineLevel="0" collapsed="false">
      <c r="A29" s="0" t="n">
        <f aca="false">A28-1</f>
        <v>1990</v>
      </c>
      <c r="B29" s="37" t="s">
        <v>252</v>
      </c>
      <c r="C29" s="37" t="s">
        <v>252</v>
      </c>
      <c r="D29" s="37" t="s">
        <v>252</v>
      </c>
      <c r="E29" s="37" t="s">
        <v>252</v>
      </c>
      <c r="F29" s="37" t="s">
        <v>251</v>
      </c>
      <c r="G29" s="37" t="s">
        <v>251</v>
      </c>
      <c r="H29" s="37" t="s">
        <v>251</v>
      </c>
      <c r="I29" s="37" t="s">
        <v>251</v>
      </c>
      <c r="J29" s="0" t="s">
        <v>55</v>
      </c>
      <c r="K29" s="37" t="s">
        <v>251</v>
      </c>
      <c r="L29" s="37" t="s">
        <v>252</v>
      </c>
      <c r="M29" s="37" t="s">
        <v>251</v>
      </c>
      <c r="N29" s="37" t="s">
        <v>252</v>
      </c>
      <c r="O29" s="37" t="s">
        <v>252</v>
      </c>
      <c r="P29" s="37" t="s">
        <v>252</v>
      </c>
      <c r="Q29" s="37" t="s">
        <v>251</v>
      </c>
      <c r="R29" s="37" t="s">
        <v>251</v>
      </c>
      <c r="S29" s="37" t="s">
        <v>251</v>
      </c>
      <c r="T29" s="0" t="s">
        <v>55</v>
      </c>
      <c r="U29" s="37" t="s">
        <v>251</v>
      </c>
      <c r="V29" s="37" t="s">
        <v>251</v>
      </c>
      <c r="W29" s="37" t="s">
        <v>251</v>
      </c>
      <c r="X29" s="37" t="s">
        <v>251</v>
      </c>
      <c r="Y29" s="37" t="s">
        <v>251</v>
      </c>
      <c r="Z29" s="37" t="s">
        <v>251</v>
      </c>
      <c r="AA29" s="37" t="s">
        <v>251</v>
      </c>
      <c r="AB29" s="37" t="s">
        <v>251</v>
      </c>
      <c r="AC29" s="37" t="s">
        <v>251</v>
      </c>
      <c r="AD29" s="37" t="s">
        <v>251</v>
      </c>
      <c r="AE29" s="37" t="s">
        <v>252</v>
      </c>
      <c r="AF29" s="37" t="s">
        <v>252</v>
      </c>
      <c r="AG29" s="37" t="s">
        <v>252</v>
      </c>
      <c r="AH29" s="37" t="s">
        <v>252</v>
      </c>
      <c r="AI29" s="37" t="s">
        <v>252</v>
      </c>
      <c r="AJ29" s="37" t="s">
        <v>252</v>
      </c>
      <c r="AK29" s="37" t="s">
        <v>252</v>
      </c>
      <c r="AL29" s="37" t="s">
        <v>252</v>
      </c>
      <c r="AM29" s="37" t="s">
        <v>252</v>
      </c>
      <c r="AN29" s="37" t="s">
        <v>251</v>
      </c>
      <c r="AO29" s="37" t="s">
        <v>251</v>
      </c>
      <c r="AP29" s="37" t="s">
        <v>251</v>
      </c>
      <c r="AQ29" s="37" t="s">
        <v>251</v>
      </c>
      <c r="AR29" s="37" t="s">
        <v>251</v>
      </c>
      <c r="AS29" s="37" t="s">
        <v>251</v>
      </c>
      <c r="AT29" s="0" t="s">
        <v>55</v>
      </c>
      <c r="AU29" s="37" t="s">
        <v>251</v>
      </c>
      <c r="AV29" s="37" t="s">
        <v>251</v>
      </c>
      <c r="AW29" s="37" t="s">
        <v>251</v>
      </c>
      <c r="AX29" s="37" t="s">
        <v>252</v>
      </c>
      <c r="AY29" s="37" t="s">
        <v>252</v>
      </c>
      <c r="AZ29" s="37" t="s">
        <v>252</v>
      </c>
      <c r="BA29" s="37" t="s">
        <v>251</v>
      </c>
      <c r="BB29" s="37" t="s">
        <v>251</v>
      </c>
      <c r="BC29" s="37" t="s">
        <v>252</v>
      </c>
      <c r="BD29" s="37" t="s">
        <v>252</v>
      </c>
      <c r="BE29" s="37" t="s">
        <v>251</v>
      </c>
      <c r="BF29" s="0" t="s">
        <v>55</v>
      </c>
      <c r="BG29" s="37" t="s">
        <v>252</v>
      </c>
      <c r="BH29" s="37" t="s">
        <v>252</v>
      </c>
      <c r="BI29" s="37" t="s">
        <v>252</v>
      </c>
      <c r="BJ29" s="37" t="s">
        <v>252</v>
      </c>
      <c r="BK29" s="0" t="s">
        <v>55</v>
      </c>
    </row>
    <row r="30" customFormat="false" ht="12.8" hidden="false" customHeight="false" outlineLevel="0" collapsed="false">
      <c r="A30" s="0" t="n">
        <f aca="false">A29-1</f>
        <v>1989</v>
      </c>
      <c r="B30" s="37" t="s">
        <v>252</v>
      </c>
      <c r="C30" s="37" t="s">
        <v>252</v>
      </c>
      <c r="D30" s="37" t="s">
        <v>252</v>
      </c>
      <c r="E30" s="37" t="s">
        <v>252</v>
      </c>
      <c r="F30" s="37" t="s">
        <v>251</v>
      </c>
      <c r="G30" s="37" t="s">
        <v>251</v>
      </c>
      <c r="H30" s="37" t="s">
        <v>251</v>
      </c>
      <c r="I30" s="37" t="s">
        <v>251</v>
      </c>
      <c r="J30" s="0" t="s">
        <v>55</v>
      </c>
      <c r="K30" s="37" t="s">
        <v>251</v>
      </c>
      <c r="L30" s="37" t="s">
        <v>252</v>
      </c>
      <c r="M30" s="37" t="s">
        <v>251</v>
      </c>
      <c r="N30" s="37" t="s">
        <v>252</v>
      </c>
      <c r="O30" s="37" t="s">
        <v>252</v>
      </c>
      <c r="P30" s="37" t="s">
        <v>252</v>
      </c>
      <c r="Q30" s="37" t="s">
        <v>251</v>
      </c>
      <c r="R30" s="37" t="s">
        <v>251</v>
      </c>
      <c r="S30" s="37" t="s">
        <v>251</v>
      </c>
      <c r="T30" s="0" t="s">
        <v>55</v>
      </c>
      <c r="U30" s="37" t="s">
        <v>251</v>
      </c>
      <c r="V30" s="37" t="s">
        <v>251</v>
      </c>
      <c r="W30" s="37" t="s">
        <v>251</v>
      </c>
      <c r="X30" s="37" t="s">
        <v>251</v>
      </c>
      <c r="Y30" s="37" t="s">
        <v>251</v>
      </c>
      <c r="Z30" s="37" t="s">
        <v>251</v>
      </c>
      <c r="AA30" s="37" t="s">
        <v>251</v>
      </c>
      <c r="AB30" s="37" t="s">
        <v>251</v>
      </c>
      <c r="AC30" s="37" t="s">
        <v>251</v>
      </c>
      <c r="AD30" s="37" t="s">
        <v>251</v>
      </c>
      <c r="AE30" s="37" t="s">
        <v>252</v>
      </c>
      <c r="AF30" s="37" t="s">
        <v>252</v>
      </c>
      <c r="AG30" s="37" t="s">
        <v>252</v>
      </c>
      <c r="AH30" s="37" t="s">
        <v>252</v>
      </c>
      <c r="AI30" s="37" t="s">
        <v>252</v>
      </c>
      <c r="AJ30" s="37" t="s">
        <v>252</v>
      </c>
      <c r="AK30" s="37" t="s">
        <v>252</v>
      </c>
      <c r="AL30" s="37" t="s">
        <v>252</v>
      </c>
      <c r="AM30" s="37" t="s">
        <v>252</v>
      </c>
      <c r="AN30" s="37" t="s">
        <v>251</v>
      </c>
      <c r="AO30" s="37" t="s">
        <v>251</v>
      </c>
      <c r="AP30" s="37" t="s">
        <v>251</v>
      </c>
      <c r="AQ30" s="37" t="s">
        <v>251</v>
      </c>
      <c r="AR30" s="37" t="s">
        <v>251</v>
      </c>
      <c r="AS30" s="37" t="s">
        <v>251</v>
      </c>
      <c r="AT30" s="0" t="s">
        <v>55</v>
      </c>
      <c r="AU30" s="37" t="s">
        <v>251</v>
      </c>
      <c r="AV30" s="37" t="s">
        <v>251</v>
      </c>
      <c r="AW30" s="37" t="s">
        <v>251</v>
      </c>
      <c r="AX30" s="37" t="s">
        <v>252</v>
      </c>
      <c r="AY30" s="37" t="s">
        <v>252</v>
      </c>
      <c r="AZ30" s="37" t="s">
        <v>252</v>
      </c>
      <c r="BA30" s="37" t="s">
        <v>251</v>
      </c>
      <c r="BB30" s="37" t="s">
        <v>251</v>
      </c>
      <c r="BC30" s="37" t="s">
        <v>252</v>
      </c>
      <c r="BD30" s="37" t="s">
        <v>252</v>
      </c>
      <c r="BE30" s="37" t="s">
        <v>251</v>
      </c>
      <c r="BF30" s="0" t="s">
        <v>55</v>
      </c>
      <c r="BG30" s="37" t="s">
        <v>252</v>
      </c>
      <c r="BH30" s="37" t="s">
        <v>252</v>
      </c>
      <c r="BI30" s="37" t="s">
        <v>252</v>
      </c>
      <c r="BJ30" s="37" t="s">
        <v>252</v>
      </c>
      <c r="BK30" s="0" t="s">
        <v>55</v>
      </c>
    </row>
    <row r="31" customFormat="false" ht="12.8" hidden="false" customHeight="false" outlineLevel="0" collapsed="false">
      <c r="A31" s="0" t="n">
        <f aca="false">A30-1</f>
        <v>1988</v>
      </c>
      <c r="B31" s="37" t="s">
        <v>252</v>
      </c>
      <c r="C31" s="37" t="s">
        <v>252</v>
      </c>
      <c r="D31" s="37" t="s">
        <v>252</v>
      </c>
      <c r="E31" s="37" t="s">
        <v>252</v>
      </c>
      <c r="F31" s="37" t="s">
        <v>251</v>
      </c>
      <c r="G31" s="37" t="s">
        <v>251</v>
      </c>
      <c r="H31" s="37" t="s">
        <v>251</v>
      </c>
      <c r="I31" s="37" t="s">
        <v>251</v>
      </c>
      <c r="J31" s="0" t="s">
        <v>55</v>
      </c>
      <c r="K31" s="37" t="s">
        <v>251</v>
      </c>
      <c r="L31" s="37" t="s">
        <v>252</v>
      </c>
      <c r="M31" s="37" t="s">
        <v>251</v>
      </c>
      <c r="N31" s="37" t="s">
        <v>252</v>
      </c>
      <c r="O31" s="37" t="s">
        <v>252</v>
      </c>
      <c r="P31" s="37" t="s">
        <v>252</v>
      </c>
      <c r="Q31" s="37" t="s">
        <v>251</v>
      </c>
      <c r="R31" s="37" t="s">
        <v>251</v>
      </c>
      <c r="S31" s="37" t="s">
        <v>251</v>
      </c>
      <c r="T31" s="0" t="s">
        <v>55</v>
      </c>
      <c r="U31" s="37" t="s">
        <v>251</v>
      </c>
      <c r="V31" s="37" t="s">
        <v>251</v>
      </c>
      <c r="W31" s="37" t="s">
        <v>251</v>
      </c>
      <c r="X31" s="37" t="s">
        <v>251</v>
      </c>
      <c r="Y31" s="37" t="s">
        <v>251</v>
      </c>
      <c r="Z31" s="37" t="s">
        <v>251</v>
      </c>
      <c r="AA31" s="37" t="s">
        <v>251</v>
      </c>
      <c r="AB31" s="37" t="s">
        <v>251</v>
      </c>
      <c r="AC31" s="37" t="s">
        <v>251</v>
      </c>
      <c r="AD31" s="37" t="s">
        <v>251</v>
      </c>
      <c r="AE31" s="37" t="s">
        <v>252</v>
      </c>
      <c r="AF31" s="37" t="s">
        <v>252</v>
      </c>
      <c r="AG31" s="37" t="s">
        <v>252</v>
      </c>
      <c r="AH31" s="37" t="s">
        <v>252</v>
      </c>
      <c r="AI31" s="37" t="s">
        <v>252</v>
      </c>
      <c r="AJ31" s="37" t="s">
        <v>252</v>
      </c>
      <c r="AK31" s="37" t="s">
        <v>252</v>
      </c>
      <c r="AL31" s="37" t="s">
        <v>252</v>
      </c>
      <c r="AM31" s="37" t="s">
        <v>252</v>
      </c>
      <c r="AN31" s="37" t="s">
        <v>251</v>
      </c>
      <c r="AO31" s="37" t="s">
        <v>251</v>
      </c>
      <c r="AP31" s="37" t="s">
        <v>251</v>
      </c>
      <c r="AQ31" s="37" t="s">
        <v>251</v>
      </c>
      <c r="AR31" s="37" t="s">
        <v>251</v>
      </c>
      <c r="AS31" s="37" t="s">
        <v>251</v>
      </c>
      <c r="AT31" s="0" t="s">
        <v>55</v>
      </c>
      <c r="AU31" s="37" t="s">
        <v>251</v>
      </c>
      <c r="AV31" s="37" t="s">
        <v>251</v>
      </c>
      <c r="AW31" s="37" t="s">
        <v>251</v>
      </c>
      <c r="AX31" s="37" t="s">
        <v>252</v>
      </c>
      <c r="AY31" s="37" t="s">
        <v>252</v>
      </c>
      <c r="AZ31" s="37" t="s">
        <v>252</v>
      </c>
      <c r="BA31" s="37" t="s">
        <v>251</v>
      </c>
      <c r="BB31" s="37" t="s">
        <v>251</v>
      </c>
      <c r="BC31" s="37" t="s">
        <v>252</v>
      </c>
      <c r="BD31" s="37" t="s">
        <v>252</v>
      </c>
      <c r="BE31" s="37" t="s">
        <v>251</v>
      </c>
      <c r="BF31" s="0" t="s">
        <v>55</v>
      </c>
      <c r="BG31" s="37" t="s">
        <v>252</v>
      </c>
      <c r="BH31" s="37" t="s">
        <v>252</v>
      </c>
      <c r="BI31" s="37" t="s">
        <v>252</v>
      </c>
      <c r="BJ31" s="37" t="s">
        <v>252</v>
      </c>
      <c r="BK31" s="0" t="s">
        <v>55</v>
      </c>
    </row>
    <row r="32" customFormat="false" ht="12.8" hidden="false" customHeight="false" outlineLevel="0" collapsed="false">
      <c r="A32" s="0" t="n">
        <f aca="false">A31-1</f>
        <v>1987</v>
      </c>
      <c r="B32" s="37" t="s">
        <v>252</v>
      </c>
      <c r="C32" s="37" t="s">
        <v>252</v>
      </c>
      <c r="D32" s="37" t="s">
        <v>252</v>
      </c>
      <c r="E32" s="37" t="s">
        <v>252</v>
      </c>
      <c r="F32" s="37" t="s">
        <v>251</v>
      </c>
      <c r="G32" s="37" t="s">
        <v>251</v>
      </c>
      <c r="H32" s="37" t="s">
        <v>251</v>
      </c>
      <c r="I32" s="37" t="s">
        <v>251</v>
      </c>
      <c r="J32" s="0" t="s">
        <v>55</v>
      </c>
      <c r="K32" s="37" t="s">
        <v>251</v>
      </c>
      <c r="L32" s="37" t="s">
        <v>252</v>
      </c>
      <c r="M32" s="37" t="s">
        <v>251</v>
      </c>
      <c r="N32" s="37" t="s">
        <v>252</v>
      </c>
      <c r="O32" s="37" t="s">
        <v>252</v>
      </c>
      <c r="P32" s="37" t="s">
        <v>252</v>
      </c>
      <c r="Q32" s="37" t="s">
        <v>251</v>
      </c>
      <c r="R32" s="37" t="s">
        <v>251</v>
      </c>
      <c r="S32" s="37" t="s">
        <v>251</v>
      </c>
      <c r="T32" s="0" t="s">
        <v>55</v>
      </c>
      <c r="U32" s="37" t="s">
        <v>251</v>
      </c>
      <c r="V32" s="37" t="s">
        <v>251</v>
      </c>
      <c r="W32" s="37" t="s">
        <v>251</v>
      </c>
      <c r="X32" s="37" t="s">
        <v>251</v>
      </c>
      <c r="Y32" s="37" t="s">
        <v>251</v>
      </c>
      <c r="Z32" s="37" t="s">
        <v>251</v>
      </c>
      <c r="AA32" s="37" t="s">
        <v>251</v>
      </c>
      <c r="AB32" s="37" t="s">
        <v>251</v>
      </c>
      <c r="AC32" s="37" t="s">
        <v>251</v>
      </c>
      <c r="AD32" s="37" t="s">
        <v>251</v>
      </c>
      <c r="AE32" s="37" t="s">
        <v>252</v>
      </c>
      <c r="AF32" s="37" t="s">
        <v>252</v>
      </c>
      <c r="AG32" s="37" t="s">
        <v>252</v>
      </c>
      <c r="AH32" s="37" t="s">
        <v>252</v>
      </c>
      <c r="AI32" s="37" t="s">
        <v>252</v>
      </c>
      <c r="AJ32" s="37" t="s">
        <v>252</v>
      </c>
      <c r="AK32" s="37" t="s">
        <v>252</v>
      </c>
      <c r="AL32" s="37" t="s">
        <v>252</v>
      </c>
      <c r="AM32" s="37" t="s">
        <v>252</v>
      </c>
      <c r="AN32" s="37" t="s">
        <v>251</v>
      </c>
      <c r="AO32" s="37" t="s">
        <v>251</v>
      </c>
      <c r="AP32" s="37" t="s">
        <v>251</v>
      </c>
      <c r="AQ32" s="37" t="s">
        <v>251</v>
      </c>
      <c r="AR32" s="37" t="s">
        <v>251</v>
      </c>
      <c r="AS32" s="37" t="s">
        <v>251</v>
      </c>
      <c r="AT32" s="0" t="s">
        <v>55</v>
      </c>
      <c r="AU32" s="37" t="s">
        <v>251</v>
      </c>
      <c r="AV32" s="37" t="s">
        <v>251</v>
      </c>
      <c r="AW32" s="37" t="s">
        <v>251</v>
      </c>
      <c r="AX32" s="37" t="s">
        <v>252</v>
      </c>
      <c r="AY32" s="37" t="s">
        <v>252</v>
      </c>
      <c r="AZ32" s="37" t="s">
        <v>252</v>
      </c>
      <c r="BA32" s="37" t="s">
        <v>251</v>
      </c>
      <c r="BB32" s="37" t="s">
        <v>251</v>
      </c>
      <c r="BC32" s="37" t="s">
        <v>252</v>
      </c>
      <c r="BD32" s="37" t="s">
        <v>252</v>
      </c>
      <c r="BE32" s="37" t="s">
        <v>251</v>
      </c>
      <c r="BF32" s="0" t="s">
        <v>55</v>
      </c>
      <c r="BG32" s="37" t="s">
        <v>252</v>
      </c>
      <c r="BH32" s="37" t="s">
        <v>252</v>
      </c>
      <c r="BI32" s="37" t="s">
        <v>252</v>
      </c>
      <c r="BJ32" s="37" t="s">
        <v>252</v>
      </c>
      <c r="BK32" s="0" t="s">
        <v>55</v>
      </c>
    </row>
    <row r="33" customFormat="false" ht="12.8" hidden="false" customHeight="false" outlineLevel="0" collapsed="false">
      <c r="A33" s="0" t="n">
        <f aca="false">A32-1</f>
        <v>1986</v>
      </c>
      <c r="B33" s="37" t="s">
        <v>252</v>
      </c>
      <c r="C33" s="37" t="s">
        <v>252</v>
      </c>
      <c r="D33" s="37" t="s">
        <v>252</v>
      </c>
      <c r="E33" s="37" t="s">
        <v>252</v>
      </c>
      <c r="F33" s="37" t="s">
        <v>251</v>
      </c>
      <c r="G33" s="37" t="s">
        <v>251</v>
      </c>
      <c r="H33" s="37" t="s">
        <v>251</v>
      </c>
      <c r="I33" s="37" t="s">
        <v>251</v>
      </c>
      <c r="J33" s="0" t="s">
        <v>55</v>
      </c>
      <c r="K33" s="37" t="s">
        <v>251</v>
      </c>
      <c r="L33" s="37" t="s">
        <v>252</v>
      </c>
      <c r="M33" s="37" t="s">
        <v>251</v>
      </c>
      <c r="N33" s="37" t="s">
        <v>252</v>
      </c>
      <c r="O33" s="37" t="s">
        <v>252</v>
      </c>
      <c r="P33" s="37" t="s">
        <v>252</v>
      </c>
      <c r="Q33" s="37" t="s">
        <v>251</v>
      </c>
      <c r="R33" s="37" t="s">
        <v>251</v>
      </c>
      <c r="S33" s="37" t="s">
        <v>251</v>
      </c>
      <c r="T33" s="0" t="s">
        <v>55</v>
      </c>
      <c r="U33" s="37" t="s">
        <v>251</v>
      </c>
      <c r="V33" s="37" t="s">
        <v>251</v>
      </c>
      <c r="W33" s="37" t="s">
        <v>251</v>
      </c>
      <c r="X33" s="37" t="s">
        <v>251</v>
      </c>
      <c r="Y33" s="37" t="s">
        <v>251</v>
      </c>
      <c r="Z33" s="37" t="s">
        <v>251</v>
      </c>
      <c r="AA33" s="37" t="s">
        <v>251</v>
      </c>
      <c r="AB33" s="37" t="s">
        <v>251</v>
      </c>
      <c r="AC33" s="37" t="s">
        <v>251</v>
      </c>
      <c r="AD33" s="37" t="s">
        <v>251</v>
      </c>
      <c r="AE33" s="37" t="s">
        <v>252</v>
      </c>
      <c r="AF33" s="37" t="s">
        <v>252</v>
      </c>
      <c r="AG33" s="37" t="s">
        <v>252</v>
      </c>
      <c r="AH33" s="37" t="s">
        <v>252</v>
      </c>
      <c r="AI33" s="37" t="s">
        <v>252</v>
      </c>
      <c r="AJ33" s="37" t="s">
        <v>252</v>
      </c>
      <c r="AK33" s="37" t="s">
        <v>252</v>
      </c>
      <c r="AL33" s="37" t="s">
        <v>252</v>
      </c>
      <c r="AM33" s="37" t="s">
        <v>252</v>
      </c>
      <c r="AN33" s="37" t="s">
        <v>251</v>
      </c>
      <c r="AO33" s="37" t="s">
        <v>251</v>
      </c>
      <c r="AP33" s="37" t="s">
        <v>251</v>
      </c>
      <c r="AQ33" s="37" t="s">
        <v>251</v>
      </c>
      <c r="AR33" s="37" t="s">
        <v>251</v>
      </c>
      <c r="AS33" s="37" t="s">
        <v>251</v>
      </c>
      <c r="AT33" s="0" t="s">
        <v>55</v>
      </c>
      <c r="AU33" s="37" t="s">
        <v>251</v>
      </c>
      <c r="AV33" s="37" t="s">
        <v>251</v>
      </c>
      <c r="AW33" s="37" t="s">
        <v>251</v>
      </c>
      <c r="AX33" s="37" t="s">
        <v>252</v>
      </c>
      <c r="AY33" s="37" t="s">
        <v>252</v>
      </c>
      <c r="AZ33" s="37" t="s">
        <v>252</v>
      </c>
      <c r="BA33" s="37" t="s">
        <v>251</v>
      </c>
      <c r="BB33" s="37" t="s">
        <v>251</v>
      </c>
      <c r="BC33" s="37" t="s">
        <v>252</v>
      </c>
      <c r="BD33" s="37" t="s">
        <v>252</v>
      </c>
      <c r="BE33" s="37" t="s">
        <v>251</v>
      </c>
      <c r="BF33" s="0" t="s">
        <v>55</v>
      </c>
      <c r="BG33" s="37" t="s">
        <v>252</v>
      </c>
      <c r="BH33" s="37" t="s">
        <v>252</v>
      </c>
      <c r="BI33" s="37" t="s">
        <v>252</v>
      </c>
      <c r="BJ33" s="37" t="s">
        <v>252</v>
      </c>
      <c r="BK33" s="0" t="s">
        <v>55</v>
      </c>
    </row>
    <row r="34" customFormat="false" ht="12.8" hidden="false" customHeight="false" outlineLevel="0" collapsed="false">
      <c r="A34" s="0" t="n">
        <f aca="false">A33-1</f>
        <v>1985</v>
      </c>
      <c r="B34" s="37" t="s">
        <v>252</v>
      </c>
      <c r="C34" s="37" t="s">
        <v>252</v>
      </c>
      <c r="D34" s="37" t="s">
        <v>252</v>
      </c>
      <c r="E34" s="37" t="s">
        <v>252</v>
      </c>
      <c r="F34" s="37" t="s">
        <v>251</v>
      </c>
      <c r="G34" s="37" t="s">
        <v>251</v>
      </c>
      <c r="H34" s="37" t="s">
        <v>251</v>
      </c>
      <c r="I34" s="37" t="s">
        <v>251</v>
      </c>
      <c r="J34" s="0" t="s">
        <v>55</v>
      </c>
      <c r="K34" s="37" t="s">
        <v>251</v>
      </c>
      <c r="L34" s="37" t="s">
        <v>252</v>
      </c>
      <c r="M34" s="37" t="s">
        <v>251</v>
      </c>
      <c r="N34" s="37" t="s">
        <v>252</v>
      </c>
      <c r="O34" s="37" t="s">
        <v>252</v>
      </c>
      <c r="P34" s="37" t="s">
        <v>252</v>
      </c>
      <c r="Q34" s="37" t="s">
        <v>251</v>
      </c>
      <c r="R34" s="37" t="s">
        <v>251</v>
      </c>
      <c r="S34" s="37" t="s">
        <v>251</v>
      </c>
      <c r="T34" s="0" t="s">
        <v>55</v>
      </c>
      <c r="U34" s="37" t="s">
        <v>251</v>
      </c>
      <c r="V34" s="37" t="s">
        <v>251</v>
      </c>
      <c r="W34" s="37" t="s">
        <v>251</v>
      </c>
      <c r="X34" s="37" t="s">
        <v>251</v>
      </c>
      <c r="Y34" s="37" t="s">
        <v>251</v>
      </c>
      <c r="Z34" s="37" t="s">
        <v>251</v>
      </c>
      <c r="AA34" s="37" t="s">
        <v>251</v>
      </c>
      <c r="AB34" s="37" t="s">
        <v>251</v>
      </c>
      <c r="AC34" s="37" t="s">
        <v>251</v>
      </c>
      <c r="AD34" s="37" t="s">
        <v>251</v>
      </c>
      <c r="AE34" s="37" t="s">
        <v>252</v>
      </c>
      <c r="AF34" s="37" t="s">
        <v>252</v>
      </c>
      <c r="AG34" s="37" t="s">
        <v>252</v>
      </c>
      <c r="AH34" s="37" t="s">
        <v>252</v>
      </c>
      <c r="AI34" s="37" t="s">
        <v>252</v>
      </c>
      <c r="AJ34" s="37" t="s">
        <v>252</v>
      </c>
      <c r="AK34" s="37" t="s">
        <v>252</v>
      </c>
      <c r="AL34" s="37" t="s">
        <v>252</v>
      </c>
      <c r="AM34" s="37" t="s">
        <v>252</v>
      </c>
      <c r="AN34" s="37" t="s">
        <v>251</v>
      </c>
      <c r="AO34" s="37" t="s">
        <v>251</v>
      </c>
      <c r="AP34" s="37" t="s">
        <v>251</v>
      </c>
      <c r="AQ34" s="37" t="s">
        <v>251</v>
      </c>
      <c r="AR34" s="37" t="s">
        <v>251</v>
      </c>
      <c r="AS34" s="37" t="s">
        <v>251</v>
      </c>
      <c r="AT34" s="0" t="s">
        <v>55</v>
      </c>
      <c r="AU34" s="37" t="s">
        <v>251</v>
      </c>
      <c r="AV34" s="37" t="s">
        <v>251</v>
      </c>
      <c r="AW34" s="37" t="s">
        <v>251</v>
      </c>
      <c r="AX34" s="37" t="s">
        <v>252</v>
      </c>
      <c r="AY34" s="37" t="s">
        <v>252</v>
      </c>
      <c r="AZ34" s="37" t="s">
        <v>252</v>
      </c>
      <c r="BA34" s="37" t="s">
        <v>251</v>
      </c>
      <c r="BB34" s="37" t="s">
        <v>251</v>
      </c>
      <c r="BC34" s="37" t="s">
        <v>252</v>
      </c>
      <c r="BD34" s="37" t="s">
        <v>252</v>
      </c>
      <c r="BE34" s="37" t="s">
        <v>251</v>
      </c>
      <c r="BF34" s="0" t="s">
        <v>55</v>
      </c>
      <c r="BG34" s="37" t="s">
        <v>252</v>
      </c>
      <c r="BH34" s="37" t="s">
        <v>252</v>
      </c>
      <c r="BI34" s="37" t="s">
        <v>252</v>
      </c>
      <c r="BJ34" s="37" t="s">
        <v>252</v>
      </c>
      <c r="BK34" s="0" t="s">
        <v>55</v>
      </c>
    </row>
    <row r="35" customFormat="false" ht="12.8" hidden="false" customHeight="false" outlineLevel="0" collapsed="false">
      <c r="A35" s="0" t="n">
        <f aca="false">A34-1</f>
        <v>1984</v>
      </c>
      <c r="B35" s="37" t="s">
        <v>252</v>
      </c>
      <c r="C35" s="37" t="s">
        <v>252</v>
      </c>
      <c r="D35" s="37" t="s">
        <v>252</v>
      </c>
      <c r="E35" s="37" t="s">
        <v>252</v>
      </c>
      <c r="F35" s="37" t="s">
        <v>251</v>
      </c>
      <c r="G35" s="37" t="s">
        <v>251</v>
      </c>
      <c r="H35" s="37" t="s">
        <v>251</v>
      </c>
      <c r="I35" s="37" t="s">
        <v>251</v>
      </c>
      <c r="J35" s="0" t="s">
        <v>55</v>
      </c>
      <c r="K35" s="37" t="s">
        <v>251</v>
      </c>
      <c r="L35" s="37" t="s">
        <v>252</v>
      </c>
      <c r="M35" s="37" t="s">
        <v>251</v>
      </c>
      <c r="N35" s="37" t="s">
        <v>252</v>
      </c>
      <c r="O35" s="37" t="s">
        <v>252</v>
      </c>
      <c r="P35" s="37" t="s">
        <v>252</v>
      </c>
      <c r="Q35" s="37" t="s">
        <v>251</v>
      </c>
      <c r="R35" s="37" t="s">
        <v>251</v>
      </c>
      <c r="S35" s="37" t="s">
        <v>251</v>
      </c>
      <c r="T35" s="0" t="s">
        <v>55</v>
      </c>
      <c r="U35" s="37" t="s">
        <v>251</v>
      </c>
      <c r="V35" s="37" t="s">
        <v>251</v>
      </c>
      <c r="W35" s="37" t="s">
        <v>251</v>
      </c>
      <c r="X35" s="37" t="s">
        <v>251</v>
      </c>
      <c r="Y35" s="37" t="s">
        <v>251</v>
      </c>
      <c r="Z35" s="37" t="s">
        <v>251</v>
      </c>
      <c r="AA35" s="37" t="s">
        <v>251</v>
      </c>
      <c r="AB35" s="37" t="s">
        <v>251</v>
      </c>
      <c r="AC35" s="37" t="s">
        <v>251</v>
      </c>
      <c r="AD35" s="37" t="s">
        <v>251</v>
      </c>
      <c r="AE35" s="37" t="s">
        <v>252</v>
      </c>
      <c r="AF35" s="37" t="s">
        <v>252</v>
      </c>
      <c r="AG35" s="37" t="s">
        <v>252</v>
      </c>
      <c r="AH35" s="37" t="s">
        <v>252</v>
      </c>
      <c r="AI35" s="37" t="s">
        <v>252</v>
      </c>
      <c r="AJ35" s="37" t="s">
        <v>252</v>
      </c>
      <c r="AK35" s="37" t="s">
        <v>252</v>
      </c>
      <c r="AL35" s="37" t="s">
        <v>252</v>
      </c>
      <c r="AM35" s="37" t="s">
        <v>252</v>
      </c>
      <c r="AN35" s="37" t="s">
        <v>251</v>
      </c>
      <c r="AO35" s="37" t="s">
        <v>251</v>
      </c>
      <c r="AP35" s="37" t="s">
        <v>251</v>
      </c>
      <c r="AQ35" s="37" t="s">
        <v>251</v>
      </c>
      <c r="AR35" s="37" t="s">
        <v>251</v>
      </c>
      <c r="AS35" s="37" t="s">
        <v>251</v>
      </c>
      <c r="AT35" s="0" t="s">
        <v>55</v>
      </c>
      <c r="AU35" s="37" t="s">
        <v>251</v>
      </c>
      <c r="AV35" s="37" t="s">
        <v>251</v>
      </c>
      <c r="AW35" s="37" t="s">
        <v>251</v>
      </c>
      <c r="AX35" s="37" t="s">
        <v>252</v>
      </c>
      <c r="AY35" s="37" t="s">
        <v>252</v>
      </c>
      <c r="AZ35" s="37" t="s">
        <v>252</v>
      </c>
      <c r="BA35" s="37" t="s">
        <v>251</v>
      </c>
      <c r="BB35" s="37" t="s">
        <v>251</v>
      </c>
      <c r="BC35" s="37" t="s">
        <v>252</v>
      </c>
      <c r="BD35" s="37" t="s">
        <v>252</v>
      </c>
      <c r="BE35" s="37" t="s">
        <v>251</v>
      </c>
      <c r="BF35" s="0" t="s">
        <v>55</v>
      </c>
      <c r="BG35" s="37" t="s">
        <v>252</v>
      </c>
      <c r="BH35" s="37" t="s">
        <v>252</v>
      </c>
      <c r="BI35" s="37" t="s">
        <v>252</v>
      </c>
      <c r="BJ35" s="37" t="s">
        <v>252</v>
      </c>
      <c r="BK35" s="0" t="s">
        <v>55</v>
      </c>
    </row>
    <row r="36" customFormat="false" ht="12.8" hidden="false" customHeight="false" outlineLevel="0" collapsed="false">
      <c r="A36" s="0" t="n">
        <f aca="false">A35-1</f>
        <v>1983</v>
      </c>
      <c r="B36" s="37" t="s">
        <v>252</v>
      </c>
      <c r="C36" s="37" t="s">
        <v>252</v>
      </c>
      <c r="D36" s="37" t="s">
        <v>252</v>
      </c>
      <c r="E36" s="37" t="s">
        <v>252</v>
      </c>
      <c r="F36" s="37" t="s">
        <v>251</v>
      </c>
      <c r="G36" s="37" t="s">
        <v>251</v>
      </c>
      <c r="H36" s="37" t="s">
        <v>251</v>
      </c>
      <c r="I36" s="37" t="s">
        <v>251</v>
      </c>
      <c r="J36" s="0" t="s">
        <v>55</v>
      </c>
      <c r="K36" s="37" t="s">
        <v>251</v>
      </c>
      <c r="L36" s="37" t="s">
        <v>252</v>
      </c>
      <c r="M36" s="37" t="s">
        <v>251</v>
      </c>
      <c r="N36" s="37" t="s">
        <v>252</v>
      </c>
      <c r="O36" s="37" t="s">
        <v>252</v>
      </c>
      <c r="P36" s="37" t="s">
        <v>252</v>
      </c>
      <c r="Q36" s="37" t="s">
        <v>251</v>
      </c>
      <c r="R36" s="37" t="s">
        <v>251</v>
      </c>
      <c r="S36" s="37" t="s">
        <v>251</v>
      </c>
      <c r="T36" s="0" t="s">
        <v>55</v>
      </c>
      <c r="U36" s="37" t="s">
        <v>251</v>
      </c>
      <c r="V36" s="37" t="s">
        <v>251</v>
      </c>
      <c r="W36" s="37" t="s">
        <v>251</v>
      </c>
      <c r="X36" s="37" t="s">
        <v>251</v>
      </c>
      <c r="Y36" s="37" t="s">
        <v>251</v>
      </c>
      <c r="Z36" s="37" t="s">
        <v>251</v>
      </c>
      <c r="AA36" s="37" t="s">
        <v>251</v>
      </c>
      <c r="AB36" s="37" t="s">
        <v>251</v>
      </c>
      <c r="AC36" s="37" t="s">
        <v>251</v>
      </c>
      <c r="AD36" s="37" t="s">
        <v>251</v>
      </c>
      <c r="AE36" s="37" t="s">
        <v>252</v>
      </c>
      <c r="AF36" s="37" t="s">
        <v>252</v>
      </c>
      <c r="AG36" s="37" t="s">
        <v>252</v>
      </c>
      <c r="AH36" s="37" t="s">
        <v>252</v>
      </c>
      <c r="AI36" s="37" t="s">
        <v>252</v>
      </c>
      <c r="AJ36" s="37" t="s">
        <v>252</v>
      </c>
      <c r="AK36" s="37" t="s">
        <v>252</v>
      </c>
      <c r="AL36" s="37" t="s">
        <v>252</v>
      </c>
      <c r="AM36" s="37" t="s">
        <v>252</v>
      </c>
      <c r="AN36" s="37" t="s">
        <v>251</v>
      </c>
      <c r="AO36" s="37" t="s">
        <v>251</v>
      </c>
      <c r="AP36" s="37" t="s">
        <v>251</v>
      </c>
      <c r="AQ36" s="37" t="s">
        <v>251</v>
      </c>
      <c r="AR36" s="37" t="s">
        <v>251</v>
      </c>
      <c r="AS36" s="37" t="s">
        <v>251</v>
      </c>
      <c r="AT36" s="0" t="s">
        <v>55</v>
      </c>
      <c r="AU36" s="37" t="s">
        <v>251</v>
      </c>
      <c r="AV36" s="37" t="s">
        <v>251</v>
      </c>
      <c r="AW36" s="37" t="s">
        <v>251</v>
      </c>
      <c r="AX36" s="37" t="s">
        <v>252</v>
      </c>
      <c r="AY36" s="37" t="s">
        <v>252</v>
      </c>
      <c r="AZ36" s="37" t="s">
        <v>252</v>
      </c>
      <c r="BA36" s="37" t="s">
        <v>251</v>
      </c>
      <c r="BB36" s="37" t="s">
        <v>251</v>
      </c>
      <c r="BC36" s="37" t="s">
        <v>252</v>
      </c>
      <c r="BD36" s="37" t="s">
        <v>252</v>
      </c>
      <c r="BE36" s="37" t="s">
        <v>251</v>
      </c>
      <c r="BF36" s="0" t="s">
        <v>55</v>
      </c>
      <c r="BG36" s="37" t="s">
        <v>252</v>
      </c>
      <c r="BH36" s="37" t="s">
        <v>252</v>
      </c>
      <c r="BI36" s="37" t="s">
        <v>252</v>
      </c>
      <c r="BJ36" s="37" t="s">
        <v>252</v>
      </c>
      <c r="BK36" s="0" t="s">
        <v>55</v>
      </c>
    </row>
    <row r="37" customFormat="false" ht="12.8" hidden="false" customHeight="false" outlineLevel="0" collapsed="false">
      <c r="A37" s="0" t="n">
        <f aca="false">A36-1</f>
        <v>1982</v>
      </c>
      <c r="B37" s="37" t="s">
        <v>252</v>
      </c>
      <c r="C37" s="37" t="s">
        <v>252</v>
      </c>
      <c r="D37" s="37" t="s">
        <v>252</v>
      </c>
      <c r="E37" s="37" t="s">
        <v>252</v>
      </c>
      <c r="F37" s="37" t="s">
        <v>251</v>
      </c>
      <c r="G37" s="37" t="s">
        <v>251</v>
      </c>
      <c r="H37" s="37" t="s">
        <v>251</v>
      </c>
      <c r="I37" s="37" t="s">
        <v>251</v>
      </c>
      <c r="J37" s="0" t="s">
        <v>55</v>
      </c>
      <c r="K37" s="37" t="s">
        <v>251</v>
      </c>
      <c r="L37" s="37" t="s">
        <v>252</v>
      </c>
      <c r="M37" s="37" t="s">
        <v>251</v>
      </c>
      <c r="N37" s="37" t="s">
        <v>252</v>
      </c>
      <c r="O37" s="37" t="s">
        <v>252</v>
      </c>
      <c r="P37" s="37" t="s">
        <v>252</v>
      </c>
      <c r="Q37" s="37" t="s">
        <v>251</v>
      </c>
      <c r="R37" s="37" t="s">
        <v>251</v>
      </c>
      <c r="S37" s="37" t="s">
        <v>251</v>
      </c>
      <c r="T37" s="0" t="s">
        <v>55</v>
      </c>
      <c r="U37" s="37" t="s">
        <v>251</v>
      </c>
      <c r="V37" s="37" t="s">
        <v>251</v>
      </c>
      <c r="W37" s="37" t="s">
        <v>251</v>
      </c>
      <c r="X37" s="37" t="s">
        <v>251</v>
      </c>
      <c r="Y37" s="37" t="s">
        <v>251</v>
      </c>
      <c r="Z37" s="37" t="s">
        <v>251</v>
      </c>
      <c r="AA37" s="37" t="s">
        <v>251</v>
      </c>
      <c r="AB37" s="37" t="s">
        <v>251</v>
      </c>
      <c r="AC37" s="37" t="s">
        <v>251</v>
      </c>
      <c r="AD37" s="37" t="s">
        <v>251</v>
      </c>
      <c r="AE37" s="37" t="s">
        <v>252</v>
      </c>
      <c r="AF37" s="37" t="s">
        <v>252</v>
      </c>
      <c r="AG37" s="37" t="s">
        <v>252</v>
      </c>
      <c r="AH37" s="37" t="s">
        <v>252</v>
      </c>
      <c r="AI37" s="37" t="s">
        <v>252</v>
      </c>
      <c r="AJ37" s="37" t="s">
        <v>252</v>
      </c>
      <c r="AK37" s="37" t="s">
        <v>252</v>
      </c>
      <c r="AL37" s="37" t="s">
        <v>252</v>
      </c>
      <c r="AM37" s="37" t="s">
        <v>252</v>
      </c>
      <c r="AN37" s="37" t="s">
        <v>251</v>
      </c>
      <c r="AO37" s="37" t="s">
        <v>251</v>
      </c>
      <c r="AP37" s="37" t="s">
        <v>251</v>
      </c>
      <c r="AQ37" s="37" t="s">
        <v>251</v>
      </c>
      <c r="AR37" s="37" t="s">
        <v>251</v>
      </c>
      <c r="AS37" s="37" t="s">
        <v>251</v>
      </c>
      <c r="AT37" s="0" t="s">
        <v>55</v>
      </c>
      <c r="AU37" s="37" t="s">
        <v>251</v>
      </c>
      <c r="AV37" s="37" t="s">
        <v>251</v>
      </c>
      <c r="AW37" s="37" t="s">
        <v>251</v>
      </c>
      <c r="AX37" s="37" t="s">
        <v>252</v>
      </c>
      <c r="AY37" s="37" t="s">
        <v>252</v>
      </c>
      <c r="AZ37" s="37" t="s">
        <v>252</v>
      </c>
      <c r="BA37" s="37" t="s">
        <v>251</v>
      </c>
      <c r="BB37" s="37" t="s">
        <v>251</v>
      </c>
      <c r="BC37" s="37" t="s">
        <v>252</v>
      </c>
      <c r="BD37" s="37" t="s">
        <v>252</v>
      </c>
      <c r="BE37" s="37" t="s">
        <v>251</v>
      </c>
      <c r="BF37" s="0" t="s">
        <v>55</v>
      </c>
      <c r="BG37" s="37" t="s">
        <v>252</v>
      </c>
      <c r="BH37" s="37" t="s">
        <v>252</v>
      </c>
      <c r="BI37" s="37" t="s">
        <v>252</v>
      </c>
      <c r="BJ37" s="37" t="s">
        <v>252</v>
      </c>
      <c r="BK37" s="0" t="s">
        <v>55</v>
      </c>
    </row>
    <row r="38" customFormat="false" ht="12.8" hidden="false" customHeight="false" outlineLevel="0" collapsed="false">
      <c r="A38" s="0" t="n">
        <f aca="false">A37-1</f>
        <v>1981</v>
      </c>
      <c r="B38" s="37" t="s">
        <v>252</v>
      </c>
      <c r="C38" s="37" t="s">
        <v>252</v>
      </c>
      <c r="D38" s="37" t="s">
        <v>252</v>
      </c>
      <c r="E38" s="37" t="s">
        <v>252</v>
      </c>
      <c r="F38" s="37" t="s">
        <v>251</v>
      </c>
      <c r="G38" s="37" t="s">
        <v>251</v>
      </c>
      <c r="H38" s="37" t="s">
        <v>251</v>
      </c>
      <c r="I38" s="37" t="s">
        <v>251</v>
      </c>
      <c r="J38" s="0" t="s">
        <v>55</v>
      </c>
      <c r="K38" s="37" t="s">
        <v>251</v>
      </c>
      <c r="L38" s="37" t="s">
        <v>252</v>
      </c>
      <c r="M38" s="37" t="s">
        <v>251</v>
      </c>
      <c r="N38" s="37" t="s">
        <v>252</v>
      </c>
      <c r="O38" s="37" t="s">
        <v>252</v>
      </c>
      <c r="P38" s="37" t="s">
        <v>252</v>
      </c>
      <c r="Q38" s="37" t="s">
        <v>251</v>
      </c>
      <c r="R38" s="37" t="s">
        <v>251</v>
      </c>
      <c r="S38" s="37" t="s">
        <v>251</v>
      </c>
      <c r="T38" s="0" t="s">
        <v>55</v>
      </c>
      <c r="U38" s="37" t="s">
        <v>251</v>
      </c>
      <c r="V38" s="37" t="s">
        <v>251</v>
      </c>
      <c r="W38" s="37" t="s">
        <v>251</v>
      </c>
      <c r="X38" s="37" t="s">
        <v>251</v>
      </c>
      <c r="Y38" s="37" t="s">
        <v>251</v>
      </c>
      <c r="Z38" s="37" t="s">
        <v>251</v>
      </c>
      <c r="AA38" s="37" t="s">
        <v>251</v>
      </c>
      <c r="AB38" s="37" t="s">
        <v>251</v>
      </c>
      <c r="AC38" s="37" t="s">
        <v>251</v>
      </c>
      <c r="AD38" s="37" t="s">
        <v>251</v>
      </c>
      <c r="AE38" s="37" t="s">
        <v>252</v>
      </c>
      <c r="AF38" s="37" t="s">
        <v>252</v>
      </c>
      <c r="AG38" s="37" t="s">
        <v>252</v>
      </c>
      <c r="AH38" s="37" t="s">
        <v>252</v>
      </c>
      <c r="AI38" s="37" t="s">
        <v>252</v>
      </c>
      <c r="AJ38" s="37" t="s">
        <v>252</v>
      </c>
      <c r="AK38" s="37" t="s">
        <v>252</v>
      </c>
      <c r="AL38" s="37" t="s">
        <v>252</v>
      </c>
      <c r="AM38" s="37" t="s">
        <v>252</v>
      </c>
      <c r="AN38" s="37" t="s">
        <v>251</v>
      </c>
      <c r="AO38" s="37" t="s">
        <v>251</v>
      </c>
      <c r="AP38" s="37" t="s">
        <v>251</v>
      </c>
      <c r="AQ38" s="37" t="s">
        <v>251</v>
      </c>
      <c r="AR38" s="37" t="s">
        <v>251</v>
      </c>
      <c r="AS38" s="37" t="s">
        <v>251</v>
      </c>
      <c r="AT38" s="0" t="s">
        <v>55</v>
      </c>
      <c r="AU38" s="37" t="s">
        <v>251</v>
      </c>
      <c r="AV38" s="37" t="s">
        <v>251</v>
      </c>
      <c r="AW38" s="37" t="s">
        <v>251</v>
      </c>
      <c r="AX38" s="37" t="s">
        <v>252</v>
      </c>
      <c r="AY38" s="37" t="s">
        <v>252</v>
      </c>
      <c r="AZ38" s="37" t="s">
        <v>252</v>
      </c>
      <c r="BA38" s="37" t="s">
        <v>251</v>
      </c>
      <c r="BB38" s="37" t="s">
        <v>251</v>
      </c>
      <c r="BC38" s="37" t="s">
        <v>252</v>
      </c>
      <c r="BD38" s="37" t="s">
        <v>252</v>
      </c>
      <c r="BE38" s="37" t="s">
        <v>251</v>
      </c>
      <c r="BF38" s="0" t="s">
        <v>55</v>
      </c>
      <c r="BG38" s="37" t="s">
        <v>252</v>
      </c>
      <c r="BH38" s="37" t="s">
        <v>252</v>
      </c>
      <c r="BI38" s="37" t="s">
        <v>252</v>
      </c>
      <c r="BJ38" s="37" t="s">
        <v>252</v>
      </c>
      <c r="BK38" s="0" t="s">
        <v>55</v>
      </c>
    </row>
    <row r="39" customFormat="false" ht="12.8" hidden="false" customHeight="false" outlineLevel="0" collapsed="false">
      <c r="A39" s="0" t="n">
        <f aca="false">A38-1</f>
        <v>1980</v>
      </c>
      <c r="B39" s="37" t="s">
        <v>252</v>
      </c>
      <c r="C39" s="37" t="s">
        <v>252</v>
      </c>
      <c r="D39" s="37" t="s">
        <v>252</v>
      </c>
      <c r="E39" s="37" t="s">
        <v>252</v>
      </c>
      <c r="F39" s="37" t="s">
        <v>251</v>
      </c>
      <c r="G39" s="37" t="s">
        <v>251</v>
      </c>
      <c r="H39" s="37" t="s">
        <v>251</v>
      </c>
      <c r="I39" s="37" t="s">
        <v>251</v>
      </c>
      <c r="J39" s="0" t="s">
        <v>55</v>
      </c>
      <c r="K39" s="37" t="s">
        <v>251</v>
      </c>
      <c r="L39" s="37" t="s">
        <v>252</v>
      </c>
      <c r="M39" s="37" t="s">
        <v>251</v>
      </c>
      <c r="N39" s="37" t="s">
        <v>252</v>
      </c>
      <c r="O39" s="37" t="s">
        <v>252</v>
      </c>
      <c r="P39" s="37" t="s">
        <v>252</v>
      </c>
      <c r="Q39" s="37" t="s">
        <v>251</v>
      </c>
      <c r="R39" s="37" t="s">
        <v>251</v>
      </c>
      <c r="S39" s="37" t="s">
        <v>251</v>
      </c>
      <c r="T39" s="0" t="s">
        <v>55</v>
      </c>
      <c r="U39" s="37" t="s">
        <v>251</v>
      </c>
      <c r="V39" s="37" t="s">
        <v>251</v>
      </c>
      <c r="W39" s="37" t="s">
        <v>251</v>
      </c>
      <c r="X39" s="37" t="s">
        <v>251</v>
      </c>
      <c r="Y39" s="37" t="s">
        <v>251</v>
      </c>
      <c r="Z39" s="37" t="s">
        <v>251</v>
      </c>
      <c r="AA39" s="37" t="s">
        <v>251</v>
      </c>
      <c r="AB39" s="37" t="s">
        <v>251</v>
      </c>
      <c r="AC39" s="37" t="s">
        <v>251</v>
      </c>
      <c r="AD39" s="37" t="s">
        <v>251</v>
      </c>
      <c r="AE39" s="37" t="s">
        <v>252</v>
      </c>
      <c r="AF39" s="37" t="s">
        <v>252</v>
      </c>
      <c r="AG39" s="37" t="s">
        <v>252</v>
      </c>
      <c r="AH39" s="37" t="s">
        <v>252</v>
      </c>
      <c r="AI39" s="37" t="s">
        <v>252</v>
      </c>
      <c r="AJ39" s="37" t="s">
        <v>252</v>
      </c>
      <c r="AK39" s="37" t="s">
        <v>252</v>
      </c>
      <c r="AL39" s="37" t="s">
        <v>252</v>
      </c>
      <c r="AM39" s="37" t="s">
        <v>252</v>
      </c>
      <c r="AN39" s="37" t="s">
        <v>251</v>
      </c>
      <c r="AO39" s="37" t="s">
        <v>251</v>
      </c>
      <c r="AP39" s="37" t="s">
        <v>251</v>
      </c>
      <c r="AQ39" s="37" t="s">
        <v>251</v>
      </c>
      <c r="AR39" s="37" t="s">
        <v>251</v>
      </c>
      <c r="AS39" s="37" t="s">
        <v>251</v>
      </c>
      <c r="AT39" s="0" t="s">
        <v>55</v>
      </c>
      <c r="AU39" s="37" t="s">
        <v>251</v>
      </c>
      <c r="AV39" s="37" t="s">
        <v>251</v>
      </c>
      <c r="AW39" s="37" t="s">
        <v>251</v>
      </c>
      <c r="AX39" s="37" t="s">
        <v>252</v>
      </c>
      <c r="AY39" s="37" t="s">
        <v>252</v>
      </c>
      <c r="AZ39" s="37" t="s">
        <v>252</v>
      </c>
      <c r="BA39" s="37" t="s">
        <v>251</v>
      </c>
      <c r="BB39" s="37" t="s">
        <v>251</v>
      </c>
      <c r="BC39" s="37" t="s">
        <v>252</v>
      </c>
      <c r="BD39" s="37" t="s">
        <v>252</v>
      </c>
      <c r="BE39" s="37" t="s">
        <v>251</v>
      </c>
      <c r="BF39" s="0" t="s">
        <v>55</v>
      </c>
      <c r="BG39" s="37" t="s">
        <v>252</v>
      </c>
      <c r="BH39" s="37" t="s">
        <v>252</v>
      </c>
      <c r="BI39" s="37" t="s">
        <v>252</v>
      </c>
      <c r="BJ39" s="37" t="s">
        <v>252</v>
      </c>
      <c r="BK39" s="0" t="s">
        <v>55</v>
      </c>
    </row>
    <row r="40" customFormat="false" ht="12.8" hidden="false" customHeight="false" outlineLevel="0" collapsed="false">
      <c r="A40" s="0" t="n">
        <f aca="false">A39-1</f>
        <v>1979</v>
      </c>
      <c r="B40" s="37" t="s">
        <v>252</v>
      </c>
      <c r="C40" s="37" t="s">
        <v>252</v>
      </c>
      <c r="D40" s="37" t="s">
        <v>252</v>
      </c>
      <c r="E40" s="37" t="s">
        <v>252</v>
      </c>
      <c r="F40" s="37" t="s">
        <v>251</v>
      </c>
      <c r="G40" s="37" t="s">
        <v>251</v>
      </c>
      <c r="H40" s="37" t="s">
        <v>251</v>
      </c>
      <c r="I40" s="37" t="s">
        <v>251</v>
      </c>
      <c r="J40" s="0" t="s">
        <v>55</v>
      </c>
      <c r="K40" s="37" t="s">
        <v>251</v>
      </c>
      <c r="L40" s="37" t="s">
        <v>252</v>
      </c>
      <c r="M40" s="37" t="s">
        <v>251</v>
      </c>
      <c r="N40" s="37" t="s">
        <v>252</v>
      </c>
      <c r="O40" s="37" t="s">
        <v>252</v>
      </c>
      <c r="P40" s="37" t="s">
        <v>252</v>
      </c>
      <c r="Q40" s="37" t="s">
        <v>251</v>
      </c>
      <c r="R40" s="37" t="s">
        <v>251</v>
      </c>
      <c r="S40" s="37" t="s">
        <v>251</v>
      </c>
      <c r="T40" s="0" t="s">
        <v>55</v>
      </c>
      <c r="U40" s="37" t="s">
        <v>251</v>
      </c>
      <c r="V40" s="37" t="s">
        <v>251</v>
      </c>
      <c r="W40" s="37" t="s">
        <v>251</v>
      </c>
      <c r="X40" s="37" t="s">
        <v>251</v>
      </c>
      <c r="Y40" s="37" t="s">
        <v>251</v>
      </c>
      <c r="Z40" s="37" t="s">
        <v>251</v>
      </c>
      <c r="AA40" s="37" t="s">
        <v>251</v>
      </c>
      <c r="AB40" s="37" t="s">
        <v>251</v>
      </c>
      <c r="AC40" s="37" t="s">
        <v>251</v>
      </c>
      <c r="AD40" s="37" t="s">
        <v>251</v>
      </c>
      <c r="AE40" s="37" t="s">
        <v>252</v>
      </c>
      <c r="AF40" s="37" t="s">
        <v>252</v>
      </c>
      <c r="AG40" s="37" t="s">
        <v>252</v>
      </c>
      <c r="AH40" s="37" t="s">
        <v>252</v>
      </c>
      <c r="AI40" s="37" t="s">
        <v>252</v>
      </c>
      <c r="AJ40" s="37" t="s">
        <v>252</v>
      </c>
      <c r="AK40" s="37" t="s">
        <v>252</v>
      </c>
      <c r="AL40" s="37" t="s">
        <v>252</v>
      </c>
      <c r="AM40" s="37" t="s">
        <v>252</v>
      </c>
      <c r="AN40" s="37" t="s">
        <v>251</v>
      </c>
      <c r="AO40" s="37" t="s">
        <v>251</v>
      </c>
      <c r="AP40" s="37" t="s">
        <v>251</v>
      </c>
      <c r="AQ40" s="37" t="s">
        <v>251</v>
      </c>
      <c r="AR40" s="37" t="s">
        <v>251</v>
      </c>
      <c r="AS40" s="37" t="s">
        <v>251</v>
      </c>
      <c r="AT40" s="0" t="s">
        <v>55</v>
      </c>
      <c r="AU40" s="37" t="s">
        <v>251</v>
      </c>
      <c r="AV40" s="37" t="s">
        <v>251</v>
      </c>
      <c r="AW40" s="37" t="s">
        <v>251</v>
      </c>
      <c r="AX40" s="37" t="s">
        <v>252</v>
      </c>
      <c r="AY40" s="37" t="s">
        <v>252</v>
      </c>
      <c r="AZ40" s="37" t="s">
        <v>252</v>
      </c>
      <c r="BA40" s="37" t="s">
        <v>251</v>
      </c>
      <c r="BB40" s="37" t="s">
        <v>251</v>
      </c>
      <c r="BC40" s="37" t="s">
        <v>252</v>
      </c>
      <c r="BD40" s="37" t="s">
        <v>252</v>
      </c>
      <c r="BE40" s="37" t="s">
        <v>251</v>
      </c>
      <c r="BF40" s="0" t="s">
        <v>55</v>
      </c>
      <c r="BG40" s="37" t="s">
        <v>252</v>
      </c>
      <c r="BH40" s="37" t="s">
        <v>252</v>
      </c>
      <c r="BI40" s="37" t="s">
        <v>252</v>
      </c>
      <c r="BJ40" s="37" t="s">
        <v>252</v>
      </c>
      <c r="BK40" s="0" t="s">
        <v>55</v>
      </c>
    </row>
    <row r="41" customFormat="false" ht="12.8" hidden="false" customHeight="false" outlineLevel="0" collapsed="false">
      <c r="A41" s="0" t="n">
        <f aca="false">A40-1</f>
        <v>1978</v>
      </c>
      <c r="B41" s="37" t="s">
        <v>252</v>
      </c>
      <c r="C41" s="37" t="s">
        <v>252</v>
      </c>
      <c r="D41" s="37" t="s">
        <v>252</v>
      </c>
      <c r="E41" s="37" t="s">
        <v>252</v>
      </c>
      <c r="F41" s="37" t="s">
        <v>251</v>
      </c>
      <c r="G41" s="37" t="s">
        <v>251</v>
      </c>
      <c r="H41" s="37" t="s">
        <v>251</v>
      </c>
      <c r="I41" s="37" t="s">
        <v>251</v>
      </c>
      <c r="J41" s="0" t="s">
        <v>55</v>
      </c>
      <c r="K41" s="37" t="s">
        <v>251</v>
      </c>
      <c r="L41" s="37" t="s">
        <v>252</v>
      </c>
      <c r="M41" s="37" t="s">
        <v>251</v>
      </c>
      <c r="N41" s="37" t="s">
        <v>252</v>
      </c>
      <c r="O41" s="37" t="s">
        <v>252</v>
      </c>
      <c r="P41" s="37" t="s">
        <v>252</v>
      </c>
      <c r="Q41" s="37" t="s">
        <v>251</v>
      </c>
      <c r="R41" s="37" t="s">
        <v>251</v>
      </c>
      <c r="S41" s="37" t="s">
        <v>251</v>
      </c>
      <c r="T41" s="0" t="s">
        <v>55</v>
      </c>
      <c r="U41" s="37" t="s">
        <v>251</v>
      </c>
      <c r="V41" s="37" t="s">
        <v>251</v>
      </c>
      <c r="W41" s="37" t="s">
        <v>251</v>
      </c>
      <c r="X41" s="37" t="s">
        <v>251</v>
      </c>
      <c r="Y41" s="37" t="s">
        <v>251</v>
      </c>
      <c r="Z41" s="37" t="s">
        <v>251</v>
      </c>
      <c r="AA41" s="37" t="s">
        <v>251</v>
      </c>
      <c r="AB41" s="37" t="s">
        <v>251</v>
      </c>
      <c r="AC41" s="37" t="s">
        <v>251</v>
      </c>
      <c r="AD41" s="37" t="s">
        <v>251</v>
      </c>
      <c r="AE41" s="37" t="s">
        <v>252</v>
      </c>
      <c r="AF41" s="37" t="s">
        <v>252</v>
      </c>
      <c r="AG41" s="37" t="s">
        <v>252</v>
      </c>
      <c r="AH41" s="37" t="s">
        <v>252</v>
      </c>
      <c r="AI41" s="37" t="s">
        <v>252</v>
      </c>
      <c r="AJ41" s="37" t="s">
        <v>252</v>
      </c>
      <c r="AK41" s="37" t="s">
        <v>252</v>
      </c>
      <c r="AL41" s="37" t="s">
        <v>252</v>
      </c>
      <c r="AM41" s="37" t="s">
        <v>252</v>
      </c>
      <c r="AN41" s="37" t="s">
        <v>251</v>
      </c>
      <c r="AO41" s="37" t="s">
        <v>251</v>
      </c>
      <c r="AP41" s="37" t="s">
        <v>251</v>
      </c>
      <c r="AQ41" s="37" t="s">
        <v>251</v>
      </c>
      <c r="AR41" s="37" t="s">
        <v>251</v>
      </c>
      <c r="AS41" s="37" t="s">
        <v>251</v>
      </c>
      <c r="AT41" s="0" t="s">
        <v>55</v>
      </c>
      <c r="AU41" s="37" t="s">
        <v>251</v>
      </c>
      <c r="AV41" s="37" t="s">
        <v>251</v>
      </c>
      <c r="AW41" s="37" t="s">
        <v>251</v>
      </c>
      <c r="AX41" s="37" t="s">
        <v>252</v>
      </c>
      <c r="AY41" s="37" t="s">
        <v>252</v>
      </c>
      <c r="AZ41" s="37" t="s">
        <v>252</v>
      </c>
      <c r="BA41" s="37" t="s">
        <v>251</v>
      </c>
      <c r="BB41" s="37" t="s">
        <v>251</v>
      </c>
      <c r="BC41" s="37" t="s">
        <v>252</v>
      </c>
      <c r="BD41" s="37" t="s">
        <v>252</v>
      </c>
      <c r="BE41" s="37" t="s">
        <v>251</v>
      </c>
      <c r="BF41" s="0" t="s">
        <v>55</v>
      </c>
      <c r="BG41" s="37" t="s">
        <v>252</v>
      </c>
      <c r="BH41" s="37" t="s">
        <v>252</v>
      </c>
      <c r="BI41" s="37" t="s">
        <v>252</v>
      </c>
      <c r="BJ41" s="37" t="s">
        <v>252</v>
      </c>
      <c r="BK41" s="0" t="s">
        <v>55</v>
      </c>
    </row>
    <row r="42" customFormat="false" ht="12.8" hidden="false" customHeight="false" outlineLevel="0" collapsed="false">
      <c r="A42" s="0" t="n">
        <f aca="false">A41-1</f>
        <v>1977</v>
      </c>
      <c r="B42" s="37" t="s">
        <v>252</v>
      </c>
      <c r="C42" s="37" t="s">
        <v>252</v>
      </c>
      <c r="D42" s="37" t="s">
        <v>252</v>
      </c>
      <c r="E42" s="37" t="s">
        <v>252</v>
      </c>
      <c r="F42" s="37" t="s">
        <v>251</v>
      </c>
      <c r="G42" s="37" t="s">
        <v>251</v>
      </c>
      <c r="H42" s="37" t="s">
        <v>251</v>
      </c>
      <c r="I42" s="37" t="s">
        <v>251</v>
      </c>
      <c r="J42" s="0" t="s">
        <v>55</v>
      </c>
      <c r="K42" s="37" t="s">
        <v>251</v>
      </c>
      <c r="L42" s="37" t="s">
        <v>252</v>
      </c>
      <c r="M42" s="37" t="s">
        <v>251</v>
      </c>
      <c r="N42" s="37" t="s">
        <v>252</v>
      </c>
      <c r="O42" s="37" t="s">
        <v>252</v>
      </c>
      <c r="P42" s="37" t="s">
        <v>252</v>
      </c>
      <c r="Q42" s="37" t="s">
        <v>251</v>
      </c>
      <c r="R42" s="37" t="s">
        <v>251</v>
      </c>
      <c r="S42" s="37" t="s">
        <v>251</v>
      </c>
      <c r="T42" s="0" t="s">
        <v>55</v>
      </c>
      <c r="U42" s="37" t="s">
        <v>251</v>
      </c>
      <c r="V42" s="37" t="s">
        <v>251</v>
      </c>
      <c r="W42" s="37" t="s">
        <v>251</v>
      </c>
      <c r="X42" s="37" t="s">
        <v>251</v>
      </c>
      <c r="Y42" s="37" t="s">
        <v>251</v>
      </c>
      <c r="Z42" s="37" t="s">
        <v>251</v>
      </c>
      <c r="AA42" s="37" t="s">
        <v>251</v>
      </c>
      <c r="AB42" s="37" t="s">
        <v>251</v>
      </c>
      <c r="AC42" s="37" t="s">
        <v>251</v>
      </c>
      <c r="AD42" s="37" t="s">
        <v>251</v>
      </c>
      <c r="AE42" s="37" t="s">
        <v>252</v>
      </c>
      <c r="AF42" s="37" t="s">
        <v>252</v>
      </c>
      <c r="AG42" s="37" t="s">
        <v>252</v>
      </c>
      <c r="AH42" s="37" t="s">
        <v>252</v>
      </c>
      <c r="AI42" s="37" t="s">
        <v>252</v>
      </c>
      <c r="AJ42" s="37" t="s">
        <v>252</v>
      </c>
      <c r="AK42" s="37" t="s">
        <v>252</v>
      </c>
      <c r="AL42" s="37" t="s">
        <v>252</v>
      </c>
      <c r="AM42" s="37" t="s">
        <v>252</v>
      </c>
      <c r="AN42" s="37" t="s">
        <v>251</v>
      </c>
      <c r="AO42" s="37" t="s">
        <v>251</v>
      </c>
      <c r="AP42" s="37" t="s">
        <v>251</v>
      </c>
      <c r="AQ42" s="37" t="s">
        <v>251</v>
      </c>
      <c r="AR42" s="37" t="s">
        <v>251</v>
      </c>
      <c r="AS42" s="37" t="s">
        <v>251</v>
      </c>
      <c r="AT42" s="0" t="s">
        <v>55</v>
      </c>
      <c r="AU42" s="37" t="s">
        <v>251</v>
      </c>
      <c r="AV42" s="37" t="s">
        <v>251</v>
      </c>
      <c r="AW42" s="37" t="s">
        <v>251</v>
      </c>
      <c r="AX42" s="37" t="s">
        <v>252</v>
      </c>
      <c r="AY42" s="37" t="s">
        <v>252</v>
      </c>
      <c r="AZ42" s="37" t="s">
        <v>252</v>
      </c>
      <c r="BA42" s="37" t="s">
        <v>251</v>
      </c>
      <c r="BB42" s="37" t="s">
        <v>251</v>
      </c>
      <c r="BC42" s="37" t="s">
        <v>252</v>
      </c>
      <c r="BD42" s="37" t="s">
        <v>252</v>
      </c>
      <c r="BE42" s="37" t="s">
        <v>251</v>
      </c>
      <c r="BF42" s="0" t="s">
        <v>55</v>
      </c>
      <c r="BG42" s="37" t="s">
        <v>252</v>
      </c>
      <c r="BH42" s="37" t="s">
        <v>252</v>
      </c>
      <c r="BI42" s="37" t="s">
        <v>252</v>
      </c>
      <c r="BJ42" s="37" t="s">
        <v>252</v>
      </c>
      <c r="BK42" s="0" t="s">
        <v>55</v>
      </c>
    </row>
    <row r="43" customFormat="false" ht="12.8" hidden="false" customHeight="false" outlineLevel="0" collapsed="false">
      <c r="A43" s="0" t="n">
        <f aca="false">A42-1</f>
        <v>1976</v>
      </c>
      <c r="B43" s="37" t="s">
        <v>252</v>
      </c>
      <c r="C43" s="37" t="s">
        <v>252</v>
      </c>
      <c r="D43" s="37" t="s">
        <v>252</v>
      </c>
      <c r="E43" s="37" t="s">
        <v>252</v>
      </c>
      <c r="F43" s="37" t="s">
        <v>251</v>
      </c>
      <c r="G43" s="37" t="s">
        <v>251</v>
      </c>
      <c r="H43" s="37" t="s">
        <v>251</v>
      </c>
      <c r="I43" s="37" t="s">
        <v>251</v>
      </c>
      <c r="J43" s="0" t="s">
        <v>55</v>
      </c>
      <c r="K43" s="37" t="s">
        <v>251</v>
      </c>
      <c r="L43" s="37" t="s">
        <v>252</v>
      </c>
      <c r="M43" s="37" t="s">
        <v>251</v>
      </c>
      <c r="N43" s="37" t="s">
        <v>252</v>
      </c>
      <c r="O43" s="37" t="s">
        <v>252</v>
      </c>
      <c r="P43" s="37" t="s">
        <v>252</v>
      </c>
      <c r="Q43" s="37" t="s">
        <v>251</v>
      </c>
      <c r="R43" s="37" t="s">
        <v>251</v>
      </c>
      <c r="S43" s="37" t="s">
        <v>251</v>
      </c>
      <c r="T43" s="0" t="s">
        <v>55</v>
      </c>
      <c r="U43" s="37" t="s">
        <v>251</v>
      </c>
      <c r="V43" s="37" t="s">
        <v>251</v>
      </c>
      <c r="W43" s="37" t="s">
        <v>251</v>
      </c>
      <c r="X43" s="37" t="s">
        <v>251</v>
      </c>
      <c r="Y43" s="37" t="s">
        <v>251</v>
      </c>
      <c r="Z43" s="37" t="s">
        <v>251</v>
      </c>
      <c r="AA43" s="37" t="s">
        <v>251</v>
      </c>
      <c r="AB43" s="37" t="s">
        <v>251</v>
      </c>
      <c r="AC43" s="37" t="s">
        <v>251</v>
      </c>
      <c r="AD43" s="37" t="s">
        <v>251</v>
      </c>
      <c r="AE43" s="37" t="s">
        <v>252</v>
      </c>
      <c r="AF43" s="37" t="s">
        <v>252</v>
      </c>
      <c r="AG43" s="37" t="s">
        <v>252</v>
      </c>
      <c r="AH43" s="37" t="s">
        <v>252</v>
      </c>
      <c r="AI43" s="37" t="s">
        <v>252</v>
      </c>
      <c r="AJ43" s="37" t="s">
        <v>252</v>
      </c>
      <c r="AK43" s="37" t="s">
        <v>252</v>
      </c>
      <c r="AL43" s="37" t="s">
        <v>252</v>
      </c>
      <c r="AM43" s="37" t="s">
        <v>252</v>
      </c>
      <c r="AN43" s="37" t="s">
        <v>251</v>
      </c>
      <c r="AO43" s="37" t="s">
        <v>251</v>
      </c>
      <c r="AP43" s="37" t="s">
        <v>251</v>
      </c>
      <c r="AQ43" s="37" t="s">
        <v>251</v>
      </c>
      <c r="AR43" s="37" t="s">
        <v>251</v>
      </c>
      <c r="AS43" s="37" t="s">
        <v>251</v>
      </c>
      <c r="AT43" s="0" t="s">
        <v>55</v>
      </c>
      <c r="AU43" s="37" t="s">
        <v>251</v>
      </c>
      <c r="AV43" s="37" t="s">
        <v>251</v>
      </c>
      <c r="AW43" s="37" t="s">
        <v>251</v>
      </c>
      <c r="AX43" s="37" t="s">
        <v>252</v>
      </c>
      <c r="AY43" s="37" t="s">
        <v>252</v>
      </c>
      <c r="AZ43" s="37" t="s">
        <v>252</v>
      </c>
      <c r="BA43" s="37" t="s">
        <v>251</v>
      </c>
      <c r="BB43" s="37" t="s">
        <v>251</v>
      </c>
      <c r="BC43" s="37" t="s">
        <v>252</v>
      </c>
      <c r="BD43" s="37" t="s">
        <v>252</v>
      </c>
      <c r="BE43" s="37" t="s">
        <v>251</v>
      </c>
      <c r="BF43" s="0" t="s">
        <v>55</v>
      </c>
      <c r="BG43" s="37" t="s">
        <v>252</v>
      </c>
      <c r="BH43" s="37" t="s">
        <v>252</v>
      </c>
      <c r="BI43" s="37" t="s">
        <v>252</v>
      </c>
      <c r="BJ43" s="37" t="s">
        <v>252</v>
      </c>
      <c r="BK43" s="0" t="s">
        <v>55</v>
      </c>
    </row>
    <row r="44" customFormat="false" ht="12.8" hidden="false" customHeight="false" outlineLevel="0" collapsed="false">
      <c r="A44" s="0" t="n">
        <f aca="false">A43-1</f>
        <v>1975</v>
      </c>
      <c r="B44" s="37" t="s">
        <v>252</v>
      </c>
      <c r="C44" s="37" t="s">
        <v>252</v>
      </c>
      <c r="D44" s="37" t="s">
        <v>252</v>
      </c>
      <c r="E44" s="37" t="s">
        <v>252</v>
      </c>
      <c r="F44" s="37" t="s">
        <v>251</v>
      </c>
      <c r="G44" s="37" t="s">
        <v>251</v>
      </c>
      <c r="H44" s="37" t="s">
        <v>251</v>
      </c>
      <c r="I44" s="37" t="s">
        <v>251</v>
      </c>
      <c r="J44" s="0" t="s">
        <v>55</v>
      </c>
      <c r="K44" s="37" t="s">
        <v>251</v>
      </c>
      <c r="L44" s="37" t="s">
        <v>252</v>
      </c>
      <c r="M44" s="37" t="s">
        <v>251</v>
      </c>
      <c r="N44" s="37" t="s">
        <v>252</v>
      </c>
      <c r="O44" s="37" t="s">
        <v>252</v>
      </c>
      <c r="P44" s="37" t="s">
        <v>252</v>
      </c>
      <c r="Q44" s="37" t="s">
        <v>251</v>
      </c>
      <c r="R44" s="37" t="s">
        <v>251</v>
      </c>
      <c r="S44" s="37" t="s">
        <v>251</v>
      </c>
      <c r="T44" s="0" t="s">
        <v>55</v>
      </c>
      <c r="U44" s="37" t="s">
        <v>251</v>
      </c>
      <c r="V44" s="37" t="s">
        <v>251</v>
      </c>
      <c r="W44" s="37" t="s">
        <v>251</v>
      </c>
      <c r="X44" s="37" t="s">
        <v>251</v>
      </c>
      <c r="Y44" s="37" t="s">
        <v>251</v>
      </c>
      <c r="Z44" s="37" t="s">
        <v>251</v>
      </c>
      <c r="AA44" s="37" t="s">
        <v>251</v>
      </c>
      <c r="AB44" s="37" t="s">
        <v>251</v>
      </c>
      <c r="AC44" s="37" t="s">
        <v>251</v>
      </c>
      <c r="AD44" s="37" t="s">
        <v>251</v>
      </c>
      <c r="AE44" s="37" t="s">
        <v>252</v>
      </c>
      <c r="AF44" s="37" t="s">
        <v>252</v>
      </c>
      <c r="AG44" s="37" t="s">
        <v>252</v>
      </c>
      <c r="AH44" s="37" t="s">
        <v>252</v>
      </c>
      <c r="AI44" s="37" t="s">
        <v>252</v>
      </c>
      <c r="AJ44" s="37" t="s">
        <v>252</v>
      </c>
      <c r="AK44" s="37" t="s">
        <v>252</v>
      </c>
      <c r="AL44" s="37" t="s">
        <v>252</v>
      </c>
      <c r="AM44" s="37" t="s">
        <v>252</v>
      </c>
      <c r="AN44" s="37" t="s">
        <v>251</v>
      </c>
      <c r="AO44" s="37" t="s">
        <v>251</v>
      </c>
      <c r="AP44" s="37" t="s">
        <v>251</v>
      </c>
      <c r="AQ44" s="37" t="s">
        <v>251</v>
      </c>
      <c r="AR44" s="37" t="s">
        <v>251</v>
      </c>
      <c r="AS44" s="37" t="s">
        <v>251</v>
      </c>
      <c r="AT44" s="0" t="s">
        <v>55</v>
      </c>
      <c r="AU44" s="37" t="s">
        <v>251</v>
      </c>
      <c r="AV44" s="37" t="s">
        <v>251</v>
      </c>
      <c r="AW44" s="37" t="s">
        <v>251</v>
      </c>
      <c r="AX44" s="37" t="s">
        <v>252</v>
      </c>
      <c r="AY44" s="37" t="s">
        <v>252</v>
      </c>
      <c r="AZ44" s="37" t="s">
        <v>252</v>
      </c>
      <c r="BA44" s="37" t="s">
        <v>251</v>
      </c>
      <c r="BB44" s="37" t="s">
        <v>251</v>
      </c>
      <c r="BC44" s="37" t="s">
        <v>252</v>
      </c>
      <c r="BD44" s="37" t="s">
        <v>252</v>
      </c>
      <c r="BE44" s="37" t="s">
        <v>251</v>
      </c>
      <c r="BF44" s="0" t="s">
        <v>55</v>
      </c>
      <c r="BG44" s="37" t="s">
        <v>252</v>
      </c>
      <c r="BH44" s="37" t="s">
        <v>252</v>
      </c>
      <c r="BI44" s="37" t="s">
        <v>252</v>
      </c>
      <c r="BJ44" s="37" t="s">
        <v>252</v>
      </c>
      <c r="BK44" s="0" t="s">
        <v>55</v>
      </c>
    </row>
    <row r="45" customFormat="false" ht="12.8" hidden="false" customHeight="false" outlineLevel="0" collapsed="false">
      <c r="A45" s="0" t="n">
        <f aca="false">A44-1</f>
        <v>1974</v>
      </c>
      <c r="B45" s="37" t="s">
        <v>252</v>
      </c>
      <c r="C45" s="37" t="s">
        <v>252</v>
      </c>
      <c r="D45" s="37" t="s">
        <v>252</v>
      </c>
      <c r="E45" s="37" t="s">
        <v>252</v>
      </c>
      <c r="F45" s="37" t="s">
        <v>251</v>
      </c>
      <c r="G45" s="37" t="s">
        <v>251</v>
      </c>
      <c r="H45" s="37" t="s">
        <v>251</v>
      </c>
      <c r="I45" s="37" t="s">
        <v>251</v>
      </c>
      <c r="J45" s="0" t="s">
        <v>55</v>
      </c>
      <c r="K45" s="37" t="s">
        <v>251</v>
      </c>
      <c r="L45" s="37" t="s">
        <v>252</v>
      </c>
      <c r="M45" s="37" t="s">
        <v>251</v>
      </c>
      <c r="N45" s="37" t="s">
        <v>252</v>
      </c>
      <c r="O45" s="37" t="s">
        <v>252</v>
      </c>
      <c r="P45" s="37" t="s">
        <v>252</v>
      </c>
      <c r="Q45" s="37" t="s">
        <v>251</v>
      </c>
      <c r="R45" s="37" t="s">
        <v>251</v>
      </c>
      <c r="S45" s="37" t="s">
        <v>251</v>
      </c>
      <c r="T45" s="0" t="s">
        <v>55</v>
      </c>
      <c r="U45" s="37" t="s">
        <v>251</v>
      </c>
      <c r="V45" s="37" t="s">
        <v>251</v>
      </c>
      <c r="W45" s="37" t="s">
        <v>251</v>
      </c>
      <c r="X45" s="37" t="s">
        <v>251</v>
      </c>
      <c r="Y45" s="37" t="s">
        <v>251</v>
      </c>
      <c r="Z45" s="37" t="s">
        <v>251</v>
      </c>
      <c r="AA45" s="37" t="s">
        <v>251</v>
      </c>
      <c r="AB45" s="37" t="s">
        <v>251</v>
      </c>
      <c r="AC45" s="37" t="s">
        <v>251</v>
      </c>
      <c r="AD45" s="37" t="s">
        <v>251</v>
      </c>
      <c r="AE45" s="37" t="s">
        <v>252</v>
      </c>
      <c r="AF45" s="37" t="s">
        <v>252</v>
      </c>
      <c r="AG45" s="37" t="s">
        <v>252</v>
      </c>
      <c r="AH45" s="37" t="s">
        <v>252</v>
      </c>
      <c r="AI45" s="37" t="s">
        <v>252</v>
      </c>
      <c r="AJ45" s="37" t="s">
        <v>252</v>
      </c>
      <c r="AK45" s="37" t="s">
        <v>252</v>
      </c>
      <c r="AL45" s="37" t="s">
        <v>252</v>
      </c>
      <c r="AM45" s="37" t="s">
        <v>252</v>
      </c>
      <c r="AN45" s="37" t="s">
        <v>251</v>
      </c>
      <c r="AO45" s="37" t="s">
        <v>251</v>
      </c>
      <c r="AP45" s="37" t="s">
        <v>251</v>
      </c>
      <c r="AQ45" s="37" t="s">
        <v>251</v>
      </c>
      <c r="AR45" s="37" t="s">
        <v>251</v>
      </c>
      <c r="AS45" s="37" t="s">
        <v>251</v>
      </c>
      <c r="AT45" s="0" t="s">
        <v>55</v>
      </c>
      <c r="AU45" s="37" t="s">
        <v>251</v>
      </c>
      <c r="AV45" s="37" t="s">
        <v>251</v>
      </c>
      <c r="AW45" s="37" t="s">
        <v>251</v>
      </c>
      <c r="AX45" s="37" t="s">
        <v>252</v>
      </c>
      <c r="AY45" s="37" t="s">
        <v>252</v>
      </c>
      <c r="AZ45" s="37" t="s">
        <v>252</v>
      </c>
      <c r="BA45" s="37" t="s">
        <v>251</v>
      </c>
      <c r="BB45" s="37" t="s">
        <v>251</v>
      </c>
      <c r="BC45" s="37" t="s">
        <v>252</v>
      </c>
      <c r="BD45" s="37" t="s">
        <v>252</v>
      </c>
      <c r="BE45" s="37" t="s">
        <v>251</v>
      </c>
      <c r="BF45" s="0" t="s">
        <v>55</v>
      </c>
      <c r="BG45" s="37" t="s">
        <v>252</v>
      </c>
      <c r="BH45" s="37" t="s">
        <v>252</v>
      </c>
      <c r="BI45" s="37" t="s">
        <v>252</v>
      </c>
      <c r="BJ45" s="37" t="s">
        <v>252</v>
      </c>
      <c r="BK45" s="0" t="s">
        <v>55</v>
      </c>
    </row>
    <row r="46" customFormat="false" ht="12.8" hidden="false" customHeight="false" outlineLevel="0" collapsed="false">
      <c r="A46" s="0" t="n">
        <f aca="false">A45-1</f>
        <v>1973</v>
      </c>
      <c r="B46" s="37" t="s">
        <v>252</v>
      </c>
      <c r="C46" s="37" t="s">
        <v>252</v>
      </c>
      <c r="D46" s="37" t="s">
        <v>252</v>
      </c>
      <c r="E46" s="37" t="s">
        <v>252</v>
      </c>
      <c r="F46" s="37" t="s">
        <v>251</v>
      </c>
      <c r="G46" s="37" t="s">
        <v>251</v>
      </c>
      <c r="H46" s="37" t="s">
        <v>251</v>
      </c>
      <c r="I46" s="37" t="s">
        <v>251</v>
      </c>
      <c r="J46" s="0" t="s">
        <v>55</v>
      </c>
      <c r="K46" s="37" t="s">
        <v>251</v>
      </c>
      <c r="L46" s="37" t="s">
        <v>252</v>
      </c>
      <c r="M46" s="37" t="s">
        <v>251</v>
      </c>
      <c r="N46" s="37" t="s">
        <v>252</v>
      </c>
      <c r="O46" s="37" t="s">
        <v>252</v>
      </c>
      <c r="P46" s="37" t="s">
        <v>252</v>
      </c>
      <c r="Q46" s="37" t="s">
        <v>251</v>
      </c>
      <c r="R46" s="37" t="s">
        <v>251</v>
      </c>
      <c r="S46" s="37" t="s">
        <v>251</v>
      </c>
      <c r="T46" s="0" t="s">
        <v>55</v>
      </c>
      <c r="U46" s="37" t="s">
        <v>251</v>
      </c>
      <c r="V46" s="37" t="s">
        <v>251</v>
      </c>
      <c r="W46" s="37" t="s">
        <v>251</v>
      </c>
      <c r="X46" s="37" t="s">
        <v>251</v>
      </c>
      <c r="Y46" s="37" t="s">
        <v>251</v>
      </c>
      <c r="Z46" s="37" t="s">
        <v>251</v>
      </c>
      <c r="AA46" s="37" t="s">
        <v>251</v>
      </c>
      <c r="AB46" s="37" t="s">
        <v>251</v>
      </c>
      <c r="AC46" s="37" t="s">
        <v>251</v>
      </c>
      <c r="AD46" s="37" t="s">
        <v>251</v>
      </c>
      <c r="AE46" s="37" t="s">
        <v>252</v>
      </c>
      <c r="AF46" s="37" t="s">
        <v>252</v>
      </c>
      <c r="AG46" s="37" t="s">
        <v>252</v>
      </c>
      <c r="AH46" s="37" t="s">
        <v>252</v>
      </c>
      <c r="AI46" s="37" t="s">
        <v>252</v>
      </c>
      <c r="AJ46" s="37" t="s">
        <v>252</v>
      </c>
      <c r="AK46" s="37" t="s">
        <v>252</v>
      </c>
      <c r="AL46" s="37" t="s">
        <v>252</v>
      </c>
      <c r="AM46" s="37" t="s">
        <v>252</v>
      </c>
      <c r="AN46" s="37" t="s">
        <v>251</v>
      </c>
      <c r="AO46" s="37" t="s">
        <v>251</v>
      </c>
      <c r="AP46" s="37" t="s">
        <v>251</v>
      </c>
      <c r="AQ46" s="37" t="s">
        <v>251</v>
      </c>
      <c r="AR46" s="37" t="s">
        <v>251</v>
      </c>
      <c r="AS46" s="37" t="s">
        <v>251</v>
      </c>
      <c r="AT46" s="0" t="s">
        <v>55</v>
      </c>
      <c r="AU46" s="37" t="s">
        <v>251</v>
      </c>
      <c r="AV46" s="37" t="s">
        <v>251</v>
      </c>
      <c r="AW46" s="37" t="s">
        <v>251</v>
      </c>
      <c r="AX46" s="37" t="s">
        <v>252</v>
      </c>
      <c r="AY46" s="37" t="s">
        <v>252</v>
      </c>
      <c r="AZ46" s="37" t="s">
        <v>252</v>
      </c>
      <c r="BA46" s="37" t="s">
        <v>251</v>
      </c>
      <c r="BB46" s="37" t="s">
        <v>251</v>
      </c>
      <c r="BC46" s="37" t="s">
        <v>252</v>
      </c>
      <c r="BD46" s="37" t="s">
        <v>252</v>
      </c>
      <c r="BE46" s="37" t="s">
        <v>251</v>
      </c>
      <c r="BF46" s="0" t="s">
        <v>55</v>
      </c>
      <c r="BG46" s="37" t="s">
        <v>252</v>
      </c>
      <c r="BH46" s="37" t="s">
        <v>252</v>
      </c>
      <c r="BI46" s="37" t="s">
        <v>252</v>
      </c>
      <c r="BJ46" s="37" t="s">
        <v>252</v>
      </c>
      <c r="BK46" s="0" t="s">
        <v>55</v>
      </c>
    </row>
    <row r="47" customFormat="false" ht="12.8" hidden="false" customHeight="false" outlineLevel="0" collapsed="false">
      <c r="A47" s="0" t="n">
        <f aca="false">A46-1</f>
        <v>1972</v>
      </c>
      <c r="B47" s="37" t="s">
        <v>252</v>
      </c>
      <c r="C47" s="37" t="s">
        <v>252</v>
      </c>
      <c r="D47" s="37" t="s">
        <v>252</v>
      </c>
      <c r="E47" s="37" t="s">
        <v>252</v>
      </c>
      <c r="F47" s="37" t="s">
        <v>251</v>
      </c>
      <c r="G47" s="37" t="s">
        <v>251</v>
      </c>
      <c r="H47" s="37" t="s">
        <v>251</v>
      </c>
      <c r="I47" s="37" t="s">
        <v>251</v>
      </c>
      <c r="J47" s="0" t="s">
        <v>55</v>
      </c>
      <c r="K47" s="37" t="s">
        <v>251</v>
      </c>
      <c r="L47" s="37" t="s">
        <v>252</v>
      </c>
      <c r="M47" s="37" t="s">
        <v>251</v>
      </c>
      <c r="N47" s="37" t="s">
        <v>252</v>
      </c>
      <c r="O47" s="37" t="s">
        <v>252</v>
      </c>
      <c r="P47" s="37" t="s">
        <v>252</v>
      </c>
      <c r="Q47" s="37" t="s">
        <v>251</v>
      </c>
      <c r="R47" s="37" t="s">
        <v>251</v>
      </c>
      <c r="S47" s="37" t="s">
        <v>251</v>
      </c>
      <c r="T47" s="0" t="s">
        <v>55</v>
      </c>
      <c r="U47" s="37" t="s">
        <v>251</v>
      </c>
      <c r="V47" s="37" t="s">
        <v>251</v>
      </c>
      <c r="W47" s="37" t="s">
        <v>251</v>
      </c>
      <c r="X47" s="37" t="s">
        <v>251</v>
      </c>
      <c r="Y47" s="37" t="s">
        <v>251</v>
      </c>
      <c r="Z47" s="37" t="s">
        <v>251</v>
      </c>
      <c r="AA47" s="37" t="s">
        <v>251</v>
      </c>
      <c r="AB47" s="37" t="s">
        <v>251</v>
      </c>
      <c r="AC47" s="37" t="s">
        <v>251</v>
      </c>
      <c r="AD47" s="37" t="s">
        <v>251</v>
      </c>
      <c r="AE47" s="37" t="s">
        <v>252</v>
      </c>
      <c r="AF47" s="37" t="s">
        <v>252</v>
      </c>
      <c r="AG47" s="37" t="s">
        <v>252</v>
      </c>
      <c r="AH47" s="37" t="s">
        <v>252</v>
      </c>
      <c r="AI47" s="37" t="s">
        <v>252</v>
      </c>
      <c r="AJ47" s="37" t="s">
        <v>252</v>
      </c>
      <c r="AK47" s="37" t="s">
        <v>252</v>
      </c>
      <c r="AL47" s="37" t="s">
        <v>252</v>
      </c>
      <c r="AM47" s="37" t="s">
        <v>252</v>
      </c>
      <c r="AN47" s="37" t="s">
        <v>251</v>
      </c>
      <c r="AO47" s="37" t="s">
        <v>251</v>
      </c>
      <c r="AP47" s="37" t="s">
        <v>251</v>
      </c>
      <c r="AQ47" s="37" t="s">
        <v>251</v>
      </c>
      <c r="AR47" s="37" t="s">
        <v>251</v>
      </c>
      <c r="AS47" s="37" t="s">
        <v>251</v>
      </c>
      <c r="AT47" s="0" t="s">
        <v>55</v>
      </c>
      <c r="AU47" s="37" t="s">
        <v>251</v>
      </c>
      <c r="AV47" s="37" t="s">
        <v>251</v>
      </c>
      <c r="AW47" s="37" t="s">
        <v>251</v>
      </c>
      <c r="AX47" s="37" t="s">
        <v>252</v>
      </c>
      <c r="AY47" s="37" t="s">
        <v>252</v>
      </c>
      <c r="AZ47" s="37" t="s">
        <v>252</v>
      </c>
      <c r="BA47" s="37" t="s">
        <v>251</v>
      </c>
      <c r="BB47" s="37" t="s">
        <v>251</v>
      </c>
      <c r="BC47" s="37" t="s">
        <v>252</v>
      </c>
      <c r="BD47" s="37" t="s">
        <v>252</v>
      </c>
      <c r="BE47" s="37" t="s">
        <v>251</v>
      </c>
      <c r="BF47" s="0" t="s">
        <v>55</v>
      </c>
      <c r="BG47" s="37" t="s">
        <v>252</v>
      </c>
      <c r="BH47" s="37" t="s">
        <v>252</v>
      </c>
      <c r="BI47" s="37" t="s">
        <v>252</v>
      </c>
      <c r="BJ47" s="37" t="s">
        <v>252</v>
      </c>
      <c r="BK47" s="0" t="s">
        <v>55</v>
      </c>
    </row>
    <row r="48" customFormat="false" ht="12.8" hidden="false" customHeight="false" outlineLevel="0" collapsed="false">
      <c r="A48" s="0" t="n">
        <f aca="false">A47-1</f>
        <v>1971</v>
      </c>
      <c r="B48" s="37" t="s">
        <v>252</v>
      </c>
      <c r="C48" s="37" t="s">
        <v>252</v>
      </c>
      <c r="D48" s="37" t="s">
        <v>252</v>
      </c>
      <c r="E48" s="37" t="s">
        <v>252</v>
      </c>
      <c r="F48" s="37" t="s">
        <v>251</v>
      </c>
      <c r="G48" s="37" t="s">
        <v>251</v>
      </c>
      <c r="H48" s="37" t="s">
        <v>251</v>
      </c>
      <c r="I48" s="37" t="s">
        <v>251</v>
      </c>
      <c r="J48" s="0" t="s">
        <v>55</v>
      </c>
      <c r="K48" s="37" t="s">
        <v>251</v>
      </c>
      <c r="L48" s="37" t="s">
        <v>252</v>
      </c>
      <c r="M48" s="37" t="s">
        <v>251</v>
      </c>
      <c r="N48" s="37" t="s">
        <v>252</v>
      </c>
      <c r="O48" s="37" t="s">
        <v>252</v>
      </c>
      <c r="P48" s="37" t="s">
        <v>252</v>
      </c>
      <c r="Q48" s="37" t="s">
        <v>251</v>
      </c>
      <c r="R48" s="37" t="s">
        <v>251</v>
      </c>
      <c r="S48" s="37" t="s">
        <v>251</v>
      </c>
      <c r="T48" s="0" t="s">
        <v>55</v>
      </c>
      <c r="U48" s="37" t="s">
        <v>251</v>
      </c>
      <c r="V48" s="37" t="s">
        <v>251</v>
      </c>
      <c r="W48" s="37" t="s">
        <v>251</v>
      </c>
      <c r="X48" s="37" t="s">
        <v>251</v>
      </c>
      <c r="Y48" s="37" t="s">
        <v>251</v>
      </c>
      <c r="Z48" s="37" t="s">
        <v>251</v>
      </c>
      <c r="AA48" s="37" t="s">
        <v>251</v>
      </c>
      <c r="AB48" s="37" t="s">
        <v>251</v>
      </c>
      <c r="AC48" s="37" t="s">
        <v>251</v>
      </c>
      <c r="AD48" s="37" t="s">
        <v>251</v>
      </c>
      <c r="AE48" s="37" t="s">
        <v>252</v>
      </c>
      <c r="AF48" s="37" t="s">
        <v>252</v>
      </c>
      <c r="AG48" s="37" t="s">
        <v>252</v>
      </c>
      <c r="AH48" s="37" t="s">
        <v>252</v>
      </c>
      <c r="AI48" s="37" t="s">
        <v>252</v>
      </c>
      <c r="AJ48" s="37" t="s">
        <v>252</v>
      </c>
      <c r="AK48" s="37" t="s">
        <v>252</v>
      </c>
      <c r="AL48" s="37" t="s">
        <v>252</v>
      </c>
      <c r="AM48" s="37" t="s">
        <v>252</v>
      </c>
      <c r="AN48" s="37" t="s">
        <v>251</v>
      </c>
      <c r="AO48" s="37" t="s">
        <v>251</v>
      </c>
      <c r="AP48" s="37" t="s">
        <v>251</v>
      </c>
      <c r="AQ48" s="37" t="s">
        <v>251</v>
      </c>
      <c r="AR48" s="37" t="s">
        <v>251</v>
      </c>
      <c r="AS48" s="37" t="s">
        <v>251</v>
      </c>
      <c r="AT48" s="0" t="s">
        <v>55</v>
      </c>
      <c r="AU48" s="37" t="s">
        <v>251</v>
      </c>
      <c r="AV48" s="37" t="s">
        <v>251</v>
      </c>
      <c r="AW48" s="37" t="s">
        <v>251</v>
      </c>
      <c r="AX48" s="37" t="s">
        <v>252</v>
      </c>
      <c r="AY48" s="37" t="s">
        <v>252</v>
      </c>
      <c r="AZ48" s="37" t="s">
        <v>252</v>
      </c>
      <c r="BA48" s="37" t="s">
        <v>251</v>
      </c>
      <c r="BB48" s="37" t="s">
        <v>251</v>
      </c>
      <c r="BC48" s="37" t="s">
        <v>252</v>
      </c>
      <c r="BD48" s="37" t="s">
        <v>252</v>
      </c>
      <c r="BE48" s="37" t="s">
        <v>251</v>
      </c>
      <c r="BF48" s="0" t="s">
        <v>55</v>
      </c>
      <c r="BG48" s="37" t="s">
        <v>252</v>
      </c>
      <c r="BH48" s="37" t="s">
        <v>252</v>
      </c>
      <c r="BI48" s="37" t="s">
        <v>252</v>
      </c>
      <c r="BJ48" s="37" t="s">
        <v>252</v>
      </c>
      <c r="BK48" s="0" t="s">
        <v>55</v>
      </c>
    </row>
    <row r="49" customFormat="false" ht="12.8" hidden="false" customHeight="false" outlineLevel="0" collapsed="false">
      <c r="A49" s="0" t="n">
        <f aca="false">A48-1</f>
        <v>1970</v>
      </c>
      <c r="B49" s="37" t="s">
        <v>252</v>
      </c>
      <c r="C49" s="37" t="s">
        <v>252</v>
      </c>
      <c r="D49" s="37" t="s">
        <v>252</v>
      </c>
      <c r="E49" s="37" t="s">
        <v>252</v>
      </c>
      <c r="F49" s="37" t="s">
        <v>251</v>
      </c>
      <c r="G49" s="37" t="s">
        <v>251</v>
      </c>
      <c r="H49" s="37" t="s">
        <v>251</v>
      </c>
      <c r="I49" s="37" t="s">
        <v>251</v>
      </c>
      <c r="J49" s="0" t="s">
        <v>55</v>
      </c>
      <c r="K49" s="37" t="s">
        <v>251</v>
      </c>
      <c r="L49" s="37" t="s">
        <v>252</v>
      </c>
      <c r="M49" s="37" t="s">
        <v>251</v>
      </c>
      <c r="N49" s="37" t="s">
        <v>252</v>
      </c>
      <c r="O49" s="37" t="s">
        <v>252</v>
      </c>
      <c r="P49" s="37" t="s">
        <v>252</v>
      </c>
      <c r="Q49" s="37" t="s">
        <v>251</v>
      </c>
      <c r="R49" s="37" t="s">
        <v>251</v>
      </c>
      <c r="S49" s="37" t="s">
        <v>251</v>
      </c>
      <c r="T49" s="0" t="s">
        <v>55</v>
      </c>
      <c r="U49" s="37" t="s">
        <v>251</v>
      </c>
      <c r="V49" s="37" t="s">
        <v>251</v>
      </c>
      <c r="W49" s="37" t="s">
        <v>251</v>
      </c>
      <c r="X49" s="37" t="s">
        <v>251</v>
      </c>
      <c r="Y49" s="37" t="s">
        <v>251</v>
      </c>
      <c r="Z49" s="37" t="s">
        <v>251</v>
      </c>
      <c r="AA49" s="37" t="s">
        <v>251</v>
      </c>
      <c r="AB49" s="37" t="s">
        <v>251</v>
      </c>
      <c r="AC49" s="37" t="s">
        <v>251</v>
      </c>
      <c r="AD49" s="37" t="s">
        <v>251</v>
      </c>
      <c r="AE49" s="37" t="s">
        <v>252</v>
      </c>
      <c r="AF49" s="37" t="s">
        <v>252</v>
      </c>
      <c r="AG49" s="37" t="s">
        <v>252</v>
      </c>
      <c r="AH49" s="37" t="s">
        <v>252</v>
      </c>
      <c r="AI49" s="37" t="s">
        <v>252</v>
      </c>
      <c r="AJ49" s="37" t="s">
        <v>252</v>
      </c>
      <c r="AK49" s="37" t="s">
        <v>252</v>
      </c>
      <c r="AL49" s="37" t="s">
        <v>252</v>
      </c>
      <c r="AM49" s="37" t="s">
        <v>252</v>
      </c>
      <c r="AN49" s="37" t="s">
        <v>251</v>
      </c>
      <c r="AO49" s="37" t="s">
        <v>251</v>
      </c>
      <c r="AP49" s="37" t="s">
        <v>251</v>
      </c>
      <c r="AQ49" s="37" t="s">
        <v>251</v>
      </c>
      <c r="AR49" s="37" t="s">
        <v>251</v>
      </c>
      <c r="AS49" s="37" t="s">
        <v>251</v>
      </c>
      <c r="AT49" s="0" t="s">
        <v>55</v>
      </c>
      <c r="AU49" s="37" t="s">
        <v>251</v>
      </c>
      <c r="AV49" s="37" t="s">
        <v>251</v>
      </c>
      <c r="AW49" s="37" t="s">
        <v>251</v>
      </c>
      <c r="AX49" s="37" t="s">
        <v>252</v>
      </c>
      <c r="AY49" s="37" t="s">
        <v>252</v>
      </c>
      <c r="AZ49" s="37" t="s">
        <v>252</v>
      </c>
      <c r="BA49" s="37" t="s">
        <v>251</v>
      </c>
      <c r="BB49" s="37" t="s">
        <v>251</v>
      </c>
      <c r="BC49" s="37" t="s">
        <v>252</v>
      </c>
      <c r="BD49" s="37" t="s">
        <v>252</v>
      </c>
      <c r="BE49" s="37" t="s">
        <v>251</v>
      </c>
      <c r="BF49" s="0" t="s">
        <v>55</v>
      </c>
      <c r="BG49" s="37" t="s">
        <v>252</v>
      </c>
      <c r="BH49" s="37" t="s">
        <v>252</v>
      </c>
      <c r="BI49" s="37" t="s">
        <v>252</v>
      </c>
      <c r="BJ49" s="37" t="s">
        <v>252</v>
      </c>
      <c r="BK49" s="0" t="s">
        <v>55</v>
      </c>
    </row>
    <row r="50" customFormat="false" ht="12.8" hidden="false" customHeight="false" outlineLevel="0" collapsed="false">
      <c r="A50" s="0" t="n">
        <f aca="false">A49-1</f>
        <v>1969</v>
      </c>
      <c r="B50" s="37" t="s">
        <v>252</v>
      </c>
      <c r="C50" s="37" t="s">
        <v>252</v>
      </c>
      <c r="D50" s="37" t="s">
        <v>252</v>
      </c>
      <c r="E50" s="37" t="s">
        <v>252</v>
      </c>
      <c r="F50" s="37" t="s">
        <v>251</v>
      </c>
      <c r="G50" s="37" t="s">
        <v>251</v>
      </c>
      <c r="H50" s="37" t="s">
        <v>251</v>
      </c>
      <c r="I50" s="37" t="s">
        <v>251</v>
      </c>
      <c r="J50" s="0" t="s">
        <v>55</v>
      </c>
      <c r="K50" s="37" t="s">
        <v>251</v>
      </c>
      <c r="L50" s="37" t="s">
        <v>252</v>
      </c>
      <c r="M50" s="37" t="s">
        <v>251</v>
      </c>
      <c r="N50" s="37" t="s">
        <v>252</v>
      </c>
      <c r="O50" s="37" t="s">
        <v>252</v>
      </c>
      <c r="P50" s="37" t="s">
        <v>252</v>
      </c>
      <c r="Q50" s="37" t="s">
        <v>251</v>
      </c>
      <c r="R50" s="37" t="s">
        <v>251</v>
      </c>
      <c r="S50" s="37" t="s">
        <v>251</v>
      </c>
      <c r="T50" s="0" t="s">
        <v>55</v>
      </c>
      <c r="U50" s="37" t="s">
        <v>251</v>
      </c>
      <c r="V50" s="37" t="s">
        <v>251</v>
      </c>
      <c r="W50" s="37" t="s">
        <v>251</v>
      </c>
      <c r="X50" s="37" t="s">
        <v>251</v>
      </c>
      <c r="Y50" s="37" t="s">
        <v>251</v>
      </c>
      <c r="Z50" s="37" t="s">
        <v>251</v>
      </c>
      <c r="AA50" s="37" t="s">
        <v>251</v>
      </c>
      <c r="AB50" s="37" t="s">
        <v>251</v>
      </c>
      <c r="AC50" s="37" t="s">
        <v>251</v>
      </c>
      <c r="AD50" s="37" t="s">
        <v>251</v>
      </c>
      <c r="AE50" s="37" t="s">
        <v>252</v>
      </c>
      <c r="AF50" s="37" t="s">
        <v>252</v>
      </c>
      <c r="AG50" s="37" t="s">
        <v>252</v>
      </c>
      <c r="AH50" s="37" t="s">
        <v>252</v>
      </c>
      <c r="AI50" s="37" t="s">
        <v>252</v>
      </c>
      <c r="AJ50" s="37" t="s">
        <v>252</v>
      </c>
      <c r="AK50" s="37" t="s">
        <v>252</v>
      </c>
      <c r="AL50" s="37" t="s">
        <v>252</v>
      </c>
      <c r="AM50" s="37" t="s">
        <v>252</v>
      </c>
      <c r="AN50" s="37" t="s">
        <v>251</v>
      </c>
      <c r="AO50" s="37" t="s">
        <v>251</v>
      </c>
      <c r="AP50" s="37" t="s">
        <v>251</v>
      </c>
      <c r="AQ50" s="37" t="s">
        <v>251</v>
      </c>
      <c r="AR50" s="37" t="s">
        <v>251</v>
      </c>
      <c r="AS50" s="37" t="s">
        <v>251</v>
      </c>
      <c r="AT50" s="0" t="s">
        <v>55</v>
      </c>
      <c r="AU50" s="37" t="s">
        <v>251</v>
      </c>
      <c r="AV50" s="37" t="s">
        <v>251</v>
      </c>
      <c r="AW50" s="37" t="s">
        <v>251</v>
      </c>
      <c r="AX50" s="37" t="s">
        <v>252</v>
      </c>
      <c r="AY50" s="37" t="s">
        <v>252</v>
      </c>
      <c r="AZ50" s="37" t="s">
        <v>252</v>
      </c>
      <c r="BA50" s="37" t="s">
        <v>251</v>
      </c>
      <c r="BB50" s="37" t="s">
        <v>251</v>
      </c>
      <c r="BC50" s="37" t="s">
        <v>252</v>
      </c>
      <c r="BD50" s="37" t="s">
        <v>252</v>
      </c>
      <c r="BE50" s="37" t="s">
        <v>251</v>
      </c>
      <c r="BF50" s="0" t="s">
        <v>55</v>
      </c>
      <c r="BG50" s="37" t="s">
        <v>252</v>
      </c>
      <c r="BH50" s="37" t="s">
        <v>252</v>
      </c>
      <c r="BI50" s="37" t="s">
        <v>252</v>
      </c>
      <c r="BJ50" s="37" t="s">
        <v>252</v>
      </c>
      <c r="BK50" s="0" t="s">
        <v>55</v>
      </c>
    </row>
    <row r="51" customFormat="false" ht="12.8" hidden="false" customHeight="false" outlineLevel="0" collapsed="false">
      <c r="A51" s="0" t="n">
        <f aca="false">A50-1</f>
        <v>1968</v>
      </c>
      <c r="B51" s="37" t="s">
        <v>252</v>
      </c>
      <c r="C51" s="37" t="s">
        <v>252</v>
      </c>
      <c r="D51" s="37" t="s">
        <v>252</v>
      </c>
      <c r="E51" s="37" t="s">
        <v>252</v>
      </c>
      <c r="F51" s="37" t="s">
        <v>251</v>
      </c>
      <c r="G51" s="37" t="s">
        <v>251</v>
      </c>
      <c r="H51" s="37" t="s">
        <v>251</v>
      </c>
      <c r="I51" s="37" t="s">
        <v>251</v>
      </c>
      <c r="J51" s="0" t="s">
        <v>55</v>
      </c>
      <c r="K51" s="37" t="s">
        <v>251</v>
      </c>
      <c r="L51" s="37" t="s">
        <v>252</v>
      </c>
      <c r="M51" s="37" t="s">
        <v>251</v>
      </c>
      <c r="N51" s="37" t="s">
        <v>252</v>
      </c>
      <c r="O51" s="37" t="s">
        <v>252</v>
      </c>
      <c r="P51" s="37" t="s">
        <v>252</v>
      </c>
      <c r="Q51" s="37" t="s">
        <v>251</v>
      </c>
      <c r="R51" s="37" t="s">
        <v>251</v>
      </c>
      <c r="S51" s="37" t="s">
        <v>251</v>
      </c>
      <c r="T51" s="0" t="s">
        <v>55</v>
      </c>
      <c r="U51" s="37" t="s">
        <v>251</v>
      </c>
      <c r="V51" s="37" t="s">
        <v>251</v>
      </c>
      <c r="W51" s="37" t="s">
        <v>251</v>
      </c>
      <c r="X51" s="37" t="s">
        <v>251</v>
      </c>
      <c r="Y51" s="37" t="s">
        <v>251</v>
      </c>
      <c r="Z51" s="37" t="s">
        <v>251</v>
      </c>
      <c r="AA51" s="37" t="s">
        <v>251</v>
      </c>
      <c r="AB51" s="37" t="s">
        <v>251</v>
      </c>
      <c r="AC51" s="37" t="s">
        <v>251</v>
      </c>
      <c r="AD51" s="37" t="s">
        <v>251</v>
      </c>
      <c r="AE51" s="37" t="s">
        <v>252</v>
      </c>
      <c r="AF51" s="37" t="s">
        <v>252</v>
      </c>
      <c r="AG51" s="37" t="s">
        <v>252</v>
      </c>
      <c r="AH51" s="37" t="s">
        <v>252</v>
      </c>
      <c r="AI51" s="37" t="s">
        <v>252</v>
      </c>
      <c r="AJ51" s="37" t="s">
        <v>252</v>
      </c>
      <c r="AK51" s="37" t="s">
        <v>252</v>
      </c>
      <c r="AL51" s="37" t="s">
        <v>252</v>
      </c>
      <c r="AM51" s="37" t="s">
        <v>252</v>
      </c>
      <c r="AN51" s="37" t="s">
        <v>251</v>
      </c>
      <c r="AO51" s="37" t="s">
        <v>251</v>
      </c>
      <c r="AP51" s="37" t="s">
        <v>251</v>
      </c>
      <c r="AQ51" s="37" t="s">
        <v>251</v>
      </c>
      <c r="AR51" s="37" t="s">
        <v>251</v>
      </c>
      <c r="AS51" s="37" t="s">
        <v>251</v>
      </c>
      <c r="AT51" s="0" t="s">
        <v>55</v>
      </c>
      <c r="AU51" s="37" t="s">
        <v>251</v>
      </c>
      <c r="AV51" s="37" t="s">
        <v>251</v>
      </c>
      <c r="AW51" s="37" t="s">
        <v>251</v>
      </c>
      <c r="AX51" s="37" t="s">
        <v>252</v>
      </c>
      <c r="AY51" s="37" t="s">
        <v>252</v>
      </c>
      <c r="AZ51" s="37" t="s">
        <v>252</v>
      </c>
      <c r="BA51" s="37" t="s">
        <v>251</v>
      </c>
      <c r="BB51" s="37" t="s">
        <v>251</v>
      </c>
      <c r="BC51" s="37" t="s">
        <v>252</v>
      </c>
      <c r="BD51" s="37" t="s">
        <v>252</v>
      </c>
      <c r="BE51" s="37" t="s">
        <v>251</v>
      </c>
      <c r="BF51" s="0" t="s">
        <v>55</v>
      </c>
      <c r="BG51" s="37" t="s">
        <v>252</v>
      </c>
      <c r="BH51" s="37" t="s">
        <v>252</v>
      </c>
      <c r="BI51" s="37" t="s">
        <v>252</v>
      </c>
      <c r="BJ51" s="37" t="s">
        <v>252</v>
      </c>
      <c r="BK51" s="0" t="s">
        <v>55</v>
      </c>
    </row>
    <row r="52" customFormat="false" ht="12.8" hidden="false" customHeight="false" outlineLevel="0" collapsed="false">
      <c r="A52" s="0" t="n">
        <f aca="false">A51-1</f>
        <v>1967</v>
      </c>
      <c r="B52" s="37" t="s">
        <v>252</v>
      </c>
      <c r="C52" s="37" t="s">
        <v>252</v>
      </c>
      <c r="D52" s="37" t="s">
        <v>252</v>
      </c>
      <c r="E52" s="37" t="s">
        <v>252</v>
      </c>
      <c r="F52" s="37" t="s">
        <v>251</v>
      </c>
      <c r="G52" s="37" t="s">
        <v>251</v>
      </c>
      <c r="H52" s="37" t="s">
        <v>251</v>
      </c>
      <c r="I52" s="37" t="s">
        <v>251</v>
      </c>
      <c r="J52" s="0" t="s">
        <v>55</v>
      </c>
      <c r="K52" s="37" t="s">
        <v>251</v>
      </c>
      <c r="L52" s="37" t="s">
        <v>252</v>
      </c>
      <c r="M52" s="37" t="s">
        <v>251</v>
      </c>
      <c r="N52" s="37" t="s">
        <v>252</v>
      </c>
      <c r="O52" s="37" t="s">
        <v>252</v>
      </c>
      <c r="P52" s="37" t="s">
        <v>252</v>
      </c>
      <c r="Q52" s="37" t="s">
        <v>251</v>
      </c>
      <c r="R52" s="37" t="s">
        <v>251</v>
      </c>
      <c r="S52" s="37" t="s">
        <v>251</v>
      </c>
      <c r="T52" s="0" t="s">
        <v>55</v>
      </c>
      <c r="U52" s="37" t="s">
        <v>251</v>
      </c>
      <c r="V52" s="37" t="s">
        <v>251</v>
      </c>
      <c r="W52" s="37" t="s">
        <v>251</v>
      </c>
      <c r="X52" s="37" t="s">
        <v>251</v>
      </c>
      <c r="Y52" s="37" t="s">
        <v>251</v>
      </c>
      <c r="Z52" s="37" t="s">
        <v>251</v>
      </c>
      <c r="AA52" s="37" t="s">
        <v>251</v>
      </c>
      <c r="AB52" s="37" t="s">
        <v>251</v>
      </c>
      <c r="AC52" s="37" t="s">
        <v>251</v>
      </c>
      <c r="AD52" s="37" t="s">
        <v>251</v>
      </c>
      <c r="AE52" s="37" t="s">
        <v>252</v>
      </c>
      <c r="AF52" s="37" t="s">
        <v>252</v>
      </c>
      <c r="AG52" s="37" t="s">
        <v>252</v>
      </c>
      <c r="AH52" s="37" t="s">
        <v>252</v>
      </c>
      <c r="AI52" s="37" t="s">
        <v>252</v>
      </c>
      <c r="AJ52" s="37" t="s">
        <v>252</v>
      </c>
      <c r="AK52" s="37" t="s">
        <v>252</v>
      </c>
      <c r="AL52" s="37" t="s">
        <v>252</v>
      </c>
      <c r="AM52" s="37" t="s">
        <v>252</v>
      </c>
      <c r="AN52" s="37" t="s">
        <v>251</v>
      </c>
      <c r="AO52" s="37" t="s">
        <v>251</v>
      </c>
      <c r="AP52" s="37" t="s">
        <v>251</v>
      </c>
      <c r="AQ52" s="37" t="s">
        <v>251</v>
      </c>
      <c r="AR52" s="37" t="s">
        <v>251</v>
      </c>
      <c r="AS52" s="37" t="s">
        <v>251</v>
      </c>
      <c r="AT52" s="0" t="s">
        <v>55</v>
      </c>
      <c r="AU52" s="37" t="s">
        <v>251</v>
      </c>
      <c r="AV52" s="37" t="s">
        <v>251</v>
      </c>
      <c r="AW52" s="37" t="s">
        <v>251</v>
      </c>
      <c r="AX52" s="37" t="s">
        <v>252</v>
      </c>
      <c r="AY52" s="37" t="s">
        <v>252</v>
      </c>
      <c r="AZ52" s="37" t="s">
        <v>252</v>
      </c>
      <c r="BA52" s="37" t="s">
        <v>251</v>
      </c>
      <c r="BB52" s="37" t="s">
        <v>251</v>
      </c>
      <c r="BC52" s="37" t="s">
        <v>252</v>
      </c>
      <c r="BD52" s="37" t="s">
        <v>252</v>
      </c>
      <c r="BE52" s="37" t="s">
        <v>251</v>
      </c>
      <c r="BF52" s="0" t="s">
        <v>55</v>
      </c>
      <c r="BG52" s="37" t="s">
        <v>252</v>
      </c>
      <c r="BH52" s="37" t="s">
        <v>252</v>
      </c>
      <c r="BI52" s="37" t="s">
        <v>252</v>
      </c>
      <c r="BJ52" s="37" t="s">
        <v>252</v>
      </c>
      <c r="BK52" s="0" t="s">
        <v>55</v>
      </c>
    </row>
    <row r="53" customFormat="false" ht="12.8" hidden="false" customHeight="false" outlineLevel="0" collapsed="false">
      <c r="A53" s="0" t="n">
        <f aca="false">A52-1</f>
        <v>1966</v>
      </c>
      <c r="B53" s="37" t="s">
        <v>252</v>
      </c>
      <c r="C53" s="37" t="s">
        <v>252</v>
      </c>
      <c r="D53" s="37" t="s">
        <v>252</v>
      </c>
      <c r="E53" s="37" t="s">
        <v>252</v>
      </c>
      <c r="F53" s="37" t="s">
        <v>251</v>
      </c>
      <c r="G53" s="37" t="s">
        <v>251</v>
      </c>
      <c r="H53" s="37" t="s">
        <v>251</v>
      </c>
      <c r="I53" s="37" t="s">
        <v>251</v>
      </c>
      <c r="J53" s="0" t="s">
        <v>55</v>
      </c>
      <c r="K53" s="37" t="s">
        <v>251</v>
      </c>
      <c r="L53" s="37" t="s">
        <v>252</v>
      </c>
      <c r="M53" s="37" t="s">
        <v>251</v>
      </c>
      <c r="N53" s="37" t="s">
        <v>252</v>
      </c>
      <c r="O53" s="37" t="s">
        <v>252</v>
      </c>
      <c r="P53" s="37" t="s">
        <v>252</v>
      </c>
      <c r="Q53" s="37" t="s">
        <v>251</v>
      </c>
      <c r="R53" s="37" t="s">
        <v>251</v>
      </c>
      <c r="S53" s="37" t="s">
        <v>251</v>
      </c>
      <c r="T53" s="0" t="s">
        <v>55</v>
      </c>
      <c r="U53" s="37" t="s">
        <v>251</v>
      </c>
      <c r="V53" s="37" t="s">
        <v>251</v>
      </c>
      <c r="W53" s="37" t="s">
        <v>251</v>
      </c>
      <c r="X53" s="37" t="s">
        <v>251</v>
      </c>
      <c r="Y53" s="37" t="s">
        <v>251</v>
      </c>
      <c r="Z53" s="37" t="s">
        <v>251</v>
      </c>
      <c r="AA53" s="37" t="s">
        <v>251</v>
      </c>
      <c r="AB53" s="37" t="s">
        <v>251</v>
      </c>
      <c r="AC53" s="37" t="s">
        <v>251</v>
      </c>
      <c r="AD53" s="37" t="s">
        <v>251</v>
      </c>
      <c r="AE53" s="37" t="s">
        <v>252</v>
      </c>
      <c r="AF53" s="37" t="s">
        <v>252</v>
      </c>
      <c r="AG53" s="37" t="s">
        <v>252</v>
      </c>
      <c r="AH53" s="37" t="s">
        <v>252</v>
      </c>
      <c r="AI53" s="37" t="s">
        <v>252</v>
      </c>
      <c r="AJ53" s="37" t="s">
        <v>252</v>
      </c>
      <c r="AK53" s="37" t="s">
        <v>252</v>
      </c>
      <c r="AL53" s="37" t="s">
        <v>252</v>
      </c>
      <c r="AM53" s="37" t="s">
        <v>252</v>
      </c>
      <c r="AN53" s="37" t="s">
        <v>251</v>
      </c>
      <c r="AO53" s="37" t="s">
        <v>251</v>
      </c>
      <c r="AP53" s="37" t="s">
        <v>251</v>
      </c>
      <c r="AQ53" s="37" t="s">
        <v>251</v>
      </c>
      <c r="AR53" s="37" t="s">
        <v>251</v>
      </c>
      <c r="AS53" s="37" t="s">
        <v>251</v>
      </c>
      <c r="AT53" s="0" t="s">
        <v>55</v>
      </c>
      <c r="AU53" s="37" t="s">
        <v>251</v>
      </c>
      <c r="AV53" s="37" t="s">
        <v>251</v>
      </c>
      <c r="AW53" s="37" t="s">
        <v>251</v>
      </c>
      <c r="AX53" s="37" t="s">
        <v>252</v>
      </c>
      <c r="AY53" s="37" t="s">
        <v>252</v>
      </c>
      <c r="AZ53" s="37" t="s">
        <v>252</v>
      </c>
      <c r="BA53" s="37" t="s">
        <v>251</v>
      </c>
      <c r="BB53" s="37" t="s">
        <v>251</v>
      </c>
      <c r="BC53" s="37" t="s">
        <v>252</v>
      </c>
      <c r="BD53" s="37" t="s">
        <v>252</v>
      </c>
      <c r="BE53" s="37" t="s">
        <v>251</v>
      </c>
      <c r="BF53" s="0" t="s">
        <v>55</v>
      </c>
      <c r="BG53" s="37" t="s">
        <v>252</v>
      </c>
      <c r="BH53" s="37" t="s">
        <v>252</v>
      </c>
      <c r="BI53" s="37" t="s">
        <v>252</v>
      </c>
      <c r="BJ53" s="37" t="s">
        <v>252</v>
      </c>
      <c r="BK53" s="0" t="s">
        <v>55</v>
      </c>
    </row>
    <row r="54" customFormat="false" ht="12.8" hidden="false" customHeight="false" outlineLevel="0" collapsed="false">
      <c r="A54" s="0" t="n">
        <f aca="false">A53-1</f>
        <v>1965</v>
      </c>
      <c r="B54" s="37" t="s">
        <v>252</v>
      </c>
      <c r="C54" s="37" t="s">
        <v>252</v>
      </c>
      <c r="D54" s="37" t="s">
        <v>252</v>
      </c>
      <c r="E54" s="37" t="s">
        <v>252</v>
      </c>
      <c r="F54" s="37" t="s">
        <v>251</v>
      </c>
      <c r="G54" s="37" t="s">
        <v>251</v>
      </c>
      <c r="H54" s="37" t="s">
        <v>251</v>
      </c>
      <c r="I54" s="37" t="s">
        <v>251</v>
      </c>
      <c r="J54" s="0" t="s">
        <v>55</v>
      </c>
      <c r="K54" s="37" t="s">
        <v>251</v>
      </c>
      <c r="L54" s="37" t="s">
        <v>252</v>
      </c>
      <c r="M54" s="37" t="s">
        <v>251</v>
      </c>
      <c r="N54" s="37" t="s">
        <v>252</v>
      </c>
      <c r="O54" s="37" t="s">
        <v>252</v>
      </c>
      <c r="P54" s="37" t="s">
        <v>252</v>
      </c>
      <c r="Q54" s="37" t="s">
        <v>251</v>
      </c>
      <c r="R54" s="37" t="s">
        <v>251</v>
      </c>
      <c r="S54" s="37" t="s">
        <v>251</v>
      </c>
      <c r="T54" s="0" t="s">
        <v>55</v>
      </c>
      <c r="U54" s="37" t="s">
        <v>251</v>
      </c>
      <c r="V54" s="37" t="s">
        <v>251</v>
      </c>
      <c r="W54" s="37" t="s">
        <v>251</v>
      </c>
      <c r="X54" s="37" t="s">
        <v>251</v>
      </c>
      <c r="Y54" s="37" t="s">
        <v>251</v>
      </c>
      <c r="Z54" s="37" t="s">
        <v>251</v>
      </c>
      <c r="AA54" s="37" t="s">
        <v>251</v>
      </c>
      <c r="AB54" s="37" t="s">
        <v>251</v>
      </c>
      <c r="AC54" s="37" t="s">
        <v>251</v>
      </c>
      <c r="AD54" s="37" t="s">
        <v>251</v>
      </c>
      <c r="AE54" s="37" t="s">
        <v>252</v>
      </c>
      <c r="AF54" s="37" t="s">
        <v>252</v>
      </c>
      <c r="AG54" s="37" t="s">
        <v>252</v>
      </c>
      <c r="AH54" s="37" t="s">
        <v>252</v>
      </c>
      <c r="AI54" s="37" t="s">
        <v>252</v>
      </c>
      <c r="AJ54" s="37" t="s">
        <v>252</v>
      </c>
      <c r="AK54" s="37" t="s">
        <v>252</v>
      </c>
      <c r="AL54" s="37" t="s">
        <v>252</v>
      </c>
      <c r="AM54" s="37" t="s">
        <v>252</v>
      </c>
      <c r="AN54" s="37" t="s">
        <v>251</v>
      </c>
      <c r="AO54" s="37" t="s">
        <v>251</v>
      </c>
      <c r="AP54" s="37" t="s">
        <v>251</v>
      </c>
      <c r="AQ54" s="37" t="s">
        <v>251</v>
      </c>
      <c r="AR54" s="37" t="s">
        <v>251</v>
      </c>
      <c r="AS54" s="37" t="s">
        <v>251</v>
      </c>
      <c r="AT54" s="0" t="s">
        <v>55</v>
      </c>
      <c r="AU54" s="37" t="s">
        <v>251</v>
      </c>
      <c r="AV54" s="37" t="s">
        <v>251</v>
      </c>
      <c r="AW54" s="37" t="s">
        <v>251</v>
      </c>
      <c r="AX54" s="37" t="s">
        <v>252</v>
      </c>
      <c r="AY54" s="37" t="s">
        <v>252</v>
      </c>
      <c r="AZ54" s="37" t="s">
        <v>252</v>
      </c>
      <c r="BA54" s="37" t="s">
        <v>251</v>
      </c>
      <c r="BB54" s="37" t="s">
        <v>251</v>
      </c>
      <c r="BC54" s="37" t="s">
        <v>252</v>
      </c>
      <c r="BD54" s="37" t="s">
        <v>252</v>
      </c>
      <c r="BE54" s="37" t="s">
        <v>251</v>
      </c>
      <c r="BF54" s="0" t="s">
        <v>55</v>
      </c>
      <c r="BG54" s="37" t="s">
        <v>252</v>
      </c>
      <c r="BH54" s="37" t="s">
        <v>252</v>
      </c>
      <c r="BI54" s="37" t="s">
        <v>252</v>
      </c>
      <c r="BJ54" s="37" t="s">
        <v>252</v>
      </c>
      <c r="BK54" s="0" t="s">
        <v>55</v>
      </c>
    </row>
    <row r="55" customFormat="false" ht="12.8" hidden="false" customHeight="false" outlineLevel="0" collapsed="false">
      <c r="A55" s="0" t="n">
        <f aca="false">A54-1</f>
        <v>1964</v>
      </c>
      <c r="B55" s="37" t="s">
        <v>252</v>
      </c>
      <c r="C55" s="37" t="s">
        <v>252</v>
      </c>
      <c r="D55" s="37" t="s">
        <v>252</v>
      </c>
      <c r="E55" s="37" t="s">
        <v>252</v>
      </c>
      <c r="F55" s="37" t="s">
        <v>251</v>
      </c>
      <c r="G55" s="37" t="s">
        <v>251</v>
      </c>
      <c r="H55" s="37" t="s">
        <v>251</v>
      </c>
      <c r="I55" s="37" t="s">
        <v>251</v>
      </c>
      <c r="J55" s="0" t="s">
        <v>55</v>
      </c>
      <c r="K55" s="37" t="s">
        <v>251</v>
      </c>
      <c r="L55" s="37" t="s">
        <v>252</v>
      </c>
      <c r="M55" s="37" t="s">
        <v>251</v>
      </c>
      <c r="N55" s="37" t="s">
        <v>252</v>
      </c>
      <c r="O55" s="37" t="s">
        <v>252</v>
      </c>
      <c r="P55" s="37" t="s">
        <v>252</v>
      </c>
      <c r="Q55" s="37" t="s">
        <v>251</v>
      </c>
      <c r="R55" s="37" t="s">
        <v>251</v>
      </c>
      <c r="S55" s="37" t="s">
        <v>251</v>
      </c>
      <c r="T55" s="0" t="s">
        <v>55</v>
      </c>
      <c r="U55" s="37" t="s">
        <v>251</v>
      </c>
      <c r="V55" s="37" t="s">
        <v>251</v>
      </c>
      <c r="W55" s="37" t="s">
        <v>251</v>
      </c>
      <c r="X55" s="37" t="s">
        <v>251</v>
      </c>
      <c r="Y55" s="37" t="s">
        <v>251</v>
      </c>
      <c r="Z55" s="37" t="s">
        <v>251</v>
      </c>
      <c r="AA55" s="37" t="s">
        <v>251</v>
      </c>
      <c r="AB55" s="37" t="s">
        <v>251</v>
      </c>
      <c r="AC55" s="37" t="s">
        <v>251</v>
      </c>
      <c r="AD55" s="37" t="s">
        <v>251</v>
      </c>
      <c r="AE55" s="37" t="s">
        <v>252</v>
      </c>
      <c r="AF55" s="37" t="s">
        <v>252</v>
      </c>
      <c r="AG55" s="37" t="s">
        <v>252</v>
      </c>
      <c r="AH55" s="37" t="s">
        <v>252</v>
      </c>
      <c r="AI55" s="37" t="s">
        <v>252</v>
      </c>
      <c r="AJ55" s="37" t="s">
        <v>252</v>
      </c>
      <c r="AK55" s="37" t="s">
        <v>252</v>
      </c>
      <c r="AL55" s="37" t="s">
        <v>252</v>
      </c>
      <c r="AM55" s="37" t="s">
        <v>252</v>
      </c>
      <c r="AN55" s="37" t="s">
        <v>251</v>
      </c>
      <c r="AO55" s="37" t="s">
        <v>251</v>
      </c>
      <c r="AP55" s="37" t="s">
        <v>251</v>
      </c>
      <c r="AQ55" s="37" t="s">
        <v>251</v>
      </c>
      <c r="AR55" s="37" t="s">
        <v>251</v>
      </c>
      <c r="AS55" s="37" t="s">
        <v>251</v>
      </c>
      <c r="AT55" s="0" t="s">
        <v>55</v>
      </c>
      <c r="AU55" s="37" t="s">
        <v>251</v>
      </c>
      <c r="AV55" s="37" t="s">
        <v>251</v>
      </c>
      <c r="AW55" s="37" t="s">
        <v>251</v>
      </c>
      <c r="AX55" s="37" t="s">
        <v>252</v>
      </c>
      <c r="AY55" s="37" t="s">
        <v>252</v>
      </c>
      <c r="AZ55" s="37" t="s">
        <v>252</v>
      </c>
      <c r="BA55" s="37" t="s">
        <v>251</v>
      </c>
      <c r="BB55" s="37" t="s">
        <v>251</v>
      </c>
      <c r="BC55" s="37" t="s">
        <v>252</v>
      </c>
      <c r="BD55" s="37" t="s">
        <v>252</v>
      </c>
      <c r="BE55" s="37" t="s">
        <v>251</v>
      </c>
      <c r="BF55" s="0" t="s">
        <v>55</v>
      </c>
      <c r="BG55" s="37" t="s">
        <v>252</v>
      </c>
      <c r="BH55" s="37" t="s">
        <v>252</v>
      </c>
      <c r="BI55" s="37" t="s">
        <v>252</v>
      </c>
      <c r="BJ55" s="37" t="s">
        <v>252</v>
      </c>
      <c r="BK55" s="0" t="s">
        <v>55</v>
      </c>
    </row>
    <row r="56" customFormat="false" ht="12.8" hidden="false" customHeight="false" outlineLevel="0" collapsed="false">
      <c r="A56" s="0" t="n">
        <f aca="false">A55-1</f>
        <v>1963</v>
      </c>
      <c r="B56" s="37" t="s">
        <v>252</v>
      </c>
      <c r="C56" s="37" t="s">
        <v>252</v>
      </c>
      <c r="D56" s="37" t="s">
        <v>252</v>
      </c>
      <c r="E56" s="37" t="s">
        <v>252</v>
      </c>
      <c r="F56" s="37" t="s">
        <v>251</v>
      </c>
      <c r="G56" s="37" t="s">
        <v>251</v>
      </c>
      <c r="H56" s="37" t="s">
        <v>251</v>
      </c>
      <c r="I56" s="37" t="s">
        <v>251</v>
      </c>
      <c r="J56" s="0" t="s">
        <v>55</v>
      </c>
      <c r="K56" s="37" t="s">
        <v>251</v>
      </c>
      <c r="L56" s="37" t="s">
        <v>252</v>
      </c>
      <c r="M56" s="37" t="s">
        <v>251</v>
      </c>
      <c r="N56" s="37" t="s">
        <v>252</v>
      </c>
      <c r="O56" s="37" t="s">
        <v>252</v>
      </c>
      <c r="P56" s="37" t="s">
        <v>252</v>
      </c>
      <c r="Q56" s="37" t="s">
        <v>251</v>
      </c>
      <c r="R56" s="37" t="s">
        <v>251</v>
      </c>
      <c r="S56" s="37" t="s">
        <v>251</v>
      </c>
      <c r="T56" s="0" t="s">
        <v>55</v>
      </c>
      <c r="U56" s="37" t="s">
        <v>251</v>
      </c>
      <c r="V56" s="37" t="s">
        <v>251</v>
      </c>
      <c r="W56" s="37" t="s">
        <v>251</v>
      </c>
      <c r="X56" s="37" t="s">
        <v>251</v>
      </c>
      <c r="Y56" s="37" t="s">
        <v>251</v>
      </c>
      <c r="Z56" s="37" t="s">
        <v>251</v>
      </c>
      <c r="AA56" s="37" t="s">
        <v>251</v>
      </c>
      <c r="AB56" s="37" t="s">
        <v>251</v>
      </c>
      <c r="AC56" s="37" t="s">
        <v>251</v>
      </c>
      <c r="AD56" s="37" t="s">
        <v>251</v>
      </c>
      <c r="AE56" s="37" t="s">
        <v>252</v>
      </c>
      <c r="AF56" s="37" t="s">
        <v>252</v>
      </c>
      <c r="AG56" s="37" t="s">
        <v>252</v>
      </c>
      <c r="AH56" s="37" t="s">
        <v>252</v>
      </c>
      <c r="AI56" s="37" t="s">
        <v>252</v>
      </c>
      <c r="AJ56" s="37" t="s">
        <v>252</v>
      </c>
      <c r="AK56" s="37" t="s">
        <v>252</v>
      </c>
      <c r="AL56" s="37" t="s">
        <v>252</v>
      </c>
      <c r="AM56" s="37" t="s">
        <v>252</v>
      </c>
      <c r="AN56" s="37" t="s">
        <v>251</v>
      </c>
      <c r="AO56" s="37" t="s">
        <v>251</v>
      </c>
      <c r="AP56" s="37" t="s">
        <v>251</v>
      </c>
      <c r="AQ56" s="37" t="s">
        <v>251</v>
      </c>
      <c r="AR56" s="37" t="s">
        <v>251</v>
      </c>
      <c r="AS56" s="37" t="s">
        <v>251</v>
      </c>
      <c r="AT56" s="0" t="s">
        <v>55</v>
      </c>
      <c r="AU56" s="37" t="s">
        <v>251</v>
      </c>
      <c r="AV56" s="37" t="s">
        <v>251</v>
      </c>
      <c r="AW56" s="37" t="s">
        <v>251</v>
      </c>
      <c r="AX56" s="37" t="s">
        <v>252</v>
      </c>
      <c r="AY56" s="37" t="s">
        <v>252</v>
      </c>
      <c r="AZ56" s="37" t="s">
        <v>252</v>
      </c>
      <c r="BA56" s="37" t="s">
        <v>251</v>
      </c>
      <c r="BB56" s="37" t="s">
        <v>251</v>
      </c>
      <c r="BC56" s="37" t="s">
        <v>252</v>
      </c>
      <c r="BD56" s="37" t="s">
        <v>252</v>
      </c>
      <c r="BE56" s="37" t="s">
        <v>251</v>
      </c>
      <c r="BF56" s="0" t="s">
        <v>55</v>
      </c>
      <c r="BG56" s="37" t="s">
        <v>252</v>
      </c>
      <c r="BH56" s="37" t="s">
        <v>252</v>
      </c>
      <c r="BI56" s="37" t="s">
        <v>252</v>
      </c>
      <c r="BJ56" s="37" t="s">
        <v>252</v>
      </c>
      <c r="BK56" s="0" t="s">
        <v>55</v>
      </c>
    </row>
    <row r="57" customFormat="false" ht="12.8" hidden="false" customHeight="false" outlineLevel="0" collapsed="false">
      <c r="A57" s="0" t="n">
        <f aca="false">A56-1</f>
        <v>1962</v>
      </c>
      <c r="B57" s="37" t="s">
        <v>252</v>
      </c>
      <c r="C57" s="37" t="s">
        <v>252</v>
      </c>
      <c r="D57" s="37" t="s">
        <v>252</v>
      </c>
      <c r="E57" s="37" t="s">
        <v>252</v>
      </c>
      <c r="F57" s="37" t="s">
        <v>251</v>
      </c>
      <c r="G57" s="37" t="s">
        <v>251</v>
      </c>
      <c r="H57" s="37" t="s">
        <v>251</v>
      </c>
      <c r="I57" s="37" t="s">
        <v>251</v>
      </c>
      <c r="J57" s="0" t="s">
        <v>55</v>
      </c>
      <c r="K57" s="37" t="s">
        <v>251</v>
      </c>
      <c r="L57" s="37" t="s">
        <v>252</v>
      </c>
      <c r="M57" s="37" t="s">
        <v>251</v>
      </c>
      <c r="N57" s="37" t="s">
        <v>252</v>
      </c>
      <c r="O57" s="37" t="s">
        <v>252</v>
      </c>
      <c r="P57" s="37" t="s">
        <v>252</v>
      </c>
      <c r="Q57" s="37" t="s">
        <v>251</v>
      </c>
      <c r="R57" s="37" t="s">
        <v>251</v>
      </c>
      <c r="S57" s="37" t="s">
        <v>251</v>
      </c>
      <c r="T57" s="0" t="s">
        <v>55</v>
      </c>
      <c r="U57" s="37" t="s">
        <v>251</v>
      </c>
      <c r="V57" s="37" t="s">
        <v>251</v>
      </c>
      <c r="W57" s="37" t="s">
        <v>251</v>
      </c>
      <c r="X57" s="37" t="s">
        <v>251</v>
      </c>
      <c r="Y57" s="37" t="s">
        <v>251</v>
      </c>
      <c r="Z57" s="37" t="s">
        <v>251</v>
      </c>
      <c r="AA57" s="37" t="s">
        <v>251</v>
      </c>
      <c r="AB57" s="37" t="s">
        <v>251</v>
      </c>
      <c r="AC57" s="37" t="s">
        <v>251</v>
      </c>
      <c r="AD57" s="37" t="s">
        <v>251</v>
      </c>
      <c r="AE57" s="37" t="s">
        <v>252</v>
      </c>
      <c r="AF57" s="37" t="s">
        <v>252</v>
      </c>
      <c r="AG57" s="37" t="s">
        <v>252</v>
      </c>
      <c r="AH57" s="37" t="s">
        <v>252</v>
      </c>
      <c r="AI57" s="37" t="s">
        <v>252</v>
      </c>
      <c r="AJ57" s="37" t="s">
        <v>252</v>
      </c>
      <c r="AK57" s="37" t="s">
        <v>252</v>
      </c>
      <c r="AL57" s="37" t="s">
        <v>252</v>
      </c>
      <c r="AM57" s="37" t="s">
        <v>252</v>
      </c>
      <c r="AN57" s="37" t="s">
        <v>251</v>
      </c>
      <c r="AO57" s="37" t="s">
        <v>251</v>
      </c>
      <c r="AP57" s="37" t="s">
        <v>251</v>
      </c>
      <c r="AQ57" s="37" t="s">
        <v>251</v>
      </c>
      <c r="AR57" s="37" t="s">
        <v>251</v>
      </c>
      <c r="AS57" s="37" t="s">
        <v>251</v>
      </c>
      <c r="AT57" s="0" t="s">
        <v>55</v>
      </c>
      <c r="AU57" s="37" t="s">
        <v>251</v>
      </c>
      <c r="AV57" s="37" t="s">
        <v>251</v>
      </c>
      <c r="AW57" s="37" t="s">
        <v>251</v>
      </c>
      <c r="AX57" s="37" t="s">
        <v>252</v>
      </c>
      <c r="AY57" s="37" t="s">
        <v>252</v>
      </c>
      <c r="AZ57" s="37" t="s">
        <v>252</v>
      </c>
      <c r="BA57" s="37" t="s">
        <v>251</v>
      </c>
      <c r="BB57" s="37" t="s">
        <v>251</v>
      </c>
      <c r="BC57" s="37" t="s">
        <v>252</v>
      </c>
      <c r="BD57" s="37" t="s">
        <v>252</v>
      </c>
      <c r="BE57" s="37" t="s">
        <v>251</v>
      </c>
      <c r="BF57" s="0" t="s">
        <v>55</v>
      </c>
      <c r="BG57" s="37" t="s">
        <v>252</v>
      </c>
      <c r="BH57" s="37" t="s">
        <v>252</v>
      </c>
      <c r="BI57" s="37" t="s">
        <v>252</v>
      </c>
      <c r="BJ57" s="37" t="s">
        <v>252</v>
      </c>
      <c r="BK57" s="0" t="s">
        <v>55</v>
      </c>
    </row>
    <row r="58" customFormat="false" ht="12.8" hidden="false" customHeight="false" outlineLevel="0" collapsed="false">
      <c r="A58" s="0" t="n">
        <f aca="false">A57-1</f>
        <v>1961</v>
      </c>
      <c r="B58" s="37" t="s">
        <v>252</v>
      </c>
      <c r="C58" s="37" t="s">
        <v>252</v>
      </c>
      <c r="D58" s="37" t="s">
        <v>252</v>
      </c>
      <c r="E58" s="37" t="s">
        <v>252</v>
      </c>
      <c r="F58" s="37" t="s">
        <v>251</v>
      </c>
      <c r="G58" s="37" t="s">
        <v>251</v>
      </c>
      <c r="H58" s="37" t="s">
        <v>251</v>
      </c>
      <c r="I58" s="37" t="s">
        <v>251</v>
      </c>
      <c r="J58" s="0" t="s">
        <v>55</v>
      </c>
      <c r="K58" s="37" t="s">
        <v>251</v>
      </c>
      <c r="L58" s="37" t="s">
        <v>252</v>
      </c>
      <c r="M58" s="37" t="s">
        <v>251</v>
      </c>
      <c r="N58" s="37" t="s">
        <v>252</v>
      </c>
      <c r="O58" s="37" t="s">
        <v>252</v>
      </c>
      <c r="P58" s="37" t="s">
        <v>252</v>
      </c>
      <c r="Q58" s="37" t="s">
        <v>251</v>
      </c>
      <c r="R58" s="37" t="s">
        <v>251</v>
      </c>
      <c r="S58" s="37" t="s">
        <v>251</v>
      </c>
      <c r="T58" s="0" t="s">
        <v>55</v>
      </c>
      <c r="U58" s="37" t="s">
        <v>251</v>
      </c>
      <c r="V58" s="37" t="s">
        <v>251</v>
      </c>
      <c r="W58" s="37" t="s">
        <v>251</v>
      </c>
      <c r="X58" s="37" t="s">
        <v>251</v>
      </c>
      <c r="Y58" s="37" t="s">
        <v>251</v>
      </c>
      <c r="Z58" s="37" t="s">
        <v>251</v>
      </c>
      <c r="AA58" s="37" t="s">
        <v>251</v>
      </c>
      <c r="AB58" s="37" t="s">
        <v>251</v>
      </c>
      <c r="AC58" s="37" t="s">
        <v>251</v>
      </c>
      <c r="AD58" s="37" t="s">
        <v>251</v>
      </c>
      <c r="AE58" s="37" t="s">
        <v>252</v>
      </c>
      <c r="AF58" s="37" t="s">
        <v>252</v>
      </c>
      <c r="AG58" s="37" t="s">
        <v>252</v>
      </c>
      <c r="AH58" s="37" t="s">
        <v>252</v>
      </c>
      <c r="AI58" s="37" t="s">
        <v>252</v>
      </c>
      <c r="AJ58" s="37" t="s">
        <v>252</v>
      </c>
      <c r="AK58" s="37" t="s">
        <v>252</v>
      </c>
      <c r="AL58" s="37" t="s">
        <v>252</v>
      </c>
      <c r="AM58" s="37" t="s">
        <v>252</v>
      </c>
      <c r="AN58" s="37" t="s">
        <v>251</v>
      </c>
      <c r="AO58" s="37" t="s">
        <v>251</v>
      </c>
      <c r="AP58" s="37" t="s">
        <v>251</v>
      </c>
      <c r="AQ58" s="37" t="s">
        <v>251</v>
      </c>
      <c r="AR58" s="37" t="s">
        <v>251</v>
      </c>
      <c r="AS58" s="37" t="s">
        <v>251</v>
      </c>
      <c r="AT58" s="0" t="s">
        <v>55</v>
      </c>
      <c r="AU58" s="37" t="s">
        <v>251</v>
      </c>
      <c r="AV58" s="37" t="s">
        <v>251</v>
      </c>
      <c r="AW58" s="37" t="s">
        <v>251</v>
      </c>
      <c r="AX58" s="37" t="s">
        <v>252</v>
      </c>
      <c r="AY58" s="37" t="s">
        <v>252</v>
      </c>
      <c r="AZ58" s="37" t="s">
        <v>252</v>
      </c>
      <c r="BA58" s="37" t="s">
        <v>251</v>
      </c>
      <c r="BB58" s="37" t="s">
        <v>251</v>
      </c>
      <c r="BC58" s="37" t="s">
        <v>252</v>
      </c>
      <c r="BD58" s="37" t="s">
        <v>252</v>
      </c>
      <c r="BE58" s="37" t="s">
        <v>251</v>
      </c>
      <c r="BF58" s="0" t="s">
        <v>55</v>
      </c>
      <c r="BG58" s="37" t="s">
        <v>252</v>
      </c>
      <c r="BH58" s="37" t="s">
        <v>252</v>
      </c>
      <c r="BI58" s="37" t="s">
        <v>252</v>
      </c>
      <c r="BJ58" s="37" t="s">
        <v>252</v>
      </c>
      <c r="BK58" s="0" t="s">
        <v>55</v>
      </c>
    </row>
    <row r="59" customFormat="false" ht="12.8" hidden="false" customHeight="false" outlineLevel="0" collapsed="false">
      <c r="A59" s="0" t="n">
        <f aca="false">A58-1</f>
        <v>1960</v>
      </c>
      <c r="B59" s="37" t="s">
        <v>252</v>
      </c>
      <c r="C59" s="37" t="s">
        <v>252</v>
      </c>
      <c r="D59" s="37" t="s">
        <v>252</v>
      </c>
      <c r="E59" s="37" t="s">
        <v>252</v>
      </c>
      <c r="F59" s="37" t="s">
        <v>251</v>
      </c>
      <c r="G59" s="37" t="s">
        <v>251</v>
      </c>
      <c r="H59" s="37" t="s">
        <v>251</v>
      </c>
      <c r="I59" s="37" t="s">
        <v>251</v>
      </c>
      <c r="J59" s="0" t="s">
        <v>55</v>
      </c>
      <c r="K59" s="37" t="s">
        <v>251</v>
      </c>
      <c r="L59" s="37" t="s">
        <v>252</v>
      </c>
      <c r="M59" s="37" t="s">
        <v>251</v>
      </c>
      <c r="N59" s="37" t="s">
        <v>252</v>
      </c>
      <c r="O59" s="37" t="s">
        <v>252</v>
      </c>
      <c r="P59" s="37" t="s">
        <v>252</v>
      </c>
      <c r="Q59" s="37" t="s">
        <v>251</v>
      </c>
      <c r="R59" s="37" t="s">
        <v>251</v>
      </c>
      <c r="S59" s="37" t="s">
        <v>251</v>
      </c>
      <c r="T59" s="0" t="s">
        <v>55</v>
      </c>
      <c r="U59" s="37" t="s">
        <v>251</v>
      </c>
      <c r="V59" s="37" t="s">
        <v>251</v>
      </c>
      <c r="W59" s="37" t="s">
        <v>251</v>
      </c>
      <c r="X59" s="37" t="s">
        <v>251</v>
      </c>
      <c r="Y59" s="37" t="s">
        <v>251</v>
      </c>
      <c r="Z59" s="37" t="s">
        <v>251</v>
      </c>
      <c r="AA59" s="37" t="s">
        <v>251</v>
      </c>
      <c r="AB59" s="37" t="s">
        <v>251</v>
      </c>
      <c r="AC59" s="37" t="s">
        <v>251</v>
      </c>
      <c r="AD59" s="37" t="s">
        <v>251</v>
      </c>
      <c r="AE59" s="37" t="s">
        <v>252</v>
      </c>
      <c r="AF59" s="37" t="s">
        <v>252</v>
      </c>
      <c r="AG59" s="37" t="s">
        <v>252</v>
      </c>
      <c r="AH59" s="37" t="s">
        <v>252</v>
      </c>
      <c r="AI59" s="37" t="s">
        <v>252</v>
      </c>
      <c r="AJ59" s="37" t="s">
        <v>252</v>
      </c>
      <c r="AK59" s="37" t="s">
        <v>252</v>
      </c>
      <c r="AL59" s="37" t="s">
        <v>252</v>
      </c>
      <c r="AM59" s="37" t="s">
        <v>252</v>
      </c>
      <c r="AN59" s="37" t="s">
        <v>251</v>
      </c>
      <c r="AO59" s="37" t="s">
        <v>251</v>
      </c>
      <c r="AP59" s="37" t="s">
        <v>251</v>
      </c>
      <c r="AQ59" s="37" t="s">
        <v>251</v>
      </c>
      <c r="AR59" s="37" t="s">
        <v>251</v>
      </c>
      <c r="AS59" s="37" t="s">
        <v>251</v>
      </c>
      <c r="AT59" s="0" t="s">
        <v>55</v>
      </c>
      <c r="AU59" s="37" t="s">
        <v>251</v>
      </c>
      <c r="AV59" s="37" t="s">
        <v>251</v>
      </c>
      <c r="AW59" s="37" t="s">
        <v>251</v>
      </c>
      <c r="AX59" s="37" t="s">
        <v>252</v>
      </c>
      <c r="AY59" s="37" t="s">
        <v>252</v>
      </c>
      <c r="AZ59" s="37" t="s">
        <v>252</v>
      </c>
      <c r="BA59" s="37" t="s">
        <v>251</v>
      </c>
      <c r="BB59" s="37" t="s">
        <v>251</v>
      </c>
      <c r="BC59" s="37" t="s">
        <v>252</v>
      </c>
      <c r="BD59" s="37" t="s">
        <v>252</v>
      </c>
      <c r="BE59" s="37" t="s">
        <v>251</v>
      </c>
      <c r="BF59" s="0" t="s">
        <v>55</v>
      </c>
      <c r="BG59" s="37" t="s">
        <v>252</v>
      </c>
      <c r="BH59" s="37" t="s">
        <v>252</v>
      </c>
      <c r="BI59" s="37" t="s">
        <v>252</v>
      </c>
      <c r="BJ59" s="37" t="s">
        <v>252</v>
      </c>
      <c r="BK59" s="0" t="s">
        <v>55</v>
      </c>
    </row>
    <row r="60" customFormat="false" ht="12.8" hidden="false" customHeight="false" outlineLevel="0" collapsed="false">
      <c r="A60" s="0" t="n">
        <f aca="false">A59-1</f>
        <v>1959</v>
      </c>
      <c r="B60" s="37" t="s">
        <v>252</v>
      </c>
      <c r="C60" s="37" t="s">
        <v>252</v>
      </c>
      <c r="D60" s="37" t="s">
        <v>252</v>
      </c>
      <c r="E60" s="37" t="s">
        <v>252</v>
      </c>
      <c r="F60" s="37" t="s">
        <v>251</v>
      </c>
      <c r="G60" s="37" t="s">
        <v>251</v>
      </c>
      <c r="H60" s="37" t="s">
        <v>251</v>
      </c>
      <c r="I60" s="37" t="s">
        <v>251</v>
      </c>
      <c r="J60" s="0" t="s">
        <v>55</v>
      </c>
      <c r="K60" s="37" t="s">
        <v>251</v>
      </c>
      <c r="L60" s="37" t="s">
        <v>252</v>
      </c>
      <c r="M60" s="37" t="s">
        <v>251</v>
      </c>
      <c r="N60" s="37" t="s">
        <v>252</v>
      </c>
      <c r="O60" s="37" t="s">
        <v>252</v>
      </c>
      <c r="P60" s="37" t="s">
        <v>252</v>
      </c>
      <c r="Q60" s="37" t="s">
        <v>251</v>
      </c>
      <c r="R60" s="37" t="s">
        <v>251</v>
      </c>
      <c r="S60" s="37" t="s">
        <v>251</v>
      </c>
      <c r="T60" s="0" t="s">
        <v>55</v>
      </c>
      <c r="U60" s="37" t="s">
        <v>251</v>
      </c>
      <c r="V60" s="37" t="s">
        <v>251</v>
      </c>
      <c r="W60" s="37" t="s">
        <v>251</v>
      </c>
      <c r="X60" s="37" t="s">
        <v>251</v>
      </c>
      <c r="Y60" s="37" t="s">
        <v>251</v>
      </c>
      <c r="Z60" s="37" t="s">
        <v>251</v>
      </c>
      <c r="AA60" s="37" t="s">
        <v>251</v>
      </c>
      <c r="AB60" s="37" t="s">
        <v>251</v>
      </c>
      <c r="AC60" s="37" t="s">
        <v>251</v>
      </c>
      <c r="AD60" s="37" t="s">
        <v>251</v>
      </c>
      <c r="AE60" s="37" t="s">
        <v>252</v>
      </c>
      <c r="AF60" s="37" t="s">
        <v>252</v>
      </c>
      <c r="AG60" s="37" t="s">
        <v>252</v>
      </c>
      <c r="AH60" s="37" t="s">
        <v>252</v>
      </c>
      <c r="AI60" s="37" t="s">
        <v>252</v>
      </c>
      <c r="AJ60" s="37" t="s">
        <v>252</v>
      </c>
      <c r="AK60" s="37" t="s">
        <v>252</v>
      </c>
      <c r="AL60" s="37" t="s">
        <v>252</v>
      </c>
      <c r="AM60" s="37" t="s">
        <v>252</v>
      </c>
      <c r="AN60" s="37" t="s">
        <v>251</v>
      </c>
      <c r="AO60" s="37" t="s">
        <v>251</v>
      </c>
      <c r="AP60" s="37" t="s">
        <v>251</v>
      </c>
      <c r="AQ60" s="37" t="s">
        <v>251</v>
      </c>
      <c r="AR60" s="37" t="s">
        <v>251</v>
      </c>
      <c r="AS60" s="37" t="s">
        <v>251</v>
      </c>
      <c r="AT60" s="0" t="s">
        <v>55</v>
      </c>
      <c r="AU60" s="37" t="s">
        <v>251</v>
      </c>
      <c r="AV60" s="37" t="s">
        <v>251</v>
      </c>
      <c r="AW60" s="37" t="s">
        <v>251</v>
      </c>
      <c r="AX60" s="37" t="s">
        <v>252</v>
      </c>
      <c r="AY60" s="37" t="s">
        <v>252</v>
      </c>
      <c r="AZ60" s="37" t="s">
        <v>252</v>
      </c>
      <c r="BA60" s="37" t="s">
        <v>251</v>
      </c>
      <c r="BB60" s="37" t="s">
        <v>251</v>
      </c>
      <c r="BC60" s="37" t="s">
        <v>252</v>
      </c>
      <c r="BD60" s="37" t="s">
        <v>252</v>
      </c>
      <c r="BE60" s="37" t="s">
        <v>251</v>
      </c>
      <c r="BF60" s="0" t="s">
        <v>55</v>
      </c>
      <c r="BG60" s="37" t="s">
        <v>252</v>
      </c>
      <c r="BH60" s="37" t="s">
        <v>252</v>
      </c>
      <c r="BI60" s="37" t="s">
        <v>252</v>
      </c>
      <c r="BJ60" s="37" t="s">
        <v>252</v>
      </c>
      <c r="BK60" s="0" t="s">
        <v>55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9" activeCellId="0" sqref="A9"/>
    </sheetView>
  </sheetViews>
  <sheetFormatPr defaultColWidth="11.77734375" defaultRowHeight="13.2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11.33"/>
    <col collapsed="false" customWidth="true" hidden="false" outlineLevel="0" max="3" min="3" style="0" width="13.43"/>
    <col collapsed="false" customWidth="true" hidden="false" outlineLevel="0" max="4" min="4" style="0" width="14.88"/>
    <col collapsed="false" customWidth="true" hidden="false" outlineLevel="0" max="5" min="5" style="0" width="11.11"/>
    <col collapsed="false" customWidth="true" hidden="false" outlineLevel="0" max="6" min="6" style="0" width="11.22"/>
    <col collapsed="false" customWidth="true" hidden="false" outlineLevel="0" max="7" min="7" style="0" width="13.22"/>
    <col collapsed="false" customWidth="true" hidden="false" outlineLevel="0" max="8" min="8" style="0" width="14.66"/>
    <col collapsed="false" customWidth="true" hidden="false" outlineLevel="0" max="9" min="9" style="0" width="13.1"/>
    <col collapsed="false" customWidth="true" hidden="false" outlineLevel="0" max="10" min="10" style="0" width="9.66"/>
    <col collapsed="false" customWidth="true" hidden="false" outlineLevel="0" max="11" min="11" style="0" width="14.43"/>
    <col collapsed="false" customWidth="true" hidden="false" outlineLevel="0" max="12" min="12" style="0" width="14.88"/>
    <col collapsed="false" customWidth="true" hidden="false" outlineLevel="0" max="13" min="13" style="0" width="17.11"/>
    <col collapsed="false" customWidth="true" hidden="false" outlineLevel="0" max="21" min="14" style="0" width="13.1"/>
    <col collapsed="false" customWidth="true" hidden="false" outlineLevel="0" max="22" min="22" style="0" width="16.56"/>
    <col collapsed="false" customWidth="true" hidden="false" outlineLevel="0" max="23" min="23" style="0" width="19.65"/>
    <col collapsed="false" customWidth="true" hidden="false" outlineLevel="0" max="29" min="24" style="0" width="20.64"/>
    <col collapsed="false" customWidth="true" hidden="false" outlineLevel="0" max="30" min="30" style="0" width="17.56"/>
    <col collapsed="false" customWidth="true" hidden="false" outlineLevel="0" max="31" min="31" style="0" width="16.79"/>
    <col collapsed="false" customWidth="true" hidden="false" outlineLevel="0" max="32" min="32" style="0" width="19.77"/>
    <col collapsed="false" customWidth="true" hidden="false" outlineLevel="0" max="38" min="33" style="0" width="20.78"/>
    <col collapsed="false" customWidth="true" hidden="false" outlineLevel="0" max="39" min="39" style="0" width="17.78"/>
    <col collapsed="false" customWidth="true" hidden="false" outlineLevel="0" max="45" min="40" style="0" width="20.45"/>
    <col collapsed="false" customWidth="true" hidden="false" outlineLevel="0" max="46" min="46" style="0" width="14.55"/>
    <col collapsed="false" customWidth="true" hidden="false" outlineLevel="0" max="47" min="47" style="0" width="14.01"/>
    <col collapsed="false" customWidth="true" hidden="false" outlineLevel="0" max="48" min="48" style="0" width="17"/>
    <col collapsed="false" customWidth="true" hidden="false" outlineLevel="0" max="49" min="49" style="0" width="14.01"/>
    <col collapsed="false" customWidth="true" hidden="false" outlineLevel="0" max="50" min="50" style="0" width="14.11"/>
    <col collapsed="false" customWidth="true" hidden="false" outlineLevel="0" max="51" min="51" style="0" width="17.21"/>
    <col collapsed="false" customWidth="true" hidden="false" outlineLevel="0" max="52" min="52" style="0" width="14.11"/>
    <col collapsed="false" customWidth="true" hidden="false" outlineLevel="0" max="54" min="53" style="0" width="18"/>
    <col collapsed="false" customWidth="true" hidden="false" outlineLevel="0" max="56" min="55" style="0" width="18.22"/>
    <col collapsed="false" customWidth="true" hidden="false" outlineLevel="0" max="57" min="57" style="0" width="15.22"/>
    <col collapsed="false" customWidth="true" hidden="false" outlineLevel="0" max="59" min="58" style="0" width="13.1"/>
    <col collapsed="false" customWidth="true" hidden="false" outlineLevel="0" max="60" min="60" style="0" width="17.11"/>
    <col collapsed="false" customWidth="true" hidden="false" outlineLevel="0" max="61" min="61" style="0" width="18.12"/>
    <col collapsed="false" customWidth="true" hidden="false" outlineLevel="0" max="62" min="62" style="0" width="14.11"/>
    <col collapsed="false" customWidth="true" hidden="false" outlineLevel="0" max="63" min="63" style="0" width="13.1"/>
    <col collapsed="false" customWidth="true" hidden="false" outlineLevel="0" max="1024" min="1021" style="0" width="11.52"/>
  </cols>
  <sheetData>
    <row r="1" customFormat="false" ht="13.2" hidden="false" customHeight="false" outlineLevel="0" collapsed="false">
      <c r="A1" s="6" t="s">
        <v>232</v>
      </c>
      <c r="B1" s="6" t="str">
        <f aca="false">metadata!B2</f>
        <v>PC_MINI_G</v>
      </c>
      <c r="C1" s="6" t="str">
        <f aca="false">metadata!B3</f>
        <v>PC_SMALL_G</v>
      </c>
      <c r="D1" s="6" t="str">
        <f aca="false">metadata!B4</f>
        <v>PC_MEDIUM_G</v>
      </c>
      <c r="E1" s="6" t="str">
        <f aca="false">metadata!B5</f>
        <v>PC_SUV_G</v>
      </c>
      <c r="F1" s="6" t="str">
        <f aca="false">metadata!B6</f>
        <v>PC_MINI_D</v>
      </c>
      <c r="G1" s="6" t="str">
        <f aca="false">metadata!B7</f>
        <v>PC_SMALL_D</v>
      </c>
      <c r="H1" s="6" t="str">
        <f aca="false">metadata!B8</f>
        <v>PC_MEDIUM_D</v>
      </c>
      <c r="I1" s="6" t="str">
        <f aca="false">metadata!B9</f>
        <v>PC_SUV_D</v>
      </c>
      <c r="J1" s="6" t="str">
        <f aca="false">metadata!B10</f>
        <v>PC_ELEC</v>
      </c>
      <c r="K1" s="6" t="str">
        <f aca="false">metadata!B11</f>
        <v>PC_SMALL_HY</v>
      </c>
      <c r="L1" s="6" t="str">
        <f aca="false">metadata!B12</f>
        <v>TAXI_SMALL_G</v>
      </c>
      <c r="M1" s="6" t="str">
        <f aca="false">metadata!B13</f>
        <v>TAXI_SMALL_GLP</v>
      </c>
      <c r="N1" s="6" t="str">
        <f aca="false">metadata!B14</f>
        <v>LCV_NI_G</v>
      </c>
      <c r="O1" s="6" t="str">
        <f aca="false">metadata!B15</f>
        <v>LCV_NII_G</v>
      </c>
      <c r="P1" s="6" t="str">
        <f aca="false">metadata!B16</f>
        <v>LCV_NIII_G</v>
      </c>
      <c r="Q1" s="6" t="str">
        <f aca="false">metadata!B17</f>
        <v>LCV_NI_D</v>
      </c>
      <c r="R1" s="6" t="str">
        <f aca="false">metadata!B18</f>
        <v>LCV_NII_D</v>
      </c>
      <c r="S1" s="6" t="str">
        <f aca="false">metadata!B19</f>
        <v>LCV_NIII_D</v>
      </c>
      <c r="T1" s="6" t="str">
        <f aca="false">metadata!B20</f>
        <v>LCV_ELEC</v>
      </c>
      <c r="U1" s="6" t="str">
        <f aca="false">metadata!B21</f>
        <v>LCV_HY</v>
      </c>
      <c r="V1" s="6" t="str">
        <f aca="false">metadata!B22</f>
        <v>TRUCKS_RT_7_D</v>
      </c>
      <c r="W1" s="6" t="str">
        <f aca="false">metadata!B23</f>
        <v>TRUCKS_RT_7_12_D</v>
      </c>
      <c r="X1" s="6" t="str">
        <f aca="false">metadata!B24</f>
        <v>TRUCKS_RT_12_14_D</v>
      </c>
      <c r="Y1" s="6" t="str">
        <f aca="false">metadata!B25</f>
        <v>TRUCKS_RT_14_16_D</v>
      </c>
      <c r="Z1" s="6" t="str">
        <f aca="false">metadata!B26</f>
        <v>TRUCKS_RT_16_20_D</v>
      </c>
      <c r="AA1" s="6" t="str">
        <f aca="false">metadata!B27</f>
        <v>TRUCKS_RT_20_26_D</v>
      </c>
      <c r="AB1" s="6" t="str">
        <f aca="false">metadata!B28</f>
        <v>TRUCKS_RT_26_28_D</v>
      </c>
      <c r="AC1" s="6" t="str">
        <f aca="false">metadata!B29</f>
        <v>TRUCKS_RT_28_32_D</v>
      </c>
      <c r="AD1" s="3" t="str">
        <f aca="false">metadata!B30</f>
        <v>TRUCKS_RT_32_D</v>
      </c>
      <c r="AE1" s="3" t="str">
        <f aca="false">metadata!B31</f>
        <v>TRUCKS_RT_7_G</v>
      </c>
      <c r="AF1" s="3" t="str">
        <f aca="false">metadata!B32</f>
        <v>TRUCKS_RT_7_12_G</v>
      </c>
      <c r="AG1" s="3" t="str">
        <f aca="false">metadata!B33</f>
        <v>TRUCKS_RT_12_14_G</v>
      </c>
      <c r="AH1" s="3" t="str">
        <f aca="false">metadata!B34</f>
        <v>TRUCKS_RT_14_16_G</v>
      </c>
      <c r="AI1" s="3" t="str">
        <f aca="false">metadata!B35</f>
        <v>TRUCKS_RT_16_20_G</v>
      </c>
      <c r="AJ1" s="3" t="str">
        <f aca="false">metadata!B36</f>
        <v>TRUCKS_RT_20_26_G</v>
      </c>
      <c r="AK1" s="3" t="str">
        <f aca="false">metadata!B37</f>
        <v>TRUCKS_RT_26_28_G</v>
      </c>
      <c r="AL1" s="3" t="str">
        <f aca="false">metadata!B38</f>
        <v>TRUCKS_RT_28_32_G</v>
      </c>
      <c r="AM1" s="3" t="str">
        <f aca="false">metadata!B39</f>
        <v>TRUCKS_RT_32_G</v>
      </c>
      <c r="AN1" s="3" t="str">
        <f aca="false">metadata!B40</f>
        <v>TRUCKS_AT_16_20_D</v>
      </c>
      <c r="AO1" s="6" t="str">
        <f aca="false">metadata!B41</f>
        <v>TRUCKS_AT_20_28_D</v>
      </c>
      <c r="AP1" s="6" t="str">
        <f aca="false">metadata!B42</f>
        <v>TRUCKS_AT_28_34_D</v>
      </c>
      <c r="AQ1" s="0" t="str">
        <f aca="false">metadata!B43</f>
        <v>TRUCKS_AT_34_40_D</v>
      </c>
      <c r="AR1" s="0" t="str">
        <f aca="false">metadata!B44</f>
        <v>TRUCKS_AT_40_50_D</v>
      </c>
      <c r="AS1" s="0" t="str">
        <f aca="false">metadata!B45</f>
        <v>TRUCKS_AT_50_60_D</v>
      </c>
      <c r="AT1" s="0" t="str">
        <f aca="false">metadata!B46</f>
        <v>TRUCKS_ELEC</v>
      </c>
      <c r="AU1" s="0" t="str">
        <f aca="false">metadata!B47</f>
        <v>BUS_UB_15_D</v>
      </c>
      <c r="AV1" s="0" t="str">
        <f aca="false">metadata!B48</f>
        <v>BUS_UB_15_18_D</v>
      </c>
      <c r="AW1" s="0" t="str">
        <f aca="false">metadata!B49</f>
        <v>BUS_UB_18_D</v>
      </c>
      <c r="AX1" s="0" t="str">
        <f aca="false">metadata!B50</f>
        <v>BUS_UB_15_G</v>
      </c>
      <c r="AY1" s="0" t="str">
        <f aca="false">metadata!B51</f>
        <v>BUS_UB_15_18_G</v>
      </c>
      <c r="AZ1" s="0" t="str">
        <f aca="false">metadata!B52</f>
        <v>BUS_UB_18_G</v>
      </c>
      <c r="BA1" s="0" t="str">
        <f aca="false">metadata!B53</f>
        <v>BUS_COACH_17_D</v>
      </c>
      <c r="BB1" s="0" t="str">
        <f aca="false">metadata!B54</f>
        <v>BUS_COACH_18_D</v>
      </c>
      <c r="BC1" s="0" t="str">
        <f aca="false">metadata!B55</f>
        <v>BUS_COACH_17_G</v>
      </c>
      <c r="BD1" s="0" t="str">
        <f aca="false">metadata!B56</f>
        <v>BUS_COACH_18_G</v>
      </c>
      <c r="BE1" s="0" t="str">
        <f aca="false">metadata!B57</f>
        <v>BUS_UB_15_HY</v>
      </c>
      <c r="BF1" s="0" t="str">
        <f aca="false">metadata!B58</f>
        <v>BUS_ELEC</v>
      </c>
      <c r="BG1" s="0" t="str">
        <f aca="false">metadata!B59</f>
        <v>MC_2S_50_G</v>
      </c>
      <c r="BH1" s="0" t="str">
        <f aca="false">metadata!B60</f>
        <v>MC_4S_50_250_G</v>
      </c>
      <c r="BI1" s="0" t="str">
        <f aca="false">metadata!B61</f>
        <v>MC_4S_250_750_G</v>
      </c>
      <c r="BJ1" s="0" t="str">
        <f aca="false">metadata!B62</f>
        <v>MC_4S_750_G</v>
      </c>
      <c r="BK1" s="0" t="str">
        <f aca="false">metadata!B63</f>
        <v>MC_ELEC</v>
      </c>
    </row>
    <row r="2" customFormat="false" ht="12.8" hidden="false" customHeight="false" outlineLevel="0" collapsed="false">
      <c r="A2" s="0" t="n">
        <v>2017</v>
      </c>
      <c r="B2" s="0" t="s">
        <v>257</v>
      </c>
      <c r="C2" s="0" t="s">
        <v>257</v>
      </c>
      <c r="D2" s="0" t="s">
        <v>257</v>
      </c>
      <c r="E2" s="0" t="s">
        <v>257</v>
      </c>
      <c r="F2" s="0" t="s">
        <v>258</v>
      </c>
      <c r="G2" s="0" t="s">
        <v>258</v>
      </c>
      <c r="H2" s="0" t="s">
        <v>258</v>
      </c>
      <c r="I2" s="0" t="s">
        <v>258</v>
      </c>
      <c r="J2" s="0" t="s">
        <v>258</v>
      </c>
      <c r="K2" s="0" t="s">
        <v>258</v>
      </c>
      <c r="L2" s="0" t="s">
        <v>257</v>
      </c>
      <c r="N2" s="0" t="s">
        <v>257</v>
      </c>
      <c r="O2" s="0" t="s">
        <v>257</v>
      </c>
      <c r="P2" s="0" t="s">
        <v>257</v>
      </c>
      <c r="Q2" s="0" t="s">
        <v>258</v>
      </c>
      <c r="R2" s="0" t="s">
        <v>258</v>
      </c>
      <c r="S2" s="0" t="s">
        <v>258</v>
      </c>
      <c r="T2" s="0" t="s">
        <v>258</v>
      </c>
      <c r="U2" s="0" t="s">
        <v>258</v>
      </c>
      <c r="V2" s="0" t="s">
        <v>258</v>
      </c>
      <c r="W2" s="0" t="s">
        <v>258</v>
      </c>
      <c r="X2" s="0" t="s">
        <v>258</v>
      </c>
      <c r="Y2" s="0" t="s">
        <v>258</v>
      </c>
      <c r="Z2" s="0" t="s">
        <v>258</v>
      </c>
      <c r="AA2" s="0" t="s">
        <v>258</v>
      </c>
      <c r="AB2" s="0" t="s">
        <v>258</v>
      </c>
      <c r="AC2" s="0" t="s">
        <v>258</v>
      </c>
      <c r="AD2" s="0" t="s">
        <v>258</v>
      </c>
      <c r="AE2" s="0" t="s">
        <v>257</v>
      </c>
      <c r="AF2" s="0" t="s">
        <v>257</v>
      </c>
      <c r="AG2" s="0" t="s">
        <v>257</v>
      </c>
      <c r="AH2" s="0" t="s">
        <v>257</v>
      </c>
      <c r="AI2" s="0" t="s">
        <v>257</v>
      </c>
      <c r="AJ2" s="0" t="s">
        <v>257</v>
      </c>
      <c r="AK2" s="0" t="s">
        <v>257</v>
      </c>
      <c r="AL2" s="0" t="s">
        <v>257</v>
      </c>
      <c r="AM2" s="0" t="s">
        <v>257</v>
      </c>
      <c r="AN2" s="0" t="s">
        <v>258</v>
      </c>
      <c r="AO2" s="0" t="s">
        <v>258</v>
      </c>
      <c r="AP2" s="0" t="s">
        <v>258</v>
      </c>
      <c r="AQ2" s="0" t="s">
        <v>258</v>
      </c>
      <c r="AR2" s="0" t="s">
        <v>258</v>
      </c>
      <c r="AS2" s="0" t="s">
        <v>258</v>
      </c>
      <c r="AT2" s="0" t="s">
        <v>258</v>
      </c>
      <c r="AU2" s="0" t="s">
        <v>258</v>
      </c>
      <c r="AV2" s="0" t="s">
        <v>258</v>
      </c>
      <c r="AW2" s="0" t="s">
        <v>258</v>
      </c>
      <c r="AX2" s="0" t="s">
        <v>257</v>
      </c>
      <c r="AY2" s="0" t="s">
        <v>257</v>
      </c>
      <c r="AZ2" s="0" t="s">
        <v>257</v>
      </c>
      <c r="BA2" s="0" t="s">
        <v>258</v>
      </c>
      <c r="BB2" s="0" t="s">
        <v>258</v>
      </c>
      <c r="BC2" s="0" t="s">
        <v>257</v>
      </c>
      <c r="BD2" s="0" t="s">
        <v>257</v>
      </c>
      <c r="BE2" s="0" t="s">
        <v>257</v>
      </c>
    </row>
    <row r="3" customFormat="false" ht="12.8" hidden="false" customHeight="false" outlineLevel="0" collapsed="false">
      <c r="A3" s="0" t="n">
        <f aca="false">A2-1</f>
        <v>2016</v>
      </c>
      <c r="B3" s="0" t="s">
        <v>257</v>
      </c>
      <c r="C3" s="0" t="s">
        <v>257</v>
      </c>
      <c r="D3" s="0" t="s">
        <v>257</v>
      </c>
      <c r="E3" s="0" t="s">
        <v>257</v>
      </c>
      <c r="F3" s="0" t="s">
        <v>258</v>
      </c>
      <c r="G3" s="0" t="s">
        <v>258</v>
      </c>
      <c r="H3" s="0" t="s">
        <v>258</v>
      </c>
      <c r="I3" s="0" t="s">
        <v>258</v>
      </c>
      <c r="J3" s="0" t="s">
        <v>258</v>
      </c>
      <c r="K3" s="0" t="s">
        <v>258</v>
      </c>
      <c r="L3" s="0" t="s">
        <v>257</v>
      </c>
      <c r="N3" s="0" t="s">
        <v>257</v>
      </c>
      <c r="O3" s="0" t="s">
        <v>257</v>
      </c>
      <c r="P3" s="0" t="s">
        <v>257</v>
      </c>
      <c r="Q3" s="0" t="s">
        <v>258</v>
      </c>
      <c r="R3" s="0" t="s">
        <v>258</v>
      </c>
      <c r="S3" s="0" t="s">
        <v>258</v>
      </c>
      <c r="T3" s="0" t="s">
        <v>258</v>
      </c>
      <c r="U3" s="0" t="s">
        <v>258</v>
      </c>
      <c r="V3" s="0" t="s">
        <v>258</v>
      </c>
      <c r="W3" s="0" t="s">
        <v>258</v>
      </c>
      <c r="X3" s="0" t="s">
        <v>258</v>
      </c>
      <c r="Y3" s="0" t="s">
        <v>258</v>
      </c>
      <c r="Z3" s="0" t="s">
        <v>258</v>
      </c>
      <c r="AA3" s="0" t="s">
        <v>258</v>
      </c>
      <c r="AB3" s="0" t="s">
        <v>258</v>
      </c>
      <c r="AC3" s="0" t="s">
        <v>258</v>
      </c>
      <c r="AD3" s="0" t="s">
        <v>258</v>
      </c>
      <c r="AE3" s="0" t="s">
        <v>257</v>
      </c>
      <c r="AF3" s="0" t="s">
        <v>257</v>
      </c>
      <c r="AG3" s="0" t="s">
        <v>257</v>
      </c>
      <c r="AH3" s="0" t="s">
        <v>257</v>
      </c>
      <c r="AI3" s="0" t="s">
        <v>257</v>
      </c>
      <c r="AJ3" s="0" t="s">
        <v>257</v>
      </c>
      <c r="AK3" s="0" t="s">
        <v>257</v>
      </c>
      <c r="AL3" s="0" t="s">
        <v>257</v>
      </c>
      <c r="AM3" s="0" t="s">
        <v>257</v>
      </c>
      <c r="AN3" s="0" t="s">
        <v>258</v>
      </c>
      <c r="AO3" s="0" t="s">
        <v>258</v>
      </c>
      <c r="AP3" s="0" t="s">
        <v>258</v>
      </c>
      <c r="AQ3" s="0" t="s">
        <v>258</v>
      </c>
      <c r="AR3" s="0" t="s">
        <v>258</v>
      </c>
      <c r="AS3" s="0" t="s">
        <v>258</v>
      </c>
      <c r="AT3" s="0" t="s">
        <v>258</v>
      </c>
      <c r="AU3" s="0" t="s">
        <v>258</v>
      </c>
      <c r="AV3" s="0" t="s">
        <v>258</v>
      </c>
      <c r="AW3" s="0" t="s">
        <v>258</v>
      </c>
      <c r="AX3" s="0" t="s">
        <v>257</v>
      </c>
      <c r="AY3" s="0" t="s">
        <v>257</v>
      </c>
      <c r="AZ3" s="0" t="s">
        <v>257</v>
      </c>
      <c r="BA3" s="0" t="s">
        <v>258</v>
      </c>
      <c r="BB3" s="0" t="s">
        <v>258</v>
      </c>
      <c r="BC3" s="0" t="s">
        <v>257</v>
      </c>
      <c r="BD3" s="0" t="s">
        <v>257</v>
      </c>
      <c r="BE3" s="0" t="s">
        <v>257</v>
      </c>
    </row>
    <row r="4" customFormat="false" ht="12.8" hidden="false" customHeight="false" outlineLevel="0" collapsed="false">
      <c r="A4" s="0" t="n">
        <f aca="false">A3-1</f>
        <v>2015</v>
      </c>
      <c r="B4" s="0" t="s">
        <v>257</v>
      </c>
      <c r="C4" s="0" t="s">
        <v>257</v>
      </c>
      <c r="D4" s="0" t="s">
        <v>257</v>
      </c>
      <c r="E4" s="0" t="s">
        <v>257</v>
      </c>
      <c r="F4" s="0" t="s">
        <v>258</v>
      </c>
      <c r="G4" s="0" t="s">
        <v>258</v>
      </c>
      <c r="H4" s="0" t="s">
        <v>258</v>
      </c>
      <c r="I4" s="0" t="s">
        <v>258</v>
      </c>
      <c r="J4" s="0" t="s">
        <v>258</v>
      </c>
      <c r="K4" s="0" t="s">
        <v>258</v>
      </c>
      <c r="L4" s="0" t="s">
        <v>257</v>
      </c>
      <c r="N4" s="0" t="s">
        <v>257</v>
      </c>
      <c r="O4" s="0" t="s">
        <v>257</v>
      </c>
      <c r="P4" s="0" t="s">
        <v>257</v>
      </c>
      <c r="Q4" s="0" t="s">
        <v>258</v>
      </c>
      <c r="R4" s="0" t="s">
        <v>258</v>
      </c>
      <c r="S4" s="0" t="s">
        <v>258</v>
      </c>
      <c r="T4" s="0" t="s">
        <v>258</v>
      </c>
      <c r="U4" s="0" t="s">
        <v>258</v>
      </c>
      <c r="V4" s="0" t="s">
        <v>258</v>
      </c>
      <c r="W4" s="0" t="s">
        <v>258</v>
      </c>
      <c r="X4" s="0" t="s">
        <v>258</v>
      </c>
      <c r="Y4" s="0" t="s">
        <v>258</v>
      </c>
      <c r="Z4" s="0" t="s">
        <v>258</v>
      </c>
      <c r="AA4" s="0" t="s">
        <v>258</v>
      </c>
      <c r="AB4" s="0" t="s">
        <v>258</v>
      </c>
      <c r="AC4" s="0" t="s">
        <v>258</v>
      </c>
      <c r="AD4" s="0" t="s">
        <v>258</v>
      </c>
      <c r="AE4" s="0" t="s">
        <v>257</v>
      </c>
      <c r="AF4" s="0" t="s">
        <v>257</v>
      </c>
      <c r="AG4" s="0" t="s">
        <v>257</v>
      </c>
      <c r="AH4" s="0" t="s">
        <v>257</v>
      </c>
      <c r="AI4" s="0" t="s">
        <v>257</v>
      </c>
      <c r="AJ4" s="0" t="s">
        <v>257</v>
      </c>
      <c r="AK4" s="0" t="s">
        <v>257</v>
      </c>
      <c r="AL4" s="0" t="s">
        <v>257</v>
      </c>
      <c r="AM4" s="0" t="s">
        <v>257</v>
      </c>
      <c r="AN4" s="0" t="s">
        <v>258</v>
      </c>
      <c r="AO4" s="0" t="s">
        <v>258</v>
      </c>
      <c r="AP4" s="0" t="s">
        <v>258</v>
      </c>
      <c r="AQ4" s="0" t="s">
        <v>258</v>
      </c>
      <c r="AR4" s="0" t="s">
        <v>258</v>
      </c>
      <c r="AS4" s="0" t="s">
        <v>258</v>
      </c>
      <c r="AT4" s="0" t="s">
        <v>258</v>
      </c>
      <c r="AU4" s="0" t="s">
        <v>258</v>
      </c>
      <c r="AV4" s="0" t="s">
        <v>258</v>
      </c>
      <c r="AW4" s="0" t="s">
        <v>258</v>
      </c>
      <c r="AX4" s="0" t="s">
        <v>257</v>
      </c>
      <c r="AY4" s="0" t="s">
        <v>257</v>
      </c>
      <c r="AZ4" s="0" t="s">
        <v>257</v>
      </c>
      <c r="BA4" s="0" t="s">
        <v>258</v>
      </c>
      <c r="BB4" s="0" t="s">
        <v>258</v>
      </c>
      <c r="BC4" s="0" t="s">
        <v>257</v>
      </c>
      <c r="BD4" s="0" t="s">
        <v>257</v>
      </c>
      <c r="BE4" s="0" t="s">
        <v>257</v>
      </c>
    </row>
    <row r="5" customFormat="false" ht="12.8" hidden="false" customHeight="false" outlineLevel="0" collapsed="false">
      <c r="A5" s="0" t="n">
        <f aca="false">A4-1</f>
        <v>2014</v>
      </c>
      <c r="B5" s="0" t="s">
        <v>257</v>
      </c>
      <c r="C5" s="0" t="s">
        <v>257</v>
      </c>
      <c r="D5" s="0" t="s">
        <v>257</v>
      </c>
      <c r="E5" s="0" t="s">
        <v>257</v>
      </c>
      <c r="F5" s="0" t="s">
        <v>258</v>
      </c>
      <c r="G5" s="0" t="s">
        <v>258</v>
      </c>
      <c r="H5" s="0" t="s">
        <v>258</v>
      </c>
      <c r="I5" s="0" t="s">
        <v>258</v>
      </c>
      <c r="J5" s="0" t="s">
        <v>258</v>
      </c>
      <c r="K5" s="0" t="s">
        <v>258</v>
      </c>
      <c r="L5" s="0" t="s">
        <v>257</v>
      </c>
      <c r="N5" s="0" t="s">
        <v>257</v>
      </c>
      <c r="O5" s="0" t="s">
        <v>257</v>
      </c>
      <c r="P5" s="0" t="s">
        <v>257</v>
      </c>
      <c r="Q5" s="0" t="s">
        <v>258</v>
      </c>
      <c r="R5" s="0" t="s">
        <v>258</v>
      </c>
      <c r="S5" s="0" t="s">
        <v>258</v>
      </c>
      <c r="T5" s="0" t="s">
        <v>258</v>
      </c>
      <c r="U5" s="0" t="s">
        <v>258</v>
      </c>
      <c r="V5" s="0" t="s">
        <v>258</v>
      </c>
      <c r="W5" s="0" t="s">
        <v>258</v>
      </c>
      <c r="X5" s="0" t="s">
        <v>258</v>
      </c>
      <c r="Y5" s="0" t="s">
        <v>258</v>
      </c>
      <c r="Z5" s="0" t="s">
        <v>258</v>
      </c>
      <c r="AA5" s="0" t="s">
        <v>258</v>
      </c>
      <c r="AB5" s="0" t="s">
        <v>258</v>
      </c>
      <c r="AC5" s="0" t="s">
        <v>258</v>
      </c>
      <c r="AD5" s="0" t="s">
        <v>258</v>
      </c>
      <c r="AE5" s="0" t="s">
        <v>257</v>
      </c>
      <c r="AF5" s="0" t="s">
        <v>257</v>
      </c>
      <c r="AG5" s="0" t="s">
        <v>257</v>
      </c>
      <c r="AH5" s="0" t="s">
        <v>257</v>
      </c>
      <c r="AI5" s="0" t="s">
        <v>257</v>
      </c>
      <c r="AJ5" s="0" t="s">
        <v>257</v>
      </c>
      <c r="AK5" s="0" t="s">
        <v>257</v>
      </c>
      <c r="AL5" s="0" t="s">
        <v>257</v>
      </c>
      <c r="AM5" s="0" t="s">
        <v>257</v>
      </c>
      <c r="AN5" s="0" t="s">
        <v>258</v>
      </c>
      <c r="AO5" s="0" t="s">
        <v>258</v>
      </c>
      <c r="AP5" s="0" t="s">
        <v>258</v>
      </c>
      <c r="AQ5" s="0" t="s">
        <v>258</v>
      </c>
      <c r="AR5" s="0" t="s">
        <v>258</v>
      </c>
      <c r="AS5" s="0" t="s">
        <v>258</v>
      </c>
      <c r="AT5" s="0" t="s">
        <v>258</v>
      </c>
      <c r="AU5" s="0" t="s">
        <v>258</v>
      </c>
      <c r="AV5" s="0" t="s">
        <v>258</v>
      </c>
      <c r="AW5" s="0" t="s">
        <v>258</v>
      </c>
      <c r="AX5" s="0" t="s">
        <v>257</v>
      </c>
      <c r="AY5" s="0" t="s">
        <v>257</v>
      </c>
      <c r="AZ5" s="0" t="s">
        <v>257</v>
      </c>
      <c r="BA5" s="0" t="s">
        <v>258</v>
      </c>
      <c r="BB5" s="0" t="s">
        <v>258</v>
      </c>
      <c r="BC5" s="0" t="s">
        <v>257</v>
      </c>
      <c r="BD5" s="0" t="s">
        <v>257</v>
      </c>
      <c r="BE5" s="0" t="s">
        <v>257</v>
      </c>
    </row>
    <row r="6" customFormat="false" ht="12.8" hidden="false" customHeight="false" outlineLevel="0" collapsed="false">
      <c r="A6" s="0" t="n">
        <f aca="false">A5-1</f>
        <v>2013</v>
      </c>
      <c r="B6" s="0" t="s">
        <v>257</v>
      </c>
      <c r="C6" s="0" t="s">
        <v>257</v>
      </c>
      <c r="D6" s="0" t="s">
        <v>257</v>
      </c>
      <c r="E6" s="0" t="s">
        <v>257</v>
      </c>
      <c r="F6" s="0" t="s">
        <v>258</v>
      </c>
      <c r="G6" s="0" t="s">
        <v>258</v>
      </c>
      <c r="H6" s="0" t="s">
        <v>258</v>
      </c>
      <c r="I6" s="0" t="s">
        <v>258</v>
      </c>
      <c r="J6" s="0" t="s">
        <v>258</v>
      </c>
      <c r="K6" s="0" t="s">
        <v>258</v>
      </c>
      <c r="L6" s="0" t="s">
        <v>257</v>
      </c>
      <c r="N6" s="0" t="s">
        <v>257</v>
      </c>
      <c r="O6" s="0" t="s">
        <v>257</v>
      </c>
      <c r="P6" s="0" t="s">
        <v>257</v>
      </c>
      <c r="Q6" s="0" t="s">
        <v>258</v>
      </c>
      <c r="R6" s="0" t="s">
        <v>258</v>
      </c>
      <c r="S6" s="0" t="s">
        <v>258</v>
      </c>
      <c r="T6" s="0" t="s">
        <v>258</v>
      </c>
      <c r="U6" s="0" t="s">
        <v>258</v>
      </c>
      <c r="V6" s="0" t="s">
        <v>258</v>
      </c>
      <c r="W6" s="0" t="s">
        <v>258</v>
      </c>
      <c r="X6" s="0" t="s">
        <v>258</v>
      </c>
      <c r="Y6" s="0" t="s">
        <v>258</v>
      </c>
      <c r="Z6" s="0" t="s">
        <v>258</v>
      </c>
      <c r="AA6" s="0" t="s">
        <v>258</v>
      </c>
      <c r="AB6" s="0" t="s">
        <v>258</v>
      </c>
      <c r="AC6" s="0" t="s">
        <v>258</v>
      </c>
      <c r="AD6" s="0" t="s">
        <v>258</v>
      </c>
      <c r="AE6" s="0" t="s">
        <v>257</v>
      </c>
      <c r="AF6" s="0" t="s">
        <v>257</v>
      </c>
      <c r="AG6" s="0" t="s">
        <v>257</v>
      </c>
      <c r="AH6" s="0" t="s">
        <v>257</v>
      </c>
      <c r="AI6" s="0" t="s">
        <v>257</v>
      </c>
      <c r="AJ6" s="0" t="s">
        <v>257</v>
      </c>
      <c r="AK6" s="0" t="s">
        <v>257</v>
      </c>
      <c r="AL6" s="0" t="s">
        <v>257</v>
      </c>
      <c r="AM6" s="0" t="s">
        <v>257</v>
      </c>
      <c r="AN6" s="0" t="s">
        <v>258</v>
      </c>
      <c r="AO6" s="0" t="s">
        <v>258</v>
      </c>
      <c r="AP6" s="0" t="s">
        <v>258</v>
      </c>
      <c r="AQ6" s="0" t="s">
        <v>258</v>
      </c>
      <c r="AR6" s="0" t="s">
        <v>258</v>
      </c>
      <c r="AS6" s="0" t="s">
        <v>258</v>
      </c>
      <c r="AT6" s="0" t="s">
        <v>258</v>
      </c>
      <c r="AU6" s="0" t="s">
        <v>258</v>
      </c>
      <c r="AV6" s="0" t="s">
        <v>258</v>
      </c>
      <c r="AW6" s="0" t="s">
        <v>258</v>
      </c>
      <c r="AX6" s="0" t="s">
        <v>257</v>
      </c>
      <c r="AY6" s="0" t="s">
        <v>257</v>
      </c>
      <c r="AZ6" s="0" t="s">
        <v>257</v>
      </c>
      <c r="BA6" s="0" t="s">
        <v>258</v>
      </c>
      <c r="BB6" s="0" t="s">
        <v>258</v>
      </c>
      <c r="BC6" s="0" t="s">
        <v>257</v>
      </c>
      <c r="BD6" s="0" t="s">
        <v>257</v>
      </c>
      <c r="BE6" s="0" t="s">
        <v>257</v>
      </c>
    </row>
    <row r="7" customFormat="false" ht="12.8" hidden="false" customHeight="false" outlineLevel="0" collapsed="false">
      <c r="A7" s="0" t="n">
        <f aca="false">A6-1</f>
        <v>2012</v>
      </c>
    </row>
    <row r="8" customFormat="false" ht="12.8" hidden="false" customHeight="false" outlineLevel="0" collapsed="false">
      <c r="A8" s="0" t="n">
        <f aca="false">A7-1</f>
        <v>2011</v>
      </c>
    </row>
    <row r="9" customFormat="false" ht="12.8" hidden="false" customHeight="false" outlineLevel="0" collapsed="false">
      <c r="A9" s="0" t="n">
        <f aca="false">A8-1</f>
        <v>2010</v>
      </c>
    </row>
    <row r="10" customFormat="false" ht="12.8" hidden="false" customHeight="false" outlineLevel="0" collapsed="false">
      <c r="A10" s="0" t="n">
        <f aca="false">A9-1</f>
        <v>2009</v>
      </c>
    </row>
    <row r="11" customFormat="false" ht="12.8" hidden="false" customHeight="false" outlineLevel="0" collapsed="false">
      <c r="A11" s="0" t="n">
        <f aca="false">A10-1</f>
        <v>2008</v>
      </c>
    </row>
    <row r="12" customFormat="false" ht="12.8" hidden="false" customHeight="false" outlineLevel="0" collapsed="false">
      <c r="A12" s="0" t="n">
        <f aca="false">A11-1</f>
        <v>2007</v>
      </c>
    </row>
    <row r="13" customFormat="false" ht="12.8" hidden="false" customHeight="false" outlineLevel="0" collapsed="false">
      <c r="A13" s="0" t="n">
        <f aca="false">A12-1</f>
        <v>2006</v>
      </c>
    </row>
    <row r="14" customFormat="false" ht="12.8" hidden="false" customHeight="false" outlineLevel="0" collapsed="false">
      <c r="A14" s="0" t="n">
        <f aca="false">A13-1</f>
        <v>2005</v>
      </c>
    </row>
    <row r="15" customFormat="false" ht="12.8" hidden="false" customHeight="false" outlineLevel="0" collapsed="false">
      <c r="A15" s="0" t="n">
        <f aca="false">A14-1</f>
        <v>2004</v>
      </c>
    </row>
    <row r="16" customFormat="false" ht="12.8" hidden="false" customHeight="false" outlineLevel="0" collapsed="false">
      <c r="A16" s="0" t="n">
        <f aca="false">A15-1</f>
        <v>2003</v>
      </c>
    </row>
    <row r="17" customFormat="false" ht="12.8" hidden="false" customHeight="false" outlineLevel="0" collapsed="false">
      <c r="A17" s="0" t="n">
        <f aca="false">A16-1</f>
        <v>2002</v>
      </c>
    </row>
    <row r="18" customFormat="false" ht="12.8" hidden="false" customHeight="false" outlineLevel="0" collapsed="false">
      <c r="A18" s="0" t="n">
        <f aca="false">A17-1</f>
        <v>2001</v>
      </c>
    </row>
    <row r="19" customFormat="false" ht="12.8" hidden="false" customHeight="false" outlineLevel="0" collapsed="false">
      <c r="A19" s="0" t="n">
        <f aca="false">A18-1</f>
        <v>2000</v>
      </c>
    </row>
    <row r="20" customFormat="false" ht="12.8" hidden="false" customHeight="false" outlineLevel="0" collapsed="false">
      <c r="A20" s="0" t="n">
        <f aca="false">A19-1</f>
        <v>1999</v>
      </c>
      <c r="M20" s="37"/>
      <c r="BF20" s="37"/>
    </row>
    <row r="21" customFormat="false" ht="12.8" hidden="false" customHeight="false" outlineLevel="0" collapsed="false">
      <c r="A21" s="0" t="n">
        <f aca="false">A20-1</f>
        <v>1998</v>
      </c>
      <c r="M21" s="37"/>
      <c r="BF21" s="37"/>
    </row>
    <row r="22" customFormat="false" ht="12.8" hidden="false" customHeight="false" outlineLevel="0" collapsed="false">
      <c r="A22" s="0" t="n">
        <f aca="false">A21-1</f>
        <v>1997</v>
      </c>
      <c r="M22" s="37"/>
      <c r="BF22" s="37"/>
    </row>
    <row r="23" customFormat="false" ht="12.8" hidden="false" customHeight="false" outlineLevel="0" collapsed="false">
      <c r="A23" s="0" t="n">
        <f aca="false">A22-1</f>
        <v>1996</v>
      </c>
      <c r="M23" s="37"/>
      <c r="BF23" s="37"/>
    </row>
    <row r="24" customFormat="false" ht="12.8" hidden="false" customHeight="false" outlineLevel="0" collapsed="false">
      <c r="A24" s="0" t="n">
        <f aca="false">A23-1</f>
        <v>1995</v>
      </c>
      <c r="M24" s="37"/>
      <c r="BF24" s="37"/>
    </row>
    <row r="25" customFormat="false" ht="12.8" hidden="false" customHeight="false" outlineLevel="0" collapsed="false">
      <c r="A25" s="0" t="n">
        <f aca="false">A24-1</f>
        <v>1994</v>
      </c>
      <c r="M25" s="37"/>
      <c r="BF25" s="37"/>
    </row>
    <row r="26" customFormat="false" ht="12.8" hidden="false" customHeight="false" outlineLevel="0" collapsed="false">
      <c r="A26" s="0" t="n">
        <f aca="false">A25-1</f>
        <v>1993</v>
      </c>
      <c r="M26" s="37"/>
      <c r="BF26" s="37"/>
    </row>
    <row r="27" customFormat="false" ht="12.8" hidden="false" customHeight="false" outlineLevel="0" collapsed="false">
      <c r="A27" s="0" t="n">
        <f aca="false">A26-1</f>
        <v>1992</v>
      </c>
      <c r="M27" s="37"/>
      <c r="BF27" s="37"/>
    </row>
    <row r="28" customFormat="false" ht="12.8" hidden="false" customHeight="false" outlineLevel="0" collapsed="false">
      <c r="A28" s="0" t="n">
        <f aca="false">A27-1</f>
        <v>1991</v>
      </c>
      <c r="M28" s="37"/>
      <c r="BF28" s="37"/>
    </row>
    <row r="29" customFormat="false" ht="12.8" hidden="false" customHeight="false" outlineLevel="0" collapsed="false">
      <c r="A29" s="0" t="n">
        <f aca="false">A28-1</f>
        <v>1990</v>
      </c>
      <c r="M29" s="37"/>
      <c r="BF29" s="37"/>
    </row>
    <row r="30" customFormat="false" ht="12.8" hidden="false" customHeight="false" outlineLevel="0" collapsed="false">
      <c r="A30" s="0" t="n">
        <f aca="false">A29-1</f>
        <v>1989</v>
      </c>
      <c r="M30" s="37"/>
      <c r="BF30" s="37"/>
    </row>
    <row r="31" customFormat="false" ht="12.8" hidden="false" customHeight="false" outlineLevel="0" collapsed="false">
      <c r="A31" s="0" t="n">
        <f aca="false">A30-1</f>
        <v>1988</v>
      </c>
      <c r="M31" s="37"/>
      <c r="BF31" s="37"/>
    </row>
    <row r="32" customFormat="false" ht="12.8" hidden="false" customHeight="false" outlineLevel="0" collapsed="false">
      <c r="A32" s="0" t="n">
        <f aca="false">A31-1</f>
        <v>1987</v>
      </c>
      <c r="M32" s="37"/>
      <c r="BF32" s="37"/>
    </row>
    <row r="33" customFormat="false" ht="12.8" hidden="false" customHeight="false" outlineLevel="0" collapsed="false">
      <c r="A33" s="0" t="n">
        <f aca="false">A32-1</f>
        <v>1986</v>
      </c>
      <c r="M33" s="37"/>
      <c r="BF33" s="37"/>
    </row>
    <row r="34" customFormat="false" ht="12.8" hidden="false" customHeight="false" outlineLevel="0" collapsed="false">
      <c r="A34" s="0" t="n">
        <f aca="false">A33-1</f>
        <v>1985</v>
      </c>
      <c r="M34" s="37"/>
      <c r="BF34" s="37"/>
    </row>
    <row r="35" customFormat="false" ht="12.8" hidden="false" customHeight="false" outlineLevel="0" collapsed="false">
      <c r="A35" s="0" t="n">
        <f aca="false">A34-1</f>
        <v>1984</v>
      </c>
      <c r="M35" s="37"/>
      <c r="BF35" s="37"/>
    </row>
    <row r="36" customFormat="false" ht="12.8" hidden="false" customHeight="false" outlineLevel="0" collapsed="false">
      <c r="A36" s="0" t="n">
        <f aca="false">A35-1</f>
        <v>1983</v>
      </c>
      <c r="M36" s="37"/>
      <c r="BF36" s="37"/>
    </row>
    <row r="37" customFormat="false" ht="12.8" hidden="false" customHeight="false" outlineLevel="0" collapsed="false">
      <c r="A37" s="0" t="n">
        <f aca="false">A36-1</f>
        <v>1982</v>
      </c>
      <c r="M37" s="37"/>
      <c r="BF37" s="37"/>
    </row>
    <row r="38" customFormat="false" ht="12.8" hidden="false" customHeight="false" outlineLevel="0" collapsed="false">
      <c r="A38" s="0" t="n">
        <f aca="false">A37-1</f>
        <v>1981</v>
      </c>
      <c r="M38" s="37"/>
      <c r="BF38" s="37"/>
    </row>
    <row r="39" customFormat="false" ht="12.8" hidden="false" customHeight="false" outlineLevel="0" collapsed="false">
      <c r="A39" s="0" t="n">
        <f aca="false">A38-1</f>
        <v>1980</v>
      </c>
      <c r="M39" s="37"/>
      <c r="BF39" s="37"/>
    </row>
    <row r="40" customFormat="false" ht="12.8" hidden="false" customHeight="false" outlineLevel="0" collapsed="false">
      <c r="A40" s="0" t="n">
        <f aca="false">A39-1</f>
        <v>1979</v>
      </c>
      <c r="M40" s="37"/>
      <c r="BF40" s="37"/>
    </row>
    <row r="41" customFormat="false" ht="12.8" hidden="false" customHeight="false" outlineLevel="0" collapsed="false">
      <c r="A41" s="0" t="n">
        <f aca="false">A40-1</f>
        <v>1978</v>
      </c>
      <c r="M41" s="37"/>
      <c r="BF41" s="37"/>
    </row>
    <row r="42" customFormat="false" ht="12.8" hidden="false" customHeight="false" outlineLevel="0" collapsed="false">
      <c r="A42" s="0" t="n">
        <f aca="false">A41-1</f>
        <v>1977</v>
      </c>
      <c r="M42" s="37"/>
      <c r="BF42" s="37"/>
    </row>
    <row r="43" customFormat="false" ht="12.8" hidden="false" customHeight="false" outlineLevel="0" collapsed="false">
      <c r="A43" s="0" t="n">
        <f aca="false">A42-1</f>
        <v>1976</v>
      </c>
      <c r="M43" s="37"/>
      <c r="BF43" s="37"/>
    </row>
    <row r="44" customFormat="false" ht="12.8" hidden="false" customHeight="false" outlineLevel="0" collapsed="false">
      <c r="A44" s="0" t="n">
        <f aca="false">A43-1</f>
        <v>1975</v>
      </c>
      <c r="M44" s="37"/>
      <c r="BF44" s="37"/>
    </row>
    <row r="45" customFormat="false" ht="12.8" hidden="false" customHeight="false" outlineLevel="0" collapsed="false">
      <c r="A45" s="0" t="n">
        <f aca="false">A44-1</f>
        <v>1974</v>
      </c>
      <c r="M45" s="37"/>
      <c r="BF45" s="37"/>
    </row>
    <row r="46" customFormat="false" ht="12.8" hidden="false" customHeight="false" outlineLevel="0" collapsed="false">
      <c r="A46" s="0" t="n">
        <f aca="false">A45-1</f>
        <v>1973</v>
      </c>
      <c r="M46" s="37"/>
      <c r="BF46" s="37"/>
    </row>
    <row r="47" customFormat="false" ht="12.8" hidden="false" customHeight="false" outlineLevel="0" collapsed="false">
      <c r="A47" s="0" t="n">
        <f aca="false">A46-1</f>
        <v>1972</v>
      </c>
      <c r="M47" s="37"/>
      <c r="BF47" s="37"/>
    </row>
    <row r="48" customFormat="false" ht="12.8" hidden="false" customHeight="false" outlineLevel="0" collapsed="false">
      <c r="A48" s="0" t="n">
        <f aca="false">A47-1</f>
        <v>1971</v>
      </c>
      <c r="M48" s="37"/>
      <c r="BF48" s="37"/>
    </row>
    <row r="49" customFormat="false" ht="12.8" hidden="false" customHeight="false" outlineLevel="0" collapsed="false">
      <c r="A49" s="0" t="n">
        <f aca="false">A48-1</f>
        <v>1970</v>
      </c>
      <c r="M49" s="37"/>
      <c r="BF49" s="37"/>
    </row>
    <row r="50" customFormat="false" ht="12.8" hidden="false" customHeight="false" outlineLevel="0" collapsed="false">
      <c r="A50" s="0" t="n">
        <f aca="false">A49-1</f>
        <v>1969</v>
      </c>
      <c r="M50" s="37"/>
      <c r="BF50" s="37"/>
    </row>
    <row r="51" customFormat="false" ht="12.8" hidden="false" customHeight="false" outlineLevel="0" collapsed="false">
      <c r="A51" s="0" t="n">
        <f aca="false">A50-1</f>
        <v>1968</v>
      </c>
      <c r="M51" s="37"/>
      <c r="BF51" s="37"/>
    </row>
    <row r="52" customFormat="false" ht="12.8" hidden="false" customHeight="false" outlineLevel="0" collapsed="false">
      <c r="A52" s="0" t="n">
        <f aca="false">A51-1</f>
        <v>1967</v>
      </c>
      <c r="M52" s="37"/>
      <c r="BF52" s="37"/>
    </row>
    <row r="53" customFormat="false" ht="12.8" hidden="false" customHeight="false" outlineLevel="0" collapsed="false">
      <c r="A53" s="0" t="n">
        <f aca="false">A52-1</f>
        <v>1966</v>
      </c>
      <c r="M53" s="37"/>
      <c r="BF53" s="37"/>
    </row>
    <row r="54" customFormat="false" ht="12.8" hidden="false" customHeight="false" outlineLevel="0" collapsed="false">
      <c r="A54" s="0" t="n">
        <f aca="false">A53-1</f>
        <v>1965</v>
      </c>
      <c r="M54" s="37"/>
      <c r="BF54" s="37"/>
    </row>
    <row r="55" customFormat="false" ht="12.8" hidden="false" customHeight="false" outlineLevel="0" collapsed="false">
      <c r="A55" s="0" t="n">
        <f aca="false">A54-1</f>
        <v>1964</v>
      </c>
      <c r="M55" s="37"/>
      <c r="BF55" s="37"/>
    </row>
    <row r="56" customFormat="false" ht="12.8" hidden="false" customHeight="false" outlineLevel="0" collapsed="false">
      <c r="A56" s="0" t="n">
        <f aca="false">A55-1</f>
        <v>1963</v>
      </c>
      <c r="M56" s="37"/>
      <c r="BF56" s="37"/>
    </row>
    <row r="57" customFormat="false" ht="12.8" hidden="false" customHeight="false" outlineLevel="0" collapsed="false">
      <c r="A57" s="0" t="n">
        <f aca="false">A56-1</f>
        <v>1962</v>
      </c>
      <c r="M57" s="37"/>
      <c r="BF57" s="37"/>
    </row>
    <row r="58" customFormat="false" ht="12.8" hidden="false" customHeight="false" outlineLevel="0" collapsed="false">
      <c r="A58" s="0" t="n">
        <f aca="false">A57-1</f>
        <v>1961</v>
      </c>
      <c r="M58" s="37"/>
      <c r="BF58" s="37"/>
    </row>
    <row r="59" customFormat="false" ht="12.8" hidden="false" customHeight="false" outlineLevel="0" collapsed="false">
      <c r="A59" s="0" t="n">
        <f aca="false">A58-1</f>
        <v>1960</v>
      </c>
      <c r="M59" s="37"/>
      <c r="BF59" s="37"/>
    </row>
    <row r="60" customFormat="false" ht="12.8" hidden="false" customHeight="false" outlineLevel="0" collapsed="false">
      <c r="A60" s="0" t="n">
        <f aca="false">A59-1</f>
        <v>1959</v>
      </c>
      <c r="M60" s="37"/>
      <c r="BF60" s="3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" activeCellId="0" sqref="D2"/>
    </sheetView>
  </sheetViews>
  <sheetFormatPr defaultColWidth="11.9921875" defaultRowHeight="13.2" zeroHeight="false" outlineLevelRow="0" outlineLevelCol="0"/>
  <cols>
    <col collapsed="false" customWidth="true" hidden="false" outlineLevel="0" max="1024" min="1021" style="0" width="11.57"/>
  </cols>
  <sheetData>
    <row r="1" customFormat="false" ht="14.4" hidden="false" customHeight="false" outlineLevel="0" collapsed="false">
      <c r="A1" s="35" t="s">
        <v>236</v>
      </c>
      <c r="B1" s="35" t="s">
        <v>259</v>
      </c>
      <c r="C1" s="35" t="s">
        <v>260</v>
      </c>
      <c r="D1" s="35" t="s">
        <v>261</v>
      </c>
      <c r="E1" s="35" t="s">
        <v>237</v>
      </c>
      <c r="F1" s="35" t="s">
        <v>262</v>
      </c>
      <c r="G1" s="35" t="s">
        <v>263</v>
      </c>
      <c r="H1" s="35" t="s">
        <v>264</v>
      </c>
      <c r="I1" s="35" t="s">
        <v>232</v>
      </c>
      <c r="J1" s="35" t="s">
        <v>265</v>
      </c>
    </row>
    <row r="2" customFormat="false" ht="12.8" hidden="false" customHeight="false" outlineLevel="0" collapsed="false">
      <c r="A2" s="0" t="s">
        <v>266</v>
      </c>
      <c r="B2" s="0" t="s">
        <v>242</v>
      </c>
      <c r="C2" s="0" t="s">
        <v>267</v>
      </c>
      <c r="D2" s="0" t="n">
        <v>16</v>
      </c>
      <c r="E2" s="0" t="s">
        <v>242</v>
      </c>
      <c r="F2" s="0" t="s">
        <v>242</v>
      </c>
      <c r="G2" s="0" t="n">
        <v>16</v>
      </c>
      <c r="H2" s="38" t="n">
        <v>42736</v>
      </c>
      <c r="I2" s="0" t="n">
        <v>2017</v>
      </c>
      <c r="J2" s="0" t="n">
        <v>1</v>
      </c>
    </row>
    <row r="3" customFormat="false" ht="12.8" hidden="false" customHeight="false" outlineLevel="0" collapsed="false">
      <c r="A3" s="0" t="s">
        <v>266</v>
      </c>
      <c r="B3" s="0" t="s">
        <v>242</v>
      </c>
      <c r="C3" s="0" t="s">
        <v>268</v>
      </c>
      <c r="D3" s="0" t="n">
        <v>17</v>
      </c>
      <c r="E3" s="0" t="s">
        <v>242</v>
      </c>
      <c r="F3" s="0" t="s">
        <v>242</v>
      </c>
      <c r="G3" s="0" t="n">
        <v>17</v>
      </c>
      <c r="H3" s="38" t="n">
        <v>42767</v>
      </c>
      <c r="I3" s="0" t="n">
        <v>2017</v>
      </c>
      <c r="J3" s="0" t="n">
        <v>2</v>
      </c>
    </row>
    <row r="4" customFormat="false" ht="12.8" hidden="false" customHeight="false" outlineLevel="0" collapsed="false">
      <c r="A4" s="0" t="s">
        <v>266</v>
      </c>
      <c r="B4" s="0" t="s">
        <v>242</v>
      </c>
      <c r="C4" s="0" t="s">
        <v>269</v>
      </c>
      <c r="D4" s="0" t="n">
        <v>17</v>
      </c>
      <c r="E4" s="0" t="s">
        <v>242</v>
      </c>
      <c r="F4" s="0" t="s">
        <v>242</v>
      </c>
      <c r="G4" s="0" t="n">
        <v>17</v>
      </c>
      <c r="H4" s="38" t="n">
        <v>42795</v>
      </c>
      <c r="I4" s="0" t="n">
        <v>2017</v>
      </c>
      <c r="J4" s="0" t="n">
        <v>3</v>
      </c>
    </row>
    <row r="5" customFormat="false" ht="12.8" hidden="false" customHeight="false" outlineLevel="0" collapsed="false">
      <c r="A5" s="0" t="s">
        <v>266</v>
      </c>
      <c r="B5" s="0" t="s">
        <v>242</v>
      </c>
      <c r="C5" s="0" t="s">
        <v>270</v>
      </c>
      <c r="D5" s="0" t="n">
        <v>16</v>
      </c>
      <c r="E5" s="0" t="s">
        <v>242</v>
      </c>
      <c r="F5" s="0" t="s">
        <v>242</v>
      </c>
      <c r="G5" s="0" t="n">
        <v>16</v>
      </c>
      <c r="H5" s="38" t="n">
        <v>42826</v>
      </c>
      <c r="I5" s="0" t="n">
        <v>2017</v>
      </c>
      <c r="J5" s="0" t="n">
        <v>4</v>
      </c>
    </row>
    <row r="6" customFormat="false" ht="12.8" hidden="false" customHeight="false" outlineLevel="0" collapsed="false">
      <c r="A6" s="0" t="s">
        <v>266</v>
      </c>
      <c r="B6" s="0" t="s">
        <v>242</v>
      </c>
      <c r="C6" s="0" t="s">
        <v>271</v>
      </c>
      <c r="D6" s="0" t="n">
        <v>15.2</v>
      </c>
      <c r="E6" s="0" t="s">
        <v>242</v>
      </c>
      <c r="F6" s="0" t="s">
        <v>242</v>
      </c>
      <c r="G6" s="0" t="n">
        <v>15.2</v>
      </c>
      <c r="H6" s="38" t="n">
        <v>42856</v>
      </c>
      <c r="I6" s="0" t="n">
        <v>2017</v>
      </c>
      <c r="J6" s="0" t="n">
        <v>5</v>
      </c>
    </row>
    <row r="7" customFormat="false" ht="12.8" hidden="false" customHeight="false" outlineLevel="0" collapsed="false">
      <c r="A7" s="0" t="s">
        <v>266</v>
      </c>
      <c r="B7" s="0" t="s">
        <v>242</v>
      </c>
      <c r="C7" s="0" t="s">
        <v>272</v>
      </c>
      <c r="D7" s="0" t="n">
        <v>15.1</v>
      </c>
      <c r="E7" s="0" t="s">
        <v>242</v>
      </c>
      <c r="F7" s="0" t="s">
        <v>242</v>
      </c>
      <c r="G7" s="0" t="n">
        <v>15.1</v>
      </c>
      <c r="H7" s="38" t="n">
        <v>42887</v>
      </c>
      <c r="I7" s="0" t="n">
        <v>2017</v>
      </c>
      <c r="J7" s="0" t="n">
        <v>6</v>
      </c>
    </row>
    <row r="8" customFormat="false" ht="12.8" hidden="false" customHeight="false" outlineLevel="0" collapsed="false">
      <c r="A8" s="0" t="s">
        <v>266</v>
      </c>
      <c r="B8" s="0" t="s">
        <v>242</v>
      </c>
      <c r="C8" s="0" t="s">
        <v>273</v>
      </c>
      <c r="D8" s="0" t="n">
        <v>15</v>
      </c>
      <c r="E8" s="0" t="s">
        <v>242</v>
      </c>
      <c r="F8" s="0" t="s">
        <v>242</v>
      </c>
      <c r="G8" s="0" t="n">
        <v>15</v>
      </c>
      <c r="H8" s="38" t="n">
        <v>42917</v>
      </c>
      <c r="I8" s="0" t="n">
        <v>2017</v>
      </c>
      <c r="J8" s="0" t="n">
        <v>7</v>
      </c>
    </row>
    <row r="9" customFormat="false" ht="12.8" hidden="false" customHeight="false" outlineLevel="0" collapsed="false">
      <c r="A9" s="0" t="s">
        <v>266</v>
      </c>
      <c r="B9" s="0" t="s">
        <v>242</v>
      </c>
      <c r="C9" s="0" t="s">
        <v>274</v>
      </c>
      <c r="D9" s="0" t="n">
        <v>15.1</v>
      </c>
      <c r="E9" s="0" t="s">
        <v>242</v>
      </c>
      <c r="F9" s="0" t="s">
        <v>242</v>
      </c>
      <c r="G9" s="0" t="n">
        <v>15.1</v>
      </c>
      <c r="H9" s="38" t="n">
        <v>42948</v>
      </c>
      <c r="I9" s="0" t="n">
        <v>2017</v>
      </c>
      <c r="J9" s="0" t="n">
        <v>8</v>
      </c>
    </row>
    <row r="10" customFormat="false" ht="12.8" hidden="false" customHeight="false" outlineLevel="0" collapsed="false">
      <c r="A10" s="0" t="s">
        <v>266</v>
      </c>
      <c r="B10" s="0" t="s">
        <v>242</v>
      </c>
      <c r="C10" s="0" t="s">
        <v>275</v>
      </c>
      <c r="D10" s="0" t="n">
        <v>15.3</v>
      </c>
      <c r="E10" s="0" t="s">
        <v>242</v>
      </c>
      <c r="F10" s="0" t="s">
        <v>242</v>
      </c>
      <c r="G10" s="0" t="n">
        <v>15.3</v>
      </c>
      <c r="H10" s="38" t="n">
        <v>42979</v>
      </c>
      <c r="I10" s="0" t="n">
        <v>2017</v>
      </c>
      <c r="J10" s="0" t="n">
        <v>9</v>
      </c>
    </row>
    <row r="11" customFormat="false" ht="12.8" hidden="false" customHeight="false" outlineLevel="0" collapsed="false">
      <c r="A11" s="0" t="s">
        <v>266</v>
      </c>
      <c r="B11" s="0" t="s">
        <v>242</v>
      </c>
      <c r="C11" s="0" t="s">
        <v>276</v>
      </c>
      <c r="D11" s="0" t="n">
        <v>15.5</v>
      </c>
      <c r="E11" s="0" t="s">
        <v>242</v>
      </c>
      <c r="F11" s="0" t="s">
        <v>242</v>
      </c>
      <c r="G11" s="0" t="n">
        <v>15.5</v>
      </c>
      <c r="H11" s="38" t="n">
        <v>43009</v>
      </c>
      <c r="I11" s="0" t="n">
        <v>2017</v>
      </c>
      <c r="J11" s="0" t="n">
        <v>10</v>
      </c>
    </row>
    <row r="12" customFormat="false" ht="12.8" hidden="false" customHeight="false" outlineLevel="0" collapsed="false">
      <c r="A12" s="0" t="s">
        <v>266</v>
      </c>
      <c r="B12" s="0" t="s">
        <v>242</v>
      </c>
      <c r="C12" s="0" t="s">
        <v>277</v>
      </c>
      <c r="D12" s="0" t="n">
        <v>16</v>
      </c>
      <c r="E12" s="0" t="s">
        <v>242</v>
      </c>
      <c r="F12" s="0" t="s">
        <v>242</v>
      </c>
      <c r="G12" s="0" t="n">
        <v>16</v>
      </c>
      <c r="H12" s="38" t="n">
        <v>43040</v>
      </c>
      <c r="I12" s="0" t="n">
        <v>2017</v>
      </c>
      <c r="J12" s="0" t="n">
        <v>11</v>
      </c>
    </row>
    <row r="13" customFormat="false" ht="12.8" hidden="false" customHeight="false" outlineLevel="0" collapsed="false">
      <c r="A13" s="0" t="s">
        <v>266</v>
      </c>
      <c r="B13" s="0" t="s">
        <v>242</v>
      </c>
      <c r="C13" s="0" t="s">
        <v>278</v>
      </c>
      <c r="D13" s="0" t="n">
        <v>17</v>
      </c>
      <c r="E13" s="0" t="s">
        <v>242</v>
      </c>
      <c r="F13" s="0" t="s">
        <v>242</v>
      </c>
      <c r="G13" s="0" t="n">
        <v>17</v>
      </c>
      <c r="H13" s="38" t="n">
        <v>43070</v>
      </c>
      <c r="I13" s="0" t="n">
        <v>2017</v>
      </c>
      <c r="J13" s="0" t="n">
        <v>12</v>
      </c>
    </row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23" activeCellId="0" sqref="I23"/>
    </sheetView>
  </sheetViews>
  <sheetFormatPr defaultColWidth="11.77734375" defaultRowHeight="13.2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11.33"/>
    <col collapsed="false" customWidth="true" hidden="false" outlineLevel="0" max="3" min="3" style="0" width="13.66"/>
    <col collapsed="false" customWidth="true" hidden="false" outlineLevel="0" max="4" min="4" style="0" width="14.88"/>
    <col collapsed="false" customWidth="true" hidden="false" outlineLevel="0" max="5" min="5" style="0" width="11.11"/>
    <col collapsed="false" customWidth="true" hidden="false" outlineLevel="0" max="9" min="6" style="0" width="17.21"/>
    <col collapsed="false" customWidth="true" hidden="false" outlineLevel="0" max="10" min="10" style="0" width="9.66"/>
    <col collapsed="false" customWidth="true" hidden="false" outlineLevel="0" max="11" min="11" style="0" width="14.66"/>
    <col collapsed="false" customWidth="true" hidden="false" outlineLevel="0" max="12" min="12" style="0" width="15.22"/>
    <col collapsed="false" customWidth="true" hidden="false" outlineLevel="0" max="13" min="13" style="0" width="17.56"/>
    <col collapsed="false" customWidth="true" hidden="false" outlineLevel="0" max="14" min="14" style="0" width="10.33"/>
    <col collapsed="false" customWidth="true" hidden="false" outlineLevel="0" max="15" min="15" style="0" width="10.89"/>
    <col collapsed="false" customWidth="true" hidden="false" outlineLevel="0" max="22" min="17" style="0" width="17.21"/>
    <col collapsed="false" customWidth="true" hidden="false" outlineLevel="0" max="23" min="23" style="0" width="19.65"/>
    <col collapsed="false" customWidth="true" hidden="false" outlineLevel="0" max="29" min="24" style="0" width="20.78"/>
    <col collapsed="false" customWidth="true" hidden="false" outlineLevel="0" max="30" min="30" style="0" width="17.67"/>
    <col collapsed="false" customWidth="true" hidden="false" outlineLevel="0" max="31" min="31" style="0" width="17.21"/>
    <col collapsed="false" customWidth="true" hidden="false" outlineLevel="0" max="32" min="32" style="0" width="18.56"/>
    <col collapsed="false" customWidth="true" hidden="false" outlineLevel="0" max="38" min="33" style="0" width="19.57"/>
    <col collapsed="false" customWidth="true" hidden="false" outlineLevel="0" max="39" min="39" style="0" width="17.21"/>
    <col collapsed="false" customWidth="true" hidden="false" outlineLevel="0" max="45" min="40" style="0" width="19.57"/>
    <col collapsed="false" customWidth="true" hidden="false" outlineLevel="0" max="60" min="46" style="0" width="17.21"/>
    <col collapsed="false" customWidth="true" hidden="false" outlineLevel="0" max="61" min="61" style="0" width="17.67"/>
    <col collapsed="false" customWidth="true" hidden="false" outlineLevel="0" max="63" min="62" style="0" width="17.21"/>
  </cols>
  <sheetData>
    <row r="1" customFormat="false" ht="14.4" hidden="false" customHeight="false" outlineLevel="0" collapsed="false">
      <c r="A1" s="18" t="s">
        <v>265</v>
      </c>
      <c r="B1" s="23" t="s">
        <v>25</v>
      </c>
      <c r="C1" s="23" t="s">
        <v>35</v>
      </c>
      <c r="D1" s="23" t="s">
        <v>38</v>
      </c>
      <c r="E1" s="23" t="s">
        <v>43</v>
      </c>
      <c r="F1" s="1" t="s">
        <v>48</v>
      </c>
      <c r="G1" s="1" t="s">
        <v>50</v>
      </c>
      <c r="H1" s="1" t="s">
        <v>51</v>
      </c>
      <c r="I1" s="1" t="s">
        <v>52</v>
      </c>
      <c r="J1" s="23" t="s">
        <v>53</v>
      </c>
      <c r="K1" s="23" t="s">
        <v>57</v>
      </c>
      <c r="L1" s="23" t="s">
        <v>60</v>
      </c>
      <c r="M1" s="23" t="s">
        <v>62</v>
      </c>
      <c r="N1" s="23" t="s">
        <v>67</v>
      </c>
      <c r="O1" s="23" t="s">
        <v>73</v>
      </c>
      <c r="P1" s="23" t="s">
        <v>77</v>
      </c>
      <c r="Q1" s="1" t="s">
        <v>81</v>
      </c>
      <c r="R1" s="1" t="s">
        <v>84</v>
      </c>
      <c r="S1" s="1" t="s">
        <v>86</v>
      </c>
      <c r="T1" s="1" t="s">
        <v>88</v>
      </c>
      <c r="U1" s="1" t="s">
        <v>90</v>
      </c>
      <c r="V1" s="1" t="s">
        <v>92</v>
      </c>
      <c r="W1" s="1" t="s">
        <v>100</v>
      </c>
      <c r="X1" s="1" t="s">
        <v>104</v>
      </c>
      <c r="Y1" s="1" t="s">
        <v>108</v>
      </c>
      <c r="Z1" s="1" t="s">
        <v>112</v>
      </c>
      <c r="AA1" s="1" t="s">
        <v>114</v>
      </c>
      <c r="AB1" s="18" t="s">
        <v>118</v>
      </c>
      <c r="AC1" s="18" t="s">
        <v>122</v>
      </c>
      <c r="AD1" s="1" t="s">
        <v>126</v>
      </c>
      <c r="AE1" s="39" t="s">
        <v>130</v>
      </c>
      <c r="AF1" s="39" t="s">
        <v>132</v>
      </c>
      <c r="AG1" s="39" t="s">
        <v>133</v>
      </c>
      <c r="AH1" s="39" t="s">
        <v>134</v>
      </c>
      <c r="AI1" s="39" t="s">
        <v>135</v>
      </c>
      <c r="AJ1" s="39" t="s">
        <v>136</v>
      </c>
      <c r="AK1" s="39" t="s">
        <v>137</v>
      </c>
      <c r="AL1" s="39" t="s">
        <v>138</v>
      </c>
      <c r="AM1" s="39" t="s">
        <v>139</v>
      </c>
      <c r="AN1" s="35" t="s">
        <v>140</v>
      </c>
      <c r="AO1" s="35" t="s">
        <v>144</v>
      </c>
      <c r="AP1" s="35" t="s">
        <v>147</v>
      </c>
      <c r="AQ1" s="35" t="s">
        <v>151</v>
      </c>
      <c r="AR1" s="35" t="s">
        <v>155</v>
      </c>
      <c r="AS1" s="35" t="s">
        <v>159</v>
      </c>
      <c r="AT1" s="35" t="s">
        <v>163</v>
      </c>
      <c r="AU1" s="35" t="s">
        <v>167</v>
      </c>
      <c r="AV1" s="35" t="s">
        <v>174</v>
      </c>
      <c r="AW1" s="35" t="s">
        <v>179</v>
      </c>
      <c r="AX1" s="35" t="s">
        <v>184</v>
      </c>
      <c r="AY1" s="35" t="s">
        <v>186</v>
      </c>
      <c r="AZ1" s="35" t="s">
        <v>187</v>
      </c>
      <c r="BA1" s="35" t="s">
        <v>188</v>
      </c>
      <c r="BB1" s="35" t="s">
        <v>192</v>
      </c>
      <c r="BC1" s="35" t="s">
        <v>196</v>
      </c>
      <c r="BD1" s="35" t="s">
        <v>197</v>
      </c>
      <c r="BE1" s="35" t="s">
        <v>198</v>
      </c>
      <c r="BF1" s="35" t="s">
        <v>201</v>
      </c>
      <c r="BG1" s="35" t="s">
        <v>205</v>
      </c>
      <c r="BH1" s="35" t="s">
        <v>215</v>
      </c>
      <c r="BI1" s="35" t="s">
        <v>220</v>
      </c>
      <c r="BJ1" s="35" t="s">
        <v>225</v>
      </c>
      <c r="BK1" s="35" t="s">
        <v>230</v>
      </c>
    </row>
    <row r="2" customFormat="false" ht="13.2" hidden="false" customHeight="false" outlineLevel="0" collapsed="false">
      <c r="A2" s="18" t="n">
        <v>1</v>
      </c>
      <c r="B2" s="40" t="n">
        <v>102632965</v>
      </c>
      <c r="C2" s="40" t="n">
        <v>102632965</v>
      </c>
      <c r="D2" s="40" t="n">
        <v>102632965</v>
      </c>
      <c r="E2" s="40" t="n">
        <v>102632965</v>
      </c>
      <c r="F2" s="41" t="n">
        <v>78333691</v>
      </c>
      <c r="G2" s="41" t="n">
        <v>78333691</v>
      </c>
      <c r="H2" s="41" t="n">
        <v>78333691</v>
      </c>
      <c r="I2" s="41" t="n">
        <v>78333691</v>
      </c>
      <c r="J2" s="40" t="n">
        <v>102632965</v>
      </c>
      <c r="K2" s="40" t="n">
        <v>102632965</v>
      </c>
      <c r="L2" s="40" t="n">
        <v>102632965</v>
      </c>
      <c r="M2" s="40" t="n">
        <v>102632965</v>
      </c>
      <c r="N2" s="40" t="n">
        <v>102632965</v>
      </c>
      <c r="O2" s="40" t="n">
        <v>102632965</v>
      </c>
      <c r="P2" s="40" t="n">
        <v>102632965</v>
      </c>
      <c r="Q2" s="41" t="n">
        <v>78333691</v>
      </c>
      <c r="R2" s="41" t="n">
        <v>78333691</v>
      </c>
      <c r="S2" s="41" t="n">
        <v>78333691</v>
      </c>
      <c r="T2" s="41" t="n">
        <v>78333691</v>
      </c>
      <c r="U2" s="41" t="n">
        <v>78333691</v>
      </c>
      <c r="V2" s="41" t="n">
        <v>78333691</v>
      </c>
      <c r="W2" s="41" t="n">
        <v>78333691</v>
      </c>
      <c r="X2" s="41" t="n">
        <v>78333691</v>
      </c>
      <c r="Y2" s="41" t="n">
        <v>78333691</v>
      </c>
      <c r="Z2" s="41" t="n">
        <v>78333691</v>
      </c>
      <c r="AA2" s="41" t="n">
        <v>78333691</v>
      </c>
      <c r="AB2" s="41" t="n">
        <v>78333691</v>
      </c>
      <c r="AC2" s="41" t="n">
        <v>78333691</v>
      </c>
      <c r="AD2" s="41" t="n">
        <v>78333691</v>
      </c>
      <c r="AE2" s="40" t="n">
        <v>102632965</v>
      </c>
      <c r="AF2" s="40" t="n">
        <v>102632965</v>
      </c>
      <c r="AG2" s="40" t="n">
        <v>102632965</v>
      </c>
      <c r="AH2" s="40" t="n">
        <v>102632965</v>
      </c>
      <c r="AI2" s="40" t="n">
        <v>102632965</v>
      </c>
      <c r="AJ2" s="40" t="n">
        <v>102632965</v>
      </c>
      <c r="AK2" s="40" t="n">
        <v>102632965</v>
      </c>
      <c r="AL2" s="40" t="n">
        <v>102632965</v>
      </c>
      <c r="AM2" s="40" t="n">
        <v>102632965</v>
      </c>
      <c r="AN2" s="41" t="n">
        <v>78333691</v>
      </c>
      <c r="AO2" s="41" t="n">
        <v>78333691</v>
      </c>
      <c r="AP2" s="41" t="n">
        <v>78333691</v>
      </c>
      <c r="AQ2" s="41" t="n">
        <v>78333691</v>
      </c>
      <c r="AR2" s="41" t="n">
        <v>78333691</v>
      </c>
      <c r="AS2" s="41" t="n">
        <v>78333691</v>
      </c>
      <c r="AT2" s="41" t="n">
        <v>78333691</v>
      </c>
      <c r="AU2" s="0" t="n">
        <v>78333691</v>
      </c>
      <c r="AV2" s="0" t="n">
        <v>78333691</v>
      </c>
      <c r="AW2" s="0" t="n">
        <v>78333691</v>
      </c>
      <c r="AX2" s="29" t="n">
        <v>102632965</v>
      </c>
      <c r="AY2" s="29" t="n">
        <v>102632965</v>
      </c>
      <c r="AZ2" s="29" t="n">
        <v>102632965</v>
      </c>
      <c r="BA2" s="0" t="n">
        <v>78333691</v>
      </c>
      <c r="BB2" s="0" t="n">
        <v>78333691</v>
      </c>
      <c r="BC2" s="29" t="n">
        <v>102632965</v>
      </c>
      <c r="BD2" s="29" t="n">
        <v>102632965</v>
      </c>
      <c r="BE2" s="29" t="n">
        <v>102632965</v>
      </c>
      <c r="BF2" s="29" t="n">
        <v>102632965</v>
      </c>
      <c r="BG2" s="29" t="n">
        <v>102632965</v>
      </c>
      <c r="BH2" s="29" t="n">
        <v>102632965</v>
      </c>
      <c r="BI2" s="29" t="n">
        <v>102632965</v>
      </c>
      <c r="BJ2" s="29" t="n">
        <v>102632965</v>
      </c>
      <c r="BK2" s="29" t="n">
        <v>102632965</v>
      </c>
    </row>
    <row r="3" customFormat="false" ht="13.2" hidden="false" customHeight="false" outlineLevel="0" collapsed="false">
      <c r="A3" s="18" t="n">
        <f aca="false">A2+1</f>
        <v>2</v>
      </c>
      <c r="B3" s="40" t="n">
        <v>95920675</v>
      </c>
      <c r="C3" s="40" t="n">
        <v>95920675</v>
      </c>
      <c r="D3" s="40" t="n">
        <v>95920675</v>
      </c>
      <c r="E3" s="40" t="n">
        <v>95920675</v>
      </c>
      <c r="F3" s="41" t="n">
        <v>71921635</v>
      </c>
      <c r="G3" s="41" t="n">
        <v>71921635</v>
      </c>
      <c r="H3" s="41" t="n">
        <v>71921635</v>
      </c>
      <c r="I3" s="41" t="n">
        <v>71921635</v>
      </c>
      <c r="J3" s="40" t="n">
        <v>95920675</v>
      </c>
      <c r="K3" s="40" t="n">
        <v>95920675</v>
      </c>
      <c r="L3" s="40" t="n">
        <v>95920675</v>
      </c>
      <c r="M3" s="40" t="n">
        <v>95920675</v>
      </c>
      <c r="N3" s="40" t="n">
        <v>95920675</v>
      </c>
      <c r="O3" s="40" t="n">
        <v>95920675</v>
      </c>
      <c r="P3" s="40" t="n">
        <v>95920675</v>
      </c>
      <c r="Q3" s="41" t="n">
        <v>71921635</v>
      </c>
      <c r="R3" s="41" t="n">
        <v>71921635</v>
      </c>
      <c r="S3" s="41" t="n">
        <v>71921635</v>
      </c>
      <c r="T3" s="41" t="n">
        <v>71921635</v>
      </c>
      <c r="U3" s="41" t="n">
        <v>71921635</v>
      </c>
      <c r="V3" s="41" t="n">
        <v>71921635</v>
      </c>
      <c r="W3" s="41" t="n">
        <v>71921635</v>
      </c>
      <c r="X3" s="41" t="n">
        <v>71921635</v>
      </c>
      <c r="Y3" s="41" t="n">
        <v>71921635</v>
      </c>
      <c r="Z3" s="41" t="n">
        <v>71921635</v>
      </c>
      <c r="AA3" s="41" t="n">
        <v>71921635</v>
      </c>
      <c r="AB3" s="41" t="n">
        <v>71921635</v>
      </c>
      <c r="AC3" s="41" t="n">
        <v>71921635</v>
      </c>
      <c r="AD3" s="41" t="n">
        <v>71921635</v>
      </c>
      <c r="AE3" s="40" t="n">
        <v>95920675</v>
      </c>
      <c r="AF3" s="40" t="n">
        <v>95920675</v>
      </c>
      <c r="AG3" s="40" t="n">
        <v>95920675</v>
      </c>
      <c r="AH3" s="40" t="n">
        <v>95920675</v>
      </c>
      <c r="AI3" s="40" t="n">
        <v>95920675</v>
      </c>
      <c r="AJ3" s="40" t="n">
        <v>95920675</v>
      </c>
      <c r="AK3" s="40" t="n">
        <v>95920675</v>
      </c>
      <c r="AL3" s="40" t="n">
        <v>95920675</v>
      </c>
      <c r="AM3" s="40" t="n">
        <v>95920675</v>
      </c>
      <c r="AN3" s="41" t="n">
        <v>71921635</v>
      </c>
      <c r="AO3" s="41" t="n">
        <v>71921635</v>
      </c>
      <c r="AP3" s="41" t="n">
        <v>71921635</v>
      </c>
      <c r="AQ3" s="41" t="n">
        <v>71921635</v>
      </c>
      <c r="AR3" s="41" t="n">
        <v>71921635</v>
      </c>
      <c r="AS3" s="41" t="n">
        <v>71921635</v>
      </c>
      <c r="AT3" s="41" t="n">
        <v>71921635</v>
      </c>
      <c r="AU3" s="0" t="n">
        <v>71921635</v>
      </c>
      <c r="AV3" s="0" t="n">
        <v>71921635</v>
      </c>
      <c r="AW3" s="0" t="n">
        <v>71921635</v>
      </c>
      <c r="AX3" s="29" t="n">
        <v>95920675</v>
      </c>
      <c r="AY3" s="29" t="n">
        <v>95920675</v>
      </c>
      <c r="AZ3" s="29" t="n">
        <v>95920675</v>
      </c>
      <c r="BA3" s="0" t="n">
        <v>71921635</v>
      </c>
      <c r="BB3" s="0" t="n">
        <v>71921635</v>
      </c>
      <c r="BC3" s="29" t="n">
        <v>95920675</v>
      </c>
      <c r="BD3" s="29" t="n">
        <v>95920675</v>
      </c>
      <c r="BE3" s="29" t="n">
        <v>95920675</v>
      </c>
      <c r="BF3" s="29" t="n">
        <v>95920675</v>
      </c>
      <c r="BG3" s="29" t="n">
        <v>95920675</v>
      </c>
      <c r="BH3" s="29" t="n">
        <v>95920675</v>
      </c>
      <c r="BI3" s="29" t="n">
        <v>95920675</v>
      </c>
      <c r="BJ3" s="29" t="n">
        <v>95920675</v>
      </c>
      <c r="BK3" s="29" t="n">
        <v>95920675</v>
      </c>
    </row>
    <row r="4" customFormat="false" ht="13.2" hidden="false" customHeight="false" outlineLevel="0" collapsed="false">
      <c r="A4" s="18" t="n">
        <f aca="false">A3+1</f>
        <v>3</v>
      </c>
      <c r="B4" s="40" t="n">
        <v>106368903</v>
      </c>
      <c r="C4" s="40" t="n">
        <v>106368903</v>
      </c>
      <c r="D4" s="40" t="n">
        <v>106368903</v>
      </c>
      <c r="E4" s="40" t="n">
        <v>106368903</v>
      </c>
      <c r="F4" s="41" t="n">
        <v>76205707</v>
      </c>
      <c r="G4" s="41" t="n">
        <v>76205707</v>
      </c>
      <c r="H4" s="41" t="n">
        <v>76205707</v>
      </c>
      <c r="I4" s="41" t="n">
        <v>76205707</v>
      </c>
      <c r="J4" s="40" t="n">
        <v>106368903</v>
      </c>
      <c r="K4" s="40" t="n">
        <v>106368903</v>
      </c>
      <c r="L4" s="40" t="n">
        <v>106368903</v>
      </c>
      <c r="M4" s="40" t="n">
        <v>106368903</v>
      </c>
      <c r="N4" s="40" t="n">
        <v>106368903</v>
      </c>
      <c r="O4" s="40" t="n">
        <v>106368903</v>
      </c>
      <c r="P4" s="40" t="n">
        <v>106368903</v>
      </c>
      <c r="Q4" s="41" t="n">
        <v>76205707</v>
      </c>
      <c r="R4" s="41" t="n">
        <v>76205707</v>
      </c>
      <c r="S4" s="41" t="n">
        <v>76205707</v>
      </c>
      <c r="T4" s="41" t="n">
        <v>76205707</v>
      </c>
      <c r="U4" s="41" t="n">
        <v>76205707</v>
      </c>
      <c r="V4" s="41" t="n">
        <v>76205707</v>
      </c>
      <c r="W4" s="41" t="n">
        <v>76205707</v>
      </c>
      <c r="X4" s="41" t="n">
        <v>76205707</v>
      </c>
      <c r="Y4" s="41" t="n">
        <v>76205707</v>
      </c>
      <c r="Z4" s="41" t="n">
        <v>76205707</v>
      </c>
      <c r="AA4" s="41" t="n">
        <v>76205707</v>
      </c>
      <c r="AB4" s="41" t="n">
        <v>76205707</v>
      </c>
      <c r="AC4" s="41" t="n">
        <v>76205707</v>
      </c>
      <c r="AD4" s="41" t="n">
        <v>76205707</v>
      </c>
      <c r="AE4" s="40" t="n">
        <v>106368903</v>
      </c>
      <c r="AF4" s="40" t="n">
        <v>106368903</v>
      </c>
      <c r="AG4" s="40" t="n">
        <v>106368903</v>
      </c>
      <c r="AH4" s="40" t="n">
        <v>106368903</v>
      </c>
      <c r="AI4" s="40" t="n">
        <v>106368903</v>
      </c>
      <c r="AJ4" s="40" t="n">
        <v>106368903</v>
      </c>
      <c r="AK4" s="40" t="n">
        <v>106368903</v>
      </c>
      <c r="AL4" s="40" t="n">
        <v>106368903</v>
      </c>
      <c r="AM4" s="40" t="n">
        <v>106368903</v>
      </c>
      <c r="AN4" s="41" t="n">
        <v>76205707</v>
      </c>
      <c r="AO4" s="41" t="n">
        <v>76205707</v>
      </c>
      <c r="AP4" s="41" t="n">
        <v>76205707</v>
      </c>
      <c r="AQ4" s="41" t="n">
        <v>76205707</v>
      </c>
      <c r="AR4" s="41" t="n">
        <v>76205707</v>
      </c>
      <c r="AS4" s="41" t="n">
        <v>76205707</v>
      </c>
      <c r="AT4" s="41" t="n">
        <v>76205707</v>
      </c>
      <c r="AU4" s="0" t="n">
        <v>76205707</v>
      </c>
      <c r="AV4" s="0" t="n">
        <v>76205707</v>
      </c>
      <c r="AW4" s="0" t="n">
        <v>76205707</v>
      </c>
      <c r="AX4" s="29" t="n">
        <v>106368903</v>
      </c>
      <c r="AY4" s="29" t="n">
        <v>106368903</v>
      </c>
      <c r="AZ4" s="29" t="n">
        <v>106368903</v>
      </c>
      <c r="BA4" s="0" t="n">
        <v>76205707</v>
      </c>
      <c r="BB4" s="0" t="n">
        <v>76205707</v>
      </c>
      <c r="BC4" s="29" t="n">
        <v>106368903</v>
      </c>
      <c r="BD4" s="29" t="n">
        <v>106368903</v>
      </c>
      <c r="BE4" s="29" t="n">
        <v>106368903</v>
      </c>
      <c r="BF4" s="29" t="n">
        <v>106368903</v>
      </c>
      <c r="BG4" s="29" t="n">
        <v>106368903</v>
      </c>
      <c r="BH4" s="29" t="n">
        <v>106368903</v>
      </c>
      <c r="BI4" s="29" t="n">
        <v>106368903</v>
      </c>
      <c r="BJ4" s="29" t="n">
        <v>106368903</v>
      </c>
      <c r="BK4" s="29" t="n">
        <v>106368903</v>
      </c>
    </row>
    <row r="5" customFormat="false" ht="13.2" hidden="false" customHeight="false" outlineLevel="0" collapsed="false">
      <c r="A5" s="18" t="n">
        <f aca="false">A4+1</f>
        <v>4</v>
      </c>
      <c r="B5" s="40" t="n">
        <v>104245066</v>
      </c>
      <c r="C5" s="40" t="n">
        <v>104245066</v>
      </c>
      <c r="D5" s="40" t="n">
        <v>104245066</v>
      </c>
      <c r="E5" s="40" t="n">
        <v>104245066</v>
      </c>
      <c r="F5" s="41" t="n">
        <v>77557898</v>
      </c>
      <c r="G5" s="41" t="n">
        <v>77557898</v>
      </c>
      <c r="H5" s="41" t="n">
        <v>77557898</v>
      </c>
      <c r="I5" s="41" t="n">
        <v>77557898</v>
      </c>
      <c r="J5" s="40" t="n">
        <v>104245066</v>
      </c>
      <c r="K5" s="40" t="n">
        <v>104245066</v>
      </c>
      <c r="L5" s="40" t="n">
        <v>104245066</v>
      </c>
      <c r="M5" s="40" t="n">
        <v>104245066</v>
      </c>
      <c r="N5" s="40" t="n">
        <v>104245066</v>
      </c>
      <c r="O5" s="40" t="n">
        <v>104245066</v>
      </c>
      <c r="P5" s="40" t="n">
        <v>104245066</v>
      </c>
      <c r="Q5" s="41" t="n">
        <v>77557898</v>
      </c>
      <c r="R5" s="41" t="n">
        <v>77557898</v>
      </c>
      <c r="S5" s="41" t="n">
        <v>77557898</v>
      </c>
      <c r="T5" s="41" t="n">
        <v>77557898</v>
      </c>
      <c r="U5" s="41" t="n">
        <v>77557898</v>
      </c>
      <c r="V5" s="41" t="n">
        <v>77557898</v>
      </c>
      <c r="W5" s="41" t="n">
        <v>77557898</v>
      </c>
      <c r="X5" s="41" t="n">
        <v>77557898</v>
      </c>
      <c r="Y5" s="41" t="n">
        <v>77557898</v>
      </c>
      <c r="Z5" s="41" t="n">
        <v>77557898</v>
      </c>
      <c r="AA5" s="41" t="n">
        <v>77557898</v>
      </c>
      <c r="AB5" s="41" t="n">
        <v>77557898</v>
      </c>
      <c r="AC5" s="41" t="n">
        <v>77557898</v>
      </c>
      <c r="AD5" s="41" t="n">
        <v>77557898</v>
      </c>
      <c r="AE5" s="40" t="n">
        <v>104245066</v>
      </c>
      <c r="AF5" s="40" t="n">
        <v>104245066</v>
      </c>
      <c r="AG5" s="40" t="n">
        <v>104245066</v>
      </c>
      <c r="AH5" s="40" t="n">
        <v>104245066</v>
      </c>
      <c r="AI5" s="40" t="n">
        <v>104245066</v>
      </c>
      <c r="AJ5" s="40" t="n">
        <v>104245066</v>
      </c>
      <c r="AK5" s="40" t="n">
        <v>104245066</v>
      </c>
      <c r="AL5" s="40" t="n">
        <v>104245066</v>
      </c>
      <c r="AM5" s="40" t="n">
        <v>104245066</v>
      </c>
      <c r="AN5" s="41" t="n">
        <v>77557898</v>
      </c>
      <c r="AO5" s="41" t="n">
        <v>77557898</v>
      </c>
      <c r="AP5" s="41" t="n">
        <v>77557898</v>
      </c>
      <c r="AQ5" s="41" t="n">
        <v>77557898</v>
      </c>
      <c r="AR5" s="41" t="n">
        <v>77557898</v>
      </c>
      <c r="AS5" s="41" t="n">
        <v>77557898</v>
      </c>
      <c r="AT5" s="41" t="n">
        <v>77557898</v>
      </c>
      <c r="AU5" s="0" t="n">
        <v>77557898</v>
      </c>
      <c r="AV5" s="0" t="n">
        <v>77557898</v>
      </c>
      <c r="AW5" s="0" t="n">
        <v>77557898</v>
      </c>
      <c r="AX5" s="29" t="n">
        <v>104245066</v>
      </c>
      <c r="AY5" s="29" t="n">
        <v>104245066</v>
      </c>
      <c r="AZ5" s="29" t="n">
        <v>104245066</v>
      </c>
      <c r="BA5" s="0" t="n">
        <v>77557898</v>
      </c>
      <c r="BB5" s="0" t="n">
        <v>77557898</v>
      </c>
      <c r="BC5" s="29" t="n">
        <v>104245066</v>
      </c>
      <c r="BD5" s="29" t="n">
        <v>104245066</v>
      </c>
      <c r="BE5" s="29" t="n">
        <v>104245066</v>
      </c>
      <c r="BF5" s="29" t="n">
        <v>104245066</v>
      </c>
      <c r="BG5" s="29" t="n">
        <v>104245066</v>
      </c>
      <c r="BH5" s="29" t="n">
        <v>104245066</v>
      </c>
      <c r="BI5" s="29" t="n">
        <v>104245066</v>
      </c>
      <c r="BJ5" s="29" t="n">
        <v>104245066</v>
      </c>
      <c r="BK5" s="29" t="n">
        <v>104245066</v>
      </c>
    </row>
    <row r="6" customFormat="false" ht="13.2" hidden="false" customHeight="false" outlineLevel="0" collapsed="false">
      <c r="A6" s="18" t="n">
        <f aca="false">A5+1</f>
        <v>5</v>
      </c>
      <c r="B6" s="40" t="n">
        <v>108543913</v>
      </c>
      <c r="C6" s="40" t="n">
        <v>108543913</v>
      </c>
      <c r="D6" s="40" t="n">
        <v>108543913</v>
      </c>
      <c r="E6" s="40" t="n">
        <v>108543913</v>
      </c>
      <c r="F6" s="41" t="n">
        <v>81648787</v>
      </c>
      <c r="G6" s="41" t="n">
        <v>81648787</v>
      </c>
      <c r="H6" s="41" t="n">
        <v>81648787</v>
      </c>
      <c r="I6" s="41" t="n">
        <v>81648787</v>
      </c>
      <c r="J6" s="40" t="n">
        <v>108543913</v>
      </c>
      <c r="K6" s="40" t="n">
        <v>108543913</v>
      </c>
      <c r="L6" s="40" t="n">
        <v>108543913</v>
      </c>
      <c r="M6" s="40" t="n">
        <v>108543913</v>
      </c>
      <c r="N6" s="40" t="n">
        <v>108543913</v>
      </c>
      <c r="O6" s="40" t="n">
        <v>108543913</v>
      </c>
      <c r="P6" s="40" t="n">
        <v>108543913</v>
      </c>
      <c r="Q6" s="41" t="n">
        <v>81648787</v>
      </c>
      <c r="R6" s="41" t="n">
        <v>81648787</v>
      </c>
      <c r="S6" s="41" t="n">
        <v>81648787</v>
      </c>
      <c r="T6" s="41" t="n">
        <v>81648787</v>
      </c>
      <c r="U6" s="41" t="n">
        <v>81648787</v>
      </c>
      <c r="V6" s="41" t="n">
        <v>81648787</v>
      </c>
      <c r="W6" s="41" t="n">
        <v>81648787</v>
      </c>
      <c r="X6" s="41" t="n">
        <v>81648787</v>
      </c>
      <c r="Y6" s="41" t="n">
        <v>81648787</v>
      </c>
      <c r="Z6" s="41" t="n">
        <v>81648787</v>
      </c>
      <c r="AA6" s="41" t="n">
        <v>81648787</v>
      </c>
      <c r="AB6" s="41" t="n">
        <v>81648787</v>
      </c>
      <c r="AC6" s="41" t="n">
        <v>81648787</v>
      </c>
      <c r="AD6" s="41" t="n">
        <v>81648787</v>
      </c>
      <c r="AE6" s="40" t="n">
        <v>108543913</v>
      </c>
      <c r="AF6" s="40" t="n">
        <v>108543913</v>
      </c>
      <c r="AG6" s="40" t="n">
        <v>108543913</v>
      </c>
      <c r="AH6" s="40" t="n">
        <v>108543913</v>
      </c>
      <c r="AI6" s="40" t="n">
        <v>108543913</v>
      </c>
      <c r="AJ6" s="40" t="n">
        <v>108543913</v>
      </c>
      <c r="AK6" s="40" t="n">
        <v>108543913</v>
      </c>
      <c r="AL6" s="40" t="n">
        <v>108543913</v>
      </c>
      <c r="AM6" s="40" t="n">
        <v>108543913</v>
      </c>
      <c r="AN6" s="41" t="n">
        <v>81648787</v>
      </c>
      <c r="AO6" s="41" t="n">
        <v>81648787</v>
      </c>
      <c r="AP6" s="41" t="n">
        <v>81648787</v>
      </c>
      <c r="AQ6" s="41" t="n">
        <v>81648787</v>
      </c>
      <c r="AR6" s="41" t="n">
        <v>81648787</v>
      </c>
      <c r="AS6" s="41" t="n">
        <v>81648787</v>
      </c>
      <c r="AT6" s="41" t="n">
        <v>81648787</v>
      </c>
      <c r="AU6" s="0" t="n">
        <v>81648787</v>
      </c>
      <c r="AV6" s="0" t="n">
        <v>81648787</v>
      </c>
      <c r="AW6" s="0" t="n">
        <v>81648787</v>
      </c>
      <c r="AX6" s="29" t="n">
        <v>108543913</v>
      </c>
      <c r="AY6" s="29" t="n">
        <v>108543913</v>
      </c>
      <c r="AZ6" s="29" t="n">
        <v>108543913</v>
      </c>
      <c r="BA6" s="0" t="n">
        <v>81648787</v>
      </c>
      <c r="BB6" s="0" t="n">
        <v>81648787</v>
      </c>
      <c r="BC6" s="29" t="n">
        <v>108543913</v>
      </c>
      <c r="BD6" s="29" t="n">
        <v>108543913</v>
      </c>
      <c r="BE6" s="29" t="n">
        <v>108543913</v>
      </c>
      <c r="BF6" s="29" t="n">
        <v>108543913</v>
      </c>
      <c r="BG6" s="29" t="n">
        <v>108543913</v>
      </c>
      <c r="BH6" s="29" t="n">
        <v>108543913</v>
      </c>
      <c r="BI6" s="29" t="n">
        <v>108543913</v>
      </c>
      <c r="BJ6" s="29" t="n">
        <v>108543913</v>
      </c>
      <c r="BK6" s="29" t="n">
        <v>108543913</v>
      </c>
    </row>
    <row r="7" customFormat="false" ht="13.2" hidden="false" customHeight="false" outlineLevel="0" collapsed="false">
      <c r="A7" s="18" t="n">
        <f aca="false">A6+1</f>
        <v>6</v>
      </c>
      <c r="B7" s="40" t="n">
        <v>102249069</v>
      </c>
      <c r="C7" s="40" t="n">
        <v>102249069</v>
      </c>
      <c r="D7" s="40" t="n">
        <v>102249069</v>
      </c>
      <c r="E7" s="40" t="n">
        <v>102249069</v>
      </c>
      <c r="F7" s="41" t="n">
        <v>78407301</v>
      </c>
      <c r="G7" s="41" t="n">
        <v>78407301</v>
      </c>
      <c r="H7" s="41" t="n">
        <v>78407301</v>
      </c>
      <c r="I7" s="41" t="n">
        <v>78407301</v>
      </c>
      <c r="J7" s="40" t="n">
        <v>102249069</v>
      </c>
      <c r="K7" s="40" t="n">
        <v>102249069</v>
      </c>
      <c r="L7" s="40" t="n">
        <v>102249069</v>
      </c>
      <c r="M7" s="40" t="n">
        <v>102249069</v>
      </c>
      <c r="N7" s="40" t="n">
        <v>102249069</v>
      </c>
      <c r="O7" s="40" t="n">
        <v>102249069</v>
      </c>
      <c r="P7" s="40" t="n">
        <v>102249069</v>
      </c>
      <c r="Q7" s="41" t="n">
        <v>78407301</v>
      </c>
      <c r="R7" s="41" t="n">
        <v>78407301</v>
      </c>
      <c r="S7" s="41" t="n">
        <v>78407301</v>
      </c>
      <c r="T7" s="41" t="n">
        <v>78407301</v>
      </c>
      <c r="U7" s="41" t="n">
        <v>78407301</v>
      </c>
      <c r="V7" s="41" t="n">
        <v>78407301</v>
      </c>
      <c r="W7" s="41" t="n">
        <v>78407301</v>
      </c>
      <c r="X7" s="41" t="n">
        <v>78407301</v>
      </c>
      <c r="Y7" s="41" t="n">
        <v>78407301</v>
      </c>
      <c r="Z7" s="41" t="n">
        <v>78407301</v>
      </c>
      <c r="AA7" s="41" t="n">
        <v>78407301</v>
      </c>
      <c r="AB7" s="41" t="n">
        <v>78407301</v>
      </c>
      <c r="AC7" s="41" t="n">
        <v>78407301</v>
      </c>
      <c r="AD7" s="41" t="n">
        <v>78407301</v>
      </c>
      <c r="AE7" s="40" t="n">
        <v>102249069</v>
      </c>
      <c r="AF7" s="40" t="n">
        <v>102249069</v>
      </c>
      <c r="AG7" s="40" t="n">
        <v>102249069</v>
      </c>
      <c r="AH7" s="40" t="n">
        <v>102249069</v>
      </c>
      <c r="AI7" s="40" t="n">
        <v>102249069</v>
      </c>
      <c r="AJ7" s="40" t="n">
        <v>102249069</v>
      </c>
      <c r="AK7" s="40" t="n">
        <v>102249069</v>
      </c>
      <c r="AL7" s="40" t="n">
        <v>102249069</v>
      </c>
      <c r="AM7" s="40" t="n">
        <v>102249069</v>
      </c>
      <c r="AN7" s="41" t="n">
        <v>78407301</v>
      </c>
      <c r="AO7" s="41" t="n">
        <v>78407301</v>
      </c>
      <c r="AP7" s="41" t="n">
        <v>78407301</v>
      </c>
      <c r="AQ7" s="41" t="n">
        <v>78407301</v>
      </c>
      <c r="AR7" s="41" t="n">
        <v>78407301</v>
      </c>
      <c r="AS7" s="41" t="n">
        <v>78407301</v>
      </c>
      <c r="AT7" s="41" t="n">
        <v>78407301</v>
      </c>
      <c r="AU7" s="0" t="n">
        <v>78407301</v>
      </c>
      <c r="AV7" s="0" t="n">
        <v>78407301</v>
      </c>
      <c r="AW7" s="0" t="n">
        <v>78407301</v>
      </c>
      <c r="AX7" s="29" t="n">
        <v>102249069</v>
      </c>
      <c r="AY7" s="29" t="n">
        <v>102249069</v>
      </c>
      <c r="AZ7" s="29" t="n">
        <v>102249069</v>
      </c>
      <c r="BA7" s="0" t="n">
        <v>78407301</v>
      </c>
      <c r="BB7" s="0" t="n">
        <v>78407301</v>
      </c>
      <c r="BC7" s="29" t="n">
        <v>102249069</v>
      </c>
      <c r="BD7" s="29" t="n">
        <v>102249069</v>
      </c>
      <c r="BE7" s="29" t="n">
        <v>102249069</v>
      </c>
      <c r="BF7" s="29" t="n">
        <v>102249069</v>
      </c>
      <c r="BG7" s="29" t="n">
        <v>102249069</v>
      </c>
      <c r="BH7" s="29" t="n">
        <v>102249069</v>
      </c>
      <c r="BI7" s="29" t="n">
        <v>102249069</v>
      </c>
      <c r="BJ7" s="29" t="n">
        <v>102249069</v>
      </c>
      <c r="BK7" s="29" t="n">
        <v>102249069</v>
      </c>
    </row>
    <row r="8" customFormat="false" ht="13.2" hidden="false" customHeight="false" outlineLevel="0" collapsed="false">
      <c r="A8" s="18" t="n">
        <f aca="false">A7+1</f>
        <v>7</v>
      </c>
      <c r="B8" s="40" t="n">
        <v>108254199</v>
      </c>
      <c r="C8" s="40" t="n">
        <v>108254199</v>
      </c>
      <c r="D8" s="40" t="n">
        <v>108254199</v>
      </c>
      <c r="E8" s="40" t="n">
        <v>108254199</v>
      </c>
      <c r="F8" s="41" t="n">
        <v>85380723</v>
      </c>
      <c r="G8" s="41" t="n">
        <v>85380723</v>
      </c>
      <c r="H8" s="41" t="n">
        <v>85380723</v>
      </c>
      <c r="I8" s="41" t="n">
        <v>85380723</v>
      </c>
      <c r="J8" s="40" t="n">
        <v>108254199</v>
      </c>
      <c r="K8" s="40" t="n">
        <v>108254199</v>
      </c>
      <c r="L8" s="40" t="n">
        <v>108254199</v>
      </c>
      <c r="M8" s="40" t="n">
        <v>108254199</v>
      </c>
      <c r="N8" s="40" t="n">
        <v>108254199</v>
      </c>
      <c r="O8" s="40" t="n">
        <v>108254199</v>
      </c>
      <c r="P8" s="40" t="n">
        <v>108254199</v>
      </c>
      <c r="Q8" s="41" t="n">
        <v>85380723</v>
      </c>
      <c r="R8" s="41" t="n">
        <v>85380723</v>
      </c>
      <c r="S8" s="41" t="n">
        <v>85380723</v>
      </c>
      <c r="T8" s="41" t="n">
        <v>85380723</v>
      </c>
      <c r="U8" s="41" t="n">
        <v>85380723</v>
      </c>
      <c r="V8" s="41" t="n">
        <v>85380723</v>
      </c>
      <c r="W8" s="41" t="n">
        <v>85380723</v>
      </c>
      <c r="X8" s="41" t="n">
        <v>85380723</v>
      </c>
      <c r="Y8" s="41" t="n">
        <v>85380723</v>
      </c>
      <c r="Z8" s="41" t="n">
        <v>85380723</v>
      </c>
      <c r="AA8" s="41" t="n">
        <v>85380723</v>
      </c>
      <c r="AB8" s="41" t="n">
        <v>85380723</v>
      </c>
      <c r="AC8" s="41" t="n">
        <v>85380723</v>
      </c>
      <c r="AD8" s="41" t="n">
        <v>85380723</v>
      </c>
      <c r="AE8" s="40" t="n">
        <v>108254199</v>
      </c>
      <c r="AF8" s="40" t="n">
        <v>108254199</v>
      </c>
      <c r="AG8" s="40" t="n">
        <v>108254199</v>
      </c>
      <c r="AH8" s="40" t="n">
        <v>108254199</v>
      </c>
      <c r="AI8" s="40" t="n">
        <v>108254199</v>
      </c>
      <c r="AJ8" s="40" t="n">
        <v>108254199</v>
      </c>
      <c r="AK8" s="40" t="n">
        <v>108254199</v>
      </c>
      <c r="AL8" s="40" t="n">
        <v>108254199</v>
      </c>
      <c r="AM8" s="40" t="n">
        <v>108254199</v>
      </c>
      <c r="AN8" s="41" t="n">
        <v>85380723</v>
      </c>
      <c r="AO8" s="41" t="n">
        <v>85380723</v>
      </c>
      <c r="AP8" s="41" t="n">
        <v>85380723</v>
      </c>
      <c r="AQ8" s="41" t="n">
        <v>85380723</v>
      </c>
      <c r="AR8" s="41" t="n">
        <v>85380723</v>
      </c>
      <c r="AS8" s="41" t="n">
        <v>85380723</v>
      </c>
      <c r="AT8" s="41" t="n">
        <v>85380723</v>
      </c>
      <c r="AU8" s="0" t="n">
        <v>85380723</v>
      </c>
      <c r="AV8" s="0" t="n">
        <v>85380723</v>
      </c>
      <c r="AW8" s="0" t="n">
        <v>85380723</v>
      </c>
      <c r="AX8" s="29" t="n">
        <v>108254199</v>
      </c>
      <c r="AY8" s="29" t="n">
        <v>108254199</v>
      </c>
      <c r="AZ8" s="29" t="n">
        <v>108254199</v>
      </c>
      <c r="BA8" s="0" t="n">
        <v>85380723</v>
      </c>
      <c r="BB8" s="0" t="n">
        <v>85380723</v>
      </c>
      <c r="BC8" s="29" t="n">
        <v>108254199</v>
      </c>
      <c r="BD8" s="29" t="n">
        <v>108254199</v>
      </c>
      <c r="BE8" s="29" t="n">
        <v>108254199</v>
      </c>
      <c r="BF8" s="29" t="n">
        <v>108254199</v>
      </c>
      <c r="BG8" s="29" t="n">
        <v>108254199</v>
      </c>
      <c r="BH8" s="29" t="n">
        <v>108254199</v>
      </c>
      <c r="BI8" s="29" t="n">
        <v>108254199</v>
      </c>
      <c r="BJ8" s="29" t="n">
        <v>108254199</v>
      </c>
      <c r="BK8" s="29" t="n">
        <v>108254199</v>
      </c>
    </row>
    <row r="9" customFormat="false" ht="13.2" hidden="false" customHeight="false" outlineLevel="0" collapsed="false">
      <c r="A9" s="18" t="n">
        <f aca="false">A8+1</f>
        <v>8</v>
      </c>
      <c r="B9" s="40" t="n">
        <v>111422921</v>
      </c>
      <c r="C9" s="40" t="n">
        <v>111422921</v>
      </c>
      <c r="D9" s="40" t="n">
        <v>111422921</v>
      </c>
      <c r="E9" s="40" t="n">
        <v>111422921</v>
      </c>
      <c r="F9" s="41" t="n">
        <v>86610087</v>
      </c>
      <c r="G9" s="41" t="n">
        <v>86610087</v>
      </c>
      <c r="H9" s="41" t="n">
        <v>86610087</v>
      </c>
      <c r="I9" s="41" t="n">
        <v>86610087</v>
      </c>
      <c r="J9" s="40" t="n">
        <v>111422921</v>
      </c>
      <c r="K9" s="40" t="n">
        <v>111422921</v>
      </c>
      <c r="L9" s="40" t="n">
        <v>111422921</v>
      </c>
      <c r="M9" s="40" t="n">
        <v>111422921</v>
      </c>
      <c r="N9" s="40" t="n">
        <v>111422921</v>
      </c>
      <c r="O9" s="40" t="n">
        <v>111422921</v>
      </c>
      <c r="P9" s="40" t="n">
        <v>111422921</v>
      </c>
      <c r="Q9" s="41" t="n">
        <v>86610087</v>
      </c>
      <c r="R9" s="41" t="n">
        <v>86610087</v>
      </c>
      <c r="S9" s="41" t="n">
        <v>86610087</v>
      </c>
      <c r="T9" s="41" t="n">
        <v>86610087</v>
      </c>
      <c r="U9" s="41" t="n">
        <v>86610087</v>
      </c>
      <c r="V9" s="41" t="n">
        <v>86610087</v>
      </c>
      <c r="W9" s="41" t="n">
        <v>86610087</v>
      </c>
      <c r="X9" s="41" t="n">
        <v>86610087</v>
      </c>
      <c r="Y9" s="41" t="n">
        <v>86610087</v>
      </c>
      <c r="Z9" s="41" t="n">
        <v>86610087</v>
      </c>
      <c r="AA9" s="41" t="n">
        <v>86610087</v>
      </c>
      <c r="AB9" s="41" t="n">
        <v>86610087</v>
      </c>
      <c r="AC9" s="41" t="n">
        <v>86610087</v>
      </c>
      <c r="AD9" s="41" t="n">
        <v>86610087</v>
      </c>
      <c r="AE9" s="40" t="n">
        <v>111422921</v>
      </c>
      <c r="AF9" s="40" t="n">
        <v>111422921</v>
      </c>
      <c r="AG9" s="40" t="n">
        <v>111422921</v>
      </c>
      <c r="AH9" s="40" t="n">
        <v>111422921</v>
      </c>
      <c r="AI9" s="40" t="n">
        <v>111422921</v>
      </c>
      <c r="AJ9" s="40" t="n">
        <v>111422921</v>
      </c>
      <c r="AK9" s="40" t="n">
        <v>111422921</v>
      </c>
      <c r="AL9" s="40" t="n">
        <v>111422921</v>
      </c>
      <c r="AM9" s="40" t="n">
        <v>111422921</v>
      </c>
      <c r="AN9" s="41" t="n">
        <v>86610087</v>
      </c>
      <c r="AO9" s="41" t="n">
        <v>86610087</v>
      </c>
      <c r="AP9" s="41" t="n">
        <v>86610087</v>
      </c>
      <c r="AQ9" s="41" t="n">
        <v>86610087</v>
      </c>
      <c r="AR9" s="41" t="n">
        <v>86610087</v>
      </c>
      <c r="AS9" s="41" t="n">
        <v>86610087</v>
      </c>
      <c r="AT9" s="41" t="n">
        <v>86610087</v>
      </c>
      <c r="AU9" s="0" t="n">
        <v>86610087</v>
      </c>
      <c r="AV9" s="0" t="n">
        <v>86610087</v>
      </c>
      <c r="AW9" s="0" t="n">
        <v>86610087</v>
      </c>
      <c r="AX9" s="29" t="n">
        <v>111422921</v>
      </c>
      <c r="AY9" s="29" t="n">
        <v>111422921</v>
      </c>
      <c r="AZ9" s="29" t="n">
        <v>111422921</v>
      </c>
      <c r="BA9" s="0" t="n">
        <v>86610087</v>
      </c>
      <c r="BB9" s="0" t="n">
        <v>86610087</v>
      </c>
      <c r="BC9" s="29" t="n">
        <v>111422921</v>
      </c>
      <c r="BD9" s="29" t="n">
        <v>111422921</v>
      </c>
      <c r="BE9" s="29" t="n">
        <v>111422921</v>
      </c>
      <c r="BF9" s="29" t="n">
        <v>111422921</v>
      </c>
      <c r="BG9" s="29" t="n">
        <v>111422921</v>
      </c>
      <c r="BH9" s="29" t="n">
        <v>111422921</v>
      </c>
      <c r="BI9" s="29" t="n">
        <v>111422921</v>
      </c>
      <c r="BJ9" s="29" t="n">
        <v>111422921</v>
      </c>
      <c r="BK9" s="29" t="n">
        <v>111422921</v>
      </c>
    </row>
    <row r="10" customFormat="false" ht="13.2" hidden="false" customHeight="false" outlineLevel="0" collapsed="false">
      <c r="A10" s="18" t="n">
        <f aca="false">A9+1</f>
        <v>9</v>
      </c>
      <c r="B10" s="40" t="n">
        <v>102744148</v>
      </c>
      <c r="C10" s="40" t="n">
        <v>102744148</v>
      </c>
      <c r="D10" s="40" t="n">
        <v>102744148</v>
      </c>
      <c r="E10" s="40" t="n">
        <v>102744148</v>
      </c>
      <c r="F10" s="41" t="n">
        <v>82320986</v>
      </c>
      <c r="G10" s="41" t="n">
        <v>82320986</v>
      </c>
      <c r="H10" s="41" t="n">
        <v>82320986</v>
      </c>
      <c r="I10" s="41" t="n">
        <v>82320986</v>
      </c>
      <c r="J10" s="40" t="n">
        <v>102744148</v>
      </c>
      <c r="K10" s="40" t="n">
        <v>102744148</v>
      </c>
      <c r="L10" s="40" t="n">
        <v>102744148</v>
      </c>
      <c r="M10" s="40" t="n">
        <v>102744148</v>
      </c>
      <c r="N10" s="40" t="n">
        <v>102744148</v>
      </c>
      <c r="O10" s="40" t="n">
        <v>102744148</v>
      </c>
      <c r="P10" s="40" t="n">
        <v>102744148</v>
      </c>
      <c r="Q10" s="41" t="n">
        <v>82320986</v>
      </c>
      <c r="R10" s="41" t="n">
        <v>82320986</v>
      </c>
      <c r="S10" s="41" t="n">
        <v>82320986</v>
      </c>
      <c r="T10" s="41" t="n">
        <v>82320986</v>
      </c>
      <c r="U10" s="41" t="n">
        <v>82320986</v>
      </c>
      <c r="V10" s="41" t="n">
        <v>82320986</v>
      </c>
      <c r="W10" s="41" t="n">
        <v>82320986</v>
      </c>
      <c r="X10" s="41" t="n">
        <v>82320986</v>
      </c>
      <c r="Y10" s="41" t="n">
        <v>82320986</v>
      </c>
      <c r="Z10" s="41" t="n">
        <v>82320986</v>
      </c>
      <c r="AA10" s="41" t="n">
        <v>82320986</v>
      </c>
      <c r="AB10" s="0" t="n">
        <v>82320986</v>
      </c>
      <c r="AC10" s="0" t="n">
        <v>82320986</v>
      </c>
      <c r="AD10" s="0" t="n">
        <v>82320986</v>
      </c>
      <c r="AE10" s="40" t="n">
        <v>102744148</v>
      </c>
      <c r="AF10" s="40" t="n">
        <v>102744148</v>
      </c>
      <c r="AG10" s="40" t="n">
        <v>102744148</v>
      </c>
      <c r="AH10" s="40" t="n">
        <v>102744148</v>
      </c>
      <c r="AI10" s="40" t="n">
        <v>102744148</v>
      </c>
      <c r="AJ10" s="40" t="n">
        <v>102744148</v>
      </c>
      <c r="AK10" s="40" t="n">
        <v>102744148</v>
      </c>
      <c r="AL10" s="40" t="n">
        <v>102744148</v>
      </c>
      <c r="AM10" s="40" t="n">
        <v>102744148</v>
      </c>
      <c r="AN10" s="41" t="n">
        <v>82320986</v>
      </c>
      <c r="AO10" s="41" t="n">
        <v>82320986</v>
      </c>
      <c r="AP10" s="41" t="n">
        <v>82320986</v>
      </c>
      <c r="AQ10" s="41" t="n">
        <v>82320986</v>
      </c>
      <c r="AR10" s="41" t="n">
        <v>82320986</v>
      </c>
      <c r="AS10" s="41" t="n">
        <v>82320986</v>
      </c>
      <c r="AT10" s="41" t="n">
        <v>82320986</v>
      </c>
      <c r="AU10" s="0" t="n">
        <v>82320986</v>
      </c>
      <c r="AV10" s="0" t="n">
        <v>82320986</v>
      </c>
      <c r="AW10" s="0" t="n">
        <v>82320986</v>
      </c>
      <c r="AX10" s="29" t="n">
        <v>102744148</v>
      </c>
      <c r="AY10" s="29" t="n">
        <v>102744148</v>
      </c>
      <c r="AZ10" s="29" t="n">
        <v>102744148</v>
      </c>
      <c r="BA10" s="0" t="n">
        <v>82320986</v>
      </c>
      <c r="BB10" s="0" t="n">
        <v>82320986</v>
      </c>
      <c r="BC10" s="29" t="n">
        <v>102744148</v>
      </c>
      <c r="BD10" s="29" t="n">
        <v>102744148</v>
      </c>
      <c r="BE10" s="29" t="n">
        <v>102744148</v>
      </c>
      <c r="BF10" s="29" t="n">
        <v>102744148</v>
      </c>
      <c r="BG10" s="29" t="n">
        <v>102744148</v>
      </c>
      <c r="BH10" s="29" t="n">
        <v>102744148</v>
      </c>
      <c r="BI10" s="29" t="n">
        <v>102744148</v>
      </c>
      <c r="BJ10" s="29" t="n">
        <v>102744148</v>
      </c>
      <c r="BK10" s="29" t="n">
        <v>102744148</v>
      </c>
    </row>
    <row r="11" customFormat="false" ht="13.2" hidden="false" customHeight="false" outlineLevel="0" collapsed="false">
      <c r="A11" s="18" t="n">
        <f aca="false">A10+1</f>
        <v>10</v>
      </c>
      <c r="B11" s="40" t="n">
        <v>96792174</v>
      </c>
      <c r="C11" s="40" t="n">
        <v>96792174</v>
      </c>
      <c r="D11" s="40" t="n">
        <v>96792174</v>
      </c>
      <c r="E11" s="40" t="n">
        <v>96792174</v>
      </c>
      <c r="F11" s="41" t="n">
        <v>74832328</v>
      </c>
      <c r="G11" s="41" t="n">
        <v>74832328</v>
      </c>
      <c r="H11" s="41" t="n">
        <v>74832328</v>
      </c>
      <c r="I11" s="41" t="n">
        <v>74832328</v>
      </c>
      <c r="J11" s="40" t="n">
        <v>96792174</v>
      </c>
      <c r="K11" s="40" t="n">
        <v>96792174</v>
      </c>
      <c r="L11" s="40" t="n">
        <v>96792174</v>
      </c>
      <c r="M11" s="40" t="n">
        <v>96792174</v>
      </c>
      <c r="N11" s="40" t="n">
        <v>96792174</v>
      </c>
      <c r="O11" s="40" t="n">
        <v>96792174</v>
      </c>
      <c r="P11" s="40" t="n">
        <v>96792174</v>
      </c>
      <c r="Q11" s="41" t="n">
        <v>74832328</v>
      </c>
      <c r="R11" s="41" t="n">
        <v>74832328</v>
      </c>
      <c r="S11" s="41" t="n">
        <v>74832328</v>
      </c>
      <c r="T11" s="41" t="n">
        <v>74832328</v>
      </c>
      <c r="U11" s="41" t="n">
        <v>74832328</v>
      </c>
      <c r="V11" s="41" t="n">
        <v>74832328</v>
      </c>
      <c r="W11" s="41" t="n">
        <v>74832328</v>
      </c>
      <c r="X11" s="41" t="n">
        <v>74832328</v>
      </c>
      <c r="Y11" s="41" t="n">
        <v>74832328</v>
      </c>
      <c r="Z11" s="41" t="n">
        <v>74832328</v>
      </c>
      <c r="AA11" s="41" t="n">
        <v>74832328</v>
      </c>
      <c r="AB11" s="0" t="n">
        <v>74832328</v>
      </c>
      <c r="AC11" s="0" t="n">
        <v>74832328</v>
      </c>
      <c r="AD11" s="0" t="n">
        <v>74832328</v>
      </c>
      <c r="AE11" s="40" t="n">
        <v>96792174</v>
      </c>
      <c r="AF11" s="40" t="n">
        <v>96792174</v>
      </c>
      <c r="AG11" s="40" t="n">
        <v>96792174</v>
      </c>
      <c r="AH11" s="40" t="n">
        <v>96792174</v>
      </c>
      <c r="AI11" s="40" t="n">
        <v>96792174</v>
      </c>
      <c r="AJ11" s="40" t="n">
        <v>96792174</v>
      </c>
      <c r="AK11" s="40" t="n">
        <v>96792174</v>
      </c>
      <c r="AL11" s="40" t="n">
        <v>96792174</v>
      </c>
      <c r="AM11" s="40" t="n">
        <v>96792174</v>
      </c>
      <c r="AN11" s="41" t="n">
        <v>74832328</v>
      </c>
      <c r="AO11" s="41" t="n">
        <v>74832328</v>
      </c>
      <c r="AP11" s="41" t="n">
        <v>74832328</v>
      </c>
      <c r="AQ11" s="41" t="n">
        <v>74832328</v>
      </c>
      <c r="AR11" s="41" t="n">
        <v>74832328</v>
      </c>
      <c r="AS11" s="41" t="n">
        <v>74832328</v>
      </c>
      <c r="AT11" s="41" t="n">
        <v>74832328</v>
      </c>
      <c r="AU11" s="0" t="n">
        <v>74832328</v>
      </c>
      <c r="AV11" s="0" t="n">
        <v>74832328</v>
      </c>
      <c r="AW11" s="0" t="n">
        <v>74832328</v>
      </c>
      <c r="AX11" s="29" t="n">
        <v>96792174</v>
      </c>
      <c r="AY11" s="29" t="n">
        <v>96792174</v>
      </c>
      <c r="AZ11" s="29" t="n">
        <v>96792174</v>
      </c>
      <c r="BA11" s="0" t="n">
        <v>74832328</v>
      </c>
      <c r="BB11" s="0" t="n">
        <v>74832328</v>
      </c>
      <c r="BC11" s="29" t="n">
        <v>96792174</v>
      </c>
      <c r="BD11" s="29" t="n">
        <v>96792174</v>
      </c>
      <c r="BE11" s="29" t="n">
        <v>96792174</v>
      </c>
      <c r="BF11" s="29" t="n">
        <v>96792174</v>
      </c>
      <c r="BG11" s="29" t="n">
        <v>96792174</v>
      </c>
      <c r="BH11" s="29" t="n">
        <v>96792174</v>
      </c>
      <c r="BI11" s="29" t="n">
        <v>96792174</v>
      </c>
      <c r="BJ11" s="29" t="n">
        <v>96792174</v>
      </c>
      <c r="BK11" s="29" t="n">
        <v>96792174</v>
      </c>
    </row>
    <row r="12" customFormat="false" ht="13.2" hidden="false" customHeight="false" outlineLevel="0" collapsed="false">
      <c r="A12" s="18" t="n">
        <f aca="false">A11+1</f>
        <v>11</v>
      </c>
      <c r="B12" s="40" t="n">
        <v>104645989</v>
      </c>
      <c r="C12" s="40" t="n">
        <v>104645989</v>
      </c>
      <c r="D12" s="40" t="n">
        <v>104645989</v>
      </c>
      <c r="E12" s="40" t="n">
        <v>104645989</v>
      </c>
      <c r="F12" s="41" t="n">
        <v>83678709</v>
      </c>
      <c r="G12" s="41" t="n">
        <v>83678709</v>
      </c>
      <c r="H12" s="41" t="n">
        <v>83678709</v>
      </c>
      <c r="I12" s="41" t="n">
        <v>83678709</v>
      </c>
      <c r="J12" s="40" t="n">
        <v>104645989</v>
      </c>
      <c r="K12" s="40" t="n">
        <v>104645989</v>
      </c>
      <c r="L12" s="40" t="n">
        <v>104645989</v>
      </c>
      <c r="M12" s="40" t="n">
        <v>104645989</v>
      </c>
      <c r="N12" s="40" t="n">
        <v>104645989</v>
      </c>
      <c r="O12" s="40" t="n">
        <v>104645989</v>
      </c>
      <c r="P12" s="40" t="n">
        <v>104645989</v>
      </c>
      <c r="Q12" s="41" t="n">
        <v>83678709</v>
      </c>
      <c r="R12" s="41" t="n">
        <v>83678709</v>
      </c>
      <c r="S12" s="41" t="n">
        <v>83678709</v>
      </c>
      <c r="T12" s="41" t="n">
        <v>83678709</v>
      </c>
      <c r="U12" s="41" t="n">
        <v>83678709</v>
      </c>
      <c r="V12" s="41" t="n">
        <v>83678709</v>
      </c>
      <c r="W12" s="41" t="n">
        <v>83678709</v>
      </c>
      <c r="X12" s="41" t="n">
        <v>83678709</v>
      </c>
      <c r="Y12" s="41" t="n">
        <v>83678709</v>
      </c>
      <c r="Z12" s="41" t="n">
        <v>83678709</v>
      </c>
      <c r="AA12" s="41" t="n">
        <v>83678709</v>
      </c>
      <c r="AB12" s="0" t="n">
        <v>83678709</v>
      </c>
      <c r="AC12" s="0" t="n">
        <v>83678709</v>
      </c>
      <c r="AD12" s="0" t="n">
        <v>83678709</v>
      </c>
      <c r="AE12" s="40" t="n">
        <v>104645989</v>
      </c>
      <c r="AF12" s="40" t="n">
        <v>104645989</v>
      </c>
      <c r="AG12" s="40" t="n">
        <v>104645989</v>
      </c>
      <c r="AH12" s="40" t="n">
        <v>104645989</v>
      </c>
      <c r="AI12" s="40" t="n">
        <v>104645989</v>
      </c>
      <c r="AJ12" s="40" t="n">
        <v>104645989</v>
      </c>
      <c r="AK12" s="40" t="n">
        <v>104645989</v>
      </c>
      <c r="AL12" s="40" t="n">
        <v>104645989</v>
      </c>
      <c r="AM12" s="40" t="n">
        <v>104645989</v>
      </c>
      <c r="AN12" s="41" t="n">
        <v>83678709</v>
      </c>
      <c r="AO12" s="41" t="n">
        <v>83678709</v>
      </c>
      <c r="AP12" s="41" t="n">
        <v>83678709</v>
      </c>
      <c r="AQ12" s="41" t="n">
        <v>83678709</v>
      </c>
      <c r="AR12" s="41" t="n">
        <v>83678709</v>
      </c>
      <c r="AS12" s="41" t="n">
        <v>83678709</v>
      </c>
      <c r="AT12" s="41" t="n">
        <v>83678709</v>
      </c>
      <c r="AU12" s="0" t="n">
        <v>83678709</v>
      </c>
      <c r="AV12" s="0" t="n">
        <v>83678709</v>
      </c>
      <c r="AW12" s="0" t="n">
        <v>83678709</v>
      </c>
      <c r="AX12" s="29" t="n">
        <v>104645989</v>
      </c>
      <c r="AY12" s="29" t="n">
        <v>104645989</v>
      </c>
      <c r="AZ12" s="29" t="n">
        <v>104645989</v>
      </c>
      <c r="BA12" s="0" t="n">
        <v>83678709</v>
      </c>
      <c r="BB12" s="0" t="n">
        <v>83678709</v>
      </c>
      <c r="BC12" s="29" t="n">
        <v>104645989</v>
      </c>
      <c r="BD12" s="29" t="n">
        <v>104645989</v>
      </c>
      <c r="BE12" s="29" t="n">
        <v>104645989</v>
      </c>
      <c r="BF12" s="29" t="n">
        <v>104645989</v>
      </c>
      <c r="BG12" s="29" t="n">
        <v>104645989</v>
      </c>
      <c r="BH12" s="29" t="n">
        <v>104645989</v>
      </c>
      <c r="BI12" s="29" t="n">
        <v>104645989</v>
      </c>
      <c r="BJ12" s="29" t="n">
        <v>104645989</v>
      </c>
      <c r="BK12" s="29" t="n">
        <v>104645989</v>
      </c>
    </row>
    <row r="13" customFormat="false" ht="13.2" hidden="false" customHeight="false" outlineLevel="0" collapsed="false">
      <c r="A13" s="18" t="n">
        <f aca="false">A12+1</f>
        <v>12</v>
      </c>
      <c r="B13" s="40" t="n">
        <v>114549531</v>
      </c>
      <c r="C13" s="40" t="n">
        <v>114549531</v>
      </c>
      <c r="D13" s="40" t="n">
        <v>114549531</v>
      </c>
      <c r="E13" s="40" t="n">
        <v>114549531</v>
      </c>
      <c r="F13" s="41" t="n">
        <v>86255454</v>
      </c>
      <c r="G13" s="41" t="n">
        <v>86255454</v>
      </c>
      <c r="H13" s="41" t="n">
        <v>86255454</v>
      </c>
      <c r="I13" s="41" t="n">
        <v>86255454</v>
      </c>
      <c r="J13" s="40" t="n">
        <v>114549531</v>
      </c>
      <c r="K13" s="40" t="n">
        <v>114549531</v>
      </c>
      <c r="L13" s="40" t="n">
        <v>114549531</v>
      </c>
      <c r="M13" s="40" t="n">
        <v>114549531</v>
      </c>
      <c r="N13" s="40" t="n">
        <v>114549531</v>
      </c>
      <c r="O13" s="40" t="n">
        <v>114549531</v>
      </c>
      <c r="P13" s="40" t="n">
        <v>114549531</v>
      </c>
      <c r="Q13" s="41" t="n">
        <v>86255454</v>
      </c>
      <c r="R13" s="41" t="n">
        <v>86255454</v>
      </c>
      <c r="S13" s="41" t="n">
        <v>86255454</v>
      </c>
      <c r="T13" s="41" t="n">
        <v>86255454</v>
      </c>
      <c r="U13" s="41" t="n">
        <v>86255454</v>
      </c>
      <c r="V13" s="41" t="n">
        <v>86255454</v>
      </c>
      <c r="W13" s="41" t="n">
        <v>86255454</v>
      </c>
      <c r="X13" s="41" t="n">
        <v>86255454</v>
      </c>
      <c r="Y13" s="41" t="n">
        <v>86255454</v>
      </c>
      <c r="Z13" s="41" t="n">
        <v>86255454</v>
      </c>
      <c r="AA13" s="41" t="n">
        <v>86255454</v>
      </c>
      <c r="AB13" s="0" t="n">
        <v>86255454</v>
      </c>
      <c r="AC13" s="0" t="n">
        <v>86255454</v>
      </c>
      <c r="AD13" s="0" t="n">
        <v>86255454</v>
      </c>
      <c r="AE13" s="40" t="n">
        <v>114549531</v>
      </c>
      <c r="AF13" s="40" t="n">
        <v>114549531</v>
      </c>
      <c r="AG13" s="40" t="n">
        <v>114549531</v>
      </c>
      <c r="AH13" s="40" t="n">
        <v>114549531</v>
      </c>
      <c r="AI13" s="40" t="n">
        <v>114549531</v>
      </c>
      <c r="AJ13" s="40" t="n">
        <v>114549531</v>
      </c>
      <c r="AK13" s="40" t="n">
        <v>114549531</v>
      </c>
      <c r="AL13" s="40" t="n">
        <v>114549531</v>
      </c>
      <c r="AM13" s="40" t="n">
        <v>114549531</v>
      </c>
      <c r="AN13" s="41" t="n">
        <v>86255454</v>
      </c>
      <c r="AO13" s="41" t="n">
        <v>86255454</v>
      </c>
      <c r="AP13" s="41" t="n">
        <v>86255454</v>
      </c>
      <c r="AQ13" s="41" t="n">
        <v>86255454</v>
      </c>
      <c r="AR13" s="41" t="n">
        <v>86255454</v>
      </c>
      <c r="AS13" s="41" t="n">
        <v>86255454</v>
      </c>
      <c r="AT13" s="41" t="n">
        <v>86255454</v>
      </c>
      <c r="AU13" s="0" t="n">
        <v>86255454</v>
      </c>
      <c r="AV13" s="0" t="n">
        <v>86255454</v>
      </c>
      <c r="AW13" s="0" t="n">
        <v>86255454</v>
      </c>
      <c r="AX13" s="29" t="n">
        <v>114549531</v>
      </c>
      <c r="AY13" s="29" t="n">
        <v>114549531</v>
      </c>
      <c r="AZ13" s="29" t="n">
        <v>114549531</v>
      </c>
      <c r="BA13" s="0" t="n">
        <v>86255454</v>
      </c>
      <c r="BB13" s="0" t="n">
        <v>86255454</v>
      </c>
      <c r="BC13" s="29" t="n">
        <v>114549531</v>
      </c>
      <c r="BD13" s="29" t="n">
        <v>114549531</v>
      </c>
      <c r="BE13" s="29" t="n">
        <v>114549531</v>
      </c>
      <c r="BF13" s="29" t="n">
        <v>114549531</v>
      </c>
      <c r="BG13" s="29" t="n">
        <v>114549531</v>
      </c>
      <c r="BH13" s="29" t="n">
        <v>114549531</v>
      </c>
      <c r="BI13" s="29" t="n">
        <v>114549531</v>
      </c>
      <c r="BJ13" s="29" t="n">
        <v>114549531</v>
      </c>
      <c r="BK13" s="29" t="n">
        <v>114549531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8" activeCellId="0" sqref="D8"/>
    </sheetView>
  </sheetViews>
  <sheetFormatPr defaultColWidth="11.72265625" defaultRowHeight="13.2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9.63"/>
    <col collapsed="false" customWidth="true" hidden="false" outlineLevel="0" max="3" min="3" style="0" width="23.66"/>
    <col collapsed="false" customWidth="true" hidden="false" outlineLevel="0" max="4" min="4" style="0" width="5.88"/>
  </cols>
  <sheetData>
    <row r="1" customFormat="false" ht="13.2" hidden="false" customHeight="false" outlineLevel="0" collapsed="false">
      <c r="A1" s="0" t="s">
        <v>3</v>
      </c>
      <c r="B1" s="0" t="s">
        <v>279</v>
      </c>
      <c r="C1" s="0" t="s">
        <v>280</v>
      </c>
      <c r="D1" s="0" t="s">
        <v>261</v>
      </c>
    </row>
    <row r="2" customFormat="false" ht="13.2" hidden="false" customHeight="false" outlineLevel="0" collapsed="false">
      <c r="A2" s="0" t="s">
        <v>27</v>
      </c>
      <c r="B2" s="0" t="s">
        <v>281</v>
      </c>
      <c r="C2" s="0" t="s">
        <v>282</v>
      </c>
      <c r="D2" s="0" t="n">
        <v>52</v>
      </c>
    </row>
    <row r="3" customFormat="false" ht="13.2" hidden="false" customHeight="false" outlineLevel="0" collapsed="false">
      <c r="A3" s="0" t="s">
        <v>27</v>
      </c>
      <c r="B3" s="0" t="s">
        <v>283</v>
      </c>
      <c r="C3" s="0" t="s">
        <v>284</v>
      </c>
      <c r="D3" s="0" t="n">
        <v>39</v>
      </c>
    </row>
    <row r="4" customFormat="false" ht="12.8" hidden="false" customHeight="false" outlineLevel="0" collapsed="false">
      <c r="A4" s="0" t="s">
        <v>27</v>
      </c>
      <c r="B4" s="0" t="s">
        <v>285</v>
      </c>
      <c r="C4" s="0" t="s">
        <v>286</v>
      </c>
      <c r="D4" s="0" t="n">
        <v>0.4</v>
      </c>
    </row>
    <row r="5" customFormat="false" ht="12.8" hidden="false" customHeight="false" outlineLevel="0" collapsed="false">
      <c r="A5" s="0" t="s">
        <v>27</v>
      </c>
      <c r="B5" s="0" t="s">
        <v>287</v>
      </c>
      <c r="C5" s="0" t="s">
        <v>288</v>
      </c>
      <c r="D5" s="0" t="n">
        <v>86</v>
      </c>
    </row>
    <row r="6" customFormat="false" ht="12.8" hidden="false" customHeight="false" outlineLevel="0" collapsed="false">
      <c r="A6" s="0" t="s">
        <v>27</v>
      </c>
      <c r="B6" s="0" t="s">
        <v>289</v>
      </c>
      <c r="C6" s="0" t="s">
        <v>290</v>
      </c>
      <c r="D6" s="0" t="n">
        <v>10</v>
      </c>
    </row>
    <row r="7" customFormat="false" ht="12.8" hidden="false" customHeight="false" outlineLevel="0" collapsed="false">
      <c r="A7" s="0" t="s">
        <v>27</v>
      </c>
      <c r="B7" s="0" t="s">
        <v>291</v>
      </c>
      <c r="C7" s="0" t="s">
        <v>292</v>
      </c>
      <c r="D7" s="0" t="n">
        <v>50</v>
      </c>
    </row>
    <row r="8" customFormat="false" ht="12.8" hidden="false" customHeight="false" outlineLevel="0" collapsed="false">
      <c r="A8" s="0" t="s">
        <v>49</v>
      </c>
      <c r="B8" s="0" t="s">
        <v>293</v>
      </c>
      <c r="C8" s="0" t="s">
        <v>294</v>
      </c>
      <c r="D8" s="0" t="n">
        <v>840</v>
      </c>
    </row>
    <row r="9" customFormat="false" ht="12.8" hidden="false" customHeight="false" outlineLevel="0" collapsed="false">
      <c r="A9" s="0" t="s">
        <v>49</v>
      </c>
      <c r="B9" s="0" t="s">
        <v>295</v>
      </c>
      <c r="C9" s="0" t="s">
        <v>284</v>
      </c>
      <c r="D9" s="0" t="n">
        <v>9</v>
      </c>
    </row>
    <row r="10" customFormat="false" ht="12.8" hidden="false" customHeight="false" outlineLevel="0" collapsed="false">
      <c r="A10" s="0" t="s">
        <v>49</v>
      </c>
      <c r="B10" s="0" t="s">
        <v>296</v>
      </c>
      <c r="C10" s="0" t="s">
        <v>297</v>
      </c>
      <c r="D10" s="0" t="n">
        <v>51</v>
      </c>
    </row>
    <row r="11" customFormat="false" ht="12.8" hidden="false" customHeight="false" outlineLevel="0" collapsed="false">
      <c r="A11" s="0" t="s">
        <v>49</v>
      </c>
      <c r="B11" s="0" t="s">
        <v>298</v>
      </c>
      <c r="C11" s="0" t="s">
        <v>299</v>
      </c>
      <c r="D11" s="0" t="n">
        <v>350</v>
      </c>
    </row>
    <row r="12" customFormat="false" ht="12.8" hidden="false" customHeight="false" outlineLevel="0" collapsed="false">
      <c r="A12" s="0" t="s">
        <v>49</v>
      </c>
      <c r="B12" s="0" t="s">
        <v>291</v>
      </c>
      <c r="C12" s="0" t="s">
        <v>292</v>
      </c>
      <c r="D12" s="0" t="n">
        <v>250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H1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M18" activeCellId="0" sqref="M18"/>
    </sheetView>
  </sheetViews>
  <sheetFormatPr defaultColWidth="11.77734375" defaultRowHeight="13.2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18.77"/>
    <col collapsed="false" customWidth="true" hidden="false" outlineLevel="0" max="4" min="3" style="0" width="22.11"/>
    <col collapsed="false" customWidth="true" hidden="false" outlineLevel="0" max="5" min="5" style="0" width="20.56"/>
    <col collapsed="false" customWidth="true" hidden="false" outlineLevel="0" max="6" min="6" style="0" width="15.34"/>
    <col collapsed="false" customWidth="true" hidden="false" outlineLevel="0" max="8" min="7" style="0" width="18.77"/>
    <col collapsed="false" customWidth="true" hidden="false" outlineLevel="0" max="9" min="9" style="0" width="13.02"/>
    <col collapsed="false" customWidth="true" hidden="false" outlineLevel="0" max="10" min="10" style="0" width="17.11"/>
    <col collapsed="false" customWidth="true" hidden="false" outlineLevel="0" max="11" min="11" style="0" width="16.79"/>
    <col collapsed="false" customWidth="true" hidden="false" outlineLevel="0" max="13" min="12" style="0" width="20.22"/>
    <col collapsed="false" customWidth="true" hidden="false" outlineLevel="0" max="14" min="14" style="0" width="14.43"/>
    <col collapsed="false" customWidth="true" hidden="false" outlineLevel="0" max="15" min="15" style="0" width="18.66"/>
    <col collapsed="false" customWidth="true" hidden="false" outlineLevel="0" max="16" min="16" style="0" width="12.33"/>
    <col collapsed="false" customWidth="true" hidden="false" outlineLevel="0" max="18" min="17" style="0" width="15.8"/>
    <col collapsed="false" customWidth="true" hidden="false" outlineLevel="0" max="19" min="19" style="0" width="10"/>
    <col collapsed="false" customWidth="true" hidden="false" outlineLevel="0" max="20" min="20" style="0" width="14.11"/>
    <col collapsed="false" customWidth="true" hidden="false" outlineLevel="0" max="21" min="21" style="0" width="16.67"/>
    <col collapsed="false" customWidth="true" hidden="false" outlineLevel="0" max="22" min="22" style="0" width="20.11"/>
    <col collapsed="false" customWidth="true" hidden="false" outlineLevel="0" max="23" min="23" style="0" width="14.35"/>
    <col collapsed="false" customWidth="true" hidden="false" outlineLevel="0" max="24" min="24" style="0" width="18.56"/>
    <col collapsed="false" customWidth="true" hidden="false" outlineLevel="0" max="25" min="25" style="0" width="16.22"/>
    <col collapsed="false" customWidth="true" hidden="false" outlineLevel="0" max="27" min="26" style="0" width="19.57"/>
    <col collapsed="false" customWidth="true" hidden="false" outlineLevel="0" max="28" min="28" style="0" width="13.89"/>
    <col collapsed="false" customWidth="true" hidden="false" outlineLevel="0" max="29" min="29" style="0" width="18"/>
    <col collapsed="false" customWidth="true" hidden="false" outlineLevel="0" max="30" min="30" style="0" width="15.66"/>
    <col collapsed="false" customWidth="true" hidden="false" outlineLevel="0" max="32" min="31" style="0" width="19.12"/>
    <col collapsed="false" customWidth="true" hidden="false" outlineLevel="0" max="33" min="33" style="0" width="13.33"/>
    <col collapsed="false" customWidth="true" hidden="false" outlineLevel="0" max="34" min="34" style="0" width="17.44"/>
    <col collapsed="false" customWidth="true" hidden="false" outlineLevel="0" max="35" min="35" style="0" width="23.01"/>
    <col collapsed="false" customWidth="true" hidden="false" outlineLevel="0" max="37" min="36" style="0" width="26.44"/>
    <col collapsed="false" customWidth="true" hidden="false" outlineLevel="0" max="38" min="38" style="0" width="24.87"/>
    <col collapsed="false" customWidth="true" hidden="false" outlineLevel="0" max="39" min="39" style="0" width="23.88"/>
    <col collapsed="false" customWidth="true" hidden="false" outlineLevel="0" max="41" min="40" style="0" width="27.33"/>
    <col collapsed="false" customWidth="true" hidden="false" outlineLevel="0" max="42" min="42" style="0" width="23.35"/>
    <col collapsed="false" customWidth="true" hidden="false" outlineLevel="0" max="44" min="43" style="0" width="26.78"/>
    <col collapsed="false" customWidth="true" hidden="false" outlineLevel="0" max="45" min="45" style="0" width="23.35"/>
    <col collapsed="false" customWidth="true" hidden="false" outlineLevel="0" max="46" min="46" style="0" width="26.78"/>
    <col collapsed="false" customWidth="true" hidden="false" outlineLevel="0" max="47" min="47" style="0" width="23.35"/>
    <col collapsed="false" customWidth="true" hidden="false" outlineLevel="0" max="48" min="48" style="0" width="26.78"/>
    <col collapsed="false" customWidth="true" hidden="false" outlineLevel="0" max="49" min="49" style="0" width="23.35"/>
    <col collapsed="false" customWidth="true" hidden="false" outlineLevel="0" max="50" min="50" style="0" width="26.78"/>
    <col collapsed="false" customWidth="true" hidden="false" outlineLevel="0" max="51" min="51" style="0" width="23.35"/>
    <col collapsed="false" customWidth="true" hidden="false" outlineLevel="0" max="52" min="52" style="0" width="26.78"/>
    <col collapsed="false" customWidth="true" hidden="false" outlineLevel="0" max="53" min="53" style="0" width="23.35"/>
    <col collapsed="false" customWidth="true" hidden="false" outlineLevel="0" max="54" min="54" style="0" width="21.56"/>
    <col collapsed="false" customWidth="true" hidden="false" outlineLevel="0" max="55" min="55" style="0" width="26.78"/>
    <col collapsed="false" customWidth="true" hidden="false" outlineLevel="0" max="61" min="56" style="0" width="23.22"/>
    <col collapsed="false" customWidth="true" hidden="false" outlineLevel="0" max="62" min="62" style="0" width="20.64"/>
    <col collapsed="false" customWidth="true" hidden="false" outlineLevel="0" max="63" min="63" style="0" width="24.11"/>
    <col collapsed="false" customWidth="true" hidden="false" outlineLevel="0" max="64" min="64" style="0" width="19.57"/>
    <col collapsed="false" customWidth="true" hidden="false" outlineLevel="0" max="65" min="65" style="0" width="23.01"/>
    <col collapsed="false" customWidth="true" hidden="false" outlineLevel="0" max="66" min="66" style="0" width="19.89"/>
    <col collapsed="false" customWidth="true" hidden="false" outlineLevel="0" max="67" min="67" style="0" width="23.22"/>
    <col collapsed="false" customWidth="true" hidden="false" outlineLevel="0" max="68" min="68" style="0" width="23.11"/>
    <col collapsed="false" customWidth="true" hidden="false" outlineLevel="0" max="69" min="69" style="0" width="26.56"/>
    <col collapsed="false" customWidth="true" hidden="false" outlineLevel="0" max="70" min="70" style="0" width="23.35"/>
    <col collapsed="false" customWidth="true" hidden="false" outlineLevel="0" max="71" min="71" style="0" width="26.78"/>
    <col collapsed="false" customWidth="true" hidden="false" outlineLevel="0" max="72" min="72" style="0" width="30.22"/>
    <col collapsed="false" customWidth="true" hidden="false" outlineLevel="0" max="74" min="73" style="0" width="33.56"/>
    <col collapsed="false" customWidth="true" hidden="false" outlineLevel="0" max="76" min="75" style="0" width="32.56"/>
    <col collapsed="false" customWidth="true" hidden="false" outlineLevel="0" max="77" min="77" style="0" width="26.78"/>
    <col collapsed="false" customWidth="true" hidden="false" outlineLevel="0" max="78" min="78" style="0" width="30.89"/>
    <col collapsed="false" customWidth="true" hidden="false" outlineLevel="0" max="79" min="79" style="0" width="33.56"/>
    <col collapsed="false" customWidth="true" hidden="false" outlineLevel="0" max="80" min="80" style="0" width="27.22"/>
    <col collapsed="false" customWidth="true" hidden="false" outlineLevel="0" max="82" min="81" style="0" width="30.66"/>
    <col collapsed="false" customWidth="true" hidden="false" outlineLevel="0" max="83" min="83" style="0" width="24.87"/>
    <col collapsed="false" customWidth="true" hidden="false" outlineLevel="0" max="84" min="84" style="0" width="28.98"/>
    <col collapsed="false" customWidth="true" hidden="false" outlineLevel="0" max="85" min="85" style="0" width="27.33"/>
    <col collapsed="false" customWidth="true" hidden="false" outlineLevel="0" max="86" min="86" style="0" width="30.66"/>
  </cols>
  <sheetData>
    <row r="1" s="35" customFormat="true" ht="14.4" hidden="false" customHeight="false" outlineLevel="0" collapsed="false">
      <c r="A1" s="35" t="s">
        <v>300</v>
      </c>
      <c r="B1" s="35" t="s">
        <v>301</v>
      </c>
      <c r="C1" s="35" t="s">
        <v>302</v>
      </c>
      <c r="D1" s="35" t="s">
        <v>303</v>
      </c>
      <c r="E1" s="35" t="s">
        <v>304</v>
      </c>
      <c r="F1" s="35" t="s">
        <v>305</v>
      </c>
      <c r="G1" s="35" t="s">
        <v>306</v>
      </c>
      <c r="H1" s="35" t="s">
        <v>307</v>
      </c>
      <c r="I1" s="35" t="s">
        <v>308</v>
      </c>
      <c r="J1" s="35" t="s">
        <v>309</v>
      </c>
      <c r="K1" s="35" t="s">
        <v>310</v>
      </c>
      <c r="L1" s="35" t="s">
        <v>311</v>
      </c>
      <c r="M1" s="35" t="s">
        <v>312</v>
      </c>
      <c r="N1" s="35" t="s">
        <v>313</v>
      </c>
      <c r="O1" s="35" t="s">
        <v>314</v>
      </c>
      <c r="P1" s="35" t="s">
        <v>315</v>
      </c>
      <c r="Q1" s="35" t="s">
        <v>316</v>
      </c>
      <c r="R1" s="35" t="s">
        <v>317</v>
      </c>
      <c r="S1" s="35" t="s">
        <v>318</v>
      </c>
      <c r="T1" s="35" t="s">
        <v>319</v>
      </c>
      <c r="U1" s="35" t="s">
        <v>320</v>
      </c>
      <c r="V1" s="35" t="s">
        <v>321</v>
      </c>
      <c r="W1" s="35" t="s">
        <v>322</v>
      </c>
      <c r="X1" s="35" t="s">
        <v>323</v>
      </c>
      <c r="Y1" s="35" t="s">
        <v>324</v>
      </c>
      <c r="Z1" s="35" t="s">
        <v>325</v>
      </c>
      <c r="AA1" s="35" t="s">
        <v>326</v>
      </c>
      <c r="AB1" s="35" t="s">
        <v>327</v>
      </c>
      <c r="AC1" s="35" t="s">
        <v>328</v>
      </c>
      <c r="AD1" s="35" t="s">
        <v>329</v>
      </c>
      <c r="AE1" s="35" t="s">
        <v>330</v>
      </c>
      <c r="AF1" s="35" t="s">
        <v>331</v>
      </c>
      <c r="AG1" s="35" t="s">
        <v>332</v>
      </c>
      <c r="AH1" s="35" t="s">
        <v>333</v>
      </c>
      <c r="AI1" s="35" t="s">
        <v>334</v>
      </c>
      <c r="AJ1" s="35" t="s">
        <v>335</v>
      </c>
      <c r="AK1" s="35" t="s">
        <v>336</v>
      </c>
      <c r="AL1" s="35" t="s">
        <v>337</v>
      </c>
      <c r="AM1" s="35" t="s">
        <v>338</v>
      </c>
      <c r="AN1" s="35" t="s">
        <v>339</v>
      </c>
      <c r="AO1" s="35" t="s">
        <v>340</v>
      </c>
      <c r="AP1" s="35" t="s">
        <v>341</v>
      </c>
      <c r="AQ1" s="35" t="s">
        <v>342</v>
      </c>
      <c r="AR1" s="35" t="s">
        <v>343</v>
      </c>
      <c r="AS1" s="35" t="s">
        <v>344</v>
      </c>
      <c r="AT1" s="35" t="s">
        <v>345</v>
      </c>
      <c r="AU1" s="35" t="s">
        <v>346</v>
      </c>
      <c r="AV1" s="35" t="s">
        <v>347</v>
      </c>
      <c r="AW1" s="35" t="s">
        <v>348</v>
      </c>
      <c r="AX1" s="35" t="s">
        <v>349</v>
      </c>
      <c r="AY1" s="35" t="s">
        <v>350</v>
      </c>
      <c r="AZ1" s="35" t="s">
        <v>351</v>
      </c>
      <c r="BA1" s="35" t="s">
        <v>352</v>
      </c>
      <c r="BB1" s="35" t="s">
        <v>353</v>
      </c>
      <c r="BC1" s="35" t="s">
        <v>354</v>
      </c>
      <c r="BD1" s="35" t="s">
        <v>355</v>
      </c>
      <c r="BE1" s="35" t="s">
        <v>356</v>
      </c>
      <c r="BF1" s="35" t="s">
        <v>357</v>
      </c>
      <c r="BG1" s="35" t="s">
        <v>358</v>
      </c>
      <c r="BH1" s="35" t="s">
        <v>359</v>
      </c>
      <c r="BI1" s="35" t="s">
        <v>360</v>
      </c>
      <c r="BJ1" s="35" t="s">
        <v>361</v>
      </c>
      <c r="BK1" s="35" t="s">
        <v>362</v>
      </c>
      <c r="BL1" s="35" t="s">
        <v>363</v>
      </c>
      <c r="BM1" s="35" t="s">
        <v>364</v>
      </c>
      <c r="BN1" s="35" t="s">
        <v>365</v>
      </c>
      <c r="BO1" s="35" t="s">
        <v>366</v>
      </c>
      <c r="BP1" s="35" t="s">
        <v>367</v>
      </c>
      <c r="BQ1" s="35" t="s">
        <v>368</v>
      </c>
      <c r="BR1" s="35" t="s">
        <v>369</v>
      </c>
      <c r="BS1" s="35" t="s">
        <v>370</v>
      </c>
      <c r="BT1" s="35" t="s">
        <v>371</v>
      </c>
      <c r="BU1" s="35" t="s">
        <v>372</v>
      </c>
      <c r="BV1" s="35" t="s">
        <v>373</v>
      </c>
      <c r="BW1" s="35" t="s">
        <v>374</v>
      </c>
      <c r="BX1" s="35" t="s">
        <v>375</v>
      </c>
      <c r="BY1" s="35" t="s">
        <v>376</v>
      </c>
      <c r="BZ1" s="35" t="s">
        <v>377</v>
      </c>
      <c r="CA1" s="35" t="s">
        <v>378</v>
      </c>
      <c r="CB1" s="35" t="s">
        <v>379</v>
      </c>
      <c r="CC1" s="35" t="s">
        <v>380</v>
      </c>
      <c r="CD1" s="35" t="s">
        <v>381</v>
      </c>
      <c r="CE1" s="35" t="s">
        <v>382</v>
      </c>
      <c r="CF1" s="35" t="s">
        <v>383</v>
      </c>
      <c r="CG1" s="35" t="s">
        <v>384</v>
      </c>
      <c r="CH1" s="35" t="s">
        <v>385</v>
      </c>
    </row>
    <row r="2" customFormat="false" ht="13.2" hidden="false" customHeight="false" outlineLevel="0" collapsed="false">
      <c r="A2" s="0" t="n">
        <v>2019</v>
      </c>
      <c r="B2" s="0" t="n">
        <v>1</v>
      </c>
      <c r="D2" s="0" t="n">
        <v>1572</v>
      </c>
      <c r="E2" s="0" t="n">
        <v>5</v>
      </c>
      <c r="F2" s="0" t="n">
        <v>116</v>
      </c>
      <c r="G2" s="0" t="n">
        <v>1</v>
      </c>
      <c r="H2" s="0" t="n">
        <v>18575</v>
      </c>
      <c r="I2" s="0" t="n">
        <v>1</v>
      </c>
      <c r="J2" s="0" t="n">
        <v>142</v>
      </c>
      <c r="K2" s="0" t="n">
        <v>505</v>
      </c>
      <c r="L2" s="0" t="n">
        <v>3</v>
      </c>
      <c r="M2" s="0" t="n">
        <v>39778</v>
      </c>
      <c r="O2" s="0" t="n">
        <v>1467</v>
      </c>
      <c r="P2" s="0" t="n">
        <v>319</v>
      </c>
      <c r="R2" s="0" t="n">
        <v>14447</v>
      </c>
      <c r="T2" s="0" t="n">
        <v>4</v>
      </c>
      <c r="U2" s="0" t="n">
        <v>299</v>
      </c>
      <c r="V2" s="0" t="n">
        <v>221</v>
      </c>
      <c r="Y2" s="0" t="n">
        <v>148</v>
      </c>
      <c r="AA2" s="0" t="n">
        <v>85</v>
      </c>
      <c r="AD2" s="0" t="n">
        <v>2749</v>
      </c>
      <c r="AF2" s="0" t="n">
        <v>2027</v>
      </c>
      <c r="AI2" s="0" t="n">
        <v>2524</v>
      </c>
      <c r="AM2" s="0" t="n">
        <v>297</v>
      </c>
      <c r="AP2" s="0" t="n">
        <v>80</v>
      </c>
      <c r="AS2" s="0" t="n">
        <v>24</v>
      </c>
      <c r="AU2" s="0" t="n">
        <v>99</v>
      </c>
      <c r="AW2" s="0" t="n">
        <v>4</v>
      </c>
      <c r="AY2" s="0" t="n">
        <v>17</v>
      </c>
      <c r="BB2" s="0" t="n">
        <v>18</v>
      </c>
      <c r="BD2" s="0" t="n">
        <v>174</v>
      </c>
      <c r="BE2" s="0" t="n">
        <v>109</v>
      </c>
      <c r="BF2" s="0" t="n">
        <v>1</v>
      </c>
      <c r="BG2" s="0" t="n">
        <v>20</v>
      </c>
      <c r="BH2" s="0" t="n">
        <v>98</v>
      </c>
      <c r="BI2" s="0" t="n">
        <v>5</v>
      </c>
      <c r="BJ2" s="0" t="n">
        <v>30.6</v>
      </c>
      <c r="BK2" s="0" t="n">
        <v>0.85</v>
      </c>
      <c r="BL2" s="0" t="n">
        <v>417.350000000001</v>
      </c>
      <c r="BN2" s="0" t="n">
        <v>17</v>
      </c>
      <c r="BP2" s="0" t="n">
        <v>184.35</v>
      </c>
      <c r="BQ2" s="0" t="n">
        <v>1.95</v>
      </c>
      <c r="BR2" s="0" t="n">
        <v>5.25</v>
      </c>
      <c r="BS2" s="0" t="n">
        <v>0.15</v>
      </c>
      <c r="BV2" s="0" t="n">
        <v>66</v>
      </c>
      <c r="CA2" s="0" t="n">
        <v>31369</v>
      </c>
    </row>
    <row r="3" customFormat="false" ht="13.2" hidden="false" customHeight="false" outlineLevel="0" collapsed="false">
      <c r="A3" s="0" t="n">
        <v>2018</v>
      </c>
      <c r="B3" s="0" t="n">
        <v>15</v>
      </c>
      <c r="D3" s="0" t="n">
        <v>891</v>
      </c>
      <c r="E3" s="0" t="n">
        <v>7</v>
      </c>
      <c r="F3" s="0" t="n">
        <v>25</v>
      </c>
      <c r="H3" s="0" t="n">
        <v>8602</v>
      </c>
      <c r="J3" s="0" t="n">
        <v>124</v>
      </c>
      <c r="K3" s="0" t="n">
        <v>281</v>
      </c>
      <c r="M3" s="0" t="n">
        <v>25687</v>
      </c>
      <c r="N3" s="0" t="n">
        <v>1</v>
      </c>
      <c r="O3" s="0" t="n">
        <v>1403</v>
      </c>
      <c r="P3" s="0" t="n">
        <v>648</v>
      </c>
      <c r="Q3" s="0" t="n">
        <v>6</v>
      </c>
      <c r="R3" s="0" t="n">
        <v>39723</v>
      </c>
      <c r="T3" s="0" t="n">
        <v>23</v>
      </c>
      <c r="U3" s="0" t="n">
        <v>974</v>
      </c>
      <c r="V3" s="0" t="n">
        <v>946</v>
      </c>
      <c r="Y3" s="0" t="n">
        <v>728</v>
      </c>
      <c r="AA3" s="0" t="n">
        <v>605</v>
      </c>
      <c r="AD3" s="0" t="n">
        <v>12345</v>
      </c>
      <c r="AE3" s="0" t="n">
        <v>7</v>
      </c>
      <c r="AF3" s="0" t="n">
        <v>9033</v>
      </c>
      <c r="AI3" s="0" t="n">
        <v>3968</v>
      </c>
      <c r="AK3" s="0" t="n">
        <v>90</v>
      </c>
      <c r="AM3" s="0" t="n">
        <v>455</v>
      </c>
      <c r="AO3" s="0" t="n">
        <v>1</v>
      </c>
      <c r="AP3" s="0" t="n">
        <v>246</v>
      </c>
      <c r="AS3" s="0" t="n">
        <v>111</v>
      </c>
      <c r="AU3" s="0" t="n">
        <v>256</v>
      </c>
      <c r="AW3" s="0" t="n">
        <v>19</v>
      </c>
      <c r="AY3" s="0" t="n">
        <v>68</v>
      </c>
      <c r="BA3" s="0" t="n">
        <v>1</v>
      </c>
      <c r="BB3" s="0" t="n">
        <v>29</v>
      </c>
      <c r="BD3" s="0" t="n">
        <v>304</v>
      </c>
      <c r="BE3" s="0" t="n">
        <v>236</v>
      </c>
      <c r="BF3" s="0" t="n">
        <v>4</v>
      </c>
      <c r="BG3" s="0" t="n">
        <v>14</v>
      </c>
      <c r="BH3" s="0" t="n">
        <v>261</v>
      </c>
      <c r="BI3" s="0" t="n">
        <v>22</v>
      </c>
      <c r="BJ3" s="0" t="n">
        <v>232.9</v>
      </c>
      <c r="BK3" s="0" t="n">
        <v>1.7</v>
      </c>
      <c r="BL3" s="0" t="n">
        <v>1114.35</v>
      </c>
      <c r="BM3" s="0" t="n">
        <v>1.7</v>
      </c>
      <c r="BN3" s="0" t="n">
        <v>123.25</v>
      </c>
      <c r="BO3" s="0" t="n">
        <v>0.85</v>
      </c>
      <c r="BP3" s="0" t="n">
        <v>217.65</v>
      </c>
      <c r="BQ3" s="0" t="n">
        <v>1.8</v>
      </c>
      <c r="BR3" s="0" t="n">
        <v>4.5</v>
      </c>
      <c r="BU3" s="0" t="n">
        <v>56</v>
      </c>
      <c r="BV3" s="0" t="n">
        <v>767</v>
      </c>
      <c r="BZ3" s="0" t="n">
        <v>12</v>
      </c>
      <c r="CA3" s="0" t="n">
        <v>102301</v>
      </c>
      <c r="CB3" s="0" t="n">
        <v>1</v>
      </c>
      <c r="CD3" s="0" t="n">
        <v>1</v>
      </c>
      <c r="CE3" s="0" t="n">
        <v>19</v>
      </c>
      <c r="CH3" s="0" t="n">
        <v>4</v>
      </c>
    </row>
    <row r="4" customFormat="false" ht="13.2" hidden="false" customHeight="false" outlineLevel="0" collapsed="false">
      <c r="A4" s="0" t="n">
        <v>2017</v>
      </c>
      <c r="C4" s="0" t="n">
        <v>25</v>
      </c>
      <c r="D4" s="0" t="n">
        <v>106</v>
      </c>
      <c r="E4" s="0" t="n">
        <v>13</v>
      </c>
      <c r="F4" s="0" t="n">
        <v>1</v>
      </c>
      <c r="G4" s="0" t="n">
        <v>6</v>
      </c>
      <c r="H4" s="0" t="n">
        <v>5522</v>
      </c>
      <c r="J4" s="0" t="n">
        <v>9</v>
      </c>
      <c r="K4" s="0" t="n">
        <v>10</v>
      </c>
      <c r="L4" s="0" t="n">
        <v>56</v>
      </c>
      <c r="M4" s="0" t="n">
        <v>16474</v>
      </c>
      <c r="O4" s="0" t="n">
        <v>1526</v>
      </c>
      <c r="P4" s="0" t="n">
        <v>525</v>
      </c>
      <c r="R4" s="0" t="n">
        <v>24392</v>
      </c>
      <c r="T4" s="0" t="n">
        <v>23</v>
      </c>
      <c r="U4" s="0" t="n">
        <v>493</v>
      </c>
      <c r="V4" s="0" t="n">
        <v>435</v>
      </c>
      <c r="Y4" s="0" t="n">
        <v>552</v>
      </c>
      <c r="AA4" s="0" t="n">
        <v>488</v>
      </c>
      <c r="AD4" s="0" t="n">
        <v>8926</v>
      </c>
      <c r="AF4" s="0" t="n">
        <v>4790</v>
      </c>
      <c r="AH4" s="0" t="n">
        <v>2</v>
      </c>
      <c r="AI4" s="0" t="n">
        <v>2936</v>
      </c>
      <c r="AK4" s="0" t="n">
        <v>9</v>
      </c>
      <c r="AM4" s="0" t="n">
        <v>342</v>
      </c>
      <c r="AP4" s="0" t="n">
        <v>222</v>
      </c>
      <c r="AS4" s="0" t="n">
        <v>73</v>
      </c>
      <c r="AU4" s="0" t="n">
        <v>203</v>
      </c>
      <c r="AW4" s="0" t="n">
        <v>15</v>
      </c>
      <c r="AY4" s="0" t="n">
        <v>32</v>
      </c>
      <c r="BB4" s="0" t="n">
        <v>4</v>
      </c>
      <c r="BD4" s="0" t="n">
        <v>164</v>
      </c>
      <c r="BE4" s="0" t="n">
        <v>90</v>
      </c>
      <c r="BF4" s="0" t="n">
        <v>1</v>
      </c>
      <c r="BG4" s="0" t="n">
        <v>22</v>
      </c>
      <c r="BH4" s="0" t="n">
        <v>71</v>
      </c>
      <c r="BI4" s="0" t="n">
        <v>7</v>
      </c>
      <c r="BJ4" s="0" t="n">
        <v>302.6</v>
      </c>
      <c r="BL4" s="0" t="n">
        <v>1210.4</v>
      </c>
      <c r="BM4" s="0" t="n">
        <v>3.4</v>
      </c>
      <c r="BN4" s="0" t="n">
        <v>66.3</v>
      </c>
      <c r="BP4" s="0" t="n">
        <v>224.1</v>
      </c>
      <c r="BQ4" s="0" t="n">
        <v>1.8</v>
      </c>
      <c r="BR4" s="0" t="n">
        <v>0.15</v>
      </c>
      <c r="BU4" s="0" t="n">
        <v>68</v>
      </c>
      <c r="BV4" s="0" t="n">
        <v>1485</v>
      </c>
      <c r="BW4" s="0" t="n">
        <v>1</v>
      </c>
      <c r="BZ4" s="0" t="n">
        <v>6</v>
      </c>
      <c r="CA4" s="0" t="n">
        <v>73869</v>
      </c>
      <c r="CB4" s="0" t="n">
        <v>2</v>
      </c>
      <c r="CD4" s="0" t="n">
        <v>2</v>
      </c>
      <c r="CE4" s="0" t="n">
        <v>3</v>
      </c>
      <c r="CH4" s="0" t="n">
        <v>2</v>
      </c>
    </row>
    <row r="5" customFormat="false" ht="13.2" hidden="false" customHeight="false" outlineLevel="0" collapsed="false">
      <c r="A5" s="0" t="n">
        <v>2016</v>
      </c>
      <c r="B5" s="0" t="n">
        <v>1</v>
      </c>
      <c r="D5" s="0" t="n">
        <v>201</v>
      </c>
      <c r="E5" s="0" t="n">
        <v>2</v>
      </c>
      <c r="F5" s="0" t="n">
        <v>1</v>
      </c>
      <c r="G5" s="0" t="n">
        <v>3</v>
      </c>
      <c r="H5" s="0" t="n">
        <v>4030</v>
      </c>
      <c r="J5" s="0" t="n">
        <v>1</v>
      </c>
      <c r="K5" s="0" t="n">
        <v>193</v>
      </c>
      <c r="L5" s="0" t="n">
        <v>33</v>
      </c>
      <c r="M5" s="0" t="n">
        <v>14052</v>
      </c>
      <c r="O5" s="0" t="n">
        <v>502</v>
      </c>
      <c r="P5" s="0" t="n">
        <v>460</v>
      </c>
      <c r="Q5" s="0" t="n">
        <v>7</v>
      </c>
      <c r="R5" s="0" t="n">
        <v>14707</v>
      </c>
      <c r="S5" s="0" t="n">
        <v>1</v>
      </c>
      <c r="T5" s="0" t="n">
        <v>48</v>
      </c>
      <c r="U5" s="0" t="n">
        <v>801</v>
      </c>
      <c r="V5" s="0" t="n">
        <v>365</v>
      </c>
      <c r="Y5" s="0" t="n">
        <v>353</v>
      </c>
      <c r="AA5" s="0" t="n">
        <v>390</v>
      </c>
      <c r="AD5" s="0" t="n">
        <v>5916</v>
      </c>
      <c r="AF5" s="0" t="n">
        <v>2649</v>
      </c>
      <c r="AI5" s="0" t="n">
        <v>1045</v>
      </c>
      <c r="AK5" s="0" t="n">
        <v>13</v>
      </c>
      <c r="AM5" s="0" t="n">
        <v>159</v>
      </c>
      <c r="AO5" s="0" t="n">
        <v>1</v>
      </c>
      <c r="AP5" s="0" t="n">
        <v>18</v>
      </c>
      <c r="AS5" s="0" t="n">
        <v>45</v>
      </c>
      <c r="AU5" s="0" t="n">
        <v>43</v>
      </c>
      <c r="AW5" s="0" t="n">
        <v>10</v>
      </c>
      <c r="AY5" s="0" t="n">
        <v>8</v>
      </c>
      <c r="BB5" s="0" t="n">
        <v>1</v>
      </c>
      <c r="BD5" s="0" t="n">
        <v>21</v>
      </c>
      <c r="BE5" s="0" t="n">
        <v>1</v>
      </c>
      <c r="BH5" s="0" t="n">
        <v>1</v>
      </c>
      <c r="BJ5" s="0" t="n">
        <v>75.65</v>
      </c>
      <c r="BL5" s="0" t="n">
        <v>939.250000000001</v>
      </c>
      <c r="BM5" s="0" t="n">
        <v>1.7</v>
      </c>
      <c r="BN5" s="0" t="n">
        <v>17</v>
      </c>
      <c r="BP5" s="0" t="n">
        <v>162.15</v>
      </c>
      <c r="BQ5" s="0" t="n">
        <v>1.35</v>
      </c>
      <c r="BR5" s="0" t="n">
        <v>1.35</v>
      </c>
      <c r="BU5" s="0" t="n">
        <v>4</v>
      </c>
      <c r="BV5" s="0" t="n">
        <v>465</v>
      </c>
      <c r="BZ5" s="0" t="n">
        <v>2</v>
      </c>
      <c r="CA5" s="0" t="n">
        <v>37270</v>
      </c>
    </row>
    <row r="6" customFormat="false" ht="13.2" hidden="false" customHeight="false" outlineLevel="0" collapsed="false">
      <c r="A6" s="0" t="n">
        <v>2015</v>
      </c>
      <c r="B6" s="0" t="n">
        <v>2</v>
      </c>
      <c r="D6" s="0" t="n">
        <v>36</v>
      </c>
      <c r="F6" s="0" t="n">
        <v>1</v>
      </c>
      <c r="H6" s="0" t="n">
        <v>9792</v>
      </c>
      <c r="J6" s="0" t="n">
        <v>8</v>
      </c>
      <c r="K6" s="0" t="n">
        <v>15</v>
      </c>
      <c r="L6" s="0" t="n">
        <v>2</v>
      </c>
      <c r="M6" s="0" t="n">
        <v>25052</v>
      </c>
      <c r="O6" s="0" t="n">
        <v>667</v>
      </c>
      <c r="P6" s="0" t="n">
        <v>123</v>
      </c>
      <c r="Q6" s="0" t="n">
        <v>66</v>
      </c>
      <c r="R6" s="0" t="n">
        <v>12476</v>
      </c>
      <c r="S6" s="0" t="n">
        <v>1</v>
      </c>
      <c r="T6" s="0" t="n">
        <v>42</v>
      </c>
      <c r="U6" s="0" t="n">
        <v>961</v>
      </c>
      <c r="V6" s="0" t="n">
        <v>1085</v>
      </c>
      <c r="Y6" s="0" t="n">
        <v>192</v>
      </c>
      <c r="AA6" s="0" t="n">
        <v>293</v>
      </c>
      <c r="AD6" s="0" t="n">
        <v>4351</v>
      </c>
      <c r="AE6" s="0" t="n">
        <v>3</v>
      </c>
      <c r="AF6" s="0" t="n">
        <v>3757</v>
      </c>
      <c r="AG6" s="0" t="n">
        <v>1</v>
      </c>
      <c r="AH6" s="0" t="n">
        <v>1</v>
      </c>
      <c r="AI6" s="0" t="n">
        <v>3185</v>
      </c>
      <c r="AJ6" s="0" t="n">
        <v>1</v>
      </c>
      <c r="AK6" s="0" t="n">
        <v>45</v>
      </c>
      <c r="AM6" s="0" t="n">
        <v>328</v>
      </c>
      <c r="AO6" s="0" t="n">
        <v>3</v>
      </c>
      <c r="AP6" s="0" t="n">
        <v>81</v>
      </c>
      <c r="AS6" s="0" t="n">
        <v>200</v>
      </c>
      <c r="AU6" s="0" t="n">
        <v>165</v>
      </c>
      <c r="AV6" s="0" t="n">
        <v>2</v>
      </c>
      <c r="AW6" s="0" t="n">
        <v>18</v>
      </c>
      <c r="AY6" s="0" t="n">
        <v>19</v>
      </c>
      <c r="AZ6" s="0" t="n">
        <v>1</v>
      </c>
      <c r="BB6" s="0" t="n">
        <v>2</v>
      </c>
      <c r="BD6" s="0" t="n">
        <v>118</v>
      </c>
      <c r="BE6" s="0" t="n">
        <v>112</v>
      </c>
      <c r="BF6" s="0" t="n">
        <v>3</v>
      </c>
      <c r="BG6" s="0" t="n">
        <v>14</v>
      </c>
      <c r="BH6" s="0" t="n">
        <v>46</v>
      </c>
      <c r="BI6" s="0" t="n">
        <v>11</v>
      </c>
      <c r="BJ6" s="0" t="n">
        <v>135.15</v>
      </c>
      <c r="BK6" s="0" t="n">
        <v>0.85</v>
      </c>
      <c r="BL6" s="0" t="n">
        <v>1212.95</v>
      </c>
      <c r="BM6" s="0" t="n">
        <v>9.35</v>
      </c>
      <c r="BN6" s="0" t="n">
        <v>61.2</v>
      </c>
      <c r="BP6" s="0" t="n">
        <v>169.65</v>
      </c>
      <c r="BQ6" s="0" t="n">
        <v>1.35</v>
      </c>
      <c r="BR6" s="0" t="n">
        <v>0.3</v>
      </c>
      <c r="BU6" s="0" t="n">
        <v>1</v>
      </c>
      <c r="BV6" s="0" t="n">
        <v>86</v>
      </c>
      <c r="CA6" s="0" t="n">
        <v>24810</v>
      </c>
      <c r="CE6" s="0" t="n">
        <v>6</v>
      </c>
      <c r="CH6" s="0" t="n">
        <v>2</v>
      </c>
    </row>
    <row r="7" customFormat="false" ht="13.2" hidden="false" customHeight="false" outlineLevel="0" collapsed="false">
      <c r="A7" s="0" t="n">
        <v>2014</v>
      </c>
      <c r="B7" s="0" t="n">
        <v>2</v>
      </c>
      <c r="D7" s="0" t="n">
        <v>78</v>
      </c>
      <c r="F7" s="0" t="n">
        <v>1</v>
      </c>
      <c r="H7" s="0" t="n">
        <v>15449</v>
      </c>
      <c r="J7" s="0" t="n">
        <v>3</v>
      </c>
      <c r="K7" s="0" t="n">
        <v>25</v>
      </c>
      <c r="M7" s="0" t="n">
        <v>17959</v>
      </c>
      <c r="N7" s="0" t="n">
        <v>1</v>
      </c>
      <c r="O7" s="0" t="n">
        <v>76</v>
      </c>
      <c r="P7" s="0" t="n">
        <v>93</v>
      </c>
      <c r="Q7" s="0" t="n">
        <v>2</v>
      </c>
      <c r="R7" s="0" t="n">
        <v>24529</v>
      </c>
      <c r="S7" s="0" t="n">
        <v>2</v>
      </c>
      <c r="T7" s="0" t="n">
        <v>6</v>
      </c>
      <c r="U7" s="0" t="n">
        <v>1991</v>
      </c>
      <c r="V7" s="0" t="n">
        <v>1496</v>
      </c>
      <c r="W7" s="0" t="n">
        <v>1</v>
      </c>
      <c r="Y7" s="0" t="n">
        <v>648</v>
      </c>
      <c r="AA7" s="0" t="n">
        <v>886</v>
      </c>
      <c r="AD7" s="0" t="n">
        <v>8830</v>
      </c>
      <c r="AF7" s="0" t="n">
        <v>7747</v>
      </c>
      <c r="AG7" s="0" t="n">
        <v>1</v>
      </c>
      <c r="AH7" s="0" t="n">
        <v>1</v>
      </c>
      <c r="AI7" s="0" t="n">
        <v>6124</v>
      </c>
      <c r="AK7" s="0" t="n">
        <v>60</v>
      </c>
      <c r="AM7" s="0" t="n">
        <v>1072</v>
      </c>
      <c r="AO7" s="0" t="n">
        <v>5</v>
      </c>
      <c r="AP7" s="0" t="n">
        <v>197</v>
      </c>
      <c r="AR7" s="0" t="n">
        <v>2</v>
      </c>
      <c r="AS7" s="0" t="n">
        <v>591</v>
      </c>
      <c r="AT7" s="0" t="n">
        <v>2</v>
      </c>
      <c r="AU7" s="0" t="n">
        <v>495</v>
      </c>
      <c r="AV7" s="0" t="n">
        <v>5</v>
      </c>
      <c r="AW7" s="0" t="n">
        <v>162</v>
      </c>
      <c r="AY7" s="0" t="n">
        <v>207</v>
      </c>
      <c r="AZ7" s="0" t="n">
        <v>4</v>
      </c>
      <c r="BA7" s="0" t="n">
        <v>2</v>
      </c>
      <c r="BB7" s="0" t="n">
        <v>8</v>
      </c>
      <c r="BD7" s="0" t="n">
        <v>224</v>
      </c>
      <c r="BE7" s="0" t="n">
        <v>661</v>
      </c>
      <c r="BF7" s="0" t="n">
        <v>7</v>
      </c>
      <c r="BG7" s="0" t="n">
        <v>174</v>
      </c>
      <c r="BH7" s="0" t="n">
        <v>307</v>
      </c>
      <c r="BI7" s="0" t="n">
        <v>5</v>
      </c>
      <c r="BJ7" s="0" t="n">
        <v>112.2</v>
      </c>
      <c r="BL7" s="0" t="n">
        <v>1134.75</v>
      </c>
      <c r="BM7" s="0" t="n">
        <v>10.2</v>
      </c>
      <c r="BN7" s="0" t="n">
        <v>68</v>
      </c>
      <c r="BP7" s="0" t="n">
        <v>198.6</v>
      </c>
      <c r="BQ7" s="0" t="n">
        <v>1.65</v>
      </c>
      <c r="BR7" s="0" t="n">
        <v>2.85</v>
      </c>
      <c r="BV7" s="0" t="n">
        <v>127</v>
      </c>
      <c r="BY7" s="0" t="n">
        <v>2</v>
      </c>
      <c r="CA7" s="0" t="n">
        <v>53787</v>
      </c>
      <c r="CB7" s="0" t="n">
        <v>2</v>
      </c>
      <c r="CC7" s="0" t="n">
        <v>1</v>
      </c>
      <c r="CE7" s="0" t="n">
        <v>67</v>
      </c>
      <c r="CH7" s="0" t="n">
        <v>4</v>
      </c>
    </row>
    <row r="8" customFormat="false" ht="13.2" hidden="false" customHeight="false" outlineLevel="0" collapsed="false">
      <c r="A8" s="0" t="n">
        <v>2013</v>
      </c>
      <c r="B8" s="0" t="n">
        <v>2</v>
      </c>
      <c r="D8" s="0" t="n">
        <v>64</v>
      </c>
      <c r="F8" s="0" t="n">
        <v>3</v>
      </c>
      <c r="H8" s="0" t="n">
        <v>20796</v>
      </c>
      <c r="I8" s="0" t="n">
        <v>1</v>
      </c>
      <c r="J8" s="0" t="n">
        <v>73</v>
      </c>
      <c r="K8" s="0" t="n">
        <v>30</v>
      </c>
      <c r="M8" s="0" t="n">
        <v>20890</v>
      </c>
      <c r="O8" s="0" t="n">
        <v>254</v>
      </c>
      <c r="P8" s="0" t="n">
        <v>74</v>
      </c>
      <c r="Q8" s="0" t="n">
        <v>1</v>
      </c>
      <c r="R8" s="0" t="n">
        <v>21361</v>
      </c>
      <c r="S8" s="0" t="n">
        <v>1</v>
      </c>
      <c r="T8" s="0" t="n">
        <v>15</v>
      </c>
      <c r="U8" s="0" t="n">
        <v>1266</v>
      </c>
      <c r="V8" s="0" t="n">
        <v>1226</v>
      </c>
      <c r="Y8" s="0" t="n">
        <v>745</v>
      </c>
      <c r="AA8" s="0" t="n">
        <v>731</v>
      </c>
      <c r="AC8" s="0" t="n">
        <v>1</v>
      </c>
      <c r="AD8" s="0" t="n">
        <v>7922</v>
      </c>
      <c r="AF8" s="0" t="n">
        <v>7038</v>
      </c>
      <c r="AG8" s="0" t="n">
        <v>1</v>
      </c>
      <c r="AI8" s="0" t="n">
        <v>4776</v>
      </c>
      <c r="AK8" s="0" t="n">
        <v>17</v>
      </c>
      <c r="AM8" s="0" t="n">
        <v>588</v>
      </c>
      <c r="AO8" s="0" t="n">
        <v>3</v>
      </c>
      <c r="AP8" s="0" t="n">
        <v>259</v>
      </c>
      <c r="AS8" s="0" t="n">
        <v>128</v>
      </c>
      <c r="AU8" s="0" t="n">
        <v>501</v>
      </c>
      <c r="AV8" s="0" t="n">
        <v>2</v>
      </c>
      <c r="AW8" s="0" t="n">
        <v>131</v>
      </c>
      <c r="AX8" s="0" t="n">
        <v>2</v>
      </c>
      <c r="AY8" s="0" t="n">
        <v>136</v>
      </c>
      <c r="BA8" s="0" t="n">
        <v>59</v>
      </c>
      <c r="BB8" s="0" t="n">
        <v>17</v>
      </c>
      <c r="BC8" s="0" t="n">
        <v>1</v>
      </c>
      <c r="BD8" s="0" t="n">
        <v>217</v>
      </c>
      <c r="BE8" s="0" t="n">
        <v>552</v>
      </c>
      <c r="BF8" s="0" t="n">
        <v>16</v>
      </c>
      <c r="BG8" s="0" t="n">
        <v>174</v>
      </c>
      <c r="BH8" s="0" t="n">
        <v>183</v>
      </c>
      <c r="BI8" s="0" t="n">
        <v>8</v>
      </c>
      <c r="BJ8" s="0" t="n">
        <v>281.35</v>
      </c>
      <c r="BL8" s="0" t="n">
        <v>1153.45</v>
      </c>
      <c r="BM8" s="0" t="n">
        <v>1.7</v>
      </c>
      <c r="BN8" s="0" t="n">
        <v>24.65</v>
      </c>
      <c r="BP8" s="0" t="n">
        <v>114.15</v>
      </c>
      <c r="BQ8" s="0" t="n">
        <v>1.05</v>
      </c>
      <c r="BR8" s="0" t="n">
        <v>0.45</v>
      </c>
      <c r="BV8" s="0" t="n">
        <v>365</v>
      </c>
      <c r="BY8" s="0" t="n">
        <v>2</v>
      </c>
      <c r="BZ8" s="0" t="n">
        <v>5</v>
      </c>
      <c r="CA8" s="0" t="n">
        <v>46591</v>
      </c>
      <c r="CE8" s="0" t="n">
        <v>35</v>
      </c>
      <c r="CH8" s="0" t="n">
        <v>10</v>
      </c>
    </row>
    <row r="9" customFormat="false" ht="13.2" hidden="false" customHeight="false" outlineLevel="0" collapsed="false">
      <c r="A9" s="0" t="n">
        <v>2012</v>
      </c>
      <c r="B9" s="0" t="n">
        <v>1</v>
      </c>
      <c r="D9" s="0" t="n">
        <v>64</v>
      </c>
      <c r="E9" s="0" t="n">
        <v>14</v>
      </c>
      <c r="F9" s="0" t="n">
        <v>6</v>
      </c>
      <c r="H9" s="0" t="n">
        <v>17643</v>
      </c>
      <c r="J9" s="0" t="n">
        <v>119</v>
      </c>
      <c r="K9" s="0" t="n">
        <v>35</v>
      </c>
      <c r="M9" s="0" t="n">
        <v>26385</v>
      </c>
      <c r="N9" s="0" t="n">
        <v>2</v>
      </c>
      <c r="O9" s="0" t="n">
        <v>131</v>
      </c>
      <c r="P9" s="0" t="n">
        <v>124</v>
      </c>
      <c r="Q9" s="0" t="n">
        <v>1</v>
      </c>
      <c r="R9" s="0" t="n">
        <v>23514</v>
      </c>
      <c r="T9" s="0" t="n">
        <v>8</v>
      </c>
      <c r="U9" s="0" t="n">
        <v>456</v>
      </c>
      <c r="V9" s="0" t="n">
        <v>569</v>
      </c>
      <c r="Y9" s="0" t="n">
        <v>908</v>
      </c>
      <c r="Z9" s="0" t="n">
        <v>1</v>
      </c>
      <c r="AA9" s="0" t="n">
        <v>1400</v>
      </c>
      <c r="AD9" s="0" t="n">
        <v>9792</v>
      </c>
      <c r="AE9" s="0" t="n">
        <v>2</v>
      </c>
      <c r="AF9" s="0" t="n">
        <v>12369</v>
      </c>
      <c r="AI9" s="0" t="n">
        <v>5860</v>
      </c>
      <c r="AK9" s="0" t="n">
        <v>50</v>
      </c>
      <c r="AM9" s="0" t="n">
        <v>532</v>
      </c>
      <c r="AO9" s="0" t="n">
        <v>6</v>
      </c>
      <c r="AP9" s="0" t="n">
        <v>335</v>
      </c>
      <c r="AQ9" s="0" t="n">
        <v>1</v>
      </c>
      <c r="AR9" s="0" t="n">
        <v>1</v>
      </c>
      <c r="AS9" s="0" t="n">
        <v>126</v>
      </c>
      <c r="AT9" s="0" t="n">
        <v>1</v>
      </c>
      <c r="AU9" s="0" t="n">
        <v>412</v>
      </c>
      <c r="AV9" s="0" t="n">
        <v>1</v>
      </c>
      <c r="AW9" s="0" t="n">
        <v>343</v>
      </c>
      <c r="AX9" s="0" t="n">
        <v>6</v>
      </c>
      <c r="AY9" s="0" t="n">
        <v>112</v>
      </c>
      <c r="BA9" s="0" t="n">
        <v>62</v>
      </c>
      <c r="BB9" s="0" t="n">
        <v>69</v>
      </c>
      <c r="BD9" s="0" t="n">
        <v>219</v>
      </c>
      <c r="BE9" s="0" t="n">
        <v>523</v>
      </c>
      <c r="BF9" s="0" t="n">
        <v>15</v>
      </c>
      <c r="BG9" s="0" t="n">
        <v>163</v>
      </c>
      <c r="BH9" s="0" t="n">
        <v>213</v>
      </c>
      <c r="BJ9" s="0" t="n">
        <v>272</v>
      </c>
      <c r="BL9" s="0" t="n">
        <v>848.300000000001</v>
      </c>
      <c r="BM9" s="0" t="n">
        <v>2.55</v>
      </c>
      <c r="BN9" s="0" t="n">
        <v>10.2</v>
      </c>
      <c r="BP9" s="0" t="n">
        <v>230.7</v>
      </c>
      <c r="BQ9" s="0" t="n">
        <v>2.1</v>
      </c>
      <c r="BR9" s="0" t="n">
        <v>2.7</v>
      </c>
      <c r="BT9" s="0" t="n">
        <v>6</v>
      </c>
      <c r="BU9" s="0" t="n">
        <v>4</v>
      </c>
      <c r="BV9" s="0" t="n">
        <v>398</v>
      </c>
      <c r="BX9" s="0" t="n">
        <v>1</v>
      </c>
      <c r="BY9" s="0" t="n">
        <v>61</v>
      </c>
      <c r="CA9" s="0" t="n">
        <v>34545</v>
      </c>
      <c r="CB9" s="0" t="n">
        <v>2</v>
      </c>
      <c r="CE9" s="0" t="n">
        <v>11</v>
      </c>
      <c r="CH9" s="0" t="n">
        <v>31</v>
      </c>
    </row>
    <row r="10" customFormat="false" ht="13.2" hidden="false" customHeight="false" outlineLevel="0" collapsed="false">
      <c r="A10" s="0" t="n">
        <v>2011</v>
      </c>
      <c r="B10" s="0" t="n">
        <v>1</v>
      </c>
      <c r="D10" s="0" t="n">
        <v>172</v>
      </c>
      <c r="E10" s="0" t="n">
        <v>5</v>
      </c>
      <c r="F10" s="0" t="n">
        <v>18</v>
      </c>
      <c r="G10" s="0" t="n">
        <v>1</v>
      </c>
      <c r="H10" s="0" t="n">
        <v>16182</v>
      </c>
      <c r="I10" s="0" t="n">
        <v>1</v>
      </c>
      <c r="J10" s="0" t="n">
        <v>40</v>
      </c>
      <c r="K10" s="0" t="n">
        <v>100</v>
      </c>
      <c r="M10" s="0" t="n">
        <v>33938</v>
      </c>
      <c r="N10" s="0" t="n">
        <v>3</v>
      </c>
      <c r="O10" s="0" t="n">
        <v>129</v>
      </c>
      <c r="P10" s="0" t="n">
        <v>81</v>
      </c>
      <c r="Q10" s="0" t="n">
        <v>1</v>
      </c>
      <c r="R10" s="0" t="n">
        <v>22476</v>
      </c>
      <c r="S10" s="0" t="n">
        <v>3</v>
      </c>
      <c r="T10" s="0" t="n">
        <v>67</v>
      </c>
      <c r="U10" s="0" t="n">
        <v>586</v>
      </c>
      <c r="V10" s="0" t="n">
        <v>246</v>
      </c>
      <c r="Y10" s="0" t="n">
        <v>696</v>
      </c>
      <c r="AA10" s="0" t="n">
        <v>2066</v>
      </c>
      <c r="AB10" s="0" t="n">
        <v>1</v>
      </c>
      <c r="AD10" s="0" t="n">
        <v>7033</v>
      </c>
      <c r="AF10" s="0" t="n">
        <v>11933</v>
      </c>
      <c r="AG10" s="0" t="n">
        <v>2</v>
      </c>
      <c r="AH10" s="0" t="n">
        <v>1</v>
      </c>
      <c r="AI10" s="0" t="n">
        <v>4794</v>
      </c>
      <c r="AK10" s="0" t="n">
        <v>50</v>
      </c>
      <c r="AM10" s="0" t="n">
        <v>688</v>
      </c>
      <c r="AO10" s="0" t="n">
        <v>4</v>
      </c>
      <c r="AP10" s="0" t="n">
        <v>607</v>
      </c>
      <c r="AR10" s="0" t="n">
        <v>4</v>
      </c>
      <c r="AS10" s="0" t="n">
        <v>81</v>
      </c>
      <c r="AU10" s="0" t="n">
        <v>304</v>
      </c>
      <c r="AV10" s="0" t="n">
        <v>1</v>
      </c>
      <c r="AW10" s="0" t="n">
        <v>311</v>
      </c>
      <c r="AX10" s="0" t="n">
        <v>4</v>
      </c>
      <c r="AY10" s="0" t="n">
        <v>9</v>
      </c>
      <c r="BA10" s="0" t="n">
        <v>13</v>
      </c>
      <c r="BB10" s="0" t="n">
        <v>36</v>
      </c>
      <c r="BD10" s="0" t="n">
        <v>243</v>
      </c>
      <c r="BE10" s="0" t="n">
        <v>338</v>
      </c>
      <c r="BF10" s="0" t="n">
        <v>28</v>
      </c>
      <c r="BG10" s="0" t="n">
        <v>159</v>
      </c>
      <c r="BH10" s="0" t="n">
        <v>180</v>
      </c>
      <c r="BI10" s="0" t="n">
        <v>2</v>
      </c>
      <c r="BJ10" s="0" t="n">
        <v>165.75</v>
      </c>
      <c r="BK10" s="0" t="n">
        <v>2.55</v>
      </c>
      <c r="BL10" s="0" t="n">
        <v>935.000000000001</v>
      </c>
      <c r="BM10" s="0" t="n">
        <v>4.25</v>
      </c>
      <c r="BN10" s="0" t="n">
        <v>4.25</v>
      </c>
      <c r="BP10" s="0" t="n">
        <v>194.25</v>
      </c>
      <c r="BQ10" s="0" t="n">
        <v>1.2</v>
      </c>
      <c r="BR10" s="0" t="n">
        <v>0.75</v>
      </c>
      <c r="BV10" s="0" t="n">
        <v>318</v>
      </c>
      <c r="BY10" s="0" t="n">
        <v>5</v>
      </c>
      <c r="BZ10" s="0" t="n">
        <v>1</v>
      </c>
      <c r="CA10" s="0" t="n">
        <v>36287</v>
      </c>
      <c r="CB10" s="0" t="n">
        <v>2</v>
      </c>
      <c r="CE10" s="0" t="n">
        <v>4</v>
      </c>
      <c r="CH10" s="0" t="n">
        <v>1</v>
      </c>
    </row>
    <row r="11" customFormat="false" ht="13.2" hidden="false" customHeight="false" outlineLevel="0" collapsed="false">
      <c r="A11" s="0" t="n">
        <v>2010</v>
      </c>
      <c r="B11" s="0" t="n">
        <v>3</v>
      </c>
      <c r="D11" s="0" t="n">
        <v>11</v>
      </c>
      <c r="E11" s="0" t="n">
        <v>1</v>
      </c>
      <c r="F11" s="0" t="n">
        <v>15</v>
      </c>
      <c r="H11" s="0" t="n">
        <v>11486</v>
      </c>
      <c r="I11" s="0" t="n">
        <v>3</v>
      </c>
      <c r="J11" s="0" t="n">
        <v>259</v>
      </c>
      <c r="K11" s="0" t="n">
        <v>116</v>
      </c>
      <c r="M11" s="0" t="n">
        <v>17566</v>
      </c>
      <c r="O11" s="0" t="n">
        <v>517</v>
      </c>
      <c r="P11" s="0" t="n">
        <v>135</v>
      </c>
      <c r="Q11" s="0" t="n">
        <v>2</v>
      </c>
      <c r="R11" s="0" t="n">
        <v>25762</v>
      </c>
      <c r="S11" s="0" t="n">
        <v>1</v>
      </c>
      <c r="T11" s="0" t="n">
        <v>377</v>
      </c>
      <c r="U11" s="0" t="n">
        <v>758</v>
      </c>
      <c r="V11" s="0" t="n">
        <v>184</v>
      </c>
      <c r="Y11" s="0" t="n">
        <v>914</v>
      </c>
      <c r="AA11" s="0" t="n">
        <v>1114</v>
      </c>
      <c r="AC11" s="0" t="n">
        <v>2</v>
      </c>
      <c r="AD11" s="0" t="n">
        <v>9413</v>
      </c>
      <c r="AF11" s="0" t="n">
        <v>13738</v>
      </c>
      <c r="AG11" s="0" t="n">
        <v>1</v>
      </c>
      <c r="AH11" s="0" t="n">
        <v>71</v>
      </c>
      <c r="AI11" s="0" t="n">
        <v>4665</v>
      </c>
      <c r="AK11" s="0" t="n">
        <v>72</v>
      </c>
      <c r="AM11" s="0" t="n">
        <v>962</v>
      </c>
      <c r="AO11" s="0" t="n">
        <v>5</v>
      </c>
      <c r="AP11" s="0" t="n">
        <v>450</v>
      </c>
      <c r="AR11" s="0" t="n">
        <v>2</v>
      </c>
      <c r="AS11" s="0" t="n">
        <v>125</v>
      </c>
      <c r="AT11" s="0" t="n">
        <v>3</v>
      </c>
      <c r="AU11" s="0" t="n">
        <v>243</v>
      </c>
      <c r="AV11" s="0" t="n">
        <v>1</v>
      </c>
      <c r="AW11" s="0" t="n">
        <v>80</v>
      </c>
      <c r="AX11" s="0" t="n">
        <v>1</v>
      </c>
      <c r="AY11" s="0" t="n">
        <v>34</v>
      </c>
      <c r="BA11" s="0" t="n">
        <v>22</v>
      </c>
      <c r="BB11" s="0" t="n">
        <v>12</v>
      </c>
      <c r="BD11" s="0" t="n">
        <v>217</v>
      </c>
      <c r="BE11" s="0" t="n">
        <v>343</v>
      </c>
      <c r="BF11" s="0" t="n">
        <v>34</v>
      </c>
      <c r="BG11" s="0" t="n">
        <v>96</v>
      </c>
      <c r="BH11" s="0" t="n">
        <v>75</v>
      </c>
      <c r="BJ11" s="0" t="n">
        <v>285.6</v>
      </c>
      <c r="BK11" s="0" t="n">
        <v>1.7</v>
      </c>
      <c r="BL11" s="0" t="n">
        <v>1021.7</v>
      </c>
      <c r="BM11" s="0" t="n">
        <v>10.2</v>
      </c>
      <c r="BN11" s="0" t="n">
        <v>15.3</v>
      </c>
      <c r="BP11" s="0" t="n">
        <v>197.7</v>
      </c>
      <c r="BQ11" s="0" t="n">
        <v>0.45</v>
      </c>
      <c r="BR11" s="0" t="n">
        <v>1.8</v>
      </c>
      <c r="BV11" s="0" t="n">
        <v>50</v>
      </c>
      <c r="BY11" s="0" t="n">
        <v>6</v>
      </c>
      <c r="BZ11" s="0" t="n">
        <v>1</v>
      </c>
      <c r="CA11" s="0" t="n">
        <v>22764</v>
      </c>
      <c r="CE11" s="0" t="n">
        <v>5</v>
      </c>
      <c r="CG11" s="0" t="n">
        <v>1</v>
      </c>
      <c r="CH11" s="0" t="n">
        <v>3</v>
      </c>
    </row>
    <row r="12" customFormat="false" ht="13.2" hidden="false" customHeight="false" outlineLevel="0" collapsed="false">
      <c r="A12" s="0" t="n">
        <v>2009</v>
      </c>
      <c r="B12" s="0" t="n">
        <v>2</v>
      </c>
      <c r="D12" s="0" t="n">
        <v>9</v>
      </c>
      <c r="F12" s="0" t="n">
        <v>46</v>
      </c>
      <c r="H12" s="0" t="n">
        <v>16179</v>
      </c>
      <c r="I12" s="0" t="n">
        <v>2</v>
      </c>
      <c r="J12" s="0" t="n">
        <v>2</v>
      </c>
      <c r="K12" s="0" t="n">
        <v>125</v>
      </c>
      <c r="M12" s="0" t="n">
        <v>17772</v>
      </c>
      <c r="O12" s="0" t="n">
        <v>22</v>
      </c>
      <c r="P12" s="0" t="n">
        <v>604</v>
      </c>
      <c r="Q12" s="0" t="n">
        <v>4</v>
      </c>
      <c r="R12" s="0" t="n">
        <v>18996</v>
      </c>
      <c r="S12" s="0" t="n">
        <v>6</v>
      </c>
      <c r="T12" s="0" t="n">
        <v>1595</v>
      </c>
      <c r="U12" s="0" t="n">
        <v>344</v>
      </c>
      <c r="V12" s="0" t="n">
        <v>144</v>
      </c>
      <c r="Y12" s="0" t="n">
        <v>539</v>
      </c>
      <c r="AA12" s="0" t="n">
        <v>710</v>
      </c>
      <c r="AD12" s="0" t="n">
        <v>5850</v>
      </c>
      <c r="AF12" s="0" t="n">
        <v>11742</v>
      </c>
      <c r="AH12" s="0" t="n">
        <v>32</v>
      </c>
      <c r="AI12" s="0" t="n">
        <v>2385</v>
      </c>
      <c r="AK12" s="0" t="n">
        <v>39</v>
      </c>
      <c r="AM12" s="0" t="n">
        <v>567</v>
      </c>
      <c r="AO12" s="0" t="n">
        <v>5</v>
      </c>
      <c r="AP12" s="0" t="n">
        <v>404</v>
      </c>
      <c r="AR12" s="0" t="n">
        <v>1</v>
      </c>
      <c r="AS12" s="0" t="n">
        <v>226</v>
      </c>
      <c r="AT12" s="0" t="n">
        <v>3</v>
      </c>
      <c r="AU12" s="0" t="n">
        <v>256</v>
      </c>
      <c r="AW12" s="0" t="n">
        <v>119</v>
      </c>
      <c r="AX12" s="0" t="n">
        <v>1</v>
      </c>
      <c r="AY12" s="0" t="n">
        <v>9</v>
      </c>
      <c r="BA12" s="0" t="n">
        <v>17</v>
      </c>
      <c r="BB12" s="0" t="n">
        <v>15</v>
      </c>
      <c r="BD12" s="0" t="n">
        <v>176</v>
      </c>
      <c r="BE12" s="0" t="n">
        <v>206</v>
      </c>
      <c r="BF12" s="0" t="n">
        <v>31</v>
      </c>
      <c r="BG12" s="0" t="n">
        <v>92</v>
      </c>
      <c r="BH12" s="0" t="n">
        <v>58</v>
      </c>
      <c r="BJ12" s="0" t="n">
        <v>37.4</v>
      </c>
      <c r="BL12" s="0" t="n">
        <v>609.45</v>
      </c>
      <c r="BM12" s="0" t="n">
        <v>5.95</v>
      </c>
      <c r="BN12" s="0" t="n">
        <v>2.55</v>
      </c>
      <c r="BP12" s="0" t="n">
        <v>253.2</v>
      </c>
      <c r="BQ12" s="0" t="n">
        <v>0.3</v>
      </c>
      <c r="BR12" s="0" t="n">
        <v>4.35</v>
      </c>
      <c r="BV12" s="0" t="n">
        <v>65</v>
      </c>
      <c r="CA12" s="0" t="n">
        <v>18274</v>
      </c>
      <c r="CB12" s="0" t="n">
        <v>5</v>
      </c>
      <c r="CE12" s="0" t="n">
        <v>1</v>
      </c>
    </row>
    <row r="13" customFormat="false" ht="13.2" hidden="false" customHeight="false" outlineLevel="0" collapsed="false">
      <c r="A13" s="0" t="n">
        <v>2008</v>
      </c>
      <c r="B13" s="0" t="n">
        <v>1</v>
      </c>
      <c r="D13" s="0" t="n">
        <v>5</v>
      </c>
      <c r="F13" s="0" t="n">
        <v>91</v>
      </c>
      <c r="G13" s="0" t="n">
        <v>1</v>
      </c>
      <c r="H13" s="0" t="n">
        <v>13810</v>
      </c>
      <c r="I13" s="0" t="n">
        <v>1</v>
      </c>
      <c r="K13" s="0" t="n">
        <v>216</v>
      </c>
      <c r="L13" s="0" t="n">
        <v>1</v>
      </c>
      <c r="M13" s="0" t="n">
        <v>12778</v>
      </c>
      <c r="O13" s="0" t="n">
        <v>4</v>
      </c>
      <c r="P13" s="0" t="n">
        <v>929</v>
      </c>
      <c r="Q13" s="0" t="n">
        <v>6</v>
      </c>
      <c r="R13" s="0" t="n">
        <v>19637</v>
      </c>
      <c r="S13" s="0" t="n">
        <v>2</v>
      </c>
      <c r="T13" s="0" t="n">
        <v>147</v>
      </c>
      <c r="U13" s="0" t="n">
        <v>477</v>
      </c>
      <c r="V13" s="0" t="n">
        <v>234</v>
      </c>
      <c r="X13" s="0" t="n">
        <v>4</v>
      </c>
      <c r="Y13" s="0" t="n">
        <v>1075</v>
      </c>
      <c r="Z13" s="0" t="n">
        <v>1</v>
      </c>
      <c r="AA13" s="0" t="n">
        <v>1279</v>
      </c>
      <c r="AC13" s="0" t="n">
        <v>3</v>
      </c>
      <c r="AD13" s="0" t="n">
        <v>8180</v>
      </c>
      <c r="AE13" s="0" t="n">
        <v>1</v>
      </c>
      <c r="AF13" s="0" t="n">
        <v>13093</v>
      </c>
      <c r="AG13" s="0" t="n">
        <v>1</v>
      </c>
      <c r="AH13" s="0" t="n">
        <v>15</v>
      </c>
      <c r="AI13" s="0" t="n">
        <v>4624</v>
      </c>
      <c r="AK13" s="0" t="n">
        <v>58</v>
      </c>
      <c r="AL13" s="0" t="n">
        <v>1</v>
      </c>
      <c r="AM13" s="0" t="n">
        <v>767</v>
      </c>
      <c r="AO13" s="0" t="n">
        <v>10</v>
      </c>
      <c r="AP13" s="0" t="n">
        <v>590</v>
      </c>
      <c r="AR13" s="0" t="n">
        <v>3</v>
      </c>
      <c r="AS13" s="0" t="n">
        <v>237</v>
      </c>
      <c r="AT13" s="0" t="n">
        <v>3</v>
      </c>
      <c r="AU13" s="0" t="n">
        <v>421</v>
      </c>
      <c r="AV13" s="0" t="n">
        <v>3</v>
      </c>
      <c r="AW13" s="0" t="n">
        <v>216</v>
      </c>
      <c r="AX13" s="0" t="n">
        <v>2</v>
      </c>
      <c r="AY13" s="0" t="n">
        <v>27</v>
      </c>
      <c r="BA13" s="0" t="n">
        <v>72</v>
      </c>
      <c r="BB13" s="0" t="n">
        <v>31</v>
      </c>
      <c r="BD13" s="0" t="n">
        <v>207</v>
      </c>
      <c r="BE13" s="0" t="n">
        <v>162</v>
      </c>
      <c r="BF13" s="0" t="n">
        <v>115</v>
      </c>
      <c r="BG13" s="0" t="n">
        <v>134</v>
      </c>
      <c r="BH13" s="0" t="n">
        <v>71</v>
      </c>
      <c r="BI13" s="0" t="n">
        <v>1</v>
      </c>
      <c r="BJ13" s="0" t="n">
        <v>107.95</v>
      </c>
      <c r="BL13" s="0" t="n">
        <v>1017.45</v>
      </c>
      <c r="BM13" s="0" t="n">
        <v>9.35</v>
      </c>
      <c r="BN13" s="0" t="n">
        <v>16.15</v>
      </c>
      <c r="BP13" s="0" t="n">
        <v>220.05</v>
      </c>
      <c r="BQ13" s="0" t="n">
        <v>1.8</v>
      </c>
      <c r="BR13" s="0" t="n">
        <v>12</v>
      </c>
      <c r="BV13" s="0" t="n">
        <v>100</v>
      </c>
      <c r="BY13" s="0" t="n">
        <v>2</v>
      </c>
      <c r="CA13" s="0" t="n">
        <v>14436</v>
      </c>
      <c r="CB13" s="0" t="n">
        <v>1</v>
      </c>
    </row>
    <row r="14" customFormat="false" ht="13.2" hidden="false" customHeight="false" outlineLevel="0" collapsed="false">
      <c r="A14" s="0" t="n">
        <v>2007</v>
      </c>
      <c r="B14" s="0" t="n">
        <v>2</v>
      </c>
      <c r="D14" s="0" t="n">
        <v>13</v>
      </c>
      <c r="F14" s="0" t="n">
        <v>125</v>
      </c>
      <c r="G14" s="0" t="n">
        <v>1</v>
      </c>
      <c r="H14" s="0" t="n">
        <v>16222</v>
      </c>
      <c r="I14" s="0" t="n">
        <v>9</v>
      </c>
      <c r="K14" s="0" t="n">
        <v>196</v>
      </c>
      <c r="M14" s="0" t="n">
        <v>13904</v>
      </c>
      <c r="P14" s="0" t="n">
        <v>955</v>
      </c>
      <c r="R14" s="0" t="n">
        <v>11998</v>
      </c>
      <c r="S14" s="0" t="n">
        <v>1</v>
      </c>
      <c r="T14" s="0" t="n">
        <v>1</v>
      </c>
      <c r="U14" s="0" t="n">
        <v>295</v>
      </c>
      <c r="V14" s="0" t="n">
        <v>207</v>
      </c>
      <c r="Y14" s="0" t="n">
        <v>815</v>
      </c>
      <c r="AA14" s="0" t="n">
        <v>1780</v>
      </c>
      <c r="AB14" s="0" t="n">
        <v>2</v>
      </c>
      <c r="AD14" s="0" t="n">
        <v>3603</v>
      </c>
      <c r="AF14" s="0" t="n">
        <v>11246</v>
      </c>
      <c r="AG14" s="0" t="n">
        <v>1</v>
      </c>
      <c r="AI14" s="0" t="n">
        <v>4223</v>
      </c>
      <c r="AJ14" s="0" t="n">
        <v>1</v>
      </c>
      <c r="AK14" s="0" t="n">
        <v>60</v>
      </c>
      <c r="AM14" s="0" t="n">
        <v>616</v>
      </c>
      <c r="AO14" s="0" t="n">
        <v>4</v>
      </c>
      <c r="AP14" s="0" t="n">
        <v>550</v>
      </c>
      <c r="AR14" s="0" t="n">
        <v>2</v>
      </c>
      <c r="AS14" s="0" t="n">
        <v>152</v>
      </c>
      <c r="AT14" s="0" t="n">
        <v>3</v>
      </c>
      <c r="AU14" s="0" t="n">
        <v>252</v>
      </c>
      <c r="AV14" s="0" t="n">
        <v>3</v>
      </c>
      <c r="AW14" s="0" t="n">
        <v>112</v>
      </c>
      <c r="AX14" s="0" t="n">
        <v>2</v>
      </c>
      <c r="AY14" s="0" t="n">
        <v>7</v>
      </c>
      <c r="BA14" s="0" t="n">
        <v>45</v>
      </c>
      <c r="BB14" s="0" t="n">
        <v>23</v>
      </c>
      <c r="BD14" s="0" t="n">
        <v>143</v>
      </c>
      <c r="BE14" s="0" t="n">
        <v>119</v>
      </c>
      <c r="BF14" s="0" t="n">
        <v>80</v>
      </c>
      <c r="BG14" s="0" t="n">
        <v>54</v>
      </c>
      <c r="BH14" s="0" t="n">
        <v>49</v>
      </c>
      <c r="BJ14" s="0" t="n">
        <v>43.35</v>
      </c>
      <c r="BK14" s="0" t="n">
        <v>0.85</v>
      </c>
      <c r="BL14" s="0" t="n">
        <v>918.000000000001</v>
      </c>
      <c r="BM14" s="0" t="n">
        <v>6.8</v>
      </c>
      <c r="BN14" s="0" t="n">
        <v>1.7</v>
      </c>
      <c r="BP14" s="0" t="n">
        <v>237.9</v>
      </c>
      <c r="BQ14" s="0" t="n">
        <v>1.8</v>
      </c>
      <c r="BR14" s="0" t="n">
        <v>10.8</v>
      </c>
      <c r="BV14" s="0" t="n">
        <v>92</v>
      </c>
      <c r="BY14" s="0" t="n">
        <v>2</v>
      </c>
      <c r="CA14" s="0" t="n">
        <v>12951</v>
      </c>
      <c r="CC14" s="0" t="n">
        <v>1</v>
      </c>
      <c r="CE14" s="0" t="n">
        <v>146</v>
      </c>
      <c r="CH14" s="0" t="n">
        <v>1</v>
      </c>
    </row>
    <row r="15" customFormat="false" ht="13.2" hidden="false" customHeight="false" outlineLevel="0" collapsed="false">
      <c r="A15" s="0" t="n">
        <v>2006</v>
      </c>
      <c r="D15" s="0" t="n">
        <v>51</v>
      </c>
      <c r="F15" s="0" t="n">
        <v>27</v>
      </c>
      <c r="H15" s="0" t="n">
        <v>13552</v>
      </c>
      <c r="I15" s="0" t="n">
        <v>17</v>
      </c>
      <c r="K15" s="0" t="n">
        <v>87</v>
      </c>
      <c r="L15" s="0" t="n">
        <v>1</v>
      </c>
      <c r="M15" s="0" t="n">
        <v>17057</v>
      </c>
      <c r="N15" s="0" t="n">
        <v>6</v>
      </c>
      <c r="O15" s="0" t="n">
        <v>1</v>
      </c>
      <c r="P15" s="0" t="n">
        <v>1365</v>
      </c>
      <c r="R15" s="0" t="n">
        <v>12471</v>
      </c>
      <c r="S15" s="0" t="n">
        <v>2</v>
      </c>
      <c r="T15" s="0" t="n">
        <v>1</v>
      </c>
      <c r="U15" s="0" t="n">
        <v>206</v>
      </c>
      <c r="V15" s="0" t="n">
        <v>197</v>
      </c>
      <c r="W15" s="0" t="n">
        <v>1</v>
      </c>
      <c r="Y15" s="0" t="n">
        <v>342</v>
      </c>
      <c r="AA15" s="0" t="n">
        <v>1521</v>
      </c>
      <c r="AD15" s="0" t="n">
        <v>2611</v>
      </c>
      <c r="AF15" s="0" t="n">
        <v>12755</v>
      </c>
      <c r="AG15" s="0" t="n">
        <v>1</v>
      </c>
      <c r="AI15" s="0" t="n">
        <v>4542</v>
      </c>
      <c r="AK15" s="0" t="n">
        <v>71</v>
      </c>
      <c r="AM15" s="0" t="n">
        <v>633</v>
      </c>
      <c r="AO15" s="0" t="n">
        <v>7</v>
      </c>
      <c r="AP15" s="0" t="n">
        <v>313</v>
      </c>
      <c r="AR15" s="0" t="n">
        <v>3</v>
      </c>
      <c r="AS15" s="0" t="n">
        <v>117</v>
      </c>
      <c r="AT15" s="0" t="n">
        <v>2</v>
      </c>
      <c r="AU15" s="0" t="n">
        <v>195</v>
      </c>
      <c r="AV15" s="0" t="n">
        <v>5</v>
      </c>
      <c r="AW15" s="0" t="n">
        <v>36</v>
      </c>
      <c r="AY15" s="0" t="n">
        <v>1</v>
      </c>
      <c r="BA15" s="0" t="n">
        <v>39</v>
      </c>
      <c r="BB15" s="0" t="n">
        <v>14</v>
      </c>
      <c r="BD15" s="0" t="n">
        <v>100</v>
      </c>
      <c r="BE15" s="0" t="n">
        <v>57</v>
      </c>
      <c r="BF15" s="0" t="n">
        <v>41</v>
      </c>
      <c r="BG15" s="0" t="n">
        <v>44</v>
      </c>
      <c r="BH15" s="0" t="n">
        <v>58</v>
      </c>
      <c r="BJ15" s="0" t="n">
        <v>189.55</v>
      </c>
      <c r="BL15" s="0" t="n">
        <v>729.3</v>
      </c>
      <c r="BM15" s="0" t="n">
        <v>7.65</v>
      </c>
      <c r="BN15" s="0" t="n">
        <v>7.65</v>
      </c>
      <c r="BP15" s="0" t="n">
        <v>179.1</v>
      </c>
      <c r="BQ15" s="0" t="n">
        <v>0.3</v>
      </c>
      <c r="BR15" s="0" t="n">
        <v>3</v>
      </c>
      <c r="BV15" s="0" t="n">
        <v>78</v>
      </c>
      <c r="BY15" s="0" t="n">
        <v>2</v>
      </c>
      <c r="CA15" s="0" t="n">
        <v>8597</v>
      </c>
      <c r="CB15" s="0" t="n">
        <v>2</v>
      </c>
      <c r="CE15" s="0" t="n">
        <v>834</v>
      </c>
      <c r="CF15" s="0" t="n">
        <v>1</v>
      </c>
    </row>
    <row r="16" customFormat="false" ht="13.2" hidden="false" customHeight="false" outlineLevel="0" collapsed="false">
      <c r="A16" s="0" t="n">
        <v>2005</v>
      </c>
      <c r="B16" s="0" t="n">
        <v>2</v>
      </c>
      <c r="D16" s="0" t="n">
        <v>10</v>
      </c>
      <c r="F16" s="0" t="n">
        <v>2</v>
      </c>
      <c r="H16" s="0" t="n">
        <v>1620</v>
      </c>
      <c r="I16" s="0" t="n">
        <v>1</v>
      </c>
      <c r="K16" s="0" t="n">
        <v>63</v>
      </c>
      <c r="M16" s="0" t="n">
        <v>25829</v>
      </c>
      <c r="P16" s="0" t="n">
        <v>1080</v>
      </c>
      <c r="R16" s="0" t="n">
        <v>8744</v>
      </c>
      <c r="S16" s="0" t="n">
        <v>5</v>
      </c>
      <c r="U16" s="0" t="n">
        <v>101</v>
      </c>
      <c r="V16" s="0" t="n">
        <v>429</v>
      </c>
      <c r="Y16" s="0" t="n">
        <v>232</v>
      </c>
      <c r="AA16" s="0" t="n">
        <v>906</v>
      </c>
      <c r="AD16" s="0" t="n">
        <v>2421</v>
      </c>
      <c r="AF16" s="0" t="n">
        <v>11361</v>
      </c>
      <c r="AG16" s="0" t="n">
        <v>4</v>
      </c>
      <c r="AH16" s="0" t="n">
        <v>1</v>
      </c>
      <c r="AI16" s="0" t="n">
        <v>3215</v>
      </c>
      <c r="AK16" s="0" t="n">
        <v>65</v>
      </c>
      <c r="AM16" s="0" t="n">
        <v>673</v>
      </c>
      <c r="AN16" s="0" t="n">
        <v>1</v>
      </c>
      <c r="AO16" s="0" t="n">
        <v>8</v>
      </c>
      <c r="AP16" s="0" t="n">
        <v>151</v>
      </c>
      <c r="AS16" s="0" t="n">
        <v>114</v>
      </c>
      <c r="AT16" s="0" t="n">
        <v>2</v>
      </c>
      <c r="AU16" s="0" t="n">
        <v>228</v>
      </c>
      <c r="AV16" s="0" t="n">
        <v>2</v>
      </c>
      <c r="AW16" s="0" t="n">
        <v>45</v>
      </c>
      <c r="AY16" s="0" t="n">
        <v>3</v>
      </c>
      <c r="BA16" s="0" t="n">
        <v>13</v>
      </c>
      <c r="BB16" s="0" t="n">
        <v>13</v>
      </c>
      <c r="BD16" s="0" t="n">
        <v>107</v>
      </c>
      <c r="BE16" s="0" t="n">
        <v>89</v>
      </c>
      <c r="BF16" s="0" t="n">
        <v>17</v>
      </c>
      <c r="BG16" s="0" t="n">
        <v>49</v>
      </c>
      <c r="BH16" s="0" t="n">
        <v>30</v>
      </c>
      <c r="BI16" s="0" t="n">
        <v>1</v>
      </c>
      <c r="BJ16" s="0" t="n">
        <v>368.9</v>
      </c>
      <c r="BK16" s="0" t="n">
        <v>0.85</v>
      </c>
      <c r="BL16" s="0" t="n">
        <v>901.000000000001</v>
      </c>
      <c r="BM16" s="0" t="n">
        <v>9.35</v>
      </c>
      <c r="BN16" s="0" t="n">
        <v>0.85</v>
      </c>
      <c r="BP16" s="0" t="n">
        <v>267</v>
      </c>
      <c r="BQ16" s="0" t="n">
        <v>0.6</v>
      </c>
      <c r="BR16" s="0" t="n">
        <v>11.7</v>
      </c>
      <c r="BV16" s="0" t="n">
        <v>55</v>
      </c>
      <c r="CA16" s="0" t="n">
        <v>8126</v>
      </c>
      <c r="CB16" s="0" t="n">
        <v>2</v>
      </c>
      <c r="CE16" s="0" t="n">
        <v>1079</v>
      </c>
      <c r="CH16" s="0" t="n">
        <v>1</v>
      </c>
    </row>
    <row r="17" customFormat="false" ht="13.2" hidden="false" customHeight="false" outlineLevel="0" collapsed="false">
      <c r="A17" s="0" t="n">
        <v>2004</v>
      </c>
      <c r="B17" s="0" t="n">
        <v>1</v>
      </c>
      <c r="D17" s="0" t="n">
        <v>10</v>
      </c>
      <c r="H17" s="0" t="n">
        <v>322</v>
      </c>
      <c r="K17" s="0" t="n">
        <v>46</v>
      </c>
      <c r="M17" s="0" t="n">
        <v>17829</v>
      </c>
      <c r="P17" s="0" t="n">
        <v>666</v>
      </c>
      <c r="R17" s="0" t="n">
        <v>7739</v>
      </c>
      <c r="U17" s="0" t="n">
        <v>112</v>
      </c>
      <c r="V17" s="0" t="n">
        <v>763</v>
      </c>
      <c r="Y17" s="0" t="n">
        <v>296</v>
      </c>
      <c r="AA17" s="0" t="n">
        <v>171</v>
      </c>
      <c r="AD17" s="0" t="n">
        <v>2084</v>
      </c>
      <c r="AF17" s="0" t="n">
        <v>10904</v>
      </c>
      <c r="AG17" s="0" t="n">
        <v>2</v>
      </c>
      <c r="AI17" s="0" t="n">
        <v>2494</v>
      </c>
      <c r="AK17" s="0" t="n">
        <v>58</v>
      </c>
      <c r="AM17" s="0" t="n">
        <v>710</v>
      </c>
      <c r="AO17" s="0" t="n">
        <v>12</v>
      </c>
      <c r="AP17" s="0" t="n">
        <v>66</v>
      </c>
      <c r="AS17" s="0" t="n">
        <v>178</v>
      </c>
      <c r="AT17" s="0" t="n">
        <v>4</v>
      </c>
      <c r="AU17" s="0" t="n">
        <v>112</v>
      </c>
      <c r="AV17" s="0" t="n">
        <v>2</v>
      </c>
      <c r="AW17" s="0" t="n">
        <v>34</v>
      </c>
      <c r="AX17" s="0" t="n">
        <v>1</v>
      </c>
      <c r="AY17" s="0" t="n">
        <v>3</v>
      </c>
      <c r="BA17" s="0" t="n">
        <v>6</v>
      </c>
      <c r="BB17" s="0" t="n">
        <v>3</v>
      </c>
      <c r="BD17" s="0" t="n">
        <v>74</v>
      </c>
      <c r="BE17" s="0" t="n">
        <v>55</v>
      </c>
      <c r="BF17" s="0" t="n">
        <v>20</v>
      </c>
      <c r="BG17" s="0" t="n">
        <v>25</v>
      </c>
      <c r="BH17" s="0" t="n">
        <v>5</v>
      </c>
      <c r="BJ17" s="0" t="n">
        <v>238.85</v>
      </c>
      <c r="BL17" s="0" t="n">
        <v>994.5</v>
      </c>
      <c r="BM17" s="0" t="n">
        <v>10.2</v>
      </c>
      <c r="BN17" s="0" t="n">
        <v>25.5</v>
      </c>
      <c r="BP17" s="0" t="n">
        <v>237.75</v>
      </c>
      <c r="BQ17" s="0" t="n">
        <v>0.6</v>
      </c>
      <c r="BR17" s="0" t="n">
        <v>21.75</v>
      </c>
      <c r="BS17" s="0" t="n">
        <v>0.15</v>
      </c>
      <c r="BV17" s="0" t="n">
        <v>30</v>
      </c>
      <c r="CA17" s="0" t="n">
        <v>3843</v>
      </c>
      <c r="CB17" s="0" t="n">
        <v>1</v>
      </c>
      <c r="CE17" s="0" t="n">
        <v>494</v>
      </c>
    </row>
    <row r="18" customFormat="false" ht="13.2" hidden="false" customHeight="false" outlineLevel="0" collapsed="false">
      <c r="P18" s="0" t="n">
        <v>86</v>
      </c>
      <c r="R18" s="0" t="n">
        <v>5891</v>
      </c>
      <c r="U18" s="0" t="n">
        <v>175</v>
      </c>
      <c r="V18" s="0" t="n">
        <v>725</v>
      </c>
      <c r="Y18" s="0" t="n">
        <v>208</v>
      </c>
      <c r="AA18" s="0" t="n">
        <v>190</v>
      </c>
      <c r="AD18" s="0" t="n">
        <v>1876</v>
      </c>
      <c r="AE18" s="0" t="n">
        <v>1</v>
      </c>
      <c r="AF18" s="0" t="n">
        <v>8886</v>
      </c>
      <c r="AI18" s="0" t="n">
        <v>1988</v>
      </c>
      <c r="AK18" s="0" t="n">
        <v>63</v>
      </c>
      <c r="AM18" s="0" t="n">
        <v>497</v>
      </c>
      <c r="AO18" s="0" t="n">
        <v>10</v>
      </c>
      <c r="AP18" s="0" t="n">
        <v>32</v>
      </c>
      <c r="AS18" s="0" t="n">
        <v>109</v>
      </c>
      <c r="AT18" s="0" t="n">
        <v>1</v>
      </c>
      <c r="AU18" s="0" t="n">
        <v>76</v>
      </c>
      <c r="AV18" s="0" t="n">
        <v>1</v>
      </c>
      <c r="AW18" s="0" t="n">
        <v>14</v>
      </c>
      <c r="AX18" s="0" t="n">
        <v>1</v>
      </c>
      <c r="AY18" s="0" t="n">
        <v>2</v>
      </c>
      <c r="BA18" s="0" t="n">
        <v>4</v>
      </c>
      <c r="BB18" s="0" t="n">
        <v>1</v>
      </c>
      <c r="BD18" s="0" t="n">
        <v>61</v>
      </c>
      <c r="BE18" s="0" t="n">
        <v>29</v>
      </c>
      <c r="BF18" s="0" t="n">
        <v>19</v>
      </c>
      <c r="BG18" s="0" t="n">
        <v>12</v>
      </c>
      <c r="BH18" s="0" t="n">
        <v>4</v>
      </c>
      <c r="BJ18" s="0" t="n">
        <v>87.55</v>
      </c>
      <c r="BL18" s="0" t="n">
        <v>957.1</v>
      </c>
      <c r="BM18" s="0" t="n">
        <v>11.05</v>
      </c>
      <c r="BN18" s="0" t="n">
        <v>29.75</v>
      </c>
      <c r="BO18" s="0" t="n">
        <v>0.85</v>
      </c>
      <c r="BP18" s="0" t="n">
        <v>79.0500000000001</v>
      </c>
      <c r="BQ18" s="0" t="n">
        <v>0.15</v>
      </c>
      <c r="BR18" s="0" t="n">
        <v>3</v>
      </c>
      <c r="BV18" s="0" t="n">
        <v>19</v>
      </c>
      <c r="CA18" s="0" t="n">
        <v>3085</v>
      </c>
      <c r="CB18" s="0" t="n">
        <v>2</v>
      </c>
      <c r="CE18" s="0" t="n">
        <v>449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9.35"/>
    <col collapsed="false" customWidth="true" hidden="false" outlineLevel="0" max="3" min="3" style="0" width="11.19"/>
    <col collapsed="false" customWidth="true" hidden="false" outlineLevel="0" max="4" min="4" style="0" width="12.31"/>
    <col collapsed="false" customWidth="true" hidden="false" outlineLevel="0" max="5" min="5" style="0" width="9.44"/>
    <col collapsed="false" customWidth="true" hidden="false" outlineLevel="0" max="6" min="6" style="0" width="9.35"/>
    <col collapsed="false" customWidth="true" hidden="false" outlineLevel="0" max="7" min="7" style="0" width="11.19"/>
    <col collapsed="false" customWidth="true" hidden="false" outlineLevel="0" max="8" min="8" style="0" width="12.31"/>
    <col collapsed="false" customWidth="true" hidden="false" outlineLevel="0" max="9" min="9" style="0" width="9.44"/>
    <col collapsed="false" customWidth="true" hidden="false" outlineLevel="0" max="10" min="10" style="0" width="8.33"/>
    <col collapsed="false" customWidth="true" hidden="false" outlineLevel="0" max="11" min="11" style="0" width="12.22"/>
    <col collapsed="false" customWidth="true" hidden="false" outlineLevel="0" max="12" min="12" style="0" width="12.31"/>
    <col collapsed="false" customWidth="true" hidden="false" outlineLevel="0" max="13" min="13" style="0" width="14.16"/>
    <col collapsed="false" customWidth="true" hidden="false" outlineLevel="0" max="14" min="14" style="0" width="8.61"/>
    <col collapsed="false" customWidth="true" hidden="false" outlineLevel="0" max="15" min="15" style="0" width="8.98"/>
    <col collapsed="false" customWidth="true" hidden="false" outlineLevel="0" max="16" min="16" style="0" width="9.35"/>
    <col collapsed="false" customWidth="true" hidden="false" outlineLevel="0" max="17" min="17" style="0" width="8.61"/>
    <col collapsed="false" customWidth="true" hidden="false" outlineLevel="0" max="18" min="18" style="0" width="8.98"/>
    <col collapsed="false" customWidth="true" hidden="false" outlineLevel="0" max="19" min="19" style="0" width="9.35"/>
    <col collapsed="false" customWidth="true" hidden="false" outlineLevel="0" max="20" min="20" style="0" width="9.16"/>
    <col collapsed="false" customWidth="true" hidden="false" outlineLevel="0" max="21" min="21" style="0" width="7.31"/>
    <col collapsed="false" customWidth="true" hidden="false" outlineLevel="0" max="22" min="22" style="0" width="14.08"/>
    <col collapsed="false" customWidth="true" hidden="false" outlineLevel="0" max="23" min="23" style="0" width="16.6"/>
    <col collapsed="false" customWidth="true" hidden="false" outlineLevel="0" max="29" min="24" style="0" width="17.4"/>
    <col collapsed="false" customWidth="true" hidden="false" outlineLevel="0" max="30" min="30" style="0" width="14.88"/>
    <col collapsed="false" customWidth="true" hidden="false" outlineLevel="0" max="31" min="31" style="0" width="14.08"/>
    <col collapsed="false" customWidth="true" hidden="false" outlineLevel="0" max="32" min="32" style="0" width="16.6"/>
    <col collapsed="false" customWidth="true" hidden="false" outlineLevel="0" max="38" min="33" style="0" width="17.4"/>
    <col collapsed="false" customWidth="true" hidden="false" outlineLevel="0" max="39" min="39" style="0" width="14.88"/>
    <col collapsed="false" customWidth="true" hidden="false" outlineLevel="0" max="45" min="40" style="0" width="17.21"/>
    <col collapsed="false" customWidth="true" hidden="false" outlineLevel="0" max="46" min="46" style="0" width="12.5"/>
    <col collapsed="false" customWidth="true" hidden="false" outlineLevel="0" max="47" min="47" style="0" width="11.94"/>
    <col collapsed="false" customWidth="true" hidden="false" outlineLevel="0" max="48" min="48" style="0" width="14.43"/>
    <col collapsed="false" customWidth="true" hidden="false" outlineLevel="0" max="50" min="49" style="0" width="11.94"/>
    <col collapsed="false" customWidth="true" hidden="false" outlineLevel="0" max="51" min="51" style="0" width="14.43"/>
    <col collapsed="false" customWidth="true" hidden="false" outlineLevel="0" max="52" min="52" style="0" width="11.94"/>
    <col collapsed="false" customWidth="true" hidden="false" outlineLevel="0" max="56" min="53" style="0" width="15.28"/>
    <col collapsed="false" customWidth="true" hidden="false" outlineLevel="0" max="57" min="57" style="0" width="12.96"/>
    <col collapsed="false" customWidth="true" hidden="false" outlineLevel="0" max="58" min="58" style="0" width="9.35"/>
    <col collapsed="false" customWidth="true" hidden="false" outlineLevel="0" max="59" min="59" style="0" width="10.84"/>
    <col collapsed="false" customWidth="true" hidden="false" outlineLevel="0" max="60" min="60" style="0" width="14.16"/>
    <col collapsed="false" customWidth="true" hidden="false" outlineLevel="0" max="61" min="61" style="0" width="15"/>
    <col collapsed="false" customWidth="true" hidden="false" outlineLevel="0" max="62" min="62" style="0" width="11.64"/>
    <col collapsed="false" customWidth="true" hidden="false" outlineLevel="0" max="63" min="63" style="0" width="8.52"/>
  </cols>
  <sheetData>
    <row r="1" customFormat="false" ht="12.8" hidden="false" customHeight="false" outlineLevel="0" collapsed="false">
      <c r="A1" s="18" t="s">
        <v>232</v>
      </c>
      <c r="B1" s="42" t="str">
        <f aca="false">metadata!B2</f>
        <v>PC_MINI_G</v>
      </c>
      <c r="C1" s="42" t="str">
        <f aca="false">metadata!B3</f>
        <v>PC_SMALL_G</v>
      </c>
      <c r="D1" s="42" t="str">
        <f aca="false">metadata!B4</f>
        <v>PC_MEDIUM_G</v>
      </c>
      <c r="E1" s="42" t="str">
        <f aca="false">metadata!B5</f>
        <v>PC_SUV_G</v>
      </c>
      <c r="F1" s="42" t="str">
        <f aca="false">metadata!B6</f>
        <v>PC_MINI_D</v>
      </c>
      <c r="G1" s="42" t="str">
        <f aca="false">metadata!B7</f>
        <v>PC_SMALL_D</v>
      </c>
      <c r="H1" s="42" t="str">
        <f aca="false">metadata!B8</f>
        <v>PC_MEDIUM_D</v>
      </c>
      <c r="I1" s="42" t="str">
        <f aca="false">metadata!B9</f>
        <v>PC_SUV_D</v>
      </c>
      <c r="J1" s="42" t="str">
        <f aca="false">metadata!B10</f>
        <v>PC_ELEC</v>
      </c>
      <c r="K1" s="42" t="str">
        <f aca="false">metadata!B11</f>
        <v>PC_SMALL_HY</v>
      </c>
      <c r="L1" s="42" t="str">
        <f aca="false">metadata!B12</f>
        <v>TAXI_SMALL_G</v>
      </c>
      <c r="M1" s="42" t="str">
        <f aca="false">metadata!B13</f>
        <v>TAXI_SMALL_GLP</v>
      </c>
      <c r="N1" s="42" t="str">
        <f aca="false">metadata!B14</f>
        <v>LCV_NI_G</v>
      </c>
      <c r="O1" s="42" t="str">
        <f aca="false">metadata!B15</f>
        <v>LCV_NII_G</v>
      </c>
      <c r="P1" s="42" t="str">
        <f aca="false">metadata!B16</f>
        <v>LCV_NIII_G</v>
      </c>
      <c r="Q1" s="42" t="str">
        <f aca="false">metadata!B17</f>
        <v>LCV_NI_D</v>
      </c>
      <c r="R1" s="42" t="str">
        <f aca="false">metadata!B18</f>
        <v>LCV_NII_D</v>
      </c>
      <c r="S1" s="42" t="str">
        <f aca="false">metadata!B19</f>
        <v>LCV_NIII_D</v>
      </c>
      <c r="T1" s="42" t="str">
        <f aca="false">metadata!B20</f>
        <v>LCV_ELEC</v>
      </c>
      <c r="U1" s="42" t="str">
        <f aca="false">metadata!B21</f>
        <v>LCV_HY</v>
      </c>
      <c r="V1" s="42" t="str">
        <f aca="false">metadata!B22</f>
        <v>TRUCKS_RT_7_D</v>
      </c>
      <c r="W1" s="42" t="str">
        <f aca="false">metadata!B23</f>
        <v>TRUCKS_RT_7_12_D</v>
      </c>
      <c r="X1" s="42" t="str">
        <f aca="false">metadata!B24</f>
        <v>TRUCKS_RT_12_14_D</v>
      </c>
      <c r="Y1" s="42" t="str">
        <f aca="false">metadata!B25</f>
        <v>TRUCKS_RT_14_16_D</v>
      </c>
      <c r="Z1" s="42" t="str">
        <f aca="false">metadata!B26</f>
        <v>TRUCKS_RT_16_20_D</v>
      </c>
      <c r="AA1" s="42" t="str">
        <f aca="false">metadata!B27</f>
        <v>TRUCKS_RT_20_26_D</v>
      </c>
      <c r="AB1" s="42" t="str">
        <f aca="false">metadata!B28</f>
        <v>TRUCKS_RT_26_28_D</v>
      </c>
      <c r="AC1" s="42" t="str">
        <f aca="false">metadata!B29</f>
        <v>TRUCKS_RT_28_32_D</v>
      </c>
      <c r="AD1" s="43" t="str">
        <f aca="false">metadata!B30</f>
        <v>TRUCKS_RT_32_D</v>
      </c>
      <c r="AE1" s="43" t="str">
        <f aca="false">metadata!B31</f>
        <v>TRUCKS_RT_7_G</v>
      </c>
      <c r="AF1" s="43" t="str">
        <f aca="false">metadata!B32</f>
        <v>TRUCKS_RT_7_12_G</v>
      </c>
      <c r="AG1" s="43" t="str">
        <f aca="false">metadata!B33</f>
        <v>TRUCKS_RT_12_14_G</v>
      </c>
      <c r="AH1" s="43" t="str">
        <f aca="false">metadata!B34</f>
        <v>TRUCKS_RT_14_16_G</v>
      </c>
      <c r="AI1" s="43" t="str">
        <f aca="false">metadata!B35</f>
        <v>TRUCKS_RT_16_20_G</v>
      </c>
      <c r="AJ1" s="43" t="str">
        <f aca="false">metadata!B36</f>
        <v>TRUCKS_RT_20_26_G</v>
      </c>
      <c r="AK1" s="43" t="str">
        <f aca="false">metadata!B37</f>
        <v>TRUCKS_RT_26_28_G</v>
      </c>
      <c r="AL1" s="43" t="str">
        <f aca="false">metadata!B38</f>
        <v>TRUCKS_RT_28_32_G</v>
      </c>
      <c r="AM1" s="43" t="str">
        <f aca="false">metadata!B39</f>
        <v>TRUCKS_RT_32_G</v>
      </c>
      <c r="AN1" s="43" t="str">
        <f aca="false">metadata!B40</f>
        <v>TRUCKS_AT_16_20_D</v>
      </c>
      <c r="AO1" s="42" t="str">
        <f aca="false">metadata!B41</f>
        <v>TRUCKS_AT_20_28_D</v>
      </c>
      <c r="AP1" s="42" t="str">
        <f aca="false">metadata!B42</f>
        <v>TRUCKS_AT_28_34_D</v>
      </c>
      <c r="AQ1" s="43" t="str">
        <f aca="false">metadata!B43</f>
        <v>TRUCKS_AT_34_40_D</v>
      </c>
      <c r="AR1" s="43" t="str">
        <f aca="false">metadata!B44</f>
        <v>TRUCKS_AT_40_50_D</v>
      </c>
      <c r="AS1" s="43" t="str">
        <f aca="false">metadata!B45</f>
        <v>TRUCKS_AT_50_60_D</v>
      </c>
      <c r="AT1" s="43" t="str">
        <f aca="false">metadata!B46</f>
        <v>TRUCKS_ELEC</v>
      </c>
      <c r="AU1" s="43" t="str">
        <f aca="false">metadata!B47</f>
        <v>BUS_UB_15_D</v>
      </c>
      <c r="AV1" s="43" t="str">
        <f aca="false">metadata!B48</f>
        <v>BUS_UB_15_18_D</v>
      </c>
      <c r="AW1" s="43" t="str">
        <f aca="false">metadata!B49</f>
        <v>BUS_UB_18_D</v>
      </c>
      <c r="AX1" s="43" t="str">
        <f aca="false">metadata!B50</f>
        <v>BUS_UB_15_G</v>
      </c>
      <c r="AY1" s="43" t="str">
        <f aca="false">metadata!B51</f>
        <v>BUS_UB_15_18_G</v>
      </c>
      <c r="AZ1" s="43" t="str">
        <f aca="false">metadata!B52</f>
        <v>BUS_UB_18_G</v>
      </c>
      <c r="BA1" s="43" t="str">
        <f aca="false">metadata!B53</f>
        <v>BUS_COACH_17_D</v>
      </c>
      <c r="BB1" s="43" t="str">
        <f aca="false">metadata!B54</f>
        <v>BUS_COACH_18_D</v>
      </c>
      <c r="BC1" s="43" t="str">
        <f aca="false">metadata!B55</f>
        <v>BUS_COACH_17_G</v>
      </c>
      <c r="BD1" s="43" t="str">
        <f aca="false">metadata!B56</f>
        <v>BUS_COACH_18_G</v>
      </c>
      <c r="BE1" s="43" t="str">
        <f aca="false">metadata!B57</f>
        <v>BUS_UB_15_HY</v>
      </c>
      <c r="BF1" s="43" t="str">
        <f aca="false">metadata!B58</f>
        <v>BUS_ELEC</v>
      </c>
      <c r="BG1" s="43" t="str">
        <f aca="false">metadata!B59</f>
        <v>MC_2S_50_G</v>
      </c>
      <c r="BH1" s="43" t="str">
        <f aca="false">metadata!B60</f>
        <v>MC_4S_50_250_G</v>
      </c>
      <c r="BI1" s="43" t="str">
        <f aca="false">metadata!B61</f>
        <v>MC_4S_250_750_G</v>
      </c>
      <c r="BJ1" s="43" t="str">
        <f aca="false">metadata!B62</f>
        <v>MC_4S_750_G</v>
      </c>
      <c r="BK1" s="43" t="str">
        <f aca="false">metadata!B63</f>
        <v>MC_ELEC</v>
      </c>
    </row>
    <row r="2" customFormat="false" ht="12.8" hidden="false" customHeight="false" outlineLevel="0" collapsed="false">
      <c r="A2" s="0" t="n">
        <v>2017</v>
      </c>
      <c r="B2" s="44" t="n">
        <v>0.771394397715873</v>
      </c>
      <c r="C2" s="44" t="n">
        <f aca="false">B2</f>
        <v>0.771394397715873</v>
      </c>
      <c r="D2" s="44" t="n">
        <f aca="false">C2</f>
        <v>0.771394397715873</v>
      </c>
      <c r="E2" s="44" t="n">
        <f aca="false">D2</f>
        <v>0.771394397715873</v>
      </c>
      <c r="F2" s="44" t="n">
        <v>1</v>
      </c>
      <c r="G2" s="44" t="n">
        <f aca="false">F2</f>
        <v>1</v>
      </c>
      <c r="H2" s="44" t="n">
        <f aca="false">G2</f>
        <v>1</v>
      </c>
      <c r="I2" s="44" t="n">
        <f aca="false">H2</f>
        <v>1</v>
      </c>
      <c r="J2" s="44" t="n">
        <f aca="false">I2</f>
        <v>1</v>
      </c>
      <c r="K2" s="44" t="n">
        <f aca="false">J2</f>
        <v>1</v>
      </c>
      <c r="L2" s="44" t="n">
        <f aca="false">B2</f>
        <v>0.771394397715873</v>
      </c>
      <c r="M2" s="44" t="n">
        <f aca="false">L2</f>
        <v>0.771394397715873</v>
      </c>
      <c r="N2" s="44" t="n">
        <f aca="false">M2</f>
        <v>0.771394397715873</v>
      </c>
      <c r="O2" s="44" t="n">
        <f aca="false">N2</f>
        <v>0.771394397715873</v>
      </c>
      <c r="P2" s="44" t="n">
        <f aca="false">O2</f>
        <v>0.771394397715873</v>
      </c>
      <c r="Q2" s="44" t="n">
        <v>1</v>
      </c>
      <c r="R2" s="44" t="n">
        <f aca="false">Q2</f>
        <v>1</v>
      </c>
      <c r="S2" s="44" t="n">
        <f aca="false">R2</f>
        <v>1</v>
      </c>
      <c r="T2" s="44" t="n">
        <f aca="false">S2</f>
        <v>1</v>
      </c>
      <c r="U2" s="44" t="n">
        <f aca="false">T2</f>
        <v>1</v>
      </c>
      <c r="V2" s="44" t="n">
        <f aca="false">U2</f>
        <v>1</v>
      </c>
      <c r="W2" s="44" t="n">
        <f aca="false">V2</f>
        <v>1</v>
      </c>
      <c r="X2" s="44" t="n">
        <f aca="false">W2</f>
        <v>1</v>
      </c>
      <c r="Y2" s="44" t="n">
        <f aca="false">X2</f>
        <v>1</v>
      </c>
      <c r="Z2" s="44" t="n">
        <f aca="false">Y2</f>
        <v>1</v>
      </c>
      <c r="AA2" s="44" t="n">
        <f aca="false">Z2</f>
        <v>1</v>
      </c>
      <c r="AB2" s="44" t="n">
        <f aca="false">AA2</f>
        <v>1</v>
      </c>
      <c r="AC2" s="44" t="n">
        <f aca="false">AB2</f>
        <v>1</v>
      </c>
      <c r="AD2" s="44" t="n">
        <f aca="false">AC2</f>
        <v>1</v>
      </c>
      <c r="AE2" s="44" t="n">
        <f aca="false">B2</f>
        <v>0.771394397715873</v>
      </c>
      <c r="AF2" s="44" t="n">
        <f aca="false">AE2</f>
        <v>0.771394397715873</v>
      </c>
      <c r="AG2" s="44" t="n">
        <f aca="false">AF2</f>
        <v>0.771394397715873</v>
      </c>
      <c r="AH2" s="44" t="n">
        <f aca="false">AG2</f>
        <v>0.771394397715873</v>
      </c>
      <c r="AI2" s="44" t="n">
        <f aca="false">AH2</f>
        <v>0.771394397715873</v>
      </c>
      <c r="AJ2" s="44" t="n">
        <f aca="false">AI2</f>
        <v>0.771394397715873</v>
      </c>
      <c r="AK2" s="44" t="n">
        <f aca="false">AJ2</f>
        <v>0.771394397715873</v>
      </c>
      <c r="AL2" s="44" t="n">
        <f aca="false">AK2</f>
        <v>0.771394397715873</v>
      </c>
      <c r="AM2" s="44" t="n">
        <f aca="false">AL2</f>
        <v>0.771394397715873</v>
      </c>
      <c r="AN2" s="44" t="n">
        <v>1</v>
      </c>
      <c r="AO2" s="44" t="n">
        <f aca="false">AN2</f>
        <v>1</v>
      </c>
      <c r="AP2" s="44" t="n">
        <f aca="false">AO2</f>
        <v>1</v>
      </c>
      <c r="AQ2" s="44" t="n">
        <f aca="false">AP2</f>
        <v>1</v>
      </c>
      <c r="AR2" s="44" t="n">
        <f aca="false">AQ2</f>
        <v>1</v>
      </c>
      <c r="AS2" s="44" t="n">
        <f aca="false">AR2</f>
        <v>1</v>
      </c>
      <c r="AT2" s="44" t="n">
        <f aca="false">AS2</f>
        <v>1</v>
      </c>
      <c r="AU2" s="44" t="n">
        <f aca="false">AT2</f>
        <v>1</v>
      </c>
      <c r="AV2" s="44" t="n">
        <f aca="false">AU2</f>
        <v>1</v>
      </c>
      <c r="AW2" s="44" t="n">
        <f aca="false">AV2</f>
        <v>1</v>
      </c>
      <c r="AX2" s="44" t="n">
        <f aca="false">B2</f>
        <v>0.771394397715873</v>
      </c>
      <c r="AY2" s="44" t="n">
        <f aca="false">AX2</f>
        <v>0.771394397715873</v>
      </c>
      <c r="AZ2" s="44" t="n">
        <f aca="false">AY2</f>
        <v>0.771394397715873</v>
      </c>
      <c r="BA2" s="44" t="n">
        <v>1</v>
      </c>
      <c r="BB2" s="44" t="n">
        <f aca="false">BA2</f>
        <v>1</v>
      </c>
      <c r="BC2" s="44" t="n">
        <f aca="false">AZ2</f>
        <v>0.771394397715873</v>
      </c>
      <c r="BD2" s="44" t="n">
        <f aca="false">BC2</f>
        <v>0.771394397715873</v>
      </c>
      <c r="BE2" s="44" t="n">
        <v>1</v>
      </c>
      <c r="BF2" s="44" t="n">
        <v>1</v>
      </c>
      <c r="BG2" s="44" t="n">
        <f aca="false">BD2</f>
        <v>0.771394397715873</v>
      </c>
      <c r="BH2" s="44" t="n">
        <f aca="false">BG2</f>
        <v>0.771394397715873</v>
      </c>
      <c r="BI2" s="44" t="n">
        <f aca="false">BH2</f>
        <v>0.771394397715873</v>
      </c>
      <c r="BJ2" s="44" t="n">
        <f aca="false">BI2</f>
        <v>0.771394397715873</v>
      </c>
      <c r="BK2" s="44" t="n">
        <v>1</v>
      </c>
    </row>
    <row r="3" customFormat="false" ht="12.8" hidden="false" customHeight="false" outlineLevel="0" collapsed="false">
      <c r="A3" s="0" t="n">
        <f aca="false">A2-1</f>
        <v>2016</v>
      </c>
      <c r="B3" s="44" t="n">
        <v>0.83468576344486</v>
      </c>
      <c r="C3" s="44" t="n">
        <f aca="false">B3</f>
        <v>0.83468576344486</v>
      </c>
      <c r="D3" s="44" t="n">
        <f aca="false">C3</f>
        <v>0.83468576344486</v>
      </c>
      <c r="E3" s="44" t="n">
        <f aca="false">D3</f>
        <v>0.83468576344486</v>
      </c>
      <c r="F3" s="44" t="n">
        <v>1</v>
      </c>
      <c r="G3" s="44" t="n">
        <f aca="false">F3</f>
        <v>1</v>
      </c>
      <c r="H3" s="44" t="n">
        <f aca="false">G3</f>
        <v>1</v>
      </c>
      <c r="I3" s="44" t="n">
        <f aca="false">H3</f>
        <v>1</v>
      </c>
      <c r="J3" s="44" t="n">
        <f aca="false">I3</f>
        <v>1</v>
      </c>
      <c r="K3" s="44" t="n">
        <f aca="false">J3</f>
        <v>1</v>
      </c>
      <c r="L3" s="44" t="n">
        <f aca="false">B3</f>
        <v>0.83468576344486</v>
      </c>
      <c r="M3" s="44" t="n">
        <f aca="false">L3</f>
        <v>0.83468576344486</v>
      </c>
      <c r="N3" s="44" t="n">
        <f aca="false">M3</f>
        <v>0.83468576344486</v>
      </c>
      <c r="O3" s="44" t="n">
        <f aca="false">N3</f>
        <v>0.83468576344486</v>
      </c>
      <c r="P3" s="44" t="n">
        <f aca="false">O3</f>
        <v>0.83468576344486</v>
      </c>
      <c r="Q3" s="44" t="n">
        <v>1</v>
      </c>
      <c r="R3" s="44" t="n">
        <f aca="false">Q3</f>
        <v>1</v>
      </c>
      <c r="S3" s="44" t="n">
        <f aca="false">R3</f>
        <v>1</v>
      </c>
      <c r="T3" s="44" t="n">
        <f aca="false">S3</f>
        <v>1</v>
      </c>
      <c r="U3" s="44" t="n">
        <f aca="false">T3</f>
        <v>1</v>
      </c>
      <c r="V3" s="44" t="n">
        <f aca="false">U3</f>
        <v>1</v>
      </c>
      <c r="W3" s="44" t="n">
        <f aca="false">V3</f>
        <v>1</v>
      </c>
      <c r="X3" s="44" t="n">
        <f aca="false">W3</f>
        <v>1</v>
      </c>
      <c r="Y3" s="44" t="n">
        <f aca="false">X3</f>
        <v>1</v>
      </c>
      <c r="Z3" s="44" t="n">
        <f aca="false">Y3</f>
        <v>1</v>
      </c>
      <c r="AA3" s="44" t="n">
        <f aca="false">Z3</f>
        <v>1</v>
      </c>
      <c r="AB3" s="44" t="n">
        <f aca="false">AA3</f>
        <v>1</v>
      </c>
      <c r="AC3" s="44" t="n">
        <f aca="false">AB3</f>
        <v>1</v>
      </c>
      <c r="AD3" s="44" t="n">
        <f aca="false">AC3</f>
        <v>1</v>
      </c>
      <c r="AE3" s="44" t="n">
        <f aca="false">B3</f>
        <v>0.83468576344486</v>
      </c>
      <c r="AF3" s="44" t="n">
        <f aca="false">AE3</f>
        <v>0.83468576344486</v>
      </c>
      <c r="AG3" s="44" t="n">
        <f aca="false">AF3</f>
        <v>0.83468576344486</v>
      </c>
      <c r="AH3" s="44" t="n">
        <f aca="false">AG3</f>
        <v>0.83468576344486</v>
      </c>
      <c r="AI3" s="44" t="n">
        <f aca="false">AH3</f>
        <v>0.83468576344486</v>
      </c>
      <c r="AJ3" s="44" t="n">
        <f aca="false">AI3</f>
        <v>0.83468576344486</v>
      </c>
      <c r="AK3" s="44" t="n">
        <f aca="false">AJ3</f>
        <v>0.83468576344486</v>
      </c>
      <c r="AL3" s="44" t="n">
        <f aca="false">AK3</f>
        <v>0.83468576344486</v>
      </c>
      <c r="AM3" s="44" t="n">
        <f aca="false">AL3</f>
        <v>0.83468576344486</v>
      </c>
      <c r="AN3" s="44" t="n">
        <v>1</v>
      </c>
      <c r="AO3" s="44" t="n">
        <f aca="false">AN3</f>
        <v>1</v>
      </c>
      <c r="AP3" s="44" t="n">
        <f aca="false">AO3</f>
        <v>1</v>
      </c>
      <c r="AQ3" s="44" t="n">
        <f aca="false">AP3</f>
        <v>1</v>
      </c>
      <c r="AR3" s="44" t="n">
        <f aca="false">AQ3</f>
        <v>1</v>
      </c>
      <c r="AS3" s="44" t="n">
        <f aca="false">AR3</f>
        <v>1</v>
      </c>
      <c r="AT3" s="44" t="n">
        <f aca="false">AS3</f>
        <v>1</v>
      </c>
      <c r="AU3" s="44" t="n">
        <f aca="false">AT3</f>
        <v>1</v>
      </c>
      <c r="AV3" s="44" t="n">
        <f aca="false">AU3</f>
        <v>1</v>
      </c>
      <c r="AW3" s="44" t="n">
        <f aca="false">AV3</f>
        <v>1</v>
      </c>
      <c r="AX3" s="44" t="n">
        <f aca="false">B3</f>
        <v>0.83468576344486</v>
      </c>
      <c r="AY3" s="44" t="n">
        <f aca="false">AX3</f>
        <v>0.83468576344486</v>
      </c>
      <c r="AZ3" s="44" t="n">
        <f aca="false">AY3</f>
        <v>0.83468576344486</v>
      </c>
      <c r="BA3" s="44" t="n">
        <v>1</v>
      </c>
      <c r="BB3" s="44" t="n">
        <f aca="false">BA3</f>
        <v>1</v>
      </c>
      <c r="BC3" s="44" t="n">
        <f aca="false">AZ3</f>
        <v>0.83468576344486</v>
      </c>
      <c r="BD3" s="44" t="n">
        <f aca="false">BC3</f>
        <v>0.83468576344486</v>
      </c>
      <c r="BE3" s="44" t="n">
        <v>1</v>
      </c>
      <c r="BF3" s="44" t="n">
        <v>1</v>
      </c>
      <c r="BG3" s="44" t="n">
        <f aca="false">BD3</f>
        <v>0.83468576344486</v>
      </c>
      <c r="BH3" s="44" t="n">
        <f aca="false">BG3</f>
        <v>0.83468576344486</v>
      </c>
      <c r="BI3" s="44" t="n">
        <f aca="false">BH3</f>
        <v>0.83468576344486</v>
      </c>
      <c r="BJ3" s="44" t="n">
        <f aca="false">BI3</f>
        <v>0.83468576344486</v>
      </c>
      <c r="BK3" s="44" t="n">
        <v>1</v>
      </c>
    </row>
    <row r="4" customFormat="false" ht="12.8" hidden="false" customHeight="false" outlineLevel="0" collapsed="false">
      <c r="A4" s="0" t="n">
        <f aca="false">A3-1</f>
        <v>2015</v>
      </c>
      <c r="B4" s="44" t="n">
        <v>0.854604330454955</v>
      </c>
      <c r="C4" s="44" t="n">
        <f aca="false">B4</f>
        <v>0.854604330454955</v>
      </c>
      <c r="D4" s="44" t="n">
        <f aca="false">C4</f>
        <v>0.854604330454955</v>
      </c>
      <c r="E4" s="44" t="n">
        <f aca="false">D4</f>
        <v>0.854604330454955</v>
      </c>
      <c r="F4" s="44" t="n">
        <v>1</v>
      </c>
      <c r="G4" s="44" t="n">
        <f aca="false">F4</f>
        <v>1</v>
      </c>
      <c r="H4" s="44" t="n">
        <f aca="false">G4</f>
        <v>1</v>
      </c>
      <c r="I4" s="44" t="n">
        <f aca="false">H4</f>
        <v>1</v>
      </c>
      <c r="J4" s="44" t="n">
        <f aca="false">I4</f>
        <v>1</v>
      </c>
      <c r="K4" s="44" t="n">
        <f aca="false">J4</f>
        <v>1</v>
      </c>
      <c r="L4" s="44" t="n">
        <f aca="false">B4</f>
        <v>0.854604330454955</v>
      </c>
      <c r="M4" s="44" t="n">
        <f aca="false">L4</f>
        <v>0.854604330454955</v>
      </c>
      <c r="N4" s="44" t="n">
        <f aca="false">M4</f>
        <v>0.854604330454955</v>
      </c>
      <c r="O4" s="44" t="n">
        <f aca="false">N4</f>
        <v>0.854604330454955</v>
      </c>
      <c r="P4" s="44" t="n">
        <f aca="false">O4</f>
        <v>0.854604330454955</v>
      </c>
      <c r="Q4" s="44" t="n">
        <v>1</v>
      </c>
      <c r="R4" s="44" t="n">
        <f aca="false">Q4</f>
        <v>1</v>
      </c>
      <c r="S4" s="44" t="n">
        <f aca="false">R4</f>
        <v>1</v>
      </c>
      <c r="T4" s="44" t="n">
        <f aca="false">S4</f>
        <v>1</v>
      </c>
      <c r="U4" s="44" t="n">
        <f aca="false">T4</f>
        <v>1</v>
      </c>
      <c r="V4" s="44" t="n">
        <f aca="false">U4</f>
        <v>1</v>
      </c>
      <c r="W4" s="44" t="n">
        <f aca="false">V4</f>
        <v>1</v>
      </c>
      <c r="X4" s="44" t="n">
        <f aca="false">W4</f>
        <v>1</v>
      </c>
      <c r="Y4" s="44" t="n">
        <f aca="false">X4</f>
        <v>1</v>
      </c>
      <c r="Z4" s="44" t="n">
        <f aca="false">Y4</f>
        <v>1</v>
      </c>
      <c r="AA4" s="44" t="n">
        <f aca="false">Z4</f>
        <v>1</v>
      </c>
      <c r="AB4" s="44" t="n">
        <f aca="false">AA4</f>
        <v>1</v>
      </c>
      <c r="AC4" s="44" t="n">
        <f aca="false">AB4</f>
        <v>1</v>
      </c>
      <c r="AD4" s="44" t="n">
        <f aca="false">AC4</f>
        <v>1</v>
      </c>
      <c r="AE4" s="44" t="n">
        <f aca="false">B4</f>
        <v>0.854604330454955</v>
      </c>
      <c r="AF4" s="44" t="n">
        <f aca="false">AE4</f>
        <v>0.854604330454955</v>
      </c>
      <c r="AG4" s="44" t="n">
        <f aca="false">AF4</f>
        <v>0.854604330454955</v>
      </c>
      <c r="AH4" s="44" t="n">
        <f aca="false">AG4</f>
        <v>0.854604330454955</v>
      </c>
      <c r="AI4" s="44" t="n">
        <f aca="false">AH4</f>
        <v>0.854604330454955</v>
      </c>
      <c r="AJ4" s="44" t="n">
        <f aca="false">AI4</f>
        <v>0.854604330454955</v>
      </c>
      <c r="AK4" s="44" t="n">
        <f aca="false">AJ4</f>
        <v>0.854604330454955</v>
      </c>
      <c r="AL4" s="44" t="n">
        <f aca="false">AK4</f>
        <v>0.854604330454955</v>
      </c>
      <c r="AM4" s="44" t="n">
        <f aca="false">AL4</f>
        <v>0.854604330454955</v>
      </c>
      <c r="AN4" s="44" t="n">
        <v>1</v>
      </c>
      <c r="AO4" s="44" t="n">
        <f aca="false">AN4</f>
        <v>1</v>
      </c>
      <c r="AP4" s="44" t="n">
        <f aca="false">AO4</f>
        <v>1</v>
      </c>
      <c r="AQ4" s="44" t="n">
        <f aca="false">AP4</f>
        <v>1</v>
      </c>
      <c r="AR4" s="44" t="n">
        <f aca="false">AQ4</f>
        <v>1</v>
      </c>
      <c r="AS4" s="44" t="n">
        <f aca="false">AR4</f>
        <v>1</v>
      </c>
      <c r="AT4" s="44" t="n">
        <f aca="false">AS4</f>
        <v>1</v>
      </c>
      <c r="AU4" s="44" t="n">
        <f aca="false">AT4</f>
        <v>1</v>
      </c>
      <c r="AV4" s="44" t="n">
        <f aca="false">AU4</f>
        <v>1</v>
      </c>
      <c r="AW4" s="44" t="n">
        <f aca="false">AV4</f>
        <v>1</v>
      </c>
      <c r="AX4" s="44" t="n">
        <f aca="false">B4</f>
        <v>0.854604330454955</v>
      </c>
      <c r="AY4" s="44" t="n">
        <f aca="false">AX4</f>
        <v>0.854604330454955</v>
      </c>
      <c r="AZ4" s="44" t="n">
        <f aca="false">AY4</f>
        <v>0.854604330454955</v>
      </c>
      <c r="BA4" s="44" t="n">
        <v>1</v>
      </c>
      <c r="BB4" s="44" t="n">
        <f aca="false">BA4</f>
        <v>1</v>
      </c>
      <c r="BC4" s="44" t="n">
        <f aca="false">AZ4</f>
        <v>0.854604330454955</v>
      </c>
      <c r="BD4" s="44" t="n">
        <f aca="false">BC4</f>
        <v>0.854604330454955</v>
      </c>
      <c r="BE4" s="44" t="n">
        <v>1</v>
      </c>
      <c r="BF4" s="44" t="n">
        <v>1</v>
      </c>
      <c r="BG4" s="44" t="n">
        <f aca="false">BD4</f>
        <v>0.854604330454955</v>
      </c>
      <c r="BH4" s="44" t="n">
        <f aca="false">BG4</f>
        <v>0.854604330454955</v>
      </c>
      <c r="BI4" s="44" t="n">
        <f aca="false">BH4</f>
        <v>0.854604330454955</v>
      </c>
      <c r="BJ4" s="44" t="n">
        <f aca="false">BI4</f>
        <v>0.854604330454955</v>
      </c>
      <c r="BK4" s="44" t="n">
        <v>1</v>
      </c>
    </row>
    <row r="5" customFormat="false" ht="12.8" hidden="false" customHeight="false" outlineLevel="0" collapsed="false">
      <c r="A5" s="0" t="n">
        <f aca="false">A4-1</f>
        <v>2014</v>
      </c>
      <c r="B5" s="45" t="n">
        <v>0.859896087027115</v>
      </c>
      <c r="C5" s="44" t="n">
        <f aca="false">B5</f>
        <v>0.859896087027115</v>
      </c>
      <c r="D5" s="44" t="n">
        <f aca="false">C5</f>
        <v>0.859896087027115</v>
      </c>
      <c r="E5" s="44" t="n">
        <f aca="false">D5</f>
        <v>0.859896087027115</v>
      </c>
      <c r="F5" s="44" t="n">
        <v>1</v>
      </c>
      <c r="G5" s="44" t="n">
        <f aca="false">F5</f>
        <v>1</v>
      </c>
      <c r="H5" s="44" t="n">
        <f aca="false">G5</f>
        <v>1</v>
      </c>
      <c r="I5" s="44" t="n">
        <f aca="false">H5</f>
        <v>1</v>
      </c>
      <c r="J5" s="44" t="n">
        <f aca="false">I5</f>
        <v>1</v>
      </c>
      <c r="K5" s="44" t="n">
        <f aca="false">J5</f>
        <v>1</v>
      </c>
      <c r="L5" s="44" t="n">
        <f aca="false">B5</f>
        <v>0.859896087027115</v>
      </c>
      <c r="M5" s="44" t="n">
        <f aca="false">L5</f>
        <v>0.859896087027115</v>
      </c>
      <c r="N5" s="44" t="n">
        <f aca="false">M5</f>
        <v>0.859896087027115</v>
      </c>
      <c r="O5" s="44" t="n">
        <f aca="false">N5</f>
        <v>0.859896087027115</v>
      </c>
      <c r="P5" s="44" t="n">
        <f aca="false">O5</f>
        <v>0.859896087027115</v>
      </c>
      <c r="Q5" s="44" t="n">
        <v>1</v>
      </c>
      <c r="R5" s="44" t="n">
        <f aca="false">Q5</f>
        <v>1</v>
      </c>
      <c r="S5" s="44" t="n">
        <f aca="false">R5</f>
        <v>1</v>
      </c>
      <c r="T5" s="44" t="n">
        <f aca="false">S5</f>
        <v>1</v>
      </c>
      <c r="U5" s="44" t="n">
        <f aca="false">T5</f>
        <v>1</v>
      </c>
      <c r="V5" s="44" t="n">
        <f aca="false">U5</f>
        <v>1</v>
      </c>
      <c r="W5" s="44" t="n">
        <f aca="false">V5</f>
        <v>1</v>
      </c>
      <c r="X5" s="44" t="n">
        <f aca="false">W5</f>
        <v>1</v>
      </c>
      <c r="Y5" s="44" t="n">
        <f aca="false">X5</f>
        <v>1</v>
      </c>
      <c r="Z5" s="44" t="n">
        <f aca="false">Y5</f>
        <v>1</v>
      </c>
      <c r="AA5" s="44" t="n">
        <f aca="false">Z5</f>
        <v>1</v>
      </c>
      <c r="AB5" s="44" t="n">
        <f aca="false">AA5</f>
        <v>1</v>
      </c>
      <c r="AC5" s="44" t="n">
        <f aca="false">AB5</f>
        <v>1</v>
      </c>
      <c r="AD5" s="44" t="n">
        <f aca="false">AC5</f>
        <v>1</v>
      </c>
      <c r="AE5" s="44" t="n">
        <f aca="false">B5</f>
        <v>0.859896087027115</v>
      </c>
      <c r="AF5" s="44" t="n">
        <f aca="false">AE5</f>
        <v>0.859896087027115</v>
      </c>
      <c r="AG5" s="44" t="n">
        <f aca="false">AF5</f>
        <v>0.859896087027115</v>
      </c>
      <c r="AH5" s="44" t="n">
        <f aca="false">AG5</f>
        <v>0.859896087027115</v>
      </c>
      <c r="AI5" s="44" t="n">
        <f aca="false">AH5</f>
        <v>0.859896087027115</v>
      </c>
      <c r="AJ5" s="44" t="n">
        <f aca="false">AI5</f>
        <v>0.859896087027115</v>
      </c>
      <c r="AK5" s="44" t="n">
        <f aca="false">AJ5</f>
        <v>0.859896087027115</v>
      </c>
      <c r="AL5" s="44" t="n">
        <f aca="false">AK5</f>
        <v>0.859896087027115</v>
      </c>
      <c r="AM5" s="44" t="n">
        <f aca="false">AL5</f>
        <v>0.859896087027115</v>
      </c>
      <c r="AN5" s="44" t="n">
        <v>1</v>
      </c>
      <c r="AO5" s="44" t="n">
        <f aca="false">AN5</f>
        <v>1</v>
      </c>
      <c r="AP5" s="44" t="n">
        <f aca="false">AO5</f>
        <v>1</v>
      </c>
      <c r="AQ5" s="44" t="n">
        <f aca="false">AP5</f>
        <v>1</v>
      </c>
      <c r="AR5" s="44" t="n">
        <f aca="false">AQ5</f>
        <v>1</v>
      </c>
      <c r="AS5" s="44" t="n">
        <f aca="false">AR5</f>
        <v>1</v>
      </c>
      <c r="AT5" s="44" t="n">
        <f aca="false">AS5</f>
        <v>1</v>
      </c>
      <c r="AU5" s="44" t="n">
        <f aca="false">AT5</f>
        <v>1</v>
      </c>
      <c r="AV5" s="44" t="n">
        <f aca="false">AU5</f>
        <v>1</v>
      </c>
      <c r="AW5" s="44" t="n">
        <f aca="false">AV5</f>
        <v>1</v>
      </c>
      <c r="AX5" s="44" t="n">
        <f aca="false">B5</f>
        <v>0.859896087027115</v>
      </c>
      <c r="AY5" s="44" t="n">
        <f aca="false">AX5</f>
        <v>0.859896087027115</v>
      </c>
      <c r="AZ5" s="44" t="n">
        <f aca="false">AY5</f>
        <v>0.859896087027115</v>
      </c>
      <c r="BA5" s="44" t="n">
        <v>1</v>
      </c>
      <c r="BB5" s="44" t="n">
        <f aca="false">BA5</f>
        <v>1</v>
      </c>
      <c r="BC5" s="44" t="n">
        <f aca="false">AZ5</f>
        <v>0.859896087027115</v>
      </c>
      <c r="BD5" s="44" t="n">
        <f aca="false">BC5</f>
        <v>0.859896087027115</v>
      </c>
      <c r="BE5" s="44" t="n">
        <v>1</v>
      </c>
      <c r="BF5" s="44" t="n">
        <v>1</v>
      </c>
      <c r="BG5" s="44" t="n">
        <f aca="false">BD5</f>
        <v>0.859896087027115</v>
      </c>
      <c r="BH5" s="44" t="n">
        <f aca="false">BG5</f>
        <v>0.859896087027115</v>
      </c>
      <c r="BI5" s="44" t="n">
        <f aca="false">BH5</f>
        <v>0.859896087027115</v>
      </c>
      <c r="BJ5" s="44" t="n">
        <f aca="false">BI5</f>
        <v>0.859896087027115</v>
      </c>
      <c r="BK5" s="44" t="n">
        <v>1</v>
      </c>
    </row>
    <row r="6" customFormat="false" ht="12.8" hidden="false" customHeight="false" outlineLevel="0" collapsed="false">
      <c r="A6" s="0" t="n">
        <f aca="false">A5-1</f>
        <v>2013</v>
      </c>
      <c r="B6" s="45" t="n">
        <v>0.885863283614949</v>
      </c>
      <c r="C6" s="44" t="n">
        <f aca="false">B6</f>
        <v>0.885863283614949</v>
      </c>
      <c r="D6" s="44" t="n">
        <f aca="false">C6</f>
        <v>0.885863283614949</v>
      </c>
      <c r="E6" s="44" t="n">
        <f aca="false">D6</f>
        <v>0.885863283614949</v>
      </c>
      <c r="F6" s="44" t="n">
        <v>1</v>
      </c>
      <c r="G6" s="44" t="n">
        <f aca="false">F6</f>
        <v>1</v>
      </c>
      <c r="H6" s="44" t="n">
        <f aca="false">G6</f>
        <v>1</v>
      </c>
      <c r="I6" s="44" t="n">
        <f aca="false">H6</f>
        <v>1</v>
      </c>
      <c r="J6" s="44" t="n">
        <f aca="false">I6</f>
        <v>1</v>
      </c>
      <c r="K6" s="44" t="n">
        <f aca="false">J6</f>
        <v>1</v>
      </c>
      <c r="L6" s="44" t="n">
        <f aca="false">B6</f>
        <v>0.885863283614949</v>
      </c>
      <c r="M6" s="44" t="n">
        <f aca="false">L6</f>
        <v>0.885863283614949</v>
      </c>
      <c r="N6" s="44" t="n">
        <f aca="false">M6</f>
        <v>0.885863283614949</v>
      </c>
      <c r="O6" s="44" t="n">
        <f aca="false">N6</f>
        <v>0.885863283614949</v>
      </c>
      <c r="P6" s="44" t="n">
        <f aca="false">O6</f>
        <v>0.885863283614949</v>
      </c>
      <c r="Q6" s="44" t="n">
        <v>1</v>
      </c>
      <c r="R6" s="44" t="n">
        <f aca="false">Q6</f>
        <v>1</v>
      </c>
      <c r="S6" s="44" t="n">
        <f aca="false">R6</f>
        <v>1</v>
      </c>
      <c r="T6" s="44" t="n">
        <f aca="false">S6</f>
        <v>1</v>
      </c>
      <c r="U6" s="44" t="n">
        <f aca="false">T6</f>
        <v>1</v>
      </c>
      <c r="V6" s="44" t="n">
        <f aca="false">U6</f>
        <v>1</v>
      </c>
      <c r="W6" s="44" t="n">
        <f aca="false">V6</f>
        <v>1</v>
      </c>
      <c r="X6" s="44" t="n">
        <f aca="false">W6</f>
        <v>1</v>
      </c>
      <c r="Y6" s="44" t="n">
        <f aca="false">X6</f>
        <v>1</v>
      </c>
      <c r="Z6" s="44" t="n">
        <f aca="false">Y6</f>
        <v>1</v>
      </c>
      <c r="AA6" s="44" t="n">
        <f aca="false">Z6</f>
        <v>1</v>
      </c>
      <c r="AB6" s="44" t="n">
        <f aca="false">AA6</f>
        <v>1</v>
      </c>
      <c r="AC6" s="44" t="n">
        <f aca="false">AB6</f>
        <v>1</v>
      </c>
      <c r="AD6" s="44" t="n">
        <f aca="false">AC6</f>
        <v>1</v>
      </c>
      <c r="AE6" s="44" t="n">
        <f aca="false">B6</f>
        <v>0.885863283614949</v>
      </c>
      <c r="AF6" s="44" t="n">
        <f aca="false">AE6</f>
        <v>0.885863283614949</v>
      </c>
      <c r="AG6" s="44" t="n">
        <f aca="false">AF6</f>
        <v>0.885863283614949</v>
      </c>
      <c r="AH6" s="44" t="n">
        <f aca="false">AG6</f>
        <v>0.885863283614949</v>
      </c>
      <c r="AI6" s="44" t="n">
        <f aca="false">AH6</f>
        <v>0.885863283614949</v>
      </c>
      <c r="AJ6" s="44" t="n">
        <f aca="false">AI6</f>
        <v>0.885863283614949</v>
      </c>
      <c r="AK6" s="44" t="n">
        <f aca="false">AJ6</f>
        <v>0.885863283614949</v>
      </c>
      <c r="AL6" s="44" t="n">
        <f aca="false">AK6</f>
        <v>0.885863283614949</v>
      </c>
      <c r="AM6" s="44" t="n">
        <f aca="false">AL6</f>
        <v>0.885863283614949</v>
      </c>
      <c r="AN6" s="44" t="n">
        <v>1</v>
      </c>
      <c r="AO6" s="44" t="n">
        <f aca="false">AN6</f>
        <v>1</v>
      </c>
      <c r="AP6" s="44" t="n">
        <f aca="false">AO6</f>
        <v>1</v>
      </c>
      <c r="AQ6" s="44" t="n">
        <f aca="false">AP6</f>
        <v>1</v>
      </c>
      <c r="AR6" s="44" t="n">
        <f aca="false">AQ6</f>
        <v>1</v>
      </c>
      <c r="AS6" s="44" t="n">
        <f aca="false">AR6</f>
        <v>1</v>
      </c>
      <c r="AT6" s="44" t="n">
        <f aca="false">AS6</f>
        <v>1</v>
      </c>
      <c r="AU6" s="44" t="n">
        <f aca="false">AT6</f>
        <v>1</v>
      </c>
      <c r="AV6" s="44" t="n">
        <f aca="false">AU6</f>
        <v>1</v>
      </c>
      <c r="AW6" s="44" t="n">
        <f aca="false">AV6</f>
        <v>1</v>
      </c>
      <c r="AX6" s="44" t="n">
        <f aca="false">B6</f>
        <v>0.885863283614949</v>
      </c>
      <c r="AY6" s="44" t="n">
        <f aca="false">AX6</f>
        <v>0.885863283614949</v>
      </c>
      <c r="AZ6" s="44" t="n">
        <f aca="false">AY6</f>
        <v>0.885863283614949</v>
      </c>
      <c r="BA6" s="44" t="n">
        <v>1</v>
      </c>
      <c r="BB6" s="44" t="n">
        <f aca="false">BA6</f>
        <v>1</v>
      </c>
      <c r="BC6" s="44" t="n">
        <f aca="false">AZ6</f>
        <v>0.885863283614949</v>
      </c>
      <c r="BD6" s="44" t="n">
        <f aca="false">BC6</f>
        <v>0.885863283614949</v>
      </c>
      <c r="BE6" s="44" t="n">
        <v>1</v>
      </c>
      <c r="BF6" s="44" t="n">
        <v>1</v>
      </c>
      <c r="BG6" s="44" t="n">
        <f aca="false">BD6</f>
        <v>0.885863283614949</v>
      </c>
      <c r="BH6" s="44" t="n">
        <f aca="false">BG6</f>
        <v>0.885863283614949</v>
      </c>
      <c r="BI6" s="44" t="n">
        <f aca="false">BH6</f>
        <v>0.885863283614949</v>
      </c>
      <c r="BJ6" s="44" t="n">
        <f aca="false">BI6</f>
        <v>0.885863283614949</v>
      </c>
      <c r="BK6" s="44" t="n">
        <v>1</v>
      </c>
    </row>
    <row r="7" customFormat="false" ht="12.8" hidden="false" customHeight="false" outlineLevel="0" collapsed="false">
      <c r="A7" s="0" t="n">
        <f aca="false">A6-1</f>
        <v>2012</v>
      </c>
      <c r="B7" s="45" t="n">
        <v>0.900546283981867</v>
      </c>
      <c r="C7" s="44" t="n">
        <f aca="false">B7</f>
        <v>0.900546283981867</v>
      </c>
      <c r="D7" s="44" t="n">
        <f aca="false">C7</f>
        <v>0.900546283981867</v>
      </c>
      <c r="E7" s="44" t="n">
        <f aca="false">D7</f>
        <v>0.900546283981867</v>
      </c>
      <c r="F7" s="44" t="n">
        <v>1</v>
      </c>
      <c r="G7" s="44" t="n">
        <f aca="false">F7</f>
        <v>1</v>
      </c>
      <c r="H7" s="44" t="n">
        <f aca="false">G7</f>
        <v>1</v>
      </c>
      <c r="I7" s="44" t="n">
        <f aca="false">H7</f>
        <v>1</v>
      </c>
      <c r="J7" s="44" t="n">
        <f aca="false">I7</f>
        <v>1</v>
      </c>
      <c r="K7" s="44" t="n">
        <f aca="false">J7</f>
        <v>1</v>
      </c>
      <c r="L7" s="44" t="n">
        <f aca="false">B7</f>
        <v>0.900546283981867</v>
      </c>
      <c r="M7" s="44" t="n">
        <f aca="false">L7</f>
        <v>0.900546283981867</v>
      </c>
      <c r="N7" s="44" t="n">
        <f aca="false">M7</f>
        <v>0.900546283981867</v>
      </c>
      <c r="O7" s="44" t="n">
        <f aca="false">N7</f>
        <v>0.900546283981867</v>
      </c>
      <c r="P7" s="44" t="n">
        <f aca="false">O7</f>
        <v>0.900546283981867</v>
      </c>
      <c r="Q7" s="44" t="n">
        <v>1</v>
      </c>
      <c r="R7" s="44" t="n">
        <f aca="false">Q7</f>
        <v>1</v>
      </c>
      <c r="S7" s="44" t="n">
        <f aca="false">R7</f>
        <v>1</v>
      </c>
      <c r="T7" s="44" t="n">
        <f aca="false">S7</f>
        <v>1</v>
      </c>
      <c r="U7" s="44" t="n">
        <f aca="false">T7</f>
        <v>1</v>
      </c>
      <c r="V7" s="44" t="n">
        <f aca="false">U7</f>
        <v>1</v>
      </c>
      <c r="W7" s="44" t="n">
        <f aca="false">V7</f>
        <v>1</v>
      </c>
      <c r="X7" s="44" t="n">
        <f aca="false">W7</f>
        <v>1</v>
      </c>
      <c r="Y7" s="44" t="n">
        <f aca="false">X7</f>
        <v>1</v>
      </c>
      <c r="Z7" s="44" t="n">
        <f aca="false">Y7</f>
        <v>1</v>
      </c>
      <c r="AA7" s="44" t="n">
        <f aca="false">Z7</f>
        <v>1</v>
      </c>
      <c r="AB7" s="44" t="n">
        <f aca="false">AA7</f>
        <v>1</v>
      </c>
      <c r="AC7" s="44" t="n">
        <f aca="false">AB7</f>
        <v>1</v>
      </c>
      <c r="AD7" s="44" t="n">
        <f aca="false">AC7</f>
        <v>1</v>
      </c>
      <c r="AE7" s="44" t="n">
        <f aca="false">B7</f>
        <v>0.900546283981867</v>
      </c>
      <c r="AF7" s="44" t="n">
        <f aca="false">AE7</f>
        <v>0.900546283981867</v>
      </c>
      <c r="AG7" s="44" t="n">
        <f aca="false">AF7</f>
        <v>0.900546283981867</v>
      </c>
      <c r="AH7" s="44" t="n">
        <f aca="false">AG7</f>
        <v>0.900546283981867</v>
      </c>
      <c r="AI7" s="44" t="n">
        <f aca="false">AH7</f>
        <v>0.900546283981867</v>
      </c>
      <c r="AJ7" s="44" t="n">
        <f aca="false">AI7</f>
        <v>0.900546283981867</v>
      </c>
      <c r="AK7" s="44" t="n">
        <f aca="false">AJ7</f>
        <v>0.900546283981867</v>
      </c>
      <c r="AL7" s="44" t="n">
        <f aca="false">AK7</f>
        <v>0.900546283981867</v>
      </c>
      <c r="AM7" s="44" t="n">
        <f aca="false">AL7</f>
        <v>0.900546283981867</v>
      </c>
      <c r="AN7" s="44" t="n">
        <v>1</v>
      </c>
      <c r="AO7" s="44" t="n">
        <f aca="false">AN7</f>
        <v>1</v>
      </c>
      <c r="AP7" s="44" t="n">
        <f aca="false">AO7</f>
        <v>1</v>
      </c>
      <c r="AQ7" s="44" t="n">
        <f aca="false">AP7</f>
        <v>1</v>
      </c>
      <c r="AR7" s="44" t="n">
        <f aca="false">AQ7</f>
        <v>1</v>
      </c>
      <c r="AS7" s="44" t="n">
        <f aca="false">AR7</f>
        <v>1</v>
      </c>
      <c r="AT7" s="44" t="n">
        <f aca="false">AS7</f>
        <v>1</v>
      </c>
      <c r="AU7" s="44" t="n">
        <f aca="false">AT7</f>
        <v>1</v>
      </c>
      <c r="AV7" s="44" t="n">
        <f aca="false">AU7</f>
        <v>1</v>
      </c>
      <c r="AW7" s="44" t="n">
        <f aca="false">AV7</f>
        <v>1</v>
      </c>
      <c r="AX7" s="44" t="n">
        <f aca="false">B7</f>
        <v>0.900546283981867</v>
      </c>
      <c r="AY7" s="44" t="n">
        <f aca="false">AX7</f>
        <v>0.900546283981867</v>
      </c>
      <c r="AZ7" s="44" t="n">
        <f aca="false">AY7</f>
        <v>0.900546283981867</v>
      </c>
      <c r="BA7" s="44" t="n">
        <v>1</v>
      </c>
      <c r="BB7" s="44" t="n">
        <f aca="false">BA7</f>
        <v>1</v>
      </c>
      <c r="BC7" s="44" t="n">
        <f aca="false">AZ7</f>
        <v>0.900546283981867</v>
      </c>
      <c r="BD7" s="44" t="n">
        <f aca="false">BC7</f>
        <v>0.900546283981867</v>
      </c>
      <c r="BE7" s="44" t="n">
        <v>1</v>
      </c>
      <c r="BF7" s="44" t="n">
        <v>1</v>
      </c>
      <c r="BG7" s="44" t="n">
        <f aca="false">BD7</f>
        <v>0.900546283981867</v>
      </c>
      <c r="BH7" s="44" t="n">
        <f aca="false">BG7</f>
        <v>0.900546283981867</v>
      </c>
      <c r="BI7" s="44" t="n">
        <f aca="false">BH7</f>
        <v>0.900546283981867</v>
      </c>
      <c r="BJ7" s="44" t="n">
        <f aca="false">BI7</f>
        <v>0.900546283981867</v>
      </c>
      <c r="BK7" s="44" t="n">
        <v>1</v>
      </c>
    </row>
    <row r="8" customFormat="false" ht="12.8" hidden="false" customHeight="false" outlineLevel="0" collapsed="false">
      <c r="A8" s="0" t="n">
        <f aca="false">A7-1</f>
        <v>2011</v>
      </c>
      <c r="B8" s="45" t="n">
        <v>0.924774592041038</v>
      </c>
      <c r="C8" s="44" t="n">
        <f aca="false">B8</f>
        <v>0.924774592041038</v>
      </c>
      <c r="D8" s="44" t="n">
        <f aca="false">C8</f>
        <v>0.924774592041038</v>
      </c>
      <c r="E8" s="44" t="n">
        <f aca="false">D8</f>
        <v>0.924774592041038</v>
      </c>
      <c r="F8" s="44" t="n">
        <v>1</v>
      </c>
      <c r="G8" s="44" t="n">
        <f aca="false">F8</f>
        <v>1</v>
      </c>
      <c r="H8" s="44" t="n">
        <f aca="false">G8</f>
        <v>1</v>
      </c>
      <c r="I8" s="44" t="n">
        <f aca="false">H8</f>
        <v>1</v>
      </c>
      <c r="J8" s="44" t="n">
        <f aca="false">I8</f>
        <v>1</v>
      </c>
      <c r="K8" s="44" t="n">
        <f aca="false">J8</f>
        <v>1</v>
      </c>
      <c r="L8" s="44" t="n">
        <f aca="false">B8</f>
        <v>0.924774592041038</v>
      </c>
      <c r="M8" s="44" t="n">
        <f aca="false">L8</f>
        <v>0.924774592041038</v>
      </c>
      <c r="N8" s="44" t="n">
        <f aca="false">M8</f>
        <v>0.924774592041038</v>
      </c>
      <c r="O8" s="44" t="n">
        <f aca="false">N8</f>
        <v>0.924774592041038</v>
      </c>
      <c r="P8" s="44" t="n">
        <f aca="false">O8</f>
        <v>0.924774592041038</v>
      </c>
      <c r="Q8" s="44" t="n">
        <v>1</v>
      </c>
      <c r="R8" s="44" t="n">
        <f aca="false">Q8</f>
        <v>1</v>
      </c>
      <c r="S8" s="44" t="n">
        <f aca="false">R8</f>
        <v>1</v>
      </c>
      <c r="T8" s="44" t="n">
        <f aca="false">S8</f>
        <v>1</v>
      </c>
      <c r="U8" s="44" t="n">
        <f aca="false">T8</f>
        <v>1</v>
      </c>
      <c r="V8" s="44" t="n">
        <f aca="false">U8</f>
        <v>1</v>
      </c>
      <c r="W8" s="44" t="n">
        <f aca="false">V8</f>
        <v>1</v>
      </c>
      <c r="X8" s="44" t="n">
        <f aca="false">W8</f>
        <v>1</v>
      </c>
      <c r="Y8" s="44" t="n">
        <f aca="false">X8</f>
        <v>1</v>
      </c>
      <c r="Z8" s="44" t="n">
        <f aca="false">Y8</f>
        <v>1</v>
      </c>
      <c r="AA8" s="44" t="n">
        <f aca="false">Z8</f>
        <v>1</v>
      </c>
      <c r="AB8" s="44" t="n">
        <f aca="false">AA8</f>
        <v>1</v>
      </c>
      <c r="AC8" s="44" t="n">
        <f aca="false">AB8</f>
        <v>1</v>
      </c>
      <c r="AD8" s="44" t="n">
        <f aca="false">AC8</f>
        <v>1</v>
      </c>
      <c r="AE8" s="44" t="n">
        <f aca="false">B8</f>
        <v>0.924774592041038</v>
      </c>
      <c r="AF8" s="44" t="n">
        <f aca="false">AE8</f>
        <v>0.924774592041038</v>
      </c>
      <c r="AG8" s="44" t="n">
        <f aca="false">AF8</f>
        <v>0.924774592041038</v>
      </c>
      <c r="AH8" s="44" t="n">
        <f aca="false">AG8</f>
        <v>0.924774592041038</v>
      </c>
      <c r="AI8" s="44" t="n">
        <f aca="false">AH8</f>
        <v>0.924774592041038</v>
      </c>
      <c r="AJ8" s="44" t="n">
        <f aca="false">AI8</f>
        <v>0.924774592041038</v>
      </c>
      <c r="AK8" s="44" t="n">
        <f aca="false">AJ8</f>
        <v>0.924774592041038</v>
      </c>
      <c r="AL8" s="44" t="n">
        <f aca="false">AK8</f>
        <v>0.924774592041038</v>
      </c>
      <c r="AM8" s="44" t="n">
        <f aca="false">AL8</f>
        <v>0.924774592041038</v>
      </c>
      <c r="AN8" s="44" t="n">
        <v>1</v>
      </c>
      <c r="AO8" s="44" t="n">
        <f aca="false">AN8</f>
        <v>1</v>
      </c>
      <c r="AP8" s="44" t="n">
        <f aca="false">AO8</f>
        <v>1</v>
      </c>
      <c r="AQ8" s="44" t="n">
        <f aca="false">AP8</f>
        <v>1</v>
      </c>
      <c r="AR8" s="44" t="n">
        <f aca="false">AQ8</f>
        <v>1</v>
      </c>
      <c r="AS8" s="44" t="n">
        <f aca="false">AR8</f>
        <v>1</v>
      </c>
      <c r="AT8" s="44" t="n">
        <f aca="false">AS8</f>
        <v>1</v>
      </c>
      <c r="AU8" s="44" t="n">
        <f aca="false">AT8</f>
        <v>1</v>
      </c>
      <c r="AV8" s="44" t="n">
        <f aca="false">AU8</f>
        <v>1</v>
      </c>
      <c r="AW8" s="44" t="n">
        <f aca="false">AV8</f>
        <v>1</v>
      </c>
      <c r="AX8" s="44" t="n">
        <f aca="false">B8</f>
        <v>0.924774592041038</v>
      </c>
      <c r="AY8" s="44" t="n">
        <f aca="false">AX8</f>
        <v>0.924774592041038</v>
      </c>
      <c r="AZ8" s="44" t="n">
        <f aca="false">AY8</f>
        <v>0.924774592041038</v>
      </c>
      <c r="BA8" s="44" t="n">
        <v>1</v>
      </c>
      <c r="BB8" s="44" t="n">
        <f aca="false">BA8</f>
        <v>1</v>
      </c>
      <c r="BC8" s="44" t="n">
        <f aca="false">AZ8</f>
        <v>0.924774592041038</v>
      </c>
      <c r="BD8" s="44" t="n">
        <f aca="false">BC8</f>
        <v>0.924774592041038</v>
      </c>
      <c r="BE8" s="44" t="n">
        <v>1</v>
      </c>
      <c r="BF8" s="44" t="n">
        <v>1</v>
      </c>
      <c r="BG8" s="44" t="n">
        <f aca="false">BD8</f>
        <v>0.924774592041038</v>
      </c>
      <c r="BH8" s="44" t="n">
        <f aca="false">BG8</f>
        <v>0.924774592041038</v>
      </c>
      <c r="BI8" s="44" t="n">
        <f aca="false">BH8</f>
        <v>0.924774592041038</v>
      </c>
      <c r="BJ8" s="44" t="n">
        <f aca="false">BI8</f>
        <v>0.924774592041038</v>
      </c>
      <c r="BK8" s="44" t="n">
        <v>1</v>
      </c>
    </row>
    <row r="9" customFormat="false" ht="12.8" hidden="false" customHeight="false" outlineLevel="0" collapsed="false">
      <c r="A9" s="0" t="n">
        <f aca="false">A8-1</f>
        <v>2010</v>
      </c>
      <c r="B9" s="45" t="n">
        <v>0.914995522373042</v>
      </c>
      <c r="C9" s="44" t="n">
        <f aca="false">B9</f>
        <v>0.914995522373042</v>
      </c>
      <c r="D9" s="44" t="n">
        <f aca="false">C9</f>
        <v>0.914995522373042</v>
      </c>
      <c r="E9" s="44" t="n">
        <f aca="false">D9</f>
        <v>0.914995522373042</v>
      </c>
      <c r="F9" s="44" t="n">
        <v>1</v>
      </c>
      <c r="G9" s="44" t="n">
        <f aca="false">F9</f>
        <v>1</v>
      </c>
      <c r="H9" s="44" t="n">
        <f aca="false">G9</f>
        <v>1</v>
      </c>
      <c r="I9" s="44" t="n">
        <f aca="false">H9</f>
        <v>1</v>
      </c>
      <c r="J9" s="44" t="n">
        <f aca="false">I9</f>
        <v>1</v>
      </c>
      <c r="K9" s="44" t="n">
        <f aca="false">J9</f>
        <v>1</v>
      </c>
      <c r="L9" s="44" t="n">
        <f aca="false">B9</f>
        <v>0.914995522373042</v>
      </c>
      <c r="M9" s="44" t="n">
        <f aca="false">L9</f>
        <v>0.914995522373042</v>
      </c>
      <c r="N9" s="44" t="n">
        <f aca="false">M9</f>
        <v>0.914995522373042</v>
      </c>
      <c r="O9" s="44" t="n">
        <f aca="false">N9</f>
        <v>0.914995522373042</v>
      </c>
      <c r="P9" s="44" t="n">
        <f aca="false">O9</f>
        <v>0.914995522373042</v>
      </c>
      <c r="Q9" s="44" t="n">
        <v>1</v>
      </c>
      <c r="R9" s="44" t="n">
        <f aca="false">Q9</f>
        <v>1</v>
      </c>
      <c r="S9" s="44" t="n">
        <f aca="false">R9</f>
        <v>1</v>
      </c>
      <c r="T9" s="44" t="n">
        <f aca="false">S9</f>
        <v>1</v>
      </c>
      <c r="U9" s="44" t="n">
        <f aca="false">T9</f>
        <v>1</v>
      </c>
      <c r="V9" s="44" t="n">
        <f aca="false">U9</f>
        <v>1</v>
      </c>
      <c r="W9" s="44" t="n">
        <f aca="false">V9</f>
        <v>1</v>
      </c>
      <c r="X9" s="44" t="n">
        <f aca="false">W9</f>
        <v>1</v>
      </c>
      <c r="Y9" s="44" t="n">
        <f aca="false">X9</f>
        <v>1</v>
      </c>
      <c r="Z9" s="44" t="n">
        <f aca="false">Y9</f>
        <v>1</v>
      </c>
      <c r="AA9" s="44" t="n">
        <f aca="false">Z9</f>
        <v>1</v>
      </c>
      <c r="AB9" s="44" t="n">
        <f aca="false">AA9</f>
        <v>1</v>
      </c>
      <c r="AC9" s="44" t="n">
        <f aca="false">AB9</f>
        <v>1</v>
      </c>
      <c r="AD9" s="44" t="n">
        <f aca="false">AC9</f>
        <v>1</v>
      </c>
      <c r="AE9" s="44" t="n">
        <f aca="false">B9</f>
        <v>0.914995522373042</v>
      </c>
      <c r="AF9" s="44" t="n">
        <f aca="false">AE9</f>
        <v>0.914995522373042</v>
      </c>
      <c r="AG9" s="44" t="n">
        <f aca="false">AF9</f>
        <v>0.914995522373042</v>
      </c>
      <c r="AH9" s="44" t="n">
        <f aca="false">AG9</f>
        <v>0.914995522373042</v>
      </c>
      <c r="AI9" s="44" t="n">
        <f aca="false">AH9</f>
        <v>0.914995522373042</v>
      </c>
      <c r="AJ9" s="44" t="n">
        <f aca="false">AI9</f>
        <v>0.914995522373042</v>
      </c>
      <c r="AK9" s="44" t="n">
        <f aca="false">AJ9</f>
        <v>0.914995522373042</v>
      </c>
      <c r="AL9" s="44" t="n">
        <f aca="false">AK9</f>
        <v>0.914995522373042</v>
      </c>
      <c r="AM9" s="44" t="n">
        <f aca="false">AL9</f>
        <v>0.914995522373042</v>
      </c>
      <c r="AN9" s="44" t="n">
        <v>1</v>
      </c>
      <c r="AO9" s="44" t="n">
        <f aca="false">AN9</f>
        <v>1</v>
      </c>
      <c r="AP9" s="44" t="n">
        <f aca="false">AO9</f>
        <v>1</v>
      </c>
      <c r="AQ9" s="44" t="n">
        <f aca="false">AP9</f>
        <v>1</v>
      </c>
      <c r="AR9" s="44" t="n">
        <f aca="false">AQ9</f>
        <v>1</v>
      </c>
      <c r="AS9" s="44" t="n">
        <f aca="false">AR9</f>
        <v>1</v>
      </c>
      <c r="AT9" s="44" t="n">
        <f aca="false">AS9</f>
        <v>1</v>
      </c>
      <c r="AU9" s="44" t="n">
        <f aca="false">AT9</f>
        <v>1</v>
      </c>
      <c r="AV9" s="44" t="n">
        <f aca="false">AU9</f>
        <v>1</v>
      </c>
      <c r="AW9" s="44" t="n">
        <f aca="false">AV9</f>
        <v>1</v>
      </c>
      <c r="AX9" s="44" t="n">
        <f aca="false">B9</f>
        <v>0.914995522373042</v>
      </c>
      <c r="AY9" s="44" t="n">
        <f aca="false">AX9</f>
        <v>0.914995522373042</v>
      </c>
      <c r="AZ9" s="44" t="n">
        <f aca="false">AY9</f>
        <v>0.914995522373042</v>
      </c>
      <c r="BA9" s="44" t="n">
        <v>1</v>
      </c>
      <c r="BB9" s="44" t="n">
        <f aca="false">BA9</f>
        <v>1</v>
      </c>
      <c r="BC9" s="44" t="n">
        <f aca="false">AZ9</f>
        <v>0.914995522373042</v>
      </c>
      <c r="BD9" s="44" t="n">
        <f aca="false">BC9</f>
        <v>0.914995522373042</v>
      </c>
      <c r="BE9" s="44" t="n">
        <v>1</v>
      </c>
      <c r="BF9" s="44" t="n">
        <v>1</v>
      </c>
      <c r="BG9" s="44" t="n">
        <f aca="false">BD9</f>
        <v>0.914995522373042</v>
      </c>
      <c r="BH9" s="44" t="n">
        <f aca="false">BG9</f>
        <v>0.914995522373042</v>
      </c>
      <c r="BI9" s="44" t="n">
        <f aca="false">BH9</f>
        <v>0.914995522373042</v>
      </c>
      <c r="BJ9" s="44" t="n">
        <f aca="false">BI9</f>
        <v>0.914995522373042</v>
      </c>
      <c r="BK9" s="44" t="n">
        <v>1</v>
      </c>
    </row>
    <row r="10" customFormat="false" ht="12.8" hidden="false" customHeight="false" outlineLevel="0" collapsed="false">
      <c r="A10" s="0" t="n">
        <f aca="false">A9-1</f>
        <v>2009</v>
      </c>
      <c r="B10" s="45" t="n">
        <v>0.919949309290717</v>
      </c>
      <c r="C10" s="44" t="n">
        <f aca="false">B10</f>
        <v>0.919949309290717</v>
      </c>
      <c r="D10" s="44" t="n">
        <f aca="false">C10</f>
        <v>0.919949309290717</v>
      </c>
      <c r="E10" s="44" t="n">
        <f aca="false">D10</f>
        <v>0.919949309290717</v>
      </c>
      <c r="F10" s="44" t="n">
        <v>1</v>
      </c>
      <c r="G10" s="44" t="n">
        <f aca="false">F10</f>
        <v>1</v>
      </c>
      <c r="H10" s="44" t="n">
        <f aca="false">G10</f>
        <v>1</v>
      </c>
      <c r="I10" s="44" t="n">
        <f aca="false">H10</f>
        <v>1</v>
      </c>
      <c r="J10" s="44" t="n">
        <f aca="false">I10</f>
        <v>1</v>
      </c>
      <c r="K10" s="44" t="n">
        <f aca="false">J10</f>
        <v>1</v>
      </c>
      <c r="L10" s="44" t="n">
        <f aca="false">B10</f>
        <v>0.919949309290717</v>
      </c>
      <c r="M10" s="44" t="n">
        <f aca="false">L10</f>
        <v>0.919949309290717</v>
      </c>
      <c r="N10" s="44" t="n">
        <f aca="false">M10</f>
        <v>0.919949309290717</v>
      </c>
      <c r="O10" s="44" t="n">
        <f aca="false">N10</f>
        <v>0.919949309290717</v>
      </c>
      <c r="P10" s="44" t="n">
        <f aca="false">O10</f>
        <v>0.919949309290717</v>
      </c>
      <c r="Q10" s="44" t="n">
        <v>1</v>
      </c>
      <c r="R10" s="44" t="n">
        <f aca="false">Q10</f>
        <v>1</v>
      </c>
      <c r="S10" s="44" t="n">
        <f aca="false">R10</f>
        <v>1</v>
      </c>
      <c r="T10" s="44" t="n">
        <f aca="false">S10</f>
        <v>1</v>
      </c>
      <c r="U10" s="44" t="n">
        <f aca="false">T10</f>
        <v>1</v>
      </c>
      <c r="V10" s="44" t="n">
        <f aca="false">U10</f>
        <v>1</v>
      </c>
      <c r="W10" s="44" t="n">
        <f aca="false">V10</f>
        <v>1</v>
      </c>
      <c r="X10" s="44" t="n">
        <f aca="false">W10</f>
        <v>1</v>
      </c>
      <c r="Y10" s="44" t="n">
        <f aca="false">X10</f>
        <v>1</v>
      </c>
      <c r="Z10" s="44" t="n">
        <f aca="false">Y10</f>
        <v>1</v>
      </c>
      <c r="AA10" s="44" t="n">
        <f aca="false">Z10</f>
        <v>1</v>
      </c>
      <c r="AB10" s="44" t="n">
        <f aca="false">AA10</f>
        <v>1</v>
      </c>
      <c r="AC10" s="44" t="n">
        <f aca="false">AB10</f>
        <v>1</v>
      </c>
      <c r="AD10" s="44" t="n">
        <f aca="false">AC10</f>
        <v>1</v>
      </c>
      <c r="AE10" s="44" t="n">
        <f aca="false">B10</f>
        <v>0.919949309290717</v>
      </c>
      <c r="AF10" s="44" t="n">
        <f aca="false">AE10</f>
        <v>0.919949309290717</v>
      </c>
      <c r="AG10" s="44" t="n">
        <f aca="false">AF10</f>
        <v>0.919949309290717</v>
      </c>
      <c r="AH10" s="44" t="n">
        <f aca="false">AG10</f>
        <v>0.919949309290717</v>
      </c>
      <c r="AI10" s="44" t="n">
        <f aca="false">AH10</f>
        <v>0.919949309290717</v>
      </c>
      <c r="AJ10" s="44" t="n">
        <f aca="false">AI10</f>
        <v>0.919949309290717</v>
      </c>
      <c r="AK10" s="44" t="n">
        <f aca="false">AJ10</f>
        <v>0.919949309290717</v>
      </c>
      <c r="AL10" s="44" t="n">
        <f aca="false">AK10</f>
        <v>0.919949309290717</v>
      </c>
      <c r="AM10" s="44" t="n">
        <f aca="false">AL10</f>
        <v>0.919949309290717</v>
      </c>
      <c r="AN10" s="44" t="n">
        <v>1</v>
      </c>
      <c r="AO10" s="44" t="n">
        <f aca="false">AN10</f>
        <v>1</v>
      </c>
      <c r="AP10" s="44" t="n">
        <f aca="false">AO10</f>
        <v>1</v>
      </c>
      <c r="AQ10" s="44" t="n">
        <f aca="false">AP10</f>
        <v>1</v>
      </c>
      <c r="AR10" s="44" t="n">
        <f aca="false">AQ10</f>
        <v>1</v>
      </c>
      <c r="AS10" s="44" t="n">
        <f aca="false">AR10</f>
        <v>1</v>
      </c>
      <c r="AT10" s="44" t="n">
        <f aca="false">AS10</f>
        <v>1</v>
      </c>
      <c r="AU10" s="44" t="n">
        <f aca="false">AT10</f>
        <v>1</v>
      </c>
      <c r="AV10" s="44" t="n">
        <f aca="false">AU10</f>
        <v>1</v>
      </c>
      <c r="AW10" s="44" t="n">
        <f aca="false">AV10</f>
        <v>1</v>
      </c>
      <c r="AX10" s="44" t="n">
        <f aca="false">B10</f>
        <v>0.919949309290717</v>
      </c>
      <c r="AY10" s="44" t="n">
        <f aca="false">AX10</f>
        <v>0.919949309290717</v>
      </c>
      <c r="AZ10" s="44" t="n">
        <f aca="false">AY10</f>
        <v>0.919949309290717</v>
      </c>
      <c r="BA10" s="44" t="n">
        <v>1</v>
      </c>
      <c r="BB10" s="44" t="n">
        <f aca="false">BA10</f>
        <v>1</v>
      </c>
      <c r="BC10" s="44" t="n">
        <f aca="false">AZ10</f>
        <v>0.919949309290717</v>
      </c>
      <c r="BD10" s="44" t="n">
        <f aca="false">BC10</f>
        <v>0.919949309290717</v>
      </c>
      <c r="BE10" s="44" t="n">
        <v>1</v>
      </c>
      <c r="BF10" s="44" t="n">
        <v>1</v>
      </c>
      <c r="BG10" s="44" t="n">
        <f aca="false">BD10</f>
        <v>0.919949309290717</v>
      </c>
      <c r="BH10" s="44" t="n">
        <f aca="false">BG10</f>
        <v>0.919949309290717</v>
      </c>
      <c r="BI10" s="44" t="n">
        <f aca="false">BH10</f>
        <v>0.919949309290717</v>
      </c>
      <c r="BJ10" s="44" t="n">
        <f aca="false">BI10</f>
        <v>0.919949309290717</v>
      </c>
      <c r="BK10" s="44" t="n">
        <v>1</v>
      </c>
    </row>
    <row r="11" customFormat="false" ht="12.8" hidden="false" customHeight="false" outlineLevel="0" collapsed="false">
      <c r="A11" s="0" t="n">
        <f aca="false">A10-1</f>
        <v>2008</v>
      </c>
      <c r="B11" s="45" t="n">
        <v>0.917622846074172</v>
      </c>
      <c r="C11" s="44" t="n">
        <f aca="false">B11</f>
        <v>0.917622846074172</v>
      </c>
      <c r="D11" s="44" t="n">
        <f aca="false">C11</f>
        <v>0.917622846074172</v>
      </c>
      <c r="E11" s="44" t="n">
        <f aca="false">D11</f>
        <v>0.917622846074172</v>
      </c>
      <c r="F11" s="44" t="n">
        <v>1</v>
      </c>
      <c r="G11" s="44" t="n">
        <f aca="false">F11</f>
        <v>1</v>
      </c>
      <c r="H11" s="44" t="n">
        <f aca="false">G11</f>
        <v>1</v>
      </c>
      <c r="I11" s="44" t="n">
        <f aca="false">H11</f>
        <v>1</v>
      </c>
      <c r="J11" s="44" t="n">
        <f aca="false">I11</f>
        <v>1</v>
      </c>
      <c r="K11" s="44" t="n">
        <f aca="false">J11</f>
        <v>1</v>
      </c>
      <c r="L11" s="44" t="n">
        <f aca="false">B11</f>
        <v>0.917622846074172</v>
      </c>
      <c r="M11" s="44" t="n">
        <f aca="false">L11</f>
        <v>0.917622846074172</v>
      </c>
      <c r="N11" s="44" t="n">
        <f aca="false">M11</f>
        <v>0.917622846074172</v>
      </c>
      <c r="O11" s="44" t="n">
        <f aca="false">N11</f>
        <v>0.917622846074172</v>
      </c>
      <c r="P11" s="44" t="n">
        <f aca="false">O11</f>
        <v>0.917622846074172</v>
      </c>
      <c r="Q11" s="44" t="n">
        <v>1</v>
      </c>
      <c r="R11" s="44" t="n">
        <f aca="false">Q11</f>
        <v>1</v>
      </c>
      <c r="S11" s="44" t="n">
        <f aca="false">R11</f>
        <v>1</v>
      </c>
      <c r="T11" s="44" t="n">
        <f aca="false">S11</f>
        <v>1</v>
      </c>
      <c r="U11" s="44" t="n">
        <f aca="false">T11</f>
        <v>1</v>
      </c>
      <c r="V11" s="44" t="n">
        <f aca="false">U11</f>
        <v>1</v>
      </c>
      <c r="W11" s="44" t="n">
        <f aca="false">V11</f>
        <v>1</v>
      </c>
      <c r="X11" s="44" t="n">
        <f aca="false">W11</f>
        <v>1</v>
      </c>
      <c r="Y11" s="44" t="n">
        <f aca="false">X11</f>
        <v>1</v>
      </c>
      <c r="Z11" s="44" t="n">
        <f aca="false">Y11</f>
        <v>1</v>
      </c>
      <c r="AA11" s="44" t="n">
        <f aca="false">Z11</f>
        <v>1</v>
      </c>
      <c r="AB11" s="44" t="n">
        <f aca="false">AA11</f>
        <v>1</v>
      </c>
      <c r="AC11" s="44" t="n">
        <f aca="false">AB11</f>
        <v>1</v>
      </c>
      <c r="AD11" s="44" t="n">
        <f aca="false">AC11</f>
        <v>1</v>
      </c>
      <c r="AE11" s="44" t="n">
        <f aca="false">B11</f>
        <v>0.917622846074172</v>
      </c>
      <c r="AF11" s="44" t="n">
        <f aca="false">AE11</f>
        <v>0.917622846074172</v>
      </c>
      <c r="AG11" s="44" t="n">
        <f aca="false">AF11</f>
        <v>0.917622846074172</v>
      </c>
      <c r="AH11" s="44" t="n">
        <f aca="false">AG11</f>
        <v>0.917622846074172</v>
      </c>
      <c r="AI11" s="44" t="n">
        <f aca="false">AH11</f>
        <v>0.917622846074172</v>
      </c>
      <c r="AJ11" s="44" t="n">
        <f aca="false">AI11</f>
        <v>0.917622846074172</v>
      </c>
      <c r="AK11" s="44" t="n">
        <f aca="false">AJ11</f>
        <v>0.917622846074172</v>
      </c>
      <c r="AL11" s="44" t="n">
        <f aca="false">AK11</f>
        <v>0.917622846074172</v>
      </c>
      <c r="AM11" s="44" t="n">
        <f aca="false">AL11</f>
        <v>0.917622846074172</v>
      </c>
      <c r="AN11" s="44" t="n">
        <v>1</v>
      </c>
      <c r="AO11" s="44" t="n">
        <f aca="false">AN11</f>
        <v>1</v>
      </c>
      <c r="AP11" s="44" t="n">
        <f aca="false">AO11</f>
        <v>1</v>
      </c>
      <c r="AQ11" s="44" t="n">
        <f aca="false">AP11</f>
        <v>1</v>
      </c>
      <c r="AR11" s="44" t="n">
        <f aca="false">AQ11</f>
        <v>1</v>
      </c>
      <c r="AS11" s="44" t="n">
        <f aca="false">AR11</f>
        <v>1</v>
      </c>
      <c r="AT11" s="44" t="n">
        <f aca="false">AS11</f>
        <v>1</v>
      </c>
      <c r="AU11" s="44" t="n">
        <f aca="false">AT11</f>
        <v>1</v>
      </c>
      <c r="AV11" s="44" t="n">
        <f aca="false">AU11</f>
        <v>1</v>
      </c>
      <c r="AW11" s="44" t="n">
        <f aca="false">AV11</f>
        <v>1</v>
      </c>
      <c r="AX11" s="44" t="n">
        <f aca="false">B11</f>
        <v>0.917622846074172</v>
      </c>
      <c r="AY11" s="44" t="n">
        <f aca="false">AX11</f>
        <v>0.917622846074172</v>
      </c>
      <c r="AZ11" s="44" t="n">
        <f aca="false">AY11</f>
        <v>0.917622846074172</v>
      </c>
      <c r="BA11" s="44" t="n">
        <v>1</v>
      </c>
      <c r="BB11" s="44" t="n">
        <f aca="false">BA11</f>
        <v>1</v>
      </c>
      <c r="BC11" s="44" t="n">
        <f aca="false">AZ11</f>
        <v>0.917622846074172</v>
      </c>
      <c r="BD11" s="44" t="n">
        <f aca="false">BC11</f>
        <v>0.917622846074172</v>
      </c>
      <c r="BE11" s="44" t="n">
        <v>1</v>
      </c>
      <c r="BF11" s="44" t="n">
        <v>1</v>
      </c>
      <c r="BG11" s="44" t="n">
        <f aca="false">BD11</f>
        <v>0.917622846074172</v>
      </c>
      <c r="BH11" s="44" t="n">
        <f aca="false">BG11</f>
        <v>0.917622846074172</v>
      </c>
      <c r="BI11" s="44" t="n">
        <f aca="false">BH11</f>
        <v>0.917622846074172</v>
      </c>
      <c r="BJ11" s="44" t="n">
        <f aca="false">BI11</f>
        <v>0.917622846074172</v>
      </c>
      <c r="BK11" s="44" t="n">
        <v>1</v>
      </c>
    </row>
    <row r="12" customFormat="false" ht="12.8" hidden="false" customHeight="false" outlineLevel="0" collapsed="false">
      <c r="A12" s="0" t="n">
        <f aca="false">A11-1</f>
        <v>2007</v>
      </c>
      <c r="B12" s="45" t="n">
        <v>0.9183341377646</v>
      </c>
      <c r="C12" s="44" t="n">
        <f aca="false">B12</f>
        <v>0.9183341377646</v>
      </c>
      <c r="D12" s="44" t="n">
        <f aca="false">C12</f>
        <v>0.9183341377646</v>
      </c>
      <c r="E12" s="44" t="n">
        <f aca="false">D12</f>
        <v>0.9183341377646</v>
      </c>
      <c r="F12" s="44" t="n">
        <v>1</v>
      </c>
      <c r="G12" s="44" t="n">
        <f aca="false">F12</f>
        <v>1</v>
      </c>
      <c r="H12" s="44" t="n">
        <f aca="false">G12</f>
        <v>1</v>
      </c>
      <c r="I12" s="44" t="n">
        <f aca="false">H12</f>
        <v>1</v>
      </c>
      <c r="J12" s="44" t="n">
        <f aca="false">I12</f>
        <v>1</v>
      </c>
      <c r="K12" s="44" t="n">
        <f aca="false">J12</f>
        <v>1</v>
      </c>
      <c r="L12" s="44" t="n">
        <f aca="false">B12</f>
        <v>0.9183341377646</v>
      </c>
      <c r="M12" s="44" t="n">
        <f aca="false">L12</f>
        <v>0.9183341377646</v>
      </c>
      <c r="N12" s="44" t="n">
        <f aca="false">M12</f>
        <v>0.9183341377646</v>
      </c>
      <c r="O12" s="44" t="n">
        <f aca="false">N12</f>
        <v>0.9183341377646</v>
      </c>
      <c r="P12" s="44" t="n">
        <f aca="false">O12</f>
        <v>0.9183341377646</v>
      </c>
      <c r="Q12" s="44" t="n">
        <v>1</v>
      </c>
      <c r="R12" s="44" t="n">
        <f aca="false">Q12</f>
        <v>1</v>
      </c>
      <c r="S12" s="44" t="n">
        <f aca="false">R12</f>
        <v>1</v>
      </c>
      <c r="T12" s="44" t="n">
        <f aca="false">S12</f>
        <v>1</v>
      </c>
      <c r="U12" s="44" t="n">
        <f aca="false">T12</f>
        <v>1</v>
      </c>
      <c r="V12" s="44" t="n">
        <f aca="false">U12</f>
        <v>1</v>
      </c>
      <c r="W12" s="44" t="n">
        <f aca="false">V12</f>
        <v>1</v>
      </c>
      <c r="X12" s="44" t="n">
        <f aca="false">W12</f>
        <v>1</v>
      </c>
      <c r="Y12" s="44" t="n">
        <f aca="false">X12</f>
        <v>1</v>
      </c>
      <c r="Z12" s="44" t="n">
        <f aca="false">Y12</f>
        <v>1</v>
      </c>
      <c r="AA12" s="44" t="n">
        <f aca="false">Z12</f>
        <v>1</v>
      </c>
      <c r="AB12" s="44" t="n">
        <f aca="false">AA12</f>
        <v>1</v>
      </c>
      <c r="AC12" s="44" t="n">
        <f aca="false">AB12</f>
        <v>1</v>
      </c>
      <c r="AD12" s="44" t="n">
        <f aca="false">AC12</f>
        <v>1</v>
      </c>
      <c r="AE12" s="44" t="n">
        <f aca="false">B12</f>
        <v>0.9183341377646</v>
      </c>
      <c r="AF12" s="44" t="n">
        <f aca="false">AE12</f>
        <v>0.9183341377646</v>
      </c>
      <c r="AG12" s="44" t="n">
        <f aca="false">AF12</f>
        <v>0.9183341377646</v>
      </c>
      <c r="AH12" s="44" t="n">
        <f aca="false">AG12</f>
        <v>0.9183341377646</v>
      </c>
      <c r="AI12" s="44" t="n">
        <f aca="false">AH12</f>
        <v>0.9183341377646</v>
      </c>
      <c r="AJ12" s="44" t="n">
        <f aca="false">AI12</f>
        <v>0.9183341377646</v>
      </c>
      <c r="AK12" s="44" t="n">
        <f aca="false">AJ12</f>
        <v>0.9183341377646</v>
      </c>
      <c r="AL12" s="44" t="n">
        <f aca="false">AK12</f>
        <v>0.9183341377646</v>
      </c>
      <c r="AM12" s="44" t="n">
        <f aca="false">AL12</f>
        <v>0.9183341377646</v>
      </c>
      <c r="AN12" s="44" t="n">
        <v>1</v>
      </c>
      <c r="AO12" s="44" t="n">
        <f aca="false">AN12</f>
        <v>1</v>
      </c>
      <c r="AP12" s="44" t="n">
        <f aca="false">AO12</f>
        <v>1</v>
      </c>
      <c r="AQ12" s="44" t="n">
        <f aca="false">AP12</f>
        <v>1</v>
      </c>
      <c r="AR12" s="44" t="n">
        <f aca="false">AQ12</f>
        <v>1</v>
      </c>
      <c r="AS12" s="44" t="n">
        <f aca="false">AR12</f>
        <v>1</v>
      </c>
      <c r="AT12" s="44" t="n">
        <f aca="false">AS12</f>
        <v>1</v>
      </c>
      <c r="AU12" s="44" t="n">
        <f aca="false">AT12</f>
        <v>1</v>
      </c>
      <c r="AV12" s="44" t="n">
        <f aca="false">AU12</f>
        <v>1</v>
      </c>
      <c r="AW12" s="44" t="n">
        <f aca="false">AV12</f>
        <v>1</v>
      </c>
      <c r="AX12" s="44" t="n">
        <f aca="false">B12</f>
        <v>0.9183341377646</v>
      </c>
      <c r="AY12" s="44" t="n">
        <f aca="false">AX12</f>
        <v>0.9183341377646</v>
      </c>
      <c r="AZ12" s="44" t="n">
        <f aca="false">AY12</f>
        <v>0.9183341377646</v>
      </c>
      <c r="BA12" s="44" t="n">
        <v>1</v>
      </c>
      <c r="BB12" s="44" t="n">
        <f aca="false">BA12</f>
        <v>1</v>
      </c>
      <c r="BC12" s="44" t="n">
        <f aca="false">AZ12</f>
        <v>0.9183341377646</v>
      </c>
      <c r="BD12" s="44" t="n">
        <f aca="false">BC12</f>
        <v>0.9183341377646</v>
      </c>
      <c r="BE12" s="44" t="n">
        <v>1</v>
      </c>
      <c r="BF12" s="44" t="n">
        <v>1</v>
      </c>
      <c r="BG12" s="44" t="n">
        <f aca="false">BD12</f>
        <v>0.9183341377646</v>
      </c>
      <c r="BH12" s="44" t="n">
        <f aca="false">BG12</f>
        <v>0.9183341377646</v>
      </c>
      <c r="BI12" s="44" t="n">
        <f aca="false">BH12</f>
        <v>0.9183341377646</v>
      </c>
      <c r="BJ12" s="44" t="n">
        <f aca="false">BI12</f>
        <v>0.9183341377646</v>
      </c>
      <c r="BK12" s="44" t="n">
        <v>1</v>
      </c>
    </row>
    <row r="13" customFormat="false" ht="12.8" hidden="false" customHeight="false" outlineLevel="0" collapsed="false">
      <c r="A13" s="0" t="n">
        <f aca="false">A12-1</f>
        <v>2006</v>
      </c>
      <c r="B13" s="45" t="n">
        <v>0.902612390895611</v>
      </c>
      <c r="C13" s="44" t="n">
        <f aca="false">B13</f>
        <v>0.902612390895611</v>
      </c>
      <c r="D13" s="44" t="n">
        <f aca="false">C13</f>
        <v>0.902612390895611</v>
      </c>
      <c r="E13" s="44" t="n">
        <f aca="false">D13</f>
        <v>0.902612390895611</v>
      </c>
      <c r="F13" s="44" t="n">
        <v>1</v>
      </c>
      <c r="G13" s="44" t="n">
        <f aca="false">F13</f>
        <v>1</v>
      </c>
      <c r="H13" s="44" t="n">
        <f aca="false">G13</f>
        <v>1</v>
      </c>
      <c r="I13" s="44" t="n">
        <f aca="false">H13</f>
        <v>1</v>
      </c>
      <c r="J13" s="44" t="n">
        <f aca="false">I13</f>
        <v>1</v>
      </c>
      <c r="K13" s="44" t="n">
        <f aca="false">J13</f>
        <v>1</v>
      </c>
      <c r="L13" s="44" t="n">
        <f aca="false">B13</f>
        <v>0.902612390895611</v>
      </c>
      <c r="M13" s="44" t="n">
        <f aca="false">L13</f>
        <v>0.902612390895611</v>
      </c>
      <c r="N13" s="44" t="n">
        <f aca="false">M13</f>
        <v>0.902612390895611</v>
      </c>
      <c r="O13" s="44" t="n">
        <f aca="false">N13</f>
        <v>0.902612390895611</v>
      </c>
      <c r="P13" s="44" t="n">
        <f aca="false">O13</f>
        <v>0.902612390895611</v>
      </c>
      <c r="Q13" s="44" t="n">
        <v>1</v>
      </c>
      <c r="R13" s="44" t="n">
        <f aca="false">Q13</f>
        <v>1</v>
      </c>
      <c r="S13" s="44" t="n">
        <f aca="false">R13</f>
        <v>1</v>
      </c>
      <c r="T13" s="44" t="n">
        <f aca="false">S13</f>
        <v>1</v>
      </c>
      <c r="U13" s="44" t="n">
        <f aca="false">T13</f>
        <v>1</v>
      </c>
      <c r="V13" s="44" t="n">
        <f aca="false">U13</f>
        <v>1</v>
      </c>
      <c r="W13" s="44" t="n">
        <f aca="false">V13</f>
        <v>1</v>
      </c>
      <c r="X13" s="44" t="n">
        <f aca="false">W13</f>
        <v>1</v>
      </c>
      <c r="Y13" s="44" t="n">
        <f aca="false">X13</f>
        <v>1</v>
      </c>
      <c r="Z13" s="44" t="n">
        <f aca="false">Y13</f>
        <v>1</v>
      </c>
      <c r="AA13" s="44" t="n">
        <f aca="false">Z13</f>
        <v>1</v>
      </c>
      <c r="AB13" s="44" t="n">
        <f aca="false">AA13</f>
        <v>1</v>
      </c>
      <c r="AC13" s="44" t="n">
        <f aca="false">AB13</f>
        <v>1</v>
      </c>
      <c r="AD13" s="44" t="n">
        <f aca="false">AC13</f>
        <v>1</v>
      </c>
      <c r="AE13" s="44" t="n">
        <f aca="false">B13</f>
        <v>0.902612390895611</v>
      </c>
      <c r="AF13" s="44" t="n">
        <f aca="false">AE13</f>
        <v>0.902612390895611</v>
      </c>
      <c r="AG13" s="44" t="n">
        <f aca="false">AF13</f>
        <v>0.902612390895611</v>
      </c>
      <c r="AH13" s="44" t="n">
        <f aca="false">AG13</f>
        <v>0.902612390895611</v>
      </c>
      <c r="AI13" s="44" t="n">
        <f aca="false">AH13</f>
        <v>0.902612390895611</v>
      </c>
      <c r="AJ13" s="44" t="n">
        <f aca="false">AI13</f>
        <v>0.902612390895611</v>
      </c>
      <c r="AK13" s="44" t="n">
        <f aca="false">AJ13</f>
        <v>0.902612390895611</v>
      </c>
      <c r="AL13" s="44" t="n">
        <f aca="false">AK13</f>
        <v>0.902612390895611</v>
      </c>
      <c r="AM13" s="44" t="n">
        <f aca="false">AL13</f>
        <v>0.902612390895611</v>
      </c>
      <c r="AN13" s="44" t="n">
        <v>1</v>
      </c>
      <c r="AO13" s="44" t="n">
        <f aca="false">AN13</f>
        <v>1</v>
      </c>
      <c r="AP13" s="44" t="n">
        <f aca="false">AO13</f>
        <v>1</v>
      </c>
      <c r="AQ13" s="44" t="n">
        <f aca="false">AP13</f>
        <v>1</v>
      </c>
      <c r="AR13" s="44" t="n">
        <f aca="false">AQ13</f>
        <v>1</v>
      </c>
      <c r="AS13" s="44" t="n">
        <f aca="false">AR13</f>
        <v>1</v>
      </c>
      <c r="AT13" s="44" t="n">
        <f aca="false">AS13</f>
        <v>1</v>
      </c>
      <c r="AU13" s="44" t="n">
        <f aca="false">AT13</f>
        <v>1</v>
      </c>
      <c r="AV13" s="44" t="n">
        <f aca="false">AU13</f>
        <v>1</v>
      </c>
      <c r="AW13" s="44" t="n">
        <f aca="false">AV13</f>
        <v>1</v>
      </c>
      <c r="AX13" s="44" t="n">
        <f aca="false">B13</f>
        <v>0.902612390895611</v>
      </c>
      <c r="AY13" s="44" t="n">
        <f aca="false">AX13</f>
        <v>0.902612390895611</v>
      </c>
      <c r="AZ13" s="44" t="n">
        <f aca="false">AY13</f>
        <v>0.902612390895611</v>
      </c>
      <c r="BA13" s="44" t="n">
        <v>1</v>
      </c>
      <c r="BB13" s="44" t="n">
        <f aca="false">BA13</f>
        <v>1</v>
      </c>
      <c r="BC13" s="44" t="n">
        <f aca="false">AZ13</f>
        <v>0.902612390895611</v>
      </c>
      <c r="BD13" s="44" t="n">
        <f aca="false">BC13</f>
        <v>0.902612390895611</v>
      </c>
      <c r="BE13" s="44" t="n">
        <v>1</v>
      </c>
      <c r="BF13" s="44" t="n">
        <v>1</v>
      </c>
      <c r="BG13" s="44" t="n">
        <f aca="false">BD13</f>
        <v>0.902612390895611</v>
      </c>
      <c r="BH13" s="44" t="n">
        <f aca="false">BG13</f>
        <v>0.902612390895611</v>
      </c>
      <c r="BI13" s="44" t="n">
        <f aca="false">BH13</f>
        <v>0.902612390895611</v>
      </c>
      <c r="BJ13" s="44" t="n">
        <f aca="false">BI13</f>
        <v>0.902612390895611</v>
      </c>
      <c r="BK13" s="44" t="n">
        <v>1</v>
      </c>
    </row>
    <row r="14" customFormat="false" ht="12.8" hidden="false" customHeight="false" outlineLevel="0" collapsed="false">
      <c r="A14" s="0" t="n">
        <f aca="false">A13-1</f>
        <v>2005</v>
      </c>
      <c r="B14" s="45" t="n">
        <v>0.890659686557768</v>
      </c>
      <c r="C14" s="44" t="n">
        <f aca="false">B14</f>
        <v>0.890659686557768</v>
      </c>
      <c r="D14" s="44" t="n">
        <f aca="false">C14</f>
        <v>0.890659686557768</v>
      </c>
      <c r="E14" s="44" t="n">
        <f aca="false">D14</f>
        <v>0.890659686557768</v>
      </c>
      <c r="F14" s="44" t="n">
        <v>1</v>
      </c>
      <c r="G14" s="44" t="n">
        <f aca="false">F14</f>
        <v>1</v>
      </c>
      <c r="H14" s="44" t="n">
        <f aca="false">G14</f>
        <v>1</v>
      </c>
      <c r="I14" s="44" t="n">
        <f aca="false">H14</f>
        <v>1</v>
      </c>
      <c r="J14" s="44" t="n">
        <f aca="false">I14</f>
        <v>1</v>
      </c>
      <c r="K14" s="44" t="n">
        <f aca="false">J14</f>
        <v>1</v>
      </c>
      <c r="L14" s="44" t="n">
        <f aca="false">B14</f>
        <v>0.890659686557768</v>
      </c>
      <c r="M14" s="44" t="n">
        <f aca="false">L14</f>
        <v>0.890659686557768</v>
      </c>
      <c r="N14" s="44" t="n">
        <f aca="false">M14</f>
        <v>0.890659686557768</v>
      </c>
      <c r="O14" s="44" t="n">
        <f aca="false">N14</f>
        <v>0.890659686557768</v>
      </c>
      <c r="P14" s="44" t="n">
        <f aca="false">O14</f>
        <v>0.890659686557768</v>
      </c>
      <c r="Q14" s="44" t="n">
        <v>1</v>
      </c>
      <c r="R14" s="44" t="n">
        <f aca="false">Q14</f>
        <v>1</v>
      </c>
      <c r="S14" s="44" t="n">
        <f aca="false">R14</f>
        <v>1</v>
      </c>
      <c r="T14" s="44" t="n">
        <f aca="false">S14</f>
        <v>1</v>
      </c>
      <c r="U14" s="44" t="n">
        <f aca="false">T14</f>
        <v>1</v>
      </c>
      <c r="V14" s="44" t="n">
        <f aca="false">U14</f>
        <v>1</v>
      </c>
      <c r="W14" s="44" t="n">
        <f aca="false">V14</f>
        <v>1</v>
      </c>
      <c r="X14" s="44" t="n">
        <f aca="false">W14</f>
        <v>1</v>
      </c>
      <c r="Y14" s="44" t="n">
        <f aca="false">X14</f>
        <v>1</v>
      </c>
      <c r="Z14" s="44" t="n">
        <f aca="false">Y14</f>
        <v>1</v>
      </c>
      <c r="AA14" s="44" t="n">
        <f aca="false">Z14</f>
        <v>1</v>
      </c>
      <c r="AB14" s="44" t="n">
        <f aca="false">AA14</f>
        <v>1</v>
      </c>
      <c r="AC14" s="44" t="n">
        <f aca="false">AB14</f>
        <v>1</v>
      </c>
      <c r="AD14" s="44" t="n">
        <f aca="false">AC14</f>
        <v>1</v>
      </c>
      <c r="AE14" s="44" t="n">
        <f aca="false">B14</f>
        <v>0.890659686557768</v>
      </c>
      <c r="AF14" s="44" t="n">
        <f aca="false">AE14</f>
        <v>0.890659686557768</v>
      </c>
      <c r="AG14" s="44" t="n">
        <f aca="false">AF14</f>
        <v>0.890659686557768</v>
      </c>
      <c r="AH14" s="44" t="n">
        <f aca="false">AG14</f>
        <v>0.890659686557768</v>
      </c>
      <c r="AI14" s="44" t="n">
        <f aca="false">AH14</f>
        <v>0.890659686557768</v>
      </c>
      <c r="AJ14" s="44" t="n">
        <f aca="false">AI14</f>
        <v>0.890659686557768</v>
      </c>
      <c r="AK14" s="44" t="n">
        <f aca="false">AJ14</f>
        <v>0.890659686557768</v>
      </c>
      <c r="AL14" s="44" t="n">
        <f aca="false">AK14</f>
        <v>0.890659686557768</v>
      </c>
      <c r="AM14" s="44" t="n">
        <f aca="false">AL14</f>
        <v>0.890659686557768</v>
      </c>
      <c r="AN14" s="44" t="n">
        <v>1</v>
      </c>
      <c r="AO14" s="44" t="n">
        <f aca="false">AN14</f>
        <v>1</v>
      </c>
      <c r="AP14" s="44" t="n">
        <f aca="false">AO14</f>
        <v>1</v>
      </c>
      <c r="AQ14" s="44" t="n">
        <f aca="false">AP14</f>
        <v>1</v>
      </c>
      <c r="AR14" s="44" t="n">
        <f aca="false">AQ14</f>
        <v>1</v>
      </c>
      <c r="AS14" s="44" t="n">
        <f aca="false">AR14</f>
        <v>1</v>
      </c>
      <c r="AT14" s="44" t="n">
        <f aca="false">AS14</f>
        <v>1</v>
      </c>
      <c r="AU14" s="44" t="n">
        <f aca="false">AT14</f>
        <v>1</v>
      </c>
      <c r="AV14" s="44" t="n">
        <f aca="false">AU14</f>
        <v>1</v>
      </c>
      <c r="AW14" s="44" t="n">
        <f aca="false">AV14</f>
        <v>1</v>
      </c>
      <c r="AX14" s="44" t="n">
        <f aca="false">B14</f>
        <v>0.890659686557768</v>
      </c>
      <c r="AY14" s="44" t="n">
        <f aca="false">AX14</f>
        <v>0.890659686557768</v>
      </c>
      <c r="AZ14" s="44" t="n">
        <f aca="false">AY14</f>
        <v>0.890659686557768</v>
      </c>
      <c r="BA14" s="44" t="n">
        <v>1</v>
      </c>
      <c r="BB14" s="44" t="n">
        <f aca="false">BA14</f>
        <v>1</v>
      </c>
      <c r="BC14" s="44" t="n">
        <f aca="false">AZ14</f>
        <v>0.890659686557768</v>
      </c>
      <c r="BD14" s="44" t="n">
        <f aca="false">BC14</f>
        <v>0.890659686557768</v>
      </c>
      <c r="BE14" s="44" t="n">
        <v>1</v>
      </c>
      <c r="BF14" s="44" t="n">
        <v>1</v>
      </c>
      <c r="BG14" s="44" t="n">
        <f aca="false">BD14</f>
        <v>0.890659686557768</v>
      </c>
      <c r="BH14" s="44" t="n">
        <f aca="false">BG14</f>
        <v>0.890659686557768</v>
      </c>
      <c r="BI14" s="44" t="n">
        <f aca="false">BH14</f>
        <v>0.890659686557768</v>
      </c>
      <c r="BJ14" s="44" t="n">
        <f aca="false">BI14</f>
        <v>0.890659686557768</v>
      </c>
      <c r="BK14" s="44" t="n">
        <v>1</v>
      </c>
    </row>
    <row r="15" customFormat="false" ht="12.8" hidden="false" customHeight="false" outlineLevel="0" collapsed="false">
      <c r="A15" s="0" t="n">
        <f aca="false">A14-1</f>
        <v>2004</v>
      </c>
      <c r="B15" s="45" t="n">
        <v>0.871450621064752</v>
      </c>
      <c r="C15" s="44" t="n">
        <f aca="false">B15</f>
        <v>0.871450621064752</v>
      </c>
      <c r="D15" s="44" t="n">
        <f aca="false">C15</f>
        <v>0.871450621064752</v>
      </c>
      <c r="E15" s="44" t="n">
        <f aca="false">D15</f>
        <v>0.871450621064752</v>
      </c>
      <c r="F15" s="44" t="n">
        <v>1</v>
      </c>
      <c r="G15" s="44" t="n">
        <f aca="false">F15</f>
        <v>1</v>
      </c>
      <c r="H15" s="44" t="n">
        <f aca="false">G15</f>
        <v>1</v>
      </c>
      <c r="I15" s="44" t="n">
        <f aca="false">H15</f>
        <v>1</v>
      </c>
      <c r="J15" s="44" t="n">
        <f aca="false">I15</f>
        <v>1</v>
      </c>
      <c r="K15" s="44" t="n">
        <f aca="false">J15</f>
        <v>1</v>
      </c>
      <c r="L15" s="44" t="n">
        <f aca="false">B15</f>
        <v>0.871450621064752</v>
      </c>
      <c r="M15" s="44" t="n">
        <f aca="false">L15</f>
        <v>0.871450621064752</v>
      </c>
      <c r="N15" s="44" t="n">
        <f aca="false">M15</f>
        <v>0.871450621064752</v>
      </c>
      <c r="O15" s="44" t="n">
        <f aca="false">N15</f>
        <v>0.871450621064752</v>
      </c>
      <c r="P15" s="44" t="n">
        <f aca="false">O15</f>
        <v>0.871450621064752</v>
      </c>
      <c r="Q15" s="44" t="n">
        <v>1</v>
      </c>
      <c r="R15" s="44" t="n">
        <f aca="false">Q15</f>
        <v>1</v>
      </c>
      <c r="S15" s="44" t="n">
        <f aca="false">R15</f>
        <v>1</v>
      </c>
      <c r="T15" s="44" t="n">
        <f aca="false">S15</f>
        <v>1</v>
      </c>
      <c r="U15" s="44" t="n">
        <f aca="false">T15</f>
        <v>1</v>
      </c>
      <c r="V15" s="44" t="n">
        <f aca="false">U15</f>
        <v>1</v>
      </c>
      <c r="W15" s="44" t="n">
        <f aca="false">V15</f>
        <v>1</v>
      </c>
      <c r="X15" s="44" t="n">
        <f aca="false">W15</f>
        <v>1</v>
      </c>
      <c r="Y15" s="44" t="n">
        <f aca="false">X15</f>
        <v>1</v>
      </c>
      <c r="Z15" s="44" t="n">
        <f aca="false">Y15</f>
        <v>1</v>
      </c>
      <c r="AA15" s="44" t="n">
        <f aca="false">Z15</f>
        <v>1</v>
      </c>
      <c r="AB15" s="44" t="n">
        <f aca="false">AA15</f>
        <v>1</v>
      </c>
      <c r="AC15" s="44" t="n">
        <f aca="false">AB15</f>
        <v>1</v>
      </c>
      <c r="AD15" s="44" t="n">
        <f aca="false">AC15</f>
        <v>1</v>
      </c>
      <c r="AE15" s="44" t="n">
        <f aca="false">B15</f>
        <v>0.871450621064752</v>
      </c>
      <c r="AF15" s="44" t="n">
        <f aca="false">AE15</f>
        <v>0.871450621064752</v>
      </c>
      <c r="AG15" s="44" t="n">
        <f aca="false">AF15</f>
        <v>0.871450621064752</v>
      </c>
      <c r="AH15" s="44" t="n">
        <f aca="false">AG15</f>
        <v>0.871450621064752</v>
      </c>
      <c r="AI15" s="44" t="n">
        <f aca="false">AH15</f>
        <v>0.871450621064752</v>
      </c>
      <c r="AJ15" s="44" t="n">
        <f aca="false">AI15</f>
        <v>0.871450621064752</v>
      </c>
      <c r="AK15" s="44" t="n">
        <f aca="false">AJ15</f>
        <v>0.871450621064752</v>
      </c>
      <c r="AL15" s="44" t="n">
        <f aca="false">AK15</f>
        <v>0.871450621064752</v>
      </c>
      <c r="AM15" s="44" t="n">
        <f aca="false">AL15</f>
        <v>0.871450621064752</v>
      </c>
      <c r="AN15" s="44" t="n">
        <v>1</v>
      </c>
      <c r="AO15" s="44" t="n">
        <f aca="false">AN15</f>
        <v>1</v>
      </c>
      <c r="AP15" s="44" t="n">
        <f aca="false">AO15</f>
        <v>1</v>
      </c>
      <c r="AQ15" s="44" t="n">
        <f aca="false">AP15</f>
        <v>1</v>
      </c>
      <c r="AR15" s="44" t="n">
        <f aca="false">AQ15</f>
        <v>1</v>
      </c>
      <c r="AS15" s="44" t="n">
        <f aca="false">AR15</f>
        <v>1</v>
      </c>
      <c r="AT15" s="44" t="n">
        <f aca="false">AS15</f>
        <v>1</v>
      </c>
      <c r="AU15" s="44" t="n">
        <f aca="false">AT15</f>
        <v>1</v>
      </c>
      <c r="AV15" s="44" t="n">
        <f aca="false">AU15</f>
        <v>1</v>
      </c>
      <c r="AW15" s="44" t="n">
        <f aca="false">AV15</f>
        <v>1</v>
      </c>
      <c r="AX15" s="44" t="n">
        <f aca="false">B15</f>
        <v>0.871450621064752</v>
      </c>
      <c r="AY15" s="44" t="n">
        <f aca="false">AX15</f>
        <v>0.871450621064752</v>
      </c>
      <c r="AZ15" s="44" t="n">
        <f aca="false">AY15</f>
        <v>0.871450621064752</v>
      </c>
      <c r="BA15" s="44" t="n">
        <v>1</v>
      </c>
      <c r="BB15" s="44" t="n">
        <f aca="false">BA15</f>
        <v>1</v>
      </c>
      <c r="BC15" s="44" t="n">
        <f aca="false">AZ15</f>
        <v>0.871450621064752</v>
      </c>
      <c r="BD15" s="44" t="n">
        <f aca="false">BC15</f>
        <v>0.871450621064752</v>
      </c>
      <c r="BE15" s="44" t="n">
        <v>1</v>
      </c>
      <c r="BF15" s="44" t="n">
        <v>1</v>
      </c>
      <c r="BG15" s="44" t="n">
        <f aca="false">BD15</f>
        <v>0.871450621064752</v>
      </c>
      <c r="BH15" s="44" t="n">
        <f aca="false">BG15</f>
        <v>0.871450621064752</v>
      </c>
      <c r="BI15" s="44" t="n">
        <f aca="false">BH15</f>
        <v>0.871450621064752</v>
      </c>
      <c r="BJ15" s="44" t="n">
        <f aca="false">BI15</f>
        <v>0.871450621064752</v>
      </c>
      <c r="BK15" s="44" t="n">
        <v>1</v>
      </c>
    </row>
    <row r="16" customFormat="false" ht="12.8" hidden="false" customHeight="false" outlineLevel="0" collapsed="false">
      <c r="A16" s="0" t="n">
        <f aca="false">A15-1</f>
        <v>2003</v>
      </c>
      <c r="B16" s="46" t="n">
        <v>0.871778785831483</v>
      </c>
      <c r="C16" s="44" t="n">
        <f aca="false">B16</f>
        <v>0.871778785831483</v>
      </c>
      <c r="D16" s="44" t="n">
        <f aca="false">C16</f>
        <v>0.871778785831483</v>
      </c>
      <c r="E16" s="44" t="n">
        <f aca="false">D16</f>
        <v>0.871778785831483</v>
      </c>
      <c r="F16" s="44" t="n">
        <v>1</v>
      </c>
      <c r="G16" s="44" t="n">
        <f aca="false">F16</f>
        <v>1</v>
      </c>
      <c r="H16" s="44" t="n">
        <f aca="false">G16</f>
        <v>1</v>
      </c>
      <c r="I16" s="44" t="n">
        <f aca="false">H16</f>
        <v>1</v>
      </c>
      <c r="J16" s="44" t="n">
        <f aca="false">I16</f>
        <v>1</v>
      </c>
      <c r="K16" s="44" t="n">
        <f aca="false">J16</f>
        <v>1</v>
      </c>
      <c r="L16" s="44" t="n">
        <f aca="false">B16</f>
        <v>0.871778785831483</v>
      </c>
      <c r="M16" s="44" t="n">
        <f aca="false">L16</f>
        <v>0.871778785831483</v>
      </c>
      <c r="N16" s="44" t="n">
        <f aca="false">M16</f>
        <v>0.871778785831483</v>
      </c>
      <c r="O16" s="44" t="n">
        <f aca="false">N16</f>
        <v>0.871778785831483</v>
      </c>
      <c r="P16" s="44" t="n">
        <f aca="false">O16</f>
        <v>0.871778785831483</v>
      </c>
      <c r="Q16" s="44" t="n">
        <v>1</v>
      </c>
      <c r="R16" s="44" t="n">
        <f aca="false">Q16</f>
        <v>1</v>
      </c>
      <c r="S16" s="44" t="n">
        <f aca="false">R16</f>
        <v>1</v>
      </c>
      <c r="T16" s="44" t="n">
        <f aca="false">S16</f>
        <v>1</v>
      </c>
      <c r="U16" s="44" t="n">
        <f aca="false">T16</f>
        <v>1</v>
      </c>
      <c r="V16" s="44" t="n">
        <f aca="false">U16</f>
        <v>1</v>
      </c>
      <c r="W16" s="44" t="n">
        <f aca="false">V16</f>
        <v>1</v>
      </c>
      <c r="X16" s="44" t="n">
        <f aca="false">W16</f>
        <v>1</v>
      </c>
      <c r="Y16" s="44" t="n">
        <f aca="false">X16</f>
        <v>1</v>
      </c>
      <c r="Z16" s="44" t="n">
        <f aca="false">Y16</f>
        <v>1</v>
      </c>
      <c r="AA16" s="44" t="n">
        <f aca="false">Z16</f>
        <v>1</v>
      </c>
      <c r="AB16" s="44" t="n">
        <f aca="false">AA16</f>
        <v>1</v>
      </c>
      <c r="AC16" s="44" t="n">
        <f aca="false">AB16</f>
        <v>1</v>
      </c>
      <c r="AD16" s="44" t="n">
        <f aca="false">AC16</f>
        <v>1</v>
      </c>
      <c r="AE16" s="44" t="n">
        <f aca="false">B16</f>
        <v>0.871778785831483</v>
      </c>
      <c r="AF16" s="44" t="n">
        <f aca="false">AE16</f>
        <v>0.871778785831483</v>
      </c>
      <c r="AG16" s="44" t="n">
        <f aca="false">AF16</f>
        <v>0.871778785831483</v>
      </c>
      <c r="AH16" s="44" t="n">
        <f aca="false">AG16</f>
        <v>0.871778785831483</v>
      </c>
      <c r="AI16" s="44" t="n">
        <f aca="false">AH16</f>
        <v>0.871778785831483</v>
      </c>
      <c r="AJ16" s="44" t="n">
        <f aca="false">AI16</f>
        <v>0.871778785831483</v>
      </c>
      <c r="AK16" s="44" t="n">
        <f aca="false">AJ16</f>
        <v>0.871778785831483</v>
      </c>
      <c r="AL16" s="44" t="n">
        <f aca="false">AK16</f>
        <v>0.871778785831483</v>
      </c>
      <c r="AM16" s="44" t="n">
        <f aca="false">AL16</f>
        <v>0.871778785831483</v>
      </c>
      <c r="AN16" s="44" t="n">
        <v>1</v>
      </c>
      <c r="AO16" s="44" t="n">
        <f aca="false">AN16</f>
        <v>1</v>
      </c>
      <c r="AP16" s="44" t="n">
        <f aca="false">AO16</f>
        <v>1</v>
      </c>
      <c r="AQ16" s="44" t="n">
        <f aca="false">AP16</f>
        <v>1</v>
      </c>
      <c r="AR16" s="44" t="n">
        <f aca="false">AQ16</f>
        <v>1</v>
      </c>
      <c r="AS16" s="44" t="n">
        <f aca="false">AR16</f>
        <v>1</v>
      </c>
      <c r="AT16" s="44" t="n">
        <f aca="false">AS16</f>
        <v>1</v>
      </c>
      <c r="AU16" s="44" t="n">
        <f aca="false">AT16</f>
        <v>1</v>
      </c>
      <c r="AV16" s="44" t="n">
        <f aca="false">AU16</f>
        <v>1</v>
      </c>
      <c r="AW16" s="44" t="n">
        <f aca="false">AV16</f>
        <v>1</v>
      </c>
      <c r="AX16" s="44" t="n">
        <f aca="false">B16</f>
        <v>0.871778785831483</v>
      </c>
      <c r="AY16" s="44" t="n">
        <f aca="false">AX16</f>
        <v>0.871778785831483</v>
      </c>
      <c r="AZ16" s="44" t="n">
        <f aca="false">AY16</f>
        <v>0.871778785831483</v>
      </c>
      <c r="BA16" s="44" t="n">
        <v>1</v>
      </c>
      <c r="BB16" s="44" t="n">
        <f aca="false">BA16</f>
        <v>1</v>
      </c>
      <c r="BC16" s="44" t="n">
        <f aca="false">AZ16</f>
        <v>0.871778785831483</v>
      </c>
      <c r="BD16" s="44" t="n">
        <f aca="false">BC16</f>
        <v>0.871778785831483</v>
      </c>
      <c r="BE16" s="44" t="n">
        <v>1</v>
      </c>
      <c r="BF16" s="44" t="n">
        <v>1</v>
      </c>
      <c r="BG16" s="44" t="n">
        <f aca="false">BD16</f>
        <v>0.871778785831483</v>
      </c>
      <c r="BH16" s="44" t="n">
        <f aca="false">BG16</f>
        <v>0.871778785831483</v>
      </c>
      <c r="BI16" s="44" t="n">
        <f aca="false">BH16</f>
        <v>0.871778785831483</v>
      </c>
      <c r="BJ16" s="44" t="n">
        <f aca="false">BI16</f>
        <v>0.871778785831483</v>
      </c>
      <c r="BK16" s="44" t="n">
        <v>1</v>
      </c>
    </row>
    <row r="17" customFormat="false" ht="12.8" hidden="false" customHeight="false" outlineLevel="0" collapsed="false">
      <c r="A17" s="0" t="n">
        <f aca="false">A16-1</f>
        <v>2002</v>
      </c>
      <c r="B17" s="47" t="n">
        <v>0.857843137254902</v>
      </c>
      <c r="C17" s="44" t="n">
        <f aca="false">B17</f>
        <v>0.857843137254902</v>
      </c>
      <c r="D17" s="44" t="n">
        <f aca="false">C17</f>
        <v>0.857843137254902</v>
      </c>
      <c r="E17" s="44" t="n">
        <f aca="false">D17</f>
        <v>0.857843137254902</v>
      </c>
      <c r="F17" s="44" t="n">
        <v>1</v>
      </c>
      <c r="G17" s="44" t="n">
        <f aca="false">F17</f>
        <v>1</v>
      </c>
      <c r="H17" s="44" t="n">
        <f aca="false">G17</f>
        <v>1</v>
      </c>
      <c r="I17" s="44" t="n">
        <f aca="false">H17</f>
        <v>1</v>
      </c>
      <c r="J17" s="44" t="n">
        <f aca="false">I17</f>
        <v>1</v>
      </c>
      <c r="K17" s="44" t="n">
        <f aca="false">J17</f>
        <v>1</v>
      </c>
      <c r="L17" s="44" t="n">
        <f aca="false">B17</f>
        <v>0.857843137254902</v>
      </c>
      <c r="M17" s="44" t="n">
        <f aca="false">L17</f>
        <v>0.857843137254902</v>
      </c>
      <c r="N17" s="44" t="n">
        <f aca="false">M17</f>
        <v>0.857843137254902</v>
      </c>
      <c r="O17" s="44" t="n">
        <f aca="false">N17</f>
        <v>0.857843137254902</v>
      </c>
      <c r="P17" s="44" t="n">
        <f aca="false">O17</f>
        <v>0.857843137254902</v>
      </c>
      <c r="Q17" s="44" t="n">
        <v>1</v>
      </c>
      <c r="R17" s="44" t="n">
        <f aca="false">Q17</f>
        <v>1</v>
      </c>
      <c r="S17" s="44" t="n">
        <f aca="false">R17</f>
        <v>1</v>
      </c>
      <c r="T17" s="44" t="n">
        <f aca="false">S17</f>
        <v>1</v>
      </c>
      <c r="U17" s="44" t="n">
        <f aca="false">T17</f>
        <v>1</v>
      </c>
      <c r="V17" s="44" t="n">
        <f aca="false">U17</f>
        <v>1</v>
      </c>
      <c r="W17" s="44" t="n">
        <f aca="false">V17</f>
        <v>1</v>
      </c>
      <c r="X17" s="44" t="n">
        <f aca="false">W17</f>
        <v>1</v>
      </c>
      <c r="Y17" s="44" t="n">
        <f aca="false">X17</f>
        <v>1</v>
      </c>
      <c r="Z17" s="44" t="n">
        <f aca="false">Y17</f>
        <v>1</v>
      </c>
      <c r="AA17" s="44" t="n">
        <f aca="false">Z17</f>
        <v>1</v>
      </c>
      <c r="AB17" s="44" t="n">
        <f aca="false">AA17</f>
        <v>1</v>
      </c>
      <c r="AC17" s="44" t="n">
        <f aca="false">AB17</f>
        <v>1</v>
      </c>
      <c r="AD17" s="44" t="n">
        <f aca="false">AC17</f>
        <v>1</v>
      </c>
      <c r="AE17" s="44" t="n">
        <f aca="false">B17</f>
        <v>0.857843137254902</v>
      </c>
      <c r="AF17" s="44" t="n">
        <f aca="false">AE17</f>
        <v>0.857843137254902</v>
      </c>
      <c r="AG17" s="44" t="n">
        <f aca="false">AF17</f>
        <v>0.857843137254902</v>
      </c>
      <c r="AH17" s="44" t="n">
        <f aca="false">AG17</f>
        <v>0.857843137254902</v>
      </c>
      <c r="AI17" s="44" t="n">
        <f aca="false">AH17</f>
        <v>0.857843137254902</v>
      </c>
      <c r="AJ17" s="44" t="n">
        <f aca="false">AI17</f>
        <v>0.857843137254902</v>
      </c>
      <c r="AK17" s="44" t="n">
        <f aca="false">AJ17</f>
        <v>0.857843137254902</v>
      </c>
      <c r="AL17" s="44" t="n">
        <f aca="false">AK17</f>
        <v>0.857843137254902</v>
      </c>
      <c r="AM17" s="44" t="n">
        <f aca="false">AL17</f>
        <v>0.857843137254902</v>
      </c>
      <c r="AN17" s="44" t="n">
        <v>1</v>
      </c>
      <c r="AO17" s="44" t="n">
        <f aca="false">AN17</f>
        <v>1</v>
      </c>
      <c r="AP17" s="44" t="n">
        <f aca="false">AO17</f>
        <v>1</v>
      </c>
      <c r="AQ17" s="44" t="n">
        <f aca="false">AP17</f>
        <v>1</v>
      </c>
      <c r="AR17" s="44" t="n">
        <f aca="false">AQ17</f>
        <v>1</v>
      </c>
      <c r="AS17" s="44" t="n">
        <f aca="false">AR17</f>
        <v>1</v>
      </c>
      <c r="AT17" s="44" t="n">
        <f aca="false">AS17</f>
        <v>1</v>
      </c>
      <c r="AU17" s="44" t="n">
        <f aca="false">AT17</f>
        <v>1</v>
      </c>
      <c r="AV17" s="44" t="n">
        <f aca="false">AU17</f>
        <v>1</v>
      </c>
      <c r="AW17" s="44" t="n">
        <f aca="false">AV17</f>
        <v>1</v>
      </c>
      <c r="AX17" s="44" t="n">
        <f aca="false">B17</f>
        <v>0.857843137254902</v>
      </c>
      <c r="AY17" s="44" t="n">
        <f aca="false">AX17</f>
        <v>0.857843137254902</v>
      </c>
      <c r="AZ17" s="44" t="n">
        <f aca="false">AY17</f>
        <v>0.857843137254902</v>
      </c>
      <c r="BA17" s="44" t="n">
        <v>1</v>
      </c>
      <c r="BB17" s="44" t="n">
        <f aca="false">BA17</f>
        <v>1</v>
      </c>
      <c r="BC17" s="44" t="n">
        <f aca="false">AZ17</f>
        <v>0.857843137254902</v>
      </c>
      <c r="BD17" s="44" t="n">
        <f aca="false">BC17</f>
        <v>0.857843137254902</v>
      </c>
      <c r="BE17" s="44" t="n">
        <v>1</v>
      </c>
      <c r="BF17" s="44" t="n">
        <v>1</v>
      </c>
      <c r="BG17" s="44" t="n">
        <f aca="false">BD17</f>
        <v>0.857843137254902</v>
      </c>
      <c r="BH17" s="44" t="n">
        <f aca="false">BG17</f>
        <v>0.857843137254902</v>
      </c>
      <c r="BI17" s="44" t="n">
        <f aca="false">BH17</f>
        <v>0.857843137254902</v>
      </c>
      <c r="BJ17" s="44" t="n">
        <f aca="false">BI17</f>
        <v>0.857843137254902</v>
      </c>
      <c r="BK17" s="44" t="n">
        <v>1</v>
      </c>
    </row>
    <row r="18" customFormat="false" ht="12.8" hidden="false" customHeight="false" outlineLevel="0" collapsed="false">
      <c r="A18" s="0" t="n">
        <f aca="false">A17-1</f>
        <v>2001</v>
      </c>
      <c r="B18" s="47" t="n">
        <v>0.858837715886105</v>
      </c>
      <c r="C18" s="44" t="n">
        <f aca="false">B18</f>
        <v>0.858837715886105</v>
      </c>
      <c r="D18" s="44" t="n">
        <f aca="false">C18</f>
        <v>0.858837715886105</v>
      </c>
      <c r="E18" s="44" t="n">
        <f aca="false">D18</f>
        <v>0.858837715886105</v>
      </c>
      <c r="F18" s="44" t="n">
        <v>1</v>
      </c>
      <c r="G18" s="44" t="n">
        <f aca="false">F18</f>
        <v>1</v>
      </c>
      <c r="H18" s="44" t="n">
        <f aca="false">G18</f>
        <v>1</v>
      </c>
      <c r="I18" s="44" t="n">
        <f aca="false">H18</f>
        <v>1</v>
      </c>
      <c r="J18" s="44" t="n">
        <f aca="false">I18</f>
        <v>1</v>
      </c>
      <c r="K18" s="44" t="n">
        <f aca="false">J18</f>
        <v>1</v>
      </c>
      <c r="L18" s="44" t="n">
        <f aca="false">B18</f>
        <v>0.858837715886105</v>
      </c>
      <c r="M18" s="44" t="n">
        <f aca="false">L18</f>
        <v>0.858837715886105</v>
      </c>
      <c r="N18" s="44" t="n">
        <f aca="false">M18</f>
        <v>0.858837715886105</v>
      </c>
      <c r="O18" s="44" t="n">
        <f aca="false">N18</f>
        <v>0.858837715886105</v>
      </c>
      <c r="P18" s="44" t="n">
        <f aca="false">O18</f>
        <v>0.858837715886105</v>
      </c>
      <c r="Q18" s="44" t="n">
        <v>1</v>
      </c>
      <c r="R18" s="44" t="n">
        <f aca="false">Q18</f>
        <v>1</v>
      </c>
      <c r="S18" s="44" t="n">
        <f aca="false">R18</f>
        <v>1</v>
      </c>
      <c r="T18" s="44" t="n">
        <f aca="false">S18</f>
        <v>1</v>
      </c>
      <c r="U18" s="44" t="n">
        <f aca="false">T18</f>
        <v>1</v>
      </c>
      <c r="V18" s="44" t="n">
        <f aca="false">U18</f>
        <v>1</v>
      </c>
      <c r="W18" s="44" t="n">
        <f aca="false">V18</f>
        <v>1</v>
      </c>
      <c r="X18" s="44" t="n">
        <f aca="false">W18</f>
        <v>1</v>
      </c>
      <c r="Y18" s="44" t="n">
        <f aca="false">X18</f>
        <v>1</v>
      </c>
      <c r="Z18" s="44" t="n">
        <f aca="false">Y18</f>
        <v>1</v>
      </c>
      <c r="AA18" s="44" t="n">
        <f aca="false">Z18</f>
        <v>1</v>
      </c>
      <c r="AB18" s="44" t="n">
        <f aca="false">AA18</f>
        <v>1</v>
      </c>
      <c r="AC18" s="44" t="n">
        <f aca="false">AB18</f>
        <v>1</v>
      </c>
      <c r="AD18" s="44" t="n">
        <f aca="false">AC18</f>
        <v>1</v>
      </c>
      <c r="AE18" s="44" t="n">
        <f aca="false">B18</f>
        <v>0.858837715886105</v>
      </c>
      <c r="AF18" s="44" t="n">
        <f aca="false">AE18</f>
        <v>0.858837715886105</v>
      </c>
      <c r="AG18" s="44" t="n">
        <f aca="false">AF18</f>
        <v>0.858837715886105</v>
      </c>
      <c r="AH18" s="44" t="n">
        <f aca="false">AG18</f>
        <v>0.858837715886105</v>
      </c>
      <c r="AI18" s="44" t="n">
        <f aca="false">AH18</f>
        <v>0.858837715886105</v>
      </c>
      <c r="AJ18" s="44" t="n">
        <f aca="false">AI18</f>
        <v>0.858837715886105</v>
      </c>
      <c r="AK18" s="44" t="n">
        <f aca="false">AJ18</f>
        <v>0.858837715886105</v>
      </c>
      <c r="AL18" s="44" t="n">
        <f aca="false">AK18</f>
        <v>0.858837715886105</v>
      </c>
      <c r="AM18" s="44" t="n">
        <f aca="false">AL18</f>
        <v>0.858837715886105</v>
      </c>
      <c r="AN18" s="44" t="n">
        <v>1</v>
      </c>
      <c r="AO18" s="44" t="n">
        <f aca="false">AN18</f>
        <v>1</v>
      </c>
      <c r="AP18" s="44" t="n">
        <f aca="false">AO18</f>
        <v>1</v>
      </c>
      <c r="AQ18" s="44" t="n">
        <f aca="false">AP18</f>
        <v>1</v>
      </c>
      <c r="AR18" s="44" t="n">
        <f aca="false">AQ18</f>
        <v>1</v>
      </c>
      <c r="AS18" s="44" t="n">
        <f aca="false">AR18</f>
        <v>1</v>
      </c>
      <c r="AT18" s="44" t="n">
        <f aca="false">AS18</f>
        <v>1</v>
      </c>
      <c r="AU18" s="44" t="n">
        <f aca="false">AT18</f>
        <v>1</v>
      </c>
      <c r="AV18" s="44" t="n">
        <f aca="false">AU18</f>
        <v>1</v>
      </c>
      <c r="AW18" s="44" t="n">
        <f aca="false">AV18</f>
        <v>1</v>
      </c>
      <c r="AX18" s="44" t="n">
        <f aca="false">B18</f>
        <v>0.858837715886105</v>
      </c>
      <c r="AY18" s="44" t="n">
        <f aca="false">AX18</f>
        <v>0.858837715886105</v>
      </c>
      <c r="AZ18" s="44" t="n">
        <f aca="false">AY18</f>
        <v>0.858837715886105</v>
      </c>
      <c r="BA18" s="44" t="n">
        <v>1</v>
      </c>
      <c r="BB18" s="44" t="n">
        <f aca="false">BA18</f>
        <v>1</v>
      </c>
      <c r="BC18" s="44" t="n">
        <f aca="false">AZ18</f>
        <v>0.858837715886105</v>
      </c>
      <c r="BD18" s="44" t="n">
        <f aca="false">BC18</f>
        <v>0.858837715886105</v>
      </c>
      <c r="BE18" s="44" t="n">
        <v>1</v>
      </c>
      <c r="BF18" s="44" t="n">
        <v>1</v>
      </c>
      <c r="BG18" s="44" t="n">
        <f aca="false">BD18</f>
        <v>0.858837715886105</v>
      </c>
      <c r="BH18" s="44" t="n">
        <f aca="false">BG18</f>
        <v>0.858837715886105</v>
      </c>
      <c r="BI18" s="44" t="n">
        <f aca="false">BH18</f>
        <v>0.858837715886105</v>
      </c>
      <c r="BJ18" s="44" t="n">
        <f aca="false">BI18</f>
        <v>0.858837715886105</v>
      </c>
      <c r="BK18" s="44" t="n">
        <v>1</v>
      </c>
    </row>
    <row r="19" customFormat="false" ht="12.8" hidden="false" customHeight="false" outlineLevel="0" collapsed="false">
      <c r="A19" s="0" t="n">
        <f aca="false">A18-1</f>
        <v>2000</v>
      </c>
      <c r="B19" s="48" t="n">
        <v>0.526721763085399</v>
      </c>
      <c r="C19" s="44" t="n">
        <f aca="false">B19</f>
        <v>0.526721763085399</v>
      </c>
      <c r="D19" s="44" t="n">
        <f aca="false">C19</f>
        <v>0.526721763085399</v>
      </c>
      <c r="E19" s="44" t="n">
        <f aca="false">D19</f>
        <v>0.526721763085399</v>
      </c>
      <c r="F19" s="44" t="n">
        <v>1</v>
      </c>
      <c r="G19" s="44" t="n">
        <f aca="false">F19</f>
        <v>1</v>
      </c>
      <c r="H19" s="44" t="n">
        <f aca="false">G19</f>
        <v>1</v>
      </c>
      <c r="I19" s="44" t="n">
        <f aca="false">H19</f>
        <v>1</v>
      </c>
      <c r="J19" s="44" t="n">
        <f aca="false">I19</f>
        <v>1</v>
      </c>
      <c r="K19" s="44" t="n">
        <f aca="false">J19</f>
        <v>1</v>
      </c>
      <c r="L19" s="44" t="n">
        <f aca="false">B19</f>
        <v>0.526721763085399</v>
      </c>
      <c r="M19" s="44" t="n">
        <f aca="false">L19</f>
        <v>0.526721763085399</v>
      </c>
      <c r="N19" s="44" t="n">
        <f aca="false">M19</f>
        <v>0.526721763085399</v>
      </c>
      <c r="O19" s="44" t="n">
        <f aca="false">N19</f>
        <v>0.526721763085399</v>
      </c>
      <c r="P19" s="44" t="n">
        <f aca="false">O19</f>
        <v>0.526721763085399</v>
      </c>
      <c r="Q19" s="44" t="n">
        <v>1</v>
      </c>
      <c r="R19" s="44" t="n">
        <f aca="false">Q19</f>
        <v>1</v>
      </c>
      <c r="S19" s="44" t="n">
        <f aca="false">R19</f>
        <v>1</v>
      </c>
      <c r="T19" s="44" t="n">
        <f aca="false">S19</f>
        <v>1</v>
      </c>
      <c r="U19" s="44" t="n">
        <f aca="false">T19</f>
        <v>1</v>
      </c>
      <c r="V19" s="44" t="n">
        <f aca="false">U19</f>
        <v>1</v>
      </c>
      <c r="W19" s="44" t="n">
        <f aca="false">V19</f>
        <v>1</v>
      </c>
      <c r="X19" s="44" t="n">
        <f aca="false">W19</f>
        <v>1</v>
      </c>
      <c r="Y19" s="44" t="n">
        <f aca="false">X19</f>
        <v>1</v>
      </c>
      <c r="Z19" s="44" t="n">
        <f aca="false">Y19</f>
        <v>1</v>
      </c>
      <c r="AA19" s="44" t="n">
        <f aca="false">Z19</f>
        <v>1</v>
      </c>
      <c r="AB19" s="44" t="n">
        <f aca="false">AA19</f>
        <v>1</v>
      </c>
      <c r="AC19" s="44" t="n">
        <f aca="false">AB19</f>
        <v>1</v>
      </c>
      <c r="AD19" s="44" t="n">
        <f aca="false">AC19</f>
        <v>1</v>
      </c>
      <c r="AE19" s="44" t="n">
        <f aca="false">B19</f>
        <v>0.526721763085399</v>
      </c>
      <c r="AF19" s="44" t="n">
        <f aca="false">AE19</f>
        <v>0.526721763085399</v>
      </c>
      <c r="AG19" s="44" t="n">
        <f aca="false">AF19</f>
        <v>0.526721763085399</v>
      </c>
      <c r="AH19" s="44" t="n">
        <f aca="false">AG19</f>
        <v>0.526721763085399</v>
      </c>
      <c r="AI19" s="44" t="n">
        <f aca="false">AH19</f>
        <v>0.526721763085399</v>
      </c>
      <c r="AJ19" s="44" t="n">
        <f aca="false">AI19</f>
        <v>0.526721763085399</v>
      </c>
      <c r="AK19" s="44" t="n">
        <f aca="false">AJ19</f>
        <v>0.526721763085399</v>
      </c>
      <c r="AL19" s="44" t="n">
        <f aca="false">AK19</f>
        <v>0.526721763085399</v>
      </c>
      <c r="AM19" s="44" t="n">
        <f aca="false">AL19</f>
        <v>0.526721763085399</v>
      </c>
      <c r="AN19" s="44" t="n">
        <v>1</v>
      </c>
      <c r="AO19" s="44" t="n">
        <f aca="false">AN19</f>
        <v>1</v>
      </c>
      <c r="AP19" s="44" t="n">
        <f aca="false">AO19</f>
        <v>1</v>
      </c>
      <c r="AQ19" s="44" t="n">
        <f aca="false">AP19</f>
        <v>1</v>
      </c>
      <c r="AR19" s="44" t="n">
        <f aca="false">AQ19</f>
        <v>1</v>
      </c>
      <c r="AS19" s="44" t="n">
        <f aca="false">AR19</f>
        <v>1</v>
      </c>
      <c r="AT19" s="44" t="n">
        <f aca="false">AS19</f>
        <v>1</v>
      </c>
      <c r="AU19" s="44" t="n">
        <f aca="false">AT19</f>
        <v>1</v>
      </c>
      <c r="AV19" s="44" t="n">
        <f aca="false">AU19</f>
        <v>1</v>
      </c>
      <c r="AW19" s="44" t="n">
        <f aca="false">AV19</f>
        <v>1</v>
      </c>
      <c r="AX19" s="44" t="n">
        <f aca="false">B19</f>
        <v>0.526721763085399</v>
      </c>
      <c r="AY19" s="44" t="n">
        <f aca="false">AX19</f>
        <v>0.526721763085399</v>
      </c>
      <c r="AZ19" s="44" t="n">
        <f aca="false">AY19</f>
        <v>0.526721763085399</v>
      </c>
      <c r="BA19" s="44" t="n">
        <v>1</v>
      </c>
      <c r="BB19" s="44" t="n">
        <f aca="false">BA19</f>
        <v>1</v>
      </c>
      <c r="BC19" s="44" t="n">
        <f aca="false">AZ19</f>
        <v>0.526721763085399</v>
      </c>
      <c r="BD19" s="44" t="n">
        <f aca="false">BC19</f>
        <v>0.526721763085399</v>
      </c>
      <c r="BE19" s="44" t="n">
        <v>1</v>
      </c>
      <c r="BF19" s="44" t="n">
        <v>1</v>
      </c>
      <c r="BG19" s="44" t="n">
        <f aca="false">BD19</f>
        <v>0.526721763085399</v>
      </c>
      <c r="BH19" s="44" t="n">
        <f aca="false">BG19</f>
        <v>0.526721763085399</v>
      </c>
      <c r="BI19" s="44" t="n">
        <f aca="false">BH19</f>
        <v>0.526721763085399</v>
      </c>
      <c r="BJ19" s="44" t="n">
        <f aca="false">BI19</f>
        <v>0.526721763085399</v>
      </c>
      <c r="BK19" s="44" t="n">
        <v>1</v>
      </c>
    </row>
    <row r="20" customFormat="false" ht="12.8" hidden="false" customHeight="false" outlineLevel="0" collapsed="false">
      <c r="A20" s="0" t="n">
        <f aca="false">A19-1</f>
        <v>1999</v>
      </c>
      <c r="B20" s="48" t="n">
        <v>0.894390581717452</v>
      </c>
      <c r="C20" s="44" t="n">
        <f aca="false">B20</f>
        <v>0.894390581717452</v>
      </c>
      <c r="D20" s="44" t="n">
        <f aca="false">C20</f>
        <v>0.894390581717452</v>
      </c>
      <c r="E20" s="44" t="n">
        <f aca="false">D20</f>
        <v>0.894390581717452</v>
      </c>
      <c r="F20" s="44" t="n">
        <v>1</v>
      </c>
      <c r="G20" s="44" t="n">
        <f aca="false">F20</f>
        <v>1</v>
      </c>
      <c r="H20" s="44" t="n">
        <f aca="false">G20</f>
        <v>1</v>
      </c>
      <c r="I20" s="44" t="n">
        <f aca="false">H20</f>
        <v>1</v>
      </c>
      <c r="J20" s="44" t="n">
        <f aca="false">I20</f>
        <v>1</v>
      </c>
      <c r="K20" s="44" t="n">
        <f aca="false">J20</f>
        <v>1</v>
      </c>
      <c r="L20" s="44" t="n">
        <f aca="false">B20</f>
        <v>0.894390581717452</v>
      </c>
      <c r="M20" s="44" t="n">
        <f aca="false">L20</f>
        <v>0.894390581717452</v>
      </c>
      <c r="N20" s="44" t="n">
        <f aca="false">M20</f>
        <v>0.894390581717452</v>
      </c>
      <c r="O20" s="44" t="n">
        <f aca="false">N20</f>
        <v>0.894390581717452</v>
      </c>
      <c r="P20" s="44" t="n">
        <f aca="false">O20</f>
        <v>0.894390581717452</v>
      </c>
      <c r="Q20" s="44" t="n">
        <v>1</v>
      </c>
      <c r="R20" s="44" t="n">
        <f aca="false">Q20</f>
        <v>1</v>
      </c>
      <c r="S20" s="44" t="n">
        <f aca="false">R20</f>
        <v>1</v>
      </c>
      <c r="T20" s="44" t="n">
        <f aca="false">S20</f>
        <v>1</v>
      </c>
      <c r="U20" s="44" t="n">
        <f aca="false">T20</f>
        <v>1</v>
      </c>
      <c r="V20" s="44" t="n">
        <f aca="false">U20</f>
        <v>1</v>
      </c>
      <c r="W20" s="44" t="n">
        <f aca="false">V20</f>
        <v>1</v>
      </c>
      <c r="X20" s="44" t="n">
        <f aca="false">W20</f>
        <v>1</v>
      </c>
      <c r="Y20" s="44" t="n">
        <f aca="false">X20</f>
        <v>1</v>
      </c>
      <c r="Z20" s="44" t="n">
        <f aca="false">Y20</f>
        <v>1</v>
      </c>
      <c r="AA20" s="44" t="n">
        <f aca="false">Z20</f>
        <v>1</v>
      </c>
      <c r="AB20" s="44" t="n">
        <f aca="false">AA20</f>
        <v>1</v>
      </c>
      <c r="AC20" s="44" t="n">
        <f aca="false">AB20</f>
        <v>1</v>
      </c>
      <c r="AD20" s="44" t="n">
        <f aca="false">AC20</f>
        <v>1</v>
      </c>
      <c r="AE20" s="44" t="n">
        <f aca="false">B20</f>
        <v>0.894390581717452</v>
      </c>
      <c r="AF20" s="44" t="n">
        <f aca="false">AE20</f>
        <v>0.894390581717452</v>
      </c>
      <c r="AG20" s="44" t="n">
        <f aca="false">AF20</f>
        <v>0.894390581717452</v>
      </c>
      <c r="AH20" s="44" t="n">
        <f aca="false">AG20</f>
        <v>0.894390581717452</v>
      </c>
      <c r="AI20" s="44" t="n">
        <f aca="false">AH20</f>
        <v>0.894390581717452</v>
      </c>
      <c r="AJ20" s="44" t="n">
        <f aca="false">AI20</f>
        <v>0.894390581717452</v>
      </c>
      <c r="AK20" s="44" t="n">
        <f aca="false">AJ20</f>
        <v>0.894390581717452</v>
      </c>
      <c r="AL20" s="44" t="n">
        <f aca="false">AK20</f>
        <v>0.894390581717452</v>
      </c>
      <c r="AM20" s="44" t="n">
        <f aca="false">AL20</f>
        <v>0.894390581717452</v>
      </c>
      <c r="AN20" s="44" t="n">
        <v>1</v>
      </c>
      <c r="AO20" s="44" t="n">
        <f aca="false">AN20</f>
        <v>1</v>
      </c>
      <c r="AP20" s="44" t="n">
        <f aca="false">AO20</f>
        <v>1</v>
      </c>
      <c r="AQ20" s="44" t="n">
        <f aca="false">AP20</f>
        <v>1</v>
      </c>
      <c r="AR20" s="44" t="n">
        <f aca="false">AQ20</f>
        <v>1</v>
      </c>
      <c r="AS20" s="44" t="n">
        <f aca="false">AR20</f>
        <v>1</v>
      </c>
      <c r="AT20" s="44" t="n">
        <f aca="false">AS20</f>
        <v>1</v>
      </c>
      <c r="AU20" s="44" t="n">
        <f aca="false">AT20</f>
        <v>1</v>
      </c>
      <c r="AV20" s="44" t="n">
        <f aca="false">AU20</f>
        <v>1</v>
      </c>
      <c r="AW20" s="44" t="n">
        <f aca="false">AV20</f>
        <v>1</v>
      </c>
      <c r="AX20" s="44" t="n">
        <f aca="false">B20</f>
        <v>0.894390581717452</v>
      </c>
      <c r="AY20" s="44" t="n">
        <f aca="false">AX20</f>
        <v>0.894390581717452</v>
      </c>
      <c r="AZ20" s="44" t="n">
        <f aca="false">AY20</f>
        <v>0.894390581717452</v>
      </c>
      <c r="BA20" s="44" t="n">
        <v>1</v>
      </c>
      <c r="BB20" s="44" t="n">
        <f aca="false">BA20</f>
        <v>1</v>
      </c>
      <c r="BC20" s="44" t="n">
        <f aca="false">AZ20</f>
        <v>0.894390581717452</v>
      </c>
      <c r="BD20" s="44" t="n">
        <f aca="false">BC20</f>
        <v>0.894390581717452</v>
      </c>
      <c r="BE20" s="44" t="n">
        <v>1</v>
      </c>
      <c r="BF20" s="44" t="n">
        <v>1</v>
      </c>
      <c r="BG20" s="44" t="n">
        <f aca="false">BD20</f>
        <v>0.894390581717452</v>
      </c>
      <c r="BH20" s="44" t="n">
        <f aca="false">BG20</f>
        <v>0.894390581717452</v>
      </c>
      <c r="BI20" s="44" t="n">
        <f aca="false">BH20</f>
        <v>0.894390581717452</v>
      </c>
      <c r="BJ20" s="44" t="n">
        <f aca="false">BI20</f>
        <v>0.894390581717452</v>
      </c>
      <c r="BK20" s="44" t="n">
        <v>1</v>
      </c>
    </row>
    <row r="21" customFormat="false" ht="12.8" hidden="false" customHeight="false" outlineLevel="0" collapsed="false">
      <c r="A21" s="0" t="n">
        <f aca="false">A20-1</f>
        <v>1998</v>
      </c>
      <c r="B21" s="48" t="n">
        <v>0.887124770267511</v>
      </c>
      <c r="C21" s="44" t="n">
        <f aca="false">B21</f>
        <v>0.887124770267511</v>
      </c>
      <c r="D21" s="44" t="n">
        <f aca="false">C21</f>
        <v>0.887124770267511</v>
      </c>
      <c r="E21" s="44" t="n">
        <f aca="false">D21</f>
        <v>0.887124770267511</v>
      </c>
      <c r="F21" s="44" t="n">
        <v>1</v>
      </c>
      <c r="G21" s="44" t="n">
        <f aca="false">F21</f>
        <v>1</v>
      </c>
      <c r="H21" s="44" t="n">
        <f aca="false">G21</f>
        <v>1</v>
      </c>
      <c r="I21" s="44" t="n">
        <f aca="false">H21</f>
        <v>1</v>
      </c>
      <c r="J21" s="44" t="n">
        <f aca="false">I21</f>
        <v>1</v>
      </c>
      <c r="K21" s="44" t="n">
        <f aca="false">J21</f>
        <v>1</v>
      </c>
      <c r="L21" s="44" t="n">
        <f aca="false">B21</f>
        <v>0.887124770267511</v>
      </c>
      <c r="M21" s="44" t="n">
        <f aca="false">L21</f>
        <v>0.887124770267511</v>
      </c>
      <c r="N21" s="44" t="n">
        <f aca="false">M21</f>
        <v>0.887124770267511</v>
      </c>
      <c r="O21" s="44" t="n">
        <f aca="false">N21</f>
        <v>0.887124770267511</v>
      </c>
      <c r="P21" s="44" t="n">
        <f aca="false">O21</f>
        <v>0.887124770267511</v>
      </c>
      <c r="Q21" s="44" t="n">
        <v>1</v>
      </c>
      <c r="R21" s="44" t="n">
        <f aca="false">Q21</f>
        <v>1</v>
      </c>
      <c r="S21" s="44" t="n">
        <f aca="false">R21</f>
        <v>1</v>
      </c>
      <c r="T21" s="44" t="n">
        <f aca="false">S21</f>
        <v>1</v>
      </c>
      <c r="U21" s="44" t="n">
        <f aca="false">T21</f>
        <v>1</v>
      </c>
      <c r="V21" s="44" t="n">
        <f aca="false">U21</f>
        <v>1</v>
      </c>
      <c r="W21" s="44" t="n">
        <f aca="false">V21</f>
        <v>1</v>
      </c>
      <c r="X21" s="44" t="n">
        <f aca="false">W21</f>
        <v>1</v>
      </c>
      <c r="Y21" s="44" t="n">
        <f aca="false">X21</f>
        <v>1</v>
      </c>
      <c r="Z21" s="44" t="n">
        <f aca="false">Y21</f>
        <v>1</v>
      </c>
      <c r="AA21" s="44" t="n">
        <f aca="false">Z21</f>
        <v>1</v>
      </c>
      <c r="AB21" s="44" t="n">
        <f aca="false">AA21</f>
        <v>1</v>
      </c>
      <c r="AC21" s="44" t="n">
        <f aca="false">AB21</f>
        <v>1</v>
      </c>
      <c r="AD21" s="44" t="n">
        <f aca="false">AC21</f>
        <v>1</v>
      </c>
      <c r="AE21" s="44" t="n">
        <f aca="false">B21</f>
        <v>0.887124770267511</v>
      </c>
      <c r="AF21" s="44" t="n">
        <f aca="false">AE21</f>
        <v>0.887124770267511</v>
      </c>
      <c r="AG21" s="44" t="n">
        <f aca="false">AF21</f>
        <v>0.887124770267511</v>
      </c>
      <c r="AH21" s="44" t="n">
        <f aca="false">AG21</f>
        <v>0.887124770267511</v>
      </c>
      <c r="AI21" s="44" t="n">
        <f aca="false">AH21</f>
        <v>0.887124770267511</v>
      </c>
      <c r="AJ21" s="44" t="n">
        <f aca="false">AI21</f>
        <v>0.887124770267511</v>
      </c>
      <c r="AK21" s="44" t="n">
        <f aca="false">AJ21</f>
        <v>0.887124770267511</v>
      </c>
      <c r="AL21" s="44" t="n">
        <f aca="false">AK21</f>
        <v>0.887124770267511</v>
      </c>
      <c r="AM21" s="44" t="n">
        <f aca="false">AL21</f>
        <v>0.887124770267511</v>
      </c>
      <c r="AN21" s="44" t="n">
        <v>1</v>
      </c>
      <c r="AO21" s="44" t="n">
        <f aca="false">AN21</f>
        <v>1</v>
      </c>
      <c r="AP21" s="44" t="n">
        <f aca="false">AO21</f>
        <v>1</v>
      </c>
      <c r="AQ21" s="44" t="n">
        <f aca="false">AP21</f>
        <v>1</v>
      </c>
      <c r="AR21" s="44" t="n">
        <f aca="false">AQ21</f>
        <v>1</v>
      </c>
      <c r="AS21" s="44" t="n">
        <f aca="false">AR21</f>
        <v>1</v>
      </c>
      <c r="AT21" s="44" t="n">
        <f aca="false">AS21</f>
        <v>1</v>
      </c>
      <c r="AU21" s="44" t="n">
        <f aca="false">AT21</f>
        <v>1</v>
      </c>
      <c r="AV21" s="44" t="n">
        <f aca="false">AU21</f>
        <v>1</v>
      </c>
      <c r="AW21" s="44" t="n">
        <f aca="false">AV21</f>
        <v>1</v>
      </c>
      <c r="AX21" s="44" t="n">
        <f aca="false">B21</f>
        <v>0.887124770267511</v>
      </c>
      <c r="AY21" s="44" t="n">
        <f aca="false">AX21</f>
        <v>0.887124770267511</v>
      </c>
      <c r="AZ21" s="44" t="n">
        <f aca="false">AY21</f>
        <v>0.887124770267511</v>
      </c>
      <c r="BA21" s="44" t="n">
        <v>1</v>
      </c>
      <c r="BB21" s="44" t="n">
        <f aca="false">BA21</f>
        <v>1</v>
      </c>
      <c r="BC21" s="44" t="n">
        <f aca="false">AZ21</f>
        <v>0.887124770267511</v>
      </c>
      <c r="BD21" s="44" t="n">
        <f aca="false">BC21</f>
        <v>0.887124770267511</v>
      </c>
      <c r="BE21" s="44" t="n">
        <v>1</v>
      </c>
      <c r="BF21" s="44" t="n">
        <v>1</v>
      </c>
      <c r="BG21" s="44" t="n">
        <f aca="false">BD21</f>
        <v>0.887124770267511</v>
      </c>
      <c r="BH21" s="44" t="n">
        <f aca="false">BG21</f>
        <v>0.887124770267511</v>
      </c>
      <c r="BI21" s="44" t="n">
        <f aca="false">BH21</f>
        <v>0.887124770267511</v>
      </c>
      <c r="BJ21" s="44" t="n">
        <f aca="false">BI21</f>
        <v>0.887124770267511</v>
      </c>
      <c r="BK21" s="44" t="n">
        <v>1</v>
      </c>
    </row>
    <row r="22" customFormat="false" ht="12.8" hidden="false" customHeight="false" outlineLevel="0" collapsed="false">
      <c r="A22" s="0" t="n">
        <f aca="false">A21-1</f>
        <v>1997</v>
      </c>
      <c r="B22" s="48" t="n">
        <v>0.883034257748776</v>
      </c>
      <c r="C22" s="44" t="n">
        <f aca="false">B22</f>
        <v>0.883034257748776</v>
      </c>
      <c r="D22" s="44" t="n">
        <f aca="false">C22</f>
        <v>0.883034257748776</v>
      </c>
      <c r="E22" s="44" t="n">
        <f aca="false">D22</f>
        <v>0.883034257748776</v>
      </c>
      <c r="F22" s="44" t="n">
        <v>1</v>
      </c>
      <c r="G22" s="44" t="n">
        <f aca="false">F22</f>
        <v>1</v>
      </c>
      <c r="H22" s="44" t="n">
        <f aca="false">G22</f>
        <v>1</v>
      </c>
      <c r="I22" s="44" t="n">
        <f aca="false">H22</f>
        <v>1</v>
      </c>
      <c r="J22" s="44" t="n">
        <f aca="false">I22</f>
        <v>1</v>
      </c>
      <c r="K22" s="44" t="n">
        <f aca="false">J22</f>
        <v>1</v>
      </c>
      <c r="L22" s="44" t="n">
        <f aca="false">B22</f>
        <v>0.883034257748776</v>
      </c>
      <c r="M22" s="44" t="n">
        <f aca="false">L22</f>
        <v>0.883034257748776</v>
      </c>
      <c r="N22" s="44" t="n">
        <f aca="false">M22</f>
        <v>0.883034257748776</v>
      </c>
      <c r="O22" s="44" t="n">
        <f aca="false">N22</f>
        <v>0.883034257748776</v>
      </c>
      <c r="P22" s="44" t="n">
        <f aca="false">O22</f>
        <v>0.883034257748776</v>
      </c>
      <c r="Q22" s="44" t="n">
        <v>1</v>
      </c>
      <c r="R22" s="44" t="n">
        <f aca="false">Q22</f>
        <v>1</v>
      </c>
      <c r="S22" s="44" t="n">
        <f aca="false">R22</f>
        <v>1</v>
      </c>
      <c r="T22" s="44" t="n">
        <f aca="false">S22</f>
        <v>1</v>
      </c>
      <c r="U22" s="44" t="n">
        <f aca="false">T22</f>
        <v>1</v>
      </c>
      <c r="V22" s="44" t="n">
        <f aca="false">U22</f>
        <v>1</v>
      </c>
      <c r="W22" s="44" t="n">
        <f aca="false">V22</f>
        <v>1</v>
      </c>
      <c r="X22" s="44" t="n">
        <f aca="false">W22</f>
        <v>1</v>
      </c>
      <c r="Y22" s="44" t="n">
        <f aca="false">X22</f>
        <v>1</v>
      </c>
      <c r="Z22" s="44" t="n">
        <f aca="false">Y22</f>
        <v>1</v>
      </c>
      <c r="AA22" s="44" t="n">
        <f aca="false">Z22</f>
        <v>1</v>
      </c>
      <c r="AB22" s="44" t="n">
        <f aca="false">AA22</f>
        <v>1</v>
      </c>
      <c r="AC22" s="44" t="n">
        <f aca="false">AB22</f>
        <v>1</v>
      </c>
      <c r="AD22" s="44" t="n">
        <f aca="false">AC22</f>
        <v>1</v>
      </c>
      <c r="AE22" s="44" t="n">
        <f aca="false">B22</f>
        <v>0.883034257748776</v>
      </c>
      <c r="AF22" s="44" t="n">
        <f aca="false">AE22</f>
        <v>0.883034257748776</v>
      </c>
      <c r="AG22" s="44" t="n">
        <f aca="false">AF22</f>
        <v>0.883034257748776</v>
      </c>
      <c r="AH22" s="44" t="n">
        <f aca="false">AG22</f>
        <v>0.883034257748776</v>
      </c>
      <c r="AI22" s="44" t="n">
        <f aca="false">AH22</f>
        <v>0.883034257748776</v>
      </c>
      <c r="AJ22" s="44" t="n">
        <f aca="false">AI22</f>
        <v>0.883034257748776</v>
      </c>
      <c r="AK22" s="44" t="n">
        <f aca="false">AJ22</f>
        <v>0.883034257748776</v>
      </c>
      <c r="AL22" s="44" t="n">
        <f aca="false">AK22</f>
        <v>0.883034257748776</v>
      </c>
      <c r="AM22" s="44" t="n">
        <f aca="false">AL22</f>
        <v>0.883034257748776</v>
      </c>
      <c r="AN22" s="44" t="n">
        <v>1</v>
      </c>
      <c r="AO22" s="44" t="n">
        <f aca="false">AN22</f>
        <v>1</v>
      </c>
      <c r="AP22" s="44" t="n">
        <f aca="false">AO22</f>
        <v>1</v>
      </c>
      <c r="AQ22" s="44" t="n">
        <f aca="false">AP22</f>
        <v>1</v>
      </c>
      <c r="AR22" s="44" t="n">
        <f aca="false">AQ22</f>
        <v>1</v>
      </c>
      <c r="AS22" s="44" t="n">
        <f aca="false">AR22</f>
        <v>1</v>
      </c>
      <c r="AT22" s="44" t="n">
        <f aca="false">AS22</f>
        <v>1</v>
      </c>
      <c r="AU22" s="44" t="n">
        <f aca="false">AT22</f>
        <v>1</v>
      </c>
      <c r="AV22" s="44" t="n">
        <f aca="false">AU22</f>
        <v>1</v>
      </c>
      <c r="AW22" s="44" t="n">
        <f aca="false">AV22</f>
        <v>1</v>
      </c>
      <c r="AX22" s="44" t="n">
        <f aca="false">B22</f>
        <v>0.883034257748776</v>
      </c>
      <c r="AY22" s="44" t="n">
        <f aca="false">AX22</f>
        <v>0.883034257748776</v>
      </c>
      <c r="AZ22" s="44" t="n">
        <f aca="false">AY22</f>
        <v>0.883034257748776</v>
      </c>
      <c r="BA22" s="44" t="n">
        <v>1</v>
      </c>
      <c r="BB22" s="44" t="n">
        <f aca="false">BA22</f>
        <v>1</v>
      </c>
      <c r="BC22" s="44" t="n">
        <f aca="false">AZ22</f>
        <v>0.883034257748776</v>
      </c>
      <c r="BD22" s="44" t="n">
        <f aca="false">BC22</f>
        <v>0.883034257748776</v>
      </c>
      <c r="BE22" s="44" t="n">
        <v>1</v>
      </c>
      <c r="BF22" s="44" t="n">
        <v>1</v>
      </c>
      <c r="BG22" s="44" t="n">
        <f aca="false">BD22</f>
        <v>0.883034257748776</v>
      </c>
      <c r="BH22" s="44" t="n">
        <f aca="false">BG22</f>
        <v>0.883034257748776</v>
      </c>
      <c r="BI22" s="44" t="n">
        <f aca="false">BH22</f>
        <v>0.883034257748776</v>
      </c>
      <c r="BJ22" s="44" t="n">
        <f aca="false">BI22</f>
        <v>0.883034257748776</v>
      </c>
      <c r="BK22" s="44" t="n">
        <v>1</v>
      </c>
    </row>
    <row r="23" customFormat="false" ht="12.8" hidden="false" customHeight="false" outlineLevel="0" collapsed="false">
      <c r="A23" s="0" t="n">
        <f aca="false">A22-1</f>
        <v>1996</v>
      </c>
      <c r="B23" s="48" t="n">
        <v>0.866063209573489</v>
      </c>
      <c r="C23" s="44" t="n">
        <f aca="false">B23</f>
        <v>0.866063209573489</v>
      </c>
      <c r="D23" s="44" t="n">
        <f aca="false">C23</f>
        <v>0.866063209573489</v>
      </c>
      <c r="E23" s="44" t="n">
        <f aca="false">D23</f>
        <v>0.866063209573489</v>
      </c>
      <c r="F23" s="44" t="n">
        <v>1</v>
      </c>
      <c r="G23" s="44" t="n">
        <f aca="false">F23</f>
        <v>1</v>
      </c>
      <c r="H23" s="44" t="n">
        <f aca="false">G23</f>
        <v>1</v>
      </c>
      <c r="I23" s="44" t="n">
        <f aca="false">H23</f>
        <v>1</v>
      </c>
      <c r="J23" s="44" t="n">
        <f aca="false">I23</f>
        <v>1</v>
      </c>
      <c r="K23" s="44" t="n">
        <f aca="false">J23</f>
        <v>1</v>
      </c>
      <c r="L23" s="44" t="n">
        <f aca="false">B23</f>
        <v>0.866063209573489</v>
      </c>
      <c r="M23" s="44" t="n">
        <f aca="false">L23</f>
        <v>0.866063209573489</v>
      </c>
      <c r="N23" s="44" t="n">
        <f aca="false">M23</f>
        <v>0.866063209573489</v>
      </c>
      <c r="O23" s="44" t="n">
        <f aca="false">N23</f>
        <v>0.866063209573489</v>
      </c>
      <c r="P23" s="44" t="n">
        <f aca="false">O23</f>
        <v>0.866063209573489</v>
      </c>
      <c r="Q23" s="44" t="n">
        <v>1</v>
      </c>
      <c r="R23" s="44" t="n">
        <f aca="false">Q23</f>
        <v>1</v>
      </c>
      <c r="S23" s="44" t="n">
        <f aca="false">R23</f>
        <v>1</v>
      </c>
      <c r="T23" s="44" t="n">
        <f aca="false">S23</f>
        <v>1</v>
      </c>
      <c r="U23" s="44" t="n">
        <f aca="false">T23</f>
        <v>1</v>
      </c>
      <c r="V23" s="44" t="n">
        <f aca="false">U23</f>
        <v>1</v>
      </c>
      <c r="W23" s="44" t="n">
        <f aca="false">V23</f>
        <v>1</v>
      </c>
      <c r="X23" s="44" t="n">
        <f aca="false">W23</f>
        <v>1</v>
      </c>
      <c r="Y23" s="44" t="n">
        <f aca="false">X23</f>
        <v>1</v>
      </c>
      <c r="Z23" s="44" t="n">
        <f aca="false">Y23</f>
        <v>1</v>
      </c>
      <c r="AA23" s="44" t="n">
        <f aca="false">Z23</f>
        <v>1</v>
      </c>
      <c r="AB23" s="44" t="n">
        <f aca="false">AA23</f>
        <v>1</v>
      </c>
      <c r="AC23" s="44" t="n">
        <f aca="false">AB23</f>
        <v>1</v>
      </c>
      <c r="AD23" s="44" t="n">
        <f aca="false">AC23</f>
        <v>1</v>
      </c>
      <c r="AE23" s="44" t="n">
        <f aca="false">B23</f>
        <v>0.866063209573489</v>
      </c>
      <c r="AF23" s="44" t="n">
        <f aca="false">AE23</f>
        <v>0.866063209573489</v>
      </c>
      <c r="AG23" s="44" t="n">
        <f aca="false">AF23</f>
        <v>0.866063209573489</v>
      </c>
      <c r="AH23" s="44" t="n">
        <f aca="false">AG23</f>
        <v>0.866063209573489</v>
      </c>
      <c r="AI23" s="44" t="n">
        <f aca="false">AH23</f>
        <v>0.866063209573489</v>
      </c>
      <c r="AJ23" s="44" t="n">
        <f aca="false">AI23</f>
        <v>0.866063209573489</v>
      </c>
      <c r="AK23" s="44" t="n">
        <f aca="false">AJ23</f>
        <v>0.866063209573489</v>
      </c>
      <c r="AL23" s="44" t="n">
        <f aca="false">AK23</f>
        <v>0.866063209573489</v>
      </c>
      <c r="AM23" s="44" t="n">
        <f aca="false">AL23</f>
        <v>0.866063209573489</v>
      </c>
      <c r="AN23" s="44" t="n">
        <v>1</v>
      </c>
      <c r="AO23" s="44" t="n">
        <f aca="false">AN23</f>
        <v>1</v>
      </c>
      <c r="AP23" s="44" t="n">
        <f aca="false">AO23</f>
        <v>1</v>
      </c>
      <c r="AQ23" s="44" t="n">
        <f aca="false">AP23</f>
        <v>1</v>
      </c>
      <c r="AR23" s="44" t="n">
        <f aca="false">AQ23</f>
        <v>1</v>
      </c>
      <c r="AS23" s="44" t="n">
        <f aca="false">AR23</f>
        <v>1</v>
      </c>
      <c r="AT23" s="44" t="n">
        <f aca="false">AS23</f>
        <v>1</v>
      </c>
      <c r="AU23" s="44" t="n">
        <f aca="false">AT23</f>
        <v>1</v>
      </c>
      <c r="AV23" s="44" t="n">
        <f aca="false">AU23</f>
        <v>1</v>
      </c>
      <c r="AW23" s="44" t="n">
        <f aca="false">AV23</f>
        <v>1</v>
      </c>
      <c r="AX23" s="44" t="n">
        <f aca="false">B23</f>
        <v>0.866063209573489</v>
      </c>
      <c r="AY23" s="44" t="n">
        <f aca="false">AX23</f>
        <v>0.866063209573489</v>
      </c>
      <c r="AZ23" s="44" t="n">
        <f aca="false">AY23</f>
        <v>0.866063209573489</v>
      </c>
      <c r="BA23" s="44" t="n">
        <v>1</v>
      </c>
      <c r="BB23" s="44" t="n">
        <f aca="false">BA23</f>
        <v>1</v>
      </c>
      <c r="BC23" s="44" t="n">
        <f aca="false">AZ23</f>
        <v>0.866063209573489</v>
      </c>
      <c r="BD23" s="44" t="n">
        <f aca="false">BC23</f>
        <v>0.866063209573489</v>
      </c>
      <c r="BE23" s="44" t="n">
        <v>1</v>
      </c>
      <c r="BF23" s="44" t="n">
        <v>1</v>
      </c>
      <c r="BG23" s="44" t="n">
        <f aca="false">BD23</f>
        <v>0.866063209573489</v>
      </c>
      <c r="BH23" s="44" t="n">
        <f aca="false">BG23</f>
        <v>0.866063209573489</v>
      </c>
      <c r="BI23" s="44" t="n">
        <f aca="false">BH23</f>
        <v>0.866063209573489</v>
      </c>
      <c r="BJ23" s="44" t="n">
        <f aca="false">BI23</f>
        <v>0.866063209573489</v>
      </c>
      <c r="BK23" s="44" t="n">
        <v>1</v>
      </c>
    </row>
    <row r="24" customFormat="false" ht="12.8" hidden="false" customHeight="false" outlineLevel="0" collapsed="false">
      <c r="A24" s="0" t="n">
        <f aca="false">A23-1</f>
        <v>1995</v>
      </c>
      <c r="B24" s="48" t="n">
        <v>0.862865536119642</v>
      </c>
      <c r="C24" s="44" t="n">
        <f aca="false">B24</f>
        <v>0.862865536119642</v>
      </c>
      <c r="D24" s="44" t="n">
        <f aca="false">C24</f>
        <v>0.862865536119642</v>
      </c>
      <c r="E24" s="44" t="n">
        <f aca="false">D24</f>
        <v>0.862865536119642</v>
      </c>
      <c r="F24" s="44" t="n">
        <v>1</v>
      </c>
      <c r="G24" s="44" t="n">
        <f aca="false">F24</f>
        <v>1</v>
      </c>
      <c r="H24" s="44" t="n">
        <f aca="false">G24</f>
        <v>1</v>
      </c>
      <c r="I24" s="44" t="n">
        <f aca="false">H24</f>
        <v>1</v>
      </c>
      <c r="J24" s="44" t="n">
        <f aca="false">I24</f>
        <v>1</v>
      </c>
      <c r="K24" s="44" t="n">
        <f aca="false">J24</f>
        <v>1</v>
      </c>
      <c r="L24" s="44" t="n">
        <f aca="false">B24</f>
        <v>0.862865536119642</v>
      </c>
      <c r="M24" s="44" t="n">
        <f aca="false">L24</f>
        <v>0.862865536119642</v>
      </c>
      <c r="N24" s="44" t="n">
        <f aca="false">M24</f>
        <v>0.862865536119642</v>
      </c>
      <c r="O24" s="44" t="n">
        <f aca="false">N24</f>
        <v>0.862865536119642</v>
      </c>
      <c r="P24" s="44" t="n">
        <f aca="false">O24</f>
        <v>0.862865536119642</v>
      </c>
      <c r="Q24" s="44" t="n">
        <v>1</v>
      </c>
      <c r="R24" s="44" t="n">
        <f aca="false">Q24</f>
        <v>1</v>
      </c>
      <c r="S24" s="44" t="n">
        <f aca="false">R24</f>
        <v>1</v>
      </c>
      <c r="T24" s="44" t="n">
        <f aca="false">S24</f>
        <v>1</v>
      </c>
      <c r="U24" s="44" t="n">
        <f aca="false">T24</f>
        <v>1</v>
      </c>
      <c r="V24" s="44" t="n">
        <f aca="false">U24</f>
        <v>1</v>
      </c>
      <c r="W24" s="44" t="n">
        <f aca="false">V24</f>
        <v>1</v>
      </c>
      <c r="X24" s="44" t="n">
        <f aca="false">W24</f>
        <v>1</v>
      </c>
      <c r="Y24" s="44" t="n">
        <f aca="false">X24</f>
        <v>1</v>
      </c>
      <c r="Z24" s="44" t="n">
        <f aca="false">Y24</f>
        <v>1</v>
      </c>
      <c r="AA24" s="44" t="n">
        <f aca="false">Z24</f>
        <v>1</v>
      </c>
      <c r="AB24" s="44" t="n">
        <f aca="false">AA24</f>
        <v>1</v>
      </c>
      <c r="AC24" s="44" t="n">
        <f aca="false">AB24</f>
        <v>1</v>
      </c>
      <c r="AD24" s="44" t="n">
        <f aca="false">AC24</f>
        <v>1</v>
      </c>
      <c r="AE24" s="44" t="n">
        <f aca="false">B24</f>
        <v>0.862865536119642</v>
      </c>
      <c r="AF24" s="44" t="n">
        <f aca="false">AE24</f>
        <v>0.862865536119642</v>
      </c>
      <c r="AG24" s="44" t="n">
        <f aca="false">AF24</f>
        <v>0.862865536119642</v>
      </c>
      <c r="AH24" s="44" t="n">
        <f aca="false">AG24</f>
        <v>0.862865536119642</v>
      </c>
      <c r="AI24" s="44" t="n">
        <f aca="false">AH24</f>
        <v>0.862865536119642</v>
      </c>
      <c r="AJ24" s="44" t="n">
        <f aca="false">AI24</f>
        <v>0.862865536119642</v>
      </c>
      <c r="AK24" s="44" t="n">
        <f aca="false">AJ24</f>
        <v>0.862865536119642</v>
      </c>
      <c r="AL24" s="44" t="n">
        <f aca="false">AK24</f>
        <v>0.862865536119642</v>
      </c>
      <c r="AM24" s="44" t="n">
        <f aca="false">AL24</f>
        <v>0.862865536119642</v>
      </c>
      <c r="AN24" s="44" t="n">
        <v>1</v>
      </c>
      <c r="AO24" s="44" t="n">
        <f aca="false">AN24</f>
        <v>1</v>
      </c>
      <c r="AP24" s="44" t="n">
        <f aca="false">AO24</f>
        <v>1</v>
      </c>
      <c r="AQ24" s="44" t="n">
        <f aca="false">AP24</f>
        <v>1</v>
      </c>
      <c r="AR24" s="44" t="n">
        <f aca="false">AQ24</f>
        <v>1</v>
      </c>
      <c r="AS24" s="44" t="n">
        <f aca="false">AR24</f>
        <v>1</v>
      </c>
      <c r="AT24" s="44" t="n">
        <f aca="false">AS24</f>
        <v>1</v>
      </c>
      <c r="AU24" s="44" t="n">
        <f aca="false">AT24</f>
        <v>1</v>
      </c>
      <c r="AV24" s="44" t="n">
        <f aca="false">AU24</f>
        <v>1</v>
      </c>
      <c r="AW24" s="44" t="n">
        <f aca="false">AV24</f>
        <v>1</v>
      </c>
      <c r="AX24" s="44" t="n">
        <f aca="false">B24</f>
        <v>0.862865536119642</v>
      </c>
      <c r="AY24" s="44" t="n">
        <f aca="false">AX24</f>
        <v>0.862865536119642</v>
      </c>
      <c r="AZ24" s="44" t="n">
        <f aca="false">AY24</f>
        <v>0.862865536119642</v>
      </c>
      <c r="BA24" s="44" t="n">
        <v>1</v>
      </c>
      <c r="BB24" s="44" t="n">
        <f aca="false">BA24</f>
        <v>1</v>
      </c>
      <c r="BC24" s="44" t="n">
        <f aca="false">AZ24</f>
        <v>0.862865536119642</v>
      </c>
      <c r="BD24" s="44" t="n">
        <f aca="false">BC24</f>
        <v>0.862865536119642</v>
      </c>
      <c r="BE24" s="44" t="n">
        <v>1</v>
      </c>
      <c r="BF24" s="44" t="n">
        <v>1</v>
      </c>
      <c r="BG24" s="44" t="n">
        <f aca="false">BD24</f>
        <v>0.862865536119642</v>
      </c>
      <c r="BH24" s="44" t="n">
        <f aca="false">BG24</f>
        <v>0.862865536119642</v>
      </c>
      <c r="BI24" s="44" t="n">
        <f aca="false">BH24</f>
        <v>0.862865536119642</v>
      </c>
      <c r="BJ24" s="44" t="n">
        <f aca="false">BI24</f>
        <v>0.862865536119642</v>
      </c>
      <c r="BK24" s="44" t="n">
        <v>1</v>
      </c>
    </row>
    <row r="25" customFormat="false" ht="12.8" hidden="false" customHeight="false" outlineLevel="0" collapsed="false">
      <c r="A25" s="0" t="n">
        <f aca="false">A24-1</f>
        <v>1994</v>
      </c>
      <c r="B25" s="48" t="n">
        <v>0.845958778461207</v>
      </c>
      <c r="C25" s="44" t="n">
        <f aca="false">B25</f>
        <v>0.845958778461207</v>
      </c>
      <c r="D25" s="44" t="n">
        <f aca="false">C25</f>
        <v>0.845958778461207</v>
      </c>
      <c r="E25" s="44" t="n">
        <f aca="false">D25</f>
        <v>0.845958778461207</v>
      </c>
      <c r="F25" s="44" t="n">
        <v>1</v>
      </c>
      <c r="G25" s="44" t="n">
        <f aca="false">F25</f>
        <v>1</v>
      </c>
      <c r="H25" s="44" t="n">
        <f aca="false">G25</f>
        <v>1</v>
      </c>
      <c r="I25" s="44" t="n">
        <f aca="false">H25</f>
        <v>1</v>
      </c>
      <c r="J25" s="44" t="n">
        <f aca="false">I25</f>
        <v>1</v>
      </c>
      <c r="K25" s="44" t="n">
        <f aca="false">J25</f>
        <v>1</v>
      </c>
      <c r="L25" s="44" t="n">
        <f aca="false">B25</f>
        <v>0.845958778461207</v>
      </c>
      <c r="M25" s="44" t="n">
        <f aca="false">L25</f>
        <v>0.845958778461207</v>
      </c>
      <c r="N25" s="44" t="n">
        <f aca="false">M25</f>
        <v>0.845958778461207</v>
      </c>
      <c r="O25" s="44" t="n">
        <f aca="false">N25</f>
        <v>0.845958778461207</v>
      </c>
      <c r="P25" s="44" t="n">
        <f aca="false">O25</f>
        <v>0.845958778461207</v>
      </c>
      <c r="Q25" s="44" t="n">
        <v>1</v>
      </c>
      <c r="R25" s="44" t="n">
        <f aca="false">Q25</f>
        <v>1</v>
      </c>
      <c r="S25" s="44" t="n">
        <f aca="false">R25</f>
        <v>1</v>
      </c>
      <c r="T25" s="44" t="n">
        <f aca="false">S25</f>
        <v>1</v>
      </c>
      <c r="U25" s="44" t="n">
        <f aca="false">T25</f>
        <v>1</v>
      </c>
      <c r="V25" s="44" t="n">
        <f aca="false">U25</f>
        <v>1</v>
      </c>
      <c r="W25" s="44" t="n">
        <f aca="false">V25</f>
        <v>1</v>
      </c>
      <c r="X25" s="44" t="n">
        <f aca="false">W25</f>
        <v>1</v>
      </c>
      <c r="Y25" s="44" t="n">
        <f aca="false">X25</f>
        <v>1</v>
      </c>
      <c r="Z25" s="44" t="n">
        <f aca="false">Y25</f>
        <v>1</v>
      </c>
      <c r="AA25" s="44" t="n">
        <f aca="false">Z25</f>
        <v>1</v>
      </c>
      <c r="AB25" s="44" t="n">
        <f aca="false">AA25</f>
        <v>1</v>
      </c>
      <c r="AC25" s="44" t="n">
        <f aca="false">AB25</f>
        <v>1</v>
      </c>
      <c r="AD25" s="44" t="n">
        <f aca="false">AC25</f>
        <v>1</v>
      </c>
      <c r="AE25" s="44" t="n">
        <f aca="false">B25</f>
        <v>0.845958778461207</v>
      </c>
      <c r="AF25" s="44" t="n">
        <f aca="false">AE25</f>
        <v>0.845958778461207</v>
      </c>
      <c r="AG25" s="44" t="n">
        <f aca="false">AF25</f>
        <v>0.845958778461207</v>
      </c>
      <c r="AH25" s="44" t="n">
        <f aca="false">AG25</f>
        <v>0.845958778461207</v>
      </c>
      <c r="AI25" s="44" t="n">
        <f aca="false">AH25</f>
        <v>0.845958778461207</v>
      </c>
      <c r="AJ25" s="44" t="n">
        <f aca="false">AI25</f>
        <v>0.845958778461207</v>
      </c>
      <c r="AK25" s="44" t="n">
        <f aca="false">AJ25</f>
        <v>0.845958778461207</v>
      </c>
      <c r="AL25" s="44" t="n">
        <f aca="false">AK25</f>
        <v>0.845958778461207</v>
      </c>
      <c r="AM25" s="44" t="n">
        <f aca="false">AL25</f>
        <v>0.845958778461207</v>
      </c>
      <c r="AN25" s="44" t="n">
        <v>1</v>
      </c>
      <c r="AO25" s="44" t="n">
        <f aca="false">AN25</f>
        <v>1</v>
      </c>
      <c r="AP25" s="44" t="n">
        <f aca="false">AO25</f>
        <v>1</v>
      </c>
      <c r="AQ25" s="44" t="n">
        <f aca="false">AP25</f>
        <v>1</v>
      </c>
      <c r="AR25" s="44" t="n">
        <f aca="false">AQ25</f>
        <v>1</v>
      </c>
      <c r="AS25" s="44" t="n">
        <f aca="false">AR25</f>
        <v>1</v>
      </c>
      <c r="AT25" s="44" t="n">
        <f aca="false">AS25</f>
        <v>1</v>
      </c>
      <c r="AU25" s="44" t="n">
        <f aca="false">AT25</f>
        <v>1</v>
      </c>
      <c r="AV25" s="44" t="n">
        <f aca="false">AU25</f>
        <v>1</v>
      </c>
      <c r="AW25" s="44" t="n">
        <f aca="false">AV25</f>
        <v>1</v>
      </c>
      <c r="AX25" s="44" t="n">
        <f aca="false">B25</f>
        <v>0.845958778461207</v>
      </c>
      <c r="AY25" s="44" t="n">
        <f aca="false">AX25</f>
        <v>0.845958778461207</v>
      </c>
      <c r="AZ25" s="44" t="n">
        <f aca="false">AY25</f>
        <v>0.845958778461207</v>
      </c>
      <c r="BA25" s="44" t="n">
        <v>1</v>
      </c>
      <c r="BB25" s="44" t="n">
        <f aca="false">BA25</f>
        <v>1</v>
      </c>
      <c r="BC25" s="44" t="n">
        <f aca="false">AZ25</f>
        <v>0.845958778461207</v>
      </c>
      <c r="BD25" s="44" t="n">
        <f aca="false">BC25</f>
        <v>0.845958778461207</v>
      </c>
      <c r="BE25" s="44" t="n">
        <v>1</v>
      </c>
      <c r="BF25" s="44" t="n">
        <v>1</v>
      </c>
      <c r="BG25" s="44" t="n">
        <f aca="false">BD25</f>
        <v>0.845958778461207</v>
      </c>
      <c r="BH25" s="44" t="n">
        <f aca="false">BG25</f>
        <v>0.845958778461207</v>
      </c>
      <c r="BI25" s="44" t="n">
        <f aca="false">BH25</f>
        <v>0.845958778461207</v>
      </c>
      <c r="BJ25" s="44" t="n">
        <f aca="false">BI25</f>
        <v>0.845958778461207</v>
      </c>
      <c r="BK25" s="44" t="n">
        <v>1</v>
      </c>
    </row>
    <row r="26" customFormat="false" ht="12.8" hidden="false" customHeight="false" outlineLevel="0" collapsed="false">
      <c r="A26" s="0" t="n">
        <f aca="false">A25-1</f>
        <v>1993</v>
      </c>
      <c r="B26" s="48" t="n">
        <v>0.850975545157588</v>
      </c>
      <c r="C26" s="44" t="n">
        <f aca="false">B26</f>
        <v>0.850975545157588</v>
      </c>
      <c r="D26" s="44" t="n">
        <f aca="false">C26</f>
        <v>0.850975545157588</v>
      </c>
      <c r="E26" s="44" t="n">
        <f aca="false">D26</f>
        <v>0.850975545157588</v>
      </c>
      <c r="F26" s="44" t="n">
        <v>1</v>
      </c>
      <c r="G26" s="44" t="n">
        <f aca="false">F26</f>
        <v>1</v>
      </c>
      <c r="H26" s="44" t="n">
        <f aca="false">G26</f>
        <v>1</v>
      </c>
      <c r="I26" s="44" t="n">
        <f aca="false">H26</f>
        <v>1</v>
      </c>
      <c r="J26" s="44" t="n">
        <f aca="false">I26</f>
        <v>1</v>
      </c>
      <c r="K26" s="44" t="n">
        <f aca="false">J26</f>
        <v>1</v>
      </c>
      <c r="L26" s="44" t="n">
        <f aca="false">B26</f>
        <v>0.850975545157588</v>
      </c>
      <c r="M26" s="44" t="n">
        <f aca="false">L26</f>
        <v>0.850975545157588</v>
      </c>
      <c r="N26" s="44" t="n">
        <f aca="false">M26</f>
        <v>0.850975545157588</v>
      </c>
      <c r="O26" s="44" t="n">
        <f aca="false">N26</f>
        <v>0.850975545157588</v>
      </c>
      <c r="P26" s="44" t="n">
        <f aca="false">O26</f>
        <v>0.850975545157588</v>
      </c>
      <c r="Q26" s="44" t="n">
        <v>1</v>
      </c>
      <c r="R26" s="44" t="n">
        <f aca="false">Q26</f>
        <v>1</v>
      </c>
      <c r="S26" s="44" t="n">
        <f aca="false">R26</f>
        <v>1</v>
      </c>
      <c r="T26" s="44" t="n">
        <f aca="false">S26</f>
        <v>1</v>
      </c>
      <c r="U26" s="44" t="n">
        <f aca="false">T26</f>
        <v>1</v>
      </c>
      <c r="V26" s="44" t="n">
        <f aca="false">U26</f>
        <v>1</v>
      </c>
      <c r="W26" s="44" t="n">
        <f aca="false">V26</f>
        <v>1</v>
      </c>
      <c r="X26" s="44" t="n">
        <f aca="false">W26</f>
        <v>1</v>
      </c>
      <c r="Y26" s="44" t="n">
        <f aca="false">X26</f>
        <v>1</v>
      </c>
      <c r="Z26" s="44" t="n">
        <f aca="false">Y26</f>
        <v>1</v>
      </c>
      <c r="AA26" s="44" t="n">
        <f aca="false">Z26</f>
        <v>1</v>
      </c>
      <c r="AB26" s="44" t="n">
        <f aca="false">AA26</f>
        <v>1</v>
      </c>
      <c r="AC26" s="44" t="n">
        <f aca="false">AB26</f>
        <v>1</v>
      </c>
      <c r="AD26" s="44" t="n">
        <f aca="false">AC26</f>
        <v>1</v>
      </c>
      <c r="AE26" s="44" t="n">
        <f aca="false">B26</f>
        <v>0.850975545157588</v>
      </c>
      <c r="AF26" s="44" t="n">
        <f aca="false">AE26</f>
        <v>0.850975545157588</v>
      </c>
      <c r="AG26" s="44" t="n">
        <f aca="false">AF26</f>
        <v>0.850975545157588</v>
      </c>
      <c r="AH26" s="44" t="n">
        <f aca="false">AG26</f>
        <v>0.850975545157588</v>
      </c>
      <c r="AI26" s="44" t="n">
        <f aca="false">AH26</f>
        <v>0.850975545157588</v>
      </c>
      <c r="AJ26" s="44" t="n">
        <f aca="false">AI26</f>
        <v>0.850975545157588</v>
      </c>
      <c r="AK26" s="44" t="n">
        <f aca="false">AJ26</f>
        <v>0.850975545157588</v>
      </c>
      <c r="AL26" s="44" t="n">
        <f aca="false">AK26</f>
        <v>0.850975545157588</v>
      </c>
      <c r="AM26" s="44" t="n">
        <f aca="false">AL26</f>
        <v>0.850975545157588</v>
      </c>
      <c r="AN26" s="44" t="n">
        <v>1</v>
      </c>
      <c r="AO26" s="44" t="n">
        <f aca="false">AN26</f>
        <v>1</v>
      </c>
      <c r="AP26" s="44" t="n">
        <f aca="false">AO26</f>
        <v>1</v>
      </c>
      <c r="AQ26" s="44" t="n">
        <f aca="false">AP26</f>
        <v>1</v>
      </c>
      <c r="AR26" s="44" t="n">
        <f aca="false">AQ26</f>
        <v>1</v>
      </c>
      <c r="AS26" s="44" t="n">
        <f aca="false">AR26</f>
        <v>1</v>
      </c>
      <c r="AT26" s="44" t="n">
        <f aca="false">AS26</f>
        <v>1</v>
      </c>
      <c r="AU26" s="44" t="n">
        <f aca="false">AT26</f>
        <v>1</v>
      </c>
      <c r="AV26" s="44" t="n">
        <f aca="false">AU26</f>
        <v>1</v>
      </c>
      <c r="AW26" s="44" t="n">
        <f aca="false">AV26</f>
        <v>1</v>
      </c>
      <c r="AX26" s="44" t="n">
        <f aca="false">B26</f>
        <v>0.850975545157588</v>
      </c>
      <c r="AY26" s="44" t="n">
        <f aca="false">AX26</f>
        <v>0.850975545157588</v>
      </c>
      <c r="AZ26" s="44" t="n">
        <f aca="false">AY26</f>
        <v>0.850975545157588</v>
      </c>
      <c r="BA26" s="44" t="n">
        <v>1</v>
      </c>
      <c r="BB26" s="44" t="n">
        <f aca="false">BA26</f>
        <v>1</v>
      </c>
      <c r="BC26" s="44" t="n">
        <f aca="false">AZ26</f>
        <v>0.850975545157588</v>
      </c>
      <c r="BD26" s="44" t="n">
        <f aca="false">BC26</f>
        <v>0.850975545157588</v>
      </c>
      <c r="BE26" s="44" t="n">
        <v>1</v>
      </c>
      <c r="BF26" s="44" t="n">
        <v>1</v>
      </c>
      <c r="BG26" s="44" t="n">
        <f aca="false">BD26</f>
        <v>0.850975545157588</v>
      </c>
      <c r="BH26" s="44" t="n">
        <f aca="false">BG26</f>
        <v>0.850975545157588</v>
      </c>
      <c r="BI26" s="44" t="n">
        <f aca="false">BH26</f>
        <v>0.850975545157588</v>
      </c>
      <c r="BJ26" s="44" t="n">
        <f aca="false">BI26</f>
        <v>0.850975545157588</v>
      </c>
      <c r="BK26" s="44" t="n">
        <v>1</v>
      </c>
    </row>
    <row r="27" customFormat="false" ht="12.8" hidden="false" customHeight="false" outlineLevel="0" collapsed="false">
      <c r="A27" s="0" t="n">
        <f aca="false">A26-1</f>
        <v>1992</v>
      </c>
      <c r="B27" s="48" t="n">
        <v>0.854136429608128</v>
      </c>
      <c r="C27" s="44" t="n">
        <f aca="false">B27</f>
        <v>0.854136429608128</v>
      </c>
      <c r="D27" s="44" t="n">
        <f aca="false">C27</f>
        <v>0.854136429608128</v>
      </c>
      <c r="E27" s="44" t="n">
        <f aca="false">D27</f>
        <v>0.854136429608128</v>
      </c>
      <c r="F27" s="44" t="n">
        <v>1</v>
      </c>
      <c r="G27" s="44" t="n">
        <f aca="false">F27</f>
        <v>1</v>
      </c>
      <c r="H27" s="44" t="n">
        <f aca="false">G27</f>
        <v>1</v>
      </c>
      <c r="I27" s="44" t="n">
        <f aca="false">H27</f>
        <v>1</v>
      </c>
      <c r="J27" s="44" t="n">
        <f aca="false">I27</f>
        <v>1</v>
      </c>
      <c r="K27" s="44" t="n">
        <f aca="false">J27</f>
        <v>1</v>
      </c>
      <c r="L27" s="44" t="n">
        <f aca="false">B27</f>
        <v>0.854136429608128</v>
      </c>
      <c r="M27" s="44" t="n">
        <f aca="false">L27</f>
        <v>0.854136429608128</v>
      </c>
      <c r="N27" s="44" t="n">
        <f aca="false">M27</f>
        <v>0.854136429608128</v>
      </c>
      <c r="O27" s="44" t="n">
        <f aca="false">N27</f>
        <v>0.854136429608128</v>
      </c>
      <c r="P27" s="44" t="n">
        <f aca="false">O27</f>
        <v>0.854136429608128</v>
      </c>
      <c r="Q27" s="44" t="n">
        <v>1</v>
      </c>
      <c r="R27" s="44" t="n">
        <f aca="false">Q27</f>
        <v>1</v>
      </c>
      <c r="S27" s="44" t="n">
        <f aca="false">R27</f>
        <v>1</v>
      </c>
      <c r="T27" s="44" t="n">
        <f aca="false">S27</f>
        <v>1</v>
      </c>
      <c r="U27" s="44" t="n">
        <f aca="false">T27</f>
        <v>1</v>
      </c>
      <c r="V27" s="44" t="n">
        <f aca="false">U27</f>
        <v>1</v>
      </c>
      <c r="W27" s="44" t="n">
        <f aca="false">V27</f>
        <v>1</v>
      </c>
      <c r="X27" s="44" t="n">
        <f aca="false">W27</f>
        <v>1</v>
      </c>
      <c r="Y27" s="44" t="n">
        <f aca="false">X27</f>
        <v>1</v>
      </c>
      <c r="Z27" s="44" t="n">
        <f aca="false">Y27</f>
        <v>1</v>
      </c>
      <c r="AA27" s="44" t="n">
        <f aca="false">Z27</f>
        <v>1</v>
      </c>
      <c r="AB27" s="44" t="n">
        <f aca="false">AA27</f>
        <v>1</v>
      </c>
      <c r="AC27" s="44" t="n">
        <f aca="false">AB27</f>
        <v>1</v>
      </c>
      <c r="AD27" s="44" t="n">
        <f aca="false">AC27</f>
        <v>1</v>
      </c>
      <c r="AE27" s="44" t="n">
        <f aca="false">B27</f>
        <v>0.854136429608128</v>
      </c>
      <c r="AF27" s="44" t="n">
        <f aca="false">AE27</f>
        <v>0.854136429608128</v>
      </c>
      <c r="AG27" s="44" t="n">
        <f aca="false">AF27</f>
        <v>0.854136429608128</v>
      </c>
      <c r="AH27" s="44" t="n">
        <f aca="false">AG27</f>
        <v>0.854136429608128</v>
      </c>
      <c r="AI27" s="44" t="n">
        <f aca="false">AH27</f>
        <v>0.854136429608128</v>
      </c>
      <c r="AJ27" s="44" t="n">
        <f aca="false">AI27</f>
        <v>0.854136429608128</v>
      </c>
      <c r="AK27" s="44" t="n">
        <f aca="false">AJ27</f>
        <v>0.854136429608128</v>
      </c>
      <c r="AL27" s="44" t="n">
        <f aca="false">AK27</f>
        <v>0.854136429608128</v>
      </c>
      <c r="AM27" s="44" t="n">
        <f aca="false">AL27</f>
        <v>0.854136429608128</v>
      </c>
      <c r="AN27" s="44" t="n">
        <v>1</v>
      </c>
      <c r="AO27" s="44" t="n">
        <f aca="false">AN27</f>
        <v>1</v>
      </c>
      <c r="AP27" s="44" t="n">
        <f aca="false">AO27</f>
        <v>1</v>
      </c>
      <c r="AQ27" s="44" t="n">
        <f aca="false">AP27</f>
        <v>1</v>
      </c>
      <c r="AR27" s="44" t="n">
        <f aca="false">AQ27</f>
        <v>1</v>
      </c>
      <c r="AS27" s="44" t="n">
        <f aca="false">AR27</f>
        <v>1</v>
      </c>
      <c r="AT27" s="44" t="n">
        <f aca="false">AS27</f>
        <v>1</v>
      </c>
      <c r="AU27" s="44" t="n">
        <f aca="false">AT27</f>
        <v>1</v>
      </c>
      <c r="AV27" s="44" t="n">
        <f aca="false">AU27</f>
        <v>1</v>
      </c>
      <c r="AW27" s="44" t="n">
        <f aca="false">AV27</f>
        <v>1</v>
      </c>
      <c r="AX27" s="44" t="n">
        <f aca="false">B27</f>
        <v>0.854136429608128</v>
      </c>
      <c r="AY27" s="44" t="n">
        <f aca="false">AX27</f>
        <v>0.854136429608128</v>
      </c>
      <c r="AZ27" s="44" t="n">
        <f aca="false">AY27</f>
        <v>0.854136429608128</v>
      </c>
      <c r="BA27" s="44" t="n">
        <v>1</v>
      </c>
      <c r="BB27" s="44" t="n">
        <f aca="false">BA27</f>
        <v>1</v>
      </c>
      <c r="BC27" s="44" t="n">
        <f aca="false">AZ27</f>
        <v>0.854136429608128</v>
      </c>
      <c r="BD27" s="44" t="n">
        <f aca="false">BC27</f>
        <v>0.854136429608128</v>
      </c>
      <c r="BE27" s="44" t="n">
        <v>1</v>
      </c>
      <c r="BF27" s="44" t="n">
        <v>1</v>
      </c>
      <c r="BG27" s="44" t="n">
        <f aca="false">BD27</f>
        <v>0.854136429608128</v>
      </c>
      <c r="BH27" s="44" t="n">
        <f aca="false">BG27</f>
        <v>0.854136429608128</v>
      </c>
      <c r="BI27" s="44" t="n">
        <f aca="false">BH27</f>
        <v>0.854136429608128</v>
      </c>
      <c r="BJ27" s="44" t="n">
        <f aca="false">BI27</f>
        <v>0.854136429608128</v>
      </c>
      <c r="BK27" s="44" t="n">
        <v>1</v>
      </c>
    </row>
    <row r="28" customFormat="false" ht="12.8" hidden="false" customHeight="false" outlineLevel="0" collapsed="false">
      <c r="A28" s="0" t="n">
        <f aca="false">A27-1</f>
        <v>1991</v>
      </c>
      <c r="B28" s="48" t="n">
        <v>0.849397590361446</v>
      </c>
      <c r="C28" s="44" t="n">
        <f aca="false">B28</f>
        <v>0.849397590361446</v>
      </c>
      <c r="D28" s="44" t="n">
        <f aca="false">C28</f>
        <v>0.849397590361446</v>
      </c>
      <c r="E28" s="44" t="n">
        <f aca="false">D28</f>
        <v>0.849397590361446</v>
      </c>
      <c r="F28" s="44" t="n">
        <v>1</v>
      </c>
      <c r="G28" s="44" t="n">
        <f aca="false">F28</f>
        <v>1</v>
      </c>
      <c r="H28" s="44" t="n">
        <f aca="false">G28</f>
        <v>1</v>
      </c>
      <c r="I28" s="44" t="n">
        <f aca="false">H28</f>
        <v>1</v>
      </c>
      <c r="J28" s="44" t="n">
        <f aca="false">I28</f>
        <v>1</v>
      </c>
      <c r="K28" s="44" t="n">
        <f aca="false">J28</f>
        <v>1</v>
      </c>
      <c r="L28" s="44" t="n">
        <f aca="false">B28</f>
        <v>0.849397590361446</v>
      </c>
      <c r="M28" s="44" t="n">
        <f aca="false">L28</f>
        <v>0.849397590361446</v>
      </c>
      <c r="N28" s="44" t="n">
        <f aca="false">M28</f>
        <v>0.849397590361446</v>
      </c>
      <c r="O28" s="44" t="n">
        <f aca="false">N28</f>
        <v>0.849397590361446</v>
      </c>
      <c r="P28" s="44" t="n">
        <f aca="false">O28</f>
        <v>0.849397590361446</v>
      </c>
      <c r="Q28" s="44" t="n">
        <v>1</v>
      </c>
      <c r="R28" s="44" t="n">
        <f aca="false">Q28</f>
        <v>1</v>
      </c>
      <c r="S28" s="44" t="n">
        <f aca="false">R28</f>
        <v>1</v>
      </c>
      <c r="T28" s="44" t="n">
        <f aca="false">S28</f>
        <v>1</v>
      </c>
      <c r="U28" s="44" t="n">
        <f aca="false">T28</f>
        <v>1</v>
      </c>
      <c r="V28" s="44" t="n">
        <f aca="false">U28</f>
        <v>1</v>
      </c>
      <c r="W28" s="44" t="n">
        <f aca="false">V28</f>
        <v>1</v>
      </c>
      <c r="X28" s="44" t="n">
        <f aca="false">W28</f>
        <v>1</v>
      </c>
      <c r="Y28" s="44" t="n">
        <f aca="false">X28</f>
        <v>1</v>
      </c>
      <c r="Z28" s="44" t="n">
        <f aca="false">Y28</f>
        <v>1</v>
      </c>
      <c r="AA28" s="44" t="n">
        <f aca="false">Z28</f>
        <v>1</v>
      </c>
      <c r="AB28" s="44" t="n">
        <f aca="false">AA28</f>
        <v>1</v>
      </c>
      <c r="AC28" s="44" t="n">
        <f aca="false">AB28</f>
        <v>1</v>
      </c>
      <c r="AD28" s="44" t="n">
        <f aca="false">AC28</f>
        <v>1</v>
      </c>
      <c r="AE28" s="44" t="n">
        <f aca="false">B28</f>
        <v>0.849397590361446</v>
      </c>
      <c r="AF28" s="44" t="n">
        <f aca="false">AE28</f>
        <v>0.849397590361446</v>
      </c>
      <c r="AG28" s="44" t="n">
        <f aca="false">AF28</f>
        <v>0.849397590361446</v>
      </c>
      <c r="AH28" s="44" t="n">
        <f aca="false">AG28</f>
        <v>0.849397590361446</v>
      </c>
      <c r="AI28" s="44" t="n">
        <f aca="false">AH28</f>
        <v>0.849397590361446</v>
      </c>
      <c r="AJ28" s="44" t="n">
        <f aca="false">AI28</f>
        <v>0.849397590361446</v>
      </c>
      <c r="AK28" s="44" t="n">
        <f aca="false">AJ28</f>
        <v>0.849397590361446</v>
      </c>
      <c r="AL28" s="44" t="n">
        <f aca="false">AK28</f>
        <v>0.849397590361446</v>
      </c>
      <c r="AM28" s="44" t="n">
        <f aca="false">AL28</f>
        <v>0.849397590361446</v>
      </c>
      <c r="AN28" s="44" t="n">
        <v>1</v>
      </c>
      <c r="AO28" s="44" t="n">
        <f aca="false">AN28</f>
        <v>1</v>
      </c>
      <c r="AP28" s="44" t="n">
        <f aca="false">AO28</f>
        <v>1</v>
      </c>
      <c r="AQ28" s="44" t="n">
        <f aca="false">AP28</f>
        <v>1</v>
      </c>
      <c r="AR28" s="44" t="n">
        <f aca="false">AQ28</f>
        <v>1</v>
      </c>
      <c r="AS28" s="44" t="n">
        <f aca="false">AR28</f>
        <v>1</v>
      </c>
      <c r="AT28" s="44" t="n">
        <f aca="false">AS28</f>
        <v>1</v>
      </c>
      <c r="AU28" s="44" t="n">
        <f aca="false">AT28</f>
        <v>1</v>
      </c>
      <c r="AV28" s="44" t="n">
        <f aca="false">AU28</f>
        <v>1</v>
      </c>
      <c r="AW28" s="44" t="n">
        <f aca="false">AV28</f>
        <v>1</v>
      </c>
      <c r="AX28" s="44" t="n">
        <f aca="false">B28</f>
        <v>0.849397590361446</v>
      </c>
      <c r="AY28" s="44" t="n">
        <f aca="false">AX28</f>
        <v>0.849397590361446</v>
      </c>
      <c r="AZ28" s="44" t="n">
        <f aca="false">AY28</f>
        <v>0.849397590361446</v>
      </c>
      <c r="BA28" s="44" t="n">
        <v>1</v>
      </c>
      <c r="BB28" s="44" t="n">
        <f aca="false">BA28</f>
        <v>1</v>
      </c>
      <c r="BC28" s="44" t="n">
        <f aca="false">AZ28</f>
        <v>0.849397590361446</v>
      </c>
      <c r="BD28" s="44" t="n">
        <f aca="false">BC28</f>
        <v>0.849397590361446</v>
      </c>
      <c r="BE28" s="44" t="n">
        <v>1</v>
      </c>
      <c r="BF28" s="44" t="n">
        <v>1</v>
      </c>
      <c r="BG28" s="44" t="n">
        <f aca="false">BD28</f>
        <v>0.849397590361446</v>
      </c>
      <c r="BH28" s="44" t="n">
        <f aca="false">BG28</f>
        <v>0.849397590361446</v>
      </c>
      <c r="BI28" s="44" t="n">
        <f aca="false">BH28</f>
        <v>0.849397590361446</v>
      </c>
      <c r="BJ28" s="44" t="n">
        <f aca="false">BI28</f>
        <v>0.849397590361446</v>
      </c>
      <c r="BK28" s="44" t="n">
        <v>1</v>
      </c>
    </row>
    <row r="29" customFormat="false" ht="12.8" hidden="false" customHeight="false" outlineLevel="0" collapsed="false">
      <c r="A29" s="0" t="n">
        <f aca="false">A28-1</f>
        <v>1990</v>
      </c>
      <c r="B29" s="48" t="n">
        <v>0.839403973509934</v>
      </c>
      <c r="C29" s="44" t="n">
        <f aca="false">B29</f>
        <v>0.839403973509934</v>
      </c>
      <c r="D29" s="44" t="n">
        <f aca="false">C29</f>
        <v>0.839403973509934</v>
      </c>
      <c r="E29" s="44" t="n">
        <f aca="false">D29</f>
        <v>0.839403973509934</v>
      </c>
      <c r="F29" s="44" t="n">
        <v>1</v>
      </c>
      <c r="G29" s="44" t="n">
        <f aca="false">F29</f>
        <v>1</v>
      </c>
      <c r="H29" s="44" t="n">
        <f aca="false">G29</f>
        <v>1</v>
      </c>
      <c r="I29" s="44" t="n">
        <f aca="false">H29</f>
        <v>1</v>
      </c>
      <c r="J29" s="44" t="n">
        <f aca="false">I29</f>
        <v>1</v>
      </c>
      <c r="K29" s="44" t="n">
        <f aca="false">J29</f>
        <v>1</v>
      </c>
      <c r="L29" s="44" t="n">
        <f aca="false">B29</f>
        <v>0.839403973509934</v>
      </c>
      <c r="M29" s="44" t="n">
        <f aca="false">L29</f>
        <v>0.839403973509934</v>
      </c>
      <c r="N29" s="44" t="n">
        <f aca="false">M29</f>
        <v>0.839403973509934</v>
      </c>
      <c r="O29" s="44" t="n">
        <f aca="false">N29</f>
        <v>0.839403973509934</v>
      </c>
      <c r="P29" s="44" t="n">
        <f aca="false">O29</f>
        <v>0.839403973509934</v>
      </c>
      <c r="Q29" s="44" t="n">
        <v>1</v>
      </c>
      <c r="R29" s="44" t="n">
        <f aca="false">Q29</f>
        <v>1</v>
      </c>
      <c r="S29" s="44" t="n">
        <f aca="false">R29</f>
        <v>1</v>
      </c>
      <c r="T29" s="44" t="n">
        <f aca="false">S29</f>
        <v>1</v>
      </c>
      <c r="U29" s="44" t="n">
        <f aca="false">T29</f>
        <v>1</v>
      </c>
      <c r="V29" s="44" t="n">
        <f aca="false">U29</f>
        <v>1</v>
      </c>
      <c r="W29" s="44" t="n">
        <f aca="false">V29</f>
        <v>1</v>
      </c>
      <c r="X29" s="44" t="n">
        <f aca="false">W29</f>
        <v>1</v>
      </c>
      <c r="Y29" s="44" t="n">
        <f aca="false">X29</f>
        <v>1</v>
      </c>
      <c r="Z29" s="44" t="n">
        <f aca="false">Y29</f>
        <v>1</v>
      </c>
      <c r="AA29" s="44" t="n">
        <f aca="false">Z29</f>
        <v>1</v>
      </c>
      <c r="AB29" s="44" t="n">
        <f aca="false">AA29</f>
        <v>1</v>
      </c>
      <c r="AC29" s="44" t="n">
        <f aca="false">AB29</f>
        <v>1</v>
      </c>
      <c r="AD29" s="44" t="n">
        <f aca="false">AC29</f>
        <v>1</v>
      </c>
      <c r="AE29" s="44" t="n">
        <f aca="false">B29</f>
        <v>0.839403973509934</v>
      </c>
      <c r="AF29" s="44" t="n">
        <f aca="false">AE29</f>
        <v>0.839403973509934</v>
      </c>
      <c r="AG29" s="44" t="n">
        <f aca="false">AF29</f>
        <v>0.839403973509934</v>
      </c>
      <c r="AH29" s="44" t="n">
        <f aca="false">AG29</f>
        <v>0.839403973509934</v>
      </c>
      <c r="AI29" s="44" t="n">
        <f aca="false">AH29</f>
        <v>0.839403973509934</v>
      </c>
      <c r="AJ29" s="44" t="n">
        <f aca="false">AI29</f>
        <v>0.839403973509934</v>
      </c>
      <c r="AK29" s="44" t="n">
        <f aca="false">AJ29</f>
        <v>0.839403973509934</v>
      </c>
      <c r="AL29" s="44" t="n">
        <f aca="false">AK29</f>
        <v>0.839403973509934</v>
      </c>
      <c r="AM29" s="44" t="n">
        <f aca="false">AL29</f>
        <v>0.839403973509934</v>
      </c>
      <c r="AN29" s="44" t="n">
        <v>1</v>
      </c>
      <c r="AO29" s="44" t="n">
        <f aca="false">AN29</f>
        <v>1</v>
      </c>
      <c r="AP29" s="44" t="n">
        <f aca="false">AO29</f>
        <v>1</v>
      </c>
      <c r="AQ29" s="44" t="n">
        <f aca="false">AP29</f>
        <v>1</v>
      </c>
      <c r="AR29" s="44" t="n">
        <f aca="false">AQ29</f>
        <v>1</v>
      </c>
      <c r="AS29" s="44" t="n">
        <f aca="false">AR29</f>
        <v>1</v>
      </c>
      <c r="AT29" s="44" t="n">
        <f aca="false">AS29</f>
        <v>1</v>
      </c>
      <c r="AU29" s="44" t="n">
        <f aca="false">AT29</f>
        <v>1</v>
      </c>
      <c r="AV29" s="44" t="n">
        <f aca="false">AU29</f>
        <v>1</v>
      </c>
      <c r="AW29" s="44" t="n">
        <f aca="false">AV29</f>
        <v>1</v>
      </c>
      <c r="AX29" s="44" t="n">
        <f aca="false">B29</f>
        <v>0.839403973509934</v>
      </c>
      <c r="AY29" s="44" t="n">
        <f aca="false">AX29</f>
        <v>0.839403973509934</v>
      </c>
      <c r="AZ29" s="44" t="n">
        <f aca="false">AY29</f>
        <v>0.839403973509934</v>
      </c>
      <c r="BA29" s="44" t="n">
        <v>1</v>
      </c>
      <c r="BB29" s="44" t="n">
        <f aca="false">BA29</f>
        <v>1</v>
      </c>
      <c r="BC29" s="44" t="n">
        <f aca="false">AZ29</f>
        <v>0.839403973509934</v>
      </c>
      <c r="BD29" s="44" t="n">
        <f aca="false">BC29</f>
        <v>0.839403973509934</v>
      </c>
      <c r="BE29" s="44" t="n">
        <v>1</v>
      </c>
      <c r="BF29" s="44" t="n">
        <v>1</v>
      </c>
      <c r="BG29" s="44" t="n">
        <f aca="false">BD29</f>
        <v>0.839403973509934</v>
      </c>
      <c r="BH29" s="44" t="n">
        <f aca="false">BG29</f>
        <v>0.839403973509934</v>
      </c>
      <c r="BI29" s="44" t="n">
        <f aca="false">BH29</f>
        <v>0.839403973509934</v>
      </c>
      <c r="BJ29" s="44" t="n">
        <f aca="false">BI29</f>
        <v>0.839403973509934</v>
      </c>
      <c r="BK29" s="44" t="n">
        <v>1</v>
      </c>
    </row>
    <row r="30" customFormat="false" ht="12.8" hidden="false" customHeight="false" outlineLevel="0" collapsed="false">
      <c r="A30" s="0" t="n">
        <f aca="false">A29-1</f>
        <v>1989</v>
      </c>
      <c r="B30" s="48" t="n">
        <v>0.905239327296248</v>
      </c>
      <c r="C30" s="44" t="n">
        <f aca="false">B30</f>
        <v>0.905239327296248</v>
      </c>
      <c r="D30" s="44" t="n">
        <f aca="false">C30</f>
        <v>0.905239327296248</v>
      </c>
      <c r="E30" s="44" t="n">
        <f aca="false">D30</f>
        <v>0.905239327296248</v>
      </c>
      <c r="F30" s="44" t="n">
        <v>1</v>
      </c>
      <c r="G30" s="44" t="n">
        <f aca="false">F30</f>
        <v>1</v>
      </c>
      <c r="H30" s="44" t="n">
        <f aca="false">G30</f>
        <v>1</v>
      </c>
      <c r="I30" s="44" t="n">
        <f aca="false">H30</f>
        <v>1</v>
      </c>
      <c r="J30" s="44" t="n">
        <f aca="false">I30</f>
        <v>1</v>
      </c>
      <c r="K30" s="44" t="n">
        <f aca="false">J30</f>
        <v>1</v>
      </c>
      <c r="L30" s="44" t="n">
        <f aca="false">B30</f>
        <v>0.905239327296248</v>
      </c>
      <c r="M30" s="44" t="n">
        <f aca="false">L30</f>
        <v>0.905239327296248</v>
      </c>
      <c r="N30" s="44" t="n">
        <f aca="false">M30</f>
        <v>0.905239327296248</v>
      </c>
      <c r="O30" s="44" t="n">
        <f aca="false">N30</f>
        <v>0.905239327296248</v>
      </c>
      <c r="P30" s="44" t="n">
        <f aca="false">O30</f>
        <v>0.905239327296248</v>
      </c>
      <c r="Q30" s="44" t="n">
        <v>1</v>
      </c>
      <c r="R30" s="44" t="n">
        <f aca="false">Q30</f>
        <v>1</v>
      </c>
      <c r="S30" s="44" t="n">
        <f aca="false">R30</f>
        <v>1</v>
      </c>
      <c r="T30" s="44" t="n">
        <f aca="false">S30</f>
        <v>1</v>
      </c>
      <c r="U30" s="44" t="n">
        <f aca="false">T30</f>
        <v>1</v>
      </c>
      <c r="V30" s="44" t="n">
        <f aca="false">U30</f>
        <v>1</v>
      </c>
      <c r="W30" s="44" t="n">
        <f aca="false">V30</f>
        <v>1</v>
      </c>
      <c r="X30" s="44" t="n">
        <f aca="false">W30</f>
        <v>1</v>
      </c>
      <c r="Y30" s="44" t="n">
        <f aca="false">X30</f>
        <v>1</v>
      </c>
      <c r="Z30" s="44" t="n">
        <f aca="false">Y30</f>
        <v>1</v>
      </c>
      <c r="AA30" s="44" t="n">
        <f aca="false">Z30</f>
        <v>1</v>
      </c>
      <c r="AB30" s="44" t="n">
        <f aca="false">AA30</f>
        <v>1</v>
      </c>
      <c r="AC30" s="44" t="n">
        <f aca="false">AB30</f>
        <v>1</v>
      </c>
      <c r="AD30" s="44" t="n">
        <f aca="false">AC30</f>
        <v>1</v>
      </c>
      <c r="AE30" s="44" t="n">
        <f aca="false">B30</f>
        <v>0.905239327296248</v>
      </c>
      <c r="AF30" s="44" t="n">
        <f aca="false">AE30</f>
        <v>0.905239327296248</v>
      </c>
      <c r="AG30" s="44" t="n">
        <f aca="false">AF30</f>
        <v>0.905239327296248</v>
      </c>
      <c r="AH30" s="44" t="n">
        <f aca="false">AG30</f>
        <v>0.905239327296248</v>
      </c>
      <c r="AI30" s="44" t="n">
        <f aca="false">AH30</f>
        <v>0.905239327296248</v>
      </c>
      <c r="AJ30" s="44" t="n">
        <f aca="false">AI30</f>
        <v>0.905239327296248</v>
      </c>
      <c r="AK30" s="44" t="n">
        <f aca="false">AJ30</f>
        <v>0.905239327296248</v>
      </c>
      <c r="AL30" s="44" t="n">
        <f aca="false">AK30</f>
        <v>0.905239327296248</v>
      </c>
      <c r="AM30" s="44" t="n">
        <f aca="false">AL30</f>
        <v>0.905239327296248</v>
      </c>
      <c r="AN30" s="44" t="n">
        <v>1</v>
      </c>
      <c r="AO30" s="44" t="n">
        <f aca="false">AN30</f>
        <v>1</v>
      </c>
      <c r="AP30" s="44" t="n">
        <f aca="false">AO30</f>
        <v>1</v>
      </c>
      <c r="AQ30" s="44" t="n">
        <f aca="false">AP30</f>
        <v>1</v>
      </c>
      <c r="AR30" s="44" t="n">
        <f aca="false">AQ30</f>
        <v>1</v>
      </c>
      <c r="AS30" s="44" t="n">
        <f aca="false">AR30</f>
        <v>1</v>
      </c>
      <c r="AT30" s="44" t="n">
        <f aca="false">AS30</f>
        <v>1</v>
      </c>
      <c r="AU30" s="44" t="n">
        <f aca="false">AT30</f>
        <v>1</v>
      </c>
      <c r="AV30" s="44" t="n">
        <f aca="false">AU30</f>
        <v>1</v>
      </c>
      <c r="AW30" s="44" t="n">
        <f aca="false">AV30</f>
        <v>1</v>
      </c>
      <c r="AX30" s="44" t="n">
        <f aca="false">B30</f>
        <v>0.905239327296248</v>
      </c>
      <c r="AY30" s="44" t="n">
        <f aca="false">AX30</f>
        <v>0.905239327296248</v>
      </c>
      <c r="AZ30" s="44" t="n">
        <f aca="false">AY30</f>
        <v>0.905239327296248</v>
      </c>
      <c r="BA30" s="44" t="n">
        <v>1</v>
      </c>
      <c r="BB30" s="44" t="n">
        <f aca="false">BA30</f>
        <v>1</v>
      </c>
      <c r="BC30" s="44" t="n">
        <f aca="false">AZ30</f>
        <v>0.905239327296248</v>
      </c>
      <c r="BD30" s="44" t="n">
        <f aca="false">BC30</f>
        <v>0.905239327296248</v>
      </c>
      <c r="BE30" s="44" t="n">
        <v>1</v>
      </c>
      <c r="BF30" s="44" t="n">
        <v>1</v>
      </c>
      <c r="BG30" s="44" t="n">
        <f aca="false">BD30</f>
        <v>0.905239327296248</v>
      </c>
      <c r="BH30" s="44" t="n">
        <f aca="false">BG30</f>
        <v>0.905239327296248</v>
      </c>
      <c r="BI30" s="44" t="n">
        <f aca="false">BH30</f>
        <v>0.905239327296248</v>
      </c>
      <c r="BJ30" s="44" t="n">
        <f aca="false">BI30</f>
        <v>0.905239327296248</v>
      </c>
      <c r="BK30" s="44" t="n">
        <v>1</v>
      </c>
    </row>
    <row r="31" customFormat="false" ht="12.8" hidden="false" customHeight="false" outlineLevel="0" collapsed="false">
      <c r="A31" s="0" t="n">
        <f aca="false">A30-1</f>
        <v>1988</v>
      </c>
      <c r="B31" s="48" t="n">
        <v>0.887225081890501</v>
      </c>
      <c r="C31" s="44" t="n">
        <f aca="false">B31</f>
        <v>0.887225081890501</v>
      </c>
      <c r="D31" s="44" t="n">
        <f aca="false">C31</f>
        <v>0.887225081890501</v>
      </c>
      <c r="E31" s="44" t="n">
        <f aca="false">D31</f>
        <v>0.887225081890501</v>
      </c>
      <c r="F31" s="44" t="n">
        <v>1</v>
      </c>
      <c r="G31" s="44" t="n">
        <f aca="false">F31</f>
        <v>1</v>
      </c>
      <c r="H31" s="44" t="n">
        <f aca="false">G31</f>
        <v>1</v>
      </c>
      <c r="I31" s="44" t="n">
        <f aca="false">H31</f>
        <v>1</v>
      </c>
      <c r="J31" s="44" t="n">
        <f aca="false">I31</f>
        <v>1</v>
      </c>
      <c r="K31" s="44" t="n">
        <f aca="false">J31</f>
        <v>1</v>
      </c>
      <c r="L31" s="44" t="n">
        <f aca="false">B31</f>
        <v>0.887225081890501</v>
      </c>
      <c r="M31" s="44" t="n">
        <f aca="false">L31</f>
        <v>0.887225081890501</v>
      </c>
      <c r="N31" s="44" t="n">
        <f aca="false">M31</f>
        <v>0.887225081890501</v>
      </c>
      <c r="O31" s="44" t="n">
        <f aca="false">N31</f>
        <v>0.887225081890501</v>
      </c>
      <c r="P31" s="44" t="n">
        <f aca="false">O31</f>
        <v>0.887225081890501</v>
      </c>
      <c r="Q31" s="44" t="n">
        <v>1</v>
      </c>
      <c r="R31" s="44" t="n">
        <f aca="false">Q31</f>
        <v>1</v>
      </c>
      <c r="S31" s="44" t="n">
        <f aca="false">R31</f>
        <v>1</v>
      </c>
      <c r="T31" s="44" t="n">
        <f aca="false">S31</f>
        <v>1</v>
      </c>
      <c r="U31" s="44" t="n">
        <f aca="false">T31</f>
        <v>1</v>
      </c>
      <c r="V31" s="44" t="n">
        <f aca="false">U31</f>
        <v>1</v>
      </c>
      <c r="W31" s="44" t="n">
        <f aca="false">V31</f>
        <v>1</v>
      </c>
      <c r="X31" s="44" t="n">
        <f aca="false">W31</f>
        <v>1</v>
      </c>
      <c r="Y31" s="44" t="n">
        <f aca="false">X31</f>
        <v>1</v>
      </c>
      <c r="Z31" s="44" t="n">
        <f aca="false">Y31</f>
        <v>1</v>
      </c>
      <c r="AA31" s="44" t="n">
        <f aca="false">Z31</f>
        <v>1</v>
      </c>
      <c r="AB31" s="44" t="n">
        <f aca="false">AA31</f>
        <v>1</v>
      </c>
      <c r="AC31" s="44" t="n">
        <f aca="false">AB31</f>
        <v>1</v>
      </c>
      <c r="AD31" s="44" t="n">
        <f aca="false">AC31</f>
        <v>1</v>
      </c>
      <c r="AE31" s="44" t="n">
        <f aca="false">B31</f>
        <v>0.887225081890501</v>
      </c>
      <c r="AF31" s="44" t="n">
        <f aca="false">AE31</f>
        <v>0.887225081890501</v>
      </c>
      <c r="AG31" s="44" t="n">
        <f aca="false">AF31</f>
        <v>0.887225081890501</v>
      </c>
      <c r="AH31" s="44" t="n">
        <f aca="false">AG31</f>
        <v>0.887225081890501</v>
      </c>
      <c r="AI31" s="44" t="n">
        <f aca="false">AH31</f>
        <v>0.887225081890501</v>
      </c>
      <c r="AJ31" s="44" t="n">
        <f aca="false">AI31</f>
        <v>0.887225081890501</v>
      </c>
      <c r="AK31" s="44" t="n">
        <f aca="false">AJ31</f>
        <v>0.887225081890501</v>
      </c>
      <c r="AL31" s="44" t="n">
        <f aca="false">AK31</f>
        <v>0.887225081890501</v>
      </c>
      <c r="AM31" s="44" t="n">
        <f aca="false">AL31</f>
        <v>0.887225081890501</v>
      </c>
      <c r="AN31" s="44" t="n">
        <v>1</v>
      </c>
      <c r="AO31" s="44" t="n">
        <f aca="false">AN31</f>
        <v>1</v>
      </c>
      <c r="AP31" s="44" t="n">
        <f aca="false">AO31</f>
        <v>1</v>
      </c>
      <c r="AQ31" s="44" t="n">
        <f aca="false">AP31</f>
        <v>1</v>
      </c>
      <c r="AR31" s="44" t="n">
        <f aca="false">AQ31</f>
        <v>1</v>
      </c>
      <c r="AS31" s="44" t="n">
        <f aca="false">AR31</f>
        <v>1</v>
      </c>
      <c r="AT31" s="44" t="n">
        <f aca="false">AS31</f>
        <v>1</v>
      </c>
      <c r="AU31" s="44" t="n">
        <f aca="false">AT31</f>
        <v>1</v>
      </c>
      <c r="AV31" s="44" t="n">
        <f aca="false">AU31</f>
        <v>1</v>
      </c>
      <c r="AW31" s="44" t="n">
        <f aca="false">AV31</f>
        <v>1</v>
      </c>
      <c r="AX31" s="44" t="n">
        <f aca="false">B31</f>
        <v>0.887225081890501</v>
      </c>
      <c r="AY31" s="44" t="n">
        <f aca="false">AX31</f>
        <v>0.887225081890501</v>
      </c>
      <c r="AZ31" s="44" t="n">
        <f aca="false">AY31</f>
        <v>0.887225081890501</v>
      </c>
      <c r="BA31" s="44" t="n">
        <v>1</v>
      </c>
      <c r="BB31" s="44" t="n">
        <f aca="false">BA31</f>
        <v>1</v>
      </c>
      <c r="BC31" s="44" t="n">
        <f aca="false">AZ31</f>
        <v>0.887225081890501</v>
      </c>
      <c r="BD31" s="44" t="n">
        <f aca="false">BC31</f>
        <v>0.887225081890501</v>
      </c>
      <c r="BE31" s="44" t="n">
        <v>1</v>
      </c>
      <c r="BF31" s="44" t="n">
        <v>1</v>
      </c>
      <c r="BG31" s="44" t="n">
        <f aca="false">BD31</f>
        <v>0.887225081890501</v>
      </c>
      <c r="BH31" s="44" t="n">
        <f aca="false">BG31</f>
        <v>0.887225081890501</v>
      </c>
      <c r="BI31" s="44" t="n">
        <f aca="false">BH31</f>
        <v>0.887225081890501</v>
      </c>
      <c r="BJ31" s="44" t="n">
        <f aca="false">BI31</f>
        <v>0.887225081890501</v>
      </c>
      <c r="BK31" s="44" t="n">
        <v>1</v>
      </c>
    </row>
    <row r="32" customFormat="false" ht="12.8" hidden="false" customHeight="false" outlineLevel="0" collapsed="false">
      <c r="A32" s="0" t="n">
        <f aca="false">A31-1</f>
        <v>1987</v>
      </c>
      <c r="B32" s="48" t="n">
        <v>0.890491036632892</v>
      </c>
      <c r="C32" s="44" t="n">
        <f aca="false">B32</f>
        <v>0.890491036632892</v>
      </c>
      <c r="D32" s="44" t="n">
        <f aca="false">C32</f>
        <v>0.890491036632892</v>
      </c>
      <c r="E32" s="44" t="n">
        <f aca="false">D32</f>
        <v>0.890491036632892</v>
      </c>
      <c r="F32" s="44" t="n">
        <v>1</v>
      </c>
      <c r="G32" s="44" t="n">
        <f aca="false">F32</f>
        <v>1</v>
      </c>
      <c r="H32" s="44" t="n">
        <f aca="false">G32</f>
        <v>1</v>
      </c>
      <c r="I32" s="44" t="n">
        <f aca="false">H32</f>
        <v>1</v>
      </c>
      <c r="J32" s="44" t="n">
        <f aca="false">I32</f>
        <v>1</v>
      </c>
      <c r="K32" s="44" t="n">
        <f aca="false">J32</f>
        <v>1</v>
      </c>
      <c r="L32" s="44" t="n">
        <f aca="false">B32</f>
        <v>0.890491036632892</v>
      </c>
      <c r="M32" s="44" t="n">
        <f aca="false">L32</f>
        <v>0.890491036632892</v>
      </c>
      <c r="N32" s="44" t="n">
        <f aca="false">M32</f>
        <v>0.890491036632892</v>
      </c>
      <c r="O32" s="44" t="n">
        <f aca="false">N32</f>
        <v>0.890491036632892</v>
      </c>
      <c r="P32" s="44" t="n">
        <f aca="false">O32</f>
        <v>0.890491036632892</v>
      </c>
      <c r="Q32" s="44" t="n">
        <v>1</v>
      </c>
      <c r="R32" s="44" t="n">
        <f aca="false">Q32</f>
        <v>1</v>
      </c>
      <c r="S32" s="44" t="n">
        <f aca="false">R32</f>
        <v>1</v>
      </c>
      <c r="T32" s="44" t="n">
        <f aca="false">S32</f>
        <v>1</v>
      </c>
      <c r="U32" s="44" t="n">
        <f aca="false">T32</f>
        <v>1</v>
      </c>
      <c r="V32" s="44" t="n">
        <f aca="false">U32</f>
        <v>1</v>
      </c>
      <c r="W32" s="44" t="n">
        <f aca="false">V32</f>
        <v>1</v>
      </c>
      <c r="X32" s="44" t="n">
        <f aca="false">W32</f>
        <v>1</v>
      </c>
      <c r="Y32" s="44" t="n">
        <f aca="false">X32</f>
        <v>1</v>
      </c>
      <c r="Z32" s="44" t="n">
        <f aca="false">Y32</f>
        <v>1</v>
      </c>
      <c r="AA32" s="44" t="n">
        <f aca="false">Z32</f>
        <v>1</v>
      </c>
      <c r="AB32" s="44" t="n">
        <f aca="false">AA32</f>
        <v>1</v>
      </c>
      <c r="AC32" s="44" t="n">
        <f aca="false">AB32</f>
        <v>1</v>
      </c>
      <c r="AD32" s="44" t="n">
        <f aca="false">AC32</f>
        <v>1</v>
      </c>
      <c r="AE32" s="44" t="n">
        <f aca="false">B32</f>
        <v>0.890491036632892</v>
      </c>
      <c r="AF32" s="44" t="n">
        <f aca="false">AE32</f>
        <v>0.890491036632892</v>
      </c>
      <c r="AG32" s="44" t="n">
        <f aca="false">AF32</f>
        <v>0.890491036632892</v>
      </c>
      <c r="AH32" s="44" t="n">
        <f aca="false">AG32</f>
        <v>0.890491036632892</v>
      </c>
      <c r="AI32" s="44" t="n">
        <f aca="false">AH32</f>
        <v>0.890491036632892</v>
      </c>
      <c r="AJ32" s="44" t="n">
        <f aca="false">AI32</f>
        <v>0.890491036632892</v>
      </c>
      <c r="AK32" s="44" t="n">
        <f aca="false">AJ32</f>
        <v>0.890491036632892</v>
      </c>
      <c r="AL32" s="44" t="n">
        <f aca="false">AK32</f>
        <v>0.890491036632892</v>
      </c>
      <c r="AM32" s="44" t="n">
        <f aca="false">AL32</f>
        <v>0.890491036632892</v>
      </c>
      <c r="AN32" s="44" t="n">
        <v>1</v>
      </c>
      <c r="AO32" s="44" t="n">
        <f aca="false">AN32</f>
        <v>1</v>
      </c>
      <c r="AP32" s="44" t="n">
        <f aca="false">AO32</f>
        <v>1</v>
      </c>
      <c r="AQ32" s="44" t="n">
        <f aca="false">AP32</f>
        <v>1</v>
      </c>
      <c r="AR32" s="44" t="n">
        <f aca="false">AQ32</f>
        <v>1</v>
      </c>
      <c r="AS32" s="44" t="n">
        <f aca="false">AR32</f>
        <v>1</v>
      </c>
      <c r="AT32" s="44" t="n">
        <f aca="false">AS32</f>
        <v>1</v>
      </c>
      <c r="AU32" s="44" t="n">
        <f aca="false">AT32</f>
        <v>1</v>
      </c>
      <c r="AV32" s="44" t="n">
        <f aca="false">AU32</f>
        <v>1</v>
      </c>
      <c r="AW32" s="44" t="n">
        <f aca="false">AV32</f>
        <v>1</v>
      </c>
      <c r="AX32" s="44" t="n">
        <f aca="false">B32</f>
        <v>0.890491036632892</v>
      </c>
      <c r="AY32" s="44" t="n">
        <f aca="false">AX32</f>
        <v>0.890491036632892</v>
      </c>
      <c r="AZ32" s="44" t="n">
        <f aca="false">AY32</f>
        <v>0.890491036632892</v>
      </c>
      <c r="BA32" s="44" t="n">
        <v>1</v>
      </c>
      <c r="BB32" s="44" t="n">
        <f aca="false">BA32</f>
        <v>1</v>
      </c>
      <c r="BC32" s="44" t="n">
        <f aca="false">AZ32</f>
        <v>0.890491036632892</v>
      </c>
      <c r="BD32" s="44" t="n">
        <f aca="false">BC32</f>
        <v>0.890491036632892</v>
      </c>
      <c r="BE32" s="44" t="n">
        <v>1</v>
      </c>
      <c r="BF32" s="44" t="n">
        <v>1</v>
      </c>
      <c r="BG32" s="44" t="n">
        <f aca="false">BD32</f>
        <v>0.890491036632892</v>
      </c>
      <c r="BH32" s="44" t="n">
        <f aca="false">BG32</f>
        <v>0.890491036632892</v>
      </c>
      <c r="BI32" s="44" t="n">
        <f aca="false">BH32</f>
        <v>0.890491036632892</v>
      </c>
      <c r="BJ32" s="44" t="n">
        <f aca="false">BI32</f>
        <v>0.890491036632892</v>
      </c>
      <c r="BK32" s="44" t="n">
        <v>1</v>
      </c>
    </row>
    <row r="33" customFormat="false" ht="12.8" hidden="false" customHeight="false" outlineLevel="0" collapsed="false">
      <c r="A33" s="0" t="n">
        <f aca="false">A32-1</f>
        <v>1986</v>
      </c>
      <c r="B33" s="48" t="n">
        <v>0.875908618899273</v>
      </c>
      <c r="C33" s="44" t="n">
        <f aca="false">B33</f>
        <v>0.875908618899273</v>
      </c>
      <c r="D33" s="44" t="n">
        <f aca="false">C33</f>
        <v>0.875908618899273</v>
      </c>
      <c r="E33" s="44" t="n">
        <f aca="false">D33</f>
        <v>0.875908618899273</v>
      </c>
      <c r="F33" s="44" t="n">
        <v>1</v>
      </c>
      <c r="G33" s="44" t="n">
        <f aca="false">F33</f>
        <v>1</v>
      </c>
      <c r="H33" s="44" t="n">
        <f aca="false">G33</f>
        <v>1</v>
      </c>
      <c r="I33" s="44" t="n">
        <f aca="false">H33</f>
        <v>1</v>
      </c>
      <c r="J33" s="44" t="n">
        <f aca="false">I33</f>
        <v>1</v>
      </c>
      <c r="K33" s="44" t="n">
        <f aca="false">J33</f>
        <v>1</v>
      </c>
      <c r="L33" s="44" t="n">
        <f aca="false">B33</f>
        <v>0.875908618899273</v>
      </c>
      <c r="M33" s="44" t="n">
        <f aca="false">L33</f>
        <v>0.875908618899273</v>
      </c>
      <c r="N33" s="44" t="n">
        <f aca="false">M33</f>
        <v>0.875908618899273</v>
      </c>
      <c r="O33" s="44" t="n">
        <f aca="false">N33</f>
        <v>0.875908618899273</v>
      </c>
      <c r="P33" s="44" t="n">
        <f aca="false">O33</f>
        <v>0.875908618899273</v>
      </c>
      <c r="Q33" s="44" t="n">
        <v>1</v>
      </c>
      <c r="R33" s="44" t="n">
        <f aca="false">Q33</f>
        <v>1</v>
      </c>
      <c r="S33" s="44" t="n">
        <f aca="false">R33</f>
        <v>1</v>
      </c>
      <c r="T33" s="44" t="n">
        <f aca="false">S33</f>
        <v>1</v>
      </c>
      <c r="U33" s="44" t="n">
        <f aca="false">T33</f>
        <v>1</v>
      </c>
      <c r="V33" s="44" t="n">
        <f aca="false">U33</f>
        <v>1</v>
      </c>
      <c r="W33" s="44" t="n">
        <f aca="false">V33</f>
        <v>1</v>
      </c>
      <c r="X33" s="44" t="n">
        <f aca="false">W33</f>
        <v>1</v>
      </c>
      <c r="Y33" s="44" t="n">
        <f aca="false">X33</f>
        <v>1</v>
      </c>
      <c r="Z33" s="44" t="n">
        <f aca="false">Y33</f>
        <v>1</v>
      </c>
      <c r="AA33" s="44" t="n">
        <f aca="false">Z33</f>
        <v>1</v>
      </c>
      <c r="AB33" s="44" t="n">
        <f aca="false">AA33</f>
        <v>1</v>
      </c>
      <c r="AC33" s="44" t="n">
        <f aca="false">AB33</f>
        <v>1</v>
      </c>
      <c r="AD33" s="44" t="n">
        <f aca="false">AC33</f>
        <v>1</v>
      </c>
      <c r="AE33" s="44" t="n">
        <f aca="false">B33</f>
        <v>0.875908618899273</v>
      </c>
      <c r="AF33" s="44" t="n">
        <f aca="false">AE33</f>
        <v>0.875908618899273</v>
      </c>
      <c r="AG33" s="44" t="n">
        <f aca="false">AF33</f>
        <v>0.875908618899273</v>
      </c>
      <c r="AH33" s="44" t="n">
        <f aca="false">AG33</f>
        <v>0.875908618899273</v>
      </c>
      <c r="AI33" s="44" t="n">
        <f aca="false">AH33</f>
        <v>0.875908618899273</v>
      </c>
      <c r="AJ33" s="44" t="n">
        <f aca="false">AI33</f>
        <v>0.875908618899273</v>
      </c>
      <c r="AK33" s="44" t="n">
        <f aca="false">AJ33</f>
        <v>0.875908618899273</v>
      </c>
      <c r="AL33" s="44" t="n">
        <f aca="false">AK33</f>
        <v>0.875908618899273</v>
      </c>
      <c r="AM33" s="44" t="n">
        <f aca="false">AL33</f>
        <v>0.875908618899273</v>
      </c>
      <c r="AN33" s="44" t="n">
        <v>1</v>
      </c>
      <c r="AO33" s="44" t="n">
        <f aca="false">AN33</f>
        <v>1</v>
      </c>
      <c r="AP33" s="44" t="n">
        <f aca="false">AO33</f>
        <v>1</v>
      </c>
      <c r="AQ33" s="44" t="n">
        <f aca="false">AP33</f>
        <v>1</v>
      </c>
      <c r="AR33" s="44" t="n">
        <f aca="false">AQ33</f>
        <v>1</v>
      </c>
      <c r="AS33" s="44" t="n">
        <f aca="false">AR33</f>
        <v>1</v>
      </c>
      <c r="AT33" s="44" t="n">
        <f aca="false">AS33</f>
        <v>1</v>
      </c>
      <c r="AU33" s="44" t="n">
        <f aca="false">AT33</f>
        <v>1</v>
      </c>
      <c r="AV33" s="44" t="n">
        <f aca="false">AU33</f>
        <v>1</v>
      </c>
      <c r="AW33" s="44" t="n">
        <f aca="false">AV33</f>
        <v>1</v>
      </c>
      <c r="AX33" s="44" t="n">
        <f aca="false">B33</f>
        <v>0.875908618899273</v>
      </c>
      <c r="AY33" s="44" t="n">
        <f aca="false">AX33</f>
        <v>0.875908618899273</v>
      </c>
      <c r="AZ33" s="44" t="n">
        <f aca="false">AY33</f>
        <v>0.875908618899273</v>
      </c>
      <c r="BA33" s="44" t="n">
        <v>1</v>
      </c>
      <c r="BB33" s="44" t="n">
        <f aca="false">BA33</f>
        <v>1</v>
      </c>
      <c r="BC33" s="44" t="n">
        <f aca="false">AZ33</f>
        <v>0.875908618899273</v>
      </c>
      <c r="BD33" s="44" t="n">
        <f aca="false">BC33</f>
        <v>0.875908618899273</v>
      </c>
      <c r="BE33" s="44" t="n">
        <v>1</v>
      </c>
      <c r="BF33" s="44" t="n">
        <v>1</v>
      </c>
      <c r="BG33" s="44" t="n">
        <f aca="false">BD33</f>
        <v>0.875908618899273</v>
      </c>
      <c r="BH33" s="44" t="n">
        <f aca="false">BG33</f>
        <v>0.875908618899273</v>
      </c>
      <c r="BI33" s="44" t="n">
        <f aca="false">BH33</f>
        <v>0.875908618899273</v>
      </c>
      <c r="BJ33" s="44" t="n">
        <f aca="false">BI33</f>
        <v>0.875908618899273</v>
      </c>
      <c r="BK33" s="44" t="n">
        <v>1</v>
      </c>
    </row>
    <row r="34" customFormat="false" ht="12.8" hidden="false" customHeight="false" outlineLevel="0" collapsed="false">
      <c r="A34" s="0" t="n">
        <f aca="false">A33-1</f>
        <v>1985</v>
      </c>
      <c r="B34" s="48" t="n">
        <v>0.864071038251366</v>
      </c>
      <c r="C34" s="44" t="n">
        <f aca="false">B34</f>
        <v>0.864071038251366</v>
      </c>
      <c r="D34" s="44" t="n">
        <f aca="false">C34</f>
        <v>0.864071038251366</v>
      </c>
      <c r="E34" s="44" t="n">
        <f aca="false">D34</f>
        <v>0.864071038251366</v>
      </c>
      <c r="F34" s="44" t="n">
        <v>1</v>
      </c>
      <c r="G34" s="44" t="n">
        <f aca="false">F34</f>
        <v>1</v>
      </c>
      <c r="H34" s="44" t="n">
        <f aca="false">G34</f>
        <v>1</v>
      </c>
      <c r="I34" s="44" t="n">
        <f aca="false">H34</f>
        <v>1</v>
      </c>
      <c r="J34" s="44" t="n">
        <f aca="false">I34</f>
        <v>1</v>
      </c>
      <c r="K34" s="44" t="n">
        <f aca="false">J34</f>
        <v>1</v>
      </c>
      <c r="L34" s="44" t="n">
        <f aca="false">B34</f>
        <v>0.864071038251366</v>
      </c>
      <c r="M34" s="44" t="n">
        <f aca="false">L34</f>
        <v>0.864071038251366</v>
      </c>
      <c r="N34" s="44" t="n">
        <f aca="false">M34</f>
        <v>0.864071038251366</v>
      </c>
      <c r="O34" s="44" t="n">
        <f aca="false">N34</f>
        <v>0.864071038251366</v>
      </c>
      <c r="P34" s="44" t="n">
        <f aca="false">O34</f>
        <v>0.864071038251366</v>
      </c>
      <c r="Q34" s="44" t="n">
        <v>1</v>
      </c>
      <c r="R34" s="44" t="n">
        <f aca="false">Q34</f>
        <v>1</v>
      </c>
      <c r="S34" s="44" t="n">
        <f aca="false">R34</f>
        <v>1</v>
      </c>
      <c r="T34" s="44" t="n">
        <f aca="false">S34</f>
        <v>1</v>
      </c>
      <c r="U34" s="44" t="n">
        <f aca="false">T34</f>
        <v>1</v>
      </c>
      <c r="V34" s="44" t="n">
        <f aca="false">U34</f>
        <v>1</v>
      </c>
      <c r="W34" s="44" t="n">
        <f aca="false">V34</f>
        <v>1</v>
      </c>
      <c r="X34" s="44" t="n">
        <f aca="false">W34</f>
        <v>1</v>
      </c>
      <c r="Y34" s="44" t="n">
        <f aca="false">X34</f>
        <v>1</v>
      </c>
      <c r="Z34" s="44" t="n">
        <f aca="false">Y34</f>
        <v>1</v>
      </c>
      <c r="AA34" s="44" t="n">
        <f aca="false">Z34</f>
        <v>1</v>
      </c>
      <c r="AB34" s="44" t="n">
        <f aca="false">AA34</f>
        <v>1</v>
      </c>
      <c r="AC34" s="44" t="n">
        <f aca="false">AB34</f>
        <v>1</v>
      </c>
      <c r="AD34" s="44" t="n">
        <f aca="false">AC34</f>
        <v>1</v>
      </c>
      <c r="AE34" s="44" t="n">
        <f aca="false">B34</f>
        <v>0.864071038251366</v>
      </c>
      <c r="AF34" s="44" t="n">
        <f aca="false">AE34</f>
        <v>0.864071038251366</v>
      </c>
      <c r="AG34" s="44" t="n">
        <f aca="false">AF34</f>
        <v>0.864071038251366</v>
      </c>
      <c r="AH34" s="44" t="n">
        <f aca="false">AG34</f>
        <v>0.864071038251366</v>
      </c>
      <c r="AI34" s="44" t="n">
        <f aca="false">AH34</f>
        <v>0.864071038251366</v>
      </c>
      <c r="AJ34" s="44" t="n">
        <f aca="false">AI34</f>
        <v>0.864071038251366</v>
      </c>
      <c r="AK34" s="44" t="n">
        <f aca="false">AJ34</f>
        <v>0.864071038251366</v>
      </c>
      <c r="AL34" s="44" t="n">
        <f aca="false">AK34</f>
        <v>0.864071038251366</v>
      </c>
      <c r="AM34" s="44" t="n">
        <f aca="false">AL34</f>
        <v>0.864071038251366</v>
      </c>
      <c r="AN34" s="44" t="n">
        <v>1</v>
      </c>
      <c r="AO34" s="44" t="n">
        <f aca="false">AN34</f>
        <v>1</v>
      </c>
      <c r="AP34" s="44" t="n">
        <f aca="false">AO34</f>
        <v>1</v>
      </c>
      <c r="AQ34" s="44" t="n">
        <f aca="false">AP34</f>
        <v>1</v>
      </c>
      <c r="AR34" s="44" t="n">
        <f aca="false">AQ34</f>
        <v>1</v>
      </c>
      <c r="AS34" s="44" t="n">
        <f aca="false">AR34</f>
        <v>1</v>
      </c>
      <c r="AT34" s="44" t="n">
        <f aca="false">AS34</f>
        <v>1</v>
      </c>
      <c r="AU34" s="44" t="n">
        <f aca="false">AT34</f>
        <v>1</v>
      </c>
      <c r="AV34" s="44" t="n">
        <f aca="false">AU34</f>
        <v>1</v>
      </c>
      <c r="AW34" s="44" t="n">
        <f aca="false">AV34</f>
        <v>1</v>
      </c>
      <c r="AX34" s="44" t="n">
        <f aca="false">B34</f>
        <v>0.864071038251366</v>
      </c>
      <c r="AY34" s="44" t="n">
        <f aca="false">AX34</f>
        <v>0.864071038251366</v>
      </c>
      <c r="AZ34" s="44" t="n">
        <f aca="false">AY34</f>
        <v>0.864071038251366</v>
      </c>
      <c r="BA34" s="44" t="n">
        <v>1</v>
      </c>
      <c r="BB34" s="44" t="n">
        <f aca="false">BA34</f>
        <v>1</v>
      </c>
      <c r="BC34" s="44" t="n">
        <f aca="false">AZ34</f>
        <v>0.864071038251366</v>
      </c>
      <c r="BD34" s="44" t="n">
        <f aca="false">BC34</f>
        <v>0.864071038251366</v>
      </c>
      <c r="BE34" s="44" t="n">
        <v>1</v>
      </c>
      <c r="BF34" s="44" t="n">
        <v>1</v>
      </c>
      <c r="BG34" s="44" t="n">
        <f aca="false">BD34</f>
        <v>0.864071038251366</v>
      </c>
      <c r="BH34" s="44" t="n">
        <f aca="false">BG34</f>
        <v>0.864071038251366</v>
      </c>
      <c r="BI34" s="44" t="n">
        <f aca="false">BH34</f>
        <v>0.864071038251366</v>
      </c>
      <c r="BJ34" s="44" t="n">
        <f aca="false">BI34</f>
        <v>0.864071038251366</v>
      </c>
      <c r="BK34" s="44" t="n">
        <v>1</v>
      </c>
    </row>
    <row r="35" customFormat="false" ht="12.8" hidden="false" customHeight="false" outlineLevel="0" collapsed="false">
      <c r="A35" s="0" t="n">
        <f aca="false">A34-1</f>
        <v>1984</v>
      </c>
      <c r="B35" s="48" t="n">
        <v>0.846153846153846</v>
      </c>
      <c r="C35" s="44" t="n">
        <f aca="false">B35</f>
        <v>0.846153846153846</v>
      </c>
      <c r="D35" s="44" t="n">
        <f aca="false">C35</f>
        <v>0.846153846153846</v>
      </c>
      <c r="E35" s="44" t="n">
        <f aca="false">D35</f>
        <v>0.846153846153846</v>
      </c>
      <c r="F35" s="44" t="n">
        <v>1</v>
      </c>
      <c r="G35" s="44" t="n">
        <f aca="false">F35</f>
        <v>1</v>
      </c>
      <c r="H35" s="44" t="n">
        <f aca="false">G35</f>
        <v>1</v>
      </c>
      <c r="I35" s="44" t="n">
        <f aca="false">H35</f>
        <v>1</v>
      </c>
      <c r="J35" s="44" t="n">
        <f aca="false">I35</f>
        <v>1</v>
      </c>
      <c r="K35" s="44" t="n">
        <f aca="false">J35</f>
        <v>1</v>
      </c>
      <c r="L35" s="44" t="n">
        <f aca="false">B35</f>
        <v>0.846153846153846</v>
      </c>
      <c r="M35" s="44" t="n">
        <f aca="false">L35</f>
        <v>0.846153846153846</v>
      </c>
      <c r="N35" s="44" t="n">
        <f aca="false">M35</f>
        <v>0.846153846153846</v>
      </c>
      <c r="O35" s="44" t="n">
        <f aca="false">N35</f>
        <v>0.846153846153846</v>
      </c>
      <c r="P35" s="44" t="n">
        <f aca="false">O35</f>
        <v>0.846153846153846</v>
      </c>
      <c r="Q35" s="44" t="n">
        <v>1</v>
      </c>
      <c r="R35" s="44" t="n">
        <f aca="false">Q35</f>
        <v>1</v>
      </c>
      <c r="S35" s="44" t="n">
        <f aca="false">R35</f>
        <v>1</v>
      </c>
      <c r="T35" s="44" t="n">
        <f aca="false">S35</f>
        <v>1</v>
      </c>
      <c r="U35" s="44" t="n">
        <f aca="false">T35</f>
        <v>1</v>
      </c>
      <c r="V35" s="44" t="n">
        <f aca="false">U35</f>
        <v>1</v>
      </c>
      <c r="W35" s="44" t="n">
        <f aca="false">V35</f>
        <v>1</v>
      </c>
      <c r="X35" s="44" t="n">
        <f aca="false">W35</f>
        <v>1</v>
      </c>
      <c r="Y35" s="44" t="n">
        <f aca="false">X35</f>
        <v>1</v>
      </c>
      <c r="Z35" s="44" t="n">
        <f aca="false">Y35</f>
        <v>1</v>
      </c>
      <c r="AA35" s="44" t="n">
        <f aca="false">Z35</f>
        <v>1</v>
      </c>
      <c r="AB35" s="44" t="n">
        <f aca="false">AA35</f>
        <v>1</v>
      </c>
      <c r="AC35" s="44" t="n">
        <f aca="false">AB35</f>
        <v>1</v>
      </c>
      <c r="AD35" s="44" t="n">
        <f aca="false">AC35</f>
        <v>1</v>
      </c>
      <c r="AE35" s="44" t="n">
        <f aca="false">B35</f>
        <v>0.846153846153846</v>
      </c>
      <c r="AF35" s="44" t="n">
        <f aca="false">AE35</f>
        <v>0.846153846153846</v>
      </c>
      <c r="AG35" s="44" t="n">
        <f aca="false">AF35</f>
        <v>0.846153846153846</v>
      </c>
      <c r="AH35" s="44" t="n">
        <f aca="false">AG35</f>
        <v>0.846153846153846</v>
      </c>
      <c r="AI35" s="44" t="n">
        <f aca="false">AH35</f>
        <v>0.846153846153846</v>
      </c>
      <c r="AJ35" s="44" t="n">
        <f aca="false">AI35</f>
        <v>0.846153846153846</v>
      </c>
      <c r="AK35" s="44" t="n">
        <f aca="false">AJ35</f>
        <v>0.846153846153846</v>
      </c>
      <c r="AL35" s="44" t="n">
        <f aca="false">AK35</f>
        <v>0.846153846153846</v>
      </c>
      <c r="AM35" s="44" t="n">
        <f aca="false">AL35</f>
        <v>0.846153846153846</v>
      </c>
      <c r="AN35" s="44" t="n">
        <v>1</v>
      </c>
      <c r="AO35" s="44" t="n">
        <f aca="false">AN35</f>
        <v>1</v>
      </c>
      <c r="AP35" s="44" t="n">
        <f aca="false">AO35</f>
        <v>1</v>
      </c>
      <c r="AQ35" s="44" t="n">
        <f aca="false">AP35</f>
        <v>1</v>
      </c>
      <c r="AR35" s="44" t="n">
        <f aca="false">AQ35</f>
        <v>1</v>
      </c>
      <c r="AS35" s="44" t="n">
        <f aca="false">AR35</f>
        <v>1</v>
      </c>
      <c r="AT35" s="44" t="n">
        <f aca="false">AS35</f>
        <v>1</v>
      </c>
      <c r="AU35" s="44" t="n">
        <f aca="false">AT35</f>
        <v>1</v>
      </c>
      <c r="AV35" s="44" t="n">
        <f aca="false">AU35</f>
        <v>1</v>
      </c>
      <c r="AW35" s="44" t="n">
        <f aca="false">AV35</f>
        <v>1</v>
      </c>
      <c r="AX35" s="44" t="n">
        <f aca="false">B35</f>
        <v>0.846153846153846</v>
      </c>
      <c r="AY35" s="44" t="n">
        <f aca="false">AX35</f>
        <v>0.846153846153846</v>
      </c>
      <c r="AZ35" s="44" t="n">
        <f aca="false">AY35</f>
        <v>0.846153846153846</v>
      </c>
      <c r="BA35" s="44" t="n">
        <v>1</v>
      </c>
      <c r="BB35" s="44" t="n">
        <f aca="false">BA35</f>
        <v>1</v>
      </c>
      <c r="BC35" s="44" t="n">
        <f aca="false">AZ35</f>
        <v>0.846153846153846</v>
      </c>
      <c r="BD35" s="44" t="n">
        <f aca="false">BC35</f>
        <v>0.846153846153846</v>
      </c>
      <c r="BE35" s="44" t="n">
        <v>1</v>
      </c>
      <c r="BF35" s="44" t="n">
        <v>1</v>
      </c>
      <c r="BG35" s="44" t="n">
        <f aca="false">BD35</f>
        <v>0.846153846153846</v>
      </c>
      <c r="BH35" s="44" t="n">
        <f aca="false">BG35</f>
        <v>0.846153846153846</v>
      </c>
      <c r="BI35" s="44" t="n">
        <f aca="false">BH35</f>
        <v>0.846153846153846</v>
      </c>
      <c r="BJ35" s="44" t="n">
        <f aca="false">BI35</f>
        <v>0.846153846153846</v>
      </c>
      <c r="BK35" s="44" t="n">
        <v>1</v>
      </c>
    </row>
    <row r="36" customFormat="false" ht="12.8" hidden="false" customHeight="false" outlineLevel="0" collapsed="false">
      <c r="A36" s="0" t="n">
        <f aca="false">A35-1</f>
        <v>1983</v>
      </c>
      <c r="B36" s="48" t="n">
        <v>0.838862559241706</v>
      </c>
      <c r="C36" s="44" t="n">
        <f aca="false">B36</f>
        <v>0.838862559241706</v>
      </c>
      <c r="D36" s="44" t="n">
        <f aca="false">C36</f>
        <v>0.838862559241706</v>
      </c>
      <c r="E36" s="44" t="n">
        <f aca="false">D36</f>
        <v>0.838862559241706</v>
      </c>
      <c r="F36" s="44" t="n">
        <v>1</v>
      </c>
      <c r="G36" s="44" t="n">
        <f aca="false">F36</f>
        <v>1</v>
      </c>
      <c r="H36" s="44" t="n">
        <f aca="false">G36</f>
        <v>1</v>
      </c>
      <c r="I36" s="44" t="n">
        <f aca="false">H36</f>
        <v>1</v>
      </c>
      <c r="J36" s="44" t="n">
        <f aca="false">I36</f>
        <v>1</v>
      </c>
      <c r="K36" s="44" t="n">
        <f aca="false">J36</f>
        <v>1</v>
      </c>
      <c r="L36" s="44" t="n">
        <f aca="false">B36</f>
        <v>0.838862559241706</v>
      </c>
      <c r="M36" s="44" t="n">
        <f aca="false">L36</f>
        <v>0.838862559241706</v>
      </c>
      <c r="N36" s="44" t="n">
        <f aca="false">M36</f>
        <v>0.838862559241706</v>
      </c>
      <c r="O36" s="44" t="n">
        <f aca="false">N36</f>
        <v>0.838862559241706</v>
      </c>
      <c r="P36" s="44" t="n">
        <f aca="false">O36</f>
        <v>0.838862559241706</v>
      </c>
      <c r="Q36" s="44" t="n">
        <v>1</v>
      </c>
      <c r="R36" s="44" t="n">
        <f aca="false">Q36</f>
        <v>1</v>
      </c>
      <c r="S36" s="44" t="n">
        <f aca="false">R36</f>
        <v>1</v>
      </c>
      <c r="T36" s="44" t="n">
        <f aca="false">S36</f>
        <v>1</v>
      </c>
      <c r="U36" s="44" t="n">
        <f aca="false">T36</f>
        <v>1</v>
      </c>
      <c r="V36" s="44" t="n">
        <f aca="false">U36</f>
        <v>1</v>
      </c>
      <c r="W36" s="44" t="n">
        <f aca="false">V36</f>
        <v>1</v>
      </c>
      <c r="X36" s="44" t="n">
        <f aca="false">W36</f>
        <v>1</v>
      </c>
      <c r="Y36" s="44" t="n">
        <f aca="false">X36</f>
        <v>1</v>
      </c>
      <c r="Z36" s="44" t="n">
        <f aca="false">Y36</f>
        <v>1</v>
      </c>
      <c r="AA36" s="44" t="n">
        <f aca="false">Z36</f>
        <v>1</v>
      </c>
      <c r="AB36" s="44" t="n">
        <f aca="false">AA36</f>
        <v>1</v>
      </c>
      <c r="AC36" s="44" t="n">
        <f aca="false">AB36</f>
        <v>1</v>
      </c>
      <c r="AD36" s="44" t="n">
        <f aca="false">AC36</f>
        <v>1</v>
      </c>
      <c r="AE36" s="44" t="n">
        <f aca="false">B36</f>
        <v>0.838862559241706</v>
      </c>
      <c r="AF36" s="44" t="n">
        <f aca="false">AE36</f>
        <v>0.838862559241706</v>
      </c>
      <c r="AG36" s="44" t="n">
        <f aca="false">AF36</f>
        <v>0.838862559241706</v>
      </c>
      <c r="AH36" s="44" t="n">
        <f aca="false">AG36</f>
        <v>0.838862559241706</v>
      </c>
      <c r="AI36" s="44" t="n">
        <f aca="false">AH36</f>
        <v>0.838862559241706</v>
      </c>
      <c r="AJ36" s="44" t="n">
        <f aca="false">AI36</f>
        <v>0.838862559241706</v>
      </c>
      <c r="AK36" s="44" t="n">
        <f aca="false">AJ36</f>
        <v>0.838862559241706</v>
      </c>
      <c r="AL36" s="44" t="n">
        <f aca="false">AK36</f>
        <v>0.838862559241706</v>
      </c>
      <c r="AM36" s="44" t="n">
        <f aca="false">AL36</f>
        <v>0.838862559241706</v>
      </c>
      <c r="AN36" s="44" t="n">
        <v>1</v>
      </c>
      <c r="AO36" s="44" t="n">
        <f aca="false">AN36</f>
        <v>1</v>
      </c>
      <c r="AP36" s="44" t="n">
        <f aca="false">AO36</f>
        <v>1</v>
      </c>
      <c r="AQ36" s="44" t="n">
        <f aca="false">AP36</f>
        <v>1</v>
      </c>
      <c r="AR36" s="44" t="n">
        <f aca="false">AQ36</f>
        <v>1</v>
      </c>
      <c r="AS36" s="44" t="n">
        <f aca="false">AR36</f>
        <v>1</v>
      </c>
      <c r="AT36" s="44" t="n">
        <f aca="false">AS36</f>
        <v>1</v>
      </c>
      <c r="AU36" s="44" t="n">
        <f aca="false">AT36</f>
        <v>1</v>
      </c>
      <c r="AV36" s="44" t="n">
        <f aca="false">AU36</f>
        <v>1</v>
      </c>
      <c r="AW36" s="44" t="n">
        <f aca="false">AV36</f>
        <v>1</v>
      </c>
      <c r="AX36" s="44" t="n">
        <f aca="false">B36</f>
        <v>0.838862559241706</v>
      </c>
      <c r="AY36" s="44" t="n">
        <f aca="false">AX36</f>
        <v>0.838862559241706</v>
      </c>
      <c r="AZ36" s="44" t="n">
        <f aca="false">AY36</f>
        <v>0.838862559241706</v>
      </c>
      <c r="BA36" s="44" t="n">
        <v>1</v>
      </c>
      <c r="BB36" s="44" t="n">
        <f aca="false">BA36</f>
        <v>1</v>
      </c>
      <c r="BC36" s="44" t="n">
        <f aca="false">AZ36</f>
        <v>0.838862559241706</v>
      </c>
      <c r="BD36" s="44" t="n">
        <f aca="false">BC36</f>
        <v>0.838862559241706</v>
      </c>
      <c r="BE36" s="44" t="n">
        <v>1</v>
      </c>
      <c r="BF36" s="44" t="n">
        <v>1</v>
      </c>
      <c r="BG36" s="44" t="n">
        <f aca="false">BD36</f>
        <v>0.838862559241706</v>
      </c>
      <c r="BH36" s="44" t="n">
        <f aca="false">BG36</f>
        <v>0.838862559241706</v>
      </c>
      <c r="BI36" s="44" t="n">
        <f aca="false">BH36</f>
        <v>0.838862559241706</v>
      </c>
      <c r="BJ36" s="44" t="n">
        <f aca="false">BI36</f>
        <v>0.838862559241706</v>
      </c>
      <c r="BK36" s="44" t="n">
        <v>1</v>
      </c>
    </row>
    <row r="37" customFormat="false" ht="12.8" hidden="false" customHeight="false" outlineLevel="0" collapsed="false">
      <c r="A37" s="0" t="n">
        <f aca="false">A36-1</f>
        <v>1982</v>
      </c>
      <c r="B37" s="48" t="n">
        <v>0.857901726427623</v>
      </c>
      <c r="C37" s="44" t="n">
        <f aca="false">B37</f>
        <v>0.857901726427623</v>
      </c>
      <c r="D37" s="44" t="n">
        <f aca="false">C37</f>
        <v>0.857901726427623</v>
      </c>
      <c r="E37" s="44" t="n">
        <f aca="false">D37</f>
        <v>0.857901726427623</v>
      </c>
      <c r="F37" s="44" t="n">
        <v>1</v>
      </c>
      <c r="G37" s="44" t="n">
        <f aca="false">F37</f>
        <v>1</v>
      </c>
      <c r="H37" s="44" t="n">
        <f aca="false">G37</f>
        <v>1</v>
      </c>
      <c r="I37" s="44" t="n">
        <f aca="false">H37</f>
        <v>1</v>
      </c>
      <c r="J37" s="44" t="n">
        <f aca="false">I37</f>
        <v>1</v>
      </c>
      <c r="K37" s="44" t="n">
        <f aca="false">J37</f>
        <v>1</v>
      </c>
      <c r="L37" s="44" t="n">
        <f aca="false">B37</f>
        <v>0.857901726427623</v>
      </c>
      <c r="M37" s="44" t="n">
        <f aca="false">L37</f>
        <v>0.857901726427623</v>
      </c>
      <c r="N37" s="44" t="n">
        <f aca="false">M37</f>
        <v>0.857901726427623</v>
      </c>
      <c r="O37" s="44" t="n">
        <f aca="false">N37</f>
        <v>0.857901726427623</v>
      </c>
      <c r="P37" s="44" t="n">
        <f aca="false">O37</f>
        <v>0.857901726427623</v>
      </c>
      <c r="Q37" s="44" t="n">
        <v>1</v>
      </c>
      <c r="R37" s="44" t="n">
        <f aca="false">Q37</f>
        <v>1</v>
      </c>
      <c r="S37" s="44" t="n">
        <f aca="false">R37</f>
        <v>1</v>
      </c>
      <c r="T37" s="44" t="n">
        <f aca="false">S37</f>
        <v>1</v>
      </c>
      <c r="U37" s="44" t="n">
        <f aca="false">T37</f>
        <v>1</v>
      </c>
      <c r="V37" s="44" t="n">
        <f aca="false">U37</f>
        <v>1</v>
      </c>
      <c r="W37" s="44" t="n">
        <f aca="false">V37</f>
        <v>1</v>
      </c>
      <c r="X37" s="44" t="n">
        <f aca="false">W37</f>
        <v>1</v>
      </c>
      <c r="Y37" s="44" t="n">
        <f aca="false">X37</f>
        <v>1</v>
      </c>
      <c r="Z37" s="44" t="n">
        <f aca="false">Y37</f>
        <v>1</v>
      </c>
      <c r="AA37" s="44" t="n">
        <f aca="false">Z37</f>
        <v>1</v>
      </c>
      <c r="AB37" s="44" t="n">
        <f aca="false">AA37</f>
        <v>1</v>
      </c>
      <c r="AC37" s="44" t="n">
        <f aca="false">AB37</f>
        <v>1</v>
      </c>
      <c r="AD37" s="44" t="n">
        <f aca="false">AC37</f>
        <v>1</v>
      </c>
      <c r="AE37" s="44" t="n">
        <f aca="false">B37</f>
        <v>0.857901726427623</v>
      </c>
      <c r="AF37" s="44" t="n">
        <f aca="false">AE37</f>
        <v>0.857901726427623</v>
      </c>
      <c r="AG37" s="44" t="n">
        <f aca="false">AF37</f>
        <v>0.857901726427623</v>
      </c>
      <c r="AH37" s="44" t="n">
        <f aca="false">AG37</f>
        <v>0.857901726427623</v>
      </c>
      <c r="AI37" s="44" t="n">
        <f aca="false">AH37</f>
        <v>0.857901726427623</v>
      </c>
      <c r="AJ37" s="44" t="n">
        <f aca="false">AI37</f>
        <v>0.857901726427623</v>
      </c>
      <c r="AK37" s="44" t="n">
        <f aca="false">AJ37</f>
        <v>0.857901726427623</v>
      </c>
      <c r="AL37" s="44" t="n">
        <f aca="false">AK37</f>
        <v>0.857901726427623</v>
      </c>
      <c r="AM37" s="44" t="n">
        <f aca="false">AL37</f>
        <v>0.857901726427623</v>
      </c>
      <c r="AN37" s="44" t="n">
        <v>1</v>
      </c>
      <c r="AO37" s="44" t="n">
        <f aca="false">AN37</f>
        <v>1</v>
      </c>
      <c r="AP37" s="44" t="n">
        <f aca="false">AO37</f>
        <v>1</v>
      </c>
      <c r="AQ37" s="44" t="n">
        <f aca="false">AP37</f>
        <v>1</v>
      </c>
      <c r="AR37" s="44" t="n">
        <f aca="false">AQ37</f>
        <v>1</v>
      </c>
      <c r="AS37" s="44" t="n">
        <f aca="false">AR37</f>
        <v>1</v>
      </c>
      <c r="AT37" s="44" t="n">
        <f aca="false">AS37</f>
        <v>1</v>
      </c>
      <c r="AU37" s="44" t="n">
        <f aca="false">AT37</f>
        <v>1</v>
      </c>
      <c r="AV37" s="44" t="n">
        <f aca="false">AU37</f>
        <v>1</v>
      </c>
      <c r="AW37" s="44" t="n">
        <f aca="false">AV37</f>
        <v>1</v>
      </c>
      <c r="AX37" s="44" t="n">
        <f aca="false">B37</f>
        <v>0.857901726427623</v>
      </c>
      <c r="AY37" s="44" t="n">
        <f aca="false">AX37</f>
        <v>0.857901726427623</v>
      </c>
      <c r="AZ37" s="44" t="n">
        <f aca="false">AY37</f>
        <v>0.857901726427623</v>
      </c>
      <c r="BA37" s="44" t="n">
        <v>1</v>
      </c>
      <c r="BB37" s="44" t="n">
        <f aca="false">BA37</f>
        <v>1</v>
      </c>
      <c r="BC37" s="44" t="n">
        <f aca="false">AZ37</f>
        <v>0.857901726427623</v>
      </c>
      <c r="BD37" s="44" t="n">
        <f aca="false">BC37</f>
        <v>0.857901726427623</v>
      </c>
      <c r="BE37" s="44" t="n">
        <v>1</v>
      </c>
      <c r="BF37" s="44" t="n">
        <v>1</v>
      </c>
      <c r="BG37" s="44" t="n">
        <f aca="false">BD37</f>
        <v>0.857901726427623</v>
      </c>
      <c r="BH37" s="44" t="n">
        <f aca="false">BG37</f>
        <v>0.857901726427623</v>
      </c>
      <c r="BI37" s="44" t="n">
        <f aca="false">BH37</f>
        <v>0.857901726427623</v>
      </c>
      <c r="BJ37" s="44" t="n">
        <f aca="false">BI37</f>
        <v>0.857901726427623</v>
      </c>
      <c r="BK37" s="44" t="n">
        <v>1</v>
      </c>
    </row>
    <row r="38" customFormat="false" ht="12.8" hidden="false" customHeight="false" outlineLevel="0" collapsed="false">
      <c r="A38" s="0" t="n">
        <f aca="false">A37-1</f>
        <v>1981</v>
      </c>
      <c r="B38" s="48" t="n">
        <v>0.866666666666667</v>
      </c>
      <c r="C38" s="44" t="n">
        <f aca="false">B38</f>
        <v>0.866666666666667</v>
      </c>
      <c r="D38" s="44" t="n">
        <f aca="false">C38</f>
        <v>0.866666666666667</v>
      </c>
      <c r="E38" s="44" t="n">
        <f aca="false">D38</f>
        <v>0.866666666666667</v>
      </c>
      <c r="F38" s="44" t="n">
        <v>1</v>
      </c>
      <c r="G38" s="44" t="n">
        <f aca="false">F38</f>
        <v>1</v>
      </c>
      <c r="H38" s="44" t="n">
        <f aca="false">G38</f>
        <v>1</v>
      </c>
      <c r="I38" s="44" t="n">
        <f aca="false">H38</f>
        <v>1</v>
      </c>
      <c r="J38" s="44" t="n">
        <f aca="false">I38</f>
        <v>1</v>
      </c>
      <c r="K38" s="44" t="n">
        <f aca="false">J38</f>
        <v>1</v>
      </c>
      <c r="L38" s="44" t="n">
        <f aca="false">B38</f>
        <v>0.866666666666667</v>
      </c>
      <c r="M38" s="44" t="n">
        <f aca="false">L38</f>
        <v>0.866666666666667</v>
      </c>
      <c r="N38" s="44" t="n">
        <f aca="false">M38</f>
        <v>0.866666666666667</v>
      </c>
      <c r="O38" s="44" t="n">
        <f aca="false">N38</f>
        <v>0.866666666666667</v>
      </c>
      <c r="P38" s="44" t="n">
        <f aca="false">O38</f>
        <v>0.866666666666667</v>
      </c>
      <c r="Q38" s="44" t="n">
        <v>1</v>
      </c>
      <c r="R38" s="44" t="n">
        <f aca="false">Q38</f>
        <v>1</v>
      </c>
      <c r="S38" s="44" t="n">
        <f aca="false">R38</f>
        <v>1</v>
      </c>
      <c r="T38" s="44" t="n">
        <f aca="false">S38</f>
        <v>1</v>
      </c>
      <c r="U38" s="44" t="n">
        <f aca="false">T38</f>
        <v>1</v>
      </c>
      <c r="V38" s="44" t="n">
        <f aca="false">U38</f>
        <v>1</v>
      </c>
      <c r="W38" s="44" t="n">
        <f aca="false">V38</f>
        <v>1</v>
      </c>
      <c r="X38" s="44" t="n">
        <f aca="false">W38</f>
        <v>1</v>
      </c>
      <c r="Y38" s="44" t="n">
        <f aca="false">X38</f>
        <v>1</v>
      </c>
      <c r="Z38" s="44" t="n">
        <f aca="false">Y38</f>
        <v>1</v>
      </c>
      <c r="AA38" s="44" t="n">
        <f aca="false">Z38</f>
        <v>1</v>
      </c>
      <c r="AB38" s="44" t="n">
        <f aca="false">AA38</f>
        <v>1</v>
      </c>
      <c r="AC38" s="44" t="n">
        <f aca="false">AB38</f>
        <v>1</v>
      </c>
      <c r="AD38" s="44" t="n">
        <f aca="false">AC38</f>
        <v>1</v>
      </c>
      <c r="AE38" s="44" t="n">
        <f aca="false">B38</f>
        <v>0.866666666666667</v>
      </c>
      <c r="AF38" s="44" t="n">
        <f aca="false">AE38</f>
        <v>0.866666666666667</v>
      </c>
      <c r="AG38" s="44" t="n">
        <f aca="false">AF38</f>
        <v>0.866666666666667</v>
      </c>
      <c r="AH38" s="44" t="n">
        <f aca="false">AG38</f>
        <v>0.866666666666667</v>
      </c>
      <c r="AI38" s="44" t="n">
        <f aca="false">AH38</f>
        <v>0.866666666666667</v>
      </c>
      <c r="AJ38" s="44" t="n">
        <f aca="false">AI38</f>
        <v>0.866666666666667</v>
      </c>
      <c r="AK38" s="44" t="n">
        <f aca="false">AJ38</f>
        <v>0.866666666666667</v>
      </c>
      <c r="AL38" s="44" t="n">
        <f aca="false">AK38</f>
        <v>0.866666666666667</v>
      </c>
      <c r="AM38" s="44" t="n">
        <f aca="false">AL38</f>
        <v>0.866666666666667</v>
      </c>
      <c r="AN38" s="44" t="n">
        <v>1</v>
      </c>
      <c r="AO38" s="44" t="n">
        <f aca="false">AN38</f>
        <v>1</v>
      </c>
      <c r="AP38" s="44" t="n">
        <f aca="false">AO38</f>
        <v>1</v>
      </c>
      <c r="AQ38" s="44" t="n">
        <f aca="false">AP38</f>
        <v>1</v>
      </c>
      <c r="AR38" s="44" t="n">
        <f aca="false">AQ38</f>
        <v>1</v>
      </c>
      <c r="AS38" s="44" t="n">
        <f aca="false">AR38</f>
        <v>1</v>
      </c>
      <c r="AT38" s="44" t="n">
        <f aca="false">AS38</f>
        <v>1</v>
      </c>
      <c r="AU38" s="44" t="n">
        <f aca="false">AT38</f>
        <v>1</v>
      </c>
      <c r="AV38" s="44" t="n">
        <f aca="false">AU38</f>
        <v>1</v>
      </c>
      <c r="AW38" s="44" t="n">
        <f aca="false">AV38</f>
        <v>1</v>
      </c>
      <c r="AX38" s="44" t="n">
        <f aca="false">B38</f>
        <v>0.866666666666667</v>
      </c>
      <c r="AY38" s="44" t="n">
        <f aca="false">AX38</f>
        <v>0.866666666666667</v>
      </c>
      <c r="AZ38" s="44" t="n">
        <f aca="false">AY38</f>
        <v>0.866666666666667</v>
      </c>
      <c r="BA38" s="44" t="n">
        <v>1</v>
      </c>
      <c r="BB38" s="44" t="n">
        <f aca="false">BA38</f>
        <v>1</v>
      </c>
      <c r="BC38" s="44" t="n">
        <f aca="false">AZ38</f>
        <v>0.866666666666667</v>
      </c>
      <c r="BD38" s="44" t="n">
        <f aca="false">BC38</f>
        <v>0.866666666666667</v>
      </c>
      <c r="BE38" s="44" t="n">
        <v>1</v>
      </c>
      <c r="BF38" s="44" t="n">
        <v>1</v>
      </c>
      <c r="BG38" s="44" t="n">
        <f aca="false">BD38</f>
        <v>0.866666666666667</v>
      </c>
      <c r="BH38" s="44" t="n">
        <f aca="false">BG38</f>
        <v>0.866666666666667</v>
      </c>
      <c r="BI38" s="44" t="n">
        <f aca="false">BH38</f>
        <v>0.866666666666667</v>
      </c>
      <c r="BJ38" s="44" t="n">
        <f aca="false">BI38</f>
        <v>0.866666666666667</v>
      </c>
      <c r="BK38" s="44" t="n">
        <v>1</v>
      </c>
    </row>
    <row r="39" customFormat="false" ht="12.8" hidden="false" customHeight="false" outlineLevel="0" collapsed="false">
      <c r="A39" s="0" t="n">
        <f aca="false">A38-1</f>
        <v>1980</v>
      </c>
      <c r="B39" s="48" t="n">
        <v>0.844295302013423</v>
      </c>
      <c r="C39" s="44" t="n">
        <f aca="false">B39</f>
        <v>0.844295302013423</v>
      </c>
      <c r="D39" s="44" t="n">
        <f aca="false">C39</f>
        <v>0.844295302013423</v>
      </c>
      <c r="E39" s="44" t="n">
        <f aca="false">D39</f>
        <v>0.844295302013423</v>
      </c>
      <c r="F39" s="44" t="n">
        <v>1</v>
      </c>
      <c r="G39" s="44" t="n">
        <f aca="false">F39</f>
        <v>1</v>
      </c>
      <c r="H39" s="44" t="n">
        <f aca="false">G39</f>
        <v>1</v>
      </c>
      <c r="I39" s="44" t="n">
        <f aca="false">H39</f>
        <v>1</v>
      </c>
      <c r="J39" s="44" t="n">
        <f aca="false">I39</f>
        <v>1</v>
      </c>
      <c r="K39" s="44" t="n">
        <f aca="false">J39</f>
        <v>1</v>
      </c>
      <c r="L39" s="44" t="n">
        <f aca="false">B39</f>
        <v>0.844295302013423</v>
      </c>
      <c r="M39" s="44" t="n">
        <f aca="false">L39</f>
        <v>0.844295302013423</v>
      </c>
      <c r="N39" s="44" t="n">
        <f aca="false">M39</f>
        <v>0.844295302013423</v>
      </c>
      <c r="O39" s="44" t="n">
        <f aca="false">N39</f>
        <v>0.844295302013423</v>
      </c>
      <c r="P39" s="44" t="n">
        <f aca="false">O39</f>
        <v>0.844295302013423</v>
      </c>
      <c r="Q39" s="44" t="n">
        <v>1</v>
      </c>
      <c r="R39" s="44" t="n">
        <f aca="false">Q39</f>
        <v>1</v>
      </c>
      <c r="S39" s="44" t="n">
        <f aca="false">R39</f>
        <v>1</v>
      </c>
      <c r="T39" s="44" t="n">
        <f aca="false">S39</f>
        <v>1</v>
      </c>
      <c r="U39" s="44" t="n">
        <f aca="false">T39</f>
        <v>1</v>
      </c>
      <c r="V39" s="44" t="n">
        <f aca="false">U39</f>
        <v>1</v>
      </c>
      <c r="W39" s="44" t="n">
        <f aca="false">V39</f>
        <v>1</v>
      </c>
      <c r="X39" s="44" t="n">
        <f aca="false">W39</f>
        <v>1</v>
      </c>
      <c r="Y39" s="44" t="n">
        <f aca="false">X39</f>
        <v>1</v>
      </c>
      <c r="Z39" s="44" t="n">
        <f aca="false">Y39</f>
        <v>1</v>
      </c>
      <c r="AA39" s="44" t="n">
        <f aca="false">Z39</f>
        <v>1</v>
      </c>
      <c r="AB39" s="44" t="n">
        <f aca="false">AA39</f>
        <v>1</v>
      </c>
      <c r="AC39" s="44" t="n">
        <f aca="false">AB39</f>
        <v>1</v>
      </c>
      <c r="AD39" s="44" t="n">
        <f aca="false">AC39</f>
        <v>1</v>
      </c>
      <c r="AE39" s="44" t="n">
        <f aca="false">B39</f>
        <v>0.844295302013423</v>
      </c>
      <c r="AF39" s="44" t="n">
        <f aca="false">AE39</f>
        <v>0.844295302013423</v>
      </c>
      <c r="AG39" s="44" t="n">
        <f aca="false">AF39</f>
        <v>0.844295302013423</v>
      </c>
      <c r="AH39" s="44" t="n">
        <f aca="false">AG39</f>
        <v>0.844295302013423</v>
      </c>
      <c r="AI39" s="44" t="n">
        <f aca="false">AH39</f>
        <v>0.844295302013423</v>
      </c>
      <c r="AJ39" s="44" t="n">
        <f aca="false">AI39</f>
        <v>0.844295302013423</v>
      </c>
      <c r="AK39" s="44" t="n">
        <f aca="false">AJ39</f>
        <v>0.844295302013423</v>
      </c>
      <c r="AL39" s="44" t="n">
        <f aca="false">AK39</f>
        <v>0.844295302013423</v>
      </c>
      <c r="AM39" s="44" t="n">
        <f aca="false">AL39</f>
        <v>0.844295302013423</v>
      </c>
      <c r="AN39" s="44" t="n">
        <v>1</v>
      </c>
      <c r="AO39" s="44" t="n">
        <f aca="false">AN39</f>
        <v>1</v>
      </c>
      <c r="AP39" s="44" t="n">
        <f aca="false">AO39</f>
        <v>1</v>
      </c>
      <c r="AQ39" s="44" t="n">
        <f aca="false">AP39</f>
        <v>1</v>
      </c>
      <c r="AR39" s="44" t="n">
        <f aca="false">AQ39</f>
        <v>1</v>
      </c>
      <c r="AS39" s="44" t="n">
        <f aca="false">AR39</f>
        <v>1</v>
      </c>
      <c r="AT39" s="44" t="n">
        <f aca="false">AS39</f>
        <v>1</v>
      </c>
      <c r="AU39" s="44" t="n">
        <f aca="false">AT39</f>
        <v>1</v>
      </c>
      <c r="AV39" s="44" t="n">
        <f aca="false">AU39</f>
        <v>1</v>
      </c>
      <c r="AW39" s="44" t="n">
        <f aca="false">AV39</f>
        <v>1</v>
      </c>
      <c r="AX39" s="44" t="n">
        <f aca="false">B39</f>
        <v>0.844295302013423</v>
      </c>
      <c r="AY39" s="44" t="n">
        <f aca="false">AX39</f>
        <v>0.844295302013423</v>
      </c>
      <c r="AZ39" s="44" t="n">
        <f aca="false">AY39</f>
        <v>0.844295302013423</v>
      </c>
      <c r="BA39" s="44" t="n">
        <v>1</v>
      </c>
      <c r="BB39" s="44" t="n">
        <f aca="false">BA39</f>
        <v>1</v>
      </c>
      <c r="BC39" s="44" t="n">
        <f aca="false">AZ39</f>
        <v>0.844295302013423</v>
      </c>
      <c r="BD39" s="44" t="n">
        <f aca="false">BC39</f>
        <v>0.844295302013423</v>
      </c>
      <c r="BE39" s="44" t="n">
        <v>1</v>
      </c>
      <c r="BF39" s="44" t="n">
        <v>1</v>
      </c>
      <c r="BG39" s="44" t="n">
        <f aca="false">BD39</f>
        <v>0.844295302013423</v>
      </c>
      <c r="BH39" s="44" t="n">
        <f aca="false">BG39</f>
        <v>0.844295302013423</v>
      </c>
      <c r="BI39" s="44" t="n">
        <f aca="false">BH39</f>
        <v>0.844295302013423</v>
      </c>
      <c r="BJ39" s="44" t="n">
        <f aca="false">BI39</f>
        <v>0.844295302013423</v>
      </c>
      <c r="BK39" s="44" t="n">
        <v>1</v>
      </c>
    </row>
    <row r="40" customFormat="false" ht="12.8" hidden="false" customHeight="false" outlineLevel="0" collapsed="false">
      <c r="A40" s="0" t="n">
        <f aca="false">A39-1</f>
        <v>1979</v>
      </c>
      <c r="B40" s="48" t="n">
        <v>0.859749739311783</v>
      </c>
      <c r="C40" s="44" t="n">
        <f aca="false">B40</f>
        <v>0.859749739311783</v>
      </c>
      <c r="D40" s="44" t="n">
        <f aca="false">C40</f>
        <v>0.859749739311783</v>
      </c>
      <c r="E40" s="44" t="n">
        <f aca="false">D40</f>
        <v>0.859749739311783</v>
      </c>
      <c r="F40" s="44" t="n">
        <v>1</v>
      </c>
      <c r="G40" s="44" t="n">
        <f aca="false">F40</f>
        <v>1</v>
      </c>
      <c r="H40" s="44" t="n">
        <f aca="false">G40</f>
        <v>1</v>
      </c>
      <c r="I40" s="44" t="n">
        <f aca="false">H40</f>
        <v>1</v>
      </c>
      <c r="J40" s="44" t="n">
        <f aca="false">I40</f>
        <v>1</v>
      </c>
      <c r="K40" s="44" t="n">
        <f aca="false">J40</f>
        <v>1</v>
      </c>
      <c r="L40" s="44" t="n">
        <f aca="false">B40</f>
        <v>0.859749739311783</v>
      </c>
      <c r="M40" s="44" t="n">
        <f aca="false">L40</f>
        <v>0.859749739311783</v>
      </c>
      <c r="N40" s="44" t="n">
        <f aca="false">M40</f>
        <v>0.859749739311783</v>
      </c>
      <c r="O40" s="44" t="n">
        <f aca="false">N40</f>
        <v>0.859749739311783</v>
      </c>
      <c r="P40" s="44" t="n">
        <f aca="false">O40</f>
        <v>0.859749739311783</v>
      </c>
      <c r="Q40" s="44" t="n">
        <v>1</v>
      </c>
      <c r="R40" s="44" t="n">
        <f aca="false">Q40</f>
        <v>1</v>
      </c>
      <c r="S40" s="44" t="n">
        <f aca="false">R40</f>
        <v>1</v>
      </c>
      <c r="T40" s="44" t="n">
        <f aca="false">S40</f>
        <v>1</v>
      </c>
      <c r="U40" s="44" t="n">
        <f aca="false">T40</f>
        <v>1</v>
      </c>
      <c r="V40" s="44" t="n">
        <f aca="false">U40</f>
        <v>1</v>
      </c>
      <c r="W40" s="44" t="n">
        <f aca="false">V40</f>
        <v>1</v>
      </c>
      <c r="X40" s="44" t="n">
        <f aca="false">W40</f>
        <v>1</v>
      </c>
      <c r="Y40" s="44" t="n">
        <f aca="false">X40</f>
        <v>1</v>
      </c>
      <c r="Z40" s="44" t="n">
        <f aca="false">Y40</f>
        <v>1</v>
      </c>
      <c r="AA40" s="44" t="n">
        <f aca="false">Z40</f>
        <v>1</v>
      </c>
      <c r="AB40" s="44" t="n">
        <f aca="false">AA40</f>
        <v>1</v>
      </c>
      <c r="AC40" s="44" t="n">
        <f aca="false">AB40</f>
        <v>1</v>
      </c>
      <c r="AD40" s="44" t="n">
        <f aca="false">AC40</f>
        <v>1</v>
      </c>
      <c r="AE40" s="44" t="n">
        <f aca="false">B40</f>
        <v>0.859749739311783</v>
      </c>
      <c r="AF40" s="44" t="n">
        <f aca="false">AE40</f>
        <v>0.859749739311783</v>
      </c>
      <c r="AG40" s="44" t="n">
        <f aca="false">AF40</f>
        <v>0.859749739311783</v>
      </c>
      <c r="AH40" s="44" t="n">
        <f aca="false">AG40</f>
        <v>0.859749739311783</v>
      </c>
      <c r="AI40" s="44" t="n">
        <f aca="false">AH40</f>
        <v>0.859749739311783</v>
      </c>
      <c r="AJ40" s="44" t="n">
        <f aca="false">AI40</f>
        <v>0.859749739311783</v>
      </c>
      <c r="AK40" s="44" t="n">
        <f aca="false">AJ40</f>
        <v>0.859749739311783</v>
      </c>
      <c r="AL40" s="44" t="n">
        <f aca="false">AK40</f>
        <v>0.859749739311783</v>
      </c>
      <c r="AM40" s="44" t="n">
        <f aca="false">AL40</f>
        <v>0.859749739311783</v>
      </c>
      <c r="AN40" s="44" t="n">
        <v>1</v>
      </c>
      <c r="AO40" s="44" t="n">
        <f aca="false">AN40</f>
        <v>1</v>
      </c>
      <c r="AP40" s="44" t="n">
        <f aca="false">AO40</f>
        <v>1</v>
      </c>
      <c r="AQ40" s="44" t="n">
        <f aca="false">AP40</f>
        <v>1</v>
      </c>
      <c r="AR40" s="44" t="n">
        <f aca="false">AQ40</f>
        <v>1</v>
      </c>
      <c r="AS40" s="44" t="n">
        <f aca="false">AR40</f>
        <v>1</v>
      </c>
      <c r="AT40" s="44" t="n">
        <f aca="false">AS40</f>
        <v>1</v>
      </c>
      <c r="AU40" s="44" t="n">
        <f aca="false">AT40</f>
        <v>1</v>
      </c>
      <c r="AV40" s="44" t="n">
        <f aca="false">AU40</f>
        <v>1</v>
      </c>
      <c r="AW40" s="44" t="n">
        <f aca="false">AV40</f>
        <v>1</v>
      </c>
      <c r="AX40" s="44" t="n">
        <f aca="false">B40</f>
        <v>0.859749739311783</v>
      </c>
      <c r="AY40" s="44" t="n">
        <f aca="false">AX40</f>
        <v>0.859749739311783</v>
      </c>
      <c r="AZ40" s="44" t="n">
        <f aca="false">AY40</f>
        <v>0.859749739311783</v>
      </c>
      <c r="BA40" s="44" t="n">
        <v>1</v>
      </c>
      <c r="BB40" s="44" t="n">
        <f aca="false">BA40</f>
        <v>1</v>
      </c>
      <c r="BC40" s="44" t="n">
        <f aca="false">AZ40</f>
        <v>0.859749739311783</v>
      </c>
      <c r="BD40" s="44" t="n">
        <f aca="false">BC40</f>
        <v>0.859749739311783</v>
      </c>
      <c r="BE40" s="44" t="n">
        <v>1</v>
      </c>
      <c r="BF40" s="44" t="n">
        <v>1</v>
      </c>
      <c r="BG40" s="44" t="n">
        <f aca="false">BD40</f>
        <v>0.859749739311783</v>
      </c>
      <c r="BH40" s="44" t="n">
        <f aca="false">BG40</f>
        <v>0.859749739311783</v>
      </c>
      <c r="BI40" s="44" t="n">
        <f aca="false">BH40</f>
        <v>0.859749739311783</v>
      </c>
      <c r="BJ40" s="44" t="n">
        <f aca="false">BI40</f>
        <v>0.859749739311783</v>
      </c>
      <c r="BK40" s="44" t="n">
        <v>1</v>
      </c>
    </row>
    <row r="41" customFormat="false" ht="12.8" hidden="false" customHeight="false" outlineLevel="0" collapsed="false">
      <c r="A41" s="0" t="n">
        <f aca="false">A40-1</f>
        <v>1978</v>
      </c>
      <c r="B41" s="48" t="n">
        <v>0.859784283513097</v>
      </c>
      <c r="C41" s="44" t="n">
        <f aca="false">B41</f>
        <v>0.859784283513097</v>
      </c>
      <c r="D41" s="44" t="n">
        <f aca="false">C41</f>
        <v>0.859784283513097</v>
      </c>
      <c r="E41" s="44" t="n">
        <f aca="false">D41</f>
        <v>0.859784283513097</v>
      </c>
      <c r="F41" s="44" t="n">
        <v>1</v>
      </c>
      <c r="G41" s="44" t="n">
        <f aca="false">F41</f>
        <v>1</v>
      </c>
      <c r="H41" s="44" t="n">
        <f aca="false">G41</f>
        <v>1</v>
      </c>
      <c r="I41" s="44" t="n">
        <f aca="false">H41</f>
        <v>1</v>
      </c>
      <c r="J41" s="44" t="n">
        <f aca="false">I41</f>
        <v>1</v>
      </c>
      <c r="K41" s="44" t="n">
        <f aca="false">J41</f>
        <v>1</v>
      </c>
      <c r="L41" s="44" t="n">
        <f aca="false">B41</f>
        <v>0.859784283513097</v>
      </c>
      <c r="M41" s="44" t="n">
        <f aca="false">L41</f>
        <v>0.859784283513097</v>
      </c>
      <c r="N41" s="44" t="n">
        <f aca="false">M41</f>
        <v>0.859784283513097</v>
      </c>
      <c r="O41" s="44" t="n">
        <f aca="false">N41</f>
        <v>0.859784283513097</v>
      </c>
      <c r="P41" s="44" t="n">
        <f aca="false">O41</f>
        <v>0.859784283513097</v>
      </c>
      <c r="Q41" s="44" t="n">
        <v>1</v>
      </c>
      <c r="R41" s="44" t="n">
        <f aca="false">Q41</f>
        <v>1</v>
      </c>
      <c r="S41" s="44" t="n">
        <f aca="false">R41</f>
        <v>1</v>
      </c>
      <c r="T41" s="44" t="n">
        <f aca="false">S41</f>
        <v>1</v>
      </c>
      <c r="U41" s="44" t="n">
        <f aca="false">T41</f>
        <v>1</v>
      </c>
      <c r="V41" s="44" t="n">
        <f aca="false">U41</f>
        <v>1</v>
      </c>
      <c r="W41" s="44" t="n">
        <f aca="false">V41</f>
        <v>1</v>
      </c>
      <c r="X41" s="44" t="n">
        <f aca="false">W41</f>
        <v>1</v>
      </c>
      <c r="Y41" s="44" t="n">
        <f aca="false">X41</f>
        <v>1</v>
      </c>
      <c r="Z41" s="44" t="n">
        <f aca="false">Y41</f>
        <v>1</v>
      </c>
      <c r="AA41" s="44" t="n">
        <f aca="false">Z41</f>
        <v>1</v>
      </c>
      <c r="AB41" s="44" t="n">
        <f aca="false">AA41</f>
        <v>1</v>
      </c>
      <c r="AC41" s="44" t="n">
        <f aca="false">AB41</f>
        <v>1</v>
      </c>
      <c r="AD41" s="44" t="n">
        <f aca="false">AC41</f>
        <v>1</v>
      </c>
      <c r="AE41" s="44" t="n">
        <f aca="false">B41</f>
        <v>0.859784283513097</v>
      </c>
      <c r="AF41" s="44" t="n">
        <f aca="false">AE41</f>
        <v>0.859784283513097</v>
      </c>
      <c r="AG41" s="44" t="n">
        <f aca="false">AF41</f>
        <v>0.859784283513097</v>
      </c>
      <c r="AH41" s="44" t="n">
        <f aca="false">AG41</f>
        <v>0.859784283513097</v>
      </c>
      <c r="AI41" s="44" t="n">
        <f aca="false">AH41</f>
        <v>0.859784283513097</v>
      </c>
      <c r="AJ41" s="44" t="n">
        <f aca="false">AI41</f>
        <v>0.859784283513097</v>
      </c>
      <c r="AK41" s="44" t="n">
        <f aca="false">AJ41</f>
        <v>0.859784283513097</v>
      </c>
      <c r="AL41" s="44" t="n">
        <f aca="false">AK41</f>
        <v>0.859784283513097</v>
      </c>
      <c r="AM41" s="44" t="n">
        <f aca="false">AL41</f>
        <v>0.859784283513097</v>
      </c>
      <c r="AN41" s="44" t="n">
        <v>1</v>
      </c>
      <c r="AO41" s="44" t="n">
        <f aca="false">AN41</f>
        <v>1</v>
      </c>
      <c r="AP41" s="44" t="n">
        <f aca="false">AO41</f>
        <v>1</v>
      </c>
      <c r="AQ41" s="44" t="n">
        <f aca="false">AP41</f>
        <v>1</v>
      </c>
      <c r="AR41" s="44" t="n">
        <f aca="false">AQ41</f>
        <v>1</v>
      </c>
      <c r="AS41" s="44" t="n">
        <f aca="false">AR41</f>
        <v>1</v>
      </c>
      <c r="AT41" s="44" t="n">
        <f aca="false">AS41</f>
        <v>1</v>
      </c>
      <c r="AU41" s="44" t="n">
        <f aca="false">AT41</f>
        <v>1</v>
      </c>
      <c r="AV41" s="44" t="n">
        <f aca="false">AU41</f>
        <v>1</v>
      </c>
      <c r="AW41" s="44" t="n">
        <f aca="false">AV41</f>
        <v>1</v>
      </c>
      <c r="AX41" s="44" t="n">
        <f aca="false">B41</f>
        <v>0.859784283513097</v>
      </c>
      <c r="AY41" s="44" t="n">
        <f aca="false">AX41</f>
        <v>0.859784283513097</v>
      </c>
      <c r="AZ41" s="44" t="n">
        <f aca="false">AY41</f>
        <v>0.859784283513097</v>
      </c>
      <c r="BA41" s="44" t="n">
        <v>1</v>
      </c>
      <c r="BB41" s="44" t="n">
        <f aca="false">BA41</f>
        <v>1</v>
      </c>
      <c r="BC41" s="44" t="n">
        <f aca="false">AZ41</f>
        <v>0.859784283513097</v>
      </c>
      <c r="BD41" s="44" t="n">
        <f aca="false">BC41</f>
        <v>0.859784283513097</v>
      </c>
      <c r="BE41" s="44" t="n">
        <v>1</v>
      </c>
      <c r="BF41" s="44" t="n">
        <v>1</v>
      </c>
      <c r="BG41" s="44" t="n">
        <f aca="false">BD41</f>
        <v>0.859784283513097</v>
      </c>
      <c r="BH41" s="44" t="n">
        <f aca="false">BG41</f>
        <v>0.859784283513097</v>
      </c>
      <c r="BI41" s="44" t="n">
        <f aca="false">BH41</f>
        <v>0.859784283513097</v>
      </c>
      <c r="BJ41" s="44" t="n">
        <f aca="false">BI41</f>
        <v>0.859784283513097</v>
      </c>
      <c r="BK41" s="44" t="n">
        <v>1</v>
      </c>
    </row>
    <row r="42" customFormat="false" ht="12.8" hidden="false" customHeight="false" outlineLevel="0" collapsed="false">
      <c r="A42" s="0" t="n">
        <f aca="false">A41-1</f>
        <v>1977</v>
      </c>
      <c r="B42" s="48" t="n">
        <v>0.856584821428571</v>
      </c>
      <c r="C42" s="44" t="n">
        <f aca="false">B42</f>
        <v>0.856584821428571</v>
      </c>
      <c r="D42" s="44" t="n">
        <f aca="false">C42</f>
        <v>0.856584821428571</v>
      </c>
      <c r="E42" s="44" t="n">
        <f aca="false">D42</f>
        <v>0.856584821428571</v>
      </c>
      <c r="F42" s="44" t="n">
        <v>1</v>
      </c>
      <c r="G42" s="44" t="n">
        <f aca="false">F42</f>
        <v>1</v>
      </c>
      <c r="H42" s="44" t="n">
        <f aca="false">G42</f>
        <v>1</v>
      </c>
      <c r="I42" s="44" t="n">
        <f aca="false">H42</f>
        <v>1</v>
      </c>
      <c r="J42" s="44" t="n">
        <f aca="false">I42</f>
        <v>1</v>
      </c>
      <c r="K42" s="44" t="n">
        <f aca="false">J42</f>
        <v>1</v>
      </c>
      <c r="L42" s="44" t="n">
        <f aca="false">B42</f>
        <v>0.856584821428571</v>
      </c>
      <c r="M42" s="44" t="n">
        <f aca="false">L42</f>
        <v>0.856584821428571</v>
      </c>
      <c r="N42" s="44" t="n">
        <f aca="false">M42</f>
        <v>0.856584821428571</v>
      </c>
      <c r="O42" s="44" t="n">
        <f aca="false">N42</f>
        <v>0.856584821428571</v>
      </c>
      <c r="P42" s="44" t="n">
        <f aca="false">O42</f>
        <v>0.856584821428571</v>
      </c>
      <c r="Q42" s="44" t="n">
        <v>1</v>
      </c>
      <c r="R42" s="44" t="n">
        <f aca="false">Q42</f>
        <v>1</v>
      </c>
      <c r="S42" s="44" t="n">
        <f aca="false">R42</f>
        <v>1</v>
      </c>
      <c r="T42" s="44" t="n">
        <f aca="false">S42</f>
        <v>1</v>
      </c>
      <c r="U42" s="44" t="n">
        <f aca="false">T42</f>
        <v>1</v>
      </c>
      <c r="V42" s="44" t="n">
        <f aca="false">U42</f>
        <v>1</v>
      </c>
      <c r="W42" s="44" t="n">
        <f aca="false">V42</f>
        <v>1</v>
      </c>
      <c r="X42" s="44" t="n">
        <f aca="false">W42</f>
        <v>1</v>
      </c>
      <c r="Y42" s="44" t="n">
        <f aca="false">X42</f>
        <v>1</v>
      </c>
      <c r="Z42" s="44" t="n">
        <f aca="false">Y42</f>
        <v>1</v>
      </c>
      <c r="AA42" s="44" t="n">
        <f aca="false">Z42</f>
        <v>1</v>
      </c>
      <c r="AB42" s="44" t="n">
        <f aca="false">AA42</f>
        <v>1</v>
      </c>
      <c r="AC42" s="44" t="n">
        <f aca="false">AB42</f>
        <v>1</v>
      </c>
      <c r="AD42" s="44" t="n">
        <f aca="false">AC42</f>
        <v>1</v>
      </c>
      <c r="AE42" s="44" t="n">
        <f aca="false">B42</f>
        <v>0.856584821428571</v>
      </c>
      <c r="AF42" s="44" t="n">
        <f aca="false">AE42</f>
        <v>0.856584821428571</v>
      </c>
      <c r="AG42" s="44" t="n">
        <f aca="false">AF42</f>
        <v>0.856584821428571</v>
      </c>
      <c r="AH42" s="44" t="n">
        <f aca="false">AG42</f>
        <v>0.856584821428571</v>
      </c>
      <c r="AI42" s="44" t="n">
        <f aca="false">AH42</f>
        <v>0.856584821428571</v>
      </c>
      <c r="AJ42" s="44" t="n">
        <f aca="false">AI42</f>
        <v>0.856584821428571</v>
      </c>
      <c r="AK42" s="44" t="n">
        <f aca="false">AJ42</f>
        <v>0.856584821428571</v>
      </c>
      <c r="AL42" s="44" t="n">
        <f aca="false">AK42</f>
        <v>0.856584821428571</v>
      </c>
      <c r="AM42" s="44" t="n">
        <f aca="false">AL42</f>
        <v>0.856584821428571</v>
      </c>
      <c r="AN42" s="44" t="n">
        <v>1</v>
      </c>
      <c r="AO42" s="44" t="n">
        <f aca="false">AN42</f>
        <v>1</v>
      </c>
      <c r="AP42" s="44" t="n">
        <f aca="false">AO42</f>
        <v>1</v>
      </c>
      <c r="AQ42" s="44" t="n">
        <f aca="false">AP42</f>
        <v>1</v>
      </c>
      <c r="AR42" s="44" t="n">
        <f aca="false">AQ42</f>
        <v>1</v>
      </c>
      <c r="AS42" s="44" t="n">
        <f aca="false">AR42</f>
        <v>1</v>
      </c>
      <c r="AT42" s="44" t="n">
        <f aca="false">AS42</f>
        <v>1</v>
      </c>
      <c r="AU42" s="44" t="n">
        <f aca="false">AT42</f>
        <v>1</v>
      </c>
      <c r="AV42" s="44" t="n">
        <f aca="false">AU42</f>
        <v>1</v>
      </c>
      <c r="AW42" s="44" t="n">
        <f aca="false">AV42</f>
        <v>1</v>
      </c>
      <c r="AX42" s="44" t="n">
        <f aca="false">B42</f>
        <v>0.856584821428571</v>
      </c>
      <c r="AY42" s="44" t="n">
        <f aca="false">AX42</f>
        <v>0.856584821428571</v>
      </c>
      <c r="AZ42" s="44" t="n">
        <f aca="false">AY42</f>
        <v>0.856584821428571</v>
      </c>
      <c r="BA42" s="44" t="n">
        <v>1</v>
      </c>
      <c r="BB42" s="44" t="n">
        <f aca="false">BA42</f>
        <v>1</v>
      </c>
      <c r="BC42" s="44" t="n">
        <f aca="false">AZ42</f>
        <v>0.856584821428571</v>
      </c>
      <c r="BD42" s="44" t="n">
        <f aca="false">BC42</f>
        <v>0.856584821428571</v>
      </c>
      <c r="BE42" s="44" t="n">
        <v>1</v>
      </c>
      <c r="BF42" s="44" t="n">
        <v>1</v>
      </c>
      <c r="BG42" s="44" t="n">
        <f aca="false">BD42</f>
        <v>0.856584821428571</v>
      </c>
      <c r="BH42" s="44" t="n">
        <f aca="false">BG42</f>
        <v>0.856584821428571</v>
      </c>
      <c r="BI42" s="44" t="n">
        <f aca="false">BH42</f>
        <v>0.856584821428571</v>
      </c>
      <c r="BJ42" s="44" t="n">
        <f aca="false">BI42</f>
        <v>0.856584821428571</v>
      </c>
      <c r="BK42" s="44" t="n">
        <v>1</v>
      </c>
    </row>
    <row r="43" customFormat="false" ht="12.8" hidden="false" customHeight="false" outlineLevel="0" collapsed="false">
      <c r="A43" s="0" t="n">
        <f aca="false">A42-1</f>
        <v>1976</v>
      </c>
      <c r="B43" s="48" t="n">
        <v>0.868983957219251</v>
      </c>
      <c r="C43" s="44" t="n">
        <f aca="false">B43</f>
        <v>0.868983957219251</v>
      </c>
      <c r="D43" s="44" t="n">
        <f aca="false">C43</f>
        <v>0.868983957219251</v>
      </c>
      <c r="E43" s="44" t="n">
        <f aca="false">D43</f>
        <v>0.868983957219251</v>
      </c>
      <c r="F43" s="44" t="n">
        <v>1</v>
      </c>
      <c r="G43" s="44" t="n">
        <f aca="false">F43</f>
        <v>1</v>
      </c>
      <c r="H43" s="44" t="n">
        <f aca="false">G43</f>
        <v>1</v>
      </c>
      <c r="I43" s="44" t="n">
        <f aca="false">H43</f>
        <v>1</v>
      </c>
      <c r="J43" s="44" t="n">
        <f aca="false">I43</f>
        <v>1</v>
      </c>
      <c r="K43" s="44" t="n">
        <f aca="false">J43</f>
        <v>1</v>
      </c>
      <c r="L43" s="44" t="n">
        <f aca="false">B43</f>
        <v>0.868983957219251</v>
      </c>
      <c r="M43" s="44" t="n">
        <f aca="false">L43</f>
        <v>0.868983957219251</v>
      </c>
      <c r="N43" s="44" t="n">
        <f aca="false">M43</f>
        <v>0.868983957219251</v>
      </c>
      <c r="O43" s="44" t="n">
        <f aca="false">N43</f>
        <v>0.868983957219251</v>
      </c>
      <c r="P43" s="44" t="n">
        <f aca="false">O43</f>
        <v>0.868983957219251</v>
      </c>
      <c r="Q43" s="44" t="n">
        <v>1</v>
      </c>
      <c r="R43" s="44" t="n">
        <f aca="false">Q43</f>
        <v>1</v>
      </c>
      <c r="S43" s="44" t="n">
        <f aca="false">R43</f>
        <v>1</v>
      </c>
      <c r="T43" s="44" t="n">
        <f aca="false">S43</f>
        <v>1</v>
      </c>
      <c r="U43" s="44" t="n">
        <f aca="false">T43</f>
        <v>1</v>
      </c>
      <c r="V43" s="44" t="n">
        <f aca="false">U43</f>
        <v>1</v>
      </c>
      <c r="W43" s="44" t="n">
        <f aca="false">V43</f>
        <v>1</v>
      </c>
      <c r="X43" s="44" t="n">
        <f aca="false">W43</f>
        <v>1</v>
      </c>
      <c r="Y43" s="44" t="n">
        <f aca="false">X43</f>
        <v>1</v>
      </c>
      <c r="Z43" s="44" t="n">
        <f aca="false">Y43</f>
        <v>1</v>
      </c>
      <c r="AA43" s="44" t="n">
        <f aca="false">Z43</f>
        <v>1</v>
      </c>
      <c r="AB43" s="44" t="n">
        <f aca="false">AA43</f>
        <v>1</v>
      </c>
      <c r="AC43" s="44" t="n">
        <f aca="false">AB43</f>
        <v>1</v>
      </c>
      <c r="AD43" s="44" t="n">
        <f aca="false">AC43</f>
        <v>1</v>
      </c>
      <c r="AE43" s="44" t="n">
        <f aca="false">B43</f>
        <v>0.868983957219251</v>
      </c>
      <c r="AF43" s="44" t="n">
        <f aca="false">AE43</f>
        <v>0.868983957219251</v>
      </c>
      <c r="AG43" s="44" t="n">
        <f aca="false">AF43</f>
        <v>0.868983957219251</v>
      </c>
      <c r="AH43" s="44" t="n">
        <f aca="false">AG43</f>
        <v>0.868983957219251</v>
      </c>
      <c r="AI43" s="44" t="n">
        <f aca="false">AH43</f>
        <v>0.868983957219251</v>
      </c>
      <c r="AJ43" s="44" t="n">
        <f aca="false">AI43</f>
        <v>0.868983957219251</v>
      </c>
      <c r="AK43" s="44" t="n">
        <f aca="false">AJ43</f>
        <v>0.868983957219251</v>
      </c>
      <c r="AL43" s="44" t="n">
        <f aca="false">AK43</f>
        <v>0.868983957219251</v>
      </c>
      <c r="AM43" s="44" t="n">
        <f aca="false">AL43</f>
        <v>0.868983957219251</v>
      </c>
      <c r="AN43" s="44" t="n">
        <v>1</v>
      </c>
      <c r="AO43" s="44" t="n">
        <f aca="false">AN43</f>
        <v>1</v>
      </c>
      <c r="AP43" s="44" t="n">
        <f aca="false">AO43</f>
        <v>1</v>
      </c>
      <c r="AQ43" s="44" t="n">
        <f aca="false">AP43</f>
        <v>1</v>
      </c>
      <c r="AR43" s="44" t="n">
        <f aca="false">AQ43</f>
        <v>1</v>
      </c>
      <c r="AS43" s="44" t="n">
        <f aca="false">AR43</f>
        <v>1</v>
      </c>
      <c r="AT43" s="44" t="n">
        <f aca="false">AS43</f>
        <v>1</v>
      </c>
      <c r="AU43" s="44" t="n">
        <f aca="false">AT43</f>
        <v>1</v>
      </c>
      <c r="AV43" s="44" t="n">
        <f aca="false">AU43</f>
        <v>1</v>
      </c>
      <c r="AW43" s="44" t="n">
        <f aca="false">AV43</f>
        <v>1</v>
      </c>
      <c r="AX43" s="44" t="n">
        <f aca="false">B43</f>
        <v>0.868983957219251</v>
      </c>
      <c r="AY43" s="44" t="n">
        <f aca="false">AX43</f>
        <v>0.868983957219251</v>
      </c>
      <c r="AZ43" s="44" t="n">
        <f aca="false">AY43</f>
        <v>0.868983957219251</v>
      </c>
      <c r="BA43" s="44" t="n">
        <v>1</v>
      </c>
      <c r="BB43" s="44" t="n">
        <f aca="false">BA43</f>
        <v>1</v>
      </c>
      <c r="BC43" s="44" t="n">
        <f aca="false">AZ43</f>
        <v>0.868983957219251</v>
      </c>
      <c r="BD43" s="44" t="n">
        <f aca="false">BC43</f>
        <v>0.868983957219251</v>
      </c>
      <c r="BE43" s="44" t="n">
        <v>1</v>
      </c>
      <c r="BF43" s="44" t="n">
        <v>1</v>
      </c>
      <c r="BG43" s="44" t="n">
        <f aca="false">BD43</f>
        <v>0.868983957219251</v>
      </c>
      <c r="BH43" s="44" t="n">
        <f aca="false">BG43</f>
        <v>0.868983957219251</v>
      </c>
      <c r="BI43" s="44" t="n">
        <f aca="false">BH43</f>
        <v>0.868983957219251</v>
      </c>
      <c r="BJ43" s="44" t="n">
        <f aca="false">BI43</f>
        <v>0.868983957219251</v>
      </c>
      <c r="BK43" s="44" t="n">
        <v>1</v>
      </c>
    </row>
    <row r="44" customFormat="false" ht="12.8" hidden="false" customHeight="false" outlineLevel="0" collapsed="false">
      <c r="A44" s="0" t="n">
        <f aca="false">A43-1</f>
        <v>1975</v>
      </c>
      <c r="B44" s="48" t="n">
        <v>0.856774193548387</v>
      </c>
      <c r="C44" s="44" t="n">
        <f aca="false">B44</f>
        <v>0.856774193548387</v>
      </c>
      <c r="D44" s="44" t="n">
        <f aca="false">C44</f>
        <v>0.856774193548387</v>
      </c>
      <c r="E44" s="44" t="n">
        <f aca="false">D44</f>
        <v>0.856774193548387</v>
      </c>
      <c r="F44" s="44" t="n">
        <v>1</v>
      </c>
      <c r="G44" s="44" t="n">
        <f aca="false">F44</f>
        <v>1</v>
      </c>
      <c r="H44" s="44" t="n">
        <f aca="false">G44</f>
        <v>1</v>
      </c>
      <c r="I44" s="44" t="n">
        <f aca="false">H44</f>
        <v>1</v>
      </c>
      <c r="J44" s="44" t="n">
        <f aca="false">I44</f>
        <v>1</v>
      </c>
      <c r="K44" s="44" t="n">
        <f aca="false">J44</f>
        <v>1</v>
      </c>
      <c r="L44" s="44" t="n">
        <f aca="false">B44</f>
        <v>0.856774193548387</v>
      </c>
      <c r="M44" s="44" t="n">
        <f aca="false">L44</f>
        <v>0.856774193548387</v>
      </c>
      <c r="N44" s="44" t="n">
        <f aca="false">M44</f>
        <v>0.856774193548387</v>
      </c>
      <c r="O44" s="44" t="n">
        <f aca="false">N44</f>
        <v>0.856774193548387</v>
      </c>
      <c r="P44" s="44" t="n">
        <f aca="false">O44</f>
        <v>0.856774193548387</v>
      </c>
      <c r="Q44" s="44" t="n">
        <v>1</v>
      </c>
      <c r="R44" s="44" t="n">
        <f aca="false">Q44</f>
        <v>1</v>
      </c>
      <c r="S44" s="44" t="n">
        <f aca="false">R44</f>
        <v>1</v>
      </c>
      <c r="T44" s="44" t="n">
        <f aca="false">S44</f>
        <v>1</v>
      </c>
      <c r="U44" s="44" t="n">
        <f aca="false">T44</f>
        <v>1</v>
      </c>
      <c r="V44" s="44" t="n">
        <f aca="false">U44</f>
        <v>1</v>
      </c>
      <c r="W44" s="44" t="n">
        <f aca="false">V44</f>
        <v>1</v>
      </c>
      <c r="X44" s="44" t="n">
        <f aca="false">W44</f>
        <v>1</v>
      </c>
      <c r="Y44" s="44" t="n">
        <f aca="false">X44</f>
        <v>1</v>
      </c>
      <c r="Z44" s="44" t="n">
        <f aca="false">Y44</f>
        <v>1</v>
      </c>
      <c r="AA44" s="44" t="n">
        <f aca="false">Z44</f>
        <v>1</v>
      </c>
      <c r="AB44" s="44" t="n">
        <f aca="false">AA44</f>
        <v>1</v>
      </c>
      <c r="AC44" s="44" t="n">
        <f aca="false">AB44</f>
        <v>1</v>
      </c>
      <c r="AD44" s="44" t="n">
        <f aca="false">AC44</f>
        <v>1</v>
      </c>
      <c r="AE44" s="44" t="n">
        <f aca="false">B44</f>
        <v>0.856774193548387</v>
      </c>
      <c r="AF44" s="44" t="n">
        <f aca="false">AE44</f>
        <v>0.856774193548387</v>
      </c>
      <c r="AG44" s="44" t="n">
        <f aca="false">AF44</f>
        <v>0.856774193548387</v>
      </c>
      <c r="AH44" s="44" t="n">
        <f aca="false">AG44</f>
        <v>0.856774193548387</v>
      </c>
      <c r="AI44" s="44" t="n">
        <f aca="false">AH44</f>
        <v>0.856774193548387</v>
      </c>
      <c r="AJ44" s="44" t="n">
        <f aca="false">AI44</f>
        <v>0.856774193548387</v>
      </c>
      <c r="AK44" s="44" t="n">
        <f aca="false">AJ44</f>
        <v>0.856774193548387</v>
      </c>
      <c r="AL44" s="44" t="n">
        <f aca="false">AK44</f>
        <v>0.856774193548387</v>
      </c>
      <c r="AM44" s="44" t="n">
        <f aca="false">AL44</f>
        <v>0.856774193548387</v>
      </c>
      <c r="AN44" s="44" t="n">
        <v>1</v>
      </c>
      <c r="AO44" s="44" t="n">
        <f aca="false">AN44</f>
        <v>1</v>
      </c>
      <c r="AP44" s="44" t="n">
        <f aca="false">AO44</f>
        <v>1</v>
      </c>
      <c r="AQ44" s="44" t="n">
        <f aca="false">AP44</f>
        <v>1</v>
      </c>
      <c r="AR44" s="44" t="n">
        <f aca="false">AQ44</f>
        <v>1</v>
      </c>
      <c r="AS44" s="44" t="n">
        <f aca="false">AR44</f>
        <v>1</v>
      </c>
      <c r="AT44" s="44" t="n">
        <f aca="false">AS44</f>
        <v>1</v>
      </c>
      <c r="AU44" s="44" t="n">
        <f aca="false">AT44</f>
        <v>1</v>
      </c>
      <c r="AV44" s="44" t="n">
        <f aca="false">AU44</f>
        <v>1</v>
      </c>
      <c r="AW44" s="44" t="n">
        <f aca="false">AV44</f>
        <v>1</v>
      </c>
      <c r="AX44" s="44" t="n">
        <f aca="false">B44</f>
        <v>0.856774193548387</v>
      </c>
      <c r="AY44" s="44" t="n">
        <f aca="false">AX44</f>
        <v>0.856774193548387</v>
      </c>
      <c r="AZ44" s="44" t="n">
        <f aca="false">AY44</f>
        <v>0.856774193548387</v>
      </c>
      <c r="BA44" s="44" t="n">
        <v>1</v>
      </c>
      <c r="BB44" s="44" t="n">
        <f aca="false">BA44</f>
        <v>1</v>
      </c>
      <c r="BC44" s="44" t="n">
        <f aca="false">AZ44</f>
        <v>0.856774193548387</v>
      </c>
      <c r="BD44" s="44" t="n">
        <f aca="false">BC44</f>
        <v>0.856774193548387</v>
      </c>
      <c r="BE44" s="44" t="n">
        <v>1</v>
      </c>
      <c r="BF44" s="44" t="n">
        <v>1</v>
      </c>
      <c r="BG44" s="44" t="n">
        <f aca="false">BD44</f>
        <v>0.856774193548387</v>
      </c>
      <c r="BH44" s="44" t="n">
        <f aca="false">BG44</f>
        <v>0.856774193548387</v>
      </c>
      <c r="BI44" s="44" t="n">
        <f aca="false">BH44</f>
        <v>0.856774193548387</v>
      </c>
      <c r="BJ44" s="44" t="n">
        <f aca="false">BI44</f>
        <v>0.856774193548387</v>
      </c>
      <c r="BK44" s="44" t="n">
        <v>1</v>
      </c>
    </row>
    <row r="45" customFormat="false" ht="12.8" hidden="false" customHeight="false" outlineLevel="0" collapsed="false">
      <c r="A45" s="0" t="n">
        <f aca="false">A44-1</f>
        <v>1974</v>
      </c>
      <c r="B45" s="48" t="n">
        <v>0.864601262191624</v>
      </c>
      <c r="C45" s="44" t="n">
        <f aca="false">B45</f>
        <v>0.864601262191624</v>
      </c>
      <c r="D45" s="44" t="n">
        <f aca="false">C45</f>
        <v>0.864601262191624</v>
      </c>
      <c r="E45" s="44" t="n">
        <f aca="false">D45</f>
        <v>0.864601262191624</v>
      </c>
      <c r="F45" s="44" t="n">
        <v>1</v>
      </c>
      <c r="G45" s="44" t="n">
        <f aca="false">F45</f>
        <v>1</v>
      </c>
      <c r="H45" s="44" t="n">
        <f aca="false">G45</f>
        <v>1</v>
      </c>
      <c r="I45" s="44" t="n">
        <f aca="false">H45</f>
        <v>1</v>
      </c>
      <c r="J45" s="44" t="n">
        <f aca="false">I45</f>
        <v>1</v>
      </c>
      <c r="K45" s="44" t="n">
        <f aca="false">J45</f>
        <v>1</v>
      </c>
      <c r="L45" s="44" t="n">
        <f aca="false">B45</f>
        <v>0.864601262191624</v>
      </c>
      <c r="M45" s="44" t="n">
        <f aca="false">L45</f>
        <v>0.864601262191624</v>
      </c>
      <c r="N45" s="44" t="n">
        <f aca="false">M45</f>
        <v>0.864601262191624</v>
      </c>
      <c r="O45" s="44" t="n">
        <f aca="false">N45</f>
        <v>0.864601262191624</v>
      </c>
      <c r="P45" s="44" t="n">
        <f aca="false">O45</f>
        <v>0.864601262191624</v>
      </c>
      <c r="Q45" s="44" t="n">
        <v>1</v>
      </c>
      <c r="R45" s="44" t="n">
        <f aca="false">Q45</f>
        <v>1</v>
      </c>
      <c r="S45" s="44" t="n">
        <f aca="false">R45</f>
        <v>1</v>
      </c>
      <c r="T45" s="44" t="n">
        <f aca="false">S45</f>
        <v>1</v>
      </c>
      <c r="U45" s="44" t="n">
        <f aca="false">T45</f>
        <v>1</v>
      </c>
      <c r="V45" s="44" t="n">
        <f aca="false">U45</f>
        <v>1</v>
      </c>
      <c r="W45" s="44" t="n">
        <f aca="false">V45</f>
        <v>1</v>
      </c>
      <c r="X45" s="44" t="n">
        <f aca="false">W45</f>
        <v>1</v>
      </c>
      <c r="Y45" s="44" t="n">
        <f aca="false">X45</f>
        <v>1</v>
      </c>
      <c r="Z45" s="44" t="n">
        <f aca="false">Y45</f>
        <v>1</v>
      </c>
      <c r="AA45" s="44" t="n">
        <f aca="false">Z45</f>
        <v>1</v>
      </c>
      <c r="AB45" s="44" t="n">
        <f aca="false">AA45</f>
        <v>1</v>
      </c>
      <c r="AC45" s="44" t="n">
        <f aca="false">AB45</f>
        <v>1</v>
      </c>
      <c r="AD45" s="44" t="n">
        <f aca="false">AC45</f>
        <v>1</v>
      </c>
      <c r="AE45" s="44" t="n">
        <f aca="false">B45</f>
        <v>0.864601262191624</v>
      </c>
      <c r="AF45" s="44" t="n">
        <f aca="false">AE45</f>
        <v>0.864601262191624</v>
      </c>
      <c r="AG45" s="44" t="n">
        <f aca="false">AF45</f>
        <v>0.864601262191624</v>
      </c>
      <c r="AH45" s="44" t="n">
        <f aca="false">AG45</f>
        <v>0.864601262191624</v>
      </c>
      <c r="AI45" s="44" t="n">
        <f aca="false">AH45</f>
        <v>0.864601262191624</v>
      </c>
      <c r="AJ45" s="44" t="n">
        <f aca="false">AI45</f>
        <v>0.864601262191624</v>
      </c>
      <c r="AK45" s="44" t="n">
        <f aca="false">AJ45</f>
        <v>0.864601262191624</v>
      </c>
      <c r="AL45" s="44" t="n">
        <f aca="false">AK45</f>
        <v>0.864601262191624</v>
      </c>
      <c r="AM45" s="44" t="n">
        <f aca="false">AL45</f>
        <v>0.864601262191624</v>
      </c>
      <c r="AN45" s="44" t="n">
        <v>1</v>
      </c>
      <c r="AO45" s="44" t="n">
        <f aca="false">AN45</f>
        <v>1</v>
      </c>
      <c r="AP45" s="44" t="n">
        <f aca="false">AO45</f>
        <v>1</v>
      </c>
      <c r="AQ45" s="44" t="n">
        <f aca="false">AP45</f>
        <v>1</v>
      </c>
      <c r="AR45" s="44" t="n">
        <f aca="false">AQ45</f>
        <v>1</v>
      </c>
      <c r="AS45" s="44" t="n">
        <f aca="false">AR45</f>
        <v>1</v>
      </c>
      <c r="AT45" s="44" t="n">
        <f aca="false">AS45</f>
        <v>1</v>
      </c>
      <c r="AU45" s="44" t="n">
        <f aca="false">AT45</f>
        <v>1</v>
      </c>
      <c r="AV45" s="44" t="n">
        <f aca="false">AU45</f>
        <v>1</v>
      </c>
      <c r="AW45" s="44" t="n">
        <f aca="false">AV45</f>
        <v>1</v>
      </c>
      <c r="AX45" s="44" t="n">
        <f aca="false">B45</f>
        <v>0.864601262191624</v>
      </c>
      <c r="AY45" s="44" t="n">
        <f aca="false">AX45</f>
        <v>0.864601262191624</v>
      </c>
      <c r="AZ45" s="44" t="n">
        <f aca="false">AY45</f>
        <v>0.864601262191624</v>
      </c>
      <c r="BA45" s="44" t="n">
        <v>1</v>
      </c>
      <c r="BB45" s="44" t="n">
        <f aca="false">BA45</f>
        <v>1</v>
      </c>
      <c r="BC45" s="44" t="n">
        <f aca="false">AZ45</f>
        <v>0.864601262191624</v>
      </c>
      <c r="BD45" s="44" t="n">
        <f aca="false">BC45</f>
        <v>0.864601262191624</v>
      </c>
      <c r="BE45" s="44" t="n">
        <v>1</v>
      </c>
      <c r="BF45" s="44" t="n">
        <v>1</v>
      </c>
      <c r="BG45" s="44" t="n">
        <f aca="false">BD45</f>
        <v>0.864601262191624</v>
      </c>
      <c r="BH45" s="44" t="n">
        <f aca="false">BG45</f>
        <v>0.864601262191624</v>
      </c>
      <c r="BI45" s="44" t="n">
        <f aca="false">BH45</f>
        <v>0.864601262191624</v>
      </c>
      <c r="BJ45" s="44" t="n">
        <f aca="false">BI45</f>
        <v>0.864601262191624</v>
      </c>
      <c r="BK45" s="44" t="n">
        <v>1</v>
      </c>
    </row>
    <row r="46" customFormat="false" ht="12.8" hidden="false" customHeight="false" outlineLevel="0" collapsed="false">
      <c r="A46" s="0" t="n">
        <f aca="false">A45-1</f>
        <v>1973</v>
      </c>
      <c r="B46" s="48" t="n">
        <v>0.855660377358491</v>
      </c>
      <c r="C46" s="44" t="n">
        <f aca="false">B46</f>
        <v>0.855660377358491</v>
      </c>
      <c r="D46" s="44" t="n">
        <f aca="false">C46</f>
        <v>0.855660377358491</v>
      </c>
      <c r="E46" s="44" t="n">
        <f aca="false">D46</f>
        <v>0.855660377358491</v>
      </c>
      <c r="F46" s="44" t="n">
        <v>1</v>
      </c>
      <c r="G46" s="44" t="n">
        <f aca="false">F46</f>
        <v>1</v>
      </c>
      <c r="H46" s="44" t="n">
        <f aca="false">G46</f>
        <v>1</v>
      </c>
      <c r="I46" s="44" t="n">
        <f aca="false">H46</f>
        <v>1</v>
      </c>
      <c r="J46" s="44" t="n">
        <f aca="false">I46</f>
        <v>1</v>
      </c>
      <c r="K46" s="44" t="n">
        <f aca="false">J46</f>
        <v>1</v>
      </c>
      <c r="L46" s="44" t="n">
        <f aca="false">B46</f>
        <v>0.855660377358491</v>
      </c>
      <c r="M46" s="44" t="n">
        <f aca="false">L46</f>
        <v>0.855660377358491</v>
      </c>
      <c r="N46" s="44" t="n">
        <f aca="false">M46</f>
        <v>0.855660377358491</v>
      </c>
      <c r="O46" s="44" t="n">
        <f aca="false">N46</f>
        <v>0.855660377358491</v>
      </c>
      <c r="P46" s="44" t="n">
        <f aca="false">O46</f>
        <v>0.855660377358491</v>
      </c>
      <c r="Q46" s="44" t="n">
        <v>1</v>
      </c>
      <c r="R46" s="44" t="n">
        <f aca="false">Q46</f>
        <v>1</v>
      </c>
      <c r="S46" s="44" t="n">
        <f aca="false">R46</f>
        <v>1</v>
      </c>
      <c r="T46" s="44" t="n">
        <f aca="false">S46</f>
        <v>1</v>
      </c>
      <c r="U46" s="44" t="n">
        <f aca="false">T46</f>
        <v>1</v>
      </c>
      <c r="V46" s="44" t="n">
        <f aca="false">U46</f>
        <v>1</v>
      </c>
      <c r="W46" s="44" t="n">
        <f aca="false">V46</f>
        <v>1</v>
      </c>
      <c r="X46" s="44" t="n">
        <f aca="false">W46</f>
        <v>1</v>
      </c>
      <c r="Y46" s="44" t="n">
        <f aca="false">X46</f>
        <v>1</v>
      </c>
      <c r="Z46" s="44" t="n">
        <f aca="false">Y46</f>
        <v>1</v>
      </c>
      <c r="AA46" s="44" t="n">
        <f aca="false">Z46</f>
        <v>1</v>
      </c>
      <c r="AB46" s="44" t="n">
        <f aca="false">AA46</f>
        <v>1</v>
      </c>
      <c r="AC46" s="44" t="n">
        <f aca="false">AB46</f>
        <v>1</v>
      </c>
      <c r="AD46" s="44" t="n">
        <f aca="false">AC46</f>
        <v>1</v>
      </c>
      <c r="AE46" s="44" t="n">
        <f aca="false">B46</f>
        <v>0.855660377358491</v>
      </c>
      <c r="AF46" s="44" t="n">
        <f aca="false">AE46</f>
        <v>0.855660377358491</v>
      </c>
      <c r="AG46" s="44" t="n">
        <f aca="false">AF46</f>
        <v>0.855660377358491</v>
      </c>
      <c r="AH46" s="44" t="n">
        <f aca="false">AG46</f>
        <v>0.855660377358491</v>
      </c>
      <c r="AI46" s="44" t="n">
        <f aca="false">AH46</f>
        <v>0.855660377358491</v>
      </c>
      <c r="AJ46" s="44" t="n">
        <f aca="false">AI46</f>
        <v>0.855660377358491</v>
      </c>
      <c r="AK46" s="44" t="n">
        <f aca="false">AJ46</f>
        <v>0.855660377358491</v>
      </c>
      <c r="AL46" s="44" t="n">
        <f aca="false">AK46</f>
        <v>0.855660377358491</v>
      </c>
      <c r="AM46" s="44" t="n">
        <f aca="false">AL46</f>
        <v>0.855660377358491</v>
      </c>
      <c r="AN46" s="44" t="n">
        <v>1</v>
      </c>
      <c r="AO46" s="44" t="n">
        <f aca="false">AN46</f>
        <v>1</v>
      </c>
      <c r="AP46" s="44" t="n">
        <f aca="false">AO46</f>
        <v>1</v>
      </c>
      <c r="AQ46" s="44" t="n">
        <f aca="false">AP46</f>
        <v>1</v>
      </c>
      <c r="AR46" s="44" t="n">
        <f aca="false">AQ46</f>
        <v>1</v>
      </c>
      <c r="AS46" s="44" t="n">
        <f aca="false">AR46</f>
        <v>1</v>
      </c>
      <c r="AT46" s="44" t="n">
        <f aca="false">AS46</f>
        <v>1</v>
      </c>
      <c r="AU46" s="44" t="n">
        <f aca="false">AT46</f>
        <v>1</v>
      </c>
      <c r="AV46" s="44" t="n">
        <f aca="false">AU46</f>
        <v>1</v>
      </c>
      <c r="AW46" s="44" t="n">
        <f aca="false">AV46</f>
        <v>1</v>
      </c>
      <c r="AX46" s="44" t="n">
        <f aca="false">B46</f>
        <v>0.855660377358491</v>
      </c>
      <c r="AY46" s="44" t="n">
        <f aca="false">AX46</f>
        <v>0.855660377358491</v>
      </c>
      <c r="AZ46" s="44" t="n">
        <f aca="false">AY46</f>
        <v>0.855660377358491</v>
      </c>
      <c r="BA46" s="44" t="n">
        <v>1</v>
      </c>
      <c r="BB46" s="44" t="n">
        <f aca="false">BA46</f>
        <v>1</v>
      </c>
      <c r="BC46" s="44" t="n">
        <f aca="false">AZ46</f>
        <v>0.855660377358491</v>
      </c>
      <c r="BD46" s="44" t="n">
        <f aca="false">BC46</f>
        <v>0.855660377358491</v>
      </c>
      <c r="BE46" s="44" t="n">
        <v>1</v>
      </c>
      <c r="BF46" s="44" t="n">
        <v>1</v>
      </c>
      <c r="BG46" s="44" t="n">
        <f aca="false">BD46</f>
        <v>0.855660377358491</v>
      </c>
      <c r="BH46" s="44" t="n">
        <f aca="false">BG46</f>
        <v>0.855660377358491</v>
      </c>
      <c r="BI46" s="44" t="n">
        <f aca="false">BH46</f>
        <v>0.855660377358491</v>
      </c>
      <c r="BJ46" s="44" t="n">
        <f aca="false">BI46</f>
        <v>0.855660377358491</v>
      </c>
      <c r="BK46" s="44" t="n">
        <v>1</v>
      </c>
    </row>
    <row r="47" customFormat="false" ht="12.8" hidden="false" customHeight="false" outlineLevel="0" collapsed="false">
      <c r="A47" s="0" t="n">
        <f aca="false">A46-1</f>
        <v>1972</v>
      </c>
      <c r="B47" s="48" t="n">
        <v>0.852664576802508</v>
      </c>
      <c r="C47" s="44" t="n">
        <f aca="false">B47</f>
        <v>0.852664576802508</v>
      </c>
      <c r="D47" s="44" t="n">
        <f aca="false">C47</f>
        <v>0.852664576802508</v>
      </c>
      <c r="E47" s="44" t="n">
        <f aca="false">D47</f>
        <v>0.852664576802508</v>
      </c>
      <c r="F47" s="44" t="n">
        <v>1</v>
      </c>
      <c r="G47" s="44" t="n">
        <f aca="false">F47</f>
        <v>1</v>
      </c>
      <c r="H47" s="44" t="n">
        <f aca="false">G47</f>
        <v>1</v>
      </c>
      <c r="I47" s="44" t="n">
        <f aca="false">H47</f>
        <v>1</v>
      </c>
      <c r="J47" s="44" t="n">
        <f aca="false">I47</f>
        <v>1</v>
      </c>
      <c r="K47" s="44" t="n">
        <f aca="false">J47</f>
        <v>1</v>
      </c>
      <c r="L47" s="44" t="n">
        <f aca="false">B47</f>
        <v>0.852664576802508</v>
      </c>
      <c r="M47" s="44" t="n">
        <f aca="false">L47</f>
        <v>0.852664576802508</v>
      </c>
      <c r="N47" s="44" t="n">
        <f aca="false">M47</f>
        <v>0.852664576802508</v>
      </c>
      <c r="O47" s="44" t="n">
        <f aca="false">N47</f>
        <v>0.852664576802508</v>
      </c>
      <c r="P47" s="44" t="n">
        <f aca="false">O47</f>
        <v>0.852664576802508</v>
      </c>
      <c r="Q47" s="44" t="n">
        <v>1</v>
      </c>
      <c r="R47" s="44" t="n">
        <f aca="false">Q47</f>
        <v>1</v>
      </c>
      <c r="S47" s="44" t="n">
        <f aca="false">R47</f>
        <v>1</v>
      </c>
      <c r="T47" s="44" t="n">
        <f aca="false">S47</f>
        <v>1</v>
      </c>
      <c r="U47" s="44" t="n">
        <f aca="false">T47</f>
        <v>1</v>
      </c>
      <c r="V47" s="44" t="n">
        <f aca="false">U47</f>
        <v>1</v>
      </c>
      <c r="W47" s="44" t="n">
        <f aca="false">V47</f>
        <v>1</v>
      </c>
      <c r="X47" s="44" t="n">
        <f aca="false">W47</f>
        <v>1</v>
      </c>
      <c r="Y47" s="44" t="n">
        <f aca="false">X47</f>
        <v>1</v>
      </c>
      <c r="Z47" s="44" t="n">
        <f aca="false">Y47</f>
        <v>1</v>
      </c>
      <c r="AA47" s="44" t="n">
        <f aca="false">Z47</f>
        <v>1</v>
      </c>
      <c r="AB47" s="44" t="n">
        <f aca="false">AA47</f>
        <v>1</v>
      </c>
      <c r="AC47" s="44" t="n">
        <f aca="false">AB47</f>
        <v>1</v>
      </c>
      <c r="AD47" s="44" t="n">
        <f aca="false">AC47</f>
        <v>1</v>
      </c>
      <c r="AE47" s="44" t="n">
        <f aca="false">B47</f>
        <v>0.852664576802508</v>
      </c>
      <c r="AF47" s="44" t="n">
        <f aca="false">AE47</f>
        <v>0.852664576802508</v>
      </c>
      <c r="AG47" s="44" t="n">
        <f aca="false">AF47</f>
        <v>0.852664576802508</v>
      </c>
      <c r="AH47" s="44" t="n">
        <f aca="false">AG47</f>
        <v>0.852664576802508</v>
      </c>
      <c r="AI47" s="44" t="n">
        <f aca="false">AH47</f>
        <v>0.852664576802508</v>
      </c>
      <c r="AJ47" s="44" t="n">
        <f aca="false">AI47</f>
        <v>0.852664576802508</v>
      </c>
      <c r="AK47" s="44" t="n">
        <f aca="false">AJ47</f>
        <v>0.852664576802508</v>
      </c>
      <c r="AL47" s="44" t="n">
        <f aca="false">AK47</f>
        <v>0.852664576802508</v>
      </c>
      <c r="AM47" s="44" t="n">
        <f aca="false">AL47</f>
        <v>0.852664576802508</v>
      </c>
      <c r="AN47" s="44" t="n">
        <v>1</v>
      </c>
      <c r="AO47" s="44" t="n">
        <f aca="false">AN47</f>
        <v>1</v>
      </c>
      <c r="AP47" s="44" t="n">
        <f aca="false">AO47</f>
        <v>1</v>
      </c>
      <c r="AQ47" s="44" t="n">
        <f aca="false">AP47</f>
        <v>1</v>
      </c>
      <c r="AR47" s="44" t="n">
        <f aca="false">AQ47</f>
        <v>1</v>
      </c>
      <c r="AS47" s="44" t="n">
        <f aca="false">AR47</f>
        <v>1</v>
      </c>
      <c r="AT47" s="44" t="n">
        <f aca="false">AS47</f>
        <v>1</v>
      </c>
      <c r="AU47" s="44" t="n">
        <f aca="false">AT47</f>
        <v>1</v>
      </c>
      <c r="AV47" s="44" t="n">
        <f aca="false">AU47</f>
        <v>1</v>
      </c>
      <c r="AW47" s="44" t="n">
        <f aca="false">AV47</f>
        <v>1</v>
      </c>
      <c r="AX47" s="44" t="n">
        <f aca="false">B47</f>
        <v>0.852664576802508</v>
      </c>
      <c r="AY47" s="44" t="n">
        <f aca="false">AX47</f>
        <v>0.852664576802508</v>
      </c>
      <c r="AZ47" s="44" t="n">
        <f aca="false">AY47</f>
        <v>0.852664576802508</v>
      </c>
      <c r="BA47" s="44" t="n">
        <v>1</v>
      </c>
      <c r="BB47" s="44" t="n">
        <f aca="false">BA47</f>
        <v>1</v>
      </c>
      <c r="BC47" s="44" t="n">
        <f aca="false">AZ47</f>
        <v>0.852664576802508</v>
      </c>
      <c r="BD47" s="44" t="n">
        <f aca="false">BC47</f>
        <v>0.852664576802508</v>
      </c>
      <c r="BE47" s="44" t="n">
        <v>1</v>
      </c>
      <c r="BF47" s="44" t="n">
        <v>1</v>
      </c>
      <c r="BG47" s="44" t="n">
        <f aca="false">BD47</f>
        <v>0.852664576802508</v>
      </c>
      <c r="BH47" s="44" t="n">
        <f aca="false">BG47</f>
        <v>0.852664576802508</v>
      </c>
      <c r="BI47" s="44" t="n">
        <f aca="false">BH47</f>
        <v>0.852664576802508</v>
      </c>
      <c r="BJ47" s="44" t="n">
        <f aca="false">BI47</f>
        <v>0.852664576802508</v>
      </c>
      <c r="BK47" s="44" t="n">
        <v>1</v>
      </c>
    </row>
    <row r="48" customFormat="false" ht="12.8" hidden="false" customHeight="false" outlineLevel="0" collapsed="false">
      <c r="A48" s="0" t="n">
        <f aca="false">A47-1</f>
        <v>1971</v>
      </c>
      <c r="B48" s="48" t="n">
        <v>0.883495145631068</v>
      </c>
      <c r="C48" s="44" t="n">
        <f aca="false">B48</f>
        <v>0.883495145631068</v>
      </c>
      <c r="D48" s="44" t="n">
        <f aca="false">C48</f>
        <v>0.883495145631068</v>
      </c>
      <c r="E48" s="44" t="n">
        <f aca="false">D48</f>
        <v>0.883495145631068</v>
      </c>
      <c r="F48" s="44" t="n">
        <v>1</v>
      </c>
      <c r="G48" s="44" t="n">
        <f aca="false">F48</f>
        <v>1</v>
      </c>
      <c r="H48" s="44" t="n">
        <f aca="false">G48</f>
        <v>1</v>
      </c>
      <c r="I48" s="44" t="n">
        <f aca="false">H48</f>
        <v>1</v>
      </c>
      <c r="J48" s="44" t="n">
        <f aca="false">I48</f>
        <v>1</v>
      </c>
      <c r="K48" s="44" t="n">
        <f aca="false">J48</f>
        <v>1</v>
      </c>
      <c r="L48" s="44" t="n">
        <f aca="false">B48</f>
        <v>0.883495145631068</v>
      </c>
      <c r="M48" s="44" t="n">
        <f aca="false">L48</f>
        <v>0.883495145631068</v>
      </c>
      <c r="N48" s="44" t="n">
        <f aca="false">M48</f>
        <v>0.883495145631068</v>
      </c>
      <c r="O48" s="44" t="n">
        <f aca="false">N48</f>
        <v>0.883495145631068</v>
      </c>
      <c r="P48" s="44" t="n">
        <f aca="false">O48</f>
        <v>0.883495145631068</v>
      </c>
      <c r="Q48" s="44" t="n">
        <v>1</v>
      </c>
      <c r="R48" s="44" t="n">
        <f aca="false">Q48</f>
        <v>1</v>
      </c>
      <c r="S48" s="44" t="n">
        <f aca="false">R48</f>
        <v>1</v>
      </c>
      <c r="T48" s="44" t="n">
        <f aca="false">S48</f>
        <v>1</v>
      </c>
      <c r="U48" s="44" t="n">
        <f aca="false">T48</f>
        <v>1</v>
      </c>
      <c r="V48" s="44" t="n">
        <f aca="false">U48</f>
        <v>1</v>
      </c>
      <c r="W48" s="44" t="n">
        <f aca="false">V48</f>
        <v>1</v>
      </c>
      <c r="X48" s="44" t="n">
        <f aca="false">W48</f>
        <v>1</v>
      </c>
      <c r="Y48" s="44" t="n">
        <f aca="false">X48</f>
        <v>1</v>
      </c>
      <c r="Z48" s="44" t="n">
        <f aca="false">Y48</f>
        <v>1</v>
      </c>
      <c r="AA48" s="44" t="n">
        <f aca="false">Z48</f>
        <v>1</v>
      </c>
      <c r="AB48" s="44" t="n">
        <f aca="false">AA48</f>
        <v>1</v>
      </c>
      <c r="AC48" s="44" t="n">
        <f aca="false">AB48</f>
        <v>1</v>
      </c>
      <c r="AD48" s="44" t="n">
        <f aca="false">AC48</f>
        <v>1</v>
      </c>
      <c r="AE48" s="44" t="n">
        <f aca="false">B48</f>
        <v>0.883495145631068</v>
      </c>
      <c r="AF48" s="44" t="n">
        <f aca="false">AE48</f>
        <v>0.883495145631068</v>
      </c>
      <c r="AG48" s="44" t="n">
        <f aca="false">AF48</f>
        <v>0.883495145631068</v>
      </c>
      <c r="AH48" s="44" t="n">
        <f aca="false">AG48</f>
        <v>0.883495145631068</v>
      </c>
      <c r="AI48" s="44" t="n">
        <f aca="false">AH48</f>
        <v>0.883495145631068</v>
      </c>
      <c r="AJ48" s="44" t="n">
        <f aca="false">AI48</f>
        <v>0.883495145631068</v>
      </c>
      <c r="AK48" s="44" t="n">
        <f aca="false">AJ48</f>
        <v>0.883495145631068</v>
      </c>
      <c r="AL48" s="44" t="n">
        <f aca="false">AK48</f>
        <v>0.883495145631068</v>
      </c>
      <c r="AM48" s="44" t="n">
        <f aca="false">AL48</f>
        <v>0.883495145631068</v>
      </c>
      <c r="AN48" s="44" t="n">
        <v>1</v>
      </c>
      <c r="AO48" s="44" t="n">
        <f aca="false">AN48</f>
        <v>1</v>
      </c>
      <c r="AP48" s="44" t="n">
        <f aca="false">AO48</f>
        <v>1</v>
      </c>
      <c r="AQ48" s="44" t="n">
        <f aca="false">AP48</f>
        <v>1</v>
      </c>
      <c r="AR48" s="44" t="n">
        <f aca="false">AQ48</f>
        <v>1</v>
      </c>
      <c r="AS48" s="44" t="n">
        <f aca="false">AR48</f>
        <v>1</v>
      </c>
      <c r="AT48" s="44" t="n">
        <f aca="false">AS48</f>
        <v>1</v>
      </c>
      <c r="AU48" s="44" t="n">
        <f aca="false">AT48</f>
        <v>1</v>
      </c>
      <c r="AV48" s="44" t="n">
        <f aca="false">AU48</f>
        <v>1</v>
      </c>
      <c r="AW48" s="44" t="n">
        <f aca="false">AV48</f>
        <v>1</v>
      </c>
      <c r="AX48" s="44" t="n">
        <f aca="false">B48</f>
        <v>0.883495145631068</v>
      </c>
      <c r="AY48" s="44" t="n">
        <f aca="false">AX48</f>
        <v>0.883495145631068</v>
      </c>
      <c r="AZ48" s="44" t="n">
        <f aca="false">AY48</f>
        <v>0.883495145631068</v>
      </c>
      <c r="BA48" s="44" t="n">
        <v>1</v>
      </c>
      <c r="BB48" s="44" t="n">
        <f aca="false">BA48</f>
        <v>1</v>
      </c>
      <c r="BC48" s="44" t="n">
        <f aca="false">AZ48</f>
        <v>0.883495145631068</v>
      </c>
      <c r="BD48" s="44" t="n">
        <f aca="false">BC48</f>
        <v>0.883495145631068</v>
      </c>
      <c r="BE48" s="44" t="n">
        <v>1</v>
      </c>
      <c r="BF48" s="44" t="n">
        <v>1</v>
      </c>
      <c r="BG48" s="44" t="n">
        <f aca="false">BD48</f>
        <v>0.883495145631068</v>
      </c>
      <c r="BH48" s="44" t="n">
        <f aca="false">BG48</f>
        <v>0.883495145631068</v>
      </c>
      <c r="BI48" s="44" t="n">
        <f aca="false">BH48</f>
        <v>0.883495145631068</v>
      </c>
      <c r="BJ48" s="44" t="n">
        <f aca="false">BI48</f>
        <v>0.883495145631068</v>
      </c>
      <c r="BK48" s="44" t="n">
        <v>1</v>
      </c>
    </row>
    <row r="49" customFormat="false" ht="12.8" hidden="false" customHeight="false" outlineLevel="0" collapsed="false">
      <c r="A49" s="0" t="n">
        <f aca="false">A48-1</f>
        <v>1970</v>
      </c>
      <c r="B49" s="48" t="n">
        <v>0.878571428571429</v>
      </c>
      <c r="C49" s="44" t="n">
        <f aca="false">B49</f>
        <v>0.878571428571429</v>
      </c>
      <c r="D49" s="44" t="n">
        <f aca="false">C49</f>
        <v>0.878571428571429</v>
      </c>
      <c r="E49" s="44" t="n">
        <f aca="false">D49</f>
        <v>0.878571428571429</v>
      </c>
      <c r="F49" s="44" t="n">
        <v>1</v>
      </c>
      <c r="G49" s="44" t="n">
        <f aca="false">F49</f>
        <v>1</v>
      </c>
      <c r="H49" s="44" t="n">
        <f aca="false">G49</f>
        <v>1</v>
      </c>
      <c r="I49" s="44" t="n">
        <f aca="false">H49</f>
        <v>1</v>
      </c>
      <c r="J49" s="44" t="n">
        <f aca="false">I49</f>
        <v>1</v>
      </c>
      <c r="K49" s="44" t="n">
        <f aca="false">J49</f>
        <v>1</v>
      </c>
      <c r="L49" s="44" t="n">
        <f aca="false">B49</f>
        <v>0.878571428571429</v>
      </c>
      <c r="M49" s="44" t="n">
        <f aca="false">L49</f>
        <v>0.878571428571429</v>
      </c>
      <c r="N49" s="44" t="n">
        <f aca="false">M49</f>
        <v>0.878571428571429</v>
      </c>
      <c r="O49" s="44" t="n">
        <f aca="false">N49</f>
        <v>0.878571428571429</v>
      </c>
      <c r="P49" s="44" t="n">
        <f aca="false">O49</f>
        <v>0.878571428571429</v>
      </c>
      <c r="Q49" s="44" t="n">
        <v>1</v>
      </c>
      <c r="R49" s="44" t="n">
        <f aca="false">Q49</f>
        <v>1</v>
      </c>
      <c r="S49" s="44" t="n">
        <f aca="false">R49</f>
        <v>1</v>
      </c>
      <c r="T49" s="44" t="n">
        <f aca="false">S49</f>
        <v>1</v>
      </c>
      <c r="U49" s="44" t="n">
        <f aca="false">T49</f>
        <v>1</v>
      </c>
      <c r="V49" s="44" t="n">
        <f aca="false">U49</f>
        <v>1</v>
      </c>
      <c r="W49" s="44" t="n">
        <f aca="false">V49</f>
        <v>1</v>
      </c>
      <c r="X49" s="44" t="n">
        <f aca="false">W49</f>
        <v>1</v>
      </c>
      <c r="Y49" s="44" t="n">
        <f aca="false">X49</f>
        <v>1</v>
      </c>
      <c r="Z49" s="44" t="n">
        <f aca="false">Y49</f>
        <v>1</v>
      </c>
      <c r="AA49" s="44" t="n">
        <f aca="false">Z49</f>
        <v>1</v>
      </c>
      <c r="AB49" s="44" t="n">
        <f aca="false">AA49</f>
        <v>1</v>
      </c>
      <c r="AC49" s="44" t="n">
        <f aca="false">AB49</f>
        <v>1</v>
      </c>
      <c r="AD49" s="44" t="n">
        <f aca="false">AC49</f>
        <v>1</v>
      </c>
      <c r="AE49" s="44" t="n">
        <f aca="false">B49</f>
        <v>0.878571428571429</v>
      </c>
      <c r="AF49" s="44" t="n">
        <f aca="false">AE49</f>
        <v>0.878571428571429</v>
      </c>
      <c r="AG49" s="44" t="n">
        <f aca="false">AF49</f>
        <v>0.878571428571429</v>
      </c>
      <c r="AH49" s="44" t="n">
        <f aca="false">AG49</f>
        <v>0.878571428571429</v>
      </c>
      <c r="AI49" s="44" t="n">
        <f aca="false">AH49</f>
        <v>0.878571428571429</v>
      </c>
      <c r="AJ49" s="44" t="n">
        <f aca="false">AI49</f>
        <v>0.878571428571429</v>
      </c>
      <c r="AK49" s="44" t="n">
        <f aca="false">AJ49</f>
        <v>0.878571428571429</v>
      </c>
      <c r="AL49" s="44" t="n">
        <f aca="false">AK49</f>
        <v>0.878571428571429</v>
      </c>
      <c r="AM49" s="44" t="n">
        <f aca="false">AL49</f>
        <v>0.878571428571429</v>
      </c>
      <c r="AN49" s="44" t="n">
        <v>1</v>
      </c>
      <c r="AO49" s="44" t="n">
        <f aca="false">AN49</f>
        <v>1</v>
      </c>
      <c r="AP49" s="44" t="n">
        <f aca="false">AO49</f>
        <v>1</v>
      </c>
      <c r="AQ49" s="44" t="n">
        <f aca="false">AP49</f>
        <v>1</v>
      </c>
      <c r="AR49" s="44" t="n">
        <f aca="false">AQ49</f>
        <v>1</v>
      </c>
      <c r="AS49" s="44" t="n">
        <f aca="false">AR49</f>
        <v>1</v>
      </c>
      <c r="AT49" s="44" t="n">
        <f aca="false">AS49</f>
        <v>1</v>
      </c>
      <c r="AU49" s="44" t="n">
        <f aca="false">AT49</f>
        <v>1</v>
      </c>
      <c r="AV49" s="44" t="n">
        <f aca="false">AU49</f>
        <v>1</v>
      </c>
      <c r="AW49" s="44" t="n">
        <f aca="false">AV49</f>
        <v>1</v>
      </c>
      <c r="AX49" s="44" t="n">
        <f aca="false">B49</f>
        <v>0.878571428571429</v>
      </c>
      <c r="AY49" s="44" t="n">
        <f aca="false">AX49</f>
        <v>0.878571428571429</v>
      </c>
      <c r="AZ49" s="44" t="n">
        <f aca="false">AY49</f>
        <v>0.878571428571429</v>
      </c>
      <c r="BA49" s="44" t="n">
        <v>1</v>
      </c>
      <c r="BB49" s="44" t="n">
        <f aca="false">BA49</f>
        <v>1</v>
      </c>
      <c r="BC49" s="44" t="n">
        <f aca="false">AZ49</f>
        <v>0.878571428571429</v>
      </c>
      <c r="BD49" s="44" t="n">
        <f aca="false">BC49</f>
        <v>0.878571428571429</v>
      </c>
      <c r="BE49" s="44" t="n">
        <v>1</v>
      </c>
      <c r="BF49" s="44" t="n">
        <v>1</v>
      </c>
      <c r="BG49" s="44" t="n">
        <f aca="false">BD49</f>
        <v>0.878571428571429</v>
      </c>
      <c r="BH49" s="44" t="n">
        <f aca="false">BG49</f>
        <v>0.878571428571429</v>
      </c>
      <c r="BI49" s="44" t="n">
        <f aca="false">BH49</f>
        <v>0.878571428571429</v>
      </c>
      <c r="BJ49" s="44" t="n">
        <f aca="false">BI49</f>
        <v>0.878571428571429</v>
      </c>
      <c r="BK49" s="44" t="n">
        <v>1</v>
      </c>
    </row>
    <row r="50" customFormat="false" ht="12.8" hidden="false" customHeight="false" outlineLevel="0" collapsed="false">
      <c r="A50" s="0" t="n">
        <f aca="false">A49-1</f>
        <v>1969</v>
      </c>
      <c r="B50" s="48" t="n">
        <v>0.880487804878049</v>
      </c>
      <c r="C50" s="44" t="n">
        <f aca="false">B50</f>
        <v>0.880487804878049</v>
      </c>
      <c r="D50" s="44" t="n">
        <f aca="false">C50</f>
        <v>0.880487804878049</v>
      </c>
      <c r="E50" s="44" t="n">
        <f aca="false">D50</f>
        <v>0.880487804878049</v>
      </c>
      <c r="F50" s="44" t="n">
        <v>1</v>
      </c>
      <c r="G50" s="44" t="n">
        <f aca="false">F50</f>
        <v>1</v>
      </c>
      <c r="H50" s="44" t="n">
        <f aca="false">G50</f>
        <v>1</v>
      </c>
      <c r="I50" s="44" t="n">
        <f aca="false">H50</f>
        <v>1</v>
      </c>
      <c r="J50" s="44" t="n">
        <f aca="false">I50</f>
        <v>1</v>
      </c>
      <c r="K50" s="44" t="n">
        <f aca="false">J50</f>
        <v>1</v>
      </c>
      <c r="L50" s="44" t="n">
        <f aca="false">B50</f>
        <v>0.880487804878049</v>
      </c>
      <c r="M50" s="44" t="n">
        <f aca="false">L50</f>
        <v>0.880487804878049</v>
      </c>
      <c r="N50" s="44" t="n">
        <f aca="false">M50</f>
        <v>0.880487804878049</v>
      </c>
      <c r="O50" s="44" t="n">
        <f aca="false">N50</f>
        <v>0.880487804878049</v>
      </c>
      <c r="P50" s="44" t="n">
        <f aca="false">O50</f>
        <v>0.880487804878049</v>
      </c>
      <c r="Q50" s="44" t="n">
        <v>1</v>
      </c>
      <c r="R50" s="44" t="n">
        <f aca="false">Q50</f>
        <v>1</v>
      </c>
      <c r="S50" s="44" t="n">
        <f aca="false">R50</f>
        <v>1</v>
      </c>
      <c r="T50" s="44" t="n">
        <f aca="false">S50</f>
        <v>1</v>
      </c>
      <c r="U50" s="44" t="n">
        <f aca="false">T50</f>
        <v>1</v>
      </c>
      <c r="V50" s="44" t="n">
        <f aca="false">U50</f>
        <v>1</v>
      </c>
      <c r="W50" s="44" t="n">
        <f aca="false">V50</f>
        <v>1</v>
      </c>
      <c r="X50" s="44" t="n">
        <f aca="false">W50</f>
        <v>1</v>
      </c>
      <c r="Y50" s="44" t="n">
        <f aca="false">X50</f>
        <v>1</v>
      </c>
      <c r="Z50" s="44" t="n">
        <f aca="false">Y50</f>
        <v>1</v>
      </c>
      <c r="AA50" s="44" t="n">
        <f aca="false">Z50</f>
        <v>1</v>
      </c>
      <c r="AB50" s="44" t="n">
        <f aca="false">AA50</f>
        <v>1</v>
      </c>
      <c r="AC50" s="44" t="n">
        <f aca="false">AB50</f>
        <v>1</v>
      </c>
      <c r="AD50" s="44" t="n">
        <f aca="false">AC50</f>
        <v>1</v>
      </c>
      <c r="AE50" s="44" t="n">
        <f aca="false">B50</f>
        <v>0.880487804878049</v>
      </c>
      <c r="AF50" s="44" t="n">
        <f aca="false">AE50</f>
        <v>0.880487804878049</v>
      </c>
      <c r="AG50" s="44" t="n">
        <f aca="false">AF50</f>
        <v>0.880487804878049</v>
      </c>
      <c r="AH50" s="44" t="n">
        <f aca="false">AG50</f>
        <v>0.880487804878049</v>
      </c>
      <c r="AI50" s="44" t="n">
        <f aca="false">AH50</f>
        <v>0.880487804878049</v>
      </c>
      <c r="AJ50" s="44" t="n">
        <f aca="false">AI50</f>
        <v>0.880487804878049</v>
      </c>
      <c r="AK50" s="44" t="n">
        <f aca="false">AJ50</f>
        <v>0.880487804878049</v>
      </c>
      <c r="AL50" s="44" t="n">
        <f aca="false">AK50</f>
        <v>0.880487804878049</v>
      </c>
      <c r="AM50" s="44" t="n">
        <f aca="false">AL50</f>
        <v>0.880487804878049</v>
      </c>
      <c r="AN50" s="44" t="n">
        <v>1</v>
      </c>
      <c r="AO50" s="44" t="n">
        <f aca="false">AN50</f>
        <v>1</v>
      </c>
      <c r="AP50" s="44" t="n">
        <f aca="false">AO50</f>
        <v>1</v>
      </c>
      <c r="AQ50" s="44" t="n">
        <f aca="false">AP50</f>
        <v>1</v>
      </c>
      <c r="AR50" s="44" t="n">
        <f aca="false">AQ50</f>
        <v>1</v>
      </c>
      <c r="AS50" s="44" t="n">
        <f aca="false">AR50</f>
        <v>1</v>
      </c>
      <c r="AT50" s="44" t="n">
        <f aca="false">AS50</f>
        <v>1</v>
      </c>
      <c r="AU50" s="44" t="n">
        <f aca="false">AT50</f>
        <v>1</v>
      </c>
      <c r="AV50" s="44" t="n">
        <f aca="false">AU50</f>
        <v>1</v>
      </c>
      <c r="AW50" s="44" t="n">
        <f aca="false">AV50</f>
        <v>1</v>
      </c>
      <c r="AX50" s="44" t="n">
        <f aca="false">B50</f>
        <v>0.880487804878049</v>
      </c>
      <c r="AY50" s="44" t="n">
        <f aca="false">AX50</f>
        <v>0.880487804878049</v>
      </c>
      <c r="AZ50" s="44" t="n">
        <f aca="false">AY50</f>
        <v>0.880487804878049</v>
      </c>
      <c r="BA50" s="44" t="n">
        <v>1</v>
      </c>
      <c r="BB50" s="44" t="n">
        <f aca="false">BA50</f>
        <v>1</v>
      </c>
      <c r="BC50" s="44" t="n">
        <f aca="false">AZ50</f>
        <v>0.880487804878049</v>
      </c>
      <c r="BD50" s="44" t="n">
        <f aca="false">BC50</f>
        <v>0.880487804878049</v>
      </c>
      <c r="BE50" s="44" t="n">
        <v>1</v>
      </c>
      <c r="BF50" s="44" t="n">
        <v>1</v>
      </c>
      <c r="BG50" s="44" t="n">
        <f aca="false">BD50</f>
        <v>0.880487804878049</v>
      </c>
      <c r="BH50" s="44" t="n">
        <f aca="false">BG50</f>
        <v>0.880487804878049</v>
      </c>
      <c r="BI50" s="44" t="n">
        <f aca="false">BH50</f>
        <v>0.880487804878049</v>
      </c>
      <c r="BJ50" s="44" t="n">
        <f aca="false">BI50</f>
        <v>0.880487804878049</v>
      </c>
      <c r="BK50" s="44" t="n">
        <v>1</v>
      </c>
    </row>
    <row r="51" customFormat="false" ht="12.8" hidden="false" customHeight="false" outlineLevel="0" collapsed="false">
      <c r="A51" s="0" t="n">
        <f aca="false">A50-1</f>
        <v>1968</v>
      </c>
      <c r="B51" s="48" t="n">
        <v>0.864864864864865</v>
      </c>
      <c r="C51" s="44" t="n">
        <f aca="false">B51</f>
        <v>0.864864864864865</v>
      </c>
      <c r="D51" s="44" t="n">
        <f aca="false">C51</f>
        <v>0.864864864864865</v>
      </c>
      <c r="E51" s="44" t="n">
        <f aca="false">D51</f>
        <v>0.864864864864865</v>
      </c>
      <c r="F51" s="44" t="n">
        <v>1</v>
      </c>
      <c r="G51" s="44" t="n">
        <f aca="false">F51</f>
        <v>1</v>
      </c>
      <c r="H51" s="44" t="n">
        <f aca="false">G51</f>
        <v>1</v>
      </c>
      <c r="I51" s="44" t="n">
        <f aca="false">H51</f>
        <v>1</v>
      </c>
      <c r="J51" s="44" t="n">
        <f aca="false">I51</f>
        <v>1</v>
      </c>
      <c r="K51" s="44" t="n">
        <f aca="false">J51</f>
        <v>1</v>
      </c>
      <c r="L51" s="44" t="n">
        <f aca="false">B51</f>
        <v>0.864864864864865</v>
      </c>
      <c r="M51" s="44" t="n">
        <f aca="false">L51</f>
        <v>0.864864864864865</v>
      </c>
      <c r="N51" s="44" t="n">
        <f aca="false">M51</f>
        <v>0.864864864864865</v>
      </c>
      <c r="O51" s="44" t="n">
        <f aca="false">N51</f>
        <v>0.864864864864865</v>
      </c>
      <c r="P51" s="44" t="n">
        <f aca="false">O51</f>
        <v>0.864864864864865</v>
      </c>
      <c r="Q51" s="44" t="n">
        <v>1</v>
      </c>
      <c r="R51" s="44" t="n">
        <f aca="false">Q51</f>
        <v>1</v>
      </c>
      <c r="S51" s="44" t="n">
        <f aca="false">R51</f>
        <v>1</v>
      </c>
      <c r="T51" s="44" t="n">
        <f aca="false">S51</f>
        <v>1</v>
      </c>
      <c r="U51" s="44" t="n">
        <f aca="false">T51</f>
        <v>1</v>
      </c>
      <c r="V51" s="44" t="n">
        <f aca="false">U51</f>
        <v>1</v>
      </c>
      <c r="W51" s="44" t="n">
        <f aca="false">V51</f>
        <v>1</v>
      </c>
      <c r="X51" s="44" t="n">
        <f aca="false">W51</f>
        <v>1</v>
      </c>
      <c r="Y51" s="44" t="n">
        <f aca="false">X51</f>
        <v>1</v>
      </c>
      <c r="Z51" s="44" t="n">
        <f aca="false">Y51</f>
        <v>1</v>
      </c>
      <c r="AA51" s="44" t="n">
        <f aca="false">Z51</f>
        <v>1</v>
      </c>
      <c r="AB51" s="44" t="n">
        <f aca="false">AA51</f>
        <v>1</v>
      </c>
      <c r="AC51" s="44" t="n">
        <f aca="false">AB51</f>
        <v>1</v>
      </c>
      <c r="AD51" s="44" t="n">
        <f aca="false">AC51</f>
        <v>1</v>
      </c>
      <c r="AE51" s="44" t="n">
        <f aca="false">B51</f>
        <v>0.864864864864865</v>
      </c>
      <c r="AF51" s="44" t="n">
        <f aca="false">AE51</f>
        <v>0.864864864864865</v>
      </c>
      <c r="AG51" s="44" t="n">
        <f aca="false">AF51</f>
        <v>0.864864864864865</v>
      </c>
      <c r="AH51" s="44" t="n">
        <f aca="false">AG51</f>
        <v>0.864864864864865</v>
      </c>
      <c r="AI51" s="44" t="n">
        <f aca="false">AH51</f>
        <v>0.864864864864865</v>
      </c>
      <c r="AJ51" s="44" t="n">
        <f aca="false">AI51</f>
        <v>0.864864864864865</v>
      </c>
      <c r="AK51" s="44" t="n">
        <f aca="false">AJ51</f>
        <v>0.864864864864865</v>
      </c>
      <c r="AL51" s="44" t="n">
        <f aca="false">AK51</f>
        <v>0.864864864864865</v>
      </c>
      <c r="AM51" s="44" t="n">
        <f aca="false">AL51</f>
        <v>0.864864864864865</v>
      </c>
      <c r="AN51" s="44" t="n">
        <v>1</v>
      </c>
      <c r="AO51" s="44" t="n">
        <f aca="false">AN51</f>
        <v>1</v>
      </c>
      <c r="AP51" s="44" t="n">
        <f aca="false">AO51</f>
        <v>1</v>
      </c>
      <c r="AQ51" s="44" t="n">
        <f aca="false">AP51</f>
        <v>1</v>
      </c>
      <c r="AR51" s="44" t="n">
        <f aca="false">AQ51</f>
        <v>1</v>
      </c>
      <c r="AS51" s="44" t="n">
        <f aca="false">AR51</f>
        <v>1</v>
      </c>
      <c r="AT51" s="44" t="n">
        <f aca="false">AS51</f>
        <v>1</v>
      </c>
      <c r="AU51" s="44" t="n">
        <f aca="false">AT51</f>
        <v>1</v>
      </c>
      <c r="AV51" s="44" t="n">
        <f aca="false">AU51</f>
        <v>1</v>
      </c>
      <c r="AW51" s="44" t="n">
        <f aca="false">AV51</f>
        <v>1</v>
      </c>
      <c r="AX51" s="44" t="n">
        <f aca="false">B51</f>
        <v>0.864864864864865</v>
      </c>
      <c r="AY51" s="44" t="n">
        <f aca="false">AX51</f>
        <v>0.864864864864865</v>
      </c>
      <c r="AZ51" s="44" t="n">
        <f aca="false">AY51</f>
        <v>0.864864864864865</v>
      </c>
      <c r="BA51" s="44" t="n">
        <v>1</v>
      </c>
      <c r="BB51" s="44" t="n">
        <f aca="false">BA51</f>
        <v>1</v>
      </c>
      <c r="BC51" s="44" t="n">
        <f aca="false">AZ51</f>
        <v>0.864864864864865</v>
      </c>
      <c r="BD51" s="44" t="n">
        <f aca="false">BC51</f>
        <v>0.864864864864865</v>
      </c>
      <c r="BE51" s="44" t="n">
        <v>1</v>
      </c>
      <c r="BF51" s="44" t="n">
        <v>1</v>
      </c>
      <c r="BG51" s="44" t="n">
        <f aca="false">BD51</f>
        <v>0.864864864864865</v>
      </c>
      <c r="BH51" s="44" t="n">
        <f aca="false">BG51</f>
        <v>0.864864864864865</v>
      </c>
      <c r="BI51" s="44" t="n">
        <f aca="false">BH51</f>
        <v>0.864864864864865</v>
      </c>
      <c r="BJ51" s="44" t="n">
        <f aca="false">BI51</f>
        <v>0.864864864864865</v>
      </c>
      <c r="BK51" s="44" t="n">
        <v>1</v>
      </c>
    </row>
    <row r="52" customFormat="false" ht="12.8" hidden="false" customHeight="false" outlineLevel="0" collapsed="false">
      <c r="A52" s="0" t="n">
        <f aca="false">A51-1</f>
        <v>1967</v>
      </c>
      <c r="B52" s="48" t="n">
        <v>0.886904761904762</v>
      </c>
      <c r="C52" s="44" t="n">
        <f aca="false">B52</f>
        <v>0.886904761904762</v>
      </c>
      <c r="D52" s="44" t="n">
        <f aca="false">C52</f>
        <v>0.886904761904762</v>
      </c>
      <c r="E52" s="44" t="n">
        <f aca="false">D52</f>
        <v>0.886904761904762</v>
      </c>
      <c r="F52" s="44" t="n">
        <v>1</v>
      </c>
      <c r="G52" s="44" t="n">
        <f aca="false">F52</f>
        <v>1</v>
      </c>
      <c r="H52" s="44" t="n">
        <f aca="false">G52</f>
        <v>1</v>
      </c>
      <c r="I52" s="44" t="n">
        <f aca="false">H52</f>
        <v>1</v>
      </c>
      <c r="J52" s="44" t="n">
        <f aca="false">I52</f>
        <v>1</v>
      </c>
      <c r="K52" s="44" t="n">
        <f aca="false">J52</f>
        <v>1</v>
      </c>
      <c r="L52" s="44" t="n">
        <f aca="false">B52</f>
        <v>0.886904761904762</v>
      </c>
      <c r="M52" s="44" t="n">
        <f aca="false">L52</f>
        <v>0.886904761904762</v>
      </c>
      <c r="N52" s="44" t="n">
        <f aca="false">M52</f>
        <v>0.886904761904762</v>
      </c>
      <c r="O52" s="44" t="n">
        <f aca="false">N52</f>
        <v>0.886904761904762</v>
      </c>
      <c r="P52" s="44" t="n">
        <f aca="false">O52</f>
        <v>0.886904761904762</v>
      </c>
      <c r="Q52" s="44" t="n">
        <v>1</v>
      </c>
      <c r="R52" s="44" t="n">
        <f aca="false">Q52</f>
        <v>1</v>
      </c>
      <c r="S52" s="44" t="n">
        <f aca="false">R52</f>
        <v>1</v>
      </c>
      <c r="T52" s="44" t="n">
        <f aca="false">S52</f>
        <v>1</v>
      </c>
      <c r="U52" s="44" t="n">
        <f aca="false">T52</f>
        <v>1</v>
      </c>
      <c r="V52" s="44" t="n">
        <f aca="false">U52</f>
        <v>1</v>
      </c>
      <c r="W52" s="44" t="n">
        <f aca="false">V52</f>
        <v>1</v>
      </c>
      <c r="X52" s="44" t="n">
        <f aca="false">W52</f>
        <v>1</v>
      </c>
      <c r="Y52" s="44" t="n">
        <f aca="false">X52</f>
        <v>1</v>
      </c>
      <c r="Z52" s="44" t="n">
        <f aca="false">Y52</f>
        <v>1</v>
      </c>
      <c r="AA52" s="44" t="n">
        <f aca="false">Z52</f>
        <v>1</v>
      </c>
      <c r="AB52" s="44" t="n">
        <f aca="false">AA52</f>
        <v>1</v>
      </c>
      <c r="AC52" s="44" t="n">
        <f aca="false">AB52</f>
        <v>1</v>
      </c>
      <c r="AD52" s="44" t="n">
        <f aca="false">AC52</f>
        <v>1</v>
      </c>
      <c r="AE52" s="44" t="n">
        <f aca="false">B52</f>
        <v>0.886904761904762</v>
      </c>
      <c r="AF52" s="44" t="n">
        <f aca="false">AE52</f>
        <v>0.886904761904762</v>
      </c>
      <c r="AG52" s="44" t="n">
        <f aca="false">AF52</f>
        <v>0.886904761904762</v>
      </c>
      <c r="AH52" s="44" t="n">
        <f aca="false">AG52</f>
        <v>0.886904761904762</v>
      </c>
      <c r="AI52" s="44" t="n">
        <f aca="false">AH52</f>
        <v>0.886904761904762</v>
      </c>
      <c r="AJ52" s="44" t="n">
        <f aca="false">AI52</f>
        <v>0.886904761904762</v>
      </c>
      <c r="AK52" s="44" t="n">
        <f aca="false">AJ52</f>
        <v>0.886904761904762</v>
      </c>
      <c r="AL52" s="44" t="n">
        <f aca="false">AK52</f>
        <v>0.886904761904762</v>
      </c>
      <c r="AM52" s="44" t="n">
        <f aca="false">AL52</f>
        <v>0.886904761904762</v>
      </c>
      <c r="AN52" s="44" t="n">
        <v>1</v>
      </c>
      <c r="AO52" s="44" t="n">
        <f aca="false">AN52</f>
        <v>1</v>
      </c>
      <c r="AP52" s="44" t="n">
        <f aca="false">AO52</f>
        <v>1</v>
      </c>
      <c r="AQ52" s="44" t="n">
        <f aca="false">AP52</f>
        <v>1</v>
      </c>
      <c r="AR52" s="44" t="n">
        <f aca="false">AQ52</f>
        <v>1</v>
      </c>
      <c r="AS52" s="44" t="n">
        <f aca="false">AR52</f>
        <v>1</v>
      </c>
      <c r="AT52" s="44" t="n">
        <f aca="false">AS52</f>
        <v>1</v>
      </c>
      <c r="AU52" s="44" t="n">
        <f aca="false">AT52</f>
        <v>1</v>
      </c>
      <c r="AV52" s="44" t="n">
        <f aca="false">AU52</f>
        <v>1</v>
      </c>
      <c r="AW52" s="44" t="n">
        <f aca="false">AV52</f>
        <v>1</v>
      </c>
      <c r="AX52" s="44" t="n">
        <f aca="false">B52</f>
        <v>0.886904761904762</v>
      </c>
      <c r="AY52" s="44" t="n">
        <f aca="false">AX52</f>
        <v>0.886904761904762</v>
      </c>
      <c r="AZ52" s="44" t="n">
        <f aca="false">AY52</f>
        <v>0.886904761904762</v>
      </c>
      <c r="BA52" s="44" t="n">
        <v>1</v>
      </c>
      <c r="BB52" s="44" t="n">
        <f aca="false">BA52</f>
        <v>1</v>
      </c>
      <c r="BC52" s="44" t="n">
        <f aca="false">AZ52</f>
        <v>0.886904761904762</v>
      </c>
      <c r="BD52" s="44" t="n">
        <f aca="false">BC52</f>
        <v>0.886904761904762</v>
      </c>
      <c r="BE52" s="44" t="n">
        <v>1</v>
      </c>
      <c r="BF52" s="44" t="n">
        <v>1</v>
      </c>
      <c r="BG52" s="44" t="n">
        <f aca="false">BD52</f>
        <v>0.886904761904762</v>
      </c>
      <c r="BH52" s="44" t="n">
        <f aca="false">BG52</f>
        <v>0.886904761904762</v>
      </c>
      <c r="BI52" s="44" t="n">
        <f aca="false">BH52</f>
        <v>0.886904761904762</v>
      </c>
      <c r="BJ52" s="44" t="n">
        <f aca="false">BI52</f>
        <v>0.886904761904762</v>
      </c>
      <c r="BK52" s="44" t="n">
        <v>1</v>
      </c>
    </row>
    <row r="53" customFormat="false" ht="12.8" hidden="false" customHeight="false" outlineLevel="0" collapsed="false">
      <c r="A53" s="0" t="n">
        <f aca="false">A52-1</f>
        <v>1966</v>
      </c>
      <c r="B53" s="48" t="n">
        <v>0.868421052631579</v>
      </c>
      <c r="C53" s="44" t="n">
        <f aca="false">B53</f>
        <v>0.868421052631579</v>
      </c>
      <c r="D53" s="44" t="n">
        <f aca="false">C53</f>
        <v>0.868421052631579</v>
      </c>
      <c r="E53" s="44" t="n">
        <f aca="false">D53</f>
        <v>0.868421052631579</v>
      </c>
      <c r="F53" s="44" t="n">
        <v>1</v>
      </c>
      <c r="G53" s="44" t="n">
        <f aca="false">F53</f>
        <v>1</v>
      </c>
      <c r="H53" s="44" t="n">
        <f aca="false">G53</f>
        <v>1</v>
      </c>
      <c r="I53" s="44" t="n">
        <f aca="false">H53</f>
        <v>1</v>
      </c>
      <c r="J53" s="44" t="n">
        <f aca="false">I53</f>
        <v>1</v>
      </c>
      <c r="K53" s="44" t="n">
        <f aca="false">J53</f>
        <v>1</v>
      </c>
      <c r="L53" s="44" t="n">
        <f aca="false">B53</f>
        <v>0.868421052631579</v>
      </c>
      <c r="M53" s="44" t="n">
        <f aca="false">L53</f>
        <v>0.868421052631579</v>
      </c>
      <c r="N53" s="44" t="n">
        <f aca="false">M53</f>
        <v>0.868421052631579</v>
      </c>
      <c r="O53" s="44" t="n">
        <f aca="false">N53</f>
        <v>0.868421052631579</v>
      </c>
      <c r="P53" s="44" t="n">
        <f aca="false">O53</f>
        <v>0.868421052631579</v>
      </c>
      <c r="Q53" s="44" t="n">
        <v>1</v>
      </c>
      <c r="R53" s="44" t="n">
        <f aca="false">Q53</f>
        <v>1</v>
      </c>
      <c r="S53" s="44" t="n">
        <f aca="false">R53</f>
        <v>1</v>
      </c>
      <c r="T53" s="44" t="n">
        <f aca="false">S53</f>
        <v>1</v>
      </c>
      <c r="U53" s="44" t="n">
        <f aca="false">T53</f>
        <v>1</v>
      </c>
      <c r="V53" s="44" t="n">
        <f aca="false">U53</f>
        <v>1</v>
      </c>
      <c r="W53" s="44" t="n">
        <f aca="false">V53</f>
        <v>1</v>
      </c>
      <c r="X53" s="44" t="n">
        <f aca="false">W53</f>
        <v>1</v>
      </c>
      <c r="Y53" s="44" t="n">
        <f aca="false">X53</f>
        <v>1</v>
      </c>
      <c r="Z53" s="44" t="n">
        <f aca="false">Y53</f>
        <v>1</v>
      </c>
      <c r="AA53" s="44" t="n">
        <f aca="false">Z53</f>
        <v>1</v>
      </c>
      <c r="AB53" s="44" t="n">
        <f aca="false">AA53</f>
        <v>1</v>
      </c>
      <c r="AC53" s="44" t="n">
        <f aca="false">AB53</f>
        <v>1</v>
      </c>
      <c r="AD53" s="44" t="n">
        <f aca="false">AC53</f>
        <v>1</v>
      </c>
      <c r="AE53" s="44" t="n">
        <f aca="false">B53</f>
        <v>0.868421052631579</v>
      </c>
      <c r="AF53" s="44" t="n">
        <f aca="false">AE53</f>
        <v>0.868421052631579</v>
      </c>
      <c r="AG53" s="44" t="n">
        <f aca="false">AF53</f>
        <v>0.868421052631579</v>
      </c>
      <c r="AH53" s="44" t="n">
        <f aca="false">AG53</f>
        <v>0.868421052631579</v>
      </c>
      <c r="AI53" s="44" t="n">
        <f aca="false">AH53</f>
        <v>0.868421052631579</v>
      </c>
      <c r="AJ53" s="44" t="n">
        <f aca="false">AI53</f>
        <v>0.868421052631579</v>
      </c>
      <c r="AK53" s="44" t="n">
        <f aca="false">AJ53</f>
        <v>0.868421052631579</v>
      </c>
      <c r="AL53" s="44" t="n">
        <f aca="false">AK53</f>
        <v>0.868421052631579</v>
      </c>
      <c r="AM53" s="44" t="n">
        <f aca="false">AL53</f>
        <v>0.868421052631579</v>
      </c>
      <c r="AN53" s="44" t="n">
        <v>1</v>
      </c>
      <c r="AO53" s="44" t="n">
        <f aca="false">AN53</f>
        <v>1</v>
      </c>
      <c r="AP53" s="44" t="n">
        <f aca="false">AO53</f>
        <v>1</v>
      </c>
      <c r="AQ53" s="44" t="n">
        <f aca="false">AP53</f>
        <v>1</v>
      </c>
      <c r="AR53" s="44" t="n">
        <f aca="false">AQ53</f>
        <v>1</v>
      </c>
      <c r="AS53" s="44" t="n">
        <f aca="false">AR53</f>
        <v>1</v>
      </c>
      <c r="AT53" s="44" t="n">
        <f aca="false">AS53</f>
        <v>1</v>
      </c>
      <c r="AU53" s="44" t="n">
        <f aca="false">AT53</f>
        <v>1</v>
      </c>
      <c r="AV53" s="44" t="n">
        <f aca="false">AU53</f>
        <v>1</v>
      </c>
      <c r="AW53" s="44" t="n">
        <f aca="false">AV53</f>
        <v>1</v>
      </c>
      <c r="AX53" s="44" t="n">
        <f aca="false">B53</f>
        <v>0.868421052631579</v>
      </c>
      <c r="AY53" s="44" t="n">
        <f aca="false">AX53</f>
        <v>0.868421052631579</v>
      </c>
      <c r="AZ53" s="44" t="n">
        <f aca="false">AY53</f>
        <v>0.868421052631579</v>
      </c>
      <c r="BA53" s="44" t="n">
        <v>1</v>
      </c>
      <c r="BB53" s="44" t="n">
        <f aca="false">BA53</f>
        <v>1</v>
      </c>
      <c r="BC53" s="44" t="n">
        <f aca="false">AZ53</f>
        <v>0.868421052631579</v>
      </c>
      <c r="BD53" s="44" t="n">
        <f aca="false">BC53</f>
        <v>0.868421052631579</v>
      </c>
      <c r="BE53" s="44" t="n">
        <v>1</v>
      </c>
      <c r="BF53" s="44" t="n">
        <v>1</v>
      </c>
      <c r="BG53" s="44" t="n">
        <f aca="false">BD53</f>
        <v>0.868421052631579</v>
      </c>
      <c r="BH53" s="44" t="n">
        <f aca="false">BG53</f>
        <v>0.868421052631579</v>
      </c>
      <c r="BI53" s="44" t="n">
        <f aca="false">BH53</f>
        <v>0.868421052631579</v>
      </c>
      <c r="BJ53" s="44" t="n">
        <f aca="false">BI53</f>
        <v>0.868421052631579</v>
      </c>
      <c r="BK53" s="44" t="n">
        <v>1</v>
      </c>
    </row>
    <row r="54" customFormat="false" ht="12.8" hidden="false" customHeight="false" outlineLevel="0" collapsed="false">
      <c r="A54" s="0" t="n">
        <f aca="false">A53-1</f>
        <v>1965</v>
      </c>
      <c r="B54" s="48" t="n">
        <v>0.897727272727273</v>
      </c>
      <c r="C54" s="44" t="n">
        <f aca="false">B54</f>
        <v>0.897727272727273</v>
      </c>
      <c r="D54" s="44" t="n">
        <f aca="false">C54</f>
        <v>0.897727272727273</v>
      </c>
      <c r="E54" s="44" t="n">
        <f aca="false">D54</f>
        <v>0.897727272727273</v>
      </c>
      <c r="F54" s="44" t="n">
        <v>1</v>
      </c>
      <c r="G54" s="44" t="n">
        <f aca="false">F54</f>
        <v>1</v>
      </c>
      <c r="H54" s="44" t="n">
        <f aca="false">G54</f>
        <v>1</v>
      </c>
      <c r="I54" s="44" t="n">
        <f aca="false">H54</f>
        <v>1</v>
      </c>
      <c r="J54" s="44" t="n">
        <f aca="false">I54</f>
        <v>1</v>
      </c>
      <c r="K54" s="44" t="n">
        <f aca="false">J54</f>
        <v>1</v>
      </c>
      <c r="L54" s="44" t="n">
        <f aca="false">B54</f>
        <v>0.897727272727273</v>
      </c>
      <c r="M54" s="44" t="n">
        <f aca="false">L54</f>
        <v>0.897727272727273</v>
      </c>
      <c r="N54" s="44" t="n">
        <f aca="false">M54</f>
        <v>0.897727272727273</v>
      </c>
      <c r="O54" s="44" t="n">
        <f aca="false">N54</f>
        <v>0.897727272727273</v>
      </c>
      <c r="P54" s="44" t="n">
        <f aca="false">O54</f>
        <v>0.897727272727273</v>
      </c>
      <c r="Q54" s="44" t="n">
        <v>1</v>
      </c>
      <c r="R54" s="44" t="n">
        <f aca="false">Q54</f>
        <v>1</v>
      </c>
      <c r="S54" s="44" t="n">
        <f aca="false">R54</f>
        <v>1</v>
      </c>
      <c r="T54" s="44" t="n">
        <f aca="false">S54</f>
        <v>1</v>
      </c>
      <c r="U54" s="44" t="n">
        <f aca="false">T54</f>
        <v>1</v>
      </c>
      <c r="V54" s="44" t="n">
        <f aca="false">U54</f>
        <v>1</v>
      </c>
      <c r="W54" s="44" t="n">
        <f aca="false">V54</f>
        <v>1</v>
      </c>
      <c r="X54" s="44" t="n">
        <f aca="false">W54</f>
        <v>1</v>
      </c>
      <c r="Y54" s="44" t="n">
        <f aca="false">X54</f>
        <v>1</v>
      </c>
      <c r="Z54" s="44" t="n">
        <f aca="false">Y54</f>
        <v>1</v>
      </c>
      <c r="AA54" s="44" t="n">
        <f aca="false">Z54</f>
        <v>1</v>
      </c>
      <c r="AB54" s="44" t="n">
        <f aca="false">AA54</f>
        <v>1</v>
      </c>
      <c r="AC54" s="44" t="n">
        <f aca="false">AB54</f>
        <v>1</v>
      </c>
      <c r="AD54" s="44" t="n">
        <f aca="false">AC54</f>
        <v>1</v>
      </c>
      <c r="AE54" s="44" t="n">
        <f aca="false">B54</f>
        <v>0.897727272727273</v>
      </c>
      <c r="AF54" s="44" t="n">
        <f aca="false">AE54</f>
        <v>0.897727272727273</v>
      </c>
      <c r="AG54" s="44" t="n">
        <f aca="false">AF54</f>
        <v>0.897727272727273</v>
      </c>
      <c r="AH54" s="44" t="n">
        <f aca="false">AG54</f>
        <v>0.897727272727273</v>
      </c>
      <c r="AI54" s="44" t="n">
        <f aca="false">AH54</f>
        <v>0.897727272727273</v>
      </c>
      <c r="AJ54" s="44" t="n">
        <f aca="false">AI54</f>
        <v>0.897727272727273</v>
      </c>
      <c r="AK54" s="44" t="n">
        <f aca="false">AJ54</f>
        <v>0.897727272727273</v>
      </c>
      <c r="AL54" s="44" t="n">
        <f aca="false">AK54</f>
        <v>0.897727272727273</v>
      </c>
      <c r="AM54" s="44" t="n">
        <f aca="false">AL54</f>
        <v>0.897727272727273</v>
      </c>
      <c r="AN54" s="44" t="n">
        <v>1</v>
      </c>
      <c r="AO54" s="44" t="n">
        <f aca="false">AN54</f>
        <v>1</v>
      </c>
      <c r="AP54" s="44" t="n">
        <f aca="false">AO54</f>
        <v>1</v>
      </c>
      <c r="AQ54" s="44" t="n">
        <f aca="false">AP54</f>
        <v>1</v>
      </c>
      <c r="AR54" s="44" t="n">
        <f aca="false">AQ54</f>
        <v>1</v>
      </c>
      <c r="AS54" s="44" t="n">
        <f aca="false">AR54</f>
        <v>1</v>
      </c>
      <c r="AT54" s="44" t="n">
        <f aca="false">AS54</f>
        <v>1</v>
      </c>
      <c r="AU54" s="44" t="n">
        <f aca="false">AT54</f>
        <v>1</v>
      </c>
      <c r="AV54" s="44" t="n">
        <f aca="false">AU54</f>
        <v>1</v>
      </c>
      <c r="AW54" s="44" t="n">
        <f aca="false">AV54</f>
        <v>1</v>
      </c>
      <c r="AX54" s="44" t="n">
        <f aca="false">B54</f>
        <v>0.897727272727273</v>
      </c>
      <c r="AY54" s="44" t="n">
        <f aca="false">AX54</f>
        <v>0.897727272727273</v>
      </c>
      <c r="AZ54" s="44" t="n">
        <f aca="false">AY54</f>
        <v>0.897727272727273</v>
      </c>
      <c r="BA54" s="44" t="n">
        <v>1</v>
      </c>
      <c r="BB54" s="44" t="n">
        <f aca="false">BA54</f>
        <v>1</v>
      </c>
      <c r="BC54" s="44" t="n">
        <f aca="false">AZ54</f>
        <v>0.897727272727273</v>
      </c>
      <c r="BD54" s="44" t="n">
        <f aca="false">BC54</f>
        <v>0.897727272727273</v>
      </c>
      <c r="BE54" s="44" t="n">
        <v>1</v>
      </c>
      <c r="BF54" s="44" t="n">
        <v>1</v>
      </c>
      <c r="BG54" s="44" t="n">
        <f aca="false">BD54</f>
        <v>0.897727272727273</v>
      </c>
      <c r="BH54" s="44" t="n">
        <f aca="false">BG54</f>
        <v>0.897727272727273</v>
      </c>
      <c r="BI54" s="44" t="n">
        <f aca="false">BH54</f>
        <v>0.897727272727273</v>
      </c>
      <c r="BJ54" s="44" t="n">
        <f aca="false">BI54</f>
        <v>0.897727272727273</v>
      </c>
      <c r="BK54" s="44" t="n">
        <v>1</v>
      </c>
    </row>
    <row r="55" customFormat="false" ht="12.8" hidden="false" customHeight="false" outlineLevel="0" collapsed="false">
      <c r="A55" s="0" t="n">
        <f aca="false">A54-1</f>
        <v>1964</v>
      </c>
      <c r="B55" s="48" t="n">
        <v>0.905660377358491</v>
      </c>
      <c r="C55" s="44" t="n">
        <f aca="false">B55</f>
        <v>0.905660377358491</v>
      </c>
      <c r="D55" s="44" t="n">
        <f aca="false">C55</f>
        <v>0.905660377358491</v>
      </c>
      <c r="E55" s="44" t="n">
        <f aca="false">D55</f>
        <v>0.905660377358491</v>
      </c>
      <c r="F55" s="44" t="n">
        <v>1</v>
      </c>
      <c r="G55" s="44" t="n">
        <f aca="false">F55</f>
        <v>1</v>
      </c>
      <c r="H55" s="44" t="n">
        <f aca="false">G55</f>
        <v>1</v>
      </c>
      <c r="I55" s="44" t="n">
        <f aca="false">H55</f>
        <v>1</v>
      </c>
      <c r="J55" s="44" t="n">
        <f aca="false">I55</f>
        <v>1</v>
      </c>
      <c r="K55" s="44" t="n">
        <f aca="false">J55</f>
        <v>1</v>
      </c>
      <c r="L55" s="44" t="n">
        <f aca="false">B55</f>
        <v>0.905660377358491</v>
      </c>
      <c r="M55" s="44" t="n">
        <f aca="false">L55</f>
        <v>0.905660377358491</v>
      </c>
      <c r="N55" s="44" t="n">
        <f aca="false">M55</f>
        <v>0.905660377358491</v>
      </c>
      <c r="O55" s="44" t="n">
        <f aca="false">N55</f>
        <v>0.905660377358491</v>
      </c>
      <c r="P55" s="44" t="n">
        <f aca="false">O55</f>
        <v>0.905660377358491</v>
      </c>
      <c r="Q55" s="44" t="n">
        <v>1</v>
      </c>
      <c r="R55" s="44" t="n">
        <f aca="false">Q55</f>
        <v>1</v>
      </c>
      <c r="S55" s="44" t="n">
        <f aca="false">R55</f>
        <v>1</v>
      </c>
      <c r="T55" s="44" t="n">
        <f aca="false">S55</f>
        <v>1</v>
      </c>
      <c r="U55" s="44" t="n">
        <f aca="false">T55</f>
        <v>1</v>
      </c>
      <c r="V55" s="44" t="n">
        <f aca="false">U55</f>
        <v>1</v>
      </c>
      <c r="W55" s="44" t="n">
        <f aca="false">V55</f>
        <v>1</v>
      </c>
      <c r="X55" s="44" t="n">
        <f aca="false">W55</f>
        <v>1</v>
      </c>
      <c r="Y55" s="44" t="n">
        <f aca="false">X55</f>
        <v>1</v>
      </c>
      <c r="Z55" s="44" t="n">
        <f aca="false">Y55</f>
        <v>1</v>
      </c>
      <c r="AA55" s="44" t="n">
        <f aca="false">Z55</f>
        <v>1</v>
      </c>
      <c r="AB55" s="44" t="n">
        <f aca="false">AA55</f>
        <v>1</v>
      </c>
      <c r="AC55" s="44" t="n">
        <f aca="false">AB55</f>
        <v>1</v>
      </c>
      <c r="AD55" s="44" t="n">
        <f aca="false">AC55</f>
        <v>1</v>
      </c>
      <c r="AE55" s="44" t="n">
        <f aca="false">B55</f>
        <v>0.905660377358491</v>
      </c>
      <c r="AF55" s="44" t="n">
        <f aca="false">AE55</f>
        <v>0.905660377358491</v>
      </c>
      <c r="AG55" s="44" t="n">
        <f aca="false">AF55</f>
        <v>0.905660377358491</v>
      </c>
      <c r="AH55" s="44" t="n">
        <f aca="false">AG55</f>
        <v>0.905660377358491</v>
      </c>
      <c r="AI55" s="44" t="n">
        <f aca="false">AH55</f>
        <v>0.905660377358491</v>
      </c>
      <c r="AJ55" s="44" t="n">
        <f aca="false">AI55</f>
        <v>0.905660377358491</v>
      </c>
      <c r="AK55" s="44" t="n">
        <f aca="false">AJ55</f>
        <v>0.905660377358491</v>
      </c>
      <c r="AL55" s="44" t="n">
        <f aca="false">AK55</f>
        <v>0.905660377358491</v>
      </c>
      <c r="AM55" s="44" t="n">
        <f aca="false">AL55</f>
        <v>0.905660377358491</v>
      </c>
      <c r="AN55" s="44" t="n">
        <v>1</v>
      </c>
      <c r="AO55" s="44" t="n">
        <f aca="false">AN55</f>
        <v>1</v>
      </c>
      <c r="AP55" s="44" t="n">
        <f aca="false">AO55</f>
        <v>1</v>
      </c>
      <c r="AQ55" s="44" t="n">
        <f aca="false">AP55</f>
        <v>1</v>
      </c>
      <c r="AR55" s="44" t="n">
        <f aca="false">AQ55</f>
        <v>1</v>
      </c>
      <c r="AS55" s="44" t="n">
        <f aca="false">AR55</f>
        <v>1</v>
      </c>
      <c r="AT55" s="44" t="n">
        <f aca="false">AS55</f>
        <v>1</v>
      </c>
      <c r="AU55" s="44" t="n">
        <f aca="false">AT55</f>
        <v>1</v>
      </c>
      <c r="AV55" s="44" t="n">
        <f aca="false">AU55</f>
        <v>1</v>
      </c>
      <c r="AW55" s="44" t="n">
        <f aca="false">AV55</f>
        <v>1</v>
      </c>
      <c r="AX55" s="44" t="n">
        <f aca="false">B55</f>
        <v>0.905660377358491</v>
      </c>
      <c r="AY55" s="44" t="n">
        <f aca="false">AX55</f>
        <v>0.905660377358491</v>
      </c>
      <c r="AZ55" s="44" t="n">
        <f aca="false">AY55</f>
        <v>0.905660377358491</v>
      </c>
      <c r="BA55" s="44" t="n">
        <v>1</v>
      </c>
      <c r="BB55" s="44" t="n">
        <f aca="false">BA55</f>
        <v>1</v>
      </c>
      <c r="BC55" s="44" t="n">
        <f aca="false">AZ55</f>
        <v>0.905660377358491</v>
      </c>
      <c r="BD55" s="44" t="n">
        <f aca="false">BC55</f>
        <v>0.905660377358491</v>
      </c>
      <c r="BE55" s="44" t="n">
        <v>1</v>
      </c>
      <c r="BF55" s="44" t="n">
        <v>1</v>
      </c>
      <c r="BG55" s="44" t="n">
        <f aca="false">BD55</f>
        <v>0.905660377358491</v>
      </c>
      <c r="BH55" s="44" t="n">
        <f aca="false">BG55</f>
        <v>0.905660377358491</v>
      </c>
      <c r="BI55" s="44" t="n">
        <f aca="false">BH55</f>
        <v>0.905660377358491</v>
      </c>
      <c r="BJ55" s="44" t="n">
        <f aca="false">BI55</f>
        <v>0.905660377358491</v>
      </c>
      <c r="BK55" s="44" t="n">
        <v>1</v>
      </c>
    </row>
    <row r="56" customFormat="false" ht="12.8" hidden="false" customHeight="false" outlineLevel="0" collapsed="false">
      <c r="A56" s="0" t="n">
        <f aca="false">A55-1</f>
        <v>1963</v>
      </c>
      <c r="B56" s="48" t="n">
        <v>0.916666666666667</v>
      </c>
      <c r="C56" s="44" t="n">
        <f aca="false">B56</f>
        <v>0.916666666666667</v>
      </c>
      <c r="D56" s="44" t="n">
        <f aca="false">C56</f>
        <v>0.916666666666667</v>
      </c>
      <c r="E56" s="44" t="n">
        <f aca="false">D56</f>
        <v>0.916666666666667</v>
      </c>
      <c r="F56" s="44" t="n">
        <v>1</v>
      </c>
      <c r="G56" s="44" t="n">
        <f aca="false">F56</f>
        <v>1</v>
      </c>
      <c r="H56" s="44" t="n">
        <f aca="false">G56</f>
        <v>1</v>
      </c>
      <c r="I56" s="44" t="n">
        <f aca="false">H56</f>
        <v>1</v>
      </c>
      <c r="J56" s="44" t="n">
        <f aca="false">I56</f>
        <v>1</v>
      </c>
      <c r="K56" s="44" t="n">
        <f aca="false">J56</f>
        <v>1</v>
      </c>
      <c r="L56" s="44" t="n">
        <f aca="false">B56</f>
        <v>0.916666666666667</v>
      </c>
      <c r="M56" s="44" t="n">
        <f aca="false">L56</f>
        <v>0.916666666666667</v>
      </c>
      <c r="N56" s="44" t="n">
        <f aca="false">M56</f>
        <v>0.916666666666667</v>
      </c>
      <c r="O56" s="44" t="n">
        <f aca="false">N56</f>
        <v>0.916666666666667</v>
      </c>
      <c r="P56" s="44" t="n">
        <f aca="false">O56</f>
        <v>0.916666666666667</v>
      </c>
      <c r="Q56" s="44" t="n">
        <v>1</v>
      </c>
      <c r="R56" s="44" t="n">
        <f aca="false">Q56</f>
        <v>1</v>
      </c>
      <c r="S56" s="44" t="n">
        <f aca="false">R56</f>
        <v>1</v>
      </c>
      <c r="T56" s="44" t="n">
        <f aca="false">S56</f>
        <v>1</v>
      </c>
      <c r="U56" s="44" t="n">
        <f aca="false">T56</f>
        <v>1</v>
      </c>
      <c r="V56" s="44" t="n">
        <f aca="false">U56</f>
        <v>1</v>
      </c>
      <c r="W56" s="44" t="n">
        <f aca="false">V56</f>
        <v>1</v>
      </c>
      <c r="X56" s="44" t="n">
        <f aca="false">W56</f>
        <v>1</v>
      </c>
      <c r="Y56" s="44" t="n">
        <f aca="false">X56</f>
        <v>1</v>
      </c>
      <c r="Z56" s="44" t="n">
        <f aca="false">Y56</f>
        <v>1</v>
      </c>
      <c r="AA56" s="44" t="n">
        <f aca="false">Z56</f>
        <v>1</v>
      </c>
      <c r="AB56" s="44" t="n">
        <f aca="false">AA56</f>
        <v>1</v>
      </c>
      <c r="AC56" s="44" t="n">
        <f aca="false">AB56</f>
        <v>1</v>
      </c>
      <c r="AD56" s="44" t="n">
        <f aca="false">AC56</f>
        <v>1</v>
      </c>
      <c r="AE56" s="44" t="n">
        <f aca="false">B56</f>
        <v>0.916666666666667</v>
      </c>
      <c r="AF56" s="44" t="n">
        <f aca="false">AE56</f>
        <v>0.916666666666667</v>
      </c>
      <c r="AG56" s="44" t="n">
        <f aca="false">AF56</f>
        <v>0.916666666666667</v>
      </c>
      <c r="AH56" s="44" t="n">
        <f aca="false">AG56</f>
        <v>0.916666666666667</v>
      </c>
      <c r="AI56" s="44" t="n">
        <f aca="false">AH56</f>
        <v>0.916666666666667</v>
      </c>
      <c r="AJ56" s="44" t="n">
        <f aca="false">AI56</f>
        <v>0.916666666666667</v>
      </c>
      <c r="AK56" s="44" t="n">
        <f aca="false">AJ56</f>
        <v>0.916666666666667</v>
      </c>
      <c r="AL56" s="44" t="n">
        <f aca="false">AK56</f>
        <v>0.916666666666667</v>
      </c>
      <c r="AM56" s="44" t="n">
        <f aca="false">AL56</f>
        <v>0.916666666666667</v>
      </c>
      <c r="AN56" s="44" t="n">
        <v>1</v>
      </c>
      <c r="AO56" s="44" t="n">
        <f aca="false">AN56</f>
        <v>1</v>
      </c>
      <c r="AP56" s="44" t="n">
        <f aca="false">AO56</f>
        <v>1</v>
      </c>
      <c r="AQ56" s="44" t="n">
        <f aca="false">AP56</f>
        <v>1</v>
      </c>
      <c r="AR56" s="44" t="n">
        <f aca="false">AQ56</f>
        <v>1</v>
      </c>
      <c r="AS56" s="44" t="n">
        <f aca="false">AR56</f>
        <v>1</v>
      </c>
      <c r="AT56" s="44" t="n">
        <f aca="false">AS56</f>
        <v>1</v>
      </c>
      <c r="AU56" s="44" t="n">
        <f aca="false">AT56</f>
        <v>1</v>
      </c>
      <c r="AV56" s="44" t="n">
        <f aca="false">AU56</f>
        <v>1</v>
      </c>
      <c r="AW56" s="44" t="n">
        <f aca="false">AV56</f>
        <v>1</v>
      </c>
      <c r="AX56" s="44" t="n">
        <f aca="false">B56</f>
        <v>0.916666666666667</v>
      </c>
      <c r="AY56" s="44" t="n">
        <f aca="false">AX56</f>
        <v>0.916666666666667</v>
      </c>
      <c r="AZ56" s="44" t="n">
        <f aca="false">AY56</f>
        <v>0.916666666666667</v>
      </c>
      <c r="BA56" s="44" t="n">
        <v>1</v>
      </c>
      <c r="BB56" s="44" t="n">
        <f aca="false">BA56</f>
        <v>1</v>
      </c>
      <c r="BC56" s="44" t="n">
        <f aca="false">AZ56</f>
        <v>0.916666666666667</v>
      </c>
      <c r="BD56" s="44" t="n">
        <f aca="false">BC56</f>
        <v>0.916666666666667</v>
      </c>
      <c r="BE56" s="44" t="n">
        <v>1</v>
      </c>
      <c r="BF56" s="44" t="n">
        <v>1</v>
      </c>
      <c r="BG56" s="44" t="n">
        <f aca="false">BD56</f>
        <v>0.916666666666667</v>
      </c>
      <c r="BH56" s="44" t="n">
        <f aca="false">BG56</f>
        <v>0.916666666666667</v>
      </c>
      <c r="BI56" s="44" t="n">
        <f aca="false">BH56</f>
        <v>0.916666666666667</v>
      </c>
      <c r="BJ56" s="44" t="n">
        <f aca="false">BI56</f>
        <v>0.916666666666667</v>
      </c>
      <c r="BK56" s="44" t="n">
        <v>1</v>
      </c>
    </row>
    <row r="57" customFormat="false" ht="12.8" hidden="false" customHeight="false" outlineLevel="0" collapsed="false">
      <c r="A57" s="0" t="n">
        <f aca="false">A56-1</f>
        <v>1962</v>
      </c>
      <c r="B57" s="48" t="n">
        <v>0.909090909090909</v>
      </c>
      <c r="C57" s="44" t="n">
        <f aca="false">B57</f>
        <v>0.909090909090909</v>
      </c>
      <c r="D57" s="44" t="n">
        <f aca="false">C57</f>
        <v>0.909090909090909</v>
      </c>
      <c r="E57" s="44" t="n">
        <f aca="false">D57</f>
        <v>0.909090909090909</v>
      </c>
      <c r="F57" s="44" t="n">
        <v>1</v>
      </c>
      <c r="G57" s="44" t="n">
        <f aca="false">F57</f>
        <v>1</v>
      </c>
      <c r="H57" s="44" t="n">
        <f aca="false">G57</f>
        <v>1</v>
      </c>
      <c r="I57" s="44" t="n">
        <f aca="false">H57</f>
        <v>1</v>
      </c>
      <c r="J57" s="44" t="n">
        <f aca="false">I57</f>
        <v>1</v>
      </c>
      <c r="K57" s="44" t="n">
        <f aca="false">J57</f>
        <v>1</v>
      </c>
      <c r="L57" s="44" t="n">
        <f aca="false">B57</f>
        <v>0.909090909090909</v>
      </c>
      <c r="M57" s="44" t="n">
        <f aca="false">L57</f>
        <v>0.909090909090909</v>
      </c>
      <c r="N57" s="44" t="n">
        <f aca="false">M57</f>
        <v>0.909090909090909</v>
      </c>
      <c r="O57" s="44" t="n">
        <f aca="false">N57</f>
        <v>0.909090909090909</v>
      </c>
      <c r="P57" s="44" t="n">
        <f aca="false">O57</f>
        <v>0.909090909090909</v>
      </c>
      <c r="Q57" s="44" t="n">
        <v>1</v>
      </c>
      <c r="R57" s="44" t="n">
        <f aca="false">Q57</f>
        <v>1</v>
      </c>
      <c r="S57" s="44" t="n">
        <f aca="false">R57</f>
        <v>1</v>
      </c>
      <c r="T57" s="44" t="n">
        <f aca="false">S57</f>
        <v>1</v>
      </c>
      <c r="U57" s="44" t="n">
        <f aca="false">T57</f>
        <v>1</v>
      </c>
      <c r="V57" s="44" t="n">
        <f aca="false">U57</f>
        <v>1</v>
      </c>
      <c r="W57" s="44" t="n">
        <f aca="false">V57</f>
        <v>1</v>
      </c>
      <c r="X57" s="44" t="n">
        <f aca="false">W57</f>
        <v>1</v>
      </c>
      <c r="Y57" s="44" t="n">
        <f aca="false">X57</f>
        <v>1</v>
      </c>
      <c r="Z57" s="44" t="n">
        <f aca="false">Y57</f>
        <v>1</v>
      </c>
      <c r="AA57" s="44" t="n">
        <f aca="false">Z57</f>
        <v>1</v>
      </c>
      <c r="AB57" s="44" t="n">
        <f aca="false">AA57</f>
        <v>1</v>
      </c>
      <c r="AC57" s="44" t="n">
        <f aca="false">AB57</f>
        <v>1</v>
      </c>
      <c r="AD57" s="44" t="n">
        <f aca="false">AC57</f>
        <v>1</v>
      </c>
      <c r="AE57" s="44" t="n">
        <f aca="false">B57</f>
        <v>0.909090909090909</v>
      </c>
      <c r="AF57" s="44" t="n">
        <f aca="false">AE57</f>
        <v>0.909090909090909</v>
      </c>
      <c r="AG57" s="44" t="n">
        <f aca="false">AF57</f>
        <v>0.909090909090909</v>
      </c>
      <c r="AH57" s="44" t="n">
        <f aca="false">AG57</f>
        <v>0.909090909090909</v>
      </c>
      <c r="AI57" s="44" t="n">
        <f aca="false">AH57</f>
        <v>0.909090909090909</v>
      </c>
      <c r="AJ57" s="44" t="n">
        <f aca="false">AI57</f>
        <v>0.909090909090909</v>
      </c>
      <c r="AK57" s="44" t="n">
        <f aca="false">AJ57</f>
        <v>0.909090909090909</v>
      </c>
      <c r="AL57" s="44" t="n">
        <f aca="false">AK57</f>
        <v>0.909090909090909</v>
      </c>
      <c r="AM57" s="44" t="n">
        <f aca="false">AL57</f>
        <v>0.909090909090909</v>
      </c>
      <c r="AN57" s="44" t="n">
        <v>1</v>
      </c>
      <c r="AO57" s="44" t="n">
        <f aca="false">AN57</f>
        <v>1</v>
      </c>
      <c r="AP57" s="44" t="n">
        <f aca="false">AO57</f>
        <v>1</v>
      </c>
      <c r="AQ57" s="44" t="n">
        <f aca="false">AP57</f>
        <v>1</v>
      </c>
      <c r="AR57" s="44" t="n">
        <f aca="false">AQ57</f>
        <v>1</v>
      </c>
      <c r="AS57" s="44" t="n">
        <f aca="false">AR57</f>
        <v>1</v>
      </c>
      <c r="AT57" s="44" t="n">
        <f aca="false">AS57</f>
        <v>1</v>
      </c>
      <c r="AU57" s="44" t="n">
        <f aca="false">AT57</f>
        <v>1</v>
      </c>
      <c r="AV57" s="44" t="n">
        <f aca="false">AU57</f>
        <v>1</v>
      </c>
      <c r="AW57" s="44" t="n">
        <f aca="false">AV57</f>
        <v>1</v>
      </c>
      <c r="AX57" s="44" t="n">
        <f aca="false">B57</f>
        <v>0.909090909090909</v>
      </c>
      <c r="AY57" s="44" t="n">
        <f aca="false">AX57</f>
        <v>0.909090909090909</v>
      </c>
      <c r="AZ57" s="44" t="n">
        <f aca="false">AY57</f>
        <v>0.909090909090909</v>
      </c>
      <c r="BA57" s="44" t="n">
        <v>1</v>
      </c>
      <c r="BB57" s="44" t="n">
        <f aca="false">BA57</f>
        <v>1</v>
      </c>
      <c r="BC57" s="44" t="n">
        <f aca="false">AZ57</f>
        <v>0.909090909090909</v>
      </c>
      <c r="BD57" s="44" t="n">
        <f aca="false">BC57</f>
        <v>0.909090909090909</v>
      </c>
      <c r="BE57" s="44" t="n">
        <v>1</v>
      </c>
      <c r="BF57" s="44" t="n">
        <v>1</v>
      </c>
      <c r="BG57" s="44" t="n">
        <f aca="false">BD57</f>
        <v>0.909090909090909</v>
      </c>
      <c r="BH57" s="44" t="n">
        <f aca="false">BG57</f>
        <v>0.909090909090909</v>
      </c>
      <c r="BI57" s="44" t="n">
        <f aca="false">BH57</f>
        <v>0.909090909090909</v>
      </c>
      <c r="BJ57" s="44" t="n">
        <f aca="false">BI57</f>
        <v>0.909090909090909</v>
      </c>
      <c r="BK57" s="44" t="n">
        <v>1</v>
      </c>
    </row>
    <row r="58" customFormat="false" ht="12.8" hidden="false" customHeight="false" outlineLevel="0" collapsed="false">
      <c r="A58" s="0" t="n">
        <f aca="false">A57-1</f>
        <v>1961</v>
      </c>
      <c r="B58" s="48" t="n">
        <v>0.904761904761905</v>
      </c>
      <c r="C58" s="44" t="n">
        <f aca="false">B58</f>
        <v>0.904761904761905</v>
      </c>
      <c r="D58" s="44" t="n">
        <f aca="false">C58</f>
        <v>0.904761904761905</v>
      </c>
      <c r="E58" s="44" t="n">
        <f aca="false">D58</f>
        <v>0.904761904761905</v>
      </c>
      <c r="F58" s="44" t="n">
        <v>1</v>
      </c>
      <c r="G58" s="44" t="n">
        <f aca="false">F58</f>
        <v>1</v>
      </c>
      <c r="H58" s="44" t="n">
        <f aca="false">G58</f>
        <v>1</v>
      </c>
      <c r="I58" s="44" t="n">
        <f aca="false">H58</f>
        <v>1</v>
      </c>
      <c r="J58" s="44" t="n">
        <f aca="false">I58</f>
        <v>1</v>
      </c>
      <c r="K58" s="44" t="n">
        <f aca="false">J58</f>
        <v>1</v>
      </c>
      <c r="L58" s="44" t="n">
        <f aca="false">B58</f>
        <v>0.904761904761905</v>
      </c>
      <c r="M58" s="44" t="n">
        <f aca="false">L58</f>
        <v>0.904761904761905</v>
      </c>
      <c r="N58" s="44" t="n">
        <f aca="false">M58</f>
        <v>0.904761904761905</v>
      </c>
      <c r="O58" s="44" t="n">
        <f aca="false">N58</f>
        <v>0.904761904761905</v>
      </c>
      <c r="P58" s="44" t="n">
        <f aca="false">O58</f>
        <v>0.904761904761905</v>
      </c>
      <c r="Q58" s="44" t="n">
        <v>1</v>
      </c>
      <c r="R58" s="44" t="n">
        <f aca="false">Q58</f>
        <v>1</v>
      </c>
      <c r="S58" s="44" t="n">
        <f aca="false">R58</f>
        <v>1</v>
      </c>
      <c r="T58" s="44" t="n">
        <f aca="false">S58</f>
        <v>1</v>
      </c>
      <c r="U58" s="44" t="n">
        <f aca="false">T58</f>
        <v>1</v>
      </c>
      <c r="V58" s="44" t="n">
        <f aca="false">U58</f>
        <v>1</v>
      </c>
      <c r="W58" s="44" t="n">
        <f aca="false">V58</f>
        <v>1</v>
      </c>
      <c r="X58" s="44" t="n">
        <f aca="false">W58</f>
        <v>1</v>
      </c>
      <c r="Y58" s="44" t="n">
        <f aca="false">X58</f>
        <v>1</v>
      </c>
      <c r="Z58" s="44" t="n">
        <f aca="false">Y58</f>
        <v>1</v>
      </c>
      <c r="AA58" s="44" t="n">
        <f aca="false">Z58</f>
        <v>1</v>
      </c>
      <c r="AB58" s="44" t="n">
        <f aca="false">AA58</f>
        <v>1</v>
      </c>
      <c r="AC58" s="44" t="n">
        <f aca="false">AB58</f>
        <v>1</v>
      </c>
      <c r="AD58" s="44" t="n">
        <f aca="false">AC58</f>
        <v>1</v>
      </c>
      <c r="AE58" s="44" t="n">
        <f aca="false">B58</f>
        <v>0.904761904761905</v>
      </c>
      <c r="AF58" s="44" t="n">
        <f aca="false">AE58</f>
        <v>0.904761904761905</v>
      </c>
      <c r="AG58" s="44" t="n">
        <f aca="false">AF58</f>
        <v>0.904761904761905</v>
      </c>
      <c r="AH58" s="44" t="n">
        <f aca="false">AG58</f>
        <v>0.904761904761905</v>
      </c>
      <c r="AI58" s="44" t="n">
        <f aca="false">AH58</f>
        <v>0.904761904761905</v>
      </c>
      <c r="AJ58" s="44" t="n">
        <f aca="false">AI58</f>
        <v>0.904761904761905</v>
      </c>
      <c r="AK58" s="44" t="n">
        <f aca="false">AJ58</f>
        <v>0.904761904761905</v>
      </c>
      <c r="AL58" s="44" t="n">
        <f aca="false">AK58</f>
        <v>0.904761904761905</v>
      </c>
      <c r="AM58" s="44" t="n">
        <f aca="false">AL58</f>
        <v>0.904761904761905</v>
      </c>
      <c r="AN58" s="44" t="n">
        <v>1</v>
      </c>
      <c r="AO58" s="44" t="n">
        <f aca="false">AN58</f>
        <v>1</v>
      </c>
      <c r="AP58" s="44" t="n">
        <f aca="false">AO58</f>
        <v>1</v>
      </c>
      <c r="AQ58" s="44" t="n">
        <f aca="false">AP58</f>
        <v>1</v>
      </c>
      <c r="AR58" s="44" t="n">
        <f aca="false">AQ58</f>
        <v>1</v>
      </c>
      <c r="AS58" s="44" t="n">
        <f aca="false">AR58</f>
        <v>1</v>
      </c>
      <c r="AT58" s="44" t="n">
        <f aca="false">AS58</f>
        <v>1</v>
      </c>
      <c r="AU58" s="44" t="n">
        <f aca="false">AT58</f>
        <v>1</v>
      </c>
      <c r="AV58" s="44" t="n">
        <f aca="false">AU58</f>
        <v>1</v>
      </c>
      <c r="AW58" s="44" t="n">
        <f aca="false">AV58</f>
        <v>1</v>
      </c>
      <c r="AX58" s="44" t="n">
        <f aca="false">B58</f>
        <v>0.904761904761905</v>
      </c>
      <c r="AY58" s="44" t="n">
        <f aca="false">AX58</f>
        <v>0.904761904761905</v>
      </c>
      <c r="AZ58" s="44" t="n">
        <f aca="false">AY58</f>
        <v>0.904761904761905</v>
      </c>
      <c r="BA58" s="44" t="n">
        <v>1</v>
      </c>
      <c r="BB58" s="44" t="n">
        <f aca="false">BA58</f>
        <v>1</v>
      </c>
      <c r="BC58" s="44" t="n">
        <f aca="false">AZ58</f>
        <v>0.904761904761905</v>
      </c>
      <c r="BD58" s="44" t="n">
        <f aca="false">BC58</f>
        <v>0.904761904761905</v>
      </c>
      <c r="BE58" s="44" t="n">
        <v>1</v>
      </c>
      <c r="BF58" s="44" t="n">
        <v>1</v>
      </c>
      <c r="BG58" s="44" t="n">
        <f aca="false">BD58</f>
        <v>0.904761904761905</v>
      </c>
      <c r="BH58" s="44" t="n">
        <f aca="false">BG58</f>
        <v>0.904761904761905</v>
      </c>
      <c r="BI58" s="44" t="n">
        <f aca="false">BH58</f>
        <v>0.904761904761905</v>
      </c>
      <c r="BJ58" s="44" t="n">
        <f aca="false">BI58</f>
        <v>0.904761904761905</v>
      </c>
      <c r="BK58" s="44" t="n">
        <v>1</v>
      </c>
    </row>
    <row r="59" customFormat="false" ht="12.8" hidden="false" customHeight="false" outlineLevel="0" collapsed="false">
      <c r="A59" s="0" t="n">
        <f aca="false">A58-1</f>
        <v>1960</v>
      </c>
      <c r="B59" s="48" t="n">
        <v>0.907407407407407</v>
      </c>
      <c r="C59" s="44" t="n">
        <f aca="false">B59</f>
        <v>0.907407407407407</v>
      </c>
      <c r="D59" s="44" t="n">
        <f aca="false">C59</f>
        <v>0.907407407407407</v>
      </c>
      <c r="E59" s="44" t="n">
        <f aca="false">D59</f>
        <v>0.907407407407407</v>
      </c>
      <c r="F59" s="44" t="n">
        <v>1</v>
      </c>
      <c r="G59" s="44" t="n">
        <f aca="false">F59</f>
        <v>1</v>
      </c>
      <c r="H59" s="44" t="n">
        <f aca="false">G59</f>
        <v>1</v>
      </c>
      <c r="I59" s="44" t="n">
        <f aca="false">H59</f>
        <v>1</v>
      </c>
      <c r="J59" s="44" t="n">
        <f aca="false">I59</f>
        <v>1</v>
      </c>
      <c r="K59" s="44" t="n">
        <f aca="false">J59</f>
        <v>1</v>
      </c>
      <c r="L59" s="44" t="n">
        <f aca="false">B59</f>
        <v>0.907407407407407</v>
      </c>
      <c r="M59" s="44" t="n">
        <f aca="false">L59</f>
        <v>0.907407407407407</v>
      </c>
      <c r="N59" s="44" t="n">
        <f aca="false">M59</f>
        <v>0.907407407407407</v>
      </c>
      <c r="O59" s="44" t="n">
        <f aca="false">N59</f>
        <v>0.907407407407407</v>
      </c>
      <c r="P59" s="44" t="n">
        <f aca="false">O59</f>
        <v>0.907407407407407</v>
      </c>
      <c r="Q59" s="44" t="n">
        <v>1</v>
      </c>
      <c r="R59" s="44" t="n">
        <f aca="false">Q59</f>
        <v>1</v>
      </c>
      <c r="S59" s="44" t="n">
        <f aca="false">R59</f>
        <v>1</v>
      </c>
      <c r="T59" s="44" t="n">
        <f aca="false">S59</f>
        <v>1</v>
      </c>
      <c r="U59" s="44" t="n">
        <f aca="false">T59</f>
        <v>1</v>
      </c>
      <c r="V59" s="44" t="n">
        <f aca="false">U59</f>
        <v>1</v>
      </c>
      <c r="W59" s="44" t="n">
        <f aca="false">V59</f>
        <v>1</v>
      </c>
      <c r="X59" s="44" t="n">
        <f aca="false">W59</f>
        <v>1</v>
      </c>
      <c r="Y59" s="44" t="n">
        <f aca="false">X59</f>
        <v>1</v>
      </c>
      <c r="Z59" s="44" t="n">
        <f aca="false">Y59</f>
        <v>1</v>
      </c>
      <c r="AA59" s="44" t="n">
        <f aca="false">Z59</f>
        <v>1</v>
      </c>
      <c r="AB59" s="44" t="n">
        <f aca="false">AA59</f>
        <v>1</v>
      </c>
      <c r="AC59" s="44" t="n">
        <f aca="false">AB59</f>
        <v>1</v>
      </c>
      <c r="AD59" s="44" t="n">
        <f aca="false">AC59</f>
        <v>1</v>
      </c>
      <c r="AE59" s="44" t="n">
        <f aca="false">B59</f>
        <v>0.907407407407407</v>
      </c>
      <c r="AF59" s="44" t="n">
        <f aca="false">AE59</f>
        <v>0.907407407407407</v>
      </c>
      <c r="AG59" s="44" t="n">
        <f aca="false">AF59</f>
        <v>0.907407407407407</v>
      </c>
      <c r="AH59" s="44" t="n">
        <f aca="false">AG59</f>
        <v>0.907407407407407</v>
      </c>
      <c r="AI59" s="44" t="n">
        <f aca="false">AH59</f>
        <v>0.907407407407407</v>
      </c>
      <c r="AJ59" s="44" t="n">
        <f aca="false">AI59</f>
        <v>0.907407407407407</v>
      </c>
      <c r="AK59" s="44" t="n">
        <f aca="false">AJ59</f>
        <v>0.907407407407407</v>
      </c>
      <c r="AL59" s="44" t="n">
        <f aca="false">AK59</f>
        <v>0.907407407407407</v>
      </c>
      <c r="AM59" s="44" t="n">
        <f aca="false">AL59</f>
        <v>0.907407407407407</v>
      </c>
      <c r="AN59" s="44" t="n">
        <v>1</v>
      </c>
      <c r="AO59" s="44" t="n">
        <f aca="false">AN59</f>
        <v>1</v>
      </c>
      <c r="AP59" s="44" t="n">
        <f aca="false">AO59</f>
        <v>1</v>
      </c>
      <c r="AQ59" s="44" t="n">
        <f aca="false">AP59</f>
        <v>1</v>
      </c>
      <c r="AR59" s="44" t="n">
        <f aca="false">AQ59</f>
        <v>1</v>
      </c>
      <c r="AS59" s="44" t="n">
        <f aca="false">AR59</f>
        <v>1</v>
      </c>
      <c r="AT59" s="44" t="n">
        <f aca="false">AS59</f>
        <v>1</v>
      </c>
      <c r="AU59" s="44" t="n">
        <f aca="false">AT59</f>
        <v>1</v>
      </c>
      <c r="AV59" s="44" t="n">
        <f aca="false">AU59</f>
        <v>1</v>
      </c>
      <c r="AW59" s="44" t="n">
        <f aca="false">AV59</f>
        <v>1</v>
      </c>
      <c r="AX59" s="44" t="n">
        <f aca="false">B59</f>
        <v>0.907407407407407</v>
      </c>
      <c r="AY59" s="44" t="n">
        <f aca="false">AX59</f>
        <v>0.907407407407407</v>
      </c>
      <c r="AZ59" s="44" t="n">
        <f aca="false">AY59</f>
        <v>0.907407407407407</v>
      </c>
      <c r="BA59" s="44" t="n">
        <v>1</v>
      </c>
      <c r="BB59" s="44" t="n">
        <f aca="false">BA59</f>
        <v>1</v>
      </c>
      <c r="BC59" s="44" t="n">
        <f aca="false">AZ59</f>
        <v>0.907407407407407</v>
      </c>
      <c r="BD59" s="44" t="n">
        <f aca="false">BC59</f>
        <v>0.907407407407407</v>
      </c>
      <c r="BE59" s="44" t="n">
        <v>1</v>
      </c>
      <c r="BF59" s="44" t="n">
        <v>1</v>
      </c>
      <c r="BG59" s="44" t="n">
        <f aca="false">BD59</f>
        <v>0.907407407407407</v>
      </c>
      <c r="BH59" s="44" t="n">
        <f aca="false">BG59</f>
        <v>0.907407407407407</v>
      </c>
      <c r="BI59" s="44" t="n">
        <f aca="false">BH59</f>
        <v>0.907407407407407</v>
      </c>
      <c r="BJ59" s="44" t="n">
        <f aca="false">BI59</f>
        <v>0.907407407407407</v>
      </c>
      <c r="BK59" s="44" t="n">
        <v>1</v>
      </c>
    </row>
    <row r="60" customFormat="false" ht="12.8" hidden="false" customHeight="false" outlineLevel="0" collapsed="false">
      <c r="A60" s="0" t="n">
        <f aca="false">A59-1</f>
        <v>1959</v>
      </c>
      <c r="B60" s="49" t="n">
        <v>0.717391304347826</v>
      </c>
      <c r="C60" s="44" t="n">
        <f aca="false">B60</f>
        <v>0.717391304347826</v>
      </c>
      <c r="D60" s="44" t="n">
        <f aca="false">C60</f>
        <v>0.717391304347826</v>
      </c>
      <c r="E60" s="44" t="n">
        <f aca="false">D60</f>
        <v>0.717391304347826</v>
      </c>
      <c r="F60" s="44" t="n">
        <v>1</v>
      </c>
      <c r="G60" s="44" t="n">
        <f aca="false">F60</f>
        <v>1</v>
      </c>
      <c r="H60" s="44" t="n">
        <f aca="false">G60</f>
        <v>1</v>
      </c>
      <c r="I60" s="44" t="n">
        <f aca="false">H60</f>
        <v>1</v>
      </c>
      <c r="J60" s="44" t="n">
        <f aca="false">I60</f>
        <v>1</v>
      </c>
      <c r="K60" s="44" t="n">
        <f aca="false">J60</f>
        <v>1</v>
      </c>
      <c r="L60" s="44" t="n">
        <f aca="false">B60</f>
        <v>0.717391304347826</v>
      </c>
      <c r="M60" s="44" t="n">
        <f aca="false">L60</f>
        <v>0.717391304347826</v>
      </c>
      <c r="N60" s="44" t="n">
        <f aca="false">M60</f>
        <v>0.717391304347826</v>
      </c>
      <c r="O60" s="44" t="n">
        <f aca="false">N60</f>
        <v>0.717391304347826</v>
      </c>
      <c r="P60" s="44" t="n">
        <f aca="false">O60</f>
        <v>0.717391304347826</v>
      </c>
      <c r="Q60" s="44" t="n">
        <v>1</v>
      </c>
      <c r="R60" s="44" t="n">
        <f aca="false">Q60</f>
        <v>1</v>
      </c>
      <c r="S60" s="44" t="n">
        <f aca="false">R60</f>
        <v>1</v>
      </c>
      <c r="T60" s="44" t="n">
        <f aca="false">S60</f>
        <v>1</v>
      </c>
      <c r="U60" s="44" t="n">
        <f aca="false">T60</f>
        <v>1</v>
      </c>
      <c r="V60" s="44" t="n">
        <f aca="false">U60</f>
        <v>1</v>
      </c>
      <c r="W60" s="44" t="n">
        <f aca="false">V60</f>
        <v>1</v>
      </c>
      <c r="X60" s="44" t="n">
        <f aca="false">W60</f>
        <v>1</v>
      </c>
      <c r="Y60" s="44" t="n">
        <f aca="false">X60</f>
        <v>1</v>
      </c>
      <c r="Z60" s="44" t="n">
        <f aca="false">Y60</f>
        <v>1</v>
      </c>
      <c r="AA60" s="44" t="n">
        <f aca="false">Z60</f>
        <v>1</v>
      </c>
      <c r="AB60" s="44" t="n">
        <f aca="false">AA60</f>
        <v>1</v>
      </c>
      <c r="AC60" s="44" t="n">
        <f aca="false">AB60</f>
        <v>1</v>
      </c>
      <c r="AD60" s="44" t="n">
        <f aca="false">AC60</f>
        <v>1</v>
      </c>
      <c r="AE60" s="44" t="n">
        <f aca="false">B60</f>
        <v>0.717391304347826</v>
      </c>
      <c r="AF60" s="44" t="n">
        <f aca="false">AE60</f>
        <v>0.717391304347826</v>
      </c>
      <c r="AG60" s="44" t="n">
        <f aca="false">AF60</f>
        <v>0.717391304347826</v>
      </c>
      <c r="AH60" s="44" t="n">
        <f aca="false">AG60</f>
        <v>0.717391304347826</v>
      </c>
      <c r="AI60" s="44" t="n">
        <f aca="false">AH60</f>
        <v>0.717391304347826</v>
      </c>
      <c r="AJ60" s="44" t="n">
        <f aca="false">AI60</f>
        <v>0.717391304347826</v>
      </c>
      <c r="AK60" s="44" t="n">
        <f aca="false">AJ60</f>
        <v>0.717391304347826</v>
      </c>
      <c r="AL60" s="44" t="n">
        <f aca="false">AK60</f>
        <v>0.717391304347826</v>
      </c>
      <c r="AM60" s="44" t="n">
        <f aca="false">AL60</f>
        <v>0.717391304347826</v>
      </c>
      <c r="AN60" s="44" t="n">
        <v>1</v>
      </c>
      <c r="AO60" s="44" t="n">
        <f aca="false">AN60</f>
        <v>1</v>
      </c>
      <c r="AP60" s="44" t="n">
        <f aca="false">AO60</f>
        <v>1</v>
      </c>
      <c r="AQ60" s="44" t="n">
        <f aca="false">AP60</f>
        <v>1</v>
      </c>
      <c r="AR60" s="44" t="n">
        <f aca="false">AQ60</f>
        <v>1</v>
      </c>
      <c r="AS60" s="44" t="n">
        <f aca="false">AR60</f>
        <v>1</v>
      </c>
      <c r="AT60" s="44" t="n">
        <f aca="false">AS60</f>
        <v>1</v>
      </c>
      <c r="AU60" s="44" t="n">
        <f aca="false">AT60</f>
        <v>1</v>
      </c>
      <c r="AV60" s="44" t="n">
        <f aca="false">AU60</f>
        <v>1</v>
      </c>
      <c r="AW60" s="44" t="n">
        <f aca="false">AV60</f>
        <v>1</v>
      </c>
      <c r="AX60" s="44" t="n">
        <f aca="false">B60</f>
        <v>0.717391304347826</v>
      </c>
      <c r="AY60" s="44" t="n">
        <f aca="false">AX60</f>
        <v>0.717391304347826</v>
      </c>
      <c r="AZ60" s="44" t="n">
        <f aca="false">AY60</f>
        <v>0.717391304347826</v>
      </c>
      <c r="BA60" s="44" t="n">
        <v>1</v>
      </c>
      <c r="BB60" s="44" t="n">
        <f aca="false">BA60</f>
        <v>1</v>
      </c>
      <c r="BC60" s="44" t="n">
        <f aca="false">AZ60</f>
        <v>0.717391304347826</v>
      </c>
      <c r="BD60" s="44" t="n">
        <f aca="false">BC60</f>
        <v>0.717391304347826</v>
      </c>
      <c r="BE60" s="44" t="n">
        <v>1</v>
      </c>
      <c r="BF60" s="44" t="n">
        <v>1</v>
      </c>
      <c r="BG60" s="44" t="n">
        <f aca="false">BD60</f>
        <v>0.717391304347826</v>
      </c>
      <c r="BH60" s="44" t="n">
        <f aca="false">BG60</f>
        <v>0.717391304347826</v>
      </c>
      <c r="BI60" s="44" t="n">
        <f aca="false">BH60</f>
        <v>0.717391304347826</v>
      </c>
      <c r="BJ60" s="44" t="n">
        <f aca="false">BI60</f>
        <v>0.717391304347826</v>
      </c>
      <c r="BK60" s="44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5.62"/>
    <col collapsed="false" customWidth="true" hidden="false" outlineLevel="0" max="5" min="2" style="0" width="17.59"/>
    <col collapsed="false" customWidth="true" hidden="false" outlineLevel="0" max="6" min="6" style="0" width="9.47"/>
    <col collapsed="false" customWidth="true" hidden="false" outlineLevel="0" max="7" min="7" style="0" width="11.19"/>
    <col collapsed="false" customWidth="true" hidden="false" outlineLevel="0" max="8" min="8" style="0" width="12.37"/>
    <col collapsed="false" customWidth="true" hidden="false" outlineLevel="0" max="9" min="9" style="0" width="9.35"/>
    <col collapsed="false" customWidth="true" hidden="false" outlineLevel="0" max="10" min="10" style="0" width="8.33"/>
    <col collapsed="false" customWidth="true" hidden="false" outlineLevel="0" max="11" min="11" style="0" width="12.24"/>
    <col collapsed="false" customWidth="true" hidden="false" outlineLevel="0" max="16" min="12" style="0" width="17.59"/>
    <col collapsed="false" customWidth="true" hidden="false" outlineLevel="0" max="17" min="17" style="0" width="8.54"/>
    <col collapsed="false" customWidth="true" hidden="false" outlineLevel="0" max="18" min="18" style="0" width="9"/>
    <col collapsed="false" customWidth="true" hidden="false" outlineLevel="0" max="19" min="19" style="0" width="9.47"/>
    <col collapsed="false" customWidth="true" hidden="false" outlineLevel="0" max="20" min="20" style="0" width="9.13"/>
    <col collapsed="false" customWidth="true" hidden="false" outlineLevel="0" max="21" min="21" style="0" width="7.26"/>
    <col collapsed="false" customWidth="true" hidden="false" outlineLevel="0" max="22" min="22" style="0" width="13.87"/>
    <col collapsed="false" customWidth="true" hidden="false" outlineLevel="0" max="23" min="23" style="0" width="16.3"/>
    <col collapsed="false" customWidth="true" hidden="false" outlineLevel="0" max="29" min="24" style="0" width="17.11"/>
    <col collapsed="false" customWidth="true" hidden="false" outlineLevel="0" max="30" min="30" style="0" width="14.68"/>
    <col collapsed="false" customWidth="true" hidden="false" outlineLevel="0" max="31" min="31" style="0" width="13.97"/>
    <col collapsed="false" customWidth="true" hidden="false" outlineLevel="0" max="32" min="32" style="0" width="16.41"/>
    <col collapsed="false" customWidth="true" hidden="false" outlineLevel="0" max="38" min="33" style="0" width="17.21"/>
    <col collapsed="false" customWidth="true" hidden="false" outlineLevel="0" max="39" min="39" style="0" width="14.81"/>
    <col collapsed="false" customWidth="true" hidden="false" outlineLevel="0" max="45" min="40" style="0" width="16.99"/>
    <col collapsed="false" customWidth="true" hidden="false" outlineLevel="0" max="46" min="46" style="0" width="12.37"/>
    <col collapsed="false" customWidth="true" hidden="false" outlineLevel="0" max="47" min="47" style="0" width="11.78"/>
    <col collapsed="false" customWidth="true" hidden="false" outlineLevel="0" max="48" min="48" style="0" width="14.21"/>
    <col collapsed="false" customWidth="true" hidden="false" outlineLevel="0" max="49" min="49" style="0" width="11.78"/>
    <col collapsed="false" customWidth="true" hidden="false" outlineLevel="0" max="50" min="50" style="0" width="11.9"/>
    <col collapsed="false" customWidth="true" hidden="false" outlineLevel="0" max="51" min="51" style="0" width="14.35"/>
    <col collapsed="false" customWidth="true" hidden="false" outlineLevel="0" max="52" min="52" style="0" width="11.9"/>
    <col collapsed="false" customWidth="true" hidden="false" outlineLevel="0" max="54" min="53" style="0" width="15.02"/>
    <col collapsed="false" customWidth="true" hidden="false" outlineLevel="0" max="56" min="55" style="0" width="15.14"/>
    <col collapsed="false" customWidth="true" hidden="false" outlineLevel="0" max="57" min="57" style="0" width="12.83"/>
    <col collapsed="false" customWidth="true" hidden="false" outlineLevel="0" max="58" min="58" style="0" width="9.35"/>
    <col collapsed="false" customWidth="true" hidden="false" outlineLevel="0" max="59" min="59" style="0" width="10.85"/>
    <col collapsed="false" customWidth="true" hidden="false" outlineLevel="0" max="60" min="60" style="0" width="14.09"/>
    <col collapsed="false" customWidth="true" hidden="false" outlineLevel="0" max="61" min="61" style="0" width="14.88"/>
    <col collapsed="false" customWidth="true" hidden="false" outlineLevel="0" max="62" min="62" style="0" width="11.64"/>
    <col collapsed="false" customWidth="true" hidden="false" outlineLevel="0" max="63" min="63" style="0" width="8.54"/>
  </cols>
  <sheetData>
    <row r="1" customFormat="false" ht="12.8" hidden="false" customHeight="false" outlineLevel="0" collapsed="false">
      <c r="A1" s="18" t="s">
        <v>232</v>
      </c>
      <c r="B1" s="42" t="str">
        <f aca="false">metadata!B2</f>
        <v>PC_MINI_G</v>
      </c>
      <c r="C1" s="42" t="str">
        <f aca="false">metadata!B3</f>
        <v>PC_SMALL_G</v>
      </c>
      <c r="D1" s="42" t="str">
        <f aca="false">metadata!B4</f>
        <v>PC_MEDIUM_G</v>
      </c>
      <c r="E1" s="42" t="str">
        <f aca="false">metadata!B5</f>
        <v>PC_SUV_G</v>
      </c>
      <c r="F1" s="42" t="str">
        <f aca="false">metadata!B6</f>
        <v>PC_MINI_D</v>
      </c>
      <c r="G1" s="42" t="str">
        <f aca="false">metadata!B7</f>
        <v>PC_SMALL_D</v>
      </c>
      <c r="H1" s="42" t="str">
        <f aca="false">metadata!B8</f>
        <v>PC_MEDIUM_D</v>
      </c>
      <c r="I1" s="42" t="str">
        <f aca="false">metadata!B9</f>
        <v>PC_SUV_D</v>
      </c>
      <c r="J1" s="42" t="str">
        <f aca="false">metadata!B10</f>
        <v>PC_ELEC</v>
      </c>
      <c r="K1" s="42" t="str">
        <f aca="false">metadata!B11</f>
        <v>PC_SMALL_HY</v>
      </c>
      <c r="L1" s="42" t="str">
        <f aca="false">metadata!B12</f>
        <v>TAXI_SMALL_G</v>
      </c>
      <c r="M1" s="42" t="str">
        <f aca="false">metadata!B13</f>
        <v>TAXI_SMALL_GLP</v>
      </c>
      <c r="N1" s="42" t="str">
        <f aca="false">metadata!B14</f>
        <v>LCV_NI_G</v>
      </c>
      <c r="O1" s="42" t="str">
        <f aca="false">metadata!B15</f>
        <v>LCV_NII_G</v>
      </c>
      <c r="P1" s="42" t="str">
        <f aca="false">metadata!B16</f>
        <v>LCV_NIII_G</v>
      </c>
      <c r="Q1" s="42" t="str">
        <f aca="false">metadata!B17</f>
        <v>LCV_NI_D</v>
      </c>
      <c r="R1" s="42" t="str">
        <f aca="false">metadata!B18</f>
        <v>LCV_NII_D</v>
      </c>
      <c r="S1" s="42" t="str">
        <f aca="false">metadata!B19</f>
        <v>LCV_NIII_D</v>
      </c>
      <c r="T1" s="42" t="str">
        <f aca="false">metadata!B20</f>
        <v>LCV_ELEC</v>
      </c>
      <c r="U1" s="42" t="str">
        <f aca="false">metadata!B21</f>
        <v>LCV_HY</v>
      </c>
      <c r="V1" s="42" t="str">
        <f aca="false">metadata!B22</f>
        <v>TRUCKS_RT_7_D</v>
      </c>
      <c r="W1" s="42" t="str">
        <f aca="false">metadata!B23</f>
        <v>TRUCKS_RT_7_12_D</v>
      </c>
      <c r="X1" s="42" t="str">
        <f aca="false">metadata!B24</f>
        <v>TRUCKS_RT_12_14_D</v>
      </c>
      <c r="Y1" s="42" t="str">
        <f aca="false">metadata!B25</f>
        <v>TRUCKS_RT_14_16_D</v>
      </c>
      <c r="Z1" s="42" t="str">
        <f aca="false">metadata!B26</f>
        <v>TRUCKS_RT_16_20_D</v>
      </c>
      <c r="AA1" s="42" t="str">
        <f aca="false">metadata!B27</f>
        <v>TRUCKS_RT_20_26_D</v>
      </c>
      <c r="AB1" s="42" t="str">
        <f aca="false">metadata!B28</f>
        <v>TRUCKS_RT_26_28_D</v>
      </c>
      <c r="AC1" s="42" t="str">
        <f aca="false">metadata!B29</f>
        <v>TRUCKS_RT_28_32_D</v>
      </c>
      <c r="AD1" s="43" t="str">
        <f aca="false">metadata!B30</f>
        <v>TRUCKS_RT_32_D</v>
      </c>
      <c r="AE1" s="43" t="str">
        <f aca="false">metadata!B31</f>
        <v>TRUCKS_RT_7_G</v>
      </c>
      <c r="AF1" s="43" t="str">
        <f aca="false">metadata!B32</f>
        <v>TRUCKS_RT_7_12_G</v>
      </c>
      <c r="AG1" s="43" t="str">
        <f aca="false">metadata!B33</f>
        <v>TRUCKS_RT_12_14_G</v>
      </c>
      <c r="AH1" s="43" t="str">
        <f aca="false">metadata!B34</f>
        <v>TRUCKS_RT_14_16_G</v>
      </c>
      <c r="AI1" s="43" t="str">
        <f aca="false">metadata!B35</f>
        <v>TRUCKS_RT_16_20_G</v>
      </c>
      <c r="AJ1" s="43" t="str">
        <f aca="false">metadata!B36</f>
        <v>TRUCKS_RT_20_26_G</v>
      </c>
      <c r="AK1" s="43" t="str">
        <f aca="false">metadata!B37</f>
        <v>TRUCKS_RT_26_28_G</v>
      </c>
      <c r="AL1" s="43" t="str">
        <f aca="false">metadata!B38</f>
        <v>TRUCKS_RT_28_32_G</v>
      </c>
      <c r="AM1" s="43" t="str">
        <f aca="false">metadata!B39</f>
        <v>TRUCKS_RT_32_G</v>
      </c>
      <c r="AN1" s="43" t="str">
        <f aca="false">metadata!B40</f>
        <v>TRUCKS_AT_16_20_D</v>
      </c>
      <c r="AO1" s="42" t="str">
        <f aca="false">metadata!B41</f>
        <v>TRUCKS_AT_20_28_D</v>
      </c>
      <c r="AP1" s="42" t="str">
        <f aca="false">metadata!B42</f>
        <v>TRUCKS_AT_28_34_D</v>
      </c>
      <c r="AQ1" s="43" t="str">
        <f aca="false">metadata!B43</f>
        <v>TRUCKS_AT_34_40_D</v>
      </c>
      <c r="AR1" s="43" t="str">
        <f aca="false">metadata!B44</f>
        <v>TRUCKS_AT_40_50_D</v>
      </c>
      <c r="AS1" s="43" t="str">
        <f aca="false">metadata!B45</f>
        <v>TRUCKS_AT_50_60_D</v>
      </c>
      <c r="AT1" s="43" t="str">
        <f aca="false">metadata!B46</f>
        <v>TRUCKS_ELEC</v>
      </c>
      <c r="AU1" s="43" t="str">
        <f aca="false">metadata!B47</f>
        <v>BUS_UB_15_D</v>
      </c>
      <c r="AV1" s="43" t="str">
        <f aca="false">metadata!B48</f>
        <v>BUS_UB_15_18_D</v>
      </c>
      <c r="AW1" s="43" t="str">
        <f aca="false">metadata!B49</f>
        <v>BUS_UB_18_D</v>
      </c>
      <c r="AX1" s="43" t="str">
        <f aca="false">metadata!B50</f>
        <v>BUS_UB_15_G</v>
      </c>
      <c r="AY1" s="43" t="str">
        <f aca="false">metadata!B51</f>
        <v>BUS_UB_15_18_G</v>
      </c>
      <c r="AZ1" s="43" t="str">
        <f aca="false">metadata!B52</f>
        <v>BUS_UB_18_G</v>
      </c>
      <c r="BA1" s="43" t="str">
        <f aca="false">metadata!B53</f>
        <v>BUS_COACH_17_D</v>
      </c>
      <c r="BB1" s="43" t="str">
        <f aca="false">metadata!B54</f>
        <v>BUS_COACH_18_D</v>
      </c>
      <c r="BC1" s="43" t="str">
        <f aca="false">metadata!B55</f>
        <v>BUS_COACH_17_G</v>
      </c>
      <c r="BD1" s="43" t="str">
        <f aca="false">metadata!B56</f>
        <v>BUS_COACH_18_G</v>
      </c>
      <c r="BE1" s="43" t="str">
        <f aca="false">metadata!B57</f>
        <v>BUS_UB_15_HY</v>
      </c>
      <c r="BF1" s="43" t="str">
        <f aca="false">metadata!B58</f>
        <v>BUS_ELEC</v>
      </c>
      <c r="BG1" s="43" t="str">
        <f aca="false">metadata!B59</f>
        <v>MC_2S_50_G</v>
      </c>
      <c r="BH1" s="43" t="str">
        <f aca="false">metadata!B60</f>
        <v>MC_4S_50_250_G</v>
      </c>
      <c r="BI1" s="43" t="str">
        <f aca="false">metadata!B61</f>
        <v>MC_4S_250_750_G</v>
      </c>
      <c r="BJ1" s="43" t="str">
        <f aca="false">metadata!B62</f>
        <v>MC_4S_750_G</v>
      </c>
      <c r="BK1" s="43" t="str">
        <f aca="false">metadata!B63</f>
        <v>MC_ELEC</v>
      </c>
    </row>
    <row r="2" customFormat="false" ht="12.8" hidden="false" customHeight="false" outlineLevel="0" collapsed="false">
      <c r="A2" s="0" t="n">
        <v>2017</v>
      </c>
      <c r="B2" s="0" t="n">
        <v>87.7189649735592</v>
      </c>
      <c r="C2" s="0" t="n">
        <v>87.7189649735592</v>
      </c>
      <c r="D2" s="0" t="n">
        <v>87.7189649735592</v>
      </c>
      <c r="E2" s="0" t="n">
        <v>87.7189649735592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87.7189649735592</v>
      </c>
      <c r="M2" s="0" t="n">
        <v>87.7189649735592</v>
      </c>
      <c r="N2" s="0" t="n">
        <v>87.7189649735592</v>
      </c>
      <c r="O2" s="0" t="n">
        <v>87.7189649735592</v>
      </c>
      <c r="P2" s="0" t="n">
        <v>87.7189649735592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87.7189649735592</v>
      </c>
      <c r="AF2" s="0" t="n">
        <v>87.7189649735592</v>
      </c>
      <c r="AG2" s="0" t="n">
        <v>87.7189649735592</v>
      </c>
      <c r="AH2" s="0" t="n">
        <v>87.7189649735592</v>
      </c>
      <c r="AI2" s="0" t="n">
        <v>87.7189649735592</v>
      </c>
      <c r="AJ2" s="0" t="n">
        <v>87.7189649735592</v>
      </c>
      <c r="AK2" s="0" t="n">
        <v>87.7189649735592</v>
      </c>
      <c r="AL2" s="0" t="n">
        <v>87.7189649735592</v>
      </c>
      <c r="AM2" s="0" t="n">
        <v>87.7189649735592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87.7189649735592</v>
      </c>
      <c r="AY2" s="0" t="n">
        <v>87.7189649735592</v>
      </c>
      <c r="AZ2" s="0" t="n">
        <v>87.7189649735592</v>
      </c>
      <c r="BA2" s="0" t="n">
        <v>1</v>
      </c>
      <c r="BB2" s="0" t="n">
        <v>1</v>
      </c>
      <c r="BC2" s="0" t="n">
        <v>87.7189649735592</v>
      </c>
      <c r="BD2" s="0" t="n">
        <v>87.7189649735592</v>
      </c>
      <c r="BE2" s="0" t="n">
        <v>1</v>
      </c>
      <c r="BF2" s="0" t="n">
        <v>1</v>
      </c>
      <c r="BG2" s="0" t="n">
        <v>87.7189649735592</v>
      </c>
      <c r="BH2" s="0" t="n">
        <v>87.7189649735592</v>
      </c>
      <c r="BI2" s="0" t="n">
        <v>87.7189649735592</v>
      </c>
      <c r="BJ2" s="0" t="n">
        <v>87.7189649735592</v>
      </c>
      <c r="BK2" s="0" t="n">
        <v>1</v>
      </c>
    </row>
    <row r="3" customFormat="false" ht="12.8" hidden="false" customHeight="false" outlineLevel="0" collapsed="false">
      <c r="A3" s="0" t="n">
        <f aca="false">A2-1</f>
        <v>2016</v>
      </c>
      <c r="B3" s="0" t="n">
        <v>66.3087267118576</v>
      </c>
      <c r="C3" s="0" t="n">
        <v>66.3087267118576</v>
      </c>
      <c r="D3" s="0" t="n">
        <v>66.3087267118576</v>
      </c>
      <c r="E3" s="0" t="n">
        <v>66.3087267118576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66.3087267118576</v>
      </c>
      <c r="M3" s="0" t="n">
        <v>66.3087267118576</v>
      </c>
      <c r="N3" s="0" t="n">
        <v>66.3087267118576</v>
      </c>
      <c r="O3" s="0" t="n">
        <v>66.3087267118576</v>
      </c>
      <c r="P3" s="0" t="n">
        <v>66.3087267118576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66.3087267118576</v>
      </c>
      <c r="AF3" s="0" t="n">
        <v>66.3087267118576</v>
      </c>
      <c r="AG3" s="0" t="n">
        <v>66.3087267118576</v>
      </c>
      <c r="AH3" s="0" t="n">
        <v>66.3087267118576</v>
      </c>
      <c r="AI3" s="0" t="n">
        <v>66.3087267118576</v>
      </c>
      <c r="AJ3" s="0" t="n">
        <v>66.3087267118576</v>
      </c>
      <c r="AK3" s="0" t="n">
        <v>66.3087267118576</v>
      </c>
      <c r="AL3" s="0" t="n">
        <v>66.3087267118576</v>
      </c>
      <c r="AM3" s="0" t="n">
        <v>66.3087267118576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66.3087267118576</v>
      </c>
      <c r="AY3" s="0" t="n">
        <v>66.3087267118576</v>
      </c>
      <c r="AZ3" s="0" t="n">
        <v>66.3087267118576</v>
      </c>
      <c r="BA3" s="0" t="n">
        <v>1</v>
      </c>
      <c r="BB3" s="0" t="n">
        <v>1</v>
      </c>
      <c r="BC3" s="0" t="n">
        <v>66.3087267118576</v>
      </c>
      <c r="BD3" s="0" t="n">
        <v>66.3087267118576</v>
      </c>
      <c r="BE3" s="0" t="n">
        <v>1</v>
      </c>
      <c r="BF3" s="0" t="n">
        <v>1</v>
      </c>
      <c r="BG3" s="0" t="n">
        <v>66.3087267118576</v>
      </c>
      <c r="BH3" s="0" t="n">
        <v>66.3087267118576</v>
      </c>
      <c r="BI3" s="0" t="n">
        <v>66.3087267118576</v>
      </c>
      <c r="BJ3" s="0" t="n">
        <v>66.3087267118576</v>
      </c>
      <c r="BK3" s="0" t="n">
        <v>1</v>
      </c>
    </row>
    <row r="4" customFormat="false" ht="12.8" hidden="false" customHeight="false" outlineLevel="0" collapsed="false">
      <c r="A4" s="0" t="n">
        <f aca="false">A3-1</f>
        <v>2015</v>
      </c>
      <c r="B4" s="0" t="n">
        <v>55.8598044864453</v>
      </c>
      <c r="C4" s="0" t="n">
        <v>55.8598044864453</v>
      </c>
      <c r="D4" s="0" t="n">
        <v>55.8598044864453</v>
      </c>
      <c r="E4" s="0" t="n">
        <v>55.8598044864453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55.8598044864453</v>
      </c>
      <c r="M4" s="0" t="n">
        <v>55.8598044864453</v>
      </c>
      <c r="N4" s="0" t="n">
        <v>55.8598044864453</v>
      </c>
      <c r="O4" s="0" t="n">
        <v>55.8598044864453</v>
      </c>
      <c r="P4" s="0" t="n">
        <v>55.8598044864453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55.8598044864453</v>
      </c>
      <c r="AF4" s="0" t="n">
        <v>55.8598044864453</v>
      </c>
      <c r="AG4" s="0" t="n">
        <v>55.8598044864453</v>
      </c>
      <c r="AH4" s="0" t="n">
        <v>55.8598044864453</v>
      </c>
      <c r="AI4" s="0" t="n">
        <v>55.8598044864453</v>
      </c>
      <c r="AJ4" s="0" t="n">
        <v>55.8598044864453</v>
      </c>
      <c r="AK4" s="0" t="n">
        <v>55.8598044864453</v>
      </c>
      <c r="AL4" s="0" t="n">
        <v>55.8598044864453</v>
      </c>
      <c r="AM4" s="0" t="n">
        <v>55.8598044864453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55.8598044864453</v>
      </c>
      <c r="AY4" s="0" t="n">
        <v>55.8598044864453</v>
      </c>
      <c r="AZ4" s="0" t="n">
        <v>55.8598044864453</v>
      </c>
      <c r="BA4" s="0" t="n">
        <v>1</v>
      </c>
      <c r="BB4" s="0" t="n">
        <v>1</v>
      </c>
      <c r="BC4" s="0" t="n">
        <v>55.8598044864453</v>
      </c>
      <c r="BD4" s="0" t="n">
        <v>55.8598044864453</v>
      </c>
      <c r="BE4" s="0" t="n">
        <v>1</v>
      </c>
      <c r="BF4" s="0" t="n">
        <v>1</v>
      </c>
      <c r="BG4" s="0" t="n">
        <v>55.8598044864453</v>
      </c>
      <c r="BH4" s="0" t="n">
        <v>55.8598044864453</v>
      </c>
      <c r="BI4" s="0" t="n">
        <v>55.8598044864453</v>
      </c>
      <c r="BJ4" s="0" t="n">
        <v>55.8598044864453</v>
      </c>
      <c r="BK4" s="0" t="n">
        <v>1</v>
      </c>
    </row>
    <row r="5" customFormat="false" ht="12.8" hidden="false" customHeight="false" outlineLevel="0" collapsed="false">
      <c r="A5" s="0" t="n">
        <f aca="false">A4-1</f>
        <v>2014</v>
      </c>
      <c r="B5" s="0" t="n">
        <v>41.9499453210406</v>
      </c>
      <c r="C5" s="0" t="n">
        <v>41.9499453210406</v>
      </c>
      <c r="D5" s="0" t="n">
        <v>41.9499453210406</v>
      </c>
      <c r="E5" s="0" t="n">
        <v>41.9499453210406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41.9499453210406</v>
      </c>
      <c r="M5" s="0" t="n">
        <v>41.9499453210406</v>
      </c>
      <c r="N5" s="0" t="n">
        <v>41.9499453210406</v>
      </c>
      <c r="O5" s="0" t="n">
        <v>41.9499453210406</v>
      </c>
      <c r="P5" s="0" t="n">
        <v>41.9499453210406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41.9499453210406</v>
      </c>
      <c r="AF5" s="0" t="n">
        <v>41.9499453210406</v>
      </c>
      <c r="AG5" s="0" t="n">
        <v>41.9499453210406</v>
      </c>
      <c r="AH5" s="0" t="n">
        <v>41.9499453210406</v>
      </c>
      <c r="AI5" s="0" t="n">
        <v>41.9499453210406</v>
      </c>
      <c r="AJ5" s="0" t="n">
        <v>41.9499453210406</v>
      </c>
      <c r="AK5" s="0" t="n">
        <v>41.9499453210406</v>
      </c>
      <c r="AL5" s="0" t="n">
        <v>41.9499453210406</v>
      </c>
      <c r="AM5" s="0" t="n">
        <v>41.9499453210406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41.9499453210406</v>
      </c>
      <c r="AY5" s="0" t="n">
        <v>41.9499453210406</v>
      </c>
      <c r="AZ5" s="0" t="n">
        <v>41.9499453210406</v>
      </c>
      <c r="BA5" s="0" t="n">
        <v>1</v>
      </c>
      <c r="BB5" s="0" t="n">
        <v>1</v>
      </c>
      <c r="BC5" s="0" t="n">
        <v>41.9499453210406</v>
      </c>
      <c r="BD5" s="0" t="n">
        <v>41.9499453210406</v>
      </c>
      <c r="BE5" s="0" t="n">
        <v>1</v>
      </c>
      <c r="BF5" s="0" t="n">
        <v>1</v>
      </c>
      <c r="BG5" s="0" t="n">
        <v>41.9499453210406</v>
      </c>
      <c r="BH5" s="0" t="n">
        <v>41.9499453210406</v>
      </c>
      <c r="BI5" s="0" t="n">
        <v>41.9499453210406</v>
      </c>
      <c r="BJ5" s="0" t="n">
        <v>41.9499453210406</v>
      </c>
      <c r="BK5" s="0" t="n">
        <v>1</v>
      </c>
    </row>
    <row r="6" customFormat="false" ht="12.8" hidden="false" customHeight="false" outlineLevel="0" collapsed="false">
      <c r="A6" s="0" t="n">
        <f aca="false">A5-1</f>
        <v>2013</v>
      </c>
      <c r="B6" s="0" t="n">
        <v>32.7117655255916</v>
      </c>
      <c r="C6" s="0" t="n">
        <v>32.7117655255916</v>
      </c>
      <c r="D6" s="0" t="n">
        <v>32.7117655255916</v>
      </c>
      <c r="E6" s="0" t="n">
        <v>32.7117655255916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32.7117655255916</v>
      </c>
      <c r="M6" s="0" t="n">
        <v>32.7117655255916</v>
      </c>
      <c r="N6" s="0" t="n">
        <v>32.7117655255916</v>
      </c>
      <c r="O6" s="0" t="n">
        <v>32.7117655255916</v>
      </c>
      <c r="P6" s="0" t="n">
        <v>32.7117655255916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32.7117655255916</v>
      </c>
      <c r="AF6" s="0" t="n">
        <v>32.7117655255916</v>
      </c>
      <c r="AG6" s="0" t="n">
        <v>32.7117655255916</v>
      </c>
      <c r="AH6" s="0" t="n">
        <v>32.7117655255916</v>
      </c>
      <c r="AI6" s="0" t="n">
        <v>32.7117655255916</v>
      </c>
      <c r="AJ6" s="0" t="n">
        <v>32.7117655255916</v>
      </c>
      <c r="AK6" s="0" t="n">
        <v>32.7117655255916</v>
      </c>
      <c r="AL6" s="0" t="n">
        <v>32.7117655255916</v>
      </c>
      <c r="AM6" s="0" t="n">
        <v>32.7117655255916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1</v>
      </c>
      <c r="AT6" s="0" t="n">
        <v>1</v>
      </c>
      <c r="AU6" s="0" t="n">
        <v>1</v>
      </c>
      <c r="AV6" s="0" t="n">
        <v>1</v>
      </c>
      <c r="AW6" s="0" t="n">
        <v>1</v>
      </c>
      <c r="AX6" s="0" t="n">
        <v>32.7117655255916</v>
      </c>
      <c r="AY6" s="0" t="n">
        <v>32.7117655255916</v>
      </c>
      <c r="AZ6" s="0" t="n">
        <v>32.7117655255916</v>
      </c>
      <c r="BA6" s="0" t="n">
        <v>1</v>
      </c>
      <c r="BB6" s="0" t="n">
        <v>1</v>
      </c>
      <c r="BC6" s="0" t="n">
        <v>32.7117655255916</v>
      </c>
      <c r="BD6" s="0" t="n">
        <v>32.7117655255916</v>
      </c>
      <c r="BE6" s="0" t="n">
        <v>1</v>
      </c>
      <c r="BF6" s="0" t="n">
        <v>1</v>
      </c>
      <c r="BG6" s="0" t="n">
        <v>32.7117655255916</v>
      </c>
      <c r="BH6" s="0" t="n">
        <v>32.7117655255916</v>
      </c>
      <c r="BI6" s="0" t="n">
        <v>32.7117655255916</v>
      </c>
      <c r="BJ6" s="0" t="n">
        <v>32.7117655255916</v>
      </c>
      <c r="BK6" s="0" t="n">
        <v>1</v>
      </c>
    </row>
    <row r="7" customFormat="false" ht="12.8" hidden="false" customHeight="false" outlineLevel="0" collapsed="false">
      <c r="A7" s="0" t="n">
        <f aca="false">A6-1</f>
        <v>2012</v>
      </c>
      <c r="B7" s="0" t="n">
        <v>26.2297648557609</v>
      </c>
      <c r="C7" s="0" t="n">
        <v>26.2297648557609</v>
      </c>
      <c r="D7" s="0" t="n">
        <v>26.2297648557609</v>
      </c>
      <c r="E7" s="0" t="n">
        <v>26.2297648557609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26.2297648557609</v>
      </c>
      <c r="M7" s="0" t="n">
        <v>26.2297648557609</v>
      </c>
      <c r="N7" s="0" t="n">
        <v>26.2297648557609</v>
      </c>
      <c r="O7" s="0" t="n">
        <v>26.2297648557609</v>
      </c>
      <c r="P7" s="0" t="n">
        <v>26.2297648557609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26.2297648557609</v>
      </c>
      <c r="AF7" s="0" t="n">
        <v>26.2297648557609</v>
      </c>
      <c r="AG7" s="0" t="n">
        <v>26.2297648557609</v>
      </c>
      <c r="AH7" s="0" t="n">
        <v>26.2297648557609</v>
      </c>
      <c r="AI7" s="0" t="n">
        <v>26.2297648557609</v>
      </c>
      <c r="AJ7" s="0" t="n">
        <v>26.2297648557609</v>
      </c>
      <c r="AK7" s="0" t="n">
        <v>26.2297648557609</v>
      </c>
      <c r="AL7" s="0" t="n">
        <v>26.2297648557609</v>
      </c>
      <c r="AM7" s="0" t="n">
        <v>26.2297648557609</v>
      </c>
      <c r="AN7" s="0" t="n">
        <v>1</v>
      </c>
      <c r="AO7" s="0" t="n">
        <v>1</v>
      </c>
      <c r="AP7" s="0" t="n">
        <v>1</v>
      </c>
      <c r="AQ7" s="0" t="n">
        <v>1</v>
      </c>
      <c r="AR7" s="0" t="n">
        <v>1</v>
      </c>
      <c r="AS7" s="0" t="n">
        <v>1</v>
      </c>
      <c r="AT7" s="0" t="n">
        <v>1</v>
      </c>
      <c r="AU7" s="0" t="n">
        <v>1</v>
      </c>
      <c r="AV7" s="0" t="n">
        <v>1</v>
      </c>
      <c r="AW7" s="0" t="n">
        <v>1</v>
      </c>
      <c r="AX7" s="0" t="n">
        <v>26.2297648557609</v>
      </c>
      <c r="AY7" s="0" t="n">
        <v>26.2297648557609</v>
      </c>
      <c r="AZ7" s="0" t="n">
        <v>26.2297648557609</v>
      </c>
      <c r="BA7" s="0" t="n">
        <v>1</v>
      </c>
      <c r="BB7" s="0" t="n">
        <v>1</v>
      </c>
      <c r="BC7" s="0" t="n">
        <v>26.2297648557609</v>
      </c>
      <c r="BD7" s="0" t="n">
        <v>26.2297648557609</v>
      </c>
      <c r="BE7" s="0" t="n">
        <v>1</v>
      </c>
      <c r="BF7" s="0" t="n">
        <v>1</v>
      </c>
      <c r="BG7" s="0" t="n">
        <v>26.2297648557609</v>
      </c>
      <c r="BH7" s="0" t="n">
        <v>26.2297648557609</v>
      </c>
      <c r="BI7" s="0" t="n">
        <v>26.2297648557609</v>
      </c>
      <c r="BJ7" s="0" t="n">
        <v>26.2297648557609</v>
      </c>
      <c r="BK7" s="0" t="n">
        <v>1</v>
      </c>
    </row>
    <row r="8" customFormat="false" ht="12.8" hidden="false" customHeight="false" outlineLevel="0" collapsed="false">
      <c r="A8" s="0" t="n">
        <f aca="false">A7-1</f>
        <v>2011</v>
      </c>
      <c r="B8" s="0" t="n">
        <v>24.9597935805981</v>
      </c>
      <c r="C8" s="0" t="n">
        <v>24.9597935805981</v>
      </c>
      <c r="D8" s="0" t="n">
        <v>24.9597935805981</v>
      </c>
      <c r="E8" s="0" t="n">
        <v>24.9597935805981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24.9597935805981</v>
      </c>
      <c r="M8" s="0" t="n">
        <v>24.9597935805981</v>
      </c>
      <c r="N8" s="0" t="n">
        <v>24.9597935805981</v>
      </c>
      <c r="O8" s="0" t="n">
        <v>24.9597935805981</v>
      </c>
      <c r="P8" s="0" t="n">
        <v>24.9597935805981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24.9597935805981</v>
      </c>
      <c r="AF8" s="0" t="n">
        <v>24.9597935805981</v>
      </c>
      <c r="AG8" s="0" t="n">
        <v>24.9597935805981</v>
      </c>
      <c r="AH8" s="0" t="n">
        <v>24.9597935805981</v>
      </c>
      <c r="AI8" s="0" t="n">
        <v>24.9597935805981</v>
      </c>
      <c r="AJ8" s="0" t="n">
        <v>24.9597935805981</v>
      </c>
      <c r="AK8" s="0" t="n">
        <v>24.9597935805981</v>
      </c>
      <c r="AL8" s="0" t="n">
        <v>24.9597935805981</v>
      </c>
      <c r="AM8" s="0" t="n">
        <v>24.9597935805981</v>
      </c>
      <c r="AN8" s="0" t="n">
        <v>1</v>
      </c>
      <c r="AO8" s="0" t="n">
        <v>1</v>
      </c>
      <c r="AP8" s="0" t="n">
        <v>1</v>
      </c>
      <c r="AQ8" s="0" t="n">
        <v>1</v>
      </c>
      <c r="AR8" s="0" t="n">
        <v>1</v>
      </c>
      <c r="AS8" s="0" t="n">
        <v>1</v>
      </c>
      <c r="AT8" s="0" t="n">
        <v>1</v>
      </c>
      <c r="AU8" s="0" t="n">
        <v>1</v>
      </c>
      <c r="AV8" s="0" t="n">
        <v>1</v>
      </c>
      <c r="AW8" s="0" t="n">
        <v>1</v>
      </c>
      <c r="AX8" s="0" t="n">
        <v>24.9597935805981</v>
      </c>
      <c r="AY8" s="0" t="n">
        <v>24.9597935805981</v>
      </c>
      <c r="AZ8" s="0" t="n">
        <v>24.9597935805981</v>
      </c>
      <c r="BA8" s="0" t="n">
        <v>1</v>
      </c>
      <c r="BB8" s="0" t="n">
        <v>1</v>
      </c>
      <c r="BC8" s="0" t="n">
        <v>24.9597935805981</v>
      </c>
      <c r="BD8" s="0" t="n">
        <v>24.9597935805981</v>
      </c>
      <c r="BE8" s="0" t="n">
        <v>1</v>
      </c>
      <c r="BF8" s="0" t="n">
        <v>1</v>
      </c>
      <c r="BG8" s="0" t="n">
        <v>24.9597935805981</v>
      </c>
      <c r="BH8" s="0" t="n">
        <v>24.9597935805981</v>
      </c>
      <c r="BI8" s="0" t="n">
        <v>24.9597935805981</v>
      </c>
      <c r="BJ8" s="0" t="n">
        <v>24.9597935805981</v>
      </c>
      <c r="BK8" s="0" t="n">
        <v>1</v>
      </c>
    </row>
    <row r="9" customFormat="false" ht="12.8" hidden="false" customHeight="false" outlineLevel="0" collapsed="false">
      <c r="A9" s="0" t="n">
        <f aca="false">A8-1</f>
        <v>2010</v>
      </c>
      <c r="B9" s="0" t="n">
        <v>26.2717577147727</v>
      </c>
      <c r="C9" s="0" t="n">
        <v>26.2717577147727</v>
      </c>
      <c r="D9" s="0" t="n">
        <v>26.2717577147727</v>
      </c>
      <c r="E9" s="0" t="n">
        <v>26.2717577147727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26.2717577147727</v>
      </c>
      <c r="M9" s="0" t="n">
        <v>26.2717577147727</v>
      </c>
      <c r="N9" s="0" t="n">
        <v>26.2717577147727</v>
      </c>
      <c r="O9" s="0" t="n">
        <v>26.2717577147727</v>
      </c>
      <c r="P9" s="0" t="n">
        <v>26.2717577147727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26.2717577147727</v>
      </c>
      <c r="AF9" s="0" t="n">
        <v>26.2717577147727</v>
      </c>
      <c r="AG9" s="0" t="n">
        <v>26.2717577147727</v>
      </c>
      <c r="AH9" s="0" t="n">
        <v>26.2717577147727</v>
      </c>
      <c r="AI9" s="0" t="n">
        <v>26.2717577147727</v>
      </c>
      <c r="AJ9" s="0" t="n">
        <v>26.2717577147727</v>
      </c>
      <c r="AK9" s="0" t="n">
        <v>26.2717577147727</v>
      </c>
      <c r="AL9" s="0" t="n">
        <v>26.2717577147727</v>
      </c>
      <c r="AM9" s="0" t="n">
        <v>26.2717577147727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1</v>
      </c>
      <c r="AS9" s="0" t="n">
        <v>1</v>
      </c>
      <c r="AT9" s="0" t="n">
        <v>1</v>
      </c>
      <c r="AU9" s="0" t="n">
        <v>1</v>
      </c>
      <c r="AV9" s="0" t="n">
        <v>1</v>
      </c>
      <c r="AW9" s="0" t="n">
        <v>1</v>
      </c>
      <c r="AX9" s="0" t="n">
        <v>26.2717577147727</v>
      </c>
      <c r="AY9" s="0" t="n">
        <v>26.2717577147727</v>
      </c>
      <c r="AZ9" s="0" t="n">
        <v>26.2717577147727</v>
      </c>
      <c r="BA9" s="0" t="n">
        <v>1</v>
      </c>
      <c r="BB9" s="0" t="n">
        <v>1</v>
      </c>
      <c r="BC9" s="0" t="n">
        <v>26.2717577147727</v>
      </c>
      <c r="BD9" s="0" t="n">
        <v>26.2717577147727</v>
      </c>
      <c r="BE9" s="0" t="n">
        <v>1</v>
      </c>
      <c r="BF9" s="0" t="n">
        <v>1</v>
      </c>
      <c r="BG9" s="0" t="n">
        <v>26.2717577147727</v>
      </c>
      <c r="BH9" s="0" t="n">
        <v>26.2717577147727</v>
      </c>
      <c r="BI9" s="0" t="n">
        <v>26.2717577147727</v>
      </c>
      <c r="BJ9" s="0" t="n">
        <v>26.2717577147727</v>
      </c>
      <c r="BK9" s="0" t="n">
        <v>1</v>
      </c>
    </row>
    <row r="10" customFormat="false" ht="12.8" hidden="false" customHeight="false" outlineLevel="0" collapsed="false">
      <c r="A10" s="0" t="n">
        <f aca="false">A9-1</f>
        <v>2009</v>
      </c>
      <c r="B10" s="0" t="n">
        <v>24.681531482408</v>
      </c>
      <c r="C10" s="0" t="n">
        <v>24.681531482408</v>
      </c>
      <c r="D10" s="0" t="n">
        <v>24.681531482408</v>
      </c>
      <c r="E10" s="0" t="n">
        <v>24.681531482408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24.681531482408</v>
      </c>
      <c r="M10" s="0" t="n">
        <v>24.681531482408</v>
      </c>
      <c r="N10" s="0" t="n">
        <v>24.681531482408</v>
      </c>
      <c r="O10" s="0" t="n">
        <v>24.681531482408</v>
      </c>
      <c r="P10" s="0" t="n">
        <v>24.681531482408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24.681531482408</v>
      </c>
      <c r="AF10" s="0" t="n">
        <v>24.681531482408</v>
      </c>
      <c r="AG10" s="0" t="n">
        <v>24.681531482408</v>
      </c>
      <c r="AH10" s="0" t="n">
        <v>24.681531482408</v>
      </c>
      <c r="AI10" s="0" t="n">
        <v>24.681531482408</v>
      </c>
      <c r="AJ10" s="0" t="n">
        <v>24.681531482408</v>
      </c>
      <c r="AK10" s="0" t="n">
        <v>24.681531482408</v>
      </c>
      <c r="AL10" s="0" t="n">
        <v>24.681531482408</v>
      </c>
      <c r="AM10" s="0" t="n">
        <v>24.681531482408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1</v>
      </c>
      <c r="AV10" s="0" t="n">
        <v>1</v>
      </c>
      <c r="AW10" s="0" t="n">
        <v>1</v>
      </c>
      <c r="AX10" s="0" t="n">
        <v>24.681531482408</v>
      </c>
      <c r="AY10" s="0" t="n">
        <v>24.681531482408</v>
      </c>
      <c r="AZ10" s="0" t="n">
        <v>24.681531482408</v>
      </c>
      <c r="BA10" s="0" t="n">
        <v>1</v>
      </c>
      <c r="BB10" s="0" t="n">
        <v>1</v>
      </c>
      <c r="BC10" s="0" t="n">
        <v>24.681531482408</v>
      </c>
      <c r="BD10" s="0" t="n">
        <v>24.681531482408</v>
      </c>
      <c r="BE10" s="0" t="n">
        <v>1</v>
      </c>
      <c r="BF10" s="0" t="n">
        <v>1</v>
      </c>
      <c r="BG10" s="0" t="n">
        <v>24.681531482408</v>
      </c>
      <c r="BH10" s="0" t="n">
        <v>24.681531482408</v>
      </c>
      <c r="BI10" s="0" t="n">
        <v>24.681531482408</v>
      </c>
      <c r="BJ10" s="0" t="n">
        <v>24.681531482408</v>
      </c>
      <c r="BK10" s="0" t="n">
        <v>1</v>
      </c>
    </row>
    <row r="11" customFormat="false" ht="12.8" hidden="false" customHeight="false" outlineLevel="0" collapsed="false">
      <c r="A11" s="0" t="n">
        <f aca="false">A10-1</f>
        <v>2008</v>
      </c>
      <c r="B11" s="0" t="n">
        <v>25.2015476869226</v>
      </c>
      <c r="C11" s="0" t="n">
        <v>25.2015476869226</v>
      </c>
      <c r="D11" s="0" t="n">
        <v>25.2015476869226</v>
      </c>
      <c r="E11" s="0" t="n">
        <v>25.2015476869226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25.2015476869226</v>
      </c>
      <c r="M11" s="0" t="n">
        <v>25.2015476869226</v>
      </c>
      <c r="N11" s="0" t="n">
        <v>25.2015476869226</v>
      </c>
      <c r="O11" s="0" t="n">
        <v>25.2015476869226</v>
      </c>
      <c r="P11" s="0" t="n">
        <v>25.2015476869226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25.2015476869226</v>
      </c>
      <c r="AF11" s="0" t="n">
        <v>25.2015476869226</v>
      </c>
      <c r="AG11" s="0" t="n">
        <v>25.2015476869226</v>
      </c>
      <c r="AH11" s="0" t="n">
        <v>25.2015476869226</v>
      </c>
      <c r="AI11" s="0" t="n">
        <v>25.2015476869226</v>
      </c>
      <c r="AJ11" s="0" t="n">
        <v>25.2015476869226</v>
      </c>
      <c r="AK11" s="0" t="n">
        <v>25.2015476869226</v>
      </c>
      <c r="AL11" s="0" t="n">
        <v>25.2015476869226</v>
      </c>
      <c r="AM11" s="0" t="n">
        <v>25.2015476869226</v>
      </c>
      <c r="AN11" s="0" t="n">
        <v>1</v>
      </c>
      <c r="AO11" s="0" t="n">
        <v>1</v>
      </c>
      <c r="AP11" s="0" t="n">
        <v>1</v>
      </c>
      <c r="AQ11" s="0" t="n">
        <v>1</v>
      </c>
      <c r="AR11" s="0" t="n">
        <v>1</v>
      </c>
      <c r="AS11" s="0" t="n">
        <v>1</v>
      </c>
      <c r="AT11" s="0" t="n">
        <v>1</v>
      </c>
      <c r="AU11" s="0" t="n">
        <v>1</v>
      </c>
      <c r="AV11" s="0" t="n">
        <v>1</v>
      </c>
      <c r="AW11" s="0" t="n">
        <v>1</v>
      </c>
      <c r="AX11" s="0" t="n">
        <v>25.2015476869226</v>
      </c>
      <c r="AY11" s="0" t="n">
        <v>25.2015476869226</v>
      </c>
      <c r="AZ11" s="0" t="n">
        <v>25.2015476869226</v>
      </c>
      <c r="BA11" s="0" t="n">
        <v>1</v>
      </c>
      <c r="BB11" s="0" t="n">
        <v>1</v>
      </c>
      <c r="BC11" s="0" t="n">
        <v>25.2015476869226</v>
      </c>
      <c r="BD11" s="0" t="n">
        <v>25.2015476869226</v>
      </c>
      <c r="BE11" s="0" t="n">
        <v>1</v>
      </c>
      <c r="BF11" s="0" t="n">
        <v>1</v>
      </c>
      <c r="BG11" s="0" t="n">
        <v>25.2015476869226</v>
      </c>
      <c r="BH11" s="0" t="n">
        <v>25.2015476869226</v>
      </c>
      <c r="BI11" s="0" t="n">
        <v>25.2015476869226</v>
      </c>
      <c r="BJ11" s="0" t="n">
        <v>25.2015476869226</v>
      </c>
      <c r="BK11" s="0" t="n">
        <v>1</v>
      </c>
    </row>
    <row r="12" customFormat="false" ht="12.8" hidden="false" customHeight="false" outlineLevel="0" collapsed="false">
      <c r="A12" s="0" t="n">
        <f aca="false">A11-1</f>
        <v>2007</v>
      </c>
      <c r="B12" s="0" t="n">
        <v>22.3132824644278</v>
      </c>
      <c r="C12" s="0" t="n">
        <v>22.3132824644278</v>
      </c>
      <c r="D12" s="0" t="n">
        <v>22.3132824644278</v>
      </c>
      <c r="E12" s="0" t="n">
        <v>22.3132824644278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22.3132824644278</v>
      </c>
      <c r="M12" s="0" t="n">
        <v>22.3132824644278</v>
      </c>
      <c r="N12" s="0" t="n">
        <v>22.3132824644278</v>
      </c>
      <c r="O12" s="0" t="n">
        <v>22.3132824644278</v>
      </c>
      <c r="P12" s="0" t="n">
        <v>22.3132824644278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1</v>
      </c>
      <c r="AE12" s="0" t="n">
        <v>22.3132824644278</v>
      </c>
      <c r="AF12" s="0" t="n">
        <v>22.3132824644278</v>
      </c>
      <c r="AG12" s="0" t="n">
        <v>22.3132824644278</v>
      </c>
      <c r="AH12" s="0" t="n">
        <v>22.3132824644278</v>
      </c>
      <c r="AI12" s="0" t="n">
        <v>22.3132824644278</v>
      </c>
      <c r="AJ12" s="0" t="n">
        <v>22.3132824644278</v>
      </c>
      <c r="AK12" s="0" t="n">
        <v>22.3132824644278</v>
      </c>
      <c r="AL12" s="0" t="n">
        <v>22.3132824644278</v>
      </c>
      <c r="AM12" s="0" t="n">
        <v>22.3132824644278</v>
      </c>
      <c r="AN12" s="0" t="n">
        <v>1</v>
      </c>
      <c r="AO12" s="0" t="n">
        <v>1</v>
      </c>
      <c r="AP12" s="0" t="n">
        <v>1</v>
      </c>
      <c r="AQ12" s="0" t="n">
        <v>1</v>
      </c>
      <c r="AR12" s="0" t="n">
        <v>1</v>
      </c>
      <c r="AS12" s="0" t="n">
        <v>1</v>
      </c>
      <c r="AT12" s="0" t="n">
        <v>1</v>
      </c>
      <c r="AU12" s="0" t="n">
        <v>1</v>
      </c>
      <c r="AV12" s="0" t="n">
        <v>1</v>
      </c>
      <c r="AW12" s="0" t="n">
        <v>1</v>
      </c>
      <c r="AX12" s="0" t="n">
        <v>22.3132824644278</v>
      </c>
      <c r="AY12" s="0" t="n">
        <v>22.3132824644278</v>
      </c>
      <c r="AZ12" s="0" t="n">
        <v>22.3132824644278</v>
      </c>
      <c r="BA12" s="0" t="n">
        <v>1</v>
      </c>
      <c r="BB12" s="0" t="n">
        <v>1</v>
      </c>
      <c r="BC12" s="0" t="n">
        <v>22.3132824644278</v>
      </c>
      <c r="BD12" s="0" t="n">
        <v>22.3132824644278</v>
      </c>
      <c r="BE12" s="0" t="n">
        <v>1</v>
      </c>
      <c r="BF12" s="0" t="n">
        <v>1</v>
      </c>
      <c r="BG12" s="0" t="n">
        <v>22.3132824644278</v>
      </c>
      <c r="BH12" s="0" t="n">
        <v>22.3132824644278</v>
      </c>
      <c r="BI12" s="0" t="n">
        <v>22.3132824644278</v>
      </c>
      <c r="BJ12" s="0" t="n">
        <v>22.3132824644278</v>
      </c>
      <c r="BK12" s="0" t="n">
        <v>1</v>
      </c>
    </row>
    <row r="13" customFormat="false" ht="12.8" hidden="false" customHeight="false" outlineLevel="0" collapsed="false">
      <c r="A13" s="0" t="n">
        <f aca="false">A12-1</f>
        <v>2006</v>
      </c>
      <c r="B13" s="0" t="n">
        <v>19.5797847956747</v>
      </c>
      <c r="C13" s="0" t="n">
        <v>19.5797847956747</v>
      </c>
      <c r="D13" s="0" t="n">
        <v>19.5797847956747</v>
      </c>
      <c r="E13" s="0" t="n">
        <v>19.5797847956747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19.5797847956747</v>
      </c>
      <c r="M13" s="0" t="n">
        <v>19.5797847956747</v>
      </c>
      <c r="N13" s="0" t="n">
        <v>19.5797847956747</v>
      </c>
      <c r="O13" s="0" t="n">
        <v>19.5797847956747</v>
      </c>
      <c r="P13" s="0" t="n">
        <v>19.5797847956747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19.5797847956747</v>
      </c>
      <c r="AF13" s="0" t="n">
        <v>19.5797847956747</v>
      </c>
      <c r="AG13" s="0" t="n">
        <v>19.5797847956747</v>
      </c>
      <c r="AH13" s="0" t="n">
        <v>19.5797847956747</v>
      </c>
      <c r="AI13" s="0" t="n">
        <v>19.5797847956747</v>
      </c>
      <c r="AJ13" s="0" t="n">
        <v>19.5797847956747</v>
      </c>
      <c r="AK13" s="0" t="n">
        <v>19.5797847956747</v>
      </c>
      <c r="AL13" s="0" t="n">
        <v>19.5797847956747</v>
      </c>
      <c r="AM13" s="0" t="n">
        <v>19.5797847956747</v>
      </c>
      <c r="AN13" s="0" t="n">
        <v>1</v>
      </c>
      <c r="AO13" s="0" t="n">
        <v>1</v>
      </c>
      <c r="AP13" s="0" t="n">
        <v>1</v>
      </c>
      <c r="AQ13" s="0" t="n">
        <v>1</v>
      </c>
      <c r="AR13" s="0" t="n">
        <v>1</v>
      </c>
      <c r="AS13" s="0" t="n">
        <v>1</v>
      </c>
      <c r="AT13" s="0" t="n">
        <v>1</v>
      </c>
      <c r="AU13" s="0" t="n">
        <v>1</v>
      </c>
      <c r="AV13" s="0" t="n">
        <v>1</v>
      </c>
      <c r="AW13" s="0" t="n">
        <v>1</v>
      </c>
      <c r="AX13" s="0" t="n">
        <v>19.5797847956747</v>
      </c>
      <c r="AY13" s="0" t="n">
        <v>19.5797847956747</v>
      </c>
      <c r="AZ13" s="0" t="n">
        <v>19.5797847956747</v>
      </c>
      <c r="BA13" s="0" t="n">
        <v>1</v>
      </c>
      <c r="BB13" s="0" t="n">
        <v>1</v>
      </c>
      <c r="BC13" s="0" t="n">
        <v>19.5797847956747</v>
      </c>
      <c r="BD13" s="0" t="n">
        <v>19.5797847956747</v>
      </c>
      <c r="BE13" s="0" t="n">
        <v>1</v>
      </c>
      <c r="BF13" s="0" t="n">
        <v>1</v>
      </c>
      <c r="BG13" s="0" t="n">
        <v>19.5797847956747</v>
      </c>
      <c r="BH13" s="0" t="n">
        <v>19.5797847956747</v>
      </c>
      <c r="BI13" s="0" t="n">
        <v>19.5797847956747</v>
      </c>
      <c r="BJ13" s="0" t="n">
        <v>19.5797847956747</v>
      </c>
      <c r="BK13" s="0" t="n">
        <v>1</v>
      </c>
    </row>
    <row r="14" customFormat="false" ht="12.8" hidden="false" customHeight="false" outlineLevel="0" collapsed="false">
      <c r="A14" s="0" t="n">
        <f aca="false">A13-1</f>
        <v>2005</v>
      </c>
      <c r="B14" s="0" t="n">
        <v>17.447036378595</v>
      </c>
      <c r="C14" s="0" t="n">
        <v>17.447036378595</v>
      </c>
      <c r="D14" s="0" t="n">
        <v>17.447036378595</v>
      </c>
      <c r="E14" s="0" t="n">
        <v>17.447036378595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17.447036378595</v>
      </c>
      <c r="M14" s="0" t="n">
        <v>17.447036378595</v>
      </c>
      <c r="N14" s="0" t="n">
        <v>17.447036378595</v>
      </c>
      <c r="O14" s="0" t="n">
        <v>17.447036378595</v>
      </c>
      <c r="P14" s="0" t="n">
        <v>17.447036378595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17.447036378595</v>
      </c>
      <c r="AF14" s="0" t="n">
        <v>17.447036378595</v>
      </c>
      <c r="AG14" s="0" t="n">
        <v>17.447036378595</v>
      </c>
      <c r="AH14" s="0" t="n">
        <v>17.447036378595</v>
      </c>
      <c r="AI14" s="0" t="n">
        <v>17.447036378595</v>
      </c>
      <c r="AJ14" s="0" t="n">
        <v>17.447036378595</v>
      </c>
      <c r="AK14" s="0" t="n">
        <v>17.447036378595</v>
      </c>
      <c r="AL14" s="0" t="n">
        <v>17.447036378595</v>
      </c>
      <c r="AM14" s="0" t="n">
        <v>17.447036378595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1</v>
      </c>
      <c r="AV14" s="0" t="n">
        <v>1</v>
      </c>
      <c r="AW14" s="0" t="n">
        <v>1</v>
      </c>
      <c r="AX14" s="0" t="n">
        <v>17.447036378595</v>
      </c>
      <c r="AY14" s="0" t="n">
        <v>17.447036378595</v>
      </c>
      <c r="AZ14" s="0" t="n">
        <v>17.447036378595</v>
      </c>
      <c r="BA14" s="0" t="n">
        <v>1</v>
      </c>
      <c r="BB14" s="0" t="n">
        <v>1</v>
      </c>
      <c r="BC14" s="0" t="n">
        <v>17.447036378595</v>
      </c>
      <c r="BD14" s="0" t="n">
        <v>17.447036378595</v>
      </c>
      <c r="BE14" s="0" t="n">
        <v>1</v>
      </c>
      <c r="BF14" s="0" t="n">
        <v>1</v>
      </c>
      <c r="BG14" s="0" t="n">
        <v>17.447036378595</v>
      </c>
      <c r="BH14" s="0" t="n">
        <v>17.447036378595</v>
      </c>
      <c r="BI14" s="0" t="n">
        <v>17.447036378595</v>
      </c>
      <c r="BJ14" s="0" t="n">
        <v>17.447036378595</v>
      </c>
      <c r="BK14" s="0" t="n">
        <v>1</v>
      </c>
    </row>
    <row r="15" customFormat="false" ht="12.8" hidden="false" customHeight="false" outlineLevel="0" collapsed="false">
      <c r="A15" s="0" t="n">
        <f aca="false">A14-1</f>
        <v>2004</v>
      </c>
      <c r="B15" s="0" t="n">
        <v>17.4499855370541</v>
      </c>
      <c r="C15" s="0" t="n">
        <v>17.4499855370541</v>
      </c>
      <c r="D15" s="0" t="n">
        <v>17.4499855370541</v>
      </c>
      <c r="E15" s="0" t="n">
        <v>17.4499855370541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17.4499855370541</v>
      </c>
      <c r="M15" s="0" t="n">
        <v>17.4499855370541</v>
      </c>
      <c r="N15" s="0" t="n">
        <v>17.4499855370541</v>
      </c>
      <c r="O15" s="0" t="n">
        <v>17.4499855370541</v>
      </c>
      <c r="P15" s="0" t="n">
        <v>17.4499855370541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1</v>
      </c>
      <c r="AE15" s="0" t="n">
        <v>17.4499855370541</v>
      </c>
      <c r="AF15" s="0" t="n">
        <v>17.4499855370541</v>
      </c>
      <c r="AG15" s="0" t="n">
        <v>17.4499855370541</v>
      </c>
      <c r="AH15" s="0" t="n">
        <v>17.4499855370541</v>
      </c>
      <c r="AI15" s="0" t="n">
        <v>17.4499855370541</v>
      </c>
      <c r="AJ15" s="0" t="n">
        <v>17.4499855370541</v>
      </c>
      <c r="AK15" s="0" t="n">
        <v>17.4499855370541</v>
      </c>
      <c r="AL15" s="0" t="n">
        <v>17.4499855370541</v>
      </c>
      <c r="AM15" s="0" t="n">
        <v>17.4499855370541</v>
      </c>
      <c r="AN15" s="0" t="n">
        <v>1</v>
      </c>
      <c r="AO15" s="0" t="n">
        <v>1</v>
      </c>
      <c r="AP15" s="0" t="n">
        <v>1</v>
      </c>
      <c r="AQ15" s="0" t="n">
        <v>1</v>
      </c>
      <c r="AR15" s="0" t="n">
        <v>1</v>
      </c>
      <c r="AS15" s="0" t="n">
        <v>1</v>
      </c>
      <c r="AT15" s="0" t="n">
        <v>1</v>
      </c>
      <c r="AU15" s="0" t="n">
        <v>1</v>
      </c>
      <c r="AV15" s="0" t="n">
        <v>1</v>
      </c>
      <c r="AW15" s="0" t="n">
        <v>1</v>
      </c>
      <c r="AX15" s="0" t="n">
        <v>17.4499855370541</v>
      </c>
      <c r="AY15" s="0" t="n">
        <v>17.4499855370541</v>
      </c>
      <c r="AZ15" s="0" t="n">
        <v>17.4499855370541</v>
      </c>
      <c r="BA15" s="0" t="n">
        <v>1</v>
      </c>
      <c r="BB15" s="0" t="n">
        <v>1</v>
      </c>
      <c r="BC15" s="0" t="n">
        <v>17.4499855370541</v>
      </c>
      <c r="BD15" s="0" t="n">
        <v>17.4499855370541</v>
      </c>
      <c r="BE15" s="0" t="n">
        <v>1</v>
      </c>
      <c r="BF15" s="0" t="n">
        <v>1</v>
      </c>
      <c r="BG15" s="0" t="n">
        <v>17.4499855370541</v>
      </c>
      <c r="BH15" s="0" t="n">
        <v>17.4499855370541</v>
      </c>
      <c r="BI15" s="0" t="n">
        <v>17.4499855370541</v>
      </c>
      <c r="BJ15" s="0" t="n">
        <v>17.4499855370541</v>
      </c>
      <c r="BK15" s="0" t="n">
        <v>1</v>
      </c>
    </row>
    <row r="16" customFormat="false" ht="12.8" hidden="false" customHeight="false" outlineLevel="0" collapsed="false">
      <c r="A16" s="0" t="n">
        <f aca="false">A15-1</f>
        <v>2003</v>
      </c>
      <c r="B16" s="0" t="n">
        <v>16.2412881776082</v>
      </c>
      <c r="C16" s="0" t="n">
        <v>16.2412881776082</v>
      </c>
      <c r="D16" s="0" t="n">
        <v>16.2412881776082</v>
      </c>
      <c r="E16" s="0" t="n">
        <v>16.2412881776082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16.2412881776082</v>
      </c>
      <c r="M16" s="0" t="n">
        <v>16.2412881776082</v>
      </c>
      <c r="N16" s="0" t="n">
        <v>16.2412881776082</v>
      </c>
      <c r="O16" s="0" t="n">
        <v>16.2412881776082</v>
      </c>
      <c r="P16" s="0" t="n">
        <v>16.2412881776082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16.2412881776082</v>
      </c>
      <c r="AF16" s="0" t="n">
        <v>16.2412881776082</v>
      </c>
      <c r="AG16" s="0" t="n">
        <v>16.2412881776082</v>
      </c>
      <c r="AH16" s="0" t="n">
        <v>16.2412881776082</v>
      </c>
      <c r="AI16" s="0" t="n">
        <v>16.2412881776082</v>
      </c>
      <c r="AJ16" s="0" t="n">
        <v>16.2412881776082</v>
      </c>
      <c r="AK16" s="0" t="n">
        <v>16.2412881776082</v>
      </c>
      <c r="AL16" s="0" t="n">
        <v>16.2412881776082</v>
      </c>
      <c r="AM16" s="0" t="n">
        <v>16.2412881776082</v>
      </c>
      <c r="AN16" s="0" t="n">
        <v>1</v>
      </c>
      <c r="AO16" s="0" t="n">
        <v>1</v>
      </c>
      <c r="AP16" s="0" t="n">
        <v>1</v>
      </c>
      <c r="AQ16" s="0" t="n">
        <v>1</v>
      </c>
      <c r="AR16" s="0" t="n">
        <v>1</v>
      </c>
      <c r="AS16" s="0" t="n">
        <v>1</v>
      </c>
      <c r="AT16" s="0" t="n">
        <v>1</v>
      </c>
      <c r="AU16" s="0" t="n">
        <v>1</v>
      </c>
      <c r="AV16" s="0" t="n">
        <v>1</v>
      </c>
      <c r="AW16" s="0" t="n">
        <v>1</v>
      </c>
      <c r="AX16" s="0" t="n">
        <v>16.2412881776082</v>
      </c>
      <c r="AY16" s="0" t="n">
        <v>16.2412881776082</v>
      </c>
      <c r="AZ16" s="0" t="n">
        <v>16.2412881776082</v>
      </c>
      <c r="BA16" s="0" t="n">
        <v>1</v>
      </c>
      <c r="BB16" s="0" t="n">
        <v>1</v>
      </c>
      <c r="BC16" s="0" t="n">
        <v>16.2412881776082</v>
      </c>
      <c r="BD16" s="0" t="n">
        <v>16.2412881776082</v>
      </c>
      <c r="BE16" s="0" t="n">
        <v>1</v>
      </c>
      <c r="BF16" s="0" t="n">
        <v>1</v>
      </c>
      <c r="BG16" s="0" t="n">
        <v>16.2412881776082</v>
      </c>
      <c r="BH16" s="0" t="n">
        <v>16.2412881776082</v>
      </c>
      <c r="BI16" s="0" t="n">
        <v>16.2412881776082</v>
      </c>
      <c r="BJ16" s="0" t="n">
        <v>16.2412881776082</v>
      </c>
      <c r="BK16" s="0" t="n">
        <v>1</v>
      </c>
    </row>
    <row r="17" customFormat="false" ht="12.8" hidden="false" customHeight="false" outlineLevel="0" collapsed="false">
      <c r="A17" s="0" t="n">
        <f aca="false">A16-1</f>
        <v>2002</v>
      </c>
      <c r="B17" s="0" t="n">
        <v>16.1749972816046</v>
      </c>
      <c r="C17" s="0" t="n">
        <v>16.1749972816046</v>
      </c>
      <c r="D17" s="0" t="n">
        <v>16.1749972816046</v>
      </c>
      <c r="E17" s="0" t="n">
        <v>16.1749972816046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16.1749972816046</v>
      </c>
      <c r="M17" s="0" t="n">
        <v>16.1749972816046</v>
      </c>
      <c r="N17" s="0" t="n">
        <v>16.1749972816046</v>
      </c>
      <c r="O17" s="0" t="n">
        <v>16.1749972816046</v>
      </c>
      <c r="P17" s="0" t="n">
        <v>16.1749972816046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1</v>
      </c>
      <c r="AE17" s="0" t="n">
        <v>16.1749972816046</v>
      </c>
      <c r="AF17" s="0" t="n">
        <v>16.1749972816046</v>
      </c>
      <c r="AG17" s="0" t="n">
        <v>16.1749972816046</v>
      </c>
      <c r="AH17" s="0" t="n">
        <v>16.1749972816046</v>
      </c>
      <c r="AI17" s="0" t="n">
        <v>16.1749972816046</v>
      </c>
      <c r="AJ17" s="0" t="n">
        <v>16.1749972816046</v>
      </c>
      <c r="AK17" s="0" t="n">
        <v>16.1749972816046</v>
      </c>
      <c r="AL17" s="0" t="n">
        <v>16.1749972816046</v>
      </c>
      <c r="AM17" s="0" t="n">
        <v>16.1749972816046</v>
      </c>
      <c r="AN17" s="0" t="n">
        <v>1</v>
      </c>
      <c r="AO17" s="0" t="n">
        <v>1</v>
      </c>
      <c r="AP17" s="0" t="n">
        <v>1</v>
      </c>
      <c r="AQ17" s="0" t="n">
        <v>1</v>
      </c>
      <c r="AR17" s="0" t="n">
        <v>1</v>
      </c>
      <c r="AS17" s="0" t="n">
        <v>1</v>
      </c>
      <c r="AT17" s="0" t="n">
        <v>1</v>
      </c>
      <c r="AU17" s="0" t="n">
        <v>1</v>
      </c>
      <c r="AV17" s="0" t="n">
        <v>1</v>
      </c>
      <c r="AW17" s="0" t="n">
        <v>1</v>
      </c>
      <c r="AX17" s="0" t="n">
        <v>16.1749972816046</v>
      </c>
      <c r="AY17" s="0" t="n">
        <v>16.1749972816046</v>
      </c>
      <c r="AZ17" s="0" t="n">
        <v>16.1749972816046</v>
      </c>
      <c r="BA17" s="0" t="n">
        <v>1</v>
      </c>
      <c r="BB17" s="0" t="n">
        <v>1</v>
      </c>
      <c r="BC17" s="0" t="n">
        <v>16.1749972816046</v>
      </c>
      <c r="BD17" s="0" t="n">
        <v>16.1749972816046</v>
      </c>
      <c r="BE17" s="0" t="n">
        <v>1</v>
      </c>
      <c r="BF17" s="0" t="n">
        <v>1</v>
      </c>
      <c r="BG17" s="0" t="n">
        <v>16.1749972816046</v>
      </c>
      <c r="BH17" s="0" t="n">
        <v>16.1749972816046</v>
      </c>
      <c r="BI17" s="0" t="n">
        <v>16.1749972816046</v>
      </c>
      <c r="BJ17" s="0" t="n">
        <v>16.1749972816046</v>
      </c>
      <c r="BK17" s="0" t="n">
        <v>1</v>
      </c>
    </row>
    <row r="18" customFormat="false" ht="12.8" hidden="false" customHeight="false" outlineLevel="0" collapsed="false">
      <c r="A18" s="0" t="n">
        <f aca="false">A17-1</f>
        <v>2001</v>
      </c>
      <c r="B18" s="0" t="n">
        <v>16.0704012253545</v>
      </c>
      <c r="C18" s="0" t="n">
        <v>16.0704012253545</v>
      </c>
      <c r="D18" s="0" t="n">
        <v>16.0704012253545</v>
      </c>
      <c r="E18" s="0" t="n">
        <v>16.0704012253545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16.0704012253545</v>
      </c>
      <c r="M18" s="0" t="n">
        <v>16.0704012253545</v>
      </c>
      <c r="N18" s="0" t="n">
        <v>16.0704012253545</v>
      </c>
      <c r="O18" s="0" t="n">
        <v>16.0704012253545</v>
      </c>
      <c r="P18" s="0" t="n">
        <v>16.0704012253545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16.0704012253545</v>
      </c>
      <c r="AF18" s="0" t="n">
        <v>16.0704012253545</v>
      </c>
      <c r="AG18" s="0" t="n">
        <v>16.0704012253545</v>
      </c>
      <c r="AH18" s="0" t="n">
        <v>16.0704012253545</v>
      </c>
      <c r="AI18" s="0" t="n">
        <v>16.0704012253545</v>
      </c>
      <c r="AJ18" s="0" t="n">
        <v>16.0704012253545</v>
      </c>
      <c r="AK18" s="0" t="n">
        <v>16.0704012253545</v>
      </c>
      <c r="AL18" s="0" t="n">
        <v>16.0704012253545</v>
      </c>
      <c r="AM18" s="0" t="n">
        <v>16.0704012253545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1</v>
      </c>
      <c r="AT18" s="0" t="n">
        <v>1</v>
      </c>
      <c r="AU18" s="0" t="n">
        <v>1</v>
      </c>
      <c r="AV18" s="0" t="n">
        <v>1</v>
      </c>
      <c r="AW18" s="0" t="n">
        <v>1</v>
      </c>
      <c r="AX18" s="0" t="n">
        <v>16.0704012253545</v>
      </c>
      <c r="AY18" s="0" t="n">
        <v>16.0704012253545</v>
      </c>
      <c r="AZ18" s="0" t="n">
        <v>16.0704012253545</v>
      </c>
      <c r="BA18" s="0" t="n">
        <v>1</v>
      </c>
      <c r="BB18" s="0" t="n">
        <v>1</v>
      </c>
      <c r="BC18" s="0" t="n">
        <v>16.0704012253545</v>
      </c>
      <c r="BD18" s="0" t="n">
        <v>16.0704012253545</v>
      </c>
      <c r="BE18" s="0" t="n">
        <v>1</v>
      </c>
      <c r="BF18" s="0" t="n">
        <v>1</v>
      </c>
      <c r="BG18" s="0" t="n">
        <v>16.0704012253545</v>
      </c>
      <c r="BH18" s="0" t="n">
        <v>16.0704012253545</v>
      </c>
      <c r="BI18" s="0" t="n">
        <v>16.0704012253545</v>
      </c>
      <c r="BJ18" s="0" t="n">
        <v>16.0704012253545</v>
      </c>
      <c r="BK18" s="0" t="n">
        <v>1</v>
      </c>
    </row>
    <row r="19" customFormat="false" ht="12.8" hidden="false" customHeight="false" outlineLevel="0" collapsed="false">
      <c r="A19" s="0" t="n">
        <f aca="false">A18-1</f>
        <v>2000</v>
      </c>
      <c r="B19" s="0" t="n">
        <v>5.60357480392216</v>
      </c>
      <c r="C19" s="0" t="n">
        <v>5.60357480392216</v>
      </c>
      <c r="D19" s="0" t="n">
        <v>5.60357480392216</v>
      </c>
      <c r="E19" s="0" t="n">
        <v>5.60357480392216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5.60357480392216</v>
      </c>
      <c r="M19" s="0" t="n">
        <v>5.60357480392216</v>
      </c>
      <c r="N19" s="0" t="n">
        <v>5.60357480392216</v>
      </c>
      <c r="O19" s="0" t="n">
        <v>5.60357480392216</v>
      </c>
      <c r="P19" s="0" t="n">
        <v>5.60357480392216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1</v>
      </c>
      <c r="AE19" s="0" t="n">
        <v>5.60357480392216</v>
      </c>
      <c r="AF19" s="0" t="n">
        <v>5.60357480392216</v>
      </c>
      <c r="AG19" s="0" t="n">
        <v>5.60357480392216</v>
      </c>
      <c r="AH19" s="0" t="n">
        <v>5.60357480392216</v>
      </c>
      <c r="AI19" s="0" t="n">
        <v>5.60357480392216</v>
      </c>
      <c r="AJ19" s="0" t="n">
        <v>5.60357480392216</v>
      </c>
      <c r="AK19" s="0" t="n">
        <v>5.60357480392216</v>
      </c>
      <c r="AL19" s="0" t="n">
        <v>5.60357480392216</v>
      </c>
      <c r="AM19" s="0" t="n">
        <v>5.60357480392216</v>
      </c>
      <c r="AN19" s="0" t="n">
        <v>1</v>
      </c>
      <c r="AO19" s="0" t="n">
        <v>1</v>
      </c>
      <c r="AP19" s="0" t="n">
        <v>1</v>
      </c>
      <c r="AQ19" s="0" t="n">
        <v>1</v>
      </c>
      <c r="AR19" s="0" t="n">
        <v>1</v>
      </c>
      <c r="AS19" s="0" t="n">
        <v>1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5.60357480392216</v>
      </c>
      <c r="AY19" s="0" t="n">
        <v>5.60357480392216</v>
      </c>
      <c r="AZ19" s="0" t="n">
        <v>5.60357480392216</v>
      </c>
      <c r="BA19" s="0" t="n">
        <v>1</v>
      </c>
      <c r="BB19" s="0" t="n">
        <v>1</v>
      </c>
      <c r="BC19" s="0" t="n">
        <v>5.60357480392216</v>
      </c>
      <c r="BD19" s="0" t="n">
        <v>5.60357480392216</v>
      </c>
      <c r="BE19" s="0" t="n">
        <v>1</v>
      </c>
      <c r="BF19" s="0" t="n">
        <v>1</v>
      </c>
      <c r="BG19" s="0" t="n">
        <v>5.60357480392216</v>
      </c>
      <c r="BH19" s="0" t="n">
        <v>5.60357480392216</v>
      </c>
      <c r="BI19" s="0" t="n">
        <v>5.60357480392216</v>
      </c>
      <c r="BJ19" s="0" t="n">
        <v>5.60357480392216</v>
      </c>
      <c r="BK19" s="0" t="n">
        <v>1</v>
      </c>
    </row>
    <row r="20" customFormat="false" ht="12.8" hidden="false" customHeight="false" outlineLevel="0" collapsed="false">
      <c r="A20" s="0" t="n">
        <f aca="false">A19-1</f>
        <v>1999</v>
      </c>
      <c r="B20" s="0" t="n">
        <v>5.60357480392216</v>
      </c>
      <c r="C20" s="0" t="n">
        <v>5.60357480392216</v>
      </c>
      <c r="D20" s="0" t="n">
        <v>5.60357480392216</v>
      </c>
      <c r="E20" s="0" t="n">
        <v>5.60357480392216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5.60357480392216</v>
      </c>
      <c r="M20" s="0" t="n">
        <v>5.60357480392216</v>
      </c>
      <c r="N20" s="0" t="n">
        <v>5.60357480392216</v>
      </c>
      <c r="O20" s="0" t="n">
        <v>5.60357480392216</v>
      </c>
      <c r="P20" s="0" t="n">
        <v>5.60357480392216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1</v>
      </c>
      <c r="AE20" s="0" t="n">
        <v>5.60357480392216</v>
      </c>
      <c r="AF20" s="0" t="n">
        <v>5.60357480392216</v>
      </c>
      <c r="AG20" s="0" t="n">
        <v>5.60357480392216</v>
      </c>
      <c r="AH20" s="0" t="n">
        <v>5.60357480392216</v>
      </c>
      <c r="AI20" s="0" t="n">
        <v>5.60357480392216</v>
      </c>
      <c r="AJ20" s="0" t="n">
        <v>5.60357480392216</v>
      </c>
      <c r="AK20" s="0" t="n">
        <v>5.60357480392216</v>
      </c>
      <c r="AL20" s="0" t="n">
        <v>5.60357480392216</v>
      </c>
      <c r="AM20" s="0" t="n">
        <v>5.60357480392216</v>
      </c>
      <c r="AN20" s="0" t="n">
        <v>1</v>
      </c>
      <c r="AO20" s="0" t="n">
        <v>1</v>
      </c>
      <c r="AP20" s="0" t="n">
        <v>1</v>
      </c>
      <c r="AQ20" s="0" t="n">
        <v>1</v>
      </c>
      <c r="AR20" s="0" t="n">
        <v>1</v>
      </c>
      <c r="AS20" s="0" t="n">
        <v>1</v>
      </c>
      <c r="AT20" s="0" t="n">
        <v>1</v>
      </c>
      <c r="AU20" s="0" t="n">
        <v>1</v>
      </c>
      <c r="AV20" s="0" t="n">
        <v>1</v>
      </c>
      <c r="AW20" s="0" t="n">
        <v>1</v>
      </c>
      <c r="AX20" s="0" t="n">
        <v>5.60357480392216</v>
      </c>
      <c r="AY20" s="0" t="n">
        <v>5.60357480392216</v>
      </c>
      <c r="AZ20" s="0" t="n">
        <v>5.60357480392216</v>
      </c>
      <c r="BA20" s="0" t="n">
        <v>1</v>
      </c>
      <c r="BB20" s="0" t="n">
        <v>1</v>
      </c>
      <c r="BC20" s="0" t="n">
        <v>5.60357480392216</v>
      </c>
      <c r="BD20" s="0" t="n">
        <v>5.60357480392216</v>
      </c>
      <c r="BE20" s="0" t="n">
        <v>1</v>
      </c>
      <c r="BF20" s="0" t="n">
        <v>1</v>
      </c>
      <c r="BG20" s="0" t="n">
        <v>5.60357480392216</v>
      </c>
      <c r="BH20" s="0" t="n">
        <v>5.60357480392216</v>
      </c>
      <c r="BI20" s="0" t="n">
        <v>5.60357480392216</v>
      </c>
      <c r="BJ20" s="0" t="n">
        <v>5.60357480392216</v>
      </c>
      <c r="BK20" s="0" t="n">
        <v>1</v>
      </c>
    </row>
    <row r="21" customFormat="false" ht="12.8" hidden="false" customHeight="false" outlineLevel="0" collapsed="false">
      <c r="A21" s="0" t="n">
        <f aca="false">A20-1</f>
        <v>1998</v>
      </c>
      <c r="B21" s="0" t="n">
        <v>5.61501316367939</v>
      </c>
      <c r="C21" s="0" t="n">
        <v>5.61501316367939</v>
      </c>
      <c r="D21" s="0" t="n">
        <v>5.61501316367939</v>
      </c>
      <c r="E21" s="0" t="n">
        <v>5.61501316367939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5.61501316367939</v>
      </c>
      <c r="M21" s="0" t="n">
        <v>5.61501316367939</v>
      </c>
      <c r="N21" s="0" t="n">
        <v>5.61501316367939</v>
      </c>
      <c r="O21" s="0" t="n">
        <v>5.61501316367939</v>
      </c>
      <c r="P21" s="0" t="n">
        <v>5.61501316367939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5.61501316367939</v>
      </c>
      <c r="AF21" s="0" t="n">
        <v>5.61501316367939</v>
      </c>
      <c r="AG21" s="0" t="n">
        <v>5.61501316367939</v>
      </c>
      <c r="AH21" s="0" t="n">
        <v>5.61501316367939</v>
      </c>
      <c r="AI21" s="0" t="n">
        <v>5.61501316367939</v>
      </c>
      <c r="AJ21" s="0" t="n">
        <v>5.61501316367939</v>
      </c>
      <c r="AK21" s="0" t="n">
        <v>5.61501316367939</v>
      </c>
      <c r="AL21" s="0" t="n">
        <v>5.61501316367939</v>
      </c>
      <c r="AM21" s="0" t="n">
        <v>5.61501316367939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5.61501316367939</v>
      </c>
      <c r="AY21" s="0" t="n">
        <v>5.61501316367939</v>
      </c>
      <c r="AZ21" s="0" t="n">
        <v>5.61501316367939</v>
      </c>
      <c r="BA21" s="0" t="n">
        <v>1</v>
      </c>
      <c r="BB21" s="0" t="n">
        <v>1</v>
      </c>
      <c r="BC21" s="0" t="n">
        <v>5.61501316367939</v>
      </c>
      <c r="BD21" s="0" t="n">
        <v>5.61501316367939</v>
      </c>
      <c r="BE21" s="0" t="n">
        <v>1</v>
      </c>
      <c r="BF21" s="0" t="n">
        <v>1</v>
      </c>
      <c r="BG21" s="0" t="n">
        <v>5.61501316367939</v>
      </c>
      <c r="BH21" s="0" t="n">
        <v>5.61501316367939</v>
      </c>
      <c r="BI21" s="0" t="n">
        <v>5.61501316367939</v>
      </c>
      <c r="BJ21" s="0" t="n">
        <v>5.61501316367939</v>
      </c>
      <c r="BK21" s="0" t="n">
        <v>1</v>
      </c>
    </row>
    <row r="22" customFormat="false" ht="12.8" hidden="false" customHeight="false" outlineLevel="0" collapsed="false">
      <c r="A22" s="0" t="n">
        <f aca="false">A21-1</f>
        <v>1997</v>
      </c>
      <c r="B22" s="0" t="n">
        <v>5.33434996645406</v>
      </c>
      <c r="C22" s="0" t="n">
        <v>5.33434996645406</v>
      </c>
      <c r="D22" s="0" t="n">
        <v>5.33434996645406</v>
      </c>
      <c r="E22" s="0" t="n">
        <v>5.33434996645406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5.33434996645406</v>
      </c>
      <c r="M22" s="0" t="n">
        <v>5.33434996645406</v>
      </c>
      <c r="N22" s="0" t="n">
        <v>5.33434996645406</v>
      </c>
      <c r="O22" s="0" t="n">
        <v>5.33434996645406</v>
      </c>
      <c r="P22" s="0" t="n">
        <v>5.33434996645406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1</v>
      </c>
      <c r="AE22" s="0" t="n">
        <v>5.33434996645406</v>
      </c>
      <c r="AF22" s="0" t="n">
        <v>5.33434996645406</v>
      </c>
      <c r="AG22" s="0" t="n">
        <v>5.33434996645406</v>
      </c>
      <c r="AH22" s="0" t="n">
        <v>5.33434996645406</v>
      </c>
      <c r="AI22" s="0" t="n">
        <v>5.33434996645406</v>
      </c>
      <c r="AJ22" s="0" t="n">
        <v>5.33434996645406</v>
      </c>
      <c r="AK22" s="0" t="n">
        <v>5.33434996645406</v>
      </c>
      <c r="AL22" s="0" t="n">
        <v>5.33434996645406</v>
      </c>
      <c r="AM22" s="0" t="n">
        <v>5.33434996645406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1</v>
      </c>
      <c r="AV22" s="0" t="n">
        <v>1</v>
      </c>
      <c r="AW22" s="0" t="n">
        <v>1</v>
      </c>
      <c r="AX22" s="0" t="n">
        <v>5.33434996645406</v>
      </c>
      <c r="AY22" s="0" t="n">
        <v>5.33434996645406</v>
      </c>
      <c r="AZ22" s="0" t="n">
        <v>5.33434996645406</v>
      </c>
      <c r="BA22" s="0" t="n">
        <v>1</v>
      </c>
      <c r="BB22" s="0" t="n">
        <v>1</v>
      </c>
      <c r="BC22" s="0" t="n">
        <v>5.33434996645406</v>
      </c>
      <c r="BD22" s="0" t="n">
        <v>5.33434996645406</v>
      </c>
      <c r="BE22" s="0" t="n">
        <v>1</v>
      </c>
      <c r="BF22" s="0" t="n">
        <v>1</v>
      </c>
      <c r="BG22" s="0" t="n">
        <v>5.33434996645406</v>
      </c>
      <c r="BH22" s="0" t="n">
        <v>5.33434996645406</v>
      </c>
      <c r="BI22" s="0" t="n">
        <v>5.33434996645406</v>
      </c>
      <c r="BJ22" s="0" t="n">
        <v>5.33434996645406</v>
      </c>
      <c r="BK22" s="0" t="n">
        <v>1</v>
      </c>
    </row>
    <row r="23" customFormat="false" ht="12.8" hidden="false" customHeight="false" outlineLevel="0" collapsed="false">
      <c r="A23" s="0" t="n">
        <f aca="false">A22-1</f>
        <v>1996</v>
      </c>
      <c r="B23" s="0" t="n">
        <v>5.41751209460969</v>
      </c>
      <c r="C23" s="0" t="n">
        <v>5.41751209460969</v>
      </c>
      <c r="D23" s="0" t="n">
        <v>5.41751209460969</v>
      </c>
      <c r="E23" s="0" t="n">
        <v>5.41751209460969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5.41751209460969</v>
      </c>
      <c r="M23" s="0" t="n">
        <v>5.41751209460969</v>
      </c>
      <c r="N23" s="0" t="n">
        <v>5.41751209460969</v>
      </c>
      <c r="O23" s="0" t="n">
        <v>5.41751209460969</v>
      </c>
      <c r="P23" s="0" t="n">
        <v>5.41751209460969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1</v>
      </c>
      <c r="AE23" s="0" t="n">
        <v>5.41751209460969</v>
      </c>
      <c r="AF23" s="0" t="n">
        <v>5.41751209460969</v>
      </c>
      <c r="AG23" s="0" t="n">
        <v>5.41751209460969</v>
      </c>
      <c r="AH23" s="0" t="n">
        <v>5.41751209460969</v>
      </c>
      <c r="AI23" s="0" t="n">
        <v>5.41751209460969</v>
      </c>
      <c r="AJ23" s="0" t="n">
        <v>5.41751209460969</v>
      </c>
      <c r="AK23" s="0" t="n">
        <v>5.41751209460969</v>
      </c>
      <c r="AL23" s="0" t="n">
        <v>5.41751209460969</v>
      </c>
      <c r="AM23" s="0" t="n">
        <v>5.41751209460969</v>
      </c>
      <c r="AN23" s="0" t="n">
        <v>1</v>
      </c>
      <c r="AO23" s="0" t="n">
        <v>1</v>
      </c>
      <c r="AP23" s="0" t="n">
        <v>1</v>
      </c>
      <c r="AQ23" s="0" t="n">
        <v>1</v>
      </c>
      <c r="AR23" s="0" t="n">
        <v>1</v>
      </c>
      <c r="AS23" s="0" t="n">
        <v>1</v>
      </c>
      <c r="AT23" s="0" t="n">
        <v>1</v>
      </c>
      <c r="AU23" s="0" t="n">
        <v>1</v>
      </c>
      <c r="AV23" s="0" t="n">
        <v>1</v>
      </c>
      <c r="AW23" s="0" t="n">
        <v>1</v>
      </c>
      <c r="AX23" s="0" t="n">
        <v>5.41751209460969</v>
      </c>
      <c r="AY23" s="0" t="n">
        <v>5.41751209460969</v>
      </c>
      <c r="AZ23" s="0" t="n">
        <v>5.41751209460969</v>
      </c>
      <c r="BA23" s="0" t="n">
        <v>1</v>
      </c>
      <c r="BB23" s="0" t="n">
        <v>1</v>
      </c>
      <c r="BC23" s="0" t="n">
        <v>5.41751209460969</v>
      </c>
      <c r="BD23" s="0" t="n">
        <v>5.41751209460969</v>
      </c>
      <c r="BE23" s="0" t="n">
        <v>1</v>
      </c>
      <c r="BF23" s="0" t="n">
        <v>1</v>
      </c>
      <c r="BG23" s="0" t="n">
        <v>5.41751209460969</v>
      </c>
      <c r="BH23" s="0" t="n">
        <v>5.41751209460969</v>
      </c>
      <c r="BI23" s="0" t="n">
        <v>5.41751209460969</v>
      </c>
      <c r="BJ23" s="0" t="n">
        <v>5.41751209460969</v>
      </c>
      <c r="BK23" s="0" t="n">
        <v>1</v>
      </c>
    </row>
    <row r="24" customFormat="false" ht="12.8" hidden="false" customHeight="false" outlineLevel="0" collapsed="false">
      <c r="A24" s="0" t="n">
        <f aca="false">A23-1</f>
        <v>1995</v>
      </c>
      <c r="B24" s="0" t="n">
        <v>5.22881135224864</v>
      </c>
      <c r="C24" s="0" t="n">
        <v>5.22881135224864</v>
      </c>
      <c r="D24" s="0" t="n">
        <v>5.22881135224864</v>
      </c>
      <c r="E24" s="0" t="n">
        <v>5.22881135224864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5.22881135224864</v>
      </c>
      <c r="M24" s="0" t="n">
        <v>5.22881135224864</v>
      </c>
      <c r="N24" s="0" t="n">
        <v>5.22881135224864</v>
      </c>
      <c r="O24" s="0" t="n">
        <v>5.22881135224864</v>
      </c>
      <c r="P24" s="0" t="n">
        <v>5.22881135224864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5.22881135224864</v>
      </c>
      <c r="AF24" s="0" t="n">
        <v>5.22881135224864</v>
      </c>
      <c r="AG24" s="0" t="n">
        <v>5.22881135224864</v>
      </c>
      <c r="AH24" s="0" t="n">
        <v>5.22881135224864</v>
      </c>
      <c r="AI24" s="0" t="n">
        <v>5.22881135224864</v>
      </c>
      <c r="AJ24" s="0" t="n">
        <v>5.22881135224864</v>
      </c>
      <c r="AK24" s="0" t="n">
        <v>5.22881135224864</v>
      </c>
      <c r="AL24" s="0" t="n">
        <v>5.22881135224864</v>
      </c>
      <c r="AM24" s="0" t="n">
        <v>5.22881135224864</v>
      </c>
      <c r="AN24" s="0" t="n">
        <v>1</v>
      </c>
      <c r="AO24" s="0" t="n">
        <v>1</v>
      </c>
      <c r="AP24" s="0" t="n">
        <v>1</v>
      </c>
      <c r="AQ24" s="0" t="n">
        <v>1</v>
      </c>
      <c r="AR24" s="0" t="n">
        <v>1</v>
      </c>
      <c r="AS24" s="0" t="n">
        <v>1</v>
      </c>
      <c r="AT24" s="0" t="n">
        <v>1</v>
      </c>
      <c r="AU24" s="0" t="n">
        <v>1</v>
      </c>
      <c r="AV24" s="0" t="n">
        <v>1</v>
      </c>
      <c r="AW24" s="0" t="n">
        <v>1</v>
      </c>
      <c r="AX24" s="0" t="n">
        <v>5.22881135224864</v>
      </c>
      <c r="AY24" s="0" t="n">
        <v>5.22881135224864</v>
      </c>
      <c r="AZ24" s="0" t="n">
        <v>5.22881135224864</v>
      </c>
      <c r="BA24" s="0" t="n">
        <v>1</v>
      </c>
      <c r="BB24" s="0" t="n">
        <v>1</v>
      </c>
      <c r="BC24" s="0" t="n">
        <v>5.22881135224864</v>
      </c>
      <c r="BD24" s="0" t="n">
        <v>5.22881135224864</v>
      </c>
      <c r="BE24" s="0" t="n">
        <v>1</v>
      </c>
      <c r="BF24" s="0" t="n">
        <v>1</v>
      </c>
      <c r="BG24" s="0" t="n">
        <v>5.22881135224864</v>
      </c>
      <c r="BH24" s="0" t="n">
        <v>5.22881135224864</v>
      </c>
      <c r="BI24" s="0" t="n">
        <v>5.22881135224864</v>
      </c>
      <c r="BJ24" s="0" t="n">
        <v>5.22881135224864</v>
      </c>
      <c r="BK24" s="0" t="n">
        <v>1</v>
      </c>
    </row>
    <row r="25" customFormat="false" ht="12.8" hidden="false" customHeight="false" outlineLevel="0" collapsed="false">
      <c r="A25" s="0" t="n">
        <f aca="false">A24-1</f>
        <v>1994</v>
      </c>
      <c r="B25" s="0" t="n">
        <v>5.10014438121</v>
      </c>
      <c r="C25" s="0" t="n">
        <v>5.10014438121</v>
      </c>
      <c r="D25" s="0" t="n">
        <v>5.10014438121</v>
      </c>
      <c r="E25" s="0" t="n">
        <v>5.10014438121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5.10014438121</v>
      </c>
      <c r="M25" s="0" t="n">
        <v>5.10014438121</v>
      </c>
      <c r="N25" s="0" t="n">
        <v>5.10014438121</v>
      </c>
      <c r="O25" s="0" t="n">
        <v>5.10014438121</v>
      </c>
      <c r="P25" s="0" t="n">
        <v>5.10014438121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1</v>
      </c>
      <c r="AE25" s="0" t="n">
        <v>5.10014438121</v>
      </c>
      <c r="AF25" s="0" t="n">
        <v>5.10014438121</v>
      </c>
      <c r="AG25" s="0" t="n">
        <v>5.10014438121</v>
      </c>
      <c r="AH25" s="0" t="n">
        <v>5.10014438121</v>
      </c>
      <c r="AI25" s="0" t="n">
        <v>5.10014438121</v>
      </c>
      <c r="AJ25" s="0" t="n">
        <v>5.10014438121</v>
      </c>
      <c r="AK25" s="0" t="n">
        <v>5.10014438121</v>
      </c>
      <c r="AL25" s="0" t="n">
        <v>5.10014438121</v>
      </c>
      <c r="AM25" s="0" t="n">
        <v>5.10014438121</v>
      </c>
      <c r="AN25" s="0" t="n">
        <v>1</v>
      </c>
      <c r="AO25" s="0" t="n">
        <v>1</v>
      </c>
      <c r="AP25" s="0" t="n">
        <v>1</v>
      </c>
      <c r="AQ25" s="0" t="n">
        <v>1</v>
      </c>
      <c r="AR25" s="0" t="n">
        <v>1</v>
      </c>
      <c r="AS25" s="0" t="n">
        <v>1</v>
      </c>
      <c r="AT25" s="0" t="n">
        <v>1</v>
      </c>
      <c r="AU25" s="0" t="n">
        <v>1</v>
      </c>
      <c r="AV25" s="0" t="n">
        <v>1</v>
      </c>
      <c r="AW25" s="0" t="n">
        <v>1</v>
      </c>
      <c r="AX25" s="0" t="n">
        <v>5.10014438121</v>
      </c>
      <c r="AY25" s="0" t="n">
        <v>5.10014438121</v>
      </c>
      <c r="AZ25" s="0" t="n">
        <v>5.10014438121</v>
      </c>
      <c r="BA25" s="0" t="n">
        <v>1</v>
      </c>
      <c r="BB25" s="0" t="n">
        <v>1</v>
      </c>
      <c r="BC25" s="0" t="n">
        <v>5.10014438121</v>
      </c>
      <c r="BD25" s="0" t="n">
        <v>5.10014438121</v>
      </c>
      <c r="BE25" s="0" t="n">
        <v>1</v>
      </c>
      <c r="BF25" s="0" t="n">
        <v>1</v>
      </c>
      <c r="BG25" s="0" t="n">
        <v>5.10014438121</v>
      </c>
      <c r="BH25" s="0" t="n">
        <v>5.10014438121</v>
      </c>
      <c r="BI25" s="0" t="n">
        <v>5.10014438121</v>
      </c>
      <c r="BJ25" s="0" t="n">
        <v>5.10014438121</v>
      </c>
      <c r="BK25" s="0" t="n">
        <v>1</v>
      </c>
    </row>
    <row r="26" customFormat="false" ht="12.8" hidden="false" customHeight="false" outlineLevel="0" collapsed="false">
      <c r="A26" s="0" t="n">
        <f aca="false">A25-1</f>
        <v>1993</v>
      </c>
      <c r="B26" s="0" t="n">
        <v>5.12993181950731</v>
      </c>
      <c r="C26" s="0" t="n">
        <v>5.12993181950731</v>
      </c>
      <c r="D26" s="0" t="n">
        <v>5.12993181950731</v>
      </c>
      <c r="E26" s="0" t="n">
        <v>5.12993181950731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5.12993181950731</v>
      </c>
      <c r="M26" s="0" t="n">
        <v>5.12993181950731</v>
      </c>
      <c r="N26" s="0" t="n">
        <v>5.12993181950731</v>
      </c>
      <c r="O26" s="0" t="n">
        <v>5.12993181950731</v>
      </c>
      <c r="P26" s="0" t="n">
        <v>5.12993181950731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1</v>
      </c>
      <c r="AE26" s="0" t="n">
        <v>5.12993181950731</v>
      </c>
      <c r="AF26" s="0" t="n">
        <v>5.12993181950731</v>
      </c>
      <c r="AG26" s="0" t="n">
        <v>5.12993181950731</v>
      </c>
      <c r="AH26" s="0" t="n">
        <v>5.12993181950731</v>
      </c>
      <c r="AI26" s="0" t="n">
        <v>5.12993181950731</v>
      </c>
      <c r="AJ26" s="0" t="n">
        <v>5.12993181950731</v>
      </c>
      <c r="AK26" s="0" t="n">
        <v>5.12993181950731</v>
      </c>
      <c r="AL26" s="0" t="n">
        <v>5.12993181950731</v>
      </c>
      <c r="AM26" s="0" t="n">
        <v>5.12993181950731</v>
      </c>
      <c r="AN26" s="0" t="n">
        <v>1</v>
      </c>
      <c r="AO26" s="0" t="n">
        <v>1</v>
      </c>
      <c r="AP26" s="0" t="n">
        <v>1</v>
      </c>
      <c r="AQ26" s="0" t="n">
        <v>1</v>
      </c>
      <c r="AR26" s="0" t="n">
        <v>1</v>
      </c>
      <c r="AS26" s="0" t="n">
        <v>1</v>
      </c>
      <c r="AT26" s="0" t="n">
        <v>1</v>
      </c>
      <c r="AU26" s="0" t="n">
        <v>1</v>
      </c>
      <c r="AV26" s="0" t="n">
        <v>1</v>
      </c>
      <c r="AW26" s="0" t="n">
        <v>1</v>
      </c>
      <c r="AX26" s="0" t="n">
        <v>5.12993181950731</v>
      </c>
      <c r="AY26" s="0" t="n">
        <v>5.12993181950731</v>
      </c>
      <c r="AZ26" s="0" t="n">
        <v>5.12993181950731</v>
      </c>
      <c r="BA26" s="0" t="n">
        <v>1</v>
      </c>
      <c r="BB26" s="0" t="n">
        <v>1</v>
      </c>
      <c r="BC26" s="0" t="n">
        <v>5.12993181950731</v>
      </c>
      <c r="BD26" s="0" t="n">
        <v>5.12993181950731</v>
      </c>
      <c r="BE26" s="0" t="n">
        <v>1</v>
      </c>
      <c r="BF26" s="0" t="n">
        <v>1</v>
      </c>
      <c r="BG26" s="0" t="n">
        <v>5.12993181950731</v>
      </c>
      <c r="BH26" s="0" t="n">
        <v>5.12993181950731</v>
      </c>
      <c r="BI26" s="0" t="n">
        <v>5.12993181950731</v>
      </c>
      <c r="BJ26" s="0" t="n">
        <v>5.12993181950731</v>
      </c>
      <c r="BK26" s="0" t="n">
        <v>1</v>
      </c>
    </row>
    <row r="27" customFormat="false" ht="12.8" hidden="false" customHeight="false" outlineLevel="0" collapsed="false">
      <c r="A27" s="0" t="n">
        <f aca="false">A26-1</f>
        <v>1992</v>
      </c>
      <c r="B27" s="0" t="n">
        <v>5.09222325695594</v>
      </c>
      <c r="C27" s="0" t="n">
        <v>5.09222325695594</v>
      </c>
      <c r="D27" s="0" t="n">
        <v>5.09222325695594</v>
      </c>
      <c r="E27" s="0" t="n">
        <v>5.09222325695594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5.09222325695594</v>
      </c>
      <c r="M27" s="0" t="n">
        <v>5.09222325695594</v>
      </c>
      <c r="N27" s="0" t="n">
        <v>5.09222325695594</v>
      </c>
      <c r="O27" s="0" t="n">
        <v>5.09222325695594</v>
      </c>
      <c r="P27" s="0" t="n">
        <v>5.09222325695594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1</v>
      </c>
      <c r="AE27" s="0" t="n">
        <v>5.09222325695594</v>
      </c>
      <c r="AF27" s="0" t="n">
        <v>5.09222325695594</v>
      </c>
      <c r="AG27" s="0" t="n">
        <v>5.09222325695594</v>
      </c>
      <c r="AH27" s="0" t="n">
        <v>5.09222325695594</v>
      </c>
      <c r="AI27" s="0" t="n">
        <v>5.09222325695594</v>
      </c>
      <c r="AJ27" s="0" t="n">
        <v>5.09222325695594</v>
      </c>
      <c r="AK27" s="0" t="n">
        <v>5.09222325695594</v>
      </c>
      <c r="AL27" s="0" t="n">
        <v>5.09222325695594</v>
      </c>
      <c r="AM27" s="0" t="n">
        <v>5.09222325695594</v>
      </c>
      <c r="AN27" s="0" t="n">
        <v>1</v>
      </c>
      <c r="AO27" s="0" t="n">
        <v>1</v>
      </c>
      <c r="AP27" s="0" t="n">
        <v>1</v>
      </c>
      <c r="AQ27" s="0" t="n">
        <v>1</v>
      </c>
      <c r="AR27" s="0" t="n">
        <v>1</v>
      </c>
      <c r="AS27" s="0" t="n">
        <v>1</v>
      </c>
      <c r="AT27" s="0" t="n">
        <v>1</v>
      </c>
      <c r="AU27" s="0" t="n">
        <v>1</v>
      </c>
      <c r="AV27" s="0" t="n">
        <v>1</v>
      </c>
      <c r="AW27" s="0" t="n">
        <v>1</v>
      </c>
      <c r="AX27" s="0" t="n">
        <v>5.09222325695594</v>
      </c>
      <c r="AY27" s="0" t="n">
        <v>5.09222325695594</v>
      </c>
      <c r="AZ27" s="0" t="n">
        <v>5.09222325695594</v>
      </c>
      <c r="BA27" s="0" t="n">
        <v>1</v>
      </c>
      <c r="BB27" s="0" t="n">
        <v>1</v>
      </c>
      <c r="BC27" s="0" t="n">
        <v>5.09222325695594</v>
      </c>
      <c r="BD27" s="0" t="n">
        <v>5.09222325695594</v>
      </c>
      <c r="BE27" s="0" t="n">
        <v>1</v>
      </c>
      <c r="BF27" s="0" t="n">
        <v>1</v>
      </c>
      <c r="BG27" s="0" t="n">
        <v>5.09222325695594</v>
      </c>
      <c r="BH27" s="0" t="n">
        <v>5.09222325695594</v>
      </c>
      <c r="BI27" s="0" t="n">
        <v>5.09222325695594</v>
      </c>
      <c r="BJ27" s="0" t="n">
        <v>5.09222325695594</v>
      </c>
      <c r="BK27" s="0" t="n">
        <v>1</v>
      </c>
    </row>
    <row r="28" customFormat="false" ht="12.8" hidden="false" customHeight="false" outlineLevel="0" collapsed="false">
      <c r="A28" s="0" t="n">
        <f aca="false">A27-1</f>
        <v>1991</v>
      </c>
      <c r="B28" s="0" t="n">
        <v>4.72068350998822</v>
      </c>
      <c r="C28" s="0" t="n">
        <v>4.72068350998822</v>
      </c>
      <c r="D28" s="0" t="n">
        <v>4.72068350998822</v>
      </c>
      <c r="E28" s="0" t="n">
        <v>4.72068350998822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4.72068350998822</v>
      </c>
      <c r="M28" s="0" t="n">
        <v>4.72068350998822</v>
      </c>
      <c r="N28" s="0" t="n">
        <v>4.72068350998822</v>
      </c>
      <c r="O28" s="0" t="n">
        <v>4.72068350998822</v>
      </c>
      <c r="P28" s="0" t="n">
        <v>4.72068350998822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1</v>
      </c>
      <c r="AE28" s="0" t="n">
        <v>4.72068350998822</v>
      </c>
      <c r="AF28" s="0" t="n">
        <v>4.72068350998822</v>
      </c>
      <c r="AG28" s="0" t="n">
        <v>4.72068350998822</v>
      </c>
      <c r="AH28" s="0" t="n">
        <v>4.72068350998822</v>
      </c>
      <c r="AI28" s="0" t="n">
        <v>4.72068350998822</v>
      </c>
      <c r="AJ28" s="0" t="n">
        <v>4.72068350998822</v>
      </c>
      <c r="AK28" s="0" t="n">
        <v>4.72068350998822</v>
      </c>
      <c r="AL28" s="0" t="n">
        <v>4.72068350998822</v>
      </c>
      <c r="AM28" s="0" t="n">
        <v>4.72068350998822</v>
      </c>
      <c r="AN28" s="0" t="n">
        <v>1</v>
      </c>
      <c r="AO28" s="0" t="n">
        <v>1</v>
      </c>
      <c r="AP28" s="0" t="n">
        <v>1</v>
      </c>
      <c r="AQ28" s="0" t="n">
        <v>1</v>
      </c>
      <c r="AR28" s="0" t="n">
        <v>1</v>
      </c>
      <c r="AS28" s="0" t="n">
        <v>1</v>
      </c>
      <c r="AT28" s="0" t="n">
        <v>1</v>
      </c>
      <c r="AU28" s="0" t="n">
        <v>1</v>
      </c>
      <c r="AV28" s="0" t="n">
        <v>1</v>
      </c>
      <c r="AW28" s="0" t="n">
        <v>1</v>
      </c>
      <c r="AX28" s="0" t="n">
        <v>4.72068350998822</v>
      </c>
      <c r="AY28" s="0" t="n">
        <v>4.72068350998822</v>
      </c>
      <c r="AZ28" s="0" t="n">
        <v>4.72068350998822</v>
      </c>
      <c r="BA28" s="0" t="n">
        <v>1</v>
      </c>
      <c r="BB28" s="0" t="n">
        <v>1</v>
      </c>
      <c r="BC28" s="0" t="n">
        <v>4.72068350998822</v>
      </c>
      <c r="BD28" s="0" t="n">
        <v>4.72068350998822</v>
      </c>
      <c r="BE28" s="0" t="n">
        <v>1</v>
      </c>
      <c r="BF28" s="0" t="n">
        <v>1</v>
      </c>
      <c r="BG28" s="0" t="n">
        <v>4.72068350998822</v>
      </c>
      <c r="BH28" s="0" t="n">
        <v>4.72068350998822</v>
      </c>
      <c r="BI28" s="0" t="n">
        <v>4.72068350998822</v>
      </c>
      <c r="BJ28" s="0" t="n">
        <v>4.72068350998822</v>
      </c>
      <c r="BK28" s="0" t="n">
        <v>1</v>
      </c>
    </row>
    <row r="29" customFormat="false" ht="12.8" hidden="false" customHeight="false" outlineLevel="0" collapsed="false">
      <c r="A29" s="0" t="n">
        <f aca="false">A28-1</f>
        <v>1990</v>
      </c>
      <c r="B29" s="0" t="n">
        <v>4.68292145150807</v>
      </c>
      <c r="C29" s="0" t="n">
        <v>4.68292145150807</v>
      </c>
      <c r="D29" s="0" t="n">
        <v>4.68292145150807</v>
      </c>
      <c r="E29" s="0" t="n">
        <v>4.68292145150807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4.68292145150807</v>
      </c>
      <c r="M29" s="0" t="n">
        <v>4.68292145150807</v>
      </c>
      <c r="N29" s="0" t="n">
        <v>4.68292145150807</v>
      </c>
      <c r="O29" s="0" t="n">
        <v>4.68292145150807</v>
      </c>
      <c r="P29" s="0" t="n">
        <v>4.68292145150807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1</v>
      </c>
      <c r="AE29" s="0" t="n">
        <v>4.68292145150807</v>
      </c>
      <c r="AF29" s="0" t="n">
        <v>4.68292145150807</v>
      </c>
      <c r="AG29" s="0" t="n">
        <v>4.68292145150807</v>
      </c>
      <c r="AH29" s="0" t="n">
        <v>4.68292145150807</v>
      </c>
      <c r="AI29" s="0" t="n">
        <v>4.68292145150807</v>
      </c>
      <c r="AJ29" s="0" t="n">
        <v>4.68292145150807</v>
      </c>
      <c r="AK29" s="0" t="n">
        <v>4.68292145150807</v>
      </c>
      <c r="AL29" s="0" t="n">
        <v>4.68292145150807</v>
      </c>
      <c r="AM29" s="0" t="n">
        <v>4.68292145150807</v>
      </c>
      <c r="AN29" s="0" t="n">
        <v>1</v>
      </c>
      <c r="AO29" s="0" t="n">
        <v>1</v>
      </c>
      <c r="AP29" s="0" t="n">
        <v>1</v>
      </c>
      <c r="AQ29" s="0" t="n">
        <v>1</v>
      </c>
      <c r="AR29" s="0" t="n">
        <v>1</v>
      </c>
      <c r="AS29" s="0" t="n">
        <v>1</v>
      </c>
      <c r="AT29" s="0" t="n">
        <v>1</v>
      </c>
      <c r="AU29" s="0" t="n">
        <v>1</v>
      </c>
      <c r="AV29" s="0" t="n">
        <v>1</v>
      </c>
      <c r="AW29" s="0" t="n">
        <v>1</v>
      </c>
      <c r="AX29" s="0" t="n">
        <v>4.68292145150807</v>
      </c>
      <c r="AY29" s="0" t="n">
        <v>4.68292145150807</v>
      </c>
      <c r="AZ29" s="0" t="n">
        <v>4.68292145150807</v>
      </c>
      <c r="BA29" s="0" t="n">
        <v>1</v>
      </c>
      <c r="BB29" s="0" t="n">
        <v>1</v>
      </c>
      <c r="BC29" s="0" t="n">
        <v>4.68292145150807</v>
      </c>
      <c r="BD29" s="0" t="n">
        <v>4.68292145150807</v>
      </c>
      <c r="BE29" s="0" t="n">
        <v>1</v>
      </c>
      <c r="BF29" s="0" t="n">
        <v>1</v>
      </c>
      <c r="BG29" s="0" t="n">
        <v>4.68292145150807</v>
      </c>
      <c r="BH29" s="0" t="n">
        <v>4.68292145150807</v>
      </c>
      <c r="BI29" s="0" t="n">
        <v>4.68292145150807</v>
      </c>
      <c r="BJ29" s="0" t="n">
        <v>4.68292145150807</v>
      </c>
      <c r="BK29" s="0" t="n">
        <v>1</v>
      </c>
    </row>
    <row r="30" customFormat="false" ht="12.8" hidden="false" customHeight="false" outlineLevel="0" collapsed="false">
      <c r="A30" s="0" t="n">
        <f aca="false">A29-1</f>
        <v>1989</v>
      </c>
      <c r="B30" s="0" t="n">
        <v>4.01599384053269</v>
      </c>
      <c r="C30" s="0" t="n">
        <v>4.01599384053269</v>
      </c>
      <c r="D30" s="0" t="n">
        <v>4.01599384053269</v>
      </c>
      <c r="E30" s="0" t="n">
        <v>4.01599384053269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4.01599384053269</v>
      </c>
      <c r="M30" s="0" t="n">
        <v>4.01599384053269</v>
      </c>
      <c r="N30" s="0" t="n">
        <v>4.01599384053269</v>
      </c>
      <c r="O30" s="0" t="n">
        <v>4.01599384053269</v>
      </c>
      <c r="P30" s="0" t="n">
        <v>4.01599384053269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1</v>
      </c>
      <c r="AE30" s="0" t="n">
        <v>4.01599384053269</v>
      </c>
      <c r="AF30" s="0" t="n">
        <v>4.01599384053269</v>
      </c>
      <c r="AG30" s="0" t="n">
        <v>4.01599384053269</v>
      </c>
      <c r="AH30" s="0" t="n">
        <v>4.01599384053269</v>
      </c>
      <c r="AI30" s="0" t="n">
        <v>4.01599384053269</v>
      </c>
      <c r="AJ30" s="0" t="n">
        <v>4.01599384053269</v>
      </c>
      <c r="AK30" s="0" t="n">
        <v>4.01599384053269</v>
      </c>
      <c r="AL30" s="0" t="n">
        <v>4.01599384053269</v>
      </c>
      <c r="AM30" s="0" t="n">
        <v>4.01599384053269</v>
      </c>
      <c r="AN30" s="0" t="n">
        <v>1</v>
      </c>
      <c r="AO30" s="0" t="n">
        <v>1</v>
      </c>
      <c r="AP30" s="0" t="n">
        <v>1</v>
      </c>
      <c r="AQ30" s="0" t="n">
        <v>1</v>
      </c>
      <c r="AR30" s="0" t="n">
        <v>1</v>
      </c>
      <c r="AS30" s="0" t="n">
        <v>1</v>
      </c>
      <c r="AT30" s="0" t="n">
        <v>1</v>
      </c>
      <c r="AU30" s="0" t="n">
        <v>1</v>
      </c>
      <c r="AV30" s="0" t="n">
        <v>1</v>
      </c>
      <c r="AW30" s="0" t="n">
        <v>1</v>
      </c>
      <c r="AX30" s="0" t="n">
        <v>4.01599384053269</v>
      </c>
      <c r="AY30" s="0" t="n">
        <v>4.01599384053269</v>
      </c>
      <c r="AZ30" s="0" t="n">
        <v>4.01599384053269</v>
      </c>
      <c r="BA30" s="0" t="n">
        <v>1</v>
      </c>
      <c r="BB30" s="0" t="n">
        <v>1</v>
      </c>
      <c r="BC30" s="0" t="n">
        <v>4.01599384053269</v>
      </c>
      <c r="BD30" s="0" t="n">
        <v>4.01599384053269</v>
      </c>
      <c r="BE30" s="0" t="n">
        <v>1</v>
      </c>
      <c r="BF30" s="0" t="n">
        <v>1</v>
      </c>
      <c r="BG30" s="0" t="n">
        <v>4.01599384053269</v>
      </c>
      <c r="BH30" s="0" t="n">
        <v>4.01599384053269</v>
      </c>
      <c r="BI30" s="0" t="n">
        <v>4.01599384053269</v>
      </c>
      <c r="BJ30" s="0" t="n">
        <v>4.01599384053269</v>
      </c>
      <c r="BK30" s="0" t="n">
        <v>1</v>
      </c>
    </row>
    <row r="31" customFormat="false" ht="12.8" hidden="false" customHeight="false" outlineLevel="0" collapsed="false">
      <c r="A31" s="0" t="n">
        <f aca="false">A30-1</f>
        <v>1988</v>
      </c>
      <c r="B31" s="0" t="n">
        <v>3.98579988952704</v>
      </c>
      <c r="C31" s="0" t="n">
        <v>3.98579988952704</v>
      </c>
      <c r="D31" s="0" t="n">
        <v>3.98579988952704</v>
      </c>
      <c r="E31" s="0" t="n">
        <v>3.98579988952704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3.98579988952704</v>
      </c>
      <c r="M31" s="0" t="n">
        <v>3.98579988952704</v>
      </c>
      <c r="N31" s="0" t="n">
        <v>3.98579988952704</v>
      </c>
      <c r="O31" s="0" t="n">
        <v>3.98579988952704</v>
      </c>
      <c r="P31" s="0" t="n">
        <v>3.98579988952704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1</v>
      </c>
      <c r="AE31" s="0" t="n">
        <v>3.98579988952704</v>
      </c>
      <c r="AF31" s="0" t="n">
        <v>3.98579988952704</v>
      </c>
      <c r="AG31" s="0" t="n">
        <v>3.98579988952704</v>
      </c>
      <c r="AH31" s="0" t="n">
        <v>3.98579988952704</v>
      </c>
      <c r="AI31" s="0" t="n">
        <v>3.98579988952704</v>
      </c>
      <c r="AJ31" s="0" t="n">
        <v>3.98579988952704</v>
      </c>
      <c r="AK31" s="0" t="n">
        <v>3.98579988952704</v>
      </c>
      <c r="AL31" s="0" t="n">
        <v>3.98579988952704</v>
      </c>
      <c r="AM31" s="0" t="n">
        <v>3.98579988952704</v>
      </c>
      <c r="AN31" s="0" t="n">
        <v>1</v>
      </c>
      <c r="AO31" s="0" t="n">
        <v>1</v>
      </c>
      <c r="AP31" s="0" t="n">
        <v>1</v>
      </c>
      <c r="AQ31" s="0" t="n">
        <v>1</v>
      </c>
      <c r="AR31" s="0" t="n">
        <v>1</v>
      </c>
      <c r="AS31" s="0" t="n">
        <v>1</v>
      </c>
      <c r="AT31" s="0" t="n">
        <v>1</v>
      </c>
      <c r="AU31" s="0" t="n">
        <v>1</v>
      </c>
      <c r="AV31" s="0" t="n">
        <v>1</v>
      </c>
      <c r="AW31" s="0" t="n">
        <v>1</v>
      </c>
      <c r="AX31" s="0" t="n">
        <v>3.98579988952704</v>
      </c>
      <c r="AY31" s="0" t="n">
        <v>3.98579988952704</v>
      </c>
      <c r="AZ31" s="0" t="n">
        <v>3.98579988952704</v>
      </c>
      <c r="BA31" s="0" t="n">
        <v>1</v>
      </c>
      <c r="BB31" s="0" t="n">
        <v>1</v>
      </c>
      <c r="BC31" s="0" t="n">
        <v>3.98579988952704</v>
      </c>
      <c r="BD31" s="0" t="n">
        <v>3.98579988952704</v>
      </c>
      <c r="BE31" s="0" t="n">
        <v>1</v>
      </c>
      <c r="BF31" s="0" t="n">
        <v>1</v>
      </c>
      <c r="BG31" s="0" t="n">
        <v>3.98579988952704</v>
      </c>
      <c r="BH31" s="0" t="n">
        <v>3.98579988952704</v>
      </c>
      <c r="BI31" s="0" t="n">
        <v>3.98579988952704</v>
      </c>
      <c r="BJ31" s="0" t="n">
        <v>3.98579988952704</v>
      </c>
      <c r="BK31" s="0" t="n">
        <v>1</v>
      </c>
    </row>
    <row r="32" customFormat="false" ht="12.8" hidden="false" customHeight="false" outlineLevel="0" collapsed="false">
      <c r="A32" s="0" t="n">
        <f aca="false">A31-1</f>
        <v>1987</v>
      </c>
      <c r="B32" s="0" t="n">
        <v>3.80281296582391</v>
      </c>
      <c r="C32" s="0" t="n">
        <v>3.80281296582391</v>
      </c>
      <c r="D32" s="0" t="n">
        <v>3.80281296582391</v>
      </c>
      <c r="E32" s="0" t="n">
        <v>3.80281296582391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3.80281296582391</v>
      </c>
      <c r="M32" s="0" t="n">
        <v>3.80281296582391</v>
      </c>
      <c r="N32" s="0" t="n">
        <v>3.80281296582391</v>
      </c>
      <c r="O32" s="0" t="n">
        <v>3.80281296582391</v>
      </c>
      <c r="P32" s="0" t="n">
        <v>3.80281296582391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1</v>
      </c>
      <c r="AE32" s="0" t="n">
        <v>3.80281296582391</v>
      </c>
      <c r="AF32" s="0" t="n">
        <v>3.80281296582391</v>
      </c>
      <c r="AG32" s="0" t="n">
        <v>3.80281296582391</v>
      </c>
      <c r="AH32" s="0" t="n">
        <v>3.80281296582391</v>
      </c>
      <c r="AI32" s="0" t="n">
        <v>3.80281296582391</v>
      </c>
      <c r="AJ32" s="0" t="n">
        <v>3.80281296582391</v>
      </c>
      <c r="AK32" s="0" t="n">
        <v>3.80281296582391</v>
      </c>
      <c r="AL32" s="0" t="n">
        <v>3.80281296582391</v>
      </c>
      <c r="AM32" s="0" t="n">
        <v>3.80281296582391</v>
      </c>
      <c r="AN32" s="0" t="n">
        <v>1</v>
      </c>
      <c r="AO32" s="0" t="n">
        <v>1</v>
      </c>
      <c r="AP32" s="0" t="n">
        <v>1</v>
      </c>
      <c r="AQ32" s="0" t="n">
        <v>1</v>
      </c>
      <c r="AR32" s="0" t="n">
        <v>1</v>
      </c>
      <c r="AS32" s="0" t="n">
        <v>1</v>
      </c>
      <c r="AT32" s="0" t="n">
        <v>1</v>
      </c>
      <c r="AU32" s="0" t="n">
        <v>1</v>
      </c>
      <c r="AV32" s="0" t="n">
        <v>1</v>
      </c>
      <c r="AW32" s="0" t="n">
        <v>1</v>
      </c>
      <c r="AX32" s="0" t="n">
        <v>3.80281296582391</v>
      </c>
      <c r="AY32" s="0" t="n">
        <v>3.80281296582391</v>
      </c>
      <c r="AZ32" s="0" t="n">
        <v>3.80281296582391</v>
      </c>
      <c r="BA32" s="0" t="n">
        <v>1</v>
      </c>
      <c r="BB32" s="0" t="n">
        <v>1</v>
      </c>
      <c r="BC32" s="0" t="n">
        <v>3.80281296582391</v>
      </c>
      <c r="BD32" s="0" t="n">
        <v>3.80281296582391</v>
      </c>
      <c r="BE32" s="0" t="n">
        <v>1</v>
      </c>
      <c r="BF32" s="0" t="n">
        <v>1</v>
      </c>
      <c r="BG32" s="0" t="n">
        <v>3.80281296582391</v>
      </c>
      <c r="BH32" s="0" t="n">
        <v>3.80281296582391</v>
      </c>
      <c r="BI32" s="0" t="n">
        <v>3.80281296582391</v>
      </c>
      <c r="BJ32" s="0" t="n">
        <v>3.80281296582391</v>
      </c>
      <c r="BK32" s="0" t="n">
        <v>1</v>
      </c>
    </row>
    <row r="33" customFormat="false" ht="12.8" hidden="false" customHeight="false" outlineLevel="0" collapsed="false">
      <c r="A33" s="0" t="n">
        <f aca="false">A32-1</f>
        <v>1986</v>
      </c>
      <c r="B33" s="0" t="n">
        <v>3.73391476195767</v>
      </c>
      <c r="C33" s="0" t="n">
        <v>3.73391476195767</v>
      </c>
      <c r="D33" s="0" t="n">
        <v>3.73391476195767</v>
      </c>
      <c r="E33" s="0" t="n">
        <v>3.73391476195767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3.73391476195767</v>
      </c>
      <c r="M33" s="0" t="n">
        <v>3.73391476195767</v>
      </c>
      <c r="N33" s="0" t="n">
        <v>3.73391476195767</v>
      </c>
      <c r="O33" s="0" t="n">
        <v>3.73391476195767</v>
      </c>
      <c r="P33" s="0" t="n">
        <v>3.73391476195767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1</v>
      </c>
      <c r="AE33" s="0" t="n">
        <v>3.73391476195767</v>
      </c>
      <c r="AF33" s="0" t="n">
        <v>3.73391476195767</v>
      </c>
      <c r="AG33" s="0" t="n">
        <v>3.73391476195767</v>
      </c>
      <c r="AH33" s="0" t="n">
        <v>3.73391476195767</v>
      </c>
      <c r="AI33" s="0" t="n">
        <v>3.73391476195767</v>
      </c>
      <c r="AJ33" s="0" t="n">
        <v>3.73391476195767</v>
      </c>
      <c r="AK33" s="0" t="n">
        <v>3.73391476195767</v>
      </c>
      <c r="AL33" s="0" t="n">
        <v>3.73391476195767</v>
      </c>
      <c r="AM33" s="0" t="n">
        <v>3.73391476195767</v>
      </c>
      <c r="AN33" s="0" t="n">
        <v>1</v>
      </c>
      <c r="AO33" s="0" t="n">
        <v>1</v>
      </c>
      <c r="AP33" s="0" t="n">
        <v>1</v>
      </c>
      <c r="AQ33" s="0" t="n">
        <v>1</v>
      </c>
      <c r="AR33" s="0" t="n">
        <v>1</v>
      </c>
      <c r="AS33" s="0" t="n">
        <v>1</v>
      </c>
      <c r="AT33" s="0" t="n">
        <v>1</v>
      </c>
      <c r="AU33" s="0" t="n">
        <v>1</v>
      </c>
      <c r="AV33" s="0" t="n">
        <v>1</v>
      </c>
      <c r="AW33" s="0" t="n">
        <v>1</v>
      </c>
      <c r="AX33" s="0" t="n">
        <v>3.73391476195767</v>
      </c>
      <c r="AY33" s="0" t="n">
        <v>3.73391476195767</v>
      </c>
      <c r="AZ33" s="0" t="n">
        <v>3.73391476195767</v>
      </c>
      <c r="BA33" s="0" t="n">
        <v>1</v>
      </c>
      <c r="BB33" s="0" t="n">
        <v>1</v>
      </c>
      <c r="BC33" s="0" t="n">
        <v>3.73391476195767</v>
      </c>
      <c r="BD33" s="0" t="n">
        <v>3.73391476195767</v>
      </c>
      <c r="BE33" s="0" t="n">
        <v>1</v>
      </c>
      <c r="BF33" s="0" t="n">
        <v>1</v>
      </c>
      <c r="BG33" s="0" t="n">
        <v>3.73391476195767</v>
      </c>
      <c r="BH33" s="0" t="n">
        <v>3.73391476195767</v>
      </c>
      <c r="BI33" s="0" t="n">
        <v>3.73391476195767</v>
      </c>
      <c r="BJ33" s="0" t="n">
        <v>3.73391476195767</v>
      </c>
      <c r="BK33" s="0" t="n">
        <v>1</v>
      </c>
    </row>
    <row r="34" customFormat="false" ht="12.8" hidden="false" customHeight="false" outlineLevel="0" collapsed="false">
      <c r="A34" s="0" t="n">
        <f aca="false">A33-1</f>
        <v>1985</v>
      </c>
      <c r="B34" s="0" t="n">
        <v>3.49256995166688</v>
      </c>
      <c r="C34" s="0" t="n">
        <v>3.49256995166688</v>
      </c>
      <c r="D34" s="0" t="n">
        <v>3.49256995166688</v>
      </c>
      <c r="E34" s="0" t="n">
        <v>3.49256995166688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3.49256995166688</v>
      </c>
      <c r="M34" s="0" t="n">
        <v>3.49256995166688</v>
      </c>
      <c r="N34" s="0" t="n">
        <v>3.49256995166688</v>
      </c>
      <c r="O34" s="0" t="n">
        <v>3.49256995166688</v>
      </c>
      <c r="P34" s="0" t="n">
        <v>3.49256995166688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1</v>
      </c>
      <c r="AE34" s="0" t="n">
        <v>3.49256995166688</v>
      </c>
      <c r="AF34" s="0" t="n">
        <v>3.49256995166688</v>
      </c>
      <c r="AG34" s="0" t="n">
        <v>3.49256995166688</v>
      </c>
      <c r="AH34" s="0" t="n">
        <v>3.49256995166688</v>
      </c>
      <c r="AI34" s="0" t="n">
        <v>3.49256995166688</v>
      </c>
      <c r="AJ34" s="0" t="n">
        <v>3.49256995166688</v>
      </c>
      <c r="AK34" s="0" t="n">
        <v>3.49256995166688</v>
      </c>
      <c r="AL34" s="0" t="n">
        <v>3.49256995166688</v>
      </c>
      <c r="AM34" s="0" t="n">
        <v>3.49256995166688</v>
      </c>
      <c r="AN34" s="0" t="n">
        <v>1</v>
      </c>
      <c r="AO34" s="0" t="n">
        <v>1</v>
      </c>
      <c r="AP34" s="0" t="n">
        <v>1</v>
      </c>
      <c r="AQ34" s="0" t="n">
        <v>1</v>
      </c>
      <c r="AR34" s="0" t="n">
        <v>1</v>
      </c>
      <c r="AS34" s="0" t="n">
        <v>1</v>
      </c>
      <c r="AT34" s="0" t="n">
        <v>1</v>
      </c>
      <c r="AU34" s="0" t="n">
        <v>1</v>
      </c>
      <c r="AV34" s="0" t="n">
        <v>1</v>
      </c>
      <c r="AW34" s="0" t="n">
        <v>1</v>
      </c>
      <c r="AX34" s="0" t="n">
        <v>3.49256995166688</v>
      </c>
      <c r="AY34" s="0" t="n">
        <v>3.49256995166688</v>
      </c>
      <c r="AZ34" s="0" t="n">
        <v>3.49256995166688</v>
      </c>
      <c r="BA34" s="0" t="n">
        <v>1</v>
      </c>
      <c r="BB34" s="0" t="n">
        <v>1</v>
      </c>
      <c r="BC34" s="0" t="n">
        <v>3.49256995166688</v>
      </c>
      <c r="BD34" s="0" t="n">
        <v>3.49256995166688</v>
      </c>
      <c r="BE34" s="0" t="n">
        <v>1</v>
      </c>
      <c r="BF34" s="0" t="n">
        <v>1</v>
      </c>
      <c r="BG34" s="0" t="n">
        <v>3.49256995166688</v>
      </c>
      <c r="BH34" s="0" t="n">
        <v>3.49256995166688</v>
      </c>
      <c r="BI34" s="0" t="n">
        <v>3.49256995166688</v>
      </c>
      <c r="BJ34" s="0" t="n">
        <v>3.49256995166688</v>
      </c>
      <c r="BK34" s="0" t="n">
        <v>1</v>
      </c>
    </row>
    <row r="35" customFormat="false" ht="12.8" hidden="false" customHeight="false" outlineLevel="0" collapsed="false">
      <c r="A35" s="0" t="n">
        <f aca="false">A34-1</f>
        <v>1984</v>
      </c>
      <c r="B35" s="0" t="n">
        <v>3.35553695344477</v>
      </c>
      <c r="C35" s="0" t="n">
        <v>3.35553695344477</v>
      </c>
      <c r="D35" s="0" t="n">
        <v>3.35553695344477</v>
      </c>
      <c r="E35" s="0" t="n">
        <v>3.35553695344477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3.35553695344477</v>
      </c>
      <c r="M35" s="0" t="n">
        <v>3.35553695344477</v>
      </c>
      <c r="N35" s="0" t="n">
        <v>3.35553695344477</v>
      </c>
      <c r="O35" s="0" t="n">
        <v>3.35553695344477</v>
      </c>
      <c r="P35" s="0" t="n">
        <v>3.35553695344477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1</v>
      </c>
      <c r="AE35" s="0" t="n">
        <v>3.35553695344477</v>
      </c>
      <c r="AF35" s="0" t="n">
        <v>3.35553695344477</v>
      </c>
      <c r="AG35" s="0" t="n">
        <v>3.35553695344477</v>
      </c>
      <c r="AH35" s="0" t="n">
        <v>3.35553695344477</v>
      </c>
      <c r="AI35" s="0" t="n">
        <v>3.35553695344477</v>
      </c>
      <c r="AJ35" s="0" t="n">
        <v>3.35553695344477</v>
      </c>
      <c r="AK35" s="0" t="n">
        <v>3.35553695344477</v>
      </c>
      <c r="AL35" s="0" t="n">
        <v>3.35553695344477</v>
      </c>
      <c r="AM35" s="0" t="n">
        <v>3.35553695344477</v>
      </c>
      <c r="AN35" s="0" t="n">
        <v>1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1</v>
      </c>
      <c r="AV35" s="0" t="n">
        <v>1</v>
      </c>
      <c r="AW35" s="0" t="n">
        <v>1</v>
      </c>
      <c r="AX35" s="0" t="n">
        <v>3.35553695344477</v>
      </c>
      <c r="AY35" s="0" t="n">
        <v>3.35553695344477</v>
      </c>
      <c r="AZ35" s="0" t="n">
        <v>3.35553695344477</v>
      </c>
      <c r="BA35" s="0" t="n">
        <v>1</v>
      </c>
      <c r="BB35" s="0" t="n">
        <v>1</v>
      </c>
      <c r="BC35" s="0" t="n">
        <v>3.35553695344477</v>
      </c>
      <c r="BD35" s="0" t="n">
        <v>3.35553695344477</v>
      </c>
      <c r="BE35" s="0" t="n">
        <v>1</v>
      </c>
      <c r="BF35" s="0" t="n">
        <v>1</v>
      </c>
      <c r="BG35" s="0" t="n">
        <v>3.35553695344477</v>
      </c>
      <c r="BH35" s="0" t="n">
        <v>3.35553695344477</v>
      </c>
      <c r="BI35" s="0" t="n">
        <v>3.35553695344477</v>
      </c>
      <c r="BJ35" s="0" t="n">
        <v>3.35553695344477</v>
      </c>
      <c r="BK35" s="0" t="n">
        <v>1</v>
      </c>
    </row>
    <row r="36" customFormat="false" ht="12.8" hidden="false" customHeight="false" outlineLevel="0" collapsed="false">
      <c r="A36" s="0" t="n">
        <f aca="false">A35-1</f>
        <v>1983</v>
      </c>
      <c r="B36" s="0" t="n">
        <v>3.23680809967717</v>
      </c>
      <c r="C36" s="0" t="n">
        <v>3.23680809967717</v>
      </c>
      <c r="D36" s="0" t="n">
        <v>3.23680809967717</v>
      </c>
      <c r="E36" s="0" t="n">
        <v>3.23680809967717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3.23680809967717</v>
      </c>
      <c r="M36" s="0" t="n">
        <v>3.23680809967717</v>
      </c>
      <c r="N36" s="0" t="n">
        <v>3.23680809967717</v>
      </c>
      <c r="O36" s="0" t="n">
        <v>3.23680809967717</v>
      </c>
      <c r="P36" s="0" t="n">
        <v>3.23680809967717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1</v>
      </c>
      <c r="AE36" s="0" t="n">
        <v>3.23680809967717</v>
      </c>
      <c r="AF36" s="0" t="n">
        <v>3.23680809967717</v>
      </c>
      <c r="AG36" s="0" t="n">
        <v>3.23680809967717</v>
      </c>
      <c r="AH36" s="0" t="n">
        <v>3.23680809967717</v>
      </c>
      <c r="AI36" s="0" t="n">
        <v>3.23680809967717</v>
      </c>
      <c r="AJ36" s="0" t="n">
        <v>3.23680809967717</v>
      </c>
      <c r="AK36" s="0" t="n">
        <v>3.23680809967717</v>
      </c>
      <c r="AL36" s="0" t="n">
        <v>3.23680809967717</v>
      </c>
      <c r="AM36" s="0" t="n">
        <v>3.23680809967717</v>
      </c>
      <c r="AN36" s="0" t="n">
        <v>1</v>
      </c>
      <c r="AO36" s="0" t="n">
        <v>1</v>
      </c>
      <c r="AP36" s="0" t="n">
        <v>1</v>
      </c>
      <c r="AQ36" s="0" t="n">
        <v>1</v>
      </c>
      <c r="AR36" s="0" t="n">
        <v>1</v>
      </c>
      <c r="AS36" s="0" t="n">
        <v>1</v>
      </c>
      <c r="AT36" s="0" t="n">
        <v>1</v>
      </c>
      <c r="AU36" s="0" t="n">
        <v>1</v>
      </c>
      <c r="AV36" s="0" t="n">
        <v>1</v>
      </c>
      <c r="AW36" s="0" t="n">
        <v>1</v>
      </c>
      <c r="AX36" s="0" t="n">
        <v>3.23680809967717</v>
      </c>
      <c r="AY36" s="0" t="n">
        <v>3.23680809967717</v>
      </c>
      <c r="AZ36" s="0" t="n">
        <v>3.23680809967717</v>
      </c>
      <c r="BA36" s="0" t="n">
        <v>1</v>
      </c>
      <c r="BB36" s="0" t="n">
        <v>1</v>
      </c>
      <c r="BC36" s="0" t="n">
        <v>3.23680809967717</v>
      </c>
      <c r="BD36" s="0" t="n">
        <v>3.23680809967717</v>
      </c>
      <c r="BE36" s="0" t="n">
        <v>1</v>
      </c>
      <c r="BF36" s="0" t="n">
        <v>1</v>
      </c>
      <c r="BG36" s="0" t="n">
        <v>3.23680809967717</v>
      </c>
      <c r="BH36" s="0" t="n">
        <v>3.23680809967717</v>
      </c>
      <c r="BI36" s="0" t="n">
        <v>3.23680809967717</v>
      </c>
      <c r="BJ36" s="0" t="n">
        <v>3.23680809967717</v>
      </c>
      <c r="BK36" s="0" t="n">
        <v>1</v>
      </c>
    </row>
    <row r="37" customFormat="false" ht="12.8" hidden="false" customHeight="false" outlineLevel="0" collapsed="false">
      <c r="A37" s="0" t="n">
        <f aca="false">A36-1</f>
        <v>1982</v>
      </c>
      <c r="B37" s="0" t="n">
        <v>3.30404347537221</v>
      </c>
      <c r="C37" s="0" t="n">
        <v>3.30404347537221</v>
      </c>
      <c r="D37" s="0" t="n">
        <v>3.30404347537221</v>
      </c>
      <c r="E37" s="0" t="n">
        <v>3.30404347537221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3.30404347537221</v>
      </c>
      <c r="M37" s="0" t="n">
        <v>3.30404347537221</v>
      </c>
      <c r="N37" s="0" t="n">
        <v>3.30404347537221</v>
      </c>
      <c r="O37" s="0" t="n">
        <v>3.30404347537221</v>
      </c>
      <c r="P37" s="0" t="n">
        <v>3.30404347537221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1</v>
      </c>
      <c r="AE37" s="0" t="n">
        <v>3.30404347537221</v>
      </c>
      <c r="AF37" s="0" t="n">
        <v>3.30404347537221</v>
      </c>
      <c r="AG37" s="0" t="n">
        <v>3.30404347537221</v>
      </c>
      <c r="AH37" s="0" t="n">
        <v>3.30404347537221</v>
      </c>
      <c r="AI37" s="0" t="n">
        <v>3.30404347537221</v>
      </c>
      <c r="AJ37" s="0" t="n">
        <v>3.30404347537221</v>
      </c>
      <c r="AK37" s="0" t="n">
        <v>3.30404347537221</v>
      </c>
      <c r="AL37" s="0" t="n">
        <v>3.30404347537221</v>
      </c>
      <c r="AM37" s="0" t="n">
        <v>3.30404347537221</v>
      </c>
      <c r="AN37" s="0" t="n">
        <v>1</v>
      </c>
      <c r="AO37" s="0" t="n">
        <v>1</v>
      </c>
      <c r="AP37" s="0" t="n">
        <v>1</v>
      </c>
      <c r="AQ37" s="0" t="n">
        <v>1</v>
      </c>
      <c r="AR37" s="0" t="n">
        <v>1</v>
      </c>
      <c r="AS37" s="0" t="n">
        <v>1</v>
      </c>
      <c r="AT37" s="0" t="n">
        <v>1</v>
      </c>
      <c r="AU37" s="0" t="n">
        <v>1</v>
      </c>
      <c r="AV37" s="0" t="n">
        <v>1</v>
      </c>
      <c r="AW37" s="0" t="n">
        <v>1</v>
      </c>
      <c r="AX37" s="0" t="n">
        <v>3.30404347537221</v>
      </c>
      <c r="AY37" s="0" t="n">
        <v>3.30404347537221</v>
      </c>
      <c r="AZ37" s="0" t="n">
        <v>3.30404347537221</v>
      </c>
      <c r="BA37" s="0" t="n">
        <v>1</v>
      </c>
      <c r="BB37" s="0" t="n">
        <v>1</v>
      </c>
      <c r="BC37" s="0" t="n">
        <v>3.30404347537221</v>
      </c>
      <c r="BD37" s="0" t="n">
        <v>3.30404347537221</v>
      </c>
      <c r="BE37" s="0" t="n">
        <v>1</v>
      </c>
      <c r="BF37" s="0" t="n">
        <v>1</v>
      </c>
      <c r="BG37" s="0" t="n">
        <v>3.30404347537221</v>
      </c>
      <c r="BH37" s="0" t="n">
        <v>3.30404347537221</v>
      </c>
      <c r="BI37" s="0" t="n">
        <v>3.30404347537221</v>
      </c>
      <c r="BJ37" s="0" t="n">
        <v>3.30404347537221</v>
      </c>
      <c r="BK37" s="0" t="n">
        <v>1</v>
      </c>
    </row>
    <row r="38" customFormat="false" ht="12.8" hidden="false" customHeight="false" outlineLevel="0" collapsed="false">
      <c r="A38" s="0" t="n">
        <f aca="false">A37-1</f>
        <v>1981</v>
      </c>
      <c r="B38" s="0" t="n">
        <v>3.19649113129751</v>
      </c>
      <c r="C38" s="0" t="n">
        <v>3.19649113129751</v>
      </c>
      <c r="D38" s="0" t="n">
        <v>3.19649113129751</v>
      </c>
      <c r="E38" s="0" t="n">
        <v>3.19649113129751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3.19649113129751</v>
      </c>
      <c r="M38" s="0" t="n">
        <v>3.19649113129751</v>
      </c>
      <c r="N38" s="0" t="n">
        <v>3.19649113129751</v>
      </c>
      <c r="O38" s="0" t="n">
        <v>3.19649113129751</v>
      </c>
      <c r="P38" s="0" t="n">
        <v>3.19649113129751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1</v>
      </c>
      <c r="AD38" s="0" t="n">
        <v>1</v>
      </c>
      <c r="AE38" s="0" t="n">
        <v>3.19649113129751</v>
      </c>
      <c r="AF38" s="0" t="n">
        <v>3.19649113129751</v>
      </c>
      <c r="AG38" s="0" t="n">
        <v>3.19649113129751</v>
      </c>
      <c r="AH38" s="0" t="n">
        <v>3.19649113129751</v>
      </c>
      <c r="AI38" s="0" t="n">
        <v>3.19649113129751</v>
      </c>
      <c r="AJ38" s="0" t="n">
        <v>3.19649113129751</v>
      </c>
      <c r="AK38" s="0" t="n">
        <v>3.19649113129751</v>
      </c>
      <c r="AL38" s="0" t="n">
        <v>3.19649113129751</v>
      </c>
      <c r="AM38" s="0" t="n">
        <v>3.19649113129751</v>
      </c>
      <c r="AN38" s="0" t="n">
        <v>1</v>
      </c>
      <c r="AO38" s="0" t="n">
        <v>1</v>
      </c>
      <c r="AP38" s="0" t="n">
        <v>1</v>
      </c>
      <c r="AQ38" s="0" t="n">
        <v>1</v>
      </c>
      <c r="AR38" s="0" t="n">
        <v>1</v>
      </c>
      <c r="AS38" s="0" t="n">
        <v>1</v>
      </c>
      <c r="AT38" s="0" t="n">
        <v>1</v>
      </c>
      <c r="AU38" s="0" t="n">
        <v>1</v>
      </c>
      <c r="AV38" s="0" t="n">
        <v>1</v>
      </c>
      <c r="AW38" s="0" t="n">
        <v>1</v>
      </c>
      <c r="AX38" s="0" t="n">
        <v>3.19649113129751</v>
      </c>
      <c r="AY38" s="0" t="n">
        <v>3.19649113129751</v>
      </c>
      <c r="AZ38" s="0" t="n">
        <v>3.19649113129751</v>
      </c>
      <c r="BA38" s="0" t="n">
        <v>1</v>
      </c>
      <c r="BB38" s="0" t="n">
        <v>1</v>
      </c>
      <c r="BC38" s="0" t="n">
        <v>3.19649113129751</v>
      </c>
      <c r="BD38" s="0" t="n">
        <v>3.19649113129751</v>
      </c>
      <c r="BE38" s="0" t="n">
        <v>1</v>
      </c>
      <c r="BF38" s="0" t="n">
        <v>1</v>
      </c>
      <c r="BG38" s="0" t="n">
        <v>3.19649113129751</v>
      </c>
      <c r="BH38" s="0" t="n">
        <v>3.19649113129751</v>
      </c>
      <c r="BI38" s="0" t="n">
        <v>3.19649113129751</v>
      </c>
      <c r="BJ38" s="0" t="n">
        <v>3.19649113129751</v>
      </c>
      <c r="BK38" s="0" t="n">
        <v>1</v>
      </c>
    </row>
    <row r="39" customFormat="false" ht="12.8" hidden="false" customHeight="false" outlineLevel="0" collapsed="false">
      <c r="A39" s="0" t="n">
        <f aca="false">A38-1</f>
        <v>1980</v>
      </c>
      <c r="B39" s="0" t="n">
        <v>3.15385251578393</v>
      </c>
      <c r="C39" s="0" t="n">
        <v>3.15385251578393</v>
      </c>
      <c r="D39" s="0" t="n">
        <v>3.15385251578393</v>
      </c>
      <c r="E39" s="0" t="n">
        <v>3.15385251578393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3.15385251578393</v>
      </c>
      <c r="M39" s="0" t="n">
        <v>3.15385251578393</v>
      </c>
      <c r="N39" s="0" t="n">
        <v>3.15385251578393</v>
      </c>
      <c r="O39" s="0" t="n">
        <v>3.15385251578393</v>
      </c>
      <c r="P39" s="0" t="n">
        <v>3.15385251578393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1</v>
      </c>
      <c r="AE39" s="0" t="n">
        <v>3.15385251578393</v>
      </c>
      <c r="AF39" s="0" t="n">
        <v>3.15385251578393</v>
      </c>
      <c r="AG39" s="0" t="n">
        <v>3.15385251578393</v>
      </c>
      <c r="AH39" s="0" t="n">
        <v>3.15385251578393</v>
      </c>
      <c r="AI39" s="0" t="n">
        <v>3.15385251578393</v>
      </c>
      <c r="AJ39" s="0" t="n">
        <v>3.15385251578393</v>
      </c>
      <c r="AK39" s="0" t="n">
        <v>3.15385251578393</v>
      </c>
      <c r="AL39" s="0" t="n">
        <v>3.15385251578393</v>
      </c>
      <c r="AM39" s="0" t="n">
        <v>3.15385251578393</v>
      </c>
      <c r="AN39" s="0" t="n">
        <v>1</v>
      </c>
      <c r="AO39" s="0" t="n">
        <v>1</v>
      </c>
      <c r="AP39" s="0" t="n">
        <v>1</v>
      </c>
      <c r="AQ39" s="0" t="n">
        <v>1</v>
      </c>
      <c r="AR39" s="0" t="n">
        <v>1</v>
      </c>
      <c r="AS39" s="0" t="n">
        <v>1</v>
      </c>
      <c r="AT39" s="0" t="n">
        <v>1</v>
      </c>
      <c r="AU39" s="0" t="n">
        <v>1</v>
      </c>
      <c r="AV39" s="0" t="n">
        <v>1</v>
      </c>
      <c r="AW39" s="0" t="n">
        <v>1</v>
      </c>
      <c r="AX39" s="0" t="n">
        <v>3.15385251578393</v>
      </c>
      <c r="AY39" s="0" t="n">
        <v>3.15385251578393</v>
      </c>
      <c r="AZ39" s="0" t="n">
        <v>3.15385251578393</v>
      </c>
      <c r="BA39" s="0" t="n">
        <v>1</v>
      </c>
      <c r="BB39" s="0" t="n">
        <v>1</v>
      </c>
      <c r="BC39" s="0" t="n">
        <v>3.15385251578393</v>
      </c>
      <c r="BD39" s="0" t="n">
        <v>3.15385251578393</v>
      </c>
      <c r="BE39" s="0" t="n">
        <v>1</v>
      </c>
      <c r="BF39" s="0" t="n">
        <v>1</v>
      </c>
      <c r="BG39" s="0" t="n">
        <v>3.15385251578393</v>
      </c>
      <c r="BH39" s="0" t="n">
        <v>3.15385251578393</v>
      </c>
      <c r="BI39" s="0" t="n">
        <v>3.15385251578393</v>
      </c>
      <c r="BJ39" s="0" t="n">
        <v>3.15385251578393</v>
      </c>
      <c r="BK39" s="0" t="n">
        <v>1</v>
      </c>
    </row>
    <row r="40" customFormat="false" ht="12.8" hidden="false" customHeight="false" outlineLevel="0" collapsed="false">
      <c r="A40" s="0" t="n">
        <f aca="false">A39-1</f>
        <v>1979</v>
      </c>
      <c r="B40" s="0" t="n">
        <v>3.2218461283935</v>
      </c>
      <c r="C40" s="0" t="n">
        <v>3.2218461283935</v>
      </c>
      <c r="D40" s="0" t="n">
        <v>3.2218461283935</v>
      </c>
      <c r="E40" s="0" t="n">
        <v>3.2218461283935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3.2218461283935</v>
      </c>
      <c r="M40" s="0" t="n">
        <v>3.2218461283935</v>
      </c>
      <c r="N40" s="0" t="n">
        <v>3.2218461283935</v>
      </c>
      <c r="O40" s="0" t="n">
        <v>3.2218461283935</v>
      </c>
      <c r="P40" s="0" t="n">
        <v>3.2218461283935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1</v>
      </c>
      <c r="AE40" s="0" t="n">
        <v>3.2218461283935</v>
      </c>
      <c r="AF40" s="0" t="n">
        <v>3.2218461283935</v>
      </c>
      <c r="AG40" s="0" t="n">
        <v>3.2218461283935</v>
      </c>
      <c r="AH40" s="0" t="n">
        <v>3.2218461283935</v>
      </c>
      <c r="AI40" s="0" t="n">
        <v>3.2218461283935</v>
      </c>
      <c r="AJ40" s="0" t="n">
        <v>3.2218461283935</v>
      </c>
      <c r="AK40" s="0" t="n">
        <v>3.2218461283935</v>
      </c>
      <c r="AL40" s="0" t="n">
        <v>3.2218461283935</v>
      </c>
      <c r="AM40" s="0" t="n">
        <v>3.2218461283935</v>
      </c>
      <c r="AN40" s="0" t="n">
        <v>1</v>
      </c>
      <c r="AO40" s="0" t="n">
        <v>1</v>
      </c>
      <c r="AP40" s="0" t="n">
        <v>1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1</v>
      </c>
      <c r="AV40" s="0" t="n">
        <v>1</v>
      </c>
      <c r="AW40" s="0" t="n">
        <v>1</v>
      </c>
      <c r="AX40" s="0" t="n">
        <v>3.2218461283935</v>
      </c>
      <c r="AY40" s="0" t="n">
        <v>3.2218461283935</v>
      </c>
      <c r="AZ40" s="0" t="n">
        <v>3.2218461283935</v>
      </c>
      <c r="BA40" s="0" t="n">
        <v>1</v>
      </c>
      <c r="BB40" s="0" t="n">
        <v>1</v>
      </c>
      <c r="BC40" s="0" t="n">
        <v>3.2218461283935</v>
      </c>
      <c r="BD40" s="0" t="n">
        <v>3.2218461283935</v>
      </c>
      <c r="BE40" s="0" t="n">
        <v>1</v>
      </c>
      <c r="BF40" s="0" t="n">
        <v>1</v>
      </c>
      <c r="BG40" s="0" t="n">
        <v>3.2218461283935</v>
      </c>
      <c r="BH40" s="0" t="n">
        <v>3.2218461283935</v>
      </c>
      <c r="BI40" s="0" t="n">
        <v>3.2218461283935</v>
      </c>
      <c r="BJ40" s="0" t="n">
        <v>3.2218461283935</v>
      </c>
      <c r="BK40" s="0" t="n">
        <v>1</v>
      </c>
    </row>
    <row r="41" customFormat="false" ht="12.8" hidden="false" customHeight="false" outlineLevel="0" collapsed="false">
      <c r="A41" s="0" t="n">
        <f aca="false">A40-1</f>
        <v>1978</v>
      </c>
      <c r="B41" s="0" t="n">
        <v>3.18082579124763</v>
      </c>
      <c r="C41" s="0" t="n">
        <v>3.18082579124763</v>
      </c>
      <c r="D41" s="0" t="n">
        <v>3.18082579124763</v>
      </c>
      <c r="E41" s="0" t="n">
        <v>3.18082579124763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3.18082579124763</v>
      </c>
      <c r="M41" s="0" t="n">
        <v>3.18082579124763</v>
      </c>
      <c r="N41" s="0" t="n">
        <v>3.18082579124763</v>
      </c>
      <c r="O41" s="0" t="n">
        <v>3.18082579124763</v>
      </c>
      <c r="P41" s="0" t="n">
        <v>3.18082579124763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1</v>
      </c>
      <c r="AE41" s="0" t="n">
        <v>3.18082579124763</v>
      </c>
      <c r="AF41" s="0" t="n">
        <v>3.18082579124763</v>
      </c>
      <c r="AG41" s="0" t="n">
        <v>3.18082579124763</v>
      </c>
      <c r="AH41" s="0" t="n">
        <v>3.18082579124763</v>
      </c>
      <c r="AI41" s="0" t="n">
        <v>3.18082579124763</v>
      </c>
      <c r="AJ41" s="0" t="n">
        <v>3.18082579124763</v>
      </c>
      <c r="AK41" s="0" t="n">
        <v>3.18082579124763</v>
      </c>
      <c r="AL41" s="0" t="n">
        <v>3.18082579124763</v>
      </c>
      <c r="AM41" s="0" t="n">
        <v>3.18082579124763</v>
      </c>
      <c r="AN41" s="0" t="n">
        <v>1</v>
      </c>
      <c r="AO41" s="0" t="n">
        <v>1</v>
      </c>
      <c r="AP41" s="0" t="n">
        <v>1</v>
      </c>
      <c r="AQ41" s="0" t="n">
        <v>1</v>
      </c>
      <c r="AR41" s="0" t="n">
        <v>1</v>
      </c>
      <c r="AS41" s="0" t="n">
        <v>1</v>
      </c>
      <c r="AT41" s="0" t="n">
        <v>1</v>
      </c>
      <c r="AU41" s="0" t="n">
        <v>1</v>
      </c>
      <c r="AV41" s="0" t="n">
        <v>1</v>
      </c>
      <c r="AW41" s="0" t="n">
        <v>1</v>
      </c>
      <c r="AX41" s="0" t="n">
        <v>3.18082579124763</v>
      </c>
      <c r="AY41" s="0" t="n">
        <v>3.18082579124763</v>
      </c>
      <c r="AZ41" s="0" t="n">
        <v>3.18082579124763</v>
      </c>
      <c r="BA41" s="0" t="n">
        <v>1</v>
      </c>
      <c r="BB41" s="0" t="n">
        <v>1</v>
      </c>
      <c r="BC41" s="0" t="n">
        <v>3.18082579124763</v>
      </c>
      <c r="BD41" s="0" t="n">
        <v>3.18082579124763</v>
      </c>
      <c r="BE41" s="0" t="n">
        <v>1</v>
      </c>
      <c r="BF41" s="0" t="n">
        <v>1</v>
      </c>
      <c r="BG41" s="0" t="n">
        <v>3.18082579124763</v>
      </c>
      <c r="BH41" s="0" t="n">
        <v>3.18082579124763</v>
      </c>
      <c r="BI41" s="0" t="n">
        <v>3.18082579124763</v>
      </c>
      <c r="BJ41" s="0" t="n">
        <v>3.18082579124763</v>
      </c>
      <c r="BK41" s="0" t="n">
        <v>1</v>
      </c>
    </row>
    <row r="42" customFormat="false" ht="12.8" hidden="false" customHeight="false" outlineLevel="0" collapsed="false">
      <c r="A42" s="0" t="n">
        <f aca="false">A41-1</f>
        <v>1977</v>
      </c>
      <c r="B42" s="0" t="n">
        <v>3.34135299770847</v>
      </c>
      <c r="C42" s="0" t="n">
        <v>3.34135299770847</v>
      </c>
      <c r="D42" s="0" t="n">
        <v>3.34135299770847</v>
      </c>
      <c r="E42" s="0" t="n">
        <v>3.34135299770847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3.34135299770847</v>
      </c>
      <c r="M42" s="0" t="n">
        <v>3.34135299770847</v>
      </c>
      <c r="N42" s="0" t="n">
        <v>3.34135299770847</v>
      </c>
      <c r="O42" s="0" t="n">
        <v>3.34135299770847</v>
      </c>
      <c r="P42" s="0" t="n">
        <v>3.34135299770847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1</v>
      </c>
      <c r="AE42" s="0" t="n">
        <v>3.34135299770847</v>
      </c>
      <c r="AF42" s="0" t="n">
        <v>3.34135299770847</v>
      </c>
      <c r="AG42" s="0" t="n">
        <v>3.34135299770847</v>
      </c>
      <c r="AH42" s="0" t="n">
        <v>3.34135299770847</v>
      </c>
      <c r="AI42" s="0" t="n">
        <v>3.34135299770847</v>
      </c>
      <c r="AJ42" s="0" t="n">
        <v>3.34135299770847</v>
      </c>
      <c r="AK42" s="0" t="n">
        <v>3.34135299770847</v>
      </c>
      <c r="AL42" s="0" t="n">
        <v>3.34135299770847</v>
      </c>
      <c r="AM42" s="0" t="n">
        <v>3.34135299770847</v>
      </c>
      <c r="AN42" s="0" t="n">
        <v>1</v>
      </c>
      <c r="AO42" s="0" t="n">
        <v>1</v>
      </c>
      <c r="AP42" s="0" t="n">
        <v>1</v>
      </c>
      <c r="AQ42" s="0" t="n">
        <v>1</v>
      </c>
      <c r="AR42" s="0" t="n">
        <v>1</v>
      </c>
      <c r="AS42" s="0" t="n">
        <v>1</v>
      </c>
      <c r="AT42" s="0" t="n">
        <v>1</v>
      </c>
      <c r="AU42" s="0" t="n">
        <v>1</v>
      </c>
      <c r="AV42" s="0" t="n">
        <v>1</v>
      </c>
      <c r="AW42" s="0" t="n">
        <v>1</v>
      </c>
      <c r="AX42" s="0" t="n">
        <v>3.34135299770847</v>
      </c>
      <c r="AY42" s="0" t="n">
        <v>3.34135299770847</v>
      </c>
      <c r="AZ42" s="0" t="n">
        <v>3.34135299770847</v>
      </c>
      <c r="BA42" s="0" t="n">
        <v>1</v>
      </c>
      <c r="BB42" s="0" t="n">
        <v>1</v>
      </c>
      <c r="BC42" s="0" t="n">
        <v>3.34135299770847</v>
      </c>
      <c r="BD42" s="0" t="n">
        <v>3.34135299770847</v>
      </c>
      <c r="BE42" s="0" t="n">
        <v>1</v>
      </c>
      <c r="BF42" s="0" t="n">
        <v>1</v>
      </c>
      <c r="BG42" s="0" t="n">
        <v>3.34135299770847</v>
      </c>
      <c r="BH42" s="0" t="n">
        <v>3.34135299770847</v>
      </c>
      <c r="BI42" s="0" t="n">
        <v>3.34135299770847</v>
      </c>
      <c r="BJ42" s="0" t="n">
        <v>3.34135299770847</v>
      </c>
      <c r="BK42" s="0" t="n">
        <v>1</v>
      </c>
    </row>
    <row r="43" customFormat="false" ht="12.8" hidden="false" customHeight="false" outlineLevel="0" collapsed="false">
      <c r="A43" s="0" t="n">
        <f aca="false">A42-1</f>
        <v>1976</v>
      </c>
      <c r="B43" s="0" t="n">
        <v>3.22955479642464</v>
      </c>
      <c r="C43" s="0" t="n">
        <v>3.22955479642464</v>
      </c>
      <c r="D43" s="0" t="n">
        <v>3.22955479642464</v>
      </c>
      <c r="E43" s="0" t="n">
        <v>3.22955479642464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3.22955479642464</v>
      </c>
      <c r="M43" s="0" t="n">
        <v>3.22955479642464</v>
      </c>
      <c r="N43" s="0" t="n">
        <v>3.22955479642464</v>
      </c>
      <c r="O43" s="0" t="n">
        <v>3.22955479642464</v>
      </c>
      <c r="P43" s="0" t="n">
        <v>3.22955479642464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1</v>
      </c>
      <c r="AE43" s="0" t="n">
        <v>3.22955479642464</v>
      </c>
      <c r="AF43" s="0" t="n">
        <v>3.22955479642464</v>
      </c>
      <c r="AG43" s="0" t="n">
        <v>3.22955479642464</v>
      </c>
      <c r="AH43" s="0" t="n">
        <v>3.22955479642464</v>
      </c>
      <c r="AI43" s="0" t="n">
        <v>3.22955479642464</v>
      </c>
      <c r="AJ43" s="0" t="n">
        <v>3.22955479642464</v>
      </c>
      <c r="AK43" s="0" t="n">
        <v>3.22955479642464</v>
      </c>
      <c r="AL43" s="0" t="n">
        <v>3.22955479642464</v>
      </c>
      <c r="AM43" s="0" t="n">
        <v>3.22955479642464</v>
      </c>
      <c r="AN43" s="0" t="n">
        <v>1</v>
      </c>
      <c r="AO43" s="0" t="n">
        <v>1</v>
      </c>
      <c r="AP43" s="0" t="n">
        <v>1</v>
      </c>
      <c r="AQ43" s="0" t="n">
        <v>1</v>
      </c>
      <c r="AR43" s="0" t="n">
        <v>1</v>
      </c>
      <c r="AS43" s="0" t="n">
        <v>1</v>
      </c>
      <c r="AT43" s="0" t="n">
        <v>1</v>
      </c>
      <c r="AU43" s="0" t="n">
        <v>1</v>
      </c>
      <c r="AV43" s="0" t="n">
        <v>1</v>
      </c>
      <c r="AW43" s="0" t="n">
        <v>1</v>
      </c>
      <c r="AX43" s="0" t="n">
        <v>3.22955479642464</v>
      </c>
      <c r="AY43" s="0" t="n">
        <v>3.22955479642464</v>
      </c>
      <c r="AZ43" s="0" t="n">
        <v>3.22955479642464</v>
      </c>
      <c r="BA43" s="0" t="n">
        <v>1</v>
      </c>
      <c r="BB43" s="0" t="n">
        <v>1</v>
      </c>
      <c r="BC43" s="0" t="n">
        <v>3.22955479642464</v>
      </c>
      <c r="BD43" s="0" t="n">
        <v>3.22955479642464</v>
      </c>
      <c r="BE43" s="0" t="n">
        <v>1</v>
      </c>
      <c r="BF43" s="0" t="n">
        <v>1</v>
      </c>
      <c r="BG43" s="0" t="n">
        <v>3.22955479642464</v>
      </c>
      <c r="BH43" s="0" t="n">
        <v>3.22955479642464</v>
      </c>
      <c r="BI43" s="0" t="n">
        <v>3.22955479642464</v>
      </c>
      <c r="BJ43" s="0" t="n">
        <v>3.22955479642464</v>
      </c>
      <c r="BK43" s="0" t="n">
        <v>1</v>
      </c>
    </row>
    <row r="44" customFormat="false" ht="12.8" hidden="false" customHeight="false" outlineLevel="0" collapsed="false">
      <c r="A44" s="0" t="n">
        <f aca="false">A43-1</f>
        <v>1975</v>
      </c>
      <c r="B44" s="0" t="n">
        <v>3.01042030597132</v>
      </c>
      <c r="C44" s="0" t="n">
        <v>3.01042030597132</v>
      </c>
      <c r="D44" s="0" t="n">
        <v>3.01042030597132</v>
      </c>
      <c r="E44" s="0" t="n">
        <v>3.01042030597132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3.01042030597132</v>
      </c>
      <c r="M44" s="0" t="n">
        <v>3.01042030597132</v>
      </c>
      <c r="N44" s="0" t="n">
        <v>3.01042030597132</v>
      </c>
      <c r="O44" s="0" t="n">
        <v>3.01042030597132</v>
      </c>
      <c r="P44" s="0" t="n">
        <v>3.01042030597132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1</v>
      </c>
      <c r="AE44" s="0" t="n">
        <v>3.01042030597132</v>
      </c>
      <c r="AF44" s="0" t="n">
        <v>3.01042030597132</v>
      </c>
      <c r="AG44" s="0" t="n">
        <v>3.01042030597132</v>
      </c>
      <c r="AH44" s="0" t="n">
        <v>3.01042030597132</v>
      </c>
      <c r="AI44" s="0" t="n">
        <v>3.01042030597132</v>
      </c>
      <c r="AJ44" s="0" t="n">
        <v>3.01042030597132</v>
      </c>
      <c r="AK44" s="0" t="n">
        <v>3.01042030597132</v>
      </c>
      <c r="AL44" s="0" t="n">
        <v>3.01042030597132</v>
      </c>
      <c r="AM44" s="0" t="n">
        <v>3.01042030597132</v>
      </c>
      <c r="AN44" s="0" t="n">
        <v>1</v>
      </c>
      <c r="AO44" s="0" t="n">
        <v>1</v>
      </c>
      <c r="AP44" s="0" t="n">
        <v>1</v>
      </c>
      <c r="AQ44" s="0" t="n">
        <v>1</v>
      </c>
      <c r="AR44" s="0" t="n">
        <v>1</v>
      </c>
      <c r="AS44" s="0" t="n">
        <v>1</v>
      </c>
      <c r="AT44" s="0" t="n">
        <v>1</v>
      </c>
      <c r="AU44" s="0" t="n">
        <v>1</v>
      </c>
      <c r="AV44" s="0" t="n">
        <v>1</v>
      </c>
      <c r="AW44" s="0" t="n">
        <v>1</v>
      </c>
      <c r="AX44" s="0" t="n">
        <v>3.01042030597132</v>
      </c>
      <c r="AY44" s="0" t="n">
        <v>3.01042030597132</v>
      </c>
      <c r="AZ44" s="0" t="n">
        <v>3.01042030597132</v>
      </c>
      <c r="BA44" s="0" t="n">
        <v>1</v>
      </c>
      <c r="BB44" s="0" t="n">
        <v>1</v>
      </c>
      <c r="BC44" s="0" t="n">
        <v>3.01042030597132</v>
      </c>
      <c r="BD44" s="0" t="n">
        <v>3.01042030597132</v>
      </c>
      <c r="BE44" s="0" t="n">
        <v>1</v>
      </c>
      <c r="BF44" s="0" t="n">
        <v>1</v>
      </c>
      <c r="BG44" s="0" t="n">
        <v>3.01042030597132</v>
      </c>
      <c r="BH44" s="0" t="n">
        <v>3.01042030597132</v>
      </c>
      <c r="BI44" s="0" t="n">
        <v>3.01042030597132</v>
      </c>
      <c r="BJ44" s="0" t="n">
        <v>3.01042030597132</v>
      </c>
      <c r="BK44" s="0" t="n">
        <v>1</v>
      </c>
    </row>
    <row r="45" customFormat="false" ht="12.8" hidden="false" customHeight="false" outlineLevel="0" collapsed="false">
      <c r="A45" s="0" t="n">
        <f aca="false">A44-1</f>
        <v>1974</v>
      </c>
      <c r="B45" s="0" t="n">
        <v>3.07645192724222</v>
      </c>
      <c r="C45" s="0" t="n">
        <v>3.07645192724222</v>
      </c>
      <c r="D45" s="0" t="n">
        <v>3.07645192724222</v>
      </c>
      <c r="E45" s="0" t="n">
        <v>3.07645192724222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3.07645192724222</v>
      </c>
      <c r="M45" s="0" t="n">
        <v>3.07645192724222</v>
      </c>
      <c r="N45" s="0" t="n">
        <v>3.07645192724222</v>
      </c>
      <c r="O45" s="0" t="n">
        <v>3.07645192724222</v>
      </c>
      <c r="P45" s="0" t="n">
        <v>3.07645192724222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1</v>
      </c>
      <c r="AE45" s="0" t="n">
        <v>3.07645192724222</v>
      </c>
      <c r="AF45" s="0" t="n">
        <v>3.07645192724222</v>
      </c>
      <c r="AG45" s="0" t="n">
        <v>3.07645192724222</v>
      </c>
      <c r="AH45" s="0" t="n">
        <v>3.07645192724222</v>
      </c>
      <c r="AI45" s="0" t="n">
        <v>3.07645192724222</v>
      </c>
      <c r="AJ45" s="0" t="n">
        <v>3.07645192724222</v>
      </c>
      <c r="AK45" s="0" t="n">
        <v>3.07645192724222</v>
      </c>
      <c r="AL45" s="0" t="n">
        <v>3.07645192724222</v>
      </c>
      <c r="AM45" s="0" t="n">
        <v>3.07645192724222</v>
      </c>
      <c r="AN45" s="0" t="n">
        <v>1</v>
      </c>
      <c r="AO45" s="0" t="n">
        <v>1</v>
      </c>
      <c r="AP45" s="0" t="n">
        <v>1</v>
      </c>
      <c r="AQ45" s="0" t="n">
        <v>1</v>
      </c>
      <c r="AR45" s="0" t="n">
        <v>1</v>
      </c>
      <c r="AS45" s="0" t="n">
        <v>1</v>
      </c>
      <c r="AT45" s="0" t="n">
        <v>1</v>
      </c>
      <c r="AU45" s="0" t="n">
        <v>1</v>
      </c>
      <c r="AV45" s="0" t="n">
        <v>1</v>
      </c>
      <c r="AW45" s="0" t="n">
        <v>1</v>
      </c>
      <c r="AX45" s="0" t="n">
        <v>3.07645192724222</v>
      </c>
      <c r="AY45" s="0" t="n">
        <v>3.07645192724222</v>
      </c>
      <c r="AZ45" s="0" t="n">
        <v>3.07645192724222</v>
      </c>
      <c r="BA45" s="0" t="n">
        <v>1</v>
      </c>
      <c r="BB45" s="0" t="n">
        <v>1</v>
      </c>
      <c r="BC45" s="0" t="n">
        <v>3.07645192724222</v>
      </c>
      <c r="BD45" s="0" t="n">
        <v>3.07645192724222</v>
      </c>
      <c r="BE45" s="0" t="n">
        <v>1</v>
      </c>
      <c r="BF45" s="0" t="n">
        <v>1</v>
      </c>
      <c r="BG45" s="0" t="n">
        <v>3.07645192724222</v>
      </c>
      <c r="BH45" s="0" t="n">
        <v>3.07645192724222</v>
      </c>
      <c r="BI45" s="0" t="n">
        <v>3.07645192724222</v>
      </c>
      <c r="BJ45" s="0" t="n">
        <v>3.07645192724222</v>
      </c>
      <c r="BK45" s="0" t="n">
        <v>1</v>
      </c>
    </row>
    <row r="46" customFormat="false" ht="12.8" hidden="false" customHeight="false" outlineLevel="0" collapsed="false">
      <c r="A46" s="0" t="n">
        <f aca="false">A45-1</f>
        <v>1973</v>
      </c>
      <c r="B46" s="0" t="n">
        <v>2.93696931061684</v>
      </c>
      <c r="C46" s="0" t="n">
        <v>2.93696931061684</v>
      </c>
      <c r="D46" s="0" t="n">
        <v>2.93696931061684</v>
      </c>
      <c r="E46" s="0" t="n">
        <v>2.93696931061684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2.93696931061684</v>
      </c>
      <c r="M46" s="0" t="n">
        <v>2.93696931061684</v>
      </c>
      <c r="N46" s="0" t="n">
        <v>2.93696931061684</v>
      </c>
      <c r="O46" s="0" t="n">
        <v>2.93696931061684</v>
      </c>
      <c r="P46" s="0" t="n">
        <v>2.93696931061684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1</v>
      </c>
      <c r="AD46" s="0" t="n">
        <v>1</v>
      </c>
      <c r="AE46" s="0" t="n">
        <v>2.93696931061684</v>
      </c>
      <c r="AF46" s="0" t="n">
        <v>2.93696931061684</v>
      </c>
      <c r="AG46" s="0" t="n">
        <v>2.93696931061684</v>
      </c>
      <c r="AH46" s="0" t="n">
        <v>2.93696931061684</v>
      </c>
      <c r="AI46" s="0" t="n">
        <v>2.93696931061684</v>
      </c>
      <c r="AJ46" s="0" t="n">
        <v>2.93696931061684</v>
      </c>
      <c r="AK46" s="0" t="n">
        <v>2.93696931061684</v>
      </c>
      <c r="AL46" s="0" t="n">
        <v>2.93696931061684</v>
      </c>
      <c r="AM46" s="0" t="n">
        <v>2.93696931061684</v>
      </c>
      <c r="AN46" s="0" t="n">
        <v>1</v>
      </c>
      <c r="AO46" s="0" t="n">
        <v>1</v>
      </c>
      <c r="AP46" s="0" t="n">
        <v>1</v>
      </c>
      <c r="AQ46" s="0" t="n">
        <v>1</v>
      </c>
      <c r="AR46" s="0" t="n">
        <v>1</v>
      </c>
      <c r="AS46" s="0" t="n">
        <v>1</v>
      </c>
      <c r="AT46" s="0" t="n">
        <v>1</v>
      </c>
      <c r="AU46" s="0" t="n">
        <v>1</v>
      </c>
      <c r="AV46" s="0" t="n">
        <v>1</v>
      </c>
      <c r="AW46" s="0" t="n">
        <v>1</v>
      </c>
      <c r="AX46" s="0" t="n">
        <v>2.93696931061684</v>
      </c>
      <c r="AY46" s="0" t="n">
        <v>2.93696931061684</v>
      </c>
      <c r="AZ46" s="0" t="n">
        <v>2.93696931061684</v>
      </c>
      <c r="BA46" s="0" t="n">
        <v>1</v>
      </c>
      <c r="BB46" s="0" t="n">
        <v>1</v>
      </c>
      <c r="BC46" s="0" t="n">
        <v>2.93696931061684</v>
      </c>
      <c r="BD46" s="0" t="n">
        <v>2.93696931061684</v>
      </c>
      <c r="BE46" s="0" t="n">
        <v>1</v>
      </c>
      <c r="BF46" s="0" t="n">
        <v>1</v>
      </c>
      <c r="BG46" s="0" t="n">
        <v>2.93696931061684</v>
      </c>
      <c r="BH46" s="0" t="n">
        <v>2.93696931061684</v>
      </c>
      <c r="BI46" s="0" t="n">
        <v>2.93696931061684</v>
      </c>
      <c r="BJ46" s="0" t="n">
        <v>2.93696931061684</v>
      </c>
      <c r="BK46" s="0" t="n">
        <v>1</v>
      </c>
    </row>
    <row r="47" customFormat="false" ht="12.8" hidden="false" customHeight="false" outlineLevel="0" collapsed="false">
      <c r="A47" s="0" t="n">
        <f aca="false">A46-1</f>
        <v>1972</v>
      </c>
      <c r="B47" s="0" t="n">
        <v>3.06250604681418</v>
      </c>
      <c r="C47" s="0" t="n">
        <v>3.06250604681418</v>
      </c>
      <c r="D47" s="0" t="n">
        <v>3.06250604681418</v>
      </c>
      <c r="E47" s="0" t="n">
        <v>3.06250604681418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3.06250604681418</v>
      </c>
      <c r="M47" s="0" t="n">
        <v>3.06250604681418</v>
      </c>
      <c r="N47" s="0" t="n">
        <v>3.06250604681418</v>
      </c>
      <c r="O47" s="0" t="n">
        <v>3.06250604681418</v>
      </c>
      <c r="P47" s="0" t="n">
        <v>3.06250604681418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1</v>
      </c>
      <c r="AE47" s="0" t="n">
        <v>3.06250604681418</v>
      </c>
      <c r="AF47" s="0" t="n">
        <v>3.06250604681418</v>
      </c>
      <c r="AG47" s="0" t="n">
        <v>3.06250604681418</v>
      </c>
      <c r="AH47" s="0" t="n">
        <v>3.06250604681418</v>
      </c>
      <c r="AI47" s="0" t="n">
        <v>3.06250604681418</v>
      </c>
      <c r="AJ47" s="0" t="n">
        <v>3.06250604681418</v>
      </c>
      <c r="AK47" s="0" t="n">
        <v>3.06250604681418</v>
      </c>
      <c r="AL47" s="0" t="n">
        <v>3.06250604681418</v>
      </c>
      <c r="AM47" s="0" t="n">
        <v>3.06250604681418</v>
      </c>
      <c r="AN47" s="0" t="n">
        <v>1</v>
      </c>
      <c r="AO47" s="0" t="n">
        <v>1</v>
      </c>
      <c r="AP47" s="0" t="n">
        <v>1</v>
      </c>
      <c r="AQ47" s="0" t="n">
        <v>1</v>
      </c>
      <c r="AR47" s="0" t="n">
        <v>1</v>
      </c>
      <c r="AS47" s="0" t="n">
        <v>1</v>
      </c>
      <c r="AT47" s="0" t="n">
        <v>1</v>
      </c>
      <c r="AU47" s="0" t="n">
        <v>1</v>
      </c>
      <c r="AV47" s="0" t="n">
        <v>1</v>
      </c>
      <c r="AW47" s="0" t="n">
        <v>1</v>
      </c>
      <c r="AX47" s="0" t="n">
        <v>3.06250604681418</v>
      </c>
      <c r="AY47" s="0" t="n">
        <v>3.06250604681418</v>
      </c>
      <c r="AZ47" s="0" t="n">
        <v>3.06250604681418</v>
      </c>
      <c r="BA47" s="0" t="n">
        <v>1</v>
      </c>
      <c r="BB47" s="0" t="n">
        <v>1</v>
      </c>
      <c r="BC47" s="0" t="n">
        <v>3.06250604681418</v>
      </c>
      <c r="BD47" s="0" t="n">
        <v>3.06250604681418</v>
      </c>
      <c r="BE47" s="0" t="n">
        <v>1</v>
      </c>
      <c r="BF47" s="0" t="n">
        <v>1</v>
      </c>
      <c r="BG47" s="0" t="n">
        <v>3.06250604681418</v>
      </c>
      <c r="BH47" s="0" t="n">
        <v>3.06250604681418</v>
      </c>
      <c r="BI47" s="0" t="n">
        <v>3.06250604681418</v>
      </c>
      <c r="BJ47" s="0" t="n">
        <v>3.06250604681418</v>
      </c>
      <c r="BK47" s="0" t="n">
        <v>1</v>
      </c>
    </row>
    <row r="48" customFormat="false" ht="12.8" hidden="false" customHeight="false" outlineLevel="0" collapsed="false">
      <c r="A48" s="0" t="n">
        <f aca="false">A47-1</f>
        <v>1971</v>
      </c>
      <c r="B48" s="0" t="n">
        <v>2.92218388452592</v>
      </c>
      <c r="C48" s="0" t="n">
        <v>2.92218388452592</v>
      </c>
      <c r="D48" s="0" t="n">
        <v>2.92218388452592</v>
      </c>
      <c r="E48" s="0" t="n">
        <v>2.92218388452592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2.92218388452592</v>
      </c>
      <c r="M48" s="0" t="n">
        <v>2.92218388452592</v>
      </c>
      <c r="N48" s="0" t="n">
        <v>2.92218388452592</v>
      </c>
      <c r="O48" s="0" t="n">
        <v>2.92218388452592</v>
      </c>
      <c r="P48" s="0" t="n">
        <v>2.92218388452592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1</v>
      </c>
      <c r="AE48" s="0" t="n">
        <v>2.92218388452592</v>
      </c>
      <c r="AF48" s="0" t="n">
        <v>2.92218388452592</v>
      </c>
      <c r="AG48" s="0" t="n">
        <v>2.92218388452592</v>
      </c>
      <c r="AH48" s="0" t="n">
        <v>2.92218388452592</v>
      </c>
      <c r="AI48" s="0" t="n">
        <v>2.92218388452592</v>
      </c>
      <c r="AJ48" s="0" t="n">
        <v>2.92218388452592</v>
      </c>
      <c r="AK48" s="0" t="n">
        <v>2.92218388452592</v>
      </c>
      <c r="AL48" s="0" t="n">
        <v>2.92218388452592</v>
      </c>
      <c r="AM48" s="0" t="n">
        <v>2.92218388452592</v>
      </c>
      <c r="AN48" s="0" t="n">
        <v>1</v>
      </c>
      <c r="AO48" s="0" t="n">
        <v>1</v>
      </c>
      <c r="AP48" s="0" t="n">
        <v>1</v>
      </c>
      <c r="AQ48" s="0" t="n">
        <v>1</v>
      </c>
      <c r="AR48" s="0" t="n">
        <v>1</v>
      </c>
      <c r="AS48" s="0" t="n">
        <v>1</v>
      </c>
      <c r="AT48" s="0" t="n">
        <v>1</v>
      </c>
      <c r="AU48" s="0" t="n">
        <v>1</v>
      </c>
      <c r="AV48" s="0" t="n">
        <v>1</v>
      </c>
      <c r="AW48" s="0" t="n">
        <v>1</v>
      </c>
      <c r="AX48" s="0" t="n">
        <v>2.92218388452592</v>
      </c>
      <c r="AY48" s="0" t="n">
        <v>2.92218388452592</v>
      </c>
      <c r="AZ48" s="0" t="n">
        <v>2.92218388452592</v>
      </c>
      <c r="BA48" s="0" t="n">
        <v>1</v>
      </c>
      <c r="BB48" s="0" t="n">
        <v>1</v>
      </c>
      <c r="BC48" s="0" t="n">
        <v>2.92218388452592</v>
      </c>
      <c r="BD48" s="0" t="n">
        <v>2.92218388452592</v>
      </c>
      <c r="BE48" s="0" t="n">
        <v>1</v>
      </c>
      <c r="BF48" s="0" t="n">
        <v>1</v>
      </c>
      <c r="BG48" s="0" t="n">
        <v>2.92218388452592</v>
      </c>
      <c r="BH48" s="0" t="n">
        <v>2.92218388452592</v>
      </c>
      <c r="BI48" s="0" t="n">
        <v>2.92218388452592</v>
      </c>
      <c r="BJ48" s="0" t="n">
        <v>2.92218388452592</v>
      </c>
      <c r="BK48" s="0" t="n">
        <v>1</v>
      </c>
    </row>
    <row r="49" customFormat="false" ht="12.8" hidden="false" customHeight="false" outlineLevel="0" collapsed="false">
      <c r="A49" s="0" t="n">
        <f aca="false">A48-1</f>
        <v>1970</v>
      </c>
      <c r="B49" s="0" t="n">
        <v>2.67622217333165</v>
      </c>
      <c r="C49" s="0" t="n">
        <v>2.67622217333165</v>
      </c>
      <c r="D49" s="0" t="n">
        <v>2.67622217333165</v>
      </c>
      <c r="E49" s="0" t="n">
        <v>2.67622217333165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2.67622217333165</v>
      </c>
      <c r="M49" s="0" t="n">
        <v>2.67622217333165</v>
      </c>
      <c r="N49" s="0" t="n">
        <v>2.67622217333165</v>
      </c>
      <c r="O49" s="0" t="n">
        <v>2.67622217333165</v>
      </c>
      <c r="P49" s="0" t="n">
        <v>2.67622217333165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1</v>
      </c>
      <c r="AE49" s="0" t="n">
        <v>2.67622217333165</v>
      </c>
      <c r="AF49" s="0" t="n">
        <v>2.67622217333165</v>
      </c>
      <c r="AG49" s="0" t="n">
        <v>2.67622217333165</v>
      </c>
      <c r="AH49" s="0" t="n">
        <v>2.67622217333165</v>
      </c>
      <c r="AI49" s="0" t="n">
        <v>2.67622217333165</v>
      </c>
      <c r="AJ49" s="0" t="n">
        <v>2.67622217333165</v>
      </c>
      <c r="AK49" s="0" t="n">
        <v>2.67622217333165</v>
      </c>
      <c r="AL49" s="0" t="n">
        <v>2.67622217333165</v>
      </c>
      <c r="AM49" s="0" t="n">
        <v>2.67622217333165</v>
      </c>
      <c r="AN49" s="0" t="n">
        <v>1</v>
      </c>
      <c r="AO49" s="0" t="n">
        <v>1</v>
      </c>
      <c r="AP49" s="0" t="n">
        <v>1</v>
      </c>
      <c r="AQ49" s="0" t="n">
        <v>1</v>
      </c>
      <c r="AR49" s="0" t="n">
        <v>1</v>
      </c>
      <c r="AS49" s="0" t="n">
        <v>1</v>
      </c>
      <c r="AT49" s="0" t="n">
        <v>1</v>
      </c>
      <c r="AU49" s="0" t="n">
        <v>1</v>
      </c>
      <c r="AV49" s="0" t="n">
        <v>1</v>
      </c>
      <c r="AW49" s="0" t="n">
        <v>1</v>
      </c>
      <c r="AX49" s="0" t="n">
        <v>2.67622217333165</v>
      </c>
      <c r="AY49" s="0" t="n">
        <v>2.67622217333165</v>
      </c>
      <c r="AZ49" s="0" t="n">
        <v>2.67622217333165</v>
      </c>
      <c r="BA49" s="0" t="n">
        <v>1</v>
      </c>
      <c r="BB49" s="0" t="n">
        <v>1</v>
      </c>
      <c r="BC49" s="0" t="n">
        <v>2.67622217333165</v>
      </c>
      <c r="BD49" s="0" t="n">
        <v>2.67622217333165</v>
      </c>
      <c r="BE49" s="0" t="n">
        <v>1</v>
      </c>
      <c r="BF49" s="0" t="n">
        <v>1</v>
      </c>
      <c r="BG49" s="0" t="n">
        <v>2.67622217333165</v>
      </c>
      <c r="BH49" s="0" t="n">
        <v>2.67622217333165</v>
      </c>
      <c r="BI49" s="0" t="n">
        <v>2.67622217333165</v>
      </c>
      <c r="BJ49" s="0" t="n">
        <v>2.67622217333165</v>
      </c>
      <c r="BK49" s="0" t="n">
        <v>1</v>
      </c>
    </row>
    <row r="50" customFormat="false" ht="12.8" hidden="false" customHeight="false" outlineLevel="0" collapsed="false">
      <c r="A50" s="0" t="n">
        <f aca="false">A49-1</f>
        <v>1969</v>
      </c>
      <c r="B50" s="0" t="n">
        <v>2.60324006259607</v>
      </c>
      <c r="C50" s="0" t="n">
        <v>2.60324006259607</v>
      </c>
      <c r="D50" s="0" t="n">
        <v>2.60324006259607</v>
      </c>
      <c r="E50" s="0" t="n">
        <v>2.60324006259607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2.60324006259607</v>
      </c>
      <c r="M50" s="0" t="n">
        <v>2.60324006259607</v>
      </c>
      <c r="N50" s="0" t="n">
        <v>2.60324006259607</v>
      </c>
      <c r="O50" s="0" t="n">
        <v>2.60324006259607</v>
      </c>
      <c r="P50" s="0" t="n">
        <v>2.60324006259607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1</v>
      </c>
      <c r="AD50" s="0" t="n">
        <v>1</v>
      </c>
      <c r="AE50" s="0" t="n">
        <v>2.60324006259607</v>
      </c>
      <c r="AF50" s="0" t="n">
        <v>2.60324006259607</v>
      </c>
      <c r="AG50" s="0" t="n">
        <v>2.60324006259607</v>
      </c>
      <c r="AH50" s="0" t="n">
        <v>2.60324006259607</v>
      </c>
      <c r="AI50" s="0" t="n">
        <v>2.60324006259607</v>
      </c>
      <c r="AJ50" s="0" t="n">
        <v>2.60324006259607</v>
      </c>
      <c r="AK50" s="0" t="n">
        <v>2.60324006259607</v>
      </c>
      <c r="AL50" s="0" t="n">
        <v>2.60324006259607</v>
      </c>
      <c r="AM50" s="0" t="n">
        <v>2.60324006259607</v>
      </c>
      <c r="AN50" s="0" t="n">
        <v>1</v>
      </c>
      <c r="AO50" s="0" t="n">
        <v>1</v>
      </c>
      <c r="AP50" s="0" t="n">
        <v>1</v>
      </c>
      <c r="AQ50" s="0" t="n">
        <v>1</v>
      </c>
      <c r="AR50" s="0" t="n">
        <v>1</v>
      </c>
      <c r="AS50" s="0" t="n">
        <v>1</v>
      </c>
      <c r="AT50" s="0" t="n">
        <v>1</v>
      </c>
      <c r="AU50" s="0" t="n">
        <v>1</v>
      </c>
      <c r="AV50" s="0" t="n">
        <v>1</v>
      </c>
      <c r="AW50" s="0" t="n">
        <v>1</v>
      </c>
      <c r="AX50" s="0" t="n">
        <v>2.60324006259607</v>
      </c>
      <c r="AY50" s="0" t="n">
        <v>2.60324006259607</v>
      </c>
      <c r="AZ50" s="0" t="n">
        <v>2.60324006259607</v>
      </c>
      <c r="BA50" s="0" t="n">
        <v>1</v>
      </c>
      <c r="BB50" s="0" t="n">
        <v>1</v>
      </c>
      <c r="BC50" s="0" t="n">
        <v>2.60324006259607</v>
      </c>
      <c r="BD50" s="0" t="n">
        <v>2.60324006259607</v>
      </c>
      <c r="BE50" s="0" t="n">
        <v>1</v>
      </c>
      <c r="BF50" s="0" t="n">
        <v>1</v>
      </c>
      <c r="BG50" s="0" t="n">
        <v>2.60324006259607</v>
      </c>
      <c r="BH50" s="0" t="n">
        <v>2.60324006259607</v>
      </c>
      <c r="BI50" s="0" t="n">
        <v>2.60324006259607</v>
      </c>
      <c r="BJ50" s="0" t="n">
        <v>2.60324006259607</v>
      </c>
      <c r="BK50" s="0" t="n">
        <v>1</v>
      </c>
    </row>
    <row r="51" customFormat="false" ht="12.8" hidden="false" customHeight="false" outlineLevel="0" collapsed="false">
      <c r="A51" s="0" t="n">
        <f aca="false">A50-1</f>
        <v>1968</v>
      </c>
      <c r="B51" s="0" t="n">
        <v>2.65563288787589</v>
      </c>
      <c r="C51" s="0" t="n">
        <v>2.65563288787589</v>
      </c>
      <c r="D51" s="0" t="n">
        <v>2.65563288787589</v>
      </c>
      <c r="E51" s="0" t="n">
        <v>2.65563288787589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2.65563288787589</v>
      </c>
      <c r="M51" s="0" t="n">
        <v>2.65563288787589</v>
      </c>
      <c r="N51" s="0" t="n">
        <v>2.65563288787589</v>
      </c>
      <c r="O51" s="0" t="n">
        <v>2.65563288787589</v>
      </c>
      <c r="P51" s="0" t="n">
        <v>2.65563288787589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1</v>
      </c>
      <c r="AD51" s="0" t="n">
        <v>1</v>
      </c>
      <c r="AE51" s="0" t="n">
        <v>2.65563288787589</v>
      </c>
      <c r="AF51" s="0" t="n">
        <v>2.65563288787589</v>
      </c>
      <c r="AG51" s="0" t="n">
        <v>2.65563288787589</v>
      </c>
      <c r="AH51" s="0" t="n">
        <v>2.65563288787589</v>
      </c>
      <c r="AI51" s="0" t="n">
        <v>2.65563288787589</v>
      </c>
      <c r="AJ51" s="0" t="n">
        <v>2.65563288787589</v>
      </c>
      <c r="AK51" s="0" t="n">
        <v>2.65563288787589</v>
      </c>
      <c r="AL51" s="0" t="n">
        <v>2.65563288787589</v>
      </c>
      <c r="AM51" s="0" t="n">
        <v>2.65563288787589</v>
      </c>
      <c r="AN51" s="0" t="n">
        <v>1</v>
      </c>
      <c r="AO51" s="0" t="n">
        <v>1</v>
      </c>
      <c r="AP51" s="0" t="n">
        <v>1</v>
      </c>
      <c r="AQ51" s="0" t="n">
        <v>1</v>
      </c>
      <c r="AR51" s="0" t="n">
        <v>1</v>
      </c>
      <c r="AS51" s="0" t="n">
        <v>1</v>
      </c>
      <c r="AT51" s="0" t="n">
        <v>1</v>
      </c>
      <c r="AU51" s="0" t="n">
        <v>1</v>
      </c>
      <c r="AV51" s="0" t="n">
        <v>1</v>
      </c>
      <c r="AW51" s="0" t="n">
        <v>1</v>
      </c>
      <c r="AX51" s="0" t="n">
        <v>2.65563288787589</v>
      </c>
      <c r="AY51" s="0" t="n">
        <v>2.65563288787589</v>
      </c>
      <c r="AZ51" s="0" t="n">
        <v>2.65563288787589</v>
      </c>
      <c r="BA51" s="0" t="n">
        <v>1</v>
      </c>
      <c r="BB51" s="0" t="n">
        <v>1</v>
      </c>
      <c r="BC51" s="0" t="n">
        <v>2.65563288787589</v>
      </c>
      <c r="BD51" s="0" t="n">
        <v>2.65563288787589</v>
      </c>
      <c r="BE51" s="0" t="n">
        <v>1</v>
      </c>
      <c r="BF51" s="0" t="n">
        <v>1</v>
      </c>
      <c r="BG51" s="0" t="n">
        <v>2.65563288787589</v>
      </c>
      <c r="BH51" s="0" t="n">
        <v>2.65563288787589</v>
      </c>
      <c r="BI51" s="0" t="n">
        <v>2.65563288787589</v>
      </c>
      <c r="BJ51" s="0" t="n">
        <v>2.65563288787589</v>
      </c>
      <c r="BK51" s="0" t="n">
        <v>1</v>
      </c>
    </row>
    <row r="52" customFormat="false" ht="12.8" hidden="false" customHeight="false" outlineLevel="0" collapsed="false">
      <c r="A52" s="0" t="n">
        <f aca="false">A51-1</f>
        <v>1967</v>
      </c>
      <c r="B52" s="0" t="n">
        <v>2.99138121888306</v>
      </c>
      <c r="C52" s="0" t="n">
        <v>2.99138121888306</v>
      </c>
      <c r="D52" s="0" t="n">
        <v>2.99138121888306</v>
      </c>
      <c r="E52" s="0" t="n">
        <v>2.99138121888306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2.99138121888306</v>
      </c>
      <c r="M52" s="0" t="n">
        <v>2.99138121888306</v>
      </c>
      <c r="N52" s="0" t="n">
        <v>2.99138121888306</v>
      </c>
      <c r="O52" s="0" t="n">
        <v>2.99138121888306</v>
      </c>
      <c r="P52" s="0" t="n">
        <v>2.99138121888306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1</v>
      </c>
      <c r="AD52" s="0" t="n">
        <v>1</v>
      </c>
      <c r="AE52" s="0" t="n">
        <v>2.99138121888306</v>
      </c>
      <c r="AF52" s="0" t="n">
        <v>2.99138121888306</v>
      </c>
      <c r="AG52" s="0" t="n">
        <v>2.99138121888306</v>
      </c>
      <c r="AH52" s="0" t="n">
        <v>2.99138121888306</v>
      </c>
      <c r="AI52" s="0" t="n">
        <v>2.99138121888306</v>
      </c>
      <c r="AJ52" s="0" t="n">
        <v>2.99138121888306</v>
      </c>
      <c r="AK52" s="0" t="n">
        <v>2.99138121888306</v>
      </c>
      <c r="AL52" s="0" t="n">
        <v>2.99138121888306</v>
      </c>
      <c r="AM52" s="0" t="n">
        <v>2.99138121888306</v>
      </c>
      <c r="AN52" s="0" t="n">
        <v>1</v>
      </c>
      <c r="AO52" s="0" t="n">
        <v>1</v>
      </c>
      <c r="AP52" s="0" t="n">
        <v>1</v>
      </c>
      <c r="AQ52" s="0" t="n">
        <v>1</v>
      </c>
      <c r="AR52" s="0" t="n">
        <v>1</v>
      </c>
      <c r="AS52" s="0" t="n">
        <v>1</v>
      </c>
      <c r="AT52" s="0" t="n">
        <v>1</v>
      </c>
      <c r="AU52" s="0" t="n">
        <v>1</v>
      </c>
      <c r="AV52" s="0" t="n">
        <v>1</v>
      </c>
      <c r="AW52" s="0" t="n">
        <v>1</v>
      </c>
      <c r="AX52" s="0" t="n">
        <v>2.99138121888306</v>
      </c>
      <c r="AY52" s="0" t="n">
        <v>2.99138121888306</v>
      </c>
      <c r="AZ52" s="0" t="n">
        <v>2.99138121888306</v>
      </c>
      <c r="BA52" s="0" t="n">
        <v>1</v>
      </c>
      <c r="BB52" s="0" t="n">
        <v>1</v>
      </c>
      <c r="BC52" s="0" t="n">
        <v>2.99138121888306</v>
      </c>
      <c r="BD52" s="0" t="n">
        <v>2.99138121888306</v>
      </c>
      <c r="BE52" s="0" t="n">
        <v>1</v>
      </c>
      <c r="BF52" s="0" t="n">
        <v>1</v>
      </c>
      <c r="BG52" s="0" t="n">
        <v>2.99138121888306</v>
      </c>
      <c r="BH52" s="0" t="n">
        <v>2.99138121888306</v>
      </c>
      <c r="BI52" s="0" t="n">
        <v>2.99138121888306</v>
      </c>
      <c r="BJ52" s="0" t="n">
        <v>2.99138121888306</v>
      </c>
      <c r="BK52" s="0" t="n">
        <v>1</v>
      </c>
    </row>
    <row r="53" customFormat="false" ht="12.8" hidden="false" customHeight="false" outlineLevel="0" collapsed="false">
      <c r="A53" s="0" t="n">
        <f aca="false">A52-1</f>
        <v>1966</v>
      </c>
      <c r="B53" s="0" t="n">
        <v>2.64529621396927</v>
      </c>
      <c r="C53" s="0" t="n">
        <v>2.64529621396927</v>
      </c>
      <c r="D53" s="0" t="n">
        <v>2.64529621396927</v>
      </c>
      <c r="E53" s="0" t="n">
        <v>2.64529621396927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2.64529621396927</v>
      </c>
      <c r="M53" s="0" t="n">
        <v>2.64529621396927</v>
      </c>
      <c r="N53" s="0" t="n">
        <v>2.64529621396927</v>
      </c>
      <c r="O53" s="0" t="n">
        <v>2.64529621396927</v>
      </c>
      <c r="P53" s="0" t="n">
        <v>2.64529621396927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1</v>
      </c>
      <c r="AE53" s="0" t="n">
        <v>2.64529621396927</v>
      </c>
      <c r="AF53" s="0" t="n">
        <v>2.64529621396927</v>
      </c>
      <c r="AG53" s="0" t="n">
        <v>2.64529621396927</v>
      </c>
      <c r="AH53" s="0" t="n">
        <v>2.64529621396927</v>
      </c>
      <c r="AI53" s="0" t="n">
        <v>2.64529621396927</v>
      </c>
      <c r="AJ53" s="0" t="n">
        <v>2.64529621396927</v>
      </c>
      <c r="AK53" s="0" t="n">
        <v>2.64529621396927</v>
      </c>
      <c r="AL53" s="0" t="n">
        <v>2.64529621396927</v>
      </c>
      <c r="AM53" s="0" t="n">
        <v>2.64529621396927</v>
      </c>
      <c r="AN53" s="0" t="n">
        <v>1</v>
      </c>
      <c r="AO53" s="0" t="n">
        <v>1</v>
      </c>
      <c r="AP53" s="0" t="n">
        <v>1</v>
      </c>
      <c r="AQ53" s="0" t="n">
        <v>1</v>
      </c>
      <c r="AR53" s="0" t="n">
        <v>1</v>
      </c>
      <c r="AS53" s="0" t="n">
        <v>1</v>
      </c>
      <c r="AT53" s="0" t="n">
        <v>1</v>
      </c>
      <c r="AU53" s="0" t="n">
        <v>1</v>
      </c>
      <c r="AV53" s="0" t="n">
        <v>1</v>
      </c>
      <c r="AW53" s="0" t="n">
        <v>1</v>
      </c>
      <c r="AX53" s="0" t="n">
        <v>2.64529621396927</v>
      </c>
      <c r="AY53" s="0" t="n">
        <v>2.64529621396927</v>
      </c>
      <c r="AZ53" s="0" t="n">
        <v>2.64529621396927</v>
      </c>
      <c r="BA53" s="0" t="n">
        <v>1</v>
      </c>
      <c r="BB53" s="0" t="n">
        <v>1</v>
      </c>
      <c r="BC53" s="0" t="n">
        <v>2.64529621396927</v>
      </c>
      <c r="BD53" s="0" t="n">
        <v>2.64529621396927</v>
      </c>
      <c r="BE53" s="0" t="n">
        <v>1</v>
      </c>
      <c r="BF53" s="0" t="n">
        <v>1</v>
      </c>
      <c r="BG53" s="0" t="n">
        <v>2.64529621396927</v>
      </c>
      <c r="BH53" s="0" t="n">
        <v>2.64529621396927</v>
      </c>
      <c r="BI53" s="0" t="n">
        <v>2.64529621396927</v>
      </c>
      <c r="BJ53" s="0" t="n">
        <v>2.64529621396927</v>
      </c>
      <c r="BK53" s="0" t="n">
        <v>1</v>
      </c>
    </row>
    <row r="54" customFormat="false" ht="12.8" hidden="false" customHeight="false" outlineLevel="0" collapsed="false">
      <c r="A54" s="0" t="n">
        <f aca="false">A53-1</f>
        <v>1965</v>
      </c>
      <c r="B54" s="0" t="n">
        <v>3.13536069509546</v>
      </c>
      <c r="C54" s="0" t="n">
        <v>3.13536069509546</v>
      </c>
      <c r="D54" s="0" t="n">
        <v>3.13536069509546</v>
      </c>
      <c r="E54" s="0" t="n">
        <v>3.13536069509546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3.13536069509546</v>
      </c>
      <c r="M54" s="0" t="n">
        <v>3.13536069509546</v>
      </c>
      <c r="N54" s="0" t="n">
        <v>3.13536069509546</v>
      </c>
      <c r="O54" s="0" t="n">
        <v>3.13536069509546</v>
      </c>
      <c r="P54" s="0" t="n">
        <v>3.13536069509546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1</v>
      </c>
      <c r="AE54" s="0" t="n">
        <v>3.13536069509546</v>
      </c>
      <c r="AF54" s="0" t="n">
        <v>3.13536069509546</v>
      </c>
      <c r="AG54" s="0" t="n">
        <v>3.13536069509546</v>
      </c>
      <c r="AH54" s="0" t="n">
        <v>3.13536069509546</v>
      </c>
      <c r="AI54" s="0" t="n">
        <v>3.13536069509546</v>
      </c>
      <c r="AJ54" s="0" t="n">
        <v>3.13536069509546</v>
      </c>
      <c r="AK54" s="0" t="n">
        <v>3.13536069509546</v>
      </c>
      <c r="AL54" s="0" t="n">
        <v>3.13536069509546</v>
      </c>
      <c r="AM54" s="0" t="n">
        <v>3.13536069509546</v>
      </c>
      <c r="AN54" s="0" t="n">
        <v>1</v>
      </c>
      <c r="AO54" s="0" t="n">
        <v>1</v>
      </c>
      <c r="AP54" s="0" t="n">
        <v>1</v>
      </c>
      <c r="AQ54" s="0" t="n">
        <v>1</v>
      </c>
      <c r="AR54" s="0" t="n">
        <v>1</v>
      </c>
      <c r="AS54" s="0" t="n">
        <v>1</v>
      </c>
      <c r="AT54" s="0" t="n">
        <v>1</v>
      </c>
      <c r="AU54" s="0" t="n">
        <v>1</v>
      </c>
      <c r="AV54" s="0" t="n">
        <v>1</v>
      </c>
      <c r="AW54" s="0" t="n">
        <v>1</v>
      </c>
      <c r="AX54" s="0" t="n">
        <v>3.13536069509546</v>
      </c>
      <c r="AY54" s="0" t="n">
        <v>3.13536069509546</v>
      </c>
      <c r="AZ54" s="0" t="n">
        <v>3.13536069509546</v>
      </c>
      <c r="BA54" s="0" t="n">
        <v>1</v>
      </c>
      <c r="BB54" s="0" t="n">
        <v>1</v>
      </c>
      <c r="BC54" s="0" t="n">
        <v>3.13536069509546</v>
      </c>
      <c r="BD54" s="0" t="n">
        <v>3.13536069509546</v>
      </c>
      <c r="BE54" s="0" t="n">
        <v>1</v>
      </c>
      <c r="BF54" s="0" t="n">
        <v>1</v>
      </c>
      <c r="BG54" s="0" t="n">
        <v>3.13536069509546</v>
      </c>
      <c r="BH54" s="0" t="n">
        <v>3.13536069509546</v>
      </c>
      <c r="BI54" s="0" t="n">
        <v>3.13536069509546</v>
      </c>
      <c r="BJ54" s="0" t="n">
        <v>3.13536069509546</v>
      </c>
      <c r="BK54" s="0" t="n">
        <v>1</v>
      </c>
    </row>
    <row r="55" customFormat="false" ht="12.8" hidden="false" customHeight="false" outlineLevel="0" collapsed="false">
      <c r="A55" s="0" t="n">
        <f aca="false">A54-1</f>
        <v>1964</v>
      </c>
      <c r="B55" s="0" t="n">
        <v>2.50566468929301</v>
      </c>
      <c r="C55" s="0" t="n">
        <v>2.50566468929301</v>
      </c>
      <c r="D55" s="0" t="n">
        <v>2.50566468929301</v>
      </c>
      <c r="E55" s="0" t="n">
        <v>2.50566468929301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2.50566468929301</v>
      </c>
      <c r="M55" s="0" t="n">
        <v>2.50566468929301</v>
      </c>
      <c r="N55" s="0" t="n">
        <v>2.50566468929301</v>
      </c>
      <c r="O55" s="0" t="n">
        <v>2.50566468929301</v>
      </c>
      <c r="P55" s="0" t="n">
        <v>2.50566468929301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1</v>
      </c>
      <c r="AE55" s="0" t="n">
        <v>2.50566468929301</v>
      </c>
      <c r="AF55" s="0" t="n">
        <v>2.50566468929301</v>
      </c>
      <c r="AG55" s="0" t="n">
        <v>2.50566468929301</v>
      </c>
      <c r="AH55" s="0" t="n">
        <v>2.50566468929301</v>
      </c>
      <c r="AI55" s="0" t="n">
        <v>2.50566468929301</v>
      </c>
      <c r="AJ55" s="0" t="n">
        <v>2.50566468929301</v>
      </c>
      <c r="AK55" s="0" t="n">
        <v>2.50566468929301</v>
      </c>
      <c r="AL55" s="0" t="n">
        <v>2.50566468929301</v>
      </c>
      <c r="AM55" s="0" t="n">
        <v>2.50566468929301</v>
      </c>
      <c r="AN55" s="0" t="n">
        <v>1</v>
      </c>
      <c r="AO55" s="0" t="n">
        <v>1</v>
      </c>
      <c r="AP55" s="0" t="n">
        <v>1</v>
      </c>
      <c r="AQ55" s="0" t="n">
        <v>1</v>
      </c>
      <c r="AR55" s="0" t="n">
        <v>1</v>
      </c>
      <c r="AS55" s="0" t="n">
        <v>1</v>
      </c>
      <c r="AT55" s="0" t="n">
        <v>1</v>
      </c>
      <c r="AU55" s="0" t="n">
        <v>1</v>
      </c>
      <c r="AV55" s="0" t="n">
        <v>1</v>
      </c>
      <c r="AW55" s="0" t="n">
        <v>1</v>
      </c>
      <c r="AX55" s="0" t="n">
        <v>2.50566468929301</v>
      </c>
      <c r="AY55" s="0" t="n">
        <v>2.50566468929301</v>
      </c>
      <c r="AZ55" s="0" t="n">
        <v>2.50566468929301</v>
      </c>
      <c r="BA55" s="0" t="n">
        <v>1</v>
      </c>
      <c r="BB55" s="0" t="n">
        <v>1</v>
      </c>
      <c r="BC55" s="0" t="n">
        <v>2.50566468929301</v>
      </c>
      <c r="BD55" s="0" t="n">
        <v>2.50566468929301</v>
      </c>
      <c r="BE55" s="0" t="n">
        <v>1</v>
      </c>
      <c r="BF55" s="0" t="n">
        <v>1</v>
      </c>
      <c r="BG55" s="0" t="n">
        <v>2.50566468929301</v>
      </c>
      <c r="BH55" s="0" t="n">
        <v>2.50566468929301</v>
      </c>
      <c r="BI55" s="0" t="n">
        <v>2.50566468929301</v>
      </c>
      <c r="BJ55" s="0" t="n">
        <v>2.50566468929301</v>
      </c>
      <c r="BK55" s="0" t="n">
        <v>1</v>
      </c>
    </row>
    <row r="56" customFormat="false" ht="12.8" hidden="false" customHeight="false" outlineLevel="0" collapsed="false">
      <c r="A56" s="0" t="n">
        <f aca="false">A55-1</f>
        <v>1963</v>
      </c>
      <c r="B56" s="0" t="n">
        <v>3.18714385684295</v>
      </c>
      <c r="C56" s="0" t="n">
        <v>3.18714385684295</v>
      </c>
      <c r="D56" s="0" t="n">
        <v>3.18714385684295</v>
      </c>
      <c r="E56" s="0" t="n">
        <v>3.18714385684295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3.18714385684295</v>
      </c>
      <c r="M56" s="0" t="n">
        <v>3.18714385684295</v>
      </c>
      <c r="N56" s="0" t="n">
        <v>3.18714385684295</v>
      </c>
      <c r="O56" s="0" t="n">
        <v>3.18714385684295</v>
      </c>
      <c r="P56" s="0" t="n">
        <v>3.18714385684295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1</v>
      </c>
      <c r="AE56" s="0" t="n">
        <v>3.18714385684295</v>
      </c>
      <c r="AF56" s="0" t="n">
        <v>3.18714385684295</v>
      </c>
      <c r="AG56" s="0" t="n">
        <v>3.18714385684295</v>
      </c>
      <c r="AH56" s="0" t="n">
        <v>3.18714385684295</v>
      </c>
      <c r="AI56" s="0" t="n">
        <v>3.18714385684295</v>
      </c>
      <c r="AJ56" s="0" t="n">
        <v>3.18714385684295</v>
      </c>
      <c r="AK56" s="0" t="n">
        <v>3.18714385684295</v>
      </c>
      <c r="AL56" s="0" t="n">
        <v>3.18714385684295</v>
      </c>
      <c r="AM56" s="0" t="n">
        <v>3.18714385684295</v>
      </c>
      <c r="AN56" s="0" t="n">
        <v>1</v>
      </c>
      <c r="AO56" s="0" t="n">
        <v>1</v>
      </c>
      <c r="AP56" s="0" t="n">
        <v>1</v>
      </c>
      <c r="AQ56" s="0" t="n">
        <v>1</v>
      </c>
      <c r="AR56" s="0" t="n">
        <v>1</v>
      </c>
      <c r="AS56" s="0" t="n">
        <v>1</v>
      </c>
      <c r="AT56" s="0" t="n">
        <v>1</v>
      </c>
      <c r="AU56" s="0" t="n">
        <v>1</v>
      </c>
      <c r="AV56" s="0" t="n">
        <v>1</v>
      </c>
      <c r="AW56" s="0" t="n">
        <v>1</v>
      </c>
      <c r="AX56" s="0" t="n">
        <v>3.18714385684295</v>
      </c>
      <c r="AY56" s="0" t="n">
        <v>3.18714385684295</v>
      </c>
      <c r="AZ56" s="0" t="n">
        <v>3.18714385684295</v>
      </c>
      <c r="BA56" s="0" t="n">
        <v>1</v>
      </c>
      <c r="BB56" s="0" t="n">
        <v>1</v>
      </c>
      <c r="BC56" s="0" t="n">
        <v>3.18714385684295</v>
      </c>
      <c r="BD56" s="0" t="n">
        <v>3.18714385684295</v>
      </c>
      <c r="BE56" s="0" t="n">
        <v>1</v>
      </c>
      <c r="BF56" s="0" t="n">
        <v>1</v>
      </c>
      <c r="BG56" s="0" t="n">
        <v>3.18714385684295</v>
      </c>
      <c r="BH56" s="0" t="n">
        <v>3.18714385684295</v>
      </c>
      <c r="BI56" s="0" t="n">
        <v>3.18714385684295</v>
      </c>
      <c r="BJ56" s="0" t="n">
        <v>3.18714385684295</v>
      </c>
      <c r="BK56" s="0" t="n">
        <v>1</v>
      </c>
    </row>
    <row r="57" customFormat="false" ht="12.8" hidden="false" customHeight="false" outlineLevel="0" collapsed="false">
      <c r="A57" s="0" t="n">
        <f aca="false">A56-1</f>
        <v>1962</v>
      </c>
      <c r="B57" s="0" t="n">
        <v>4.09854771784232</v>
      </c>
      <c r="C57" s="0" t="n">
        <v>4.09854771784232</v>
      </c>
      <c r="D57" s="0" t="n">
        <v>4.09854771784232</v>
      </c>
      <c r="E57" s="0" t="n">
        <v>4.09854771784232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4.09854771784232</v>
      </c>
      <c r="M57" s="0" t="n">
        <v>4.09854771784232</v>
      </c>
      <c r="N57" s="0" t="n">
        <v>4.09854771784232</v>
      </c>
      <c r="O57" s="0" t="n">
        <v>4.09854771784232</v>
      </c>
      <c r="P57" s="0" t="n">
        <v>4.09854771784232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1</v>
      </c>
      <c r="AE57" s="0" t="n">
        <v>4.09854771784232</v>
      </c>
      <c r="AF57" s="0" t="n">
        <v>4.09854771784232</v>
      </c>
      <c r="AG57" s="0" t="n">
        <v>4.09854771784232</v>
      </c>
      <c r="AH57" s="0" t="n">
        <v>4.09854771784232</v>
      </c>
      <c r="AI57" s="0" t="n">
        <v>4.09854771784232</v>
      </c>
      <c r="AJ57" s="0" t="n">
        <v>4.09854771784232</v>
      </c>
      <c r="AK57" s="0" t="n">
        <v>4.09854771784232</v>
      </c>
      <c r="AL57" s="0" t="n">
        <v>4.09854771784232</v>
      </c>
      <c r="AM57" s="0" t="n">
        <v>4.09854771784232</v>
      </c>
      <c r="AN57" s="0" t="n">
        <v>1</v>
      </c>
      <c r="AO57" s="0" t="n">
        <v>1</v>
      </c>
      <c r="AP57" s="0" t="n">
        <v>1</v>
      </c>
      <c r="AQ57" s="0" t="n">
        <v>1</v>
      </c>
      <c r="AR57" s="0" t="n">
        <v>1</v>
      </c>
      <c r="AS57" s="0" t="n">
        <v>1</v>
      </c>
      <c r="AT57" s="0" t="n">
        <v>1</v>
      </c>
      <c r="AU57" s="0" t="n">
        <v>1</v>
      </c>
      <c r="AV57" s="0" t="n">
        <v>1</v>
      </c>
      <c r="AW57" s="0" t="n">
        <v>1</v>
      </c>
      <c r="AX57" s="0" t="n">
        <v>4.09854771784232</v>
      </c>
      <c r="AY57" s="0" t="n">
        <v>4.09854771784232</v>
      </c>
      <c r="AZ57" s="0" t="n">
        <v>4.09854771784232</v>
      </c>
      <c r="BA57" s="0" t="n">
        <v>1</v>
      </c>
      <c r="BB57" s="0" t="n">
        <v>1</v>
      </c>
      <c r="BC57" s="0" t="n">
        <v>4.09854771784232</v>
      </c>
      <c r="BD57" s="0" t="n">
        <v>4.09854771784232</v>
      </c>
      <c r="BE57" s="0" t="n">
        <v>1</v>
      </c>
      <c r="BF57" s="0" t="n">
        <v>1</v>
      </c>
      <c r="BG57" s="0" t="n">
        <v>4.09854771784232</v>
      </c>
      <c r="BH57" s="0" t="n">
        <v>4.09854771784232</v>
      </c>
      <c r="BI57" s="0" t="n">
        <v>4.09854771784232</v>
      </c>
      <c r="BJ57" s="0" t="n">
        <v>4.09854771784232</v>
      </c>
      <c r="BK57" s="0" t="n">
        <v>1</v>
      </c>
    </row>
    <row r="58" customFormat="false" ht="12.8" hidden="false" customHeight="false" outlineLevel="0" collapsed="false">
      <c r="A58" s="0" t="n">
        <f aca="false">A57-1</f>
        <v>1961</v>
      </c>
      <c r="B58" s="0" t="n">
        <v>2.96401953225392</v>
      </c>
      <c r="C58" s="0" t="n">
        <v>2.96401953225392</v>
      </c>
      <c r="D58" s="0" t="n">
        <v>2.96401953225392</v>
      </c>
      <c r="E58" s="0" t="n">
        <v>2.96401953225392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2.96401953225392</v>
      </c>
      <c r="M58" s="0" t="n">
        <v>2.96401953225392</v>
      </c>
      <c r="N58" s="0" t="n">
        <v>2.96401953225392</v>
      </c>
      <c r="O58" s="0" t="n">
        <v>2.96401953225392</v>
      </c>
      <c r="P58" s="0" t="n">
        <v>2.96401953225392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1</v>
      </c>
      <c r="AE58" s="0" t="n">
        <v>2.96401953225392</v>
      </c>
      <c r="AF58" s="0" t="n">
        <v>2.96401953225392</v>
      </c>
      <c r="AG58" s="0" t="n">
        <v>2.96401953225392</v>
      </c>
      <c r="AH58" s="0" t="n">
        <v>2.96401953225392</v>
      </c>
      <c r="AI58" s="0" t="n">
        <v>2.96401953225392</v>
      </c>
      <c r="AJ58" s="0" t="n">
        <v>2.96401953225392</v>
      </c>
      <c r="AK58" s="0" t="n">
        <v>2.96401953225392</v>
      </c>
      <c r="AL58" s="0" t="n">
        <v>2.96401953225392</v>
      </c>
      <c r="AM58" s="0" t="n">
        <v>2.96401953225392</v>
      </c>
      <c r="AN58" s="0" t="n">
        <v>1</v>
      </c>
      <c r="AO58" s="0" t="n">
        <v>1</v>
      </c>
      <c r="AP58" s="0" t="n">
        <v>1</v>
      </c>
      <c r="AQ58" s="0" t="n">
        <v>1</v>
      </c>
      <c r="AR58" s="0" t="n">
        <v>1</v>
      </c>
      <c r="AS58" s="0" t="n">
        <v>1</v>
      </c>
      <c r="AT58" s="0" t="n">
        <v>1</v>
      </c>
      <c r="AU58" s="0" t="n">
        <v>1</v>
      </c>
      <c r="AV58" s="0" t="n">
        <v>1</v>
      </c>
      <c r="AW58" s="0" t="n">
        <v>1</v>
      </c>
      <c r="AX58" s="0" t="n">
        <v>2.96401953225392</v>
      </c>
      <c r="AY58" s="0" t="n">
        <v>2.96401953225392</v>
      </c>
      <c r="AZ58" s="0" t="n">
        <v>2.96401953225392</v>
      </c>
      <c r="BA58" s="0" t="n">
        <v>1</v>
      </c>
      <c r="BB58" s="0" t="n">
        <v>1</v>
      </c>
      <c r="BC58" s="0" t="n">
        <v>2.96401953225392</v>
      </c>
      <c r="BD58" s="0" t="n">
        <v>2.96401953225392</v>
      </c>
      <c r="BE58" s="0" t="n">
        <v>1</v>
      </c>
      <c r="BF58" s="0" t="n">
        <v>1</v>
      </c>
      <c r="BG58" s="0" t="n">
        <v>2.96401953225392</v>
      </c>
      <c r="BH58" s="0" t="n">
        <v>2.96401953225392</v>
      </c>
      <c r="BI58" s="0" t="n">
        <v>2.96401953225392</v>
      </c>
      <c r="BJ58" s="0" t="n">
        <v>2.96401953225392</v>
      </c>
      <c r="BK58" s="0" t="n">
        <v>1</v>
      </c>
    </row>
    <row r="59" customFormat="false" ht="12.8" hidden="false" customHeight="false" outlineLevel="0" collapsed="false">
      <c r="A59" s="0" t="n">
        <f aca="false">A58-1</f>
        <v>1960</v>
      </c>
      <c r="B59" s="0" t="n">
        <v>2.85453353315849</v>
      </c>
      <c r="C59" s="0" t="n">
        <v>2.85453353315849</v>
      </c>
      <c r="D59" s="0" t="n">
        <v>2.85453353315849</v>
      </c>
      <c r="E59" s="0" t="n">
        <v>2.85453353315849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2.85453353315849</v>
      </c>
      <c r="M59" s="0" t="n">
        <v>2.85453353315849</v>
      </c>
      <c r="N59" s="0" t="n">
        <v>2.85453353315849</v>
      </c>
      <c r="O59" s="0" t="n">
        <v>2.85453353315849</v>
      </c>
      <c r="P59" s="0" t="n">
        <v>2.85453353315849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1</v>
      </c>
      <c r="AE59" s="0" t="n">
        <v>2.85453353315849</v>
      </c>
      <c r="AF59" s="0" t="n">
        <v>2.85453353315849</v>
      </c>
      <c r="AG59" s="0" t="n">
        <v>2.85453353315849</v>
      </c>
      <c r="AH59" s="0" t="n">
        <v>2.85453353315849</v>
      </c>
      <c r="AI59" s="0" t="n">
        <v>2.85453353315849</v>
      </c>
      <c r="AJ59" s="0" t="n">
        <v>2.85453353315849</v>
      </c>
      <c r="AK59" s="0" t="n">
        <v>2.85453353315849</v>
      </c>
      <c r="AL59" s="0" t="n">
        <v>2.85453353315849</v>
      </c>
      <c r="AM59" s="0" t="n">
        <v>2.85453353315849</v>
      </c>
      <c r="AN59" s="0" t="n">
        <v>1</v>
      </c>
      <c r="AO59" s="0" t="n">
        <v>1</v>
      </c>
      <c r="AP59" s="0" t="n">
        <v>1</v>
      </c>
      <c r="AQ59" s="0" t="n">
        <v>1</v>
      </c>
      <c r="AR59" s="0" t="n">
        <v>1</v>
      </c>
      <c r="AS59" s="0" t="n">
        <v>1</v>
      </c>
      <c r="AT59" s="0" t="n">
        <v>1</v>
      </c>
      <c r="AU59" s="0" t="n">
        <v>1</v>
      </c>
      <c r="AV59" s="0" t="n">
        <v>1</v>
      </c>
      <c r="AW59" s="0" t="n">
        <v>1</v>
      </c>
      <c r="AX59" s="0" t="n">
        <v>2.85453353315849</v>
      </c>
      <c r="AY59" s="0" t="n">
        <v>2.85453353315849</v>
      </c>
      <c r="AZ59" s="0" t="n">
        <v>2.85453353315849</v>
      </c>
      <c r="BA59" s="0" t="n">
        <v>1</v>
      </c>
      <c r="BB59" s="0" t="n">
        <v>1</v>
      </c>
      <c r="BC59" s="0" t="n">
        <v>2.85453353315849</v>
      </c>
      <c r="BD59" s="0" t="n">
        <v>2.85453353315849</v>
      </c>
      <c r="BE59" s="0" t="n">
        <v>1</v>
      </c>
      <c r="BF59" s="0" t="n">
        <v>1</v>
      </c>
      <c r="BG59" s="0" t="n">
        <v>2.85453353315849</v>
      </c>
      <c r="BH59" s="0" t="n">
        <v>2.85453353315849</v>
      </c>
      <c r="BI59" s="0" t="n">
        <v>2.85453353315849</v>
      </c>
      <c r="BJ59" s="0" t="n">
        <v>2.85453353315849</v>
      </c>
      <c r="BK59" s="0" t="n">
        <v>1</v>
      </c>
    </row>
    <row r="60" customFormat="false" ht="12.8" hidden="false" customHeight="false" outlineLevel="0" collapsed="false">
      <c r="A60" s="0" t="n">
        <f aca="false">A59-1</f>
        <v>1959</v>
      </c>
      <c r="B60" s="0" t="n">
        <v>2.67394943914281</v>
      </c>
      <c r="C60" s="0" t="n">
        <v>2.67394943914281</v>
      </c>
      <c r="D60" s="0" t="n">
        <v>2.67394943914281</v>
      </c>
      <c r="E60" s="0" t="n">
        <v>2.67394943914281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2.67394943914281</v>
      </c>
      <c r="M60" s="0" t="n">
        <v>2.67394943914281</v>
      </c>
      <c r="N60" s="0" t="n">
        <v>2.67394943914281</v>
      </c>
      <c r="O60" s="0" t="n">
        <v>2.67394943914281</v>
      </c>
      <c r="P60" s="0" t="n">
        <v>2.67394943914281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1</v>
      </c>
      <c r="AE60" s="0" t="n">
        <v>2.67394943914281</v>
      </c>
      <c r="AF60" s="0" t="n">
        <v>2.67394943914281</v>
      </c>
      <c r="AG60" s="0" t="n">
        <v>2.67394943914281</v>
      </c>
      <c r="AH60" s="0" t="n">
        <v>2.67394943914281</v>
      </c>
      <c r="AI60" s="0" t="n">
        <v>2.67394943914281</v>
      </c>
      <c r="AJ60" s="0" t="n">
        <v>2.67394943914281</v>
      </c>
      <c r="AK60" s="0" t="n">
        <v>2.67394943914281</v>
      </c>
      <c r="AL60" s="0" t="n">
        <v>2.67394943914281</v>
      </c>
      <c r="AM60" s="0" t="n">
        <v>2.67394943914281</v>
      </c>
      <c r="AN60" s="0" t="n">
        <v>1</v>
      </c>
      <c r="AO60" s="0" t="n">
        <v>1</v>
      </c>
      <c r="AP60" s="0" t="n">
        <v>1</v>
      </c>
      <c r="AQ60" s="0" t="n">
        <v>1</v>
      </c>
      <c r="AR60" s="0" t="n">
        <v>1</v>
      </c>
      <c r="AS60" s="0" t="n">
        <v>1</v>
      </c>
      <c r="AT60" s="0" t="n">
        <v>1</v>
      </c>
      <c r="AU60" s="0" t="n">
        <v>1</v>
      </c>
      <c r="AV60" s="0" t="n">
        <v>1</v>
      </c>
      <c r="AW60" s="0" t="n">
        <v>1</v>
      </c>
      <c r="AX60" s="0" t="n">
        <v>2.67394943914281</v>
      </c>
      <c r="AY60" s="0" t="n">
        <v>2.67394943914281</v>
      </c>
      <c r="AZ60" s="0" t="n">
        <v>2.67394943914281</v>
      </c>
      <c r="BA60" s="0" t="n">
        <v>1</v>
      </c>
      <c r="BB60" s="0" t="n">
        <v>1</v>
      </c>
      <c r="BC60" s="0" t="n">
        <v>2.67394943914281</v>
      </c>
      <c r="BD60" s="0" t="n">
        <v>2.67394943914281</v>
      </c>
      <c r="BE60" s="0" t="n">
        <v>1</v>
      </c>
      <c r="BF60" s="0" t="n">
        <v>1</v>
      </c>
      <c r="BG60" s="0" t="n">
        <v>2.67394943914281</v>
      </c>
      <c r="BH60" s="0" t="n">
        <v>2.67394943914281</v>
      </c>
      <c r="BI60" s="0" t="n">
        <v>2.67394943914281</v>
      </c>
      <c r="BJ60" s="0" t="n">
        <v>2.67394943914281</v>
      </c>
      <c r="BK6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5.62"/>
    <col collapsed="false" customWidth="true" hidden="false" outlineLevel="0" max="5" min="2" style="0" width="17.59"/>
    <col collapsed="false" customWidth="true" hidden="false" outlineLevel="0" max="6" min="6" style="0" width="9.47"/>
    <col collapsed="false" customWidth="true" hidden="false" outlineLevel="0" max="7" min="7" style="0" width="11.19"/>
    <col collapsed="false" customWidth="true" hidden="false" outlineLevel="0" max="8" min="8" style="0" width="12.37"/>
    <col collapsed="false" customWidth="true" hidden="false" outlineLevel="0" max="9" min="9" style="0" width="9.35"/>
    <col collapsed="false" customWidth="true" hidden="false" outlineLevel="0" max="10" min="10" style="0" width="8.33"/>
    <col collapsed="false" customWidth="true" hidden="false" outlineLevel="0" max="11" min="11" style="0" width="12.24"/>
    <col collapsed="false" customWidth="true" hidden="false" outlineLevel="0" max="12" min="12" style="0" width="12.59"/>
    <col collapsed="false" customWidth="true" hidden="false" outlineLevel="0" max="13" min="13" style="0" width="14.43"/>
    <col collapsed="false" customWidth="true" hidden="false" outlineLevel="0" max="14" min="14" style="0" width="8.66"/>
    <col collapsed="false" customWidth="true" hidden="false" outlineLevel="0" max="15" min="15" style="0" width="9.13"/>
    <col collapsed="false" customWidth="true" hidden="false" outlineLevel="0" max="16" min="16" style="0" width="9.59"/>
    <col collapsed="false" customWidth="true" hidden="false" outlineLevel="0" max="17" min="17" style="0" width="8.54"/>
    <col collapsed="false" customWidth="true" hidden="false" outlineLevel="0" max="18" min="18" style="0" width="9"/>
    <col collapsed="false" customWidth="true" hidden="false" outlineLevel="0" max="19" min="19" style="0" width="9.47"/>
    <col collapsed="false" customWidth="true" hidden="false" outlineLevel="0" max="20" min="20" style="0" width="9.13"/>
    <col collapsed="false" customWidth="true" hidden="false" outlineLevel="0" max="21" min="21" style="0" width="7.26"/>
    <col collapsed="false" customWidth="true" hidden="false" outlineLevel="0" max="22" min="22" style="0" width="13.87"/>
    <col collapsed="false" customWidth="true" hidden="false" outlineLevel="0" max="23" min="23" style="0" width="16.3"/>
    <col collapsed="false" customWidth="true" hidden="false" outlineLevel="0" max="29" min="24" style="0" width="17.11"/>
    <col collapsed="false" customWidth="true" hidden="false" outlineLevel="0" max="30" min="30" style="0" width="14.68"/>
    <col collapsed="false" customWidth="true" hidden="false" outlineLevel="0" max="31" min="31" style="0" width="13.97"/>
    <col collapsed="false" customWidth="true" hidden="false" outlineLevel="0" max="32" min="32" style="0" width="16.41"/>
    <col collapsed="false" customWidth="true" hidden="false" outlineLevel="0" max="38" min="33" style="0" width="17.21"/>
    <col collapsed="false" customWidth="true" hidden="false" outlineLevel="0" max="39" min="39" style="0" width="14.81"/>
    <col collapsed="false" customWidth="true" hidden="false" outlineLevel="0" max="45" min="40" style="0" width="16.99"/>
    <col collapsed="false" customWidth="true" hidden="false" outlineLevel="0" max="46" min="46" style="0" width="12.37"/>
    <col collapsed="false" customWidth="true" hidden="false" outlineLevel="0" max="47" min="47" style="0" width="11.78"/>
    <col collapsed="false" customWidth="true" hidden="false" outlineLevel="0" max="48" min="48" style="0" width="14.21"/>
    <col collapsed="false" customWidth="true" hidden="false" outlineLevel="0" max="49" min="49" style="0" width="11.78"/>
    <col collapsed="false" customWidth="true" hidden="false" outlineLevel="0" max="50" min="50" style="0" width="11.9"/>
    <col collapsed="false" customWidth="true" hidden="false" outlineLevel="0" max="51" min="51" style="0" width="14.35"/>
    <col collapsed="false" customWidth="true" hidden="false" outlineLevel="0" max="52" min="52" style="0" width="11.9"/>
    <col collapsed="false" customWidth="true" hidden="false" outlineLevel="0" max="54" min="53" style="0" width="15.02"/>
    <col collapsed="false" customWidth="true" hidden="false" outlineLevel="0" max="56" min="55" style="0" width="15.14"/>
    <col collapsed="false" customWidth="true" hidden="false" outlineLevel="0" max="57" min="57" style="0" width="12.83"/>
    <col collapsed="false" customWidth="true" hidden="false" outlineLevel="0" max="58" min="58" style="0" width="9.35"/>
    <col collapsed="false" customWidth="true" hidden="false" outlineLevel="0" max="59" min="59" style="0" width="10.85"/>
    <col collapsed="false" customWidth="true" hidden="false" outlineLevel="0" max="60" min="60" style="0" width="14.09"/>
    <col collapsed="false" customWidth="true" hidden="false" outlineLevel="0" max="61" min="61" style="0" width="14.88"/>
    <col collapsed="false" customWidth="true" hidden="false" outlineLevel="0" max="62" min="62" style="0" width="11.64"/>
    <col collapsed="false" customWidth="true" hidden="false" outlineLevel="0" max="63" min="63" style="0" width="8.54"/>
  </cols>
  <sheetData>
    <row r="1" customFormat="false" ht="12.8" hidden="false" customHeight="false" outlineLevel="0" collapsed="false">
      <c r="A1" s="18" t="s">
        <v>232</v>
      </c>
      <c r="B1" s="42" t="str">
        <f aca="false">metadata!B2</f>
        <v>PC_MINI_G</v>
      </c>
      <c r="C1" s="42" t="str">
        <f aca="false">metadata!B3</f>
        <v>PC_SMALL_G</v>
      </c>
      <c r="D1" s="42" t="str">
        <f aca="false">metadata!B4</f>
        <v>PC_MEDIUM_G</v>
      </c>
      <c r="E1" s="42" t="str">
        <f aca="false">metadata!B5</f>
        <v>PC_SUV_G</v>
      </c>
      <c r="F1" s="42" t="str">
        <f aca="false">metadata!B6</f>
        <v>PC_MINI_D</v>
      </c>
      <c r="G1" s="42" t="str">
        <f aca="false">metadata!B7</f>
        <v>PC_SMALL_D</v>
      </c>
      <c r="H1" s="42" t="str">
        <f aca="false">metadata!B8</f>
        <v>PC_MEDIUM_D</v>
      </c>
      <c r="I1" s="42" t="str">
        <f aca="false">metadata!B9</f>
        <v>PC_SUV_D</v>
      </c>
      <c r="J1" s="42" t="str">
        <f aca="false">metadata!B10</f>
        <v>PC_ELEC</v>
      </c>
      <c r="K1" s="42" t="str">
        <f aca="false">metadata!B11</f>
        <v>PC_SMALL_HY</v>
      </c>
      <c r="L1" s="42" t="str">
        <f aca="false">metadata!B12</f>
        <v>TAXI_SMALL_G</v>
      </c>
      <c r="M1" s="42" t="str">
        <f aca="false">metadata!B13</f>
        <v>TAXI_SMALL_GLP</v>
      </c>
      <c r="N1" s="42" t="str">
        <f aca="false">metadata!B14</f>
        <v>LCV_NI_G</v>
      </c>
      <c r="O1" s="42" t="str">
        <f aca="false">metadata!B15</f>
        <v>LCV_NII_G</v>
      </c>
      <c r="P1" s="42" t="str">
        <f aca="false">metadata!B16</f>
        <v>LCV_NIII_G</v>
      </c>
      <c r="Q1" s="42" t="str">
        <f aca="false">metadata!B17</f>
        <v>LCV_NI_D</v>
      </c>
      <c r="R1" s="42" t="str">
        <f aca="false">metadata!B18</f>
        <v>LCV_NII_D</v>
      </c>
      <c r="S1" s="42" t="str">
        <f aca="false">metadata!B19</f>
        <v>LCV_NIII_D</v>
      </c>
      <c r="T1" s="42" t="str">
        <f aca="false">metadata!B20</f>
        <v>LCV_ELEC</v>
      </c>
      <c r="U1" s="42" t="str">
        <f aca="false">metadata!B21</f>
        <v>LCV_HY</v>
      </c>
      <c r="V1" s="42" t="str">
        <f aca="false">metadata!B22</f>
        <v>TRUCKS_RT_7_D</v>
      </c>
      <c r="W1" s="42" t="str">
        <f aca="false">metadata!B23</f>
        <v>TRUCKS_RT_7_12_D</v>
      </c>
      <c r="X1" s="42" t="str">
        <f aca="false">metadata!B24</f>
        <v>TRUCKS_RT_12_14_D</v>
      </c>
      <c r="Y1" s="42" t="str">
        <f aca="false">metadata!B25</f>
        <v>TRUCKS_RT_14_16_D</v>
      </c>
      <c r="Z1" s="42" t="str">
        <f aca="false">metadata!B26</f>
        <v>TRUCKS_RT_16_20_D</v>
      </c>
      <c r="AA1" s="42" t="str">
        <f aca="false">metadata!B27</f>
        <v>TRUCKS_RT_20_26_D</v>
      </c>
      <c r="AB1" s="42" t="str">
        <f aca="false">metadata!B28</f>
        <v>TRUCKS_RT_26_28_D</v>
      </c>
      <c r="AC1" s="42" t="str">
        <f aca="false">metadata!B29</f>
        <v>TRUCKS_RT_28_32_D</v>
      </c>
      <c r="AD1" s="43" t="str">
        <f aca="false">metadata!B30</f>
        <v>TRUCKS_RT_32_D</v>
      </c>
      <c r="AE1" s="43" t="str">
        <f aca="false">metadata!B31</f>
        <v>TRUCKS_RT_7_G</v>
      </c>
      <c r="AF1" s="43" t="str">
        <f aca="false">metadata!B32</f>
        <v>TRUCKS_RT_7_12_G</v>
      </c>
      <c r="AG1" s="43" t="str">
        <f aca="false">metadata!B33</f>
        <v>TRUCKS_RT_12_14_G</v>
      </c>
      <c r="AH1" s="43" t="str">
        <f aca="false">metadata!B34</f>
        <v>TRUCKS_RT_14_16_G</v>
      </c>
      <c r="AI1" s="43" t="str">
        <f aca="false">metadata!B35</f>
        <v>TRUCKS_RT_16_20_G</v>
      </c>
      <c r="AJ1" s="43" t="str">
        <f aca="false">metadata!B36</f>
        <v>TRUCKS_RT_20_26_G</v>
      </c>
      <c r="AK1" s="43" t="str">
        <f aca="false">metadata!B37</f>
        <v>TRUCKS_RT_26_28_G</v>
      </c>
      <c r="AL1" s="43" t="str">
        <f aca="false">metadata!B38</f>
        <v>TRUCKS_RT_28_32_G</v>
      </c>
      <c r="AM1" s="43" t="str">
        <f aca="false">metadata!B39</f>
        <v>TRUCKS_RT_32_G</v>
      </c>
      <c r="AN1" s="43" t="str">
        <f aca="false">metadata!B40</f>
        <v>TRUCKS_AT_16_20_D</v>
      </c>
      <c r="AO1" s="42" t="str">
        <f aca="false">metadata!B41</f>
        <v>TRUCKS_AT_20_28_D</v>
      </c>
      <c r="AP1" s="42" t="str">
        <f aca="false">metadata!B42</f>
        <v>TRUCKS_AT_28_34_D</v>
      </c>
      <c r="AQ1" s="43" t="str">
        <f aca="false">metadata!B43</f>
        <v>TRUCKS_AT_34_40_D</v>
      </c>
      <c r="AR1" s="43" t="str">
        <f aca="false">metadata!B44</f>
        <v>TRUCKS_AT_40_50_D</v>
      </c>
      <c r="AS1" s="43" t="str">
        <f aca="false">metadata!B45</f>
        <v>TRUCKS_AT_50_60_D</v>
      </c>
      <c r="AT1" s="43" t="str">
        <f aca="false">metadata!B46</f>
        <v>TRUCKS_ELEC</v>
      </c>
      <c r="AU1" s="43" t="str">
        <f aca="false">metadata!B47</f>
        <v>BUS_UB_15_D</v>
      </c>
      <c r="AV1" s="43" t="str">
        <f aca="false">metadata!B48</f>
        <v>BUS_UB_15_18_D</v>
      </c>
      <c r="AW1" s="43" t="str">
        <f aca="false">metadata!B49</f>
        <v>BUS_UB_18_D</v>
      </c>
      <c r="AX1" s="43" t="str">
        <f aca="false">metadata!B50</f>
        <v>BUS_UB_15_G</v>
      </c>
      <c r="AY1" s="43" t="str">
        <f aca="false">metadata!B51</f>
        <v>BUS_UB_15_18_G</v>
      </c>
      <c r="AZ1" s="43" t="str">
        <f aca="false">metadata!B52</f>
        <v>BUS_UB_18_G</v>
      </c>
      <c r="BA1" s="43" t="str">
        <f aca="false">metadata!B53</f>
        <v>BUS_COACH_17_D</v>
      </c>
      <c r="BB1" s="43" t="str">
        <f aca="false">metadata!B54</f>
        <v>BUS_COACH_18_D</v>
      </c>
      <c r="BC1" s="43" t="str">
        <f aca="false">metadata!B55</f>
        <v>BUS_COACH_17_G</v>
      </c>
      <c r="BD1" s="43" t="str">
        <f aca="false">metadata!B56</f>
        <v>BUS_COACH_18_G</v>
      </c>
      <c r="BE1" s="43" t="str">
        <f aca="false">metadata!B57</f>
        <v>BUS_UB_15_HY</v>
      </c>
      <c r="BF1" s="43" t="str">
        <f aca="false">metadata!B58</f>
        <v>BUS_ELEC</v>
      </c>
      <c r="BG1" s="43" t="str">
        <f aca="false">metadata!B59</f>
        <v>MC_2S_50_G</v>
      </c>
      <c r="BH1" s="43" t="str">
        <f aca="false">metadata!B60</f>
        <v>MC_4S_50_250_G</v>
      </c>
      <c r="BI1" s="43" t="str">
        <f aca="false">metadata!B61</f>
        <v>MC_4S_250_750_G</v>
      </c>
      <c r="BJ1" s="43" t="str">
        <f aca="false">metadata!B62</f>
        <v>MC_4S_750_G</v>
      </c>
      <c r="BK1" s="43" t="str">
        <f aca="false">metadata!B63</f>
        <v>MC_ELEC</v>
      </c>
    </row>
    <row r="2" customFormat="false" ht="12.8" hidden="false" customHeight="false" outlineLevel="0" collapsed="false">
      <c r="A2" s="0" t="n">
        <v>2017</v>
      </c>
      <c r="B2" s="0" t="n">
        <v>38.0850954719836</v>
      </c>
      <c r="C2" s="0" t="n">
        <v>38.0850954719836</v>
      </c>
      <c r="D2" s="0" t="n">
        <v>38.0850954719836</v>
      </c>
      <c r="E2" s="0" t="n">
        <v>38.0850954719836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38.0850954719836</v>
      </c>
      <c r="M2" s="0" t="n">
        <v>38.0850954719836</v>
      </c>
      <c r="N2" s="0" t="n">
        <v>38.0850954719836</v>
      </c>
      <c r="O2" s="0" t="n">
        <v>38.0850954719836</v>
      </c>
      <c r="P2" s="0" t="n">
        <v>38.0850954719836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38.0850954719836</v>
      </c>
      <c r="AF2" s="0" t="n">
        <v>38.0850954719836</v>
      </c>
      <c r="AG2" s="0" t="n">
        <v>38.0850954719836</v>
      </c>
      <c r="AH2" s="0" t="n">
        <v>38.0850954719836</v>
      </c>
      <c r="AI2" s="0" t="n">
        <v>38.0850954719836</v>
      </c>
      <c r="AJ2" s="0" t="n">
        <v>38.0850954719836</v>
      </c>
      <c r="AK2" s="0" t="n">
        <v>38.0850954719836</v>
      </c>
      <c r="AL2" s="0" t="n">
        <v>38.0850954719836</v>
      </c>
      <c r="AM2" s="0" t="n">
        <v>38.0850954719836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38.0850954719836</v>
      </c>
      <c r="AY2" s="0" t="n">
        <v>38.0850954719836</v>
      </c>
      <c r="AZ2" s="0" t="n">
        <v>38.0850954719836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38.0850954719836</v>
      </c>
      <c r="BH2" s="0" t="n">
        <v>38.0850954719836</v>
      </c>
      <c r="BI2" s="0" t="n">
        <v>38.0850954719836</v>
      </c>
      <c r="BJ2" s="0" t="n">
        <v>38.0850954719836</v>
      </c>
      <c r="BK2" s="0" t="n">
        <v>1</v>
      </c>
    </row>
    <row r="3" customFormat="false" ht="12.8" hidden="false" customHeight="false" outlineLevel="0" collapsed="false">
      <c r="A3" s="0" t="n">
        <f aca="false">A2-1</f>
        <v>2016</v>
      </c>
      <c r="B3" s="0" t="n">
        <v>41.9700735426201</v>
      </c>
      <c r="C3" s="0" t="n">
        <v>41.9700735426201</v>
      </c>
      <c r="D3" s="0" t="n">
        <v>41.9700735426201</v>
      </c>
      <c r="E3" s="0" t="n">
        <v>41.9700735426201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41.9700735426201</v>
      </c>
      <c r="M3" s="0" t="n">
        <v>41.9700735426201</v>
      </c>
      <c r="N3" s="0" t="n">
        <v>41.9700735426201</v>
      </c>
      <c r="O3" s="0" t="n">
        <v>41.9700735426201</v>
      </c>
      <c r="P3" s="0" t="n">
        <v>41.9700735426201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41.9700735426201</v>
      </c>
      <c r="AF3" s="0" t="n">
        <v>41.9700735426201</v>
      </c>
      <c r="AG3" s="0" t="n">
        <v>41.9700735426201</v>
      </c>
      <c r="AH3" s="0" t="n">
        <v>41.9700735426201</v>
      </c>
      <c r="AI3" s="0" t="n">
        <v>41.9700735426201</v>
      </c>
      <c r="AJ3" s="0" t="n">
        <v>41.9700735426201</v>
      </c>
      <c r="AK3" s="0" t="n">
        <v>41.9700735426201</v>
      </c>
      <c r="AL3" s="0" t="n">
        <v>41.9700735426201</v>
      </c>
      <c r="AM3" s="0" t="n">
        <v>41.9700735426201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41.9700735426201</v>
      </c>
      <c r="AY3" s="0" t="n">
        <v>41.9700735426201</v>
      </c>
      <c r="AZ3" s="0" t="n">
        <v>41.9700735426201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41.9700735426201</v>
      </c>
      <c r="BH3" s="0" t="n">
        <v>41.9700735426201</v>
      </c>
      <c r="BI3" s="0" t="n">
        <v>41.9700735426201</v>
      </c>
      <c r="BJ3" s="0" t="n">
        <v>41.9700735426201</v>
      </c>
      <c r="BK3" s="0" t="n">
        <v>1</v>
      </c>
    </row>
    <row r="4" customFormat="false" ht="12.8" hidden="false" customHeight="false" outlineLevel="0" collapsed="false">
      <c r="A4" s="0" t="n">
        <f aca="false">A3-1</f>
        <v>2015</v>
      </c>
      <c r="B4" s="0" t="n">
        <v>32.7443135634222</v>
      </c>
      <c r="C4" s="0" t="n">
        <v>32.7443135634222</v>
      </c>
      <c r="D4" s="0" t="n">
        <v>32.7443135634222</v>
      </c>
      <c r="E4" s="0" t="n">
        <v>32.7443135634222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32.7443135634222</v>
      </c>
      <c r="M4" s="0" t="n">
        <v>32.7443135634222</v>
      </c>
      <c r="N4" s="0" t="n">
        <v>32.7443135634222</v>
      </c>
      <c r="O4" s="0" t="n">
        <v>32.7443135634222</v>
      </c>
      <c r="P4" s="0" t="n">
        <v>32.7443135634222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32.7443135634222</v>
      </c>
      <c r="AF4" s="0" t="n">
        <v>32.7443135634222</v>
      </c>
      <c r="AG4" s="0" t="n">
        <v>32.7443135634222</v>
      </c>
      <c r="AH4" s="0" t="n">
        <v>32.7443135634222</v>
      </c>
      <c r="AI4" s="0" t="n">
        <v>32.7443135634222</v>
      </c>
      <c r="AJ4" s="0" t="n">
        <v>32.7443135634222</v>
      </c>
      <c r="AK4" s="0" t="n">
        <v>32.7443135634222</v>
      </c>
      <c r="AL4" s="0" t="n">
        <v>32.7443135634222</v>
      </c>
      <c r="AM4" s="0" t="n">
        <v>32.7443135634222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32.7443135634222</v>
      </c>
      <c r="AY4" s="0" t="n">
        <v>32.7443135634222</v>
      </c>
      <c r="AZ4" s="0" t="n">
        <v>32.7443135634222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32.7443135634222</v>
      </c>
      <c r="BH4" s="0" t="n">
        <v>32.7443135634222</v>
      </c>
      <c r="BI4" s="0" t="n">
        <v>32.7443135634222</v>
      </c>
      <c r="BJ4" s="0" t="n">
        <v>32.7443135634222</v>
      </c>
      <c r="BK4" s="0" t="n">
        <v>1</v>
      </c>
    </row>
    <row r="5" customFormat="false" ht="12.8" hidden="false" customHeight="false" outlineLevel="0" collapsed="false">
      <c r="A5" s="0" t="n">
        <f aca="false">A4-1</f>
        <v>2014</v>
      </c>
      <c r="B5" s="0" t="n">
        <v>29.3557482654949</v>
      </c>
      <c r="C5" s="0" t="n">
        <v>29.3557482654949</v>
      </c>
      <c r="D5" s="0" t="n">
        <v>29.3557482654949</v>
      </c>
      <c r="E5" s="0" t="n">
        <v>29.3557482654949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29.3557482654949</v>
      </c>
      <c r="M5" s="0" t="n">
        <v>29.3557482654949</v>
      </c>
      <c r="N5" s="0" t="n">
        <v>29.3557482654949</v>
      </c>
      <c r="O5" s="0" t="n">
        <v>29.3557482654949</v>
      </c>
      <c r="P5" s="0" t="n">
        <v>29.3557482654949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29.3557482654949</v>
      </c>
      <c r="AF5" s="0" t="n">
        <v>29.3557482654949</v>
      </c>
      <c r="AG5" s="0" t="n">
        <v>29.3557482654949</v>
      </c>
      <c r="AH5" s="0" t="n">
        <v>29.3557482654949</v>
      </c>
      <c r="AI5" s="0" t="n">
        <v>29.3557482654949</v>
      </c>
      <c r="AJ5" s="0" t="n">
        <v>29.3557482654949</v>
      </c>
      <c r="AK5" s="0" t="n">
        <v>29.3557482654949</v>
      </c>
      <c r="AL5" s="0" t="n">
        <v>29.3557482654949</v>
      </c>
      <c r="AM5" s="0" t="n">
        <v>29.3557482654949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29.3557482654949</v>
      </c>
      <c r="AY5" s="0" t="n">
        <v>29.3557482654949</v>
      </c>
      <c r="AZ5" s="0" t="n">
        <v>29.3557482654949</v>
      </c>
      <c r="BA5" s="0" t="n">
        <v>1</v>
      </c>
      <c r="BB5" s="0" t="n">
        <v>1</v>
      </c>
      <c r="BC5" s="0" t="n">
        <v>1</v>
      </c>
      <c r="BD5" s="0" t="n">
        <v>1</v>
      </c>
      <c r="BE5" s="0" t="n">
        <v>1</v>
      </c>
      <c r="BF5" s="0" t="n">
        <v>1</v>
      </c>
      <c r="BG5" s="0" t="n">
        <v>29.3557482654949</v>
      </c>
      <c r="BH5" s="0" t="n">
        <v>29.3557482654949</v>
      </c>
      <c r="BI5" s="0" t="n">
        <v>29.3557482654949</v>
      </c>
      <c r="BJ5" s="0" t="n">
        <v>29.3557482654949</v>
      </c>
      <c r="BK5" s="0" t="n">
        <v>1</v>
      </c>
    </row>
    <row r="6" customFormat="false" ht="12.8" hidden="false" customHeight="false" outlineLevel="0" collapsed="false">
      <c r="A6" s="0" t="n">
        <f aca="false">A5-1</f>
        <v>2013</v>
      </c>
      <c r="B6" s="0" t="n">
        <v>23.7201934274417</v>
      </c>
      <c r="C6" s="0" t="n">
        <v>23.7201934274417</v>
      </c>
      <c r="D6" s="0" t="n">
        <v>23.7201934274417</v>
      </c>
      <c r="E6" s="0" t="n">
        <v>23.7201934274417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23.7201934274417</v>
      </c>
      <c r="M6" s="0" t="n">
        <v>23.7201934274417</v>
      </c>
      <c r="N6" s="0" t="n">
        <v>23.7201934274417</v>
      </c>
      <c r="O6" s="0" t="n">
        <v>23.7201934274417</v>
      </c>
      <c r="P6" s="0" t="n">
        <v>23.7201934274417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23.7201934274417</v>
      </c>
      <c r="AF6" s="0" t="n">
        <v>23.7201934274417</v>
      </c>
      <c r="AG6" s="0" t="n">
        <v>23.7201934274417</v>
      </c>
      <c r="AH6" s="0" t="n">
        <v>23.7201934274417</v>
      </c>
      <c r="AI6" s="0" t="n">
        <v>23.7201934274417</v>
      </c>
      <c r="AJ6" s="0" t="n">
        <v>23.7201934274417</v>
      </c>
      <c r="AK6" s="0" t="n">
        <v>23.7201934274417</v>
      </c>
      <c r="AL6" s="0" t="n">
        <v>23.7201934274417</v>
      </c>
      <c r="AM6" s="0" t="n">
        <v>23.7201934274417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1</v>
      </c>
      <c r="AT6" s="0" t="n">
        <v>1</v>
      </c>
      <c r="AU6" s="0" t="n">
        <v>1</v>
      </c>
      <c r="AV6" s="0" t="n">
        <v>1</v>
      </c>
      <c r="AW6" s="0" t="n">
        <v>1</v>
      </c>
      <c r="AX6" s="0" t="n">
        <v>23.7201934274417</v>
      </c>
      <c r="AY6" s="0" t="n">
        <v>23.7201934274417</v>
      </c>
      <c r="AZ6" s="0" t="n">
        <v>23.7201934274417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1</v>
      </c>
      <c r="BG6" s="0" t="n">
        <v>23.7201934274417</v>
      </c>
      <c r="BH6" s="0" t="n">
        <v>23.7201934274417</v>
      </c>
      <c r="BI6" s="0" t="n">
        <v>23.7201934274417</v>
      </c>
      <c r="BJ6" s="0" t="n">
        <v>23.7201934274417</v>
      </c>
      <c r="BK6" s="0" t="n">
        <v>1</v>
      </c>
    </row>
    <row r="7" customFormat="false" ht="12.8" hidden="false" customHeight="false" outlineLevel="0" collapsed="false">
      <c r="A7" s="0" t="n">
        <f aca="false">A6-1</f>
        <v>2012</v>
      </c>
      <c r="B7" s="0" t="n">
        <v>15.9004402957934</v>
      </c>
      <c r="C7" s="0" t="n">
        <v>15.9004402957934</v>
      </c>
      <c r="D7" s="0" t="n">
        <v>15.9004402957934</v>
      </c>
      <c r="E7" s="0" t="n">
        <v>15.9004402957934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15.9004402957934</v>
      </c>
      <c r="M7" s="0" t="n">
        <v>15.9004402957934</v>
      </c>
      <c r="N7" s="0" t="n">
        <v>15.9004402957934</v>
      </c>
      <c r="O7" s="0" t="n">
        <v>15.9004402957934</v>
      </c>
      <c r="P7" s="0" t="n">
        <v>15.9004402957934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15.9004402957934</v>
      </c>
      <c r="AF7" s="0" t="n">
        <v>15.9004402957934</v>
      </c>
      <c r="AG7" s="0" t="n">
        <v>15.9004402957934</v>
      </c>
      <c r="AH7" s="0" t="n">
        <v>15.9004402957934</v>
      </c>
      <c r="AI7" s="0" t="n">
        <v>15.9004402957934</v>
      </c>
      <c r="AJ7" s="0" t="n">
        <v>15.9004402957934</v>
      </c>
      <c r="AK7" s="0" t="n">
        <v>15.9004402957934</v>
      </c>
      <c r="AL7" s="0" t="n">
        <v>15.9004402957934</v>
      </c>
      <c r="AM7" s="0" t="n">
        <v>15.9004402957934</v>
      </c>
      <c r="AN7" s="0" t="n">
        <v>1</v>
      </c>
      <c r="AO7" s="0" t="n">
        <v>1</v>
      </c>
      <c r="AP7" s="0" t="n">
        <v>1</v>
      </c>
      <c r="AQ7" s="0" t="n">
        <v>1</v>
      </c>
      <c r="AR7" s="0" t="n">
        <v>1</v>
      </c>
      <c r="AS7" s="0" t="n">
        <v>1</v>
      </c>
      <c r="AT7" s="0" t="n">
        <v>1</v>
      </c>
      <c r="AU7" s="0" t="n">
        <v>1</v>
      </c>
      <c r="AV7" s="0" t="n">
        <v>1</v>
      </c>
      <c r="AW7" s="0" t="n">
        <v>1</v>
      </c>
      <c r="AX7" s="0" t="n">
        <v>15.9004402957934</v>
      </c>
      <c r="AY7" s="0" t="n">
        <v>15.9004402957934</v>
      </c>
      <c r="AZ7" s="0" t="n">
        <v>15.9004402957934</v>
      </c>
      <c r="BA7" s="0" t="n">
        <v>1</v>
      </c>
      <c r="BB7" s="0" t="n">
        <v>1</v>
      </c>
      <c r="BC7" s="0" t="n">
        <v>1</v>
      </c>
      <c r="BD7" s="0" t="n">
        <v>1</v>
      </c>
      <c r="BE7" s="0" t="n">
        <v>1</v>
      </c>
      <c r="BF7" s="0" t="n">
        <v>1</v>
      </c>
      <c r="BG7" s="0" t="n">
        <v>15.9004402957934</v>
      </c>
      <c r="BH7" s="0" t="n">
        <v>15.9004402957934</v>
      </c>
      <c r="BI7" s="0" t="n">
        <v>15.9004402957934</v>
      </c>
      <c r="BJ7" s="0" t="n">
        <v>15.9004402957934</v>
      </c>
      <c r="BK7" s="0" t="n">
        <v>1</v>
      </c>
    </row>
    <row r="8" customFormat="false" ht="12.8" hidden="false" customHeight="false" outlineLevel="0" collapsed="false">
      <c r="A8" s="0" t="n">
        <f aca="false">A7-1</f>
        <v>2011</v>
      </c>
      <c r="B8" s="0" t="n">
        <v>12.5953099713209</v>
      </c>
      <c r="C8" s="0" t="n">
        <v>12.5953099713209</v>
      </c>
      <c r="D8" s="0" t="n">
        <v>12.5953099713209</v>
      </c>
      <c r="E8" s="0" t="n">
        <v>12.5953099713209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12.5953099713209</v>
      </c>
      <c r="M8" s="0" t="n">
        <v>12.5953099713209</v>
      </c>
      <c r="N8" s="0" t="n">
        <v>12.5953099713209</v>
      </c>
      <c r="O8" s="0" t="n">
        <v>12.5953099713209</v>
      </c>
      <c r="P8" s="0" t="n">
        <v>12.5953099713209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12.5953099713209</v>
      </c>
      <c r="AF8" s="0" t="n">
        <v>12.5953099713209</v>
      </c>
      <c r="AG8" s="0" t="n">
        <v>12.5953099713209</v>
      </c>
      <c r="AH8" s="0" t="n">
        <v>12.5953099713209</v>
      </c>
      <c r="AI8" s="0" t="n">
        <v>12.5953099713209</v>
      </c>
      <c r="AJ8" s="0" t="n">
        <v>12.5953099713209</v>
      </c>
      <c r="AK8" s="0" t="n">
        <v>12.5953099713209</v>
      </c>
      <c r="AL8" s="0" t="n">
        <v>12.5953099713209</v>
      </c>
      <c r="AM8" s="0" t="n">
        <v>12.5953099713209</v>
      </c>
      <c r="AN8" s="0" t="n">
        <v>1</v>
      </c>
      <c r="AO8" s="0" t="n">
        <v>1</v>
      </c>
      <c r="AP8" s="0" t="n">
        <v>1</v>
      </c>
      <c r="AQ8" s="0" t="n">
        <v>1</v>
      </c>
      <c r="AR8" s="0" t="n">
        <v>1</v>
      </c>
      <c r="AS8" s="0" t="n">
        <v>1</v>
      </c>
      <c r="AT8" s="0" t="n">
        <v>1</v>
      </c>
      <c r="AU8" s="0" t="n">
        <v>1</v>
      </c>
      <c r="AV8" s="0" t="n">
        <v>1</v>
      </c>
      <c r="AW8" s="0" t="n">
        <v>1</v>
      </c>
      <c r="AX8" s="0" t="n">
        <v>12.5953099713209</v>
      </c>
      <c r="AY8" s="0" t="n">
        <v>12.5953099713209</v>
      </c>
      <c r="AZ8" s="0" t="n">
        <v>12.5953099713209</v>
      </c>
      <c r="BA8" s="0" t="n">
        <v>1</v>
      </c>
      <c r="BB8" s="0" t="n">
        <v>1</v>
      </c>
      <c r="BC8" s="0" t="n">
        <v>1</v>
      </c>
      <c r="BD8" s="0" t="n">
        <v>1</v>
      </c>
      <c r="BE8" s="0" t="n">
        <v>1</v>
      </c>
      <c r="BF8" s="0" t="n">
        <v>1</v>
      </c>
      <c r="BG8" s="0" t="n">
        <v>12.5953099713209</v>
      </c>
      <c r="BH8" s="0" t="n">
        <v>12.5953099713209</v>
      </c>
      <c r="BI8" s="0" t="n">
        <v>12.5953099713209</v>
      </c>
      <c r="BJ8" s="0" t="n">
        <v>12.5953099713209</v>
      </c>
      <c r="BK8" s="0" t="n">
        <v>1</v>
      </c>
    </row>
    <row r="9" customFormat="false" ht="12.8" hidden="false" customHeight="false" outlineLevel="0" collapsed="false">
      <c r="A9" s="0" t="n">
        <f aca="false">A8-1</f>
        <v>2010</v>
      </c>
      <c r="B9" s="0" t="n">
        <v>12.8508738684944</v>
      </c>
      <c r="C9" s="0" t="n">
        <v>12.8508738684944</v>
      </c>
      <c r="D9" s="0" t="n">
        <v>12.8508738684944</v>
      </c>
      <c r="E9" s="0" t="n">
        <v>12.8508738684944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12.8508738684944</v>
      </c>
      <c r="M9" s="0" t="n">
        <v>12.8508738684944</v>
      </c>
      <c r="N9" s="0" t="n">
        <v>12.8508738684944</v>
      </c>
      <c r="O9" s="0" t="n">
        <v>12.8508738684944</v>
      </c>
      <c r="P9" s="0" t="n">
        <v>12.8508738684944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12.8508738684944</v>
      </c>
      <c r="AF9" s="0" t="n">
        <v>12.8508738684944</v>
      </c>
      <c r="AG9" s="0" t="n">
        <v>12.8508738684944</v>
      </c>
      <c r="AH9" s="0" t="n">
        <v>12.8508738684944</v>
      </c>
      <c r="AI9" s="0" t="n">
        <v>12.8508738684944</v>
      </c>
      <c r="AJ9" s="0" t="n">
        <v>12.8508738684944</v>
      </c>
      <c r="AK9" s="0" t="n">
        <v>12.8508738684944</v>
      </c>
      <c r="AL9" s="0" t="n">
        <v>12.8508738684944</v>
      </c>
      <c r="AM9" s="0" t="n">
        <v>12.8508738684944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1</v>
      </c>
      <c r="AS9" s="0" t="n">
        <v>1</v>
      </c>
      <c r="AT9" s="0" t="n">
        <v>1</v>
      </c>
      <c r="AU9" s="0" t="n">
        <v>1</v>
      </c>
      <c r="AV9" s="0" t="n">
        <v>1</v>
      </c>
      <c r="AW9" s="0" t="n">
        <v>1</v>
      </c>
      <c r="AX9" s="0" t="n">
        <v>12.8508738684944</v>
      </c>
      <c r="AY9" s="0" t="n">
        <v>12.8508738684944</v>
      </c>
      <c r="AZ9" s="0" t="n">
        <v>12.8508738684944</v>
      </c>
      <c r="BA9" s="0" t="n">
        <v>1</v>
      </c>
      <c r="BB9" s="0" t="n">
        <v>1</v>
      </c>
      <c r="BC9" s="0" t="n">
        <v>1</v>
      </c>
      <c r="BD9" s="0" t="n">
        <v>1</v>
      </c>
      <c r="BE9" s="0" t="n">
        <v>1</v>
      </c>
      <c r="BF9" s="0" t="n">
        <v>1</v>
      </c>
      <c r="BG9" s="0" t="n">
        <v>12.8508738684944</v>
      </c>
      <c r="BH9" s="0" t="n">
        <v>12.8508738684944</v>
      </c>
      <c r="BI9" s="0" t="n">
        <v>12.8508738684944</v>
      </c>
      <c r="BJ9" s="0" t="n">
        <v>12.8508738684944</v>
      </c>
      <c r="BK9" s="0" t="n">
        <v>1</v>
      </c>
    </row>
    <row r="10" customFormat="false" ht="12.8" hidden="false" customHeight="false" outlineLevel="0" collapsed="false">
      <c r="A10" s="0" t="n">
        <f aca="false">A9-1</f>
        <v>2009</v>
      </c>
      <c r="B10" s="0" t="n">
        <v>10.9610566733789</v>
      </c>
      <c r="C10" s="0" t="n">
        <v>10.9610566733789</v>
      </c>
      <c r="D10" s="0" t="n">
        <v>10.9610566733789</v>
      </c>
      <c r="E10" s="0" t="n">
        <v>10.9610566733789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10.9610566733789</v>
      </c>
      <c r="M10" s="0" t="n">
        <v>10.9610566733789</v>
      </c>
      <c r="N10" s="0" t="n">
        <v>10.9610566733789</v>
      </c>
      <c r="O10" s="0" t="n">
        <v>10.9610566733789</v>
      </c>
      <c r="P10" s="0" t="n">
        <v>10.9610566733789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10.9610566733789</v>
      </c>
      <c r="AF10" s="0" t="n">
        <v>10.9610566733789</v>
      </c>
      <c r="AG10" s="0" t="n">
        <v>10.9610566733789</v>
      </c>
      <c r="AH10" s="0" t="n">
        <v>10.9610566733789</v>
      </c>
      <c r="AI10" s="0" t="n">
        <v>10.9610566733789</v>
      </c>
      <c r="AJ10" s="0" t="n">
        <v>10.9610566733789</v>
      </c>
      <c r="AK10" s="0" t="n">
        <v>10.9610566733789</v>
      </c>
      <c r="AL10" s="0" t="n">
        <v>10.9610566733789</v>
      </c>
      <c r="AM10" s="0" t="n">
        <v>10.9610566733789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1</v>
      </c>
      <c r="AV10" s="0" t="n">
        <v>1</v>
      </c>
      <c r="AW10" s="0" t="n">
        <v>1</v>
      </c>
      <c r="AX10" s="0" t="n">
        <v>10.9610566733789</v>
      </c>
      <c r="AY10" s="0" t="n">
        <v>10.9610566733789</v>
      </c>
      <c r="AZ10" s="0" t="n">
        <v>10.9610566733789</v>
      </c>
      <c r="BA10" s="0" t="n">
        <v>1</v>
      </c>
      <c r="BB10" s="0" t="n">
        <v>1</v>
      </c>
      <c r="BC10" s="0" t="n">
        <v>1</v>
      </c>
      <c r="BD10" s="0" t="n">
        <v>1</v>
      </c>
      <c r="BE10" s="0" t="n">
        <v>1</v>
      </c>
      <c r="BF10" s="0" t="n">
        <v>1</v>
      </c>
      <c r="BG10" s="0" t="n">
        <v>10.9610566733789</v>
      </c>
      <c r="BH10" s="0" t="n">
        <v>10.9610566733789</v>
      </c>
      <c r="BI10" s="0" t="n">
        <v>10.9610566733789</v>
      </c>
      <c r="BJ10" s="0" t="n">
        <v>10.9610566733789</v>
      </c>
      <c r="BK10" s="0" t="n">
        <v>1</v>
      </c>
    </row>
    <row r="11" customFormat="false" ht="12.8" hidden="false" customHeight="false" outlineLevel="0" collapsed="false">
      <c r="A11" s="0" t="n">
        <f aca="false">A10-1</f>
        <v>2008</v>
      </c>
      <c r="B11" s="0" t="n">
        <v>12.3565085384744</v>
      </c>
      <c r="C11" s="0" t="n">
        <v>12.3565085384744</v>
      </c>
      <c r="D11" s="0" t="n">
        <v>12.3565085384744</v>
      </c>
      <c r="E11" s="0" t="n">
        <v>12.3565085384744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12.3565085384744</v>
      </c>
      <c r="M11" s="0" t="n">
        <v>12.3565085384744</v>
      </c>
      <c r="N11" s="0" t="n">
        <v>12.3565085384744</v>
      </c>
      <c r="O11" s="0" t="n">
        <v>12.3565085384744</v>
      </c>
      <c r="P11" s="0" t="n">
        <v>12.3565085384744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12.3565085384744</v>
      </c>
      <c r="AF11" s="0" t="n">
        <v>12.3565085384744</v>
      </c>
      <c r="AG11" s="0" t="n">
        <v>12.3565085384744</v>
      </c>
      <c r="AH11" s="0" t="n">
        <v>12.3565085384744</v>
      </c>
      <c r="AI11" s="0" t="n">
        <v>12.3565085384744</v>
      </c>
      <c r="AJ11" s="0" t="n">
        <v>12.3565085384744</v>
      </c>
      <c r="AK11" s="0" t="n">
        <v>12.3565085384744</v>
      </c>
      <c r="AL11" s="0" t="n">
        <v>12.3565085384744</v>
      </c>
      <c r="AM11" s="0" t="n">
        <v>12.3565085384744</v>
      </c>
      <c r="AN11" s="0" t="n">
        <v>1</v>
      </c>
      <c r="AO11" s="0" t="n">
        <v>1</v>
      </c>
      <c r="AP11" s="0" t="n">
        <v>1</v>
      </c>
      <c r="AQ11" s="0" t="n">
        <v>1</v>
      </c>
      <c r="AR11" s="0" t="n">
        <v>1</v>
      </c>
      <c r="AS11" s="0" t="n">
        <v>1</v>
      </c>
      <c r="AT11" s="0" t="n">
        <v>1</v>
      </c>
      <c r="AU11" s="0" t="n">
        <v>1</v>
      </c>
      <c r="AV11" s="0" t="n">
        <v>1</v>
      </c>
      <c r="AW11" s="0" t="n">
        <v>1</v>
      </c>
      <c r="AX11" s="0" t="n">
        <v>12.3565085384744</v>
      </c>
      <c r="AY11" s="0" t="n">
        <v>12.3565085384744</v>
      </c>
      <c r="AZ11" s="0" t="n">
        <v>12.3565085384744</v>
      </c>
      <c r="BA11" s="0" t="n">
        <v>1</v>
      </c>
      <c r="BB11" s="0" t="n">
        <v>1</v>
      </c>
      <c r="BC11" s="0" t="n">
        <v>1</v>
      </c>
      <c r="BD11" s="0" t="n">
        <v>1</v>
      </c>
      <c r="BE11" s="0" t="n">
        <v>1</v>
      </c>
      <c r="BF11" s="0" t="n">
        <v>1</v>
      </c>
      <c r="BG11" s="0" t="n">
        <v>12.3565085384744</v>
      </c>
      <c r="BH11" s="0" t="n">
        <v>12.3565085384744</v>
      </c>
      <c r="BI11" s="0" t="n">
        <v>12.3565085384744</v>
      </c>
      <c r="BJ11" s="0" t="n">
        <v>12.3565085384744</v>
      </c>
      <c r="BK11" s="0" t="n">
        <v>1</v>
      </c>
    </row>
    <row r="12" customFormat="false" ht="12.8" hidden="false" customHeight="false" outlineLevel="0" collapsed="false">
      <c r="A12" s="0" t="n">
        <f aca="false">A11-1</f>
        <v>2007</v>
      </c>
      <c r="B12" s="0" t="n">
        <v>10.3448806430262</v>
      </c>
      <c r="C12" s="0" t="n">
        <v>10.3448806430262</v>
      </c>
      <c r="D12" s="0" t="n">
        <v>10.3448806430262</v>
      </c>
      <c r="E12" s="0" t="n">
        <v>10.3448806430262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10.3448806430262</v>
      </c>
      <c r="M12" s="0" t="n">
        <v>10.3448806430262</v>
      </c>
      <c r="N12" s="0" t="n">
        <v>10.3448806430262</v>
      </c>
      <c r="O12" s="0" t="n">
        <v>10.3448806430262</v>
      </c>
      <c r="P12" s="0" t="n">
        <v>10.3448806430262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1</v>
      </c>
      <c r="AE12" s="0" t="n">
        <v>10.3448806430262</v>
      </c>
      <c r="AF12" s="0" t="n">
        <v>10.3448806430262</v>
      </c>
      <c r="AG12" s="0" t="n">
        <v>10.3448806430262</v>
      </c>
      <c r="AH12" s="0" t="n">
        <v>10.3448806430262</v>
      </c>
      <c r="AI12" s="0" t="n">
        <v>10.3448806430262</v>
      </c>
      <c r="AJ12" s="0" t="n">
        <v>10.3448806430262</v>
      </c>
      <c r="AK12" s="0" t="n">
        <v>10.3448806430262</v>
      </c>
      <c r="AL12" s="0" t="n">
        <v>10.3448806430262</v>
      </c>
      <c r="AM12" s="0" t="n">
        <v>10.3448806430262</v>
      </c>
      <c r="AN12" s="0" t="n">
        <v>1</v>
      </c>
      <c r="AO12" s="0" t="n">
        <v>1</v>
      </c>
      <c r="AP12" s="0" t="n">
        <v>1</v>
      </c>
      <c r="AQ12" s="0" t="n">
        <v>1</v>
      </c>
      <c r="AR12" s="0" t="n">
        <v>1</v>
      </c>
      <c r="AS12" s="0" t="n">
        <v>1</v>
      </c>
      <c r="AT12" s="0" t="n">
        <v>1</v>
      </c>
      <c r="AU12" s="0" t="n">
        <v>1</v>
      </c>
      <c r="AV12" s="0" t="n">
        <v>1</v>
      </c>
      <c r="AW12" s="0" t="n">
        <v>1</v>
      </c>
      <c r="AX12" s="0" t="n">
        <v>10.3448806430262</v>
      </c>
      <c r="AY12" s="0" t="n">
        <v>10.3448806430262</v>
      </c>
      <c r="AZ12" s="0" t="n">
        <v>10.3448806430262</v>
      </c>
      <c r="BA12" s="0" t="n">
        <v>1</v>
      </c>
      <c r="BB12" s="0" t="n">
        <v>1</v>
      </c>
      <c r="BC12" s="0" t="n">
        <v>1</v>
      </c>
      <c r="BD12" s="0" t="n">
        <v>1</v>
      </c>
      <c r="BE12" s="0" t="n">
        <v>1</v>
      </c>
      <c r="BF12" s="0" t="n">
        <v>1</v>
      </c>
      <c r="BG12" s="0" t="n">
        <v>10.3448806430262</v>
      </c>
      <c r="BH12" s="0" t="n">
        <v>10.3448806430262</v>
      </c>
      <c r="BI12" s="0" t="n">
        <v>10.3448806430262</v>
      </c>
      <c r="BJ12" s="0" t="n">
        <v>10.3448806430262</v>
      </c>
      <c r="BK12" s="0" t="n">
        <v>1</v>
      </c>
    </row>
    <row r="13" customFormat="false" ht="12.8" hidden="false" customHeight="false" outlineLevel="0" collapsed="false">
      <c r="A13" s="0" t="n">
        <f aca="false">A12-1</f>
        <v>2006</v>
      </c>
      <c r="B13" s="0" t="n">
        <v>8.51246547125052</v>
      </c>
      <c r="C13" s="0" t="n">
        <v>8.51246547125052</v>
      </c>
      <c r="D13" s="0" t="n">
        <v>8.51246547125052</v>
      </c>
      <c r="E13" s="0" t="n">
        <v>8.51246547125052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8.51246547125052</v>
      </c>
      <c r="M13" s="0" t="n">
        <v>8.51246547125052</v>
      </c>
      <c r="N13" s="0" t="n">
        <v>8.51246547125052</v>
      </c>
      <c r="O13" s="0" t="n">
        <v>8.51246547125052</v>
      </c>
      <c r="P13" s="0" t="n">
        <v>8.51246547125052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8.51246547125052</v>
      </c>
      <c r="AF13" s="0" t="n">
        <v>8.51246547125052</v>
      </c>
      <c r="AG13" s="0" t="n">
        <v>8.51246547125052</v>
      </c>
      <c r="AH13" s="0" t="n">
        <v>8.51246547125052</v>
      </c>
      <c r="AI13" s="0" t="n">
        <v>8.51246547125052</v>
      </c>
      <c r="AJ13" s="0" t="n">
        <v>8.51246547125052</v>
      </c>
      <c r="AK13" s="0" t="n">
        <v>8.51246547125052</v>
      </c>
      <c r="AL13" s="0" t="n">
        <v>8.51246547125052</v>
      </c>
      <c r="AM13" s="0" t="n">
        <v>8.51246547125052</v>
      </c>
      <c r="AN13" s="0" t="n">
        <v>1</v>
      </c>
      <c r="AO13" s="0" t="n">
        <v>1</v>
      </c>
      <c r="AP13" s="0" t="n">
        <v>1</v>
      </c>
      <c r="AQ13" s="0" t="n">
        <v>1</v>
      </c>
      <c r="AR13" s="0" t="n">
        <v>1</v>
      </c>
      <c r="AS13" s="0" t="n">
        <v>1</v>
      </c>
      <c r="AT13" s="0" t="n">
        <v>1</v>
      </c>
      <c r="AU13" s="0" t="n">
        <v>1</v>
      </c>
      <c r="AV13" s="0" t="n">
        <v>1</v>
      </c>
      <c r="AW13" s="0" t="n">
        <v>1</v>
      </c>
      <c r="AX13" s="0" t="n">
        <v>8.51246547125052</v>
      </c>
      <c r="AY13" s="0" t="n">
        <v>8.51246547125052</v>
      </c>
      <c r="AZ13" s="0" t="n">
        <v>8.51246547125052</v>
      </c>
      <c r="BA13" s="0" t="n">
        <v>1</v>
      </c>
      <c r="BB13" s="0" t="n">
        <v>1</v>
      </c>
      <c r="BC13" s="0" t="n">
        <v>1</v>
      </c>
      <c r="BD13" s="0" t="n">
        <v>1</v>
      </c>
      <c r="BE13" s="0" t="n">
        <v>1</v>
      </c>
      <c r="BF13" s="0" t="n">
        <v>1</v>
      </c>
      <c r="BG13" s="0" t="n">
        <v>8.51246547125052</v>
      </c>
      <c r="BH13" s="0" t="n">
        <v>8.51246547125052</v>
      </c>
      <c r="BI13" s="0" t="n">
        <v>8.51246547125052</v>
      </c>
      <c r="BJ13" s="0" t="n">
        <v>8.51246547125052</v>
      </c>
      <c r="BK13" s="0" t="n">
        <v>1</v>
      </c>
    </row>
    <row r="14" customFormat="false" ht="12.8" hidden="false" customHeight="false" outlineLevel="0" collapsed="false">
      <c r="A14" s="0" t="n">
        <f aca="false">A13-1</f>
        <v>2005</v>
      </c>
      <c r="B14" s="0" t="n">
        <v>7.30565193102729</v>
      </c>
      <c r="C14" s="0" t="n">
        <v>7.30565193102729</v>
      </c>
      <c r="D14" s="0" t="n">
        <v>7.30565193102729</v>
      </c>
      <c r="E14" s="0" t="n">
        <v>7.30565193102729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7.30565193102729</v>
      </c>
      <c r="M14" s="0" t="n">
        <v>7.30565193102729</v>
      </c>
      <c r="N14" s="0" t="n">
        <v>7.30565193102729</v>
      </c>
      <c r="O14" s="0" t="n">
        <v>7.30565193102729</v>
      </c>
      <c r="P14" s="0" t="n">
        <v>7.30565193102729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7.30565193102729</v>
      </c>
      <c r="AF14" s="0" t="n">
        <v>7.30565193102729</v>
      </c>
      <c r="AG14" s="0" t="n">
        <v>7.30565193102729</v>
      </c>
      <c r="AH14" s="0" t="n">
        <v>7.30565193102729</v>
      </c>
      <c r="AI14" s="0" t="n">
        <v>7.30565193102729</v>
      </c>
      <c r="AJ14" s="0" t="n">
        <v>7.30565193102729</v>
      </c>
      <c r="AK14" s="0" t="n">
        <v>7.30565193102729</v>
      </c>
      <c r="AL14" s="0" t="n">
        <v>7.30565193102729</v>
      </c>
      <c r="AM14" s="0" t="n">
        <v>7.30565193102729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1</v>
      </c>
      <c r="AV14" s="0" t="n">
        <v>1</v>
      </c>
      <c r="AW14" s="0" t="n">
        <v>1</v>
      </c>
      <c r="AX14" s="0" t="n">
        <v>7.30565193102729</v>
      </c>
      <c r="AY14" s="0" t="n">
        <v>7.30565193102729</v>
      </c>
      <c r="AZ14" s="0" t="n">
        <v>7.30565193102729</v>
      </c>
      <c r="BA14" s="0" t="n">
        <v>1</v>
      </c>
      <c r="BB14" s="0" t="n">
        <v>1</v>
      </c>
      <c r="BC14" s="0" t="n">
        <v>1</v>
      </c>
      <c r="BD14" s="0" t="n">
        <v>1</v>
      </c>
      <c r="BE14" s="0" t="n">
        <v>1</v>
      </c>
      <c r="BF14" s="0" t="n">
        <v>1</v>
      </c>
      <c r="BG14" s="0" t="n">
        <v>7.30565193102729</v>
      </c>
      <c r="BH14" s="0" t="n">
        <v>7.30565193102729</v>
      </c>
      <c r="BI14" s="0" t="n">
        <v>7.30565193102729</v>
      </c>
      <c r="BJ14" s="0" t="n">
        <v>7.30565193102729</v>
      </c>
      <c r="BK14" s="0" t="n">
        <v>1</v>
      </c>
    </row>
    <row r="15" customFormat="false" ht="12.8" hidden="false" customHeight="false" outlineLevel="0" collapsed="false">
      <c r="A15" s="0" t="n">
        <f aca="false">A14-1</f>
        <v>2004</v>
      </c>
      <c r="B15" s="0" t="n">
        <v>7.48818658647822</v>
      </c>
      <c r="C15" s="0" t="n">
        <v>7.48818658647822</v>
      </c>
      <c r="D15" s="0" t="n">
        <v>7.48818658647822</v>
      </c>
      <c r="E15" s="0" t="n">
        <v>7.48818658647822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7.48818658647822</v>
      </c>
      <c r="M15" s="0" t="n">
        <v>7.48818658647822</v>
      </c>
      <c r="N15" s="0" t="n">
        <v>7.48818658647822</v>
      </c>
      <c r="O15" s="0" t="n">
        <v>7.48818658647822</v>
      </c>
      <c r="P15" s="0" t="n">
        <v>7.48818658647822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1</v>
      </c>
      <c r="AE15" s="0" t="n">
        <v>7.48818658647822</v>
      </c>
      <c r="AF15" s="0" t="n">
        <v>7.48818658647822</v>
      </c>
      <c r="AG15" s="0" t="n">
        <v>7.48818658647822</v>
      </c>
      <c r="AH15" s="0" t="n">
        <v>7.48818658647822</v>
      </c>
      <c r="AI15" s="0" t="n">
        <v>7.48818658647822</v>
      </c>
      <c r="AJ15" s="0" t="n">
        <v>7.48818658647822</v>
      </c>
      <c r="AK15" s="0" t="n">
        <v>7.48818658647822</v>
      </c>
      <c r="AL15" s="0" t="n">
        <v>7.48818658647822</v>
      </c>
      <c r="AM15" s="0" t="n">
        <v>7.48818658647822</v>
      </c>
      <c r="AN15" s="0" t="n">
        <v>1</v>
      </c>
      <c r="AO15" s="0" t="n">
        <v>1</v>
      </c>
      <c r="AP15" s="0" t="n">
        <v>1</v>
      </c>
      <c r="AQ15" s="0" t="n">
        <v>1</v>
      </c>
      <c r="AR15" s="0" t="n">
        <v>1</v>
      </c>
      <c r="AS15" s="0" t="n">
        <v>1</v>
      </c>
      <c r="AT15" s="0" t="n">
        <v>1</v>
      </c>
      <c r="AU15" s="0" t="n">
        <v>1</v>
      </c>
      <c r="AV15" s="0" t="n">
        <v>1</v>
      </c>
      <c r="AW15" s="0" t="n">
        <v>1</v>
      </c>
      <c r="AX15" s="0" t="n">
        <v>7.48818658647822</v>
      </c>
      <c r="AY15" s="0" t="n">
        <v>7.48818658647822</v>
      </c>
      <c r="AZ15" s="0" t="n">
        <v>7.48818658647822</v>
      </c>
      <c r="BA15" s="0" t="n">
        <v>1</v>
      </c>
      <c r="BB15" s="0" t="n">
        <v>1</v>
      </c>
      <c r="BC15" s="0" t="n">
        <v>1</v>
      </c>
      <c r="BD15" s="0" t="n">
        <v>1</v>
      </c>
      <c r="BE15" s="0" t="n">
        <v>1</v>
      </c>
      <c r="BF15" s="0" t="n">
        <v>1</v>
      </c>
      <c r="BG15" s="0" t="n">
        <v>7.48818658647822</v>
      </c>
      <c r="BH15" s="0" t="n">
        <v>7.48818658647822</v>
      </c>
      <c r="BI15" s="0" t="n">
        <v>7.48818658647822</v>
      </c>
      <c r="BJ15" s="0" t="n">
        <v>7.48818658647822</v>
      </c>
      <c r="BK15" s="0" t="n">
        <v>1</v>
      </c>
    </row>
    <row r="16" customFormat="false" ht="12.8" hidden="false" customHeight="false" outlineLevel="0" collapsed="false">
      <c r="A16" s="0" t="n">
        <f aca="false">A15-1</f>
        <v>2003</v>
      </c>
      <c r="B16" s="0" t="n">
        <v>6.82065556051674</v>
      </c>
      <c r="C16" s="0" t="n">
        <v>6.82065556051674</v>
      </c>
      <c r="D16" s="0" t="n">
        <v>6.82065556051674</v>
      </c>
      <c r="E16" s="0" t="n">
        <v>6.82065556051674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6.82065556051674</v>
      </c>
      <c r="M16" s="0" t="n">
        <v>6.82065556051674</v>
      </c>
      <c r="N16" s="0" t="n">
        <v>6.82065556051674</v>
      </c>
      <c r="O16" s="0" t="n">
        <v>6.82065556051674</v>
      </c>
      <c r="P16" s="0" t="n">
        <v>6.82065556051674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6.82065556051674</v>
      </c>
      <c r="AF16" s="0" t="n">
        <v>6.82065556051674</v>
      </c>
      <c r="AG16" s="0" t="n">
        <v>6.82065556051674</v>
      </c>
      <c r="AH16" s="0" t="n">
        <v>6.82065556051674</v>
      </c>
      <c r="AI16" s="0" t="n">
        <v>6.82065556051674</v>
      </c>
      <c r="AJ16" s="0" t="n">
        <v>6.82065556051674</v>
      </c>
      <c r="AK16" s="0" t="n">
        <v>6.82065556051674</v>
      </c>
      <c r="AL16" s="0" t="n">
        <v>6.82065556051674</v>
      </c>
      <c r="AM16" s="0" t="n">
        <v>6.82065556051674</v>
      </c>
      <c r="AN16" s="0" t="n">
        <v>1</v>
      </c>
      <c r="AO16" s="0" t="n">
        <v>1</v>
      </c>
      <c r="AP16" s="0" t="n">
        <v>1</v>
      </c>
      <c r="AQ16" s="0" t="n">
        <v>1</v>
      </c>
      <c r="AR16" s="0" t="n">
        <v>1</v>
      </c>
      <c r="AS16" s="0" t="n">
        <v>1</v>
      </c>
      <c r="AT16" s="0" t="n">
        <v>1</v>
      </c>
      <c r="AU16" s="0" t="n">
        <v>1</v>
      </c>
      <c r="AV16" s="0" t="n">
        <v>1</v>
      </c>
      <c r="AW16" s="0" t="n">
        <v>1</v>
      </c>
      <c r="AX16" s="0" t="n">
        <v>6.82065556051674</v>
      </c>
      <c r="AY16" s="0" t="n">
        <v>6.82065556051674</v>
      </c>
      <c r="AZ16" s="0" t="n">
        <v>6.82065556051674</v>
      </c>
      <c r="BA16" s="0" t="n">
        <v>1</v>
      </c>
      <c r="BB16" s="0" t="n">
        <v>1</v>
      </c>
      <c r="BC16" s="0" t="n">
        <v>1</v>
      </c>
      <c r="BD16" s="0" t="n">
        <v>1</v>
      </c>
      <c r="BE16" s="0" t="n">
        <v>1</v>
      </c>
      <c r="BF16" s="0" t="n">
        <v>1</v>
      </c>
      <c r="BG16" s="0" t="n">
        <v>6.82065556051674</v>
      </c>
      <c r="BH16" s="0" t="n">
        <v>6.82065556051674</v>
      </c>
      <c r="BI16" s="0" t="n">
        <v>6.82065556051674</v>
      </c>
      <c r="BJ16" s="0" t="n">
        <v>6.82065556051674</v>
      </c>
      <c r="BK16" s="0" t="n">
        <v>1</v>
      </c>
    </row>
    <row r="17" customFormat="false" ht="12.8" hidden="false" customHeight="false" outlineLevel="0" collapsed="false">
      <c r="A17" s="0" t="n">
        <f aca="false">A16-1</f>
        <v>2002</v>
      </c>
      <c r="B17" s="0" t="n">
        <v>7.01678109929649</v>
      </c>
      <c r="C17" s="0" t="n">
        <v>7.01678109929649</v>
      </c>
      <c r="D17" s="0" t="n">
        <v>7.01678109929649</v>
      </c>
      <c r="E17" s="0" t="n">
        <v>7.01678109929649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7.01678109929649</v>
      </c>
      <c r="M17" s="0" t="n">
        <v>7.01678109929649</v>
      </c>
      <c r="N17" s="0" t="n">
        <v>7.01678109929649</v>
      </c>
      <c r="O17" s="0" t="n">
        <v>7.01678109929649</v>
      </c>
      <c r="P17" s="0" t="n">
        <v>7.01678109929649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1</v>
      </c>
      <c r="AE17" s="0" t="n">
        <v>7.01678109929649</v>
      </c>
      <c r="AF17" s="0" t="n">
        <v>7.01678109929649</v>
      </c>
      <c r="AG17" s="0" t="n">
        <v>7.01678109929649</v>
      </c>
      <c r="AH17" s="0" t="n">
        <v>7.01678109929649</v>
      </c>
      <c r="AI17" s="0" t="n">
        <v>7.01678109929649</v>
      </c>
      <c r="AJ17" s="0" t="n">
        <v>7.01678109929649</v>
      </c>
      <c r="AK17" s="0" t="n">
        <v>7.01678109929649</v>
      </c>
      <c r="AL17" s="0" t="n">
        <v>7.01678109929649</v>
      </c>
      <c r="AM17" s="0" t="n">
        <v>7.01678109929649</v>
      </c>
      <c r="AN17" s="0" t="n">
        <v>1</v>
      </c>
      <c r="AO17" s="0" t="n">
        <v>1</v>
      </c>
      <c r="AP17" s="0" t="n">
        <v>1</v>
      </c>
      <c r="AQ17" s="0" t="n">
        <v>1</v>
      </c>
      <c r="AR17" s="0" t="n">
        <v>1</v>
      </c>
      <c r="AS17" s="0" t="n">
        <v>1</v>
      </c>
      <c r="AT17" s="0" t="n">
        <v>1</v>
      </c>
      <c r="AU17" s="0" t="n">
        <v>1</v>
      </c>
      <c r="AV17" s="0" t="n">
        <v>1</v>
      </c>
      <c r="AW17" s="0" t="n">
        <v>1</v>
      </c>
      <c r="AX17" s="0" t="n">
        <v>7.01678109929649</v>
      </c>
      <c r="AY17" s="0" t="n">
        <v>7.01678109929649</v>
      </c>
      <c r="AZ17" s="0" t="n">
        <v>7.01678109929649</v>
      </c>
      <c r="BA17" s="0" t="n">
        <v>1</v>
      </c>
      <c r="BB17" s="0" t="n">
        <v>1</v>
      </c>
      <c r="BC17" s="0" t="n">
        <v>1</v>
      </c>
      <c r="BD17" s="0" t="n">
        <v>1</v>
      </c>
      <c r="BE17" s="0" t="n">
        <v>1</v>
      </c>
      <c r="BF17" s="0" t="n">
        <v>1</v>
      </c>
      <c r="BG17" s="0" t="n">
        <v>7.01678109929649</v>
      </c>
      <c r="BH17" s="0" t="n">
        <v>7.01678109929649</v>
      </c>
      <c r="BI17" s="0" t="n">
        <v>7.01678109929649</v>
      </c>
      <c r="BJ17" s="0" t="n">
        <v>7.01678109929649</v>
      </c>
      <c r="BK17" s="0" t="n">
        <v>1</v>
      </c>
    </row>
    <row r="18" customFormat="false" ht="12.8" hidden="false" customHeight="false" outlineLevel="0" collapsed="false">
      <c r="A18" s="0" t="n">
        <f aca="false">A17-1</f>
        <v>2001</v>
      </c>
      <c r="B18" s="0" t="n">
        <v>7.00113204217314</v>
      </c>
      <c r="C18" s="0" t="n">
        <v>7.00113204217314</v>
      </c>
      <c r="D18" s="0" t="n">
        <v>7.00113204217314</v>
      </c>
      <c r="E18" s="0" t="n">
        <v>7.00113204217314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7.00113204217314</v>
      </c>
      <c r="M18" s="0" t="n">
        <v>7.00113204217314</v>
      </c>
      <c r="N18" s="0" t="n">
        <v>7.00113204217314</v>
      </c>
      <c r="O18" s="0" t="n">
        <v>7.00113204217314</v>
      </c>
      <c r="P18" s="0" t="n">
        <v>7.00113204217314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7.00113204217314</v>
      </c>
      <c r="AF18" s="0" t="n">
        <v>7.00113204217314</v>
      </c>
      <c r="AG18" s="0" t="n">
        <v>7.00113204217314</v>
      </c>
      <c r="AH18" s="0" t="n">
        <v>7.00113204217314</v>
      </c>
      <c r="AI18" s="0" t="n">
        <v>7.00113204217314</v>
      </c>
      <c r="AJ18" s="0" t="n">
        <v>7.00113204217314</v>
      </c>
      <c r="AK18" s="0" t="n">
        <v>7.00113204217314</v>
      </c>
      <c r="AL18" s="0" t="n">
        <v>7.00113204217314</v>
      </c>
      <c r="AM18" s="0" t="n">
        <v>7.00113204217314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1</v>
      </c>
      <c r="AT18" s="0" t="n">
        <v>1</v>
      </c>
      <c r="AU18" s="0" t="n">
        <v>1</v>
      </c>
      <c r="AV18" s="0" t="n">
        <v>1</v>
      </c>
      <c r="AW18" s="0" t="n">
        <v>1</v>
      </c>
      <c r="AX18" s="0" t="n">
        <v>7.00113204217314</v>
      </c>
      <c r="AY18" s="0" t="n">
        <v>7.00113204217314</v>
      </c>
      <c r="AZ18" s="0" t="n">
        <v>7.00113204217314</v>
      </c>
      <c r="BA18" s="0" t="n">
        <v>1</v>
      </c>
      <c r="BB18" s="0" t="n">
        <v>1</v>
      </c>
      <c r="BC18" s="0" t="n">
        <v>1</v>
      </c>
      <c r="BD18" s="0" t="n">
        <v>1</v>
      </c>
      <c r="BE18" s="0" t="n">
        <v>1</v>
      </c>
      <c r="BF18" s="0" t="n">
        <v>1</v>
      </c>
      <c r="BG18" s="0" t="n">
        <v>7.00113204217314</v>
      </c>
      <c r="BH18" s="0" t="n">
        <v>7.00113204217314</v>
      </c>
      <c r="BI18" s="0" t="n">
        <v>7.00113204217314</v>
      </c>
      <c r="BJ18" s="0" t="n">
        <v>7.00113204217314</v>
      </c>
      <c r="BK18" s="0" t="n">
        <v>1</v>
      </c>
    </row>
    <row r="19" customFormat="false" ht="12.8" hidden="false" customHeight="false" outlineLevel="0" collapsed="false">
      <c r="A19" s="0" t="n">
        <f aca="false">A18-1</f>
        <v>2000</v>
      </c>
      <c r="B19" s="0" t="n">
        <v>5.20213865904747</v>
      </c>
      <c r="C19" s="0" t="n">
        <v>5.20213865904747</v>
      </c>
      <c r="D19" s="0" t="n">
        <v>5.20213865904747</v>
      </c>
      <c r="E19" s="0" t="n">
        <v>5.20213865904747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5.20213865904747</v>
      </c>
      <c r="M19" s="0" t="n">
        <v>5.20213865904747</v>
      </c>
      <c r="N19" s="0" t="n">
        <v>5.20213865904747</v>
      </c>
      <c r="O19" s="0" t="n">
        <v>5.20213865904747</v>
      </c>
      <c r="P19" s="0" t="n">
        <v>5.20213865904747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1</v>
      </c>
      <c r="AE19" s="0" t="n">
        <v>5.20213865904747</v>
      </c>
      <c r="AF19" s="0" t="n">
        <v>5.20213865904747</v>
      </c>
      <c r="AG19" s="0" t="n">
        <v>5.20213865904747</v>
      </c>
      <c r="AH19" s="0" t="n">
        <v>5.20213865904747</v>
      </c>
      <c r="AI19" s="0" t="n">
        <v>5.20213865904747</v>
      </c>
      <c r="AJ19" s="0" t="n">
        <v>5.20213865904747</v>
      </c>
      <c r="AK19" s="0" t="n">
        <v>5.20213865904747</v>
      </c>
      <c r="AL19" s="0" t="n">
        <v>5.20213865904747</v>
      </c>
      <c r="AM19" s="0" t="n">
        <v>5.20213865904747</v>
      </c>
      <c r="AN19" s="0" t="n">
        <v>1</v>
      </c>
      <c r="AO19" s="0" t="n">
        <v>1</v>
      </c>
      <c r="AP19" s="0" t="n">
        <v>1</v>
      </c>
      <c r="AQ19" s="0" t="n">
        <v>1</v>
      </c>
      <c r="AR19" s="0" t="n">
        <v>1</v>
      </c>
      <c r="AS19" s="0" t="n">
        <v>1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5.20213865904747</v>
      </c>
      <c r="AY19" s="0" t="n">
        <v>5.20213865904747</v>
      </c>
      <c r="AZ19" s="0" t="n">
        <v>5.20213865904747</v>
      </c>
      <c r="BA19" s="0" t="n">
        <v>1</v>
      </c>
      <c r="BB19" s="0" t="n">
        <v>1</v>
      </c>
      <c r="BC19" s="0" t="n">
        <v>1</v>
      </c>
      <c r="BD19" s="0" t="n">
        <v>1</v>
      </c>
      <c r="BE19" s="0" t="n">
        <v>1</v>
      </c>
      <c r="BF19" s="0" t="n">
        <v>1</v>
      </c>
      <c r="BG19" s="0" t="n">
        <v>5.20213865904747</v>
      </c>
      <c r="BH19" s="0" t="n">
        <v>5.20213865904747</v>
      </c>
      <c r="BI19" s="0" t="n">
        <v>5.20213865904747</v>
      </c>
      <c r="BJ19" s="0" t="n">
        <v>5.20213865904747</v>
      </c>
      <c r="BK19" s="0" t="n">
        <v>1</v>
      </c>
    </row>
    <row r="20" customFormat="false" ht="12.8" hidden="false" customHeight="false" outlineLevel="0" collapsed="false">
      <c r="A20" s="0" t="n">
        <f aca="false">A19-1</f>
        <v>1999</v>
      </c>
      <c r="B20" s="0" t="n">
        <v>5.20213865904747</v>
      </c>
      <c r="C20" s="0" t="n">
        <v>5.20213865904747</v>
      </c>
      <c r="D20" s="0" t="n">
        <v>5.20213865904747</v>
      </c>
      <c r="E20" s="0" t="n">
        <v>5.20213865904747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5.20213865904747</v>
      </c>
      <c r="M20" s="0" t="n">
        <v>5.20213865904747</v>
      </c>
      <c r="N20" s="0" t="n">
        <v>5.20213865904747</v>
      </c>
      <c r="O20" s="0" t="n">
        <v>5.20213865904747</v>
      </c>
      <c r="P20" s="0" t="n">
        <v>5.20213865904747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1</v>
      </c>
      <c r="AE20" s="0" t="n">
        <v>5.20213865904747</v>
      </c>
      <c r="AF20" s="0" t="n">
        <v>5.20213865904747</v>
      </c>
      <c r="AG20" s="0" t="n">
        <v>5.20213865904747</v>
      </c>
      <c r="AH20" s="0" t="n">
        <v>5.20213865904747</v>
      </c>
      <c r="AI20" s="0" t="n">
        <v>5.20213865904747</v>
      </c>
      <c r="AJ20" s="0" t="n">
        <v>5.20213865904747</v>
      </c>
      <c r="AK20" s="0" t="n">
        <v>5.20213865904747</v>
      </c>
      <c r="AL20" s="0" t="n">
        <v>5.20213865904747</v>
      </c>
      <c r="AM20" s="0" t="n">
        <v>5.20213865904747</v>
      </c>
      <c r="AN20" s="0" t="n">
        <v>1</v>
      </c>
      <c r="AO20" s="0" t="n">
        <v>1</v>
      </c>
      <c r="AP20" s="0" t="n">
        <v>1</v>
      </c>
      <c r="AQ20" s="0" t="n">
        <v>1</v>
      </c>
      <c r="AR20" s="0" t="n">
        <v>1</v>
      </c>
      <c r="AS20" s="0" t="n">
        <v>1</v>
      </c>
      <c r="AT20" s="0" t="n">
        <v>1</v>
      </c>
      <c r="AU20" s="0" t="n">
        <v>1</v>
      </c>
      <c r="AV20" s="0" t="n">
        <v>1</v>
      </c>
      <c r="AW20" s="0" t="n">
        <v>1</v>
      </c>
      <c r="AX20" s="0" t="n">
        <v>5.20213865904747</v>
      </c>
      <c r="AY20" s="0" t="n">
        <v>5.20213865904747</v>
      </c>
      <c r="AZ20" s="0" t="n">
        <v>5.20213865904747</v>
      </c>
      <c r="BA20" s="0" t="n">
        <v>1</v>
      </c>
      <c r="BB20" s="0" t="n">
        <v>1</v>
      </c>
      <c r="BC20" s="0" t="n">
        <v>1</v>
      </c>
      <c r="BD20" s="0" t="n">
        <v>1</v>
      </c>
      <c r="BE20" s="0" t="n">
        <v>1</v>
      </c>
      <c r="BF20" s="0" t="n">
        <v>1</v>
      </c>
      <c r="BG20" s="0" t="n">
        <v>5.20213865904747</v>
      </c>
      <c r="BH20" s="0" t="n">
        <v>5.20213865904747</v>
      </c>
      <c r="BI20" s="0" t="n">
        <v>5.20213865904747</v>
      </c>
      <c r="BJ20" s="0" t="n">
        <v>5.20213865904747</v>
      </c>
      <c r="BK20" s="0" t="n">
        <v>1</v>
      </c>
    </row>
    <row r="21" customFormat="false" ht="12.8" hidden="false" customHeight="false" outlineLevel="0" collapsed="false">
      <c r="A21" s="0" t="n">
        <f aca="false">A20-1</f>
        <v>1998</v>
      </c>
      <c r="B21" s="0" t="n">
        <v>4.91595809872895</v>
      </c>
      <c r="C21" s="0" t="n">
        <v>4.91595809872895</v>
      </c>
      <c r="D21" s="0" t="n">
        <v>4.91595809872895</v>
      </c>
      <c r="E21" s="0" t="n">
        <v>4.91595809872895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4.91595809872895</v>
      </c>
      <c r="M21" s="0" t="n">
        <v>4.91595809872895</v>
      </c>
      <c r="N21" s="0" t="n">
        <v>4.91595809872895</v>
      </c>
      <c r="O21" s="0" t="n">
        <v>4.91595809872895</v>
      </c>
      <c r="P21" s="0" t="n">
        <v>4.91595809872895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4.91595809872895</v>
      </c>
      <c r="AF21" s="0" t="n">
        <v>4.91595809872895</v>
      </c>
      <c r="AG21" s="0" t="n">
        <v>4.91595809872895</v>
      </c>
      <c r="AH21" s="0" t="n">
        <v>4.91595809872895</v>
      </c>
      <c r="AI21" s="0" t="n">
        <v>4.91595809872895</v>
      </c>
      <c r="AJ21" s="0" t="n">
        <v>4.91595809872895</v>
      </c>
      <c r="AK21" s="0" t="n">
        <v>4.91595809872895</v>
      </c>
      <c r="AL21" s="0" t="n">
        <v>4.91595809872895</v>
      </c>
      <c r="AM21" s="0" t="n">
        <v>4.91595809872895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4.91595809872895</v>
      </c>
      <c r="AY21" s="0" t="n">
        <v>4.91595809872895</v>
      </c>
      <c r="AZ21" s="0" t="n">
        <v>4.91595809872895</v>
      </c>
      <c r="BA21" s="0" t="n">
        <v>1</v>
      </c>
      <c r="BB21" s="0" t="n">
        <v>1</v>
      </c>
      <c r="BC21" s="0" t="n">
        <v>1</v>
      </c>
      <c r="BD21" s="0" t="n">
        <v>1</v>
      </c>
      <c r="BE21" s="0" t="n">
        <v>1</v>
      </c>
      <c r="BF21" s="0" t="n">
        <v>1</v>
      </c>
      <c r="BG21" s="0" t="n">
        <v>4.91595809872895</v>
      </c>
      <c r="BH21" s="0" t="n">
        <v>4.91595809872895</v>
      </c>
      <c r="BI21" s="0" t="n">
        <v>4.91595809872895</v>
      </c>
      <c r="BJ21" s="0" t="n">
        <v>4.91595809872895</v>
      </c>
      <c r="BK21" s="0" t="n">
        <v>1</v>
      </c>
    </row>
    <row r="22" customFormat="false" ht="12.8" hidden="false" customHeight="false" outlineLevel="0" collapsed="false">
      <c r="A22" s="0" t="n">
        <f aca="false">A21-1</f>
        <v>1997</v>
      </c>
      <c r="B22" s="0" t="n">
        <v>4.98535154354241</v>
      </c>
      <c r="C22" s="0" t="n">
        <v>4.98535154354241</v>
      </c>
      <c r="D22" s="0" t="n">
        <v>4.98535154354241</v>
      </c>
      <c r="E22" s="0" t="n">
        <v>4.98535154354241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4.98535154354241</v>
      </c>
      <c r="M22" s="0" t="n">
        <v>4.98535154354241</v>
      </c>
      <c r="N22" s="0" t="n">
        <v>4.98535154354241</v>
      </c>
      <c r="O22" s="0" t="n">
        <v>4.98535154354241</v>
      </c>
      <c r="P22" s="0" t="n">
        <v>4.98535154354241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1</v>
      </c>
      <c r="AE22" s="0" t="n">
        <v>4.98535154354241</v>
      </c>
      <c r="AF22" s="0" t="n">
        <v>4.98535154354241</v>
      </c>
      <c r="AG22" s="0" t="n">
        <v>4.98535154354241</v>
      </c>
      <c r="AH22" s="0" t="n">
        <v>4.98535154354241</v>
      </c>
      <c r="AI22" s="0" t="n">
        <v>4.98535154354241</v>
      </c>
      <c r="AJ22" s="0" t="n">
        <v>4.98535154354241</v>
      </c>
      <c r="AK22" s="0" t="n">
        <v>4.98535154354241</v>
      </c>
      <c r="AL22" s="0" t="n">
        <v>4.98535154354241</v>
      </c>
      <c r="AM22" s="0" t="n">
        <v>4.98535154354241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1</v>
      </c>
      <c r="AV22" s="0" t="n">
        <v>1</v>
      </c>
      <c r="AW22" s="0" t="n">
        <v>1</v>
      </c>
      <c r="AX22" s="0" t="n">
        <v>4.98535154354241</v>
      </c>
      <c r="AY22" s="0" t="n">
        <v>4.98535154354241</v>
      </c>
      <c r="AZ22" s="0" t="n">
        <v>4.98535154354241</v>
      </c>
      <c r="BA22" s="0" t="n">
        <v>1</v>
      </c>
      <c r="BB22" s="0" t="n">
        <v>1</v>
      </c>
      <c r="BC22" s="0" t="n">
        <v>1</v>
      </c>
      <c r="BD22" s="0" t="n">
        <v>1</v>
      </c>
      <c r="BE22" s="0" t="n">
        <v>1</v>
      </c>
      <c r="BF22" s="0" t="n">
        <v>1</v>
      </c>
      <c r="BG22" s="0" t="n">
        <v>4.98535154354241</v>
      </c>
      <c r="BH22" s="0" t="n">
        <v>4.98535154354241</v>
      </c>
      <c r="BI22" s="0" t="n">
        <v>4.98535154354241</v>
      </c>
      <c r="BJ22" s="0" t="n">
        <v>4.98535154354241</v>
      </c>
      <c r="BK22" s="0" t="n">
        <v>1</v>
      </c>
    </row>
    <row r="23" customFormat="false" ht="12.8" hidden="false" customHeight="false" outlineLevel="0" collapsed="false">
      <c r="A23" s="0" t="n">
        <f aca="false">A22-1</f>
        <v>1996</v>
      </c>
      <c r="B23" s="0" t="n">
        <v>4.42279986541655</v>
      </c>
      <c r="C23" s="0" t="n">
        <v>4.42279986541655</v>
      </c>
      <c r="D23" s="0" t="n">
        <v>4.42279986541655</v>
      </c>
      <c r="E23" s="0" t="n">
        <v>4.42279986541655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4.42279986541655</v>
      </c>
      <c r="M23" s="0" t="n">
        <v>4.42279986541655</v>
      </c>
      <c r="N23" s="0" t="n">
        <v>4.42279986541655</v>
      </c>
      <c r="O23" s="0" t="n">
        <v>4.42279986541655</v>
      </c>
      <c r="P23" s="0" t="n">
        <v>4.42279986541655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1</v>
      </c>
      <c r="AE23" s="0" t="n">
        <v>4.42279986541655</v>
      </c>
      <c r="AF23" s="0" t="n">
        <v>4.42279986541655</v>
      </c>
      <c r="AG23" s="0" t="n">
        <v>4.42279986541655</v>
      </c>
      <c r="AH23" s="0" t="n">
        <v>4.42279986541655</v>
      </c>
      <c r="AI23" s="0" t="n">
        <v>4.42279986541655</v>
      </c>
      <c r="AJ23" s="0" t="n">
        <v>4.42279986541655</v>
      </c>
      <c r="AK23" s="0" t="n">
        <v>4.42279986541655</v>
      </c>
      <c r="AL23" s="0" t="n">
        <v>4.42279986541655</v>
      </c>
      <c r="AM23" s="0" t="n">
        <v>4.42279986541655</v>
      </c>
      <c r="AN23" s="0" t="n">
        <v>1</v>
      </c>
      <c r="AO23" s="0" t="n">
        <v>1</v>
      </c>
      <c r="AP23" s="0" t="n">
        <v>1</v>
      </c>
      <c r="AQ23" s="0" t="n">
        <v>1</v>
      </c>
      <c r="AR23" s="0" t="n">
        <v>1</v>
      </c>
      <c r="AS23" s="0" t="n">
        <v>1</v>
      </c>
      <c r="AT23" s="0" t="n">
        <v>1</v>
      </c>
      <c r="AU23" s="0" t="n">
        <v>1</v>
      </c>
      <c r="AV23" s="0" t="n">
        <v>1</v>
      </c>
      <c r="AW23" s="0" t="n">
        <v>1</v>
      </c>
      <c r="AX23" s="0" t="n">
        <v>4.42279986541655</v>
      </c>
      <c r="AY23" s="0" t="n">
        <v>4.42279986541655</v>
      </c>
      <c r="AZ23" s="0" t="n">
        <v>4.42279986541655</v>
      </c>
      <c r="BA23" s="0" t="n">
        <v>1</v>
      </c>
      <c r="BB23" s="0" t="n">
        <v>1</v>
      </c>
      <c r="BC23" s="0" t="n">
        <v>1</v>
      </c>
      <c r="BD23" s="0" t="n">
        <v>1</v>
      </c>
      <c r="BE23" s="0" t="n">
        <v>1</v>
      </c>
      <c r="BF23" s="0" t="n">
        <v>1</v>
      </c>
      <c r="BG23" s="0" t="n">
        <v>4.42279986541655</v>
      </c>
      <c r="BH23" s="0" t="n">
        <v>4.42279986541655</v>
      </c>
      <c r="BI23" s="0" t="n">
        <v>4.42279986541655</v>
      </c>
      <c r="BJ23" s="0" t="n">
        <v>4.42279986541655</v>
      </c>
      <c r="BK23" s="0" t="n">
        <v>1</v>
      </c>
    </row>
    <row r="24" customFormat="false" ht="12.8" hidden="false" customHeight="false" outlineLevel="0" collapsed="false">
      <c r="A24" s="0" t="n">
        <f aca="false">A23-1</f>
        <v>1995</v>
      </c>
      <c r="B24" s="0" t="n">
        <v>4.17987919144408</v>
      </c>
      <c r="C24" s="0" t="n">
        <v>4.17987919144408</v>
      </c>
      <c r="D24" s="0" t="n">
        <v>4.17987919144408</v>
      </c>
      <c r="E24" s="0" t="n">
        <v>4.17987919144408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4.17987919144408</v>
      </c>
      <c r="M24" s="0" t="n">
        <v>4.17987919144408</v>
      </c>
      <c r="N24" s="0" t="n">
        <v>4.17987919144408</v>
      </c>
      <c r="O24" s="0" t="n">
        <v>4.17987919144408</v>
      </c>
      <c r="P24" s="0" t="n">
        <v>4.17987919144408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4.17987919144408</v>
      </c>
      <c r="AF24" s="0" t="n">
        <v>4.17987919144408</v>
      </c>
      <c r="AG24" s="0" t="n">
        <v>4.17987919144408</v>
      </c>
      <c r="AH24" s="0" t="n">
        <v>4.17987919144408</v>
      </c>
      <c r="AI24" s="0" t="n">
        <v>4.17987919144408</v>
      </c>
      <c r="AJ24" s="0" t="n">
        <v>4.17987919144408</v>
      </c>
      <c r="AK24" s="0" t="n">
        <v>4.17987919144408</v>
      </c>
      <c r="AL24" s="0" t="n">
        <v>4.17987919144408</v>
      </c>
      <c r="AM24" s="0" t="n">
        <v>4.17987919144408</v>
      </c>
      <c r="AN24" s="0" t="n">
        <v>1</v>
      </c>
      <c r="AO24" s="0" t="n">
        <v>1</v>
      </c>
      <c r="AP24" s="0" t="n">
        <v>1</v>
      </c>
      <c r="AQ24" s="0" t="n">
        <v>1</v>
      </c>
      <c r="AR24" s="0" t="n">
        <v>1</v>
      </c>
      <c r="AS24" s="0" t="n">
        <v>1</v>
      </c>
      <c r="AT24" s="0" t="n">
        <v>1</v>
      </c>
      <c r="AU24" s="0" t="n">
        <v>1</v>
      </c>
      <c r="AV24" s="0" t="n">
        <v>1</v>
      </c>
      <c r="AW24" s="0" t="n">
        <v>1</v>
      </c>
      <c r="AX24" s="0" t="n">
        <v>4.17987919144408</v>
      </c>
      <c r="AY24" s="0" t="n">
        <v>4.17987919144408</v>
      </c>
      <c r="AZ24" s="0" t="n">
        <v>4.17987919144408</v>
      </c>
      <c r="BA24" s="0" t="n">
        <v>1</v>
      </c>
      <c r="BB24" s="0" t="n">
        <v>1</v>
      </c>
      <c r="BC24" s="0" t="n">
        <v>1</v>
      </c>
      <c r="BD24" s="0" t="n">
        <v>1</v>
      </c>
      <c r="BE24" s="0" t="n">
        <v>1</v>
      </c>
      <c r="BF24" s="0" t="n">
        <v>1</v>
      </c>
      <c r="BG24" s="0" t="n">
        <v>4.17987919144408</v>
      </c>
      <c r="BH24" s="0" t="n">
        <v>4.17987919144408</v>
      </c>
      <c r="BI24" s="0" t="n">
        <v>4.17987919144408</v>
      </c>
      <c r="BJ24" s="0" t="n">
        <v>4.17987919144408</v>
      </c>
      <c r="BK24" s="0" t="n">
        <v>1</v>
      </c>
    </row>
    <row r="25" customFormat="false" ht="12.8" hidden="false" customHeight="false" outlineLevel="0" collapsed="false">
      <c r="A25" s="0" t="n">
        <f aca="false">A24-1</f>
        <v>1994</v>
      </c>
      <c r="B25" s="0" t="n">
        <v>4.34998910741218</v>
      </c>
      <c r="C25" s="0" t="n">
        <v>4.34998910741218</v>
      </c>
      <c r="D25" s="0" t="n">
        <v>4.34998910741218</v>
      </c>
      <c r="E25" s="0" t="n">
        <v>4.34998910741218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4.34998910741218</v>
      </c>
      <c r="M25" s="0" t="n">
        <v>4.34998910741218</v>
      </c>
      <c r="N25" s="0" t="n">
        <v>4.34998910741218</v>
      </c>
      <c r="O25" s="0" t="n">
        <v>4.34998910741218</v>
      </c>
      <c r="P25" s="0" t="n">
        <v>4.34998910741218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1</v>
      </c>
      <c r="AE25" s="0" t="n">
        <v>4.34998910741218</v>
      </c>
      <c r="AF25" s="0" t="n">
        <v>4.34998910741218</v>
      </c>
      <c r="AG25" s="0" t="n">
        <v>4.34998910741218</v>
      </c>
      <c r="AH25" s="0" t="n">
        <v>4.34998910741218</v>
      </c>
      <c r="AI25" s="0" t="n">
        <v>4.34998910741218</v>
      </c>
      <c r="AJ25" s="0" t="n">
        <v>4.34998910741218</v>
      </c>
      <c r="AK25" s="0" t="n">
        <v>4.34998910741218</v>
      </c>
      <c r="AL25" s="0" t="n">
        <v>4.34998910741218</v>
      </c>
      <c r="AM25" s="0" t="n">
        <v>4.34998910741218</v>
      </c>
      <c r="AN25" s="0" t="n">
        <v>1</v>
      </c>
      <c r="AO25" s="0" t="n">
        <v>1</v>
      </c>
      <c r="AP25" s="0" t="n">
        <v>1</v>
      </c>
      <c r="AQ25" s="0" t="n">
        <v>1</v>
      </c>
      <c r="AR25" s="0" t="n">
        <v>1</v>
      </c>
      <c r="AS25" s="0" t="n">
        <v>1</v>
      </c>
      <c r="AT25" s="0" t="n">
        <v>1</v>
      </c>
      <c r="AU25" s="0" t="n">
        <v>1</v>
      </c>
      <c r="AV25" s="0" t="n">
        <v>1</v>
      </c>
      <c r="AW25" s="0" t="n">
        <v>1</v>
      </c>
      <c r="AX25" s="0" t="n">
        <v>4.34998910741218</v>
      </c>
      <c r="AY25" s="0" t="n">
        <v>4.34998910741218</v>
      </c>
      <c r="AZ25" s="0" t="n">
        <v>4.34998910741218</v>
      </c>
      <c r="BA25" s="0" t="n">
        <v>1</v>
      </c>
      <c r="BB25" s="0" t="n">
        <v>1</v>
      </c>
      <c r="BC25" s="0" t="n">
        <v>1</v>
      </c>
      <c r="BD25" s="0" t="n">
        <v>1</v>
      </c>
      <c r="BE25" s="0" t="n">
        <v>1</v>
      </c>
      <c r="BF25" s="0" t="n">
        <v>1</v>
      </c>
      <c r="BG25" s="0" t="n">
        <v>4.34998910741218</v>
      </c>
      <c r="BH25" s="0" t="n">
        <v>4.34998910741218</v>
      </c>
      <c r="BI25" s="0" t="n">
        <v>4.34998910741218</v>
      </c>
      <c r="BJ25" s="0" t="n">
        <v>4.34998910741218</v>
      </c>
      <c r="BK25" s="0" t="n">
        <v>1</v>
      </c>
    </row>
    <row r="26" customFormat="false" ht="12.8" hidden="false" customHeight="false" outlineLevel="0" collapsed="false">
      <c r="A26" s="0" t="n">
        <f aca="false">A25-1</f>
        <v>1993</v>
      </c>
      <c r="B26" s="0" t="n">
        <v>4.26222463844425</v>
      </c>
      <c r="C26" s="0" t="n">
        <v>4.26222463844425</v>
      </c>
      <c r="D26" s="0" t="n">
        <v>4.26222463844425</v>
      </c>
      <c r="E26" s="0" t="n">
        <v>4.26222463844425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4.26222463844425</v>
      </c>
      <c r="M26" s="0" t="n">
        <v>4.26222463844425</v>
      </c>
      <c r="N26" s="0" t="n">
        <v>4.26222463844425</v>
      </c>
      <c r="O26" s="0" t="n">
        <v>4.26222463844425</v>
      </c>
      <c r="P26" s="0" t="n">
        <v>4.26222463844425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1</v>
      </c>
      <c r="AE26" s="0" t="n">
        <v>4.26222463844425</v>
      </c>
      <c r="AF26" s="0" t="n">
        <v>4.26222463844425</v>
      </c>
      <c r="AG26" s="0" t="n">
        <v>4.26222463844425</v>
      </c>
      <c r="AH26" s="0" t="n">
        <v>4.26222463844425</v>
      </c>
      <c r="AI26" s="0" t="n">
        <v>4.26222463844425</v>
      </c>
      <c r="AJ26" s="0" t="n">
        <v>4.26222463844425</v>
      </c>
      <c r="AK26" s="0" t="n">
        <v>4.26222463844425</v>
      </c>
      <c r="AL26" s="0" t="n">
        <v>4.26222463844425</v>
      </c>
      <c r="AM26" s="0" t="n">
        <v>4.26222463844425</v>
      </c>
      <c r="AN26" s="0" t="n">
        <v>1</v>
      </c>
      <c r="AO26" s="0" t="n">
        <v>1</v>
      </c>
      <c r="AP26" s="0" t="n">
        <v>1</v>
      </c>
      <c r="AQ26" s="0" t="n">
        <v>1</v>
      </c>
      <c r="AR26" s="0" t="n">
        <v>1</v>
      </c>
      <c r="AS26" s="0" t="n">
        <v>1</v>
      </c>
      <c r="AT26" s="0" t="n">
        <v>1</v>
      </c>
      <c r="AU26" s="0" t="n">
        <v>1</v>
      </c>
      <c r="AV26" s="0" t="n">
        <v>1</v>
      </c>
      <c r="AW26" s="0" t="n">
        <v>1</v>
      </c>
      <c r="AX26" s="0" t="n">
        <v>4.26222463844425</v>
      </c>
      <c r="AY26" s="0" t="n">
        <v>4.26222463844425</v>
      </c>
      <c r="AZ26" s="0" t="n">
        <v>4.26222463844425</v>
      </c>
      <c r="BA26" s="0" t="n">
        <v>1</v>
      </c>
      <c r="BB26" s="0" t="n">
        <v>1</v>
      </c>
      <c r="BC26" s="0" t="n">
        <v>1</v>
      </c>
      <c r="BD26" s="0" t="n">
        <v>1</v>
      </c>
      <c r="BE26" s="0" t="n">
        <v>1</v>
      </c>
      <c r="BF26" s="0" t="n">
        <v>1</v>
      </c>
      <c r="BG26" s="0" t="n">
        <v>4.26222463844425</v>
      </c>
      <c r="BH26" s="0" t="n">
        <v>4.26222463844425</v>
      </c>
      <c r="BI26" s="0" t="n">
        <v>4.26222463844425</v>
      </c>
      <c r="BJ26" s="0" t="n">
        <v>4.26222463844425</v>
      </c>
      <c r="BK26" s="0" t="n">
        <v>1</v>
      </c>
    </row>
    <row r="27" customFormat="false" ht="12.8" hidden="false" customHeight="false" outlineLevel="0" collapsed="false">
      <c r="A27" s="0" t="n">
        <f aca="false">A26-1</f>
        <v>1992</v>
      </c>
      <c r="B27" s="0" t="n">
        <v>4.10178452305</v>
      </c>
      <c r="C27" s="0" t="n">
        <v>4.10178452305</v>
      </c>
      <c r="D27" s="0" t="n">
        <v>4.10178452305</v>
      </c>
      <c r="E27" s="0" t="n">
        <v>4.10178452305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4.10178452305</v>
      </c>
      <c r="M27" s="0" t="n">
        <v>4.10178452305</v>
      </c>
      <c r="N27" s="0" t="n">
        <v>4.10178452305</v>
      </c>
      <c r="O27" s="0" t="n">
        <v>4.10178452305</v>
      </c>
      <c r="P27" s="0" t="n">
        <v>4.10178452305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1</v>
      </c>
      <c r="AE27" s="0" t="n">
        <v>4.10178452305</v>
      </c>
      <c r="AF27" s="0" t="n">
        <v>4.10178452305</v>
      </c>
      <c r="AG27" s="0" t="n">
        <v>4.10178452305</v>
      </c>
      <c r="AH27" s="0" t="n">
        <v>4.10178452305</v>
      </c>
      <c r="AI27" s="0" t="n">
        <v>4.10178452305</v>
      </c>
      <c r="AJ27" s="0" t="n">
        <v>4.10178452305</v>
      </c>
      <c r="AK27" s="0" t="n">
        <v>4.10178452305</v>
      </c>
      <c r="AL27" s="0" t="n">
        <v>4.10178452305</v>
      </c>
      <c r="AM27" s="0" t="n">
        <v>4.10178452305</v>
      </c>
      <c r="AN27" s="0" t="n">
        <v>1</v>
      </c>
      <c r="AO27" s="0" t="n">
        <v>1</v>
      </c>
      <c r="AP27" s="0" t="n">
        <v>1</v>
      </c>
      <c r="AQ27" s="0" t="n">
        <v>1</v>
      </c>
      <c r="AR27" s="0" t="n">
        <v>1</v>
      </c>
      <c r="AS27" s="0" t="n">
        <v>1</v>
      </c>
      <c r="AT27" s="0" t="n">
        <v>1</v>
      </c>
      <c r="AU27" s="0" t="n">
        <v>1</v>
      </c>
      <c r="AV27" s="0" t="n">
        <v>1</v>
      </c>
      <c r="AW27" s="0" t="n">
        <v>1</v>
      </c>
      <c r="AX27" s="0" t="n">
        <v>4.10178452305</v>
      </c>
      <c r="AY27" s="0" t="n">
        <v>4.10178452305</v>
      </c>
      <c r="AZ27" s="0" t="n">
        <v>4.10178452305</v>
      </c>
      <c r="BA27" s="0" t="n">
        <v>1</v>
      </c>
      <c r="BB27" s="0" t="n">
        <v>1</v>
      </c>
      <c r="BC27" s="0" t="n">
        <v>1</v>
      </c>
      <c r="BD27" s="0" t="n">
        <v>1</v>
      </c>
      <c r="BE27" s="0" t="n">
        <v>1</v>
      </c>
      <c r="BF27" s="0" t="n">
        <v>1</v>
      </c>
      <c r="BG27" s="0" t="n">
        <v>4.10178452305</v>
      </c>
      <c r="BH27" s="0" t="n">
        <v>4.10178452305</v>
      </c>
      <c r="BI27" s="0" t="n">
        <v>4.10178452305</v>
      </c>
      <c r="BJ27" s="0" t="n">
        <v>4.10178452305</v>
      </c>
      <c r="BK27" s="0" t="n">
        <v>1</v>
      </c>
    </row>
    <row r="28" customFormat="false" ht="12.8" hidden="false" customHeight="false" outlineLevel="0" collapsed="false">
      <c r="A28" s="0" t="n">
        <f aca="false">A27-1</f>
        <v>1991</v>
      </c>
      <c r="B28" s="0" t="n">
        <v>4.28164850252048</v>
      </c>
      <c r="C28" s="0" t="n">
        <v>4.28164850252048</v>
      </c>
      <c r="D28" s="0" t="n">
        <v>4.28164850252048</v>
      </c>
      <c r="E28" s="0" t="n">
        <v>4.28164850252048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4.28164850252048</v>
      </c>
      <c r="M28" s="0" t="n">
        <v>4.28164850252048</v>
      </c>
      <c r="N28" s="0" t="n">
        <v>4.28164850252048</v>
      </c>
      <c r="O28" s="0" t="n">
        <v>4.28164850252048</v>
      </c>
      <c r="P28" s="0" t="n">
        <v>4.28164850252048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1</v>
      </c>
      <c r="AE28" s="0" t="n">
        <v>4.28164850252048</v>
      </c>
      <c r="AF28" s="0" t="n">
        <v>4.28164850252048</v>
      </c>
      <c r="AG28" s="0" t="n">
        <v>4.28164850252048</v>
      </c>
      <c r="AH28" s="0" t="n">
        <v>4.28164850252048</v>
      </c>
      <c r="AI28" s="0" t="n">
        <v>4.28164850252048</v>
      </c>
      <c r="AJ28" s="0" t="n">
        <v>4.28164850252048</v>
      </c>
      <c r="AK28" s="0" t="n">
        <v>4.28164850252048</v>
      </c>
      <c r="AL28" s="0" t="n">
        <v>4.28164850252048</v>
      </c>
      <c r="AM28" s="0" t="n">
        <v>4.28164850252048</v>
      </c>
      <c r="AN28" s="0" t="n">
        <v>1</v>
      </c>
      <c r="AO28" s="0" t="n">
        <v>1</v>
      </c>
      <c r="AP28" s="0" t="n">
        <v>1</v>
      </c>
      <c r="AQ28" s="0" t="n">
        <v>1</v>
      </c>
      <c r="AR28" s="0" t="n">
        <v>1</v>
      </c>
      <c r="AS28" s="0" t="n">
        <v>1</v>
      </c>
      <c r="AT28" s="0" t="n">
        <v>1</v>
      </c>
      <c r="AU28" s="0" t="n">
        <v>1</v>
      </c>
      <c r="AV28" s="0" t="n">
        <v>1</v>
      </c>
      <c r="AW28" s="0" t="n">
        <v>1</v>
      </c>
      <c r="AX28" s="0" t="n">
        <v>4.28164850252048</v>
      </c>
      <c r="AY28" s="0" t="n">
        <v>4.28164850252048</v>
      </c>
      <c r="AZ28" s="0" t="n">
        <v>4.28164850252048</v>
      </c>
      <c r="BA28" s="0" t="n">
        <v>1</v>
      </c>
      <c r="BB28" s="0" t="n">
        <v>1</v>
      </c>
      <c r="BC28" s="0" t="n">
        <v>1</v>
      </c>
      <c r="BD28" s="0" t="n">
        <v>1</v>
      </c>
      <c r="BE28" s="0" t="n">
        <v>1</v>
      </c>
      <c r="BF28" s="0" t="n">
        <v>1</v>
      </c>
      <c r="BG28" s="0" t="n">
        <v>4.28164850252048</v>
      </c>
      <c r="BH28" s="0" t="n">
        <v>4.28164850252048</v>
      </c>
      <c r="BI28" s="0" t="n">
        <v>4.28164850252048</v>
      </c>
      <c r="BJ28" s="0" t="n">
        <v>4.28164850252048</v>
      </c>
      <c r="BK28" s="0" t="n">
        <v>1</v>
      </c>
    </row>
    <row r="29" customFormat="false" ht="12.8" hidden="false" customHeight="false" outlineLevel="0" collapsed="false">
      <c r="A29" s="0" t="n">
        <f aca="false">A28-1</f>
        <v>1990</v>
      </c>
      <c r="B29" s="0" t="n">
        <v>4.26303818482641</v>
      </c>
      <c r="C29" s="0" t="n">
        <v>4.26303818482641</v>
      </c>
      <c r="D29" s="0" t="n">
        <v>4.26303818482641</v>
      </c>
      <c r="E29" s="0" t="n">
        <v>4.26303818482641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4.26303818482641</v>
      </c>
      <c r="M29" s="0" t="n">
        <v>4.26303818482641</v>
      </c>
      <c r="N29" s="0" t="n">
        <v>4.26303818482641</v>
      </c>
      <c r="O29" s="0" t="n">
        <v>4.26303818482641</v>
      </c>
      <c r="P29" s="0" t="n">
        <v>4.26303818482641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1</v>
      </c>
      <c r="AE29" s="0" t="n">
        <v>4.26303818482641</v>
      </c>
      <c r="AF29" s="0" t="n">
        <v>4.26303818482641</v>
      </c>
      <c r="AG29" s="0" t="n">
        <v>4.26303818482641</v>
      </c>
      <c r="AH29" s="0" t="n">
        <v>4.26303818482641</v>
      </c>
      <c r="AI29" s="0" t="n">
        <v>4.26303818482641</v>
      </c>
      <c r="AJ29" s="0" t="n">
        <v>4.26303818482641</v>
      </c>
      <c r="AK29" s="0" t="n">
        <v>4.26303818482641</v>
      </c>
      <c r="AL29" s="0" t="n">
        <v>4.26303818482641</v>
      </c>
      <c r="AM29" s="0" t="n">
        <v>4.26303818482641</v>
      </c>
      <c r="AN29" s="0" t="n">
        <v>1</v>
      </c>
      <c r="AO29" s="0" t="n">
        <v>1</v>
      </c>
      <c r="AP29" s="0" t="n">
        <v>1</v>
      </c>
      <c r="AQ29" s="0" t="n">
        <v>1</v>
      </c>
      <c r="AR29" s="0" t="n">
        <v>1</v>
      </c>
      <c r="AS29" s="0" t="n">
        <v>1</v>
      </c>
      <c r="AT29" s="0" t="n">
        <v>1</v>
      </c>
      <c r="AU29" s="0" t="n">
        <v>1</v>
      </c>
      <c r="AV29" s="0" t="n">
        <v>1</v>
      </c>
      <c r="AW29" s="0" t="n">
        <v>1</v>
      </c>
      <c r="AX29" s="0" t="n">
        <v>4.26303818482641</v>
      </c>
      <c r="AY29" s="0" t="n">
        <v>4.26303818482641</v>
      </c>
      <c r="AZ29" s="0" t="n">
        <v>4.26303818482641</v>
      </c>
      <c r="BA29" s="0" t="n">
        <v>1</v>
      </c>
      <c r="BB29" s="0" t="n">
        <v>1</v>
      </c>
      <c r="BC29" s="0" t="n">
        <v>1</v>
      </c>
      <c r="BD29" s="0" t="n">
        <v>1</v>
      </c>
      <c r="BE29" s="0" t="n">
        <v>1</v>
      </c>
      <c r="BF29" s="0" t="n">
        <v>1</v>
      </c>
      <c r="BG29" s="0" t="n">
        <v>4.26303818482641</v>
      </c>
      <c r="BH29" s="0" t="n">
        <v>4.26303818482641</v>
      </c>
      <c r="BI29" s="0" t="n">
        <v>4.26303818482641</v>
      </c>
      <c r="BJ29" s="0" t="n">
        <v>4.26303818482641</v>
      </c>
      <c r="BK29" s="0" t="n">
        <v>1</v>
      </c>
    </row>
    <row r="30" customFormat="false" ht="12.8" hidden="false" customHeight="false" outlineLevel="0" collapsed="false">
      <c r="A30" s="0" t="n">
        <f aca="false">A29-1</f>
        <v>1989</v>
      </c>
      <c r="B30" s="0" t="n">
        <v>4.19187640329404</v>
      </c>
      <c r="C30" s="0" t="n">
        <v>4.19187640329404</v>
      </c>
      <c r="D30" s="0" t="n">
        <v>4.19187640329404</v>
      </c>
      <c r="E30" s="0" t="n">
        <v>4.19187640329404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4.19187640329404</v>
      </c>
      <c r="M30" s="0" t="n">
        <v>4.19187640329404</v>
      </c>
      <c r="N30" s="0" t="n">
        <v>4.19187640329404</v>
      </c>
      <c r="O30" s="0" t="n">
        <v>4.19187640329404</v>
      </c>
      <c r="P30" s="0" t="n">
        <v>4.19187640329404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1</v>
      </c>
      <c r="AE30" s="0" t="n">
        <v>4.19187640329404</v>
      </c>
      <c r="AF30" s="0" t="n">
        <v>4.19187640329404</v>
      </c>
      <c r="AG30" s="0" t="n">
        <v>4.19187640329404</v>
      </c>
      <c r="AH30" s="0" t="n">
        <v>4.19187640329404</v>
      </c>
      <c r="AI30" s="0" t="n">
        <v>4.19187640329404</v>
      </c>
      <c r="AJ30" s="0" t="n">
        <v>4.19187640329404</v>
      </c>
      <c r="AK30" s="0" t="n">
        <v>4.19187640329404</v>
      </c>
      <c r="AL30" s="0" t="n">
        <v>4.19187640329404</v>
      </c>
      <c r="AM30" s="0" t="n">
        <v>4.19187640329404</v>
      </c>
      <c r="AN30" s="0" t="n">
        <v>1</v>
      </c>
      <c r="AO30" s="0" t="n">
        <v>1</v>
      </c>
      <c r="AP30" s="0" t="n">
        <v>1</v>
      </c>
      <c r="AQ30" s="0" t="n">
        <v>1</v>
      </c>
      <c r="AR30" s="0" t="n">
        <v>1</v>
      </c>
      <c r="AS30" s="0" t="n">
        <v>1</v>
      </c>
      <c r="AT30" s="0" t="n">
        <v>1</v>
      </c>
      <c r="AU30" s="0" t="n">
        <v>1</v>
      </c>
      <c r="AV30" s="0" t="n">
        <v>1</v>
      </c>
      <c r="AW30" s="0" t="n">
        <v>1</v>
      </c>
      <c r="AX30" s="0" t="n">
        <v>4.19187640329404</v>
      </c>
      <c r="AY30" s="0" t="n">
        <v>4.19187640329404</v>
      </c>
      <c r="AZ30" s="0" t="n">
        <v>4.19187640329404</v>
      </c>
      <c r="BA30" s="0" t="n">
        <v>1</v>
      </c>
      <c r="BB30" s="0" t="n">
        <v>1</v>
      </c>
      <c r="BC30" s="0" t="n">
        <v>1</v>
      </c>
      <c r="BD30" s="0" t="n">
        <v>1</v>
      </c>
      <c r="BE30" s="0" t="n">
        <v>1</v>
      </c>
      <c r="BF30" s="0" t="n">
        <v>1</v>
      </c>
      <c r="BG30" s="0" t="n">
        <v>4.19187640329404</v>
      </c>
      <c r="BH30" s="0" t="n">
        <v>4.19187640329404</v>
      </c>
      <c r="BI30" s="0" t="n">
        <v>4.19187640329404</v>
      </c>
      <c r="BJ30" s="0" t="n">
        <v>4.19187640329404</v>
      </c>
      <c r="BK30" s="0" t="n">
        <v>1</v>
      </c>
    </row>
    <row r="31" customFormat="false" ht="12.8" hidden="false" customHeight="false" outlineLevel="0" collapsed="false">
      <c r="A31" s="0" t="n">
        <f aca="false">A30-1</f>
        <v>1988</v>
      </c>
      <c r="B31" s="0" t="n">
        <v>4.50725126234501</v>
      </c>
      <c r="C31" s="0" t="n">
        <v>4.50725126234501</v>
      </c>
      <c r="D31" s="0" t="n">
        <v>4.50725126234501</v>
      </c>
      <c r="E31" s="0" t="n">
        <v>4.50725126234501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4.50725126234501</v>
      </c>
      <c r="M31" s="0" t="n">
        <v>4.50725126234501</v>
      </c>
      <c r="N31" s="0" t="n">
        <v>4.50725126234501</v>
      </c>
      <c r="O31" s="0" t="n">
        <v>4.50725126234501</v>
      </c>
      <c r="P31" s="0" t="n">
        <v>4.50725126234501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1</v>
      </c>
      <c r="AE31" s="0" t="n">
        <v>4.50725126234501</v>
      </c>
      <c r="AF31" s="0" t="n">
        <v>4.50725126234501</v>
      </c>
      <c r="AG31" s="0" t="n">
        <v>4.50725126234501</v>
      </c>
      <c r="AH31" s="0" t="n">
        <v>4.50725126234501</v>
      </c>
      <c r="AI31" s="0" t="n">
        <v>4.50725126234501</v>
      </c>
      <c r="AJ31" s="0" t="n">
        <v>4.50725126234501</v>
      </c>
      <c r="AK31" s="0" t="n">
        <v>4.50725126234501</v>
      </c>
      <c r="AL31" s="0" t="n">
        <v>4.50725126234501</v>
      </c>
      <c r="AM31" s="0" t="n">
        <v>4.50725126234501</v>
      </c>
      <c r="AN31" s="0" t="n">
        <v>1</v>
      </c>
      <c r="AO31" s="0" t="n">
        <v>1</v>
      </c>
      <c r="AP31" s="0" t="n">
        <v>1</v>
      </c>
      <c r="AQ31" s="0" t="n">
        <v>1</v>
      </c>
      <c r="AR31" s="0" t="n">
        <v>1</v>
      </c>
      <c r="AS31" s="0" t="n">
        <v>1</v>
      </c>
      <c r="AT31" s="0" t="n">
        <v>1</v>
      </c>
      <c r="AU31" s="0" t="n">
        <v>1</v>
      </c>
      <c r="AV31" s="0" t="n">
        <v>1</v>
      </c>
      <c r="AW31" s="0" t="n">
        <v>1</v>
      </c>
      <c r="AX31" s="0" t="n">
        <v>4.50725126234501</v>
      </c>
      <c r="AY31" s="0" t="n">
        <v>4.50725126234501</v>
      </c>
      <c r="AZ31" s="0" t="n">
        <v>4.50725126234501</v>
      </c>
      <c r="BA31" s="0" t="n">
        <v>1</v>
      </c>
      <c r="BB31" s="0" t="n">
        <v>1</v>
      </c>
      <c r="BC31" s="0" t="n">
        <v>1</v>
      </c>
      <c r="BD31" s="0" t="n">
        <v>1</v>
      </c>
      <c r="BE31" s="0" t="n">
        <v>1</v>
      </c>
      <c r="BF31" s="0" t="n">
        <v>1</v>
      </c>
      <c r="BG31" s="0" t="n">
        <v>4.50725126234501</v>
      </c>
      <c r="BH31" s="0" t="n">
        <v>4.50725126234501</v>
      </c>
      <c r="BI31" s="0" t="n">
        <v>4.50725126234501</v>
      </c>
      <c r="BJ31" s="0" t="n">
        <v>4.50725126234501</v>
      </c>
      <c r="BK31" s="0" t="n">
        <v>1</v>
      </c>
    </row>
    <row r="32" customFormat="false" ht="12.8" hidden="false" customHeight="false" outlineLevel="0" collapsed="false">
      <c r="A32" s="0" t="n">
        <f aca="false">A31-1</f>
        <v>1987</v>
      </c>
      <c r="B32" s="0" t="n">
        <v>4.30676684203989</v>
      </c>
      <c r="C32" s="0" t="n">
        <v>4.30676684203989</v>
      </c>
      <c r="D32" s="0" t="n">
        <v>4.30676684203989</v>
      </c>
      <c r="E32" s="0" t="n">
        <v>4.30676684203989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4.30676684203989</v>
      </c>
      <c r="M32" s="0" t="n">
        <v>4.30676684203989</v>
      </c>
      <c r="N32" s="0" t="n">
        <v>4.30676684203989</v>
      </c>
      <c r="O32" s="0" t="n">
        <v>4.30676684203989</v>
      </c>
      <c r="P32" s="0" t="n">
        <v>4.30676684203989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1</v>
      </c>
      <c r="AE32" s="0" t="n">
        <v>4.30676684203989</v>
      </c>
      <c r="AF32" s="0" t="n">
        <v>4.30676684203989</v>
      </c>
      <c r="AG32" s="0" t="n">
        <v>4.30676684203989</v>
      </c>
      <c r="AH32" s="0" t="n">
        <v>4.30676684203989</v>
      </c>
      <c r="AI32" s="0" t="n">
        <v>4.30676684203989</v>
      </c>
      <c r="AJ32" s="0" t="n">
        <v>4.30676684203989</v>
      </c>
      <c r="AK32" s="0" t="n">
        <v>4.30676684203989</v>
      </c>
      <c r="AL32" s="0" t="n">
        <v>4.30676684203989</v>
      </c>
      <c r="AM32" s="0" t="n">
        <v>4.30676684203989</v>
      </c>
      <c r="AN32" s="0" t="n">
        <v>1</v>
      </c>
      <c r="AO32" s="0" t="n">
        <v>1</v>
      </c>
      <c r="AP32" s="0" t="n">
        <v>1</v>
      </c>
      <c r="AQ32" s="0" t="n">
        <v>1</v>
      </c>
      <c r="AR32" s="0" t="n">
        <v>1</v>
      </c>
      <c r="AS32" s="0" t="n">
        <v>1</v>
      </c>
      <c r="AT32" s="0" t="n">
        <v>1</v>
      </c>
      <c r="AU32" s="0" t="n">
        <v>1</v>
      </c>
      <c r="AV32" s="0" t="n">
        <v>1</v>
      </c>
      <c r="AW32" s="0" t="n">
        <v>1</v>
      </c>
      <c r="AX32" s="0" t="n">
        <v>4.30676684203989</v>
      </c>
      <c r="AY32" s="0" t="n">
        <v>4.30676684203989</v>
      </c>
      <c r="AZ32" s="0" t="n">
        <v>4.30676684203989</v>
      </c>
      <c r="BA32" s="0" t="n">
        <v>1</v>
      </c>
      <c r="BB32" s="0" t="n">
        <v>1</v>
      </c>
      <c r="BC32" s="0" t="n">
        <v>1</v>
      </c>
      <c r="BD32" s="0" t="n">
        <v>1</v>
      </c>
      <c r="BE32" s="0" t="n">
        <v>1</v>
      </c>
      <c r="BF32" s="0" t="n">
        <v>1</v>
      </c>
      <c r="BG32" s="0" t="n">
        <v>4.30676684203989</v>
      </c>
      <c r="BH32" s="0" t="n">
        <v>4.30676684203989</v>
      </c>
      <c r="BI32" s="0" t="n">
        <v>4.30676684203989</v>
      </c>
      <c r="BJ32" s="0" t="n">
        <v>4.30676684203989</v>
      </c>
      <c r="BK32" s="0" t="n">
        <v>1</v>
      </c>
    </row>
    <row r="33" customFormat="false" ht="12.8" hidden="false" customHeight="false" outlineLevel="0" collapsed="false">
      <c r="A33" s="0" t="n">
        <f aca="false">A32-1</f>
        <v>1986</v>
      </c>
      <c r="B33" s="0" t="n">
        <v>4.29339357514871</v>
      </c>
      <c r="C33" s="0" t="n">
        <v>4.29339357514871</v>
      </c>
      <c r="D33" s="0" t="n">
        <v>4.29339357514871</v>
      </c>
      <c r="E33" s="0" t="n">
        <v>4.29339357514871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4.29339357514871</v>
      </c>
      <c r="M33" s="0" t="n">
        <v>4.29339357514871</v>
      </c>
      <c r="N33" s="0" t="n">
        <v>4.29339357514871</v>
      </c>
      <c r="O33" s="0" t="n">
        <v>4.29339357514871</v>
      </c>
      <c r="P33" s="0" t="n">
        <v>4.29339357514871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1</v>
      </c>
      <c r="AE33" s="0" t="n">
        <v>4.29339357514871</v>
      </c>
      <c r="AF33" s="0" t="n">
        <v>4.29339357514871</v>
      </c>
      <c r="AG33" s="0" t="n">
        <v>4.29339357514871</v>
      </c>
      <c r="AH33" s="0" t="n">
        <v>4.29339357514871</v>
      </c>
      <c r="AI33" s="0" t="n">
        <v>4.29339357514871</v>
      </c>
      <c r="AJ33" s="0" t="n">
        <v>4.29339357514871</v>
      </c>
      <c r="AK33" s="0" t="n">
        <v>4.29339357514871</v>
      </c>
      <c r="AL33" s="0" t="n">
        <v>4.29339357514871</v>
      </c>
      <c r="AM33" s="0" t="n">
        <v>4.29339357514871</v>
      </c>
      <c r="AN33" s="0" t="n">
        <v>1</v>
      </c>
      <c r="AO33" s="0" t="n">
        <v>1</v>
      </c>
      <c r="AP33" s="0" t="n">
        <v>1</v>
      </c>
      <c r="AQ33" s="0" t="n">
        <v>1</v>
      </c>
      <c r="AR33" s="0" t="n">
        <v>1</v>
      </c>
      <c r="AS33" s="0" t="n">
        <v>1</v>
      </c>
      <c r="AT33" s="0" t="n">
        <v>1</v>
      </c>
      <c r="AU33" s="0" t="n">
        <v>1</v>
      </c>
      <c r="AV33" s="0" t="n">
        <v>1</v>
      </c>
      <c r="AW33" s="0" t="n">
        <v>1</v>
      </c>
      <c r="AX33" s="0" t="n">
        <v>4.29339357514871</v>
      </c>
      <c r="AY33" s="0" t="n">
        <v>4.29339357514871</v>
      </c>
      <c r="AZ33" s="0" t="n">
        <v>4.29339357514871</v>
      </c>
      <c r="BA33" s="0" t="n">
        <v>1</v>
      </c>
      <c r="BB33" s="0" t="n">
        <v>1</v>
      </c>
      <c r="BC33" s="0" t="n">
        <v>1</v>
      </c>
      <c r="BD33" s="0" t="n">
        <v>1</v>
      </c>
      <c r="BE33" s="0" t="n">
        <v>1</v>
      </c>
      <c r="BF33" s="0" t="n">
        <v>1</v>
      </c>
      <c r="BG33" s="0" t="n">
        <v>4.29339357514871</v>
      </c>
      <c r="BH33" s="0" t="n">
        <v>4.29339357514871</v>
      </c>
      <c r="BI33" s="0" t="n">
        <v>4.29339357514871</v>
      </c>
      <c r="BJ33" s="0" t="n">
        <v>4.29339357514871</v>
      </c>
      <c r="BK33" s="0" t="n">
        <v>1</v>
      </c>
    </row>
    <row r="34" customFormat="false" ht="12.8" hidden="false" customHeight="false" outlineLevel="0" collapsed="false">
      <c r="A34" s="0" t="n">
        <f aca="false">A33-1</f>
        <v>1985</v>
      </c>
      <c r="B34" s="0" t="n">
        <v>4.05744500363954</v>
      </c>
      <c r="C34" s="0" t="n">
        <v>4.05744500363954</v>
      </c>
      <c r="D34" s="0" t="n">
        <v>4.05744500363954</v>
      </c>
      <c r="E34" s="0" t="n">
        <v>4.05744500363954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4.05744500363954</v>
      </c>
      <c r="M34" s="0" t="n">
        <v>4.05744500363954</v>
      </c>
      <c r="N34" s="0" t="n">
        <v>4.05744500363954</v>
      </c>
      <c r="O34" s="0" t="n">
        <v>4.05744500363954</v>
      </c>
      <c r="P34" s="0" t="n">
        <v>4.05744500363954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1</v>
      </c>
      <c r="AE34" s="0" t="n">
        <v>4.05744500363954</v>
      </c>
      <c r="AF34" s="0" t="n">
        <v>4.05744500363954</v>
      </c>
      <c r="AG34" s="0" t="n">
        <v>4.05744500363954</v>
      </c>
      <c r="AH34" s="0" t="n">
        <v>4.05744500363954</v>
      </c>
      <c r="AI34" s="0" t="n">
        <v>4.05744500363954</v>
      </c>
      <c r="AJ34" s="0" t="n">
        <v>4.05744500363954</v>
      </c>
      <c r="AK34" s="0" t="n">
        <v>4.05744500363954</v>
      </c>
      <c r="AL34" s="0" t="n">
        <v>4.05744500363954</v>
      </c>
      <c r="AM34" s="0" t="n">
        <v>4.05744500363954</v>
      </c>
      <c r="AN34" s="0" t="n">
        <v>1</v>
      </c>
      <c r="AO34" s="0" t="n">
        <v>1</v>
      </c>
      <c r="AP34" s="0" t="n">
        <v>1</v>
      </c>
      <c r="AQ34" s="0" t="n">
        <v>1</v>
      </c>
      <c r="AR34" s="0" t="n">
        <v>1</v>
      </c>
      <c r="AS34" s="0" t="n">
        <v>1</v>
      </c>
      <c r="AT34" s="0" t="n">
        <v>1</v>
      </c>
      <c r="AU34" s="0" t="n">
        <v>1</v>
      </c>
      <c r="AV34" s="0" t="n">
        <v>1</v>
      </c>
      <c r="AW34" s="0" t="n">
        <v>1</v>
      </c>
      <c r="AX34" s="0" t="n">
        <v>4.05744500363954</v>
      </c>
      <c r="AY34" s="0" t="n">
        <v>4.05744500363954</v>
      </c>
      <c r="AZ34" s="0" t="n">
        <v>4.05744500363954</v>
      </c>
      <c r="BA34" s="0" t="n">
        <v>1</v>
      </c>
      <c r="BB34" s="0" t="n">
        <v>1</v>
      </c>
      <c r="BC34" s="0" t="n">
        <v>1</v>
      </c>
      <c r="BD34" s="0" t="n">
        <v>1</v>
      </c>
      <c r="BE34" s="0" t="n">
        <v>1</v>
      </c>
      <c r="BF34" s="0" t="n">
        <v>1</v>
      </c>
      <c r="BG34" s="0" t="n">
        <v>4.05744500363954</v>
      </c>
      <c r="BH34" s="0" t="n">
        <v>4.05744500363954</v>
      </c>
      <c r="BI34" s="0" t="n">
        <v>4.05744500363954</v>
      </c>
      <c r="BJ34" s="0" t="n">
        <v>4.05744500363954</v>
      </c>
      <c r="BK34" s="0" t="n">
        <v>1</v>
      </c>
    </row>
    <row r="35" customFormat="false" ht="12.8" hidden="false" customHeight="false" outlineLevel="0" collapsed="false">
      <c r="A35" s="0" t="n">
        <f aca="false">A34-1</f>
        <v>1984</v>
      </c>
      <c r="B35" s="0" t="n">
        <v>3.5198422690942</v>
      </c>
      <c r="C35" s="0" t="n">
        <v>3.5198422690942</v>
      </c>
      <c r="D35" s="0" t="n">
        <v>3.5198422690942</v>
      </c>
      <c r="E35" s="0" t="n">
        <v>3.5198422690942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3.5198422690942</v>
      </c>
      <c r="M35" s="0" t="n">
        <v>3.5198422690942</v>
      </c>
      <c r="N35" s="0" t="n">
        <v>3.5198422690942</v>
      </c>
      <c r="O35" s="0" t="n">
        <v>3.5198422690942</v>
      </c>
      <c r="P35" s="0" t="n">
        <v>3.5198422690942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1</v>
      </c>
      <c r="AE35" s="0" t="n">
        <v>3.5198422690942</v>
      </c>
      <c r="AF35" s="0" t="n">
        <v>3.5198422690942</v>
      </c>
      <c r="AG35" s="0" t="n">
        <v>3.5198422690942</v>
      </c>
      <c r="AH35" s="0" t="n">
        <v>3.5198422690942</v>
      </c>
      <c r="AI35" s="0" t="n">
        <v>3.5198422690942</v>
      </c>
      <c r="AJ35" s="0" t="n">
        <v>3.5198422690942</v>
      </c>
      <c r="AK35" s="0" t="n">
        <v>3.5198422690942</v>
      </c>
      <c r="AL35" s="0" t="n">
        <v>3.5198422690942</v>
      </c>
      <c r="AM35" s="0" t="n">
        <v>3.5198422690942</v>
      </c>
      <c r="AN35" s="0" t="n">
        <v>1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1</v>
      </c>
      <c r="AV35" s="0" t="n">
        <v>1</v>
      </c>
      <c r="AW35" s="0" t="n">
        <v>1</v>
      </c>
      <c r="AX35" s="0" t="n">
        <v>3.5198422690942</v>
      </c>
      <c r="AY35" s="0" t="n">
        <v>3.5198422690942</v>
      </c>
      <c r="AZ35" s="0" t="n">
        <v>3.5198422690942</v>
      </c>
      <c r="BA35" s="0" t="n">
        <v>1</v>
      </c>
      <c r="BB35" s="0" t="n">
        <v>1</v>
      </c>
      <c r="BC35" s="0" t="n">
        <v>1</v>
      </c>
      <c r="BD35" s="0" t="n">
        <v>1</v>
      </c>
      <c r="BE35" s="0" t="n">
        <v>1</v>
      </c>
      <c r="BF35" s="0" t="n">
        <v>1</v>
      </c>
      <c r="BG35" s="0" t="n">
        <v>3.5198422690942</v>
      </c>
      <c r="BH35" s="0" t="n">
        <v>3.5198422690942</v>
      </c>
      <c r="BI35" s="0" t="n">
        <v>3.5198422690942</v>
      </c>
      <c r="BJ35" s="0" t="n">
        <v>3.5198422690942</v>
      </c>
      <c r="BK35" s="0" t="n">
        <v>1</v>
      </c>
    </row>
    <row r="36" customFormat="false" ht="12.8" hidden="false" customHeight="false" outlineLevel="0" collapsed="false">
      <c r="A36" s="0" t="n">
        <f aca="false">A35-1</f>
        <v>1983</v>
      </c>
      <c r="B36" s="0" t="n">
        <v>3.70636544455381</v>
      </c>
      <c r="C36" s="0" t="n">
        <v>3.70636544455381</v>
      </c>
      <c r="D36" s="0" t="n">
        <v>3.70636544455381</v>
      </c>
      <c r="E36" s="0" t="n">
        <v>3.70636544455381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3.70636544455381</v>
      </c>
      <c r="M36" s="0" t="n">
        <v>3.70636544455381</v>
      </c>
      <c r="N36" s="0" t="n">
        <v>3.70636544455381</v>
      </c>
      <c r="O36" s="0" t="n">
        <v>3.70636544455381</v>
      </c>
      <c r="P36" s="0" t="n">
        <v>3.70636544455381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1</v>
      </c>
      <c r="AE36" s="0" t="n">
        <v>3.70636544455381</v>
      </c>
      <c r="AF36" s="0" t="n">
        <v>3.70636544455381</v>
      </c>
      <c r="AG36" s="0" t="n">
        <v>3.70636544455381</v>
      </c>
      <c r="AH36" s="0" t="n">
        <v>3.70636544455381</v>
      </c>
      <c r="AI36" s="0" t="n">
        <v>3.70636544455381</v>
      </c>
      <c r="AJ36" s="0" t="n">
        <v>3.70636544455381</v>
      </c>
      <c r="AK36" s="0" t="n">
        <v>3.70636544455381</v>
      </c>
      <c r="AL36" s="0" t="n">
        <v>3.70636544455381</v>
      </c>
      <c r="AM36" s="0" t="n">
        <v>3.70636544455381</v>
      </c>
      <c r="AN36" s="0" t="n">
        <v>1</v>
      </c>
      <c r="AO36" s="0" t="n">
        <v>1</v>
      </c>
      <c r="AP36" s="0" t="n">
        <v>1</v>
      </c>
      <c r="AQ36" s="0" t="n">
        <v>1</v>
      </c>
      <c r="AR36" s="0" t="n">
        <v>1</v>
      </c>
      <c r="AS36" s="0" t="n">
        <v>1</v>
      </c>
      <c r="AT36" s="0" t="n">
        <v>1</v>
      </c>
      <c r="AU36" s="0" t="n">
        <v>1</v>
      </c>
      <c r="AV36" s="0" t="n">
        <v>1</v>
      </c>
      <c r="AW36" s="0" t="n">
        <v>1</v>
      </c>
      <c r="AX36" s="0" t="n">
        <v>3.70636544455381</v>
      </c>
      <c r="AY36" s="0" t="n">
        <v>3.70636544455381</v>
      </c>
      <c r="AZ36" s="0" t="n">
        <v>3.70636544455381</v>
      </c>
      <c r="BA36" s="0" t="n">
        <v>1</v>
      </c>
      <c r="BB36" s="0" t="n">
        <v>1</v>
      </c>
      <c r="BC36" s="0" t="n">
        <v>1</v>
      </c>
      <c r="BD36" s="0" t="n">
        <v>1</v>
      </c>
      <c r="BE36" s="0" t="n">
        <v>1</v>
      </c>
      <c r="BF36" s="0" t="n">
        <v>1</v>
      </c>
      <c r="BG36" s="0" t="n">
        <v>3.70636544455381</v>
      </c>
      <c r="BH36" s="0" t="n">
        <v>3.70636544455381</v>
      </c>
      <c r="BI36" s="0" t="n">
        <v>3.70636544455381</v>
      </c>
      <c r="BJ36" s="0" t="n">
        <v>3.70636544455381</v>
      </c>
      <c r="BK36" s="0" t="n">
        <v>1</v>
      </c>
    </row>
    <row r="37" customFormat="false" ht="12.8" hidden="false" customHeight="false" outlineLevel="0" collapsed="false">
      <c r="A37" s="0" t="n">
        <f aca="false">A36-1</f>
        <v>1982</v>
      </c>
      <c r="B37" s="0" t="n">
        <v>4.08825589299153</v>
      </c>
      <c r="C37" s="0" t="n">
        <v>4.08825589299153</v>
      </c>
      <c r="D37" s="0" t="n">
        <v>4.08825589299153</v>
      </c>
      <c r="E37" s="0" t="n">
        <v>4.08825589299153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4.08825589299153</v>
      </c>
      <c r="M37" s="0" t="n">
        <v>4.08825589299153</v>
      </c>
      <c r="N37" s="0" t="n">
        <v>4.08825589299153</v>
      </c>
      <c r="O37" s="0" t="n">
        <v>4.08825589299153</v>
      </c>
      <c r="P37" s="0" t="n">
        <v>4.08825589299153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1</v>
      </c>
      <c r="AE37" s="0" t="n">
        <v>4.08825589299153</v>
      </c>
      <c r="AF37" s="0" t="n">
        <v>4.08825589299153</v>
      </c>
      <c r="AG37" s="0" t="n">
        <v>4.08825589299153</v>
      </c>
      <c r="AH37" s="0" t="n">
        <v>4.08825589299153</v>
      </c>
      <c r="AI37" s="0" t="n">
        <v>4.08825589299153</v>
      </c>
      <c r="AJ37" s="0" t="n">
        <v>4.08825589299153</v>
      </c>
      <c r="AK37" s="0" t="n">
        <v>4.08825589299153</v>
      </c>
      <c r="AL37" s="0" t="n">
        <v>4.08825589299153</v>
      </c>
      <c r="AM37" s="0" t="n">
        <v>4.08825589299153</v>
      </c>
      <c r="AN37" s="0" t="n">
        <v>1</v>
      </c>
      <c r="AO37" s="0" t="n">
        <v>1</v>
      </c>
      <c r="AP37" s="0" t="n">
        <v>1</v>
      </c>
      <c r="AQ37" s="0" t="n">
        <v>1</v>
      </c>
      <c r="AR37" s="0" t="n">
        <v>1</v>
      </c>
      <c r="AS37" s="0" t="n">
        <v>1</v>
      </c>
      <c r="AT37" s="0" t="n">
        <v>1</v>
      </c>
      <c r="AU37" s="0" t="n">
        <v>1</v>
      </c>
      <c r="AV37" s="0" t="n">
        <v>1</v>
      </c>
      <c r="AW37" s="0" t="n">
        <v>1</v>
      </c>
      <c r="AX37" s="0" t="n">
        <v>4.08825589299153</v>
      </c>
      <c r="AY37" s="0" t="n">
        <v>4.08825589299153</v>
      </c>
      <c r="AZ37" s="0" t="n">
        <v>4.08825589299153</v>
      </c>
      <c r="BA37" s="0" t="n">
        <v>1</v>
      </c>
      <c r="BB37" s="0" t="n">
        <v>1</v>
      </c>
      <c r="BC37" s="0" t="n">
        <v>1</v>
      </c>
      <c r="BD37" s="0" t="n">
        <v>1</v>
      </c>
      <c r="BE37" s="0" t="n">
        <v>1</v>
      </c>
      <c r="BF37" s="0" t="n">
        <v>1</v>
      </c>
      <c r="BG37" s="0" t="n">
        <v>4.08825589299153</v>
      </c>
      <c r="BH37" s="0" t="n">
        <v>4.08825589299153</v>
      </c>
      <c r="BI37" s="0" t="n">
        <v>4.08825589299153</v>
      </c>
      <c r="BJ37" s="0" t="n">
        <v>4.08825589299153</v>
      </c>
      <c r="BK37" s="0" t="n">
        <v>1</v>
      </c>
    </row>
    <row r="38" customFormat="false" ht="12.8" hidden="false" customHeight="false" outlineLevel="0" collapsed="false">
      <c r="A38" s="0" t="n">
        <f aca="false">A37-1</f>
        <v>1981</v>
      </c>
      <c r="B38" s="0" t="n">
        <v>4.93946698094205</v>
      </c>
      <c r="C38" s="0" t="n">
        <v>4.93946698094205</v>
      </c>
      <c r="D38" s="0" t="n">
        <v>4.93946698094205</v>
      </c>
      <c r="E38" s="0" t="n">
        <v>4.93946698094205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4.93946698094205</v>
      </c>
      <c r="M38" s="0" t="n">
        <v>4.93946698094205</v>
      </c>
      <c r="N38" s="0" t="n">
        <v>4.93946698094205</v>
      </c>
      <c r="O38" s="0" t="n">
        <v>4.93946698094205</v>
      </c>
      <c r="P38" s="0" t="n">
        <v>4.93946698094205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1</v>
      </c>
      <c r="AD38" s="0" t="n">
        <v>1</v>
      </c>
      <c r="AE38" s="0" t="n">
        <v>4.93946698094205</v>
      </c>
      <c r="AF38" s="0" t="n">
        <v>4.93946698094205</v>
      </c>
      <c r="AG38" s="0" t="n">
        <v>4.93946698094205</v>
      </c>
      <c r="AH38" s="0" t="n">
        <v>4.93946698094205</v>
      </c>
      <c r="AI38" s="0" t="n">
        <v>4.93946698094205</v>
      </c>
      <c r="AJ38" s="0" t="n">
        <v>4.93946698094205</v>
      </c>
      <c r="AK38" s="0" t="n">
        <v>4.93946698094205</v>
      </c>
      <c r="AL38" s="0" t="n">
        <v>4.93946698094205</v>
      </c>
      <c r="AM38" s="0" t="n">
        <v>4.93946698094205</v>
      </c>
      <c r="AN38" s="0" t="n">
        <v>1</v>
      </c>
      <c r="AO38" s="0" t="n">
        <v>1</v>
      </c>
      <c r="AP38" s="0" t="n">
        <v>1</v>
      </c>
      <c r="AQ38" s="0" t="n">
        <v>1</v>
      </c>
      <c r="AR38" s="0" t="n">
        <v>1</v>
      </c>
      <c r="AS38" s="0" t="n">
        <v>1</v>
      </c>
      <c r="AT38" s="0" t="n">
        <v>1</v>
      </c>
      <c r="AU38" s="0" t="n">
        <v>1</v>
      </c>
      <c r="AV38" s="0" t="n">
        <v>1</v>
      </c>
      <c r="AW38" s="0" t="n">
        <v>1</v>
      </c>
      <c r="AX38" s="0" t="n">
        <v>4.93946698094205</v>
      </c>
      <c r="AY38" s="0" t="n">
        <v>4.93946698094205</v>
      </c>
      <c r="AZ38" s="0" t="n">
        <v>4.93946698094205</v>
      </c>
      <c r="BA38" s="0" t="n">
        <v>1</v>
      </c>
      <c r="BB38" s="0" t="n">
        <v>1</v>
      </c>
      <c r="BC38" s="0" t="n">
        <v>1</v>
      </c>
      <c r="BD38" s="0" t="n">
        <v>1</v>
      </c>
      <c r="BE38" s="0" t="n">
        <v>1</v>
      </c>
      <c r="BF38" s="0" t="n">
        <v>1</v>
      </c>
      <c r="BG38" s="0" t="n">
        <v>4.93946698094205</v>
      </c>
      <c r="BH38" s="0" t="n">
        <v>4.93946698094205</v>
      </c>
      <c r="BI38" s="0" t="n">
        <v>4.93946698094205</v>
      </c>
      <c r="BJ38" s="0" t="n">
        <v>4.93946698094205</v>
      </c>
      <c r="BK38" s="0" t="n">
        <v>1</v>
      </c>
    </row>
    <row r="39" customFormat="false" ht="12.8" hidden="false" customHeight="false" outlineLevel="0" collapsed="false">
      <c r="A39" s="0" t="n">
        <f aca="false">A38-1</f>
        <v>1980</v>
      </c>
      <c r="B39" s="0" t="n">
        <v>4.08652638368376</v>
      </c>
      <c r="C39" s="0" t="n">
        <v>4.08652638368376</v>
      </c>
      <c r="D39" s="0" t="n">
        <v>4.08652638368376</v>
      </c>
      <c r="E39" s="0" t="n">
        <v>4.08652638368376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4.08652638368376</v>
      </c>
      <c r="M39" s="0" t="n">
        <v>4.08652638368376</v>
      </c>
      <c r="N39" s="0" t="n">
        <v>4.08652638368376</v>
      </c>
      <c r="O39" s="0" t="n">
        <v>4.08652638368376</v>
      </c>
      <c r="P39" s="0" t="n">
        <v>4.08652638368376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1</v>
      </c>
      <c r="AE39" s="0" t="n">
        <v>4.08652638368376</v>
      </c>
      <c r="AF39" s="0" t="n">
        <v>4.08652638368376</v>
      </c>
      <c r="AG39" s="0" t="n">
        <v>4.08652638368376</v>
      </c>
      <c r="AH39" s="0" t="n">
        <v>4.08652638368376</v>
      </c>
      <c r="AI39" s="0" t="n">
        <v>4.08652638368376</v>
      </c>
      <c r="AJ39" s="0" t="n">
        <v>4.08652638368376</v>
      </c>
      <c r="AK39" s="0" t="n">
        <v>4.08652638368376</v>
      </c>
      <c r="AL39" s="0" t="n">
        <v>4.08652638368376</v>
      </c>
      <c r="AM39" s="0" t="n">
        <v>4.08652638368376</v>
      </c>
      <c r="AN39" s="0" t="n">
        <v>1</v>
      </c>
      <c r="AO39" s="0" t="n">
        <v>1</v>
      </c>
      <c r="AP39" s="0" t="n">
        <v>1</v>
      </c>
      <c r="AQ39" s="0" t="n">
        <v>1</v>
      </c>
      <c r="AR39" s="0" t="n">
        <v>1</v>
      </c>
      <c r="AS39" s="0" t="n">
        <v>1</v>
      </c>
      <c r="AT39" s="0" t="n">
        <v>1</v>
      </c>
      <c r="AU39" s="0" t="n">
        <v>1</v>
      </c>
      <c r="AV39" s="0" t="n">
        <v>1</v>
      </c>
      <c r="AW39" s="0" t="n">
        <v>1</v>
      </c>
      <c r="AX39" s="0" t="n">
        <v>4.08652638368376</v>
      </c>
      <c r="AY39" s="0" t="n">
        <v>4.08652638368376</v>
      </c>
      <c r="AZ39" s="0" t="n">
        <v>4.08652638368376</v>
      </c>
      <c r="BA39" s="0" t="n">
        <v>1</v>
      </c>
      <c r="BB39" s="0" t="n">
        <v>1</v>
      </c>
      <c r="BC39" s="0" t="n">
        <v>1</v>
      </c>
      <c r="BD39" s="0" t="n">
        <v>1</v>
      </c>
      <c r="BE39" s="0" t="n">
        <v>1</v>
      </c>
      <c r="BF39" s="0" t="n">
        <v>1</v>
      </c>
      <c r="BG39" s="0" t="n">
        <v>4.08652638368376</v>
      </c>
      <c r="BH39" s="0" t="n">
        <v>4.08652638368376</v>
      </c>
      <c r="BI39" s="0" t="n">
        <v>4.08652638368376</v>
      </c>
      <c r="BJ39" s="0" t="n">
        <v>4.08652638368376</v>
      </c>
      <c r="BK39" s="0" t="n">
        <v>1</v>
      </c>
    </row>
    <row r="40" customFormat="false" ht="12.8" hidden="false" customHeight="false" outlineLevel="0" collapsed="false">
      <c r="A40" s="0" t="n">
        <f aca="false">A39-1</f>
        <v>1979</v>
      </c>
      <c r="B40" s="0" t="n">
        <v>4.85963472661576</v>
      </c>
      <c r="C40" s="0" t="n">
        <v>4.85963472661576</v>
      </c>
      <c r="D40" s="0" t="n">
        <v>4.85963472661576</v>
      </c>
      <c r="E40" s="0" t="n">
        <v>4.85963472661576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4.85963472661576</v>
      </c>
      <c r="M40" s="0" t="n">
        <v>4.85963472661576</v>
      </c>
      <c r="N40" s="0" t="n">
        <v>4.85963472661576</v>
      </c>
      <c r="O40" s="0" t="n">
        <v>4.85963472661576</v>
      </c>
      <c r="P40" s="0" t="n">
        <v>4.85963472661576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1</v>
      </c>
      <c r="AE40" s="0" t="n">
        <v>4.85963472661576</v>
      </c>
      <c r="AF40" s="0" t="n">
        <v>4.85963472661576</v>
      </c>
      <c r="AG40" s="0" t="n">
        <v>4.85963472661576</v>
      </c>
      <c r="AH40" s="0" t="n">
        <v>4.85963472661576</v>
      </c>
      <c r="AI40" s="0" t="n">
        <v>4.85963472661576</v>
      </c>
      <c r="AJ40" s="0" t="n">
        <v>4.85963472661576</v>
      </c>
      <c r="AK40" s="0" t="n">
        <v>4.85963472661576</v>
      </c>
      <c r="AL40" s="0" t="n">
        <v>4.85963472661576</v>
      </c>
      <c r="AM40" s="0" t="n">
        <v>4.85963472661576</v>
      </c>
      <c r="AN40" s="0" t="n">
        <v>1</v>
      </c>
      <c r="AO40" s="0" t="n">
        <v>1</v>
      </c>
      <c r="AP40" s="0" t="n">
        <v>1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1</v>
      </c>
      <c r="AV40" s="0" t="n">
        <v>1</v>
      </c>
      <c r="AW40" s="0" t="n">
        <v>1</v>
      </c>
      <c r="AX40" s="0" t="n">
        <v>4.85963472661576</v>
      </c>
      <c r="AY40" s="0" t="n">
        <v>4.85963472661576</v>
      </c>
      <c r="AZ40" s="0" t="n">
        <v>4.85963472661576</v>
      </c>
      <c r="BA40" s="0" t="n">
        <v>1</v>
      </c>
      <c r="BB40" s="0" t="n">
        <v>1</v>
      </c>
      <c r="BC40" s="0" t="n">
        <v>1</v>
      </c>
      <c r="BD40" s="0" t="n">
        <v>1</v>
      </c>
      <c r="BE40" s="0" t="n">
        <v>1</v>
      </c>
      <c r="BF40" s="0" t="n">
        <v>1</v>
      </c>
      <c r="BG40" s="0" t="n">
        <v>4.85963472661576</v>
      </c>
      <c r="BH40" s="0" t="n">
        <v>4.85963472661576</v>
      </c>
      <c r="BI40" s="0" t="n">
        <v>4.85963472661576</v>
      </c>
      <c r="BJ40" s="0" t="n">
        <v>4.85963472661576</v>
      </c>
      <c r="BK40" s="0" t="n">
        <v>1</v>
      </c>
    </row>
    <row r="41" customFormat="false" ht="12.8" hidden="false" customHeight="false" outlineLevel="0" collapsed="false">
      <c r="A41" s="0" t="n">
        <f aca="false">A40-1</f>
        <v>1978</v>
      </c>
      <c r="B41" s="0" t="n">
        <v>4.40181151090236</v>
      </c>
      <c r="C41" s="0" t="n">
        <v>4.40181151090236</v>
      </c>
      <c r="D41" s="0" t="n">
        <v>4.40181151090236</v>
      </c>
      <c r="E41" s="0" t="n">
        <v>4.40181151090236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4.40181151090236</v>
      </c>
      <c r="M41" s="0" t="n">
        <v>4.40181151090236</v>
      </c>
      <c r="N41" s="0" t="n">
        <v>4.40181151090236</v>
      </c>
      <c r="O41" s="0" t="n">
        <v>4.40181151090236</v>
      </c>
      <c r="P41" s="0" t="n">
        <v>4.40181151090236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1</v>
      </c>
      <c r="AE41" s="0" t="n">
        <v>4.40181151090236</v>
      </c>
      <c r="AF41" s="0" t="n">
        <v>4.40181151090236</v>
      </c>
      <c r="AG41" s="0" t="n">
        <v>4.40181151090236</v>
      </c>
      <c r="AH41" s="0" t="n">
        <v>4.40181151090236</v>
      </c>
      <c r="AI41" s="0" t="n">
        <v>4.40181151090236</v>
      </c>
      <c r="AJ41" s="0" t="n">
        <v>4.40181151090236</v>
      </c>
      <c r="AK41" s="0" t="n">
        <v>4.40181151090236</v>
      </c>
      <c r="AL41" s="0" t="n">
        <v>4.40181151090236</v>
      </c>
      <c r="AM41" s="0" t="n">
        <v>4.40181151090236</v>
      </c>
      <c r="AN41" s="0" t="n">
        <v>1</v>
      </c>
      <c r="AO41" s="0" t="n">
        <v>1</v>
      </c>
      <c r="AP41" s="0" t="n">
        <v>1</v>
      </c>
      <c r="AQ41" s="0" t="n">
        <v>1</v>
      </c>
      <c r="AR41" s="0" t="n">
        <v>1</v>
      </c>
      <c r="AS41" s="0" t="n">
        <v>1</v>
      </c>
      <c r="AT41" s="0" t="n">
        <v>1</v>
      </c>
      <c r="AU41" s="0" t="n">
        <v>1</v>
      </c>
      <c r="AV41" s="0" t="n">
        <v>1</v>
      </c>
      <c r="AW41" s="0" t="n">
        <v>1</v>
      </c>
      <c r="AX41" s="0" t="n">
        <v>4.40181151090236</v>
      </c>
      <c r="AY41" s="0" t="n">
        <v>4.40181151090236</v>
      </c>
      <c r="AZ41" s="0" t="n">
        <v>4.40181151090236</v>
      </c>
      <c r="BA41" s="0" t="n">
        <v>1</v>
      </c>
      <c r="BB41" s="0" t="n">
        <v>1</v>
      </c>
      <c r="BC41" s="0" t="n">
        <v>1</v>
      </c>
      <c r="BD41" s="0" t="n">
        <v>1</v>
      </c>
      <c r="BE41" s="0" t="n">
        <v>1</v>
      </c>
      <c r="BF41" s="0" t="n">
        <v>1</v>
      </c>
      <c r="BG41" s="0" t="n">
        <v>4.40181151090236</v>
      </c>
      <c r="BH41" s="0" t="n">
        <v>4.40181151090236</v>
      </c>
      <c r="BI41" s="0" t="n">
        <v>4.40181151090236</v>
      </c>
      <c r="BJ41" s="0" t="n">
        <v>4.40181151090236</v>
      </c>
      <c r="BK41" s="0" t="n">
        <v>1</v>
      </c>
    </row>
    <row r="42" customFormat="false" ht="12.8" hidden="false" customHeight="false" outlineLevel="0" collapsed="false">
      <c r="A42" s="0" t="n">
        <f aca="false">A41-1</f>
        <v>1977</v>
      </c>
      <c r="B42" s="0" t="n">
        <v>4.35388681453272</v>
      </c>
      <c r="C42" s="0" t="n">
        <v>4.35388681453272</v>
      </c>
      <c r="D42" s="0" t="n">
        <v>4.35388681453272</v>
      </c>
      <c r="E42" s="0" t="n">
        <v>4.35388681453272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4.35388681453272</v>
      </c>
      <c r="M42" s="0" t="n">
        <v>4.35388681453272</v>
      </c>
      <c r="N42" s="0" t="n">
        <v>4.35388681453272</v>
      </c>
      <c r="O42" s="0" t="n">
        <v>4.35388681453272</v>
      </c>
      <c r="P42" s="0" t="n">
        <v>4.35388681453272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1</v>
      </c>
      <c r="AE42" s="0" t="n">
        <v>4.35388681453272</v>
      </c>
      <c r="AF42" s="0" t="n">
        <v>4.35388681453272</v>
      </c>
      <c r="AG42" s="0" t="n">
        <v>4.35388681453272</v>
      </c>
      <c r="AH42" s="0" t="n">
        <v>4.35388681453272</v>
      </c>
      <c r="AI42" s="0" t="n">
        <v>4.35388681453272</v>
      </c>
      <c r="AJ42" s="0" t="n">
        <v>4.35388681453272</v>
      </c>
      <c r="AK42" s="0" t="n">
        <v>4.35388681453272</v>
      </c>
      <c r="AL42" s="0" t="n">
        <v>4.35388681453272</v>
      </c>
      <c r="AM42" s="0" t="n">
        <v>4.35388681453272</v>
      </c>
      <c r="AN42" s="0" t="n">
        <v>1</v>
      </c>
      <c r="AO42" s="0" t="n">
        <v>1</v>
      </c>
      <c r="AP42" s="0" t="n">
        <v>1</v>
      </c>
      <c r="AQ42" s="0" t="n">
        <v>1</v>
      </c>
      <c r="AR42" s="0" t="n">
        <v>1</v>
      </c>
      <c r="AS42" s="0" t="n">
        <v>1</v>
      </c>
      <c r="AT42" s="0" t="n">
        <v>1</v>
      </c>
      <c r="AU42" s="0" t="n">
        <v>1</v>
      </c>
      <c r="AV42" s="0" t="n">
        <v>1</v>
      </c>
      <c r="AW42" s="0" t="n">
        <v>1</v>
      </c>
      <c r="AX42" s="0" t="n">
        <v>4.35388681453272</v>
      </c>
      <c r="AY42" s="0" t="n">
        <v>4.35388681453272</v>
      </c>
      <c r="AZ42" s="0" t="n">
        <v>4.35388681453272</v>
      </c>
      <c r="BA42" s="0" t="n">
        <v>1</v>
      </c>
      <c r="BB42" s="0" t="n">
        <v>1</v>
      </c>
      <c r="BC42" s="0" t="n">
        <v>1</v>
      </c>
      <c r="BD42" s="0" t="n">
        <v>1</v>
      </c>
      <c r="BE42" s="0" t="n">
        <v>1</v>
      </c>
      <c r="BF42" s="0" t="n">
        <v>1</v>
      </c>
      <c r="BG42" s="0" t="n">
        <v>4.35388681453272</v>
      </c>
      <c r="BH42" s="0" t="n">
        <v>4.35388681453272</v>
      </c>
      <c r="BI42" s="0" t="n">
        <v>4.35388681453272</v>
      </c>
      <c r="BJ42" s="0" t="n">
        <v>4.35388681453272</v>
      </c>
      <c r="BK42" s="0" t="n">
        <v>1</v>
      </c>
    </row>
    <row r="43" customFormat="false" ht="12.8" hidden="false" customHeight="false" outlineLevel="0" collapsed="false">
      <c r="A43" s="0" t="n">
        <f aca="false">A42-1</f>
        <v>1976</v>
      </c>
      <c r="B43" s="0" t="n">
        <v>4.14029096618146</v>
      </c>
      <c r="C43" s="0" t="n">
        <v>4.14029096618146</v>
      </c>
      <c r="D43" s="0" t="n">
        <v>4.14029096618146</v>
      </c>
      <c r="E43" s="0" t="n">
        <v>4.14029096618146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4.14029096618146</v>
      </c>
      <c r="M43" s="0" t="n">
        <v>4.14029096618146</v>
      </c>
      <c r="N43" s="0" t="n">
        <v>4.14029096618146</v>
      </c>
      <c r="O43" s="0" t="n">
        <v>4.14029096618146</v>
      </c>
      <c r="P43" s="0" t="n">
        <v>4.14029096618146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1</v>
      </c>
      <c r="AE43" s="0" t="n">
        <v>4.14029096618146</v>
      </c>
      <c r="AF43" s="0" t="n">
        <v>4.14029096618146</v>
      </c>
      <c r="AG43" s="0" t="n">
        <v>4.14029096618146</v>
      </c>
      <c r="AH43" s="0" t="n">
        <v>4.14029096618146</v>
      </c>
      <c r="AI43" s="0" t="n">
        <v>4.14029096618146</v>
      </c>
      <c r="AJ43" s="0" t="n">
        <v>4.14029096618146</v>
      </c>
      <c r="AK43" s="0" t="n">
        <v>4.14029096618146</v>
      </c>
      <c r="AL43" s="0" t="n">
        <v>4.14029096618146</v>
      </c>
      <c r="AM43" s="0" t="n">
        <v>4.14029096618146</v>
      </c>
      <c r="AN43" s="0" t="n">
        <v>1</v>
      </c>
      <c r="AO43" s="0" t="n">
        <v>1</v>
      </c>
      <c r="AP43" s="0" t="n">
        <v>1</v>
      </c>
      <c r="AQ43" s="0" t="n">
        <v>1</v>
      </c>
      <c r="AR43" s="0" t="n">
        <v>1</v>
      </c>
      <c r="AS43" s="0" t="n">
        <v>1</v>
      </c>
      <c r="AT43" s="0" t="n">
        <v>1</v>
      </c>
      <c r="AU43" s="0" t="n">
        <v>1</v>
      </c>
      <c r="AV43" s="0" t="n">
        <v>1</v>
      </c>
      <c r="AW43" s="0" t="n">
        <v>1</v>
      </c>
      <c r="AX43" s="0" t="n">
        <v>4.14029096618146</v>
      </c>
      <c r="AY43" s="0" t="n">
        <v>4.14029096618146</v>
      </c>
      <c r="AZ43" s="0" t="n">
        <v>4.14029096618146</v>
      </c>
      <c r="BA43" s="0" t="n">
        <v>1</v>
      </c>
      <c r="BB43" s="0" t="n">
        <v>1</v>
      </c>
      <c r="BC43" s="0" t="n">
        <v>1</v>
      </c>
      <c r="BD43" s="0" t="n">
        <v>1</v>
      </c>
      <c r="BE43" s="0" t="n">
        <v>1</v>
      </c>
      <c r="BF43" s="0" t="n">
        <v>1</v>
      </c>
      <c r="BG43" s="0" t="n">
        <v>4.14029096618146</v>
      </c>
      <c r="BH43" s="0" t="n">
        <v>4.14029096618146</v>
      </c>
      <c r="BI43" s="0" t="n">
        <v>4.14029096618146</v>
      </c>
      <c r="BJ43" s="0" t="n">
        <v>4.14029096618146</v>
      </c>
      <c r="BK43" s="0" t="n">
        <v>1</v>
      </c>
    </row>
    <row r="44" customFormat="false" ht="12.8" hidden="false" customHeight="false" outlineLevel="0" collapsed="false">
      <c r="A44" s="0" t="n">
        <f aca="false">A43-1</f>
        <v>1975</v>
      </c>
      <c r="B44" s="0" t="n">
        <v>3.9296151931427</v>
      </c>
      <c r="C44" s="0" t="n">
        <v>3.9296151931427</v>
      </c>
      <c r="D44" s="0" t="n">
        <v>3.9296151931427</v>
      </c>
      <c r="E44" s="0" t="n">
        <v>3.9296151931427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3.9296151931427</v>
      </c>
      <c r="M44" s="0" t="n">
        <v>3.9296151931427</v>
      </c>
      <c r="N44" s="0" t="n">
        <v>3.9296151931427</v>
      </c>
      <c r="O44" s="0" t="n">
        <v>3.9296151931427</v>
      </c>
      <c r="P44" s="0" t="n">
        <v>3.9296151931427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1</v>
      </c>
      <c r="AE44" s="0" t="n">
        <v>3.9296151931427</v>
      </c>
      <c r="AF44" s="0" t="n">
        <v>3.9296151931427</v>
      </c>
      <c r="AG44" s="0" t="n">
        <v>3.9296151931427</v>
      </c>
      <c r="AH44" s="0" t="n">
        <v>3.9296151931427</v>
      </c>
      <c r="AI44" s="0" t="n">
        <v>3.9296151931427</v>
      </c>
      <c r="AJ44" s="0" t="n">
        <v>3.9296151931427</v>
      </c>
      <c r="AK44" s="0" t="n">
        <v>3.9296151931427</v>
      </c>
      <c r="AL44" s="0" t="n">
        <v>3.9296151931427</v>
      </c>
      <c r="AM44" s="0" t="n">
        <v>3.9296151931427</v>
      </c>
      <c r="AN44" s="0" t="n">
        <v>1</v>
      </c>
      <c r="AO44" s="0" t="n">
        <v>1</v>
      </c>
      <c r="AP44" s="0" t="n">
        <v>1</v>
      </c>
      <c r="AQ44" s="0" t="n">
        <v>1</v>
      </c>
      <c r="AR44" s="0" t="n">
        <v>1</v>
      </c>
      <c r="AS44" s="0" t="n">
        <v>1</v>
      </c>
      <c r="AT44" s="0" t="n">
        <v>1</v>
      </c>
      <c r="AU44" s="0" t="n">
        <v>1</v>
      </c>
      <c r="AV44" s="0" t="n">
        <v>1</v>
      </c>
      <c r="AW44" s="0" t="n">
        <v>1</v>
      </c>
      <c r="AX44" s="0" t="n">
        <v>3.9296151931427</v>
      </c>
      <c r="AY44" s="0" t="n">
        <v>3.9296151931427</v>
      </c>
      <c r="AZ44" s="0" t="n">
        <v>3.9296151931427</v>
      </c>
      <c r="BA44" s="0" t="n">
        <v>1</v>
      </c>
      <c r="BB44" s="0" t="n">
        <v>1</v>
      </c>
      <c r="BC44" s="0" t="n">
        <v>1</v>
      </c>
      <c r="BD44" s="0" t="n">
        <v>1</v>
      </c>
      <c r="BE44" s="0" t="n">
        <v>1</v>
      </c>
      <c r="BF44" s="0" t="n">
        <v>1</v>
      </c>
      <c r="BG44" s="0" t="n">
        <v>3.9296151931427</v>
      </c>
      <c r="BH44" s="0" t="n">
        <v>3.9296151931427</v>
      </c>
      <c r="BI44" s="0" t="n">
        <v>3.9296151931427</v>
      </c>
      <c r="BJ44" s="0" t="n">
        <v>3.9296151931427</v>
      </c>
      <c r="BK44" s="0" t="n">
        <v>1</v>
      </c>
    </row>
    <row r="45" customFormat="false" ht="12.8" hidden="false" customHeight="false" outlineLevel="0" collapsed="false">
      <c r="A45" s="0" t="n">
        <f aca="false">A44-1</f>
        <v>1974</v>
      </c>
      <c r="B45" s="0" t="n">
        <v>3.96928764488929</v>
      </c>
      <c r="C45" s="0" t="n">
        <v>3.96928764488929</v>
      </c>
      <c r="D45" s="0" t="n">
        <v>3.96928764488929</v>
      </c>
      <c r="E45" s="0" t="n">
        <v>3.96928764488929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3.96928764488929</v>
      </c>
      <c r="M45" s="0" t="n">
        <v>3.96928764488929</v>
      </c>
      <c r="N45" s="0" t="n">
        <v>3.96928764488929</v>
      </c>
      <c r="O45" s="0" t="n">
        <v>3.96928764488929</v>
      </c>
      <c r="P45" s="0" t="n">
        <v>3.96928764488929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1</v>
      </c>
      <c r="AE45" s="0" t="n">
        <v>3.96928764488929</v>
      </c>
      <c r="AF45" s="0" t="n">
        <v>3.96928764488929</v>
      </c>
      <c r="AG45" s="0" t="n">
        <v>3.96928764488929</v>
      </c>
      <c r="AH45" s="0" t="n">
        <v>3.96928764488929</v>
      </c>
      <c r="AI45" s="0" t="n">
        <v>3.96928764488929</v>
      </c>
      <c r="AJ45" s="0" t="n">
        <v>3.96928764488929</v>
      </c>
      <c r="AK45" s="0" t="n">
        <v>3.96928764488929</v>
      </c>
      <c r="AL45" s="0" t="n">
        <v>3.96928764488929</v>
      </c>
      <c r="AM45" s="0" t="n">
        <v>3.96928764488929</v>
      </c>
      <c r="AN45" s="0" t="n">
        <v>1</v>
      </c>
      <c r="AO45" s="0" t="n">
        <v>1</v>
      </c>
      <c r="AP45" s="0" t="n">
        <v>1</v>
      </c>
      <c r="AQ45" s="0" t="n">
        <v>1</v>
      </c>
      <c r="AR45" s="0" t="n">
        <v>1</v>
      </c>
      <c r="AS45" s="0" t="n">
        <v>1</v>
      </c>
      <c r="AT45" s="0" t="n">
        <v>1</v>
      </c>
      <c r="AU45" s="0" t="n">
        <v>1</v>
      </c>
      <c r="AV45" s="0" t="n">
        <v>1</v>
      </c>
      <c r="AW45" s="0" t="n">
        <v>1</v>
      </c>
      <c r="AX45" s="0" t="n">
        <v>3.96928764488929</v>
      </c>
      <c r="AY45" s="0" t="n">
        <v>3.96928764488929</v>
      </c>
      <c r="AZ45" s="0" t="n">
        <v>3.96928764488929</v>
      </c>
      <c r="BA45" s="0" t="n">
        <v>1</v>
      </c>
      <c r="BB45" s="0" t="n">
        <v>1</v>
      </c>
      <c r="BC45" s="0" t="n">
        <v>1</v>
      </c>
      <c r="BD45" s="0" t="n">
        <v>1</v>
      </c>
      <c r="BE45" s="0" t="n">
        <v>1</v>
      </c>
      <c r="BF45" s="0" t="n">
        <v>1</v>
      </c>
      <c r="BG45" s="0" t="n">
        <v>3.96928764488929</v>
      </c>
      <c r="BH45" s="0" t="n">
        <v>3.96928764488929</v>
      </c>
      <c r="BI45" s="0" t="n">
        <v>3.96928764488929</v>
      </c>
      <c r="BJ45" s="0" t="n">
        <v>3.96928764488929</v>
      </c>
      <c r="BK45" s="0" t="n">
        <v>1</v>
      </c>
    </row>
    <row r="46" customFormat="false" ht="12.8" hidden="false" customHeight="false" outlineLevel="0" collapsed="false">
      <c r="A46" s="0" t="n">
        <f aca="false">A45-1</f>
        <v>1973</v>
      </c>
      <c r="B46" s="0" t="n">
        <v>3.94831774646292</v>
      </c>
      <c r="C46" s="0" t="n">
        <v>3.94831774646292</v>
      </c>
      <c r="D46" s="0" t="n">
        <v>3.94831774646292</v>
      </c>
      <c r="E46" s="0" t="n">
        <v>3.94831774646292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3.94831774646292</v>
      </c>
      <c r="M46" s="0" t="n">
        <v>3.94831774646292</v>
      </c>
      <c r="N46" s="0" t="n">
        <v>3.94831774646292</v>
      </c>
      <c r="O46" s="0" t="n">
        <v>3.94831774646292</v>
      </c>
      <c r="P46" s="0" t="n">
        <v>3.94831774646292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1</v>
      </c>
      <c r="AD46" s="0" t="n">
        <v>1</v>
      </c>
      <c r="AE46" s="0" t="n">
        <v>3.94831774646292</v>
      </c>
      <c r="AF46" s="0" t="n">
        <v>3.94831774646292</v>
      </c>
      <c r="AG46" s="0" t="n">
        <v>3.94831774646292</v>
      </c>
      <c r="AH46" s="0" t="n">
        <v>3.94831774646292</v>
      </c>
      <c r="AI46" s="0" t="n">
        <v>3.94831774646292</v>
      </c>
      <c r="AJ46" s="0" t="n">
        <v>3.94831774646292</v>
      </c>
      <c r="AK46" s="0" t="n">
        <v>3.94831774646292</v>
      </c>
      <c r="AL46" s="0" t="n">
        <v>3.94831774646292</v>
      </c>
      <c r="AM46" s="0" t="n">
        <v>3.94831774646292</v>
      </c>
      <c r="AN46" s="0" t="n">
        <v>1</v>
      </c>
      <c r="AO46" s="0" t="n">
        <v>1</v>
      </c>
      <c r="AP46" s="0" t="n">
        <v>1</v>
      </c>
      <c r="AQ46" s="0" t="n">
        <v>1</v>
      </c>
      <c r="AR46" s="0" t="n">
        <v>1</v>
      </c>
      <c r="AS46" s="0" t="n">
        <v>1</v>
      </c>
      <c r="AT46" s="0" t="n">
        <v>1</v>
      </c>
      <c r="AU46" s="0" t="n">
        <v>1</v>
      </c>
      <c r="AV46" s="0" t="n">
        <v>1</v>
      </c>
      <c r="AW46" s="0" t="n">
        <v>1</v>
      </c>
      <c r="AX46" s="0" t="n">
        <v>3.94831774646292</v>
      </c>
      <c r="AY46" s="0" t="n">
        <v>3.94831774646292</v>
      </c>
      <c r="AZ46" s="0" t="n">
        <v>3.94831774646292</v>
      </c>
      <c r="BA46" s="0" t="n">
        <v>1</v>
      </c>
      <c r="BB46" s="0" t="n">
        <v>1</v>
      </c>
      <c r="BC46" s="0" t="n">
        <v>1</v>
      </c>
      <c r="BD46" s="0" t="n">
        <v>1</v>
      </c>
      <c r="BE46" s="0" t="n">
        <v>1</v>
      </c>
      <c r="BF46" s="0" t="n">
        <v>1</v>
      </c>
      <c r="BG46" s="0" t="n">
        <v>3.94831774646292</v>
      </c>
      <c r="BH46" s="0" t="n">
        <v>3.94831774646292</v>
      </c>
      <c r="BI46" s="0" t="n">
        <v>3.94831774646292</v>
      </c>
      <c r="BJ46" s="0" t="n">
        <v>3.94831774646292</v>
      </c>
      <c r="BK46" s="0" t="n">
        <v>1</v>
      </c>
    </row>
    <row r="47" customFormat="false" ht="12.8" hidden="false" customHeight="false" outlineLevel="0" collapsed="false">
      <c r="A47" s="0" t="n">
        <f aca="false">A46-1</f>
        <v>1972</v>
      </c>
      <c r="B47" s="0" t="n">
        <v>3.98135185608147</v>
      </c>
      <c r="C47" s="0" t="n">
        <v>3.98135185608147</v>
      </c>
      <c r="D47" s="0" t="n">
        <v>3.98135185608147</v>
      </c>
      <c r="E47" s="0" t="n">
        <v>3.98135185608147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3.98135185608147</v>
      </c>
      <c r="M47" s="0" t="n">
        <v>3.98135185608147</v>
      </c>
      <c r="N47" s="0" t="n">
        <v>3.98135185608147</v>
      </c>
      <c r="O47" s="0" t="n">
        <v>3.98135185608147</v>
      </c>
      <c r="P47" s="0" t="n">
        <v>3.98135185608147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1</v>
      </c>
      <c r="AE47" s="0" t="n">
        <v>3.98135185608147</v>
      </c>
      <c r="AF47" s="0" t="n">
        <v>3.98135185608147</v>
      </c>
      <c r="AG47" s="0" t="n">
        <v>3.98135185608147</v>
      </c>
      <c r="AH47" s="0" t="n">
        <v>3.98135185608147</v>
      </c>
      <c r="AI47" s="0" t="n">
        <v>3.98135185608147</v>
      </c>
      <c r="AJ47" s="0" t="n">
        <v>3.98135185608147</v>
      </c>
      <c r="AK47" s="0" t="n">
        <v>3.98135185608147</v>
      </c>
      <c r="AL47" s="0" t="n">
        <v>3.98135185608147</v>
      </c>
      <c r="AM47" s="0" t="n">
        <v>3.98135185608147</v>
      </c>
      <c r="AN47" s="0" t="n">
        <v>1</v>
      </c>
      <c r="AO47" s="0" t="n">
        <v>1</v>
      </c>
      <c r="AP47" s="0" t="n">
        <v>1</v>
      </c>
      <c r="AQ47" s="0" t="n">
        <v>1</v>
      </c>
      <c r="AR47" s="0" t="n">
        <v>1</v>
      </c>
      <c r="AS47" s="0" t="n">
        <v>1</v>
      </c>
      <c r="AT47" s="0" t="n">
        <v>1</v>
      </c>
      <c r="AU47" s="0" t="n">
        <v>1</v>
      </c>
      <c r="AV47" s="0" t="n">
        <v>1</v>
      </c>
      <c r="AW47" s="0" t="n">
        <v>1</v>
      </c>
      <c r="AX47" s="0" t="n">
        <v>3.98135185608147</v>
      </c>
      <c r="AY47" s="0" t="n">
        <v>3.98135185608147</v>
      </c>
      <c r="AZ47" s="0" t="n">
        <v>3.98135185608147</v>
      </c>
      <c r="BA47" s="0" t="n">
        <v>1</v>
      </c>
      <c r="BB47" s="0" t="n">
        <v>1</v>
      </c>
      <c r="BC47" s="0" t="n">
        <v>1</v>
      </c>
      <c r="BD47" s="0" t="n">
        <v>1</v>
      </c>
      <c r="BE47" s="0" t="n">
        <v>1</v>
      </c>
      <c r="BF47" s="0" t="n">
        <v>1</v>
      </c>
      <c r="BG47" s="0" t="n">
        <v>3.98135185608147</v>
      </c>
      <c r="BH47" s="0" t="n">
        <v>3.98135185608147</v>
      </c>
      <c r="BI47" s="0" t="n">
        <v>3.98135185608147</v>
      </c>
      <c r="BJ47" s="0" t="n">
        <v>3.98135185608147</v>
      </c>
      <c r="BK47" s="0" t="n">
        <v>1</v>
      </c>
    </row>
    <row r="48" customFormat="false" ht="12.8" hidden="false" customHeight="false" outlineLevel="0" collapsed="false">
      <c r="A48" s="0" t="n">
        <f aca="false">A47-1</f>
        <v>1971</v>
      </c>
      <c r="B48" s="0" t="n">
        <v>3.87745793372132</v>
      </c>
      <c r="C48" s="0" t="n">
        <v>3.87745793372132</v>
      </c>
      <c r="D48" s="0" t="n">
        <v>3.87745793372132</v>
      </c>
      <c r="E48" s="0" t="n">
        <v>3.87745793372132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3.87745793372132</v>
      </c>
      <c r="M48" s="0" t="n">
        <v>3.87745793372132</v>
      </c>
      <c r="N48" s="0" t="n">
        <v>3.87745793372132</v>
      </c>
      <c r="O48" s="0" t="n">
        <v>3.87745793372132</v>
      </c>
      <c r="P48" s="0" t="n">
        <v>3.87745793372132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1</v>
      </c>
      <c r="AE48" s="0" t="n">
        <v>3.87745793372132</v>
      </c>
      <c r="AF48" s="0" t="n">
        <v>3.87745793372132</v>
      </c>
      <c r="AG48" s="0" t="n">
        <v>3.87745793372132</v>
      </c>
      <c r="AH48" s="0" t="n">
        <v>3.87745793372132</v>
      </c>
      <c r="AI48" s="0" t="n">
        <v>3.87745793372132</v>
      </c>
      <c r="AJ48" s="0" t="n">
        <v>3.87745793372132</v>
      </c>
      <c r="AK48" s="0" t="n">
        <v>3.87745793372132</v>
      </c>
      <c r="AL48" s="0" t="n">
        <v>3.87745793372132</v>
      </c>
      <c r="AM48" s="0" t="n">
        <v>3.87745793372132</v>
      </c>
      <c r="AN48" s="0" t="n">
        <v>1</v>
      </c>
      <c r="AO48" s="0" t="n">
        <v>1</v>
      </c>
      <c r="AP48" s="0" t="n">
        <v>1</v>
      </c>
      <c r="AQ48" s="0" t="n">
        <v>1</v>
      </c>
      <c r="AR48" s="0" t="n">
        <v>1</v>
      </c>
      <c r="AS48" s="0" t="n">
        <v>1</v>
      </c>
      <c r="AT48" s="0" t="n">
        <v>1</v>
      </c>
      <c r="AU48" s="0" t="n">
        <v>1</v>
      </c>
      <c r="AV48" s="0" t="n">
        <v>1</v>
      </c>
      <c r="AW48" s="0" t="n">
        <v>1</v>
      </c>
      <c r="AX48" s="0" t="n">
        <v>3.87745793372132</v>
      </c>
      <c r="AY48" s="0" t="n">
        <v>3.87745793372132</v>
      </c>
      <c r="AZ48" s="0" t="n">
        <v>3.87745793372132</v>
      </c>
      <c r="BA48" s="0" t="n">
        <v>1</v>
      </c>
      <c r="BB48" s="0" t="n">
        <v>1</v>
      </c>
      <c r="BC48" s="0" t="n">
        <v>1</v>
      </c>
      <c r="BD48" s="0" t="n">
        <v>1</v>
      </c>
      <c r="BE48" s="0" t="n">
        <v>1</v>
      </c>
      <c r="BF48" s="0" t="n">
        <v>1</v>
      </c>
      <c r="BG48" s="0" t="n">
        <v>3.87745793372132</v>
      </c>
      <c r="BH48" s="0" t="n">
        <v>3.87745793372132</v>
      </c>
      <c r="BI48" s="0" t="n">
        <v>3.87745793372132</v>
      </c>
      <c r="BJ48" s="0" t="n">
        <v>3.87745793372132</v>
      </c>
      <c r="BK48" s="0" t="n">
        <v>1</v>
      </c>
    </row>
    <row r="49" customFormat="false" ht="12.8" hidden="false" customHeight="false" outlineLevel="0" collapsed="false">
      <c r="A49" s="0" t="n">
        <f aca="false">A48-1</f>
        <v>1970</v>
      </c>
      <c r="B49" s="0" t="n">
        <v>3.6835721023835</v>
      </c>
      <c r="C49" s="0" t="n">
        <v>3.6835721023835</v>
      </c>
      <c r="D49" s="0" t="n">
        <v>3.6835721023835</v>
      </c>
      <c r="E49" s="0" t="n">
        <v>3.6835721023835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3.6835721023835</v>
      </c>
      <c r="M49" s="0" t="n">
        <v>3.6835721023835</v>
      </c>
      <c r="N49" s="0" t="n">
        <v>3.6835721023835</v>
      </c>
      <c r="O49" s="0" t="n">
        <v>3.6835721023835</v>
      </c>
      <c r="P49" s="0" t="n">
        <v>3.6835721023835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1</v>
      </c>
      <c r="AE49" s="0" t="n">
        <v>3.6835721023835</v>
      </c>
      <c r="AF49" s="0" t="n">
        <v>3.6835721023835</v>
      </c>
      <c r="AG49" s="0" t="n">
        <v>3.6835721023835</v>
      </c>
      <c r="AH49" s="0" t="n">
        <v>3.6835721023835</v>
      </c>
      <c r="AI49" s="0" t="n">
        <v>3.6835721023835</v>
      </c>
      <c r="AJ49" s="0" t="n">
        <v>3.6835721023835</v>
      </c>
      <c r="AK49" s="0" t="n">
        <v>3.6835721023835</v>
      </c>
      <c r="AL49" s="0" t="n">
        <v>3.6835721023835</v>
      </c>
      <c r="AM49" s="0" t="n">
        <v>3.6835721023835</v>
      </c>
      <c r="AN49" s="0" t="n">
        <v>1</v>
      </c>
      <c r="AO49" s="0" t="n">
        <v>1</v>
      </c>
      <c r="AP49" s="0" t="n">
        <v>1</v>
      </c>
      <c r="AQ49" s="0" t="n">
        <v>1</v>
      </c>
      <c r="AR49" s="0" t="n">
        <v>1</v>
      </c>
      <c r="AS49" s="0" t="n">
        <v>1</v>
      </c>
      <c r="AT49" s="0" t="n">
        <v>1</v>
      </c>
      <c r="AU49" s="0" t="n">
        <v>1</v>
      </c>
      <c r="AV49" s="0" t="n">
        <v>1</v>
      </c>
      <c r="AW49" s="0" t="n">
        <v>1</v>
      </c>
      <c r="AX49" s="0" t="n">
        <v>3.6835721023835</v>
      </c>
      <c r="AY49" s="0" t="n">
        <v>3.6835721023835</v>
      </c>
      <c r="AZ49" s="0" t="n">
        <v>3.6835721023835</v>
      </c>
      <c r="BA49" s="0" t="n">
        <v>1</v>
      </c>
      <c r="BB49" s="0" t="n">
        <v>1</v>
      </c>
      <c r="BC49" s="0" t="n">
        <v>1</v>
      </c>
      <c r="BD49" s="0" t="n">
        <v>1</v>
      </c>
      <c r="BE49" s="0" t="n">
        <v>1</v>
      </c>
      <c r="BF49" s="0" t="n">
        <v>1</v>
      </c>
      <c r="BG49" s="0" t="n">
        <v>3.6835721023835</v>
      </c>
      <c r="BH49" s="0" t="n">
        <v>3.6835721023835</v>
      </c>
      <c r="BI49" s="0" t="n">
        <v>3.6835721023835</v>
      </c>
      <c r="BJ49" s="0" t="n">
        <v>3.6835721023835</v>
      </c>
      <c r="BK49" s="0" t="n">
        <v>1</v>
      </c>
    </row>
    <row r="50" customFormat="false" ht="12.8" hidden="false" customHeight="false" outlineLevel="0" collapsed="false">
      <c r="A50" s="0" t="n">
        <f aca="false">A49-1</f>
        <v>1969</v>
      </c>
      <c r="B50" s="0" t="n">
        <v>3.96060598318984</v>
      </c>
      <c r="C50" s="0" t="n">
        <v>3.96060598318984</v>
      </c>
      <c r="D50" s="0" t="n">
        <v>3.96060598318984</v>
      </c>
      <c r="E50" s="0" t="n">
        <v>3.96060598318984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3.96060598318984</v>
      </c>
      <c r="M50" s="0" t="n">
        <v>3.96060598318984</v>
      </c>
      <c r="N50" s="0" t="n">
        <v>3.96060598318984</v>
      </c>
      <c r="O50" s="0" t="n">
        <v>3.96060598318984</v>
      </c>
      <c r="P50" s="0" t="n">
        <v>3.96060598318984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1</v>
      </c>
      <c r="AD50" s="0" t="n">
        <v>1</v>
      </c>
      <c r="AE50" s="0" t="n">
        <v>3.96060598318984</v>
      </c>
      <c r="AF50" s="0" t="n">
        <v>3.96060598318984</v>
      </c>
      <c r="AG50" s="0" t="n">
        <v>3.96060598318984</v>
      </c>
      <c r="AH50" s="0" t="n">
        <v>3.96060598318984</v>
      </c>
      <c r="AI50" s="0" t="n">
        <v>3.96060598318984</v>
      </c>
      <c r="AJ50" s="0" t="n">
        <v>3.96060598318984</v>
      </c>
      <c r="AK50" s="0" t="n">
        <v>3.96060598318984</v>
      </c>
      <c r="AL50" s="0" t="n">
        <v>3.96060598318984</v>
      </c>
      <c r="AM50" s="0" t="n">
        <v>3.96060598318984</v>
      </c>
      <c r="AN50" s="0" t="n">
        <v>1</v>
      </c>
      <c r="AO50" s="0" t="n">
        <v>1</v>
      </c>
      <c r="AP50" s="0" t="n">
        <v>1</v>
      </c>
      <c r="AQ50" s="0" t="n">
        <v>1</v>
      </c>
      <c r="AR50" s="0" t="n">
        <v>1</v>
      </c>
      <c r="AS50" s="0" t="n">
        <v>1</v>
      </c>
      <c r="AT50" s="0" t="n">
        <v>1</v>
      </c>
      <c r="AU50" s="0" t="n">
        <v>1</v>
      </c>
      <c r="AV50" s="0" t="n">
        <v>1</v>
      </c>
      <c r="AW50" s="0" t="n">
        <v>1</v>
      </c>
      <c r="AX50" s="0" t="n">
        <v>3.96060598318984</v>
      </c>
      <c r="AY50" s="0" t="n">
        <v>3.96060598318984</v>
      </c>
      <c r="AZ50" s="0" t="n">
        <v>3.96060598318984</v>
      </c>
      <c r="BA50" s="0" t="n">
        <v>1</v>
      </c>
      <c r="BB50" s="0" t="n">
        <v>1</v>
      </c>
      <c r="BC50" s="0" t="n">
        <v>1</v>
      </c>
      <c r="BD50" s="0" t="n">
        <v>1</v>
      </c>
      <c r="BE50" s="0" t="n">
        <v>1</v>
      </c>
      <c r="BF50" s="0" t="n">
        <v>1</v>
      </c>
      <c r="BG50" s="0" t="n">
        <v>3.96060598318984</v>
      </c>
      <c r="BH50" s="0" t="n">
        <v>3.96060598318984</v>
      </c>
      <c r="BI50" s="0" t="n">
        <v>3.96060598318984</v>
      </c>
      <c r="BJ50" s="0" t="n">
        <v>3.96060598318984</v>
      </c>
      <c r="BK50" s="0" t="n">
        <v>1</v>
      </c>
    </row>
    <row r="51" customFormat="false" ht="12.8" hidden="false" customHeight="false" outlineLevel="0" collapsed="false">
      <c r="A51" s="0" t="n">
        <f aca="false">A50-1</f>
        <v>1968</v>
      </c>
      <c r="B51" s="0" t="n">
        <v>3.92560032125574</v>
      </c>
      <c r="C51" s="0" t="n">
        <v>3.92560032125574</v>
      </c>
      <c r="D51" s="0" t="n">
        <v>3.92560032125574</v>
      </c>
      <c r="E51" s="0" t="n">
        <v>3.92560032125574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3.92560032125574</v>
      </c>
      <c r="M51" s="0" t="n">
        <v>3.92560032125574</v>
      </c>
      <c r="N51" s="0" t="n">
        <v>3.92560032125574</v>
      </c>
      <c r="O51" s="0" t="n">
        <v>3.92560032125574</v>
      </c>
      <c r="P51" s="0" t="n">
        <v>3.92560032125574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1</v>
      </c>
      <c r="AD51" s="0" t="n">
        <v>1</v>
      </c>
      <c r="AE51" s="0" t="n">
        <v>3.92560032125574</v>
      </c>
      <c r="AF51" s="0" t="n">
        <v>3.92560032125574</v>
      </c>
      <c r="AG51" s="0" t="n">
        <v>3.92560032125574</v>
      </c>
      <c r="AH51" s="0" t="n">
        <v>3.92560032125574</v>
      </c>
      <c r="AI51" s="0" t="n">
        <v>3.92560032125574</v>
      </c>
      <c r="AJ51" s="0" t="n">
        <v>3.92560032125574</v>
      </c>
      <c r="AK51" s="0" t="n">
        <v>3.92560032125574</v>
      </c>
      <c r="AL51" s="0" t="n">
        <v>3.92560032125574</v>
      </c>
      <c r="AM51" s="0" t="n">
        <v>3.92560032125574</v>
      </c>
      <c r="AN51" s="0" t="n">
        <v>1</v>
      </c>
      <c r="AO51" s="0" t="n">
        <v>1</v>
      </c>
      <c r="AP51" s="0" t="n">
        <v>1</v>
      </c>
      <c r="AQ51" s="0" t="n">
        <v>1</v>
      </c>
      <c r="AR51" s="0" t="n">
        <v>1</v>
      </c>
      <c r="AS51" s="0" t="n">
        <v>1</v>
      </c>
      <c r="AT51" s="0" t="n">
        <v>1</v>
      </c>
      <c r="AU51" s="0" t="n">
        <v>1</v>
      </c>
      <c r="AV51" s="0" t="n">
        <v>1</v>
      </c>
      <c r="AW51" s="0" t="n">
        <v>1</v>
      </c>
      <c r="AX51" s="0" t="n">
        <v>3.92560032125574</v>
      </c>
      <c r="AY51" s="0" t="n">
        <v>3.92560032125574</v>
      </c>
      <c r="AZ51" s="0" t="n">
        <v>3.92560032125574</v>
      </c>
      <c r="BA51" s="0" t="n">
        <v>1</v>
      </c>
      <c r="BB51" s="0" t="n">
        <v>1</v>
      </c>
      <c r="BC51" s="0" t="n">
        <v>1</v>
      </c>
      <c r="BD51" s="0" t="n">
        <v>1</v>
      </c>
      <c r="BE51" s="0" t="n">
        <v>1</v>
      </c>
      <c r="BF51" s="0" t="n">
        <v>1</v>
      </c>
      <c r="BG51" s="0" t="n">
        <v>3.92560032125574</v>
      </c>
      <c r="BH51" s="0" t="n">
        <v>3.92560032125574</v>
      </c>
      <c r="BI51" s="0" t="n">
        <v>3.92560032125574</v>
      </c>
      <c r="BJ51" s="0" t="n">
        <v>3.92560032125574</v>
      </c>
      <c r="BK51" s="0" t="n">
        <v>1</v>
      </c>
    </row>
    <row r="52" customFormat="false" ht="12.8" hidden="false" customHeight="false" outlineLevel="0" collapsed="false">
      <c r="A52" s="0" t="n">
        <f aca="false">A51-1</f>
        <v>1967</v>
      </c>
      <c r="B52" s="0" t="n">
        <v>4.7409623764807</v>
      </c>
      <c r="C52" s="0" t="n">
        <v>4.7409623764807</v>
      </c>
      <c r="D52" s="0" t="n">
        <v>4.7409623764807</v>
      </c>
      <c r="E52" s="0" t="n">
        <v>4.7409623764807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4.7409623764807</v>
      </c>
      <c r="M52" s="0" t="n">
        <v>4.7409623764807</v>
      </c>
      <c r="N52" s="0" t="n">
        <v>4.7409623764807</v>
      </c>
      <c r="O52" s="0" t="n">
        <v>4.7409623764807</v>
      </c>
      <c r="P52" s="0" t="n">
        <v>4.7409623764807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1</v>
      </c>
      <c r="AD52" s="0" t="n">
        <v>1</v>
      </c>
      <c r="AE52" s="0" t="n">
        <v>4.7409623764807</v>
      </c>
      <c r="AF52" s="0" t="n">
        <v>4.7409623764807</v>
      </c>
      <c r="AG52" s="0" t="n">
        <v>4.7409623764807</v>
      </c>
      <c r="AH52" s="0" t="n">
        <v>4.7409623764807</v>
      </c>
      <c r="AI52" s="0" t="n">
        <v>4.7409623764807</v>
      </c>
      <c r="AJ52" s="0" t="n">
        <v>4.7409623764807</v>
      </c>
      <c r="AK52" s="0" t="n">
        <v>4.7409623764807</v>
      </c>
      <c r="AL52" s="0" t="n">
        <v>4.7409623764807</v>
      </c>
      <c r="AM52" s="0" t="n">
        <v>4.7409623764807</v>
      </c>
      <c r="AN52" s="0" t="n">
        <v>1</v>
      </c>
      <c r="AO52" s="0" t="n">
        <v>1</v>
      </c>
      <c r="AP52" s="0" t="n">
        <v>1</v>
      </c>
      <c r="AQ52" s="0" t="n">
        <v>1</v>
      </c>
      <c r="AR52" s="0" t="n">
        <v>1</v>
      </c>
      <c r="AS52" s="0" t="n">
        <v>1</v>
      </c>
      <c r="AT52" s="0" t="n">
        <v>1</v>
      </c>
      <c r="AU52" s="0" t="n">
        <v>1</v>
      </c>
      <c r="AV52" s="0" t="n">
        <v>1</v>
      </c>
      <c r="AW52" s="0" t="n">
        <v>1</v>
      </c>
      <c r="AX52" s="0" t="n">
        <v>4.7409623764807</v>
      </c>
      <c r="AY52" s="0" t="n">
        <v>4.7409623764807</v>
      </c>
      <c r="AZ52" s="0" t="n">
        <v>4.7409623764807</v>
      </c>
      <c r="BA52" s="0" t="n">
        <v>1</v>
      </c>
      <c r="BB52" s="0" t="n">
        <v>1</v>
      </c>
      <c r="BC52" s="0" t="n">
        <v>1</v>
      </c>
      <c r="BD52" s="0" t="n">
        <v>1</v>
      </c>
      <c r="BE52" s="0" t="n">
        <v>1</v>
      </c>
      <c r="BF52" s="0" t="n">
        <v>1</v>
      </c>
      <c r="BG52" s="0" t="n">
        <v>4.7409623764807</v>
      </c>
      <c r="BH52" s="0" t="n">
        <v>4.7409623764807</v>
      </c>
      <c r="BI52" s="0" t="n">
        <v>4.7409623764807</v>
      </c>
      <c r="BJ52" s="0" t="n">
        <v>4.7409623764807</v>
      </c>
      <c r="BK52" s="0" t="n">
        <v>1</v>
      </c>
    </row>
    <row r="53" customFormat="false" ht="12.8" hidden="false" customHeight="false" outlineLevel="0" collapsed="false">
      <c r="A53" s="0" t="n">
        <f aca="false">A52-1</f>
        <v>1966</v>
      </c>
      <c r="B53" s="0" t="n">
        <v>4.659670781893</v>
      </c>
      <c r="C53" s="0" t="n">
        <v>4.659670781893</v>
      </c>
      <c r="D53" s="0" t="n">
        <v>4.659670781893</v>
      </c>
      <c r="E53" s="0" t="n">
        <v>4.659670781893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4.659670781893</v>
      </c>
      <c r="M53" s="0" t="n">
        <v>4.659670781893</v>
      </c>
      <c r="N53" s="0" t="n">
        <v>4.659670781893</v>
      </c>
      <c r="O53" s="0" t="n">
        <v>4.659670781893</v>
      </c>
      <c r="P53" s="0" t="n">
        <v>4.659670781893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1</v>
      </c>
      <c r="AE53" s="0" t="n">
        <v>4.659670781893</v>
      </c>
      <c r="AF53" s="0" t="n">
        <v>4.659670781893</v>
      </c>
      <c r="AG53" s="0" t="n">
        <v>4.659670781893</v>
      </c>
      <c r="AH53" s="0" t="n">
        <v>4.659670781893</v>
      </c>
      <c r="AI53" s="0" t="n">
        <v>4.659670781893</v>
      </c>
      <c r="AJ53" s="0" t="n">
        <v>4.659670781893</v>
      </c>
      <c r="AK53" s="0" t="n">
        <v>4.659670781893</v>
      </c>
      <c r="AL53" s="0" t="n">
        <v>4.659670781893</v>
      </c>
      <c r="AM53" s="0" t="n">
        <v>4.659670781893</v>
      </c>
      <c r="AN53" s="0" t="n">
        <v>1</v>
      </c>
      <c r="AO53" s="0" t="n">
        <v>1</v>
      </c>
      <c r="AP53" s="0" t="n">
        <v>1</v>
      </c>
      <c r="AQ53" s="0" t="n">
        <v>1</v>
      </c>
      <c r="AR53" s="0" t="n">
        <v>1</v>
      </c>
      <c r="AS53" s="0" t="n">
        <v>1</v>
      </c>
      <c r="AT53" s="0" t="n">
        <v>1</v>
      </c>
      <c r="AU53" s="0" t="n">
        <v>1</v>
      </c>
      <c r="AV53" s="0" t="n">
        <v>1</v>
      </c>
      <c r="AW53" s="0" t="n">
        <v>1</v>
      </c>
      <c r="AX53" s="0" t="n">
        <v>4.659670781893</v>
      </c>
      <c r="AY53" s="0" t="n">
        <v>4.659670781893</v>
      </c>
      <c r="AZ53" s="0" t="n">
        <v>4.659670781893</v>
      </c>
      <c r="BA53" s="0" t="n">
        <v>1</v>
      </c>
      <c r="BB53" s="0" t="n">
        <v>1</v>
      </c>
      <c r="BC53" s="0" t="n">
        <v>1</v>
      </c>
      <c r="BD53" s="0" t="n">
        <v>1</v>
      </c>
      <c r="BE53" s="0" t="n">
        <v>1</v>
      </c>
      <c r="BF53" s="0" t="n">
        <v>1</v>
      </c>
      <c r="BG53" s="0" t="n">
        <v>4.659670781893</v>
      </c>
      <c r="BH53" s="0" t="n">
        <v>4.659670781893</v>
      </c>
      <c r="BI53" s="0" t="n">
        <v>4.659670781893</v>
      </c>
      <c r="BJ53" s="0" t="n">
        <v>4.659670781893</v>
      </c>
      <c r="BK53" s="0" t="n">
        <v>1</v>
      </c>
    </row>
    <row r="54" customFormat="false" ht="12.8" hidden="false" customHeight="false" outlineLevel="0" collapsed="false">
      <c r="A54" s="0" t="n">
        <f aca="false">A53-1</f>
        <v>1965</v>
      </c>
      <c r="B54" s="0" t="n">
        <v>6.17641010682904</v>
      </c>
      <c r="C54" s="0" t="n">
        <v>6.17641010682904</v>
      </c>
      <c r="D54" s="0" t="n">
        <v>6.17641010682904</v>
      </c>
      <c r="E54" s="0" t="n">
        <v>6.17641010682904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6.17641010682904</v>
      </c>
      <c r="M54" s="0" t="n">
        <v>6.17641010682904</v>
      </c>
      <c r="N54" s="0" t="n">
        <v>6.17641010682904</v>
      </c>
      <c r="O54" s="0" t="n">
        <v>6.17641010682904</v>
      </c>
      <c r="P54" s="0" t="n">
        <v>6.17641010682904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1</v>
      </c>
      <c r="AE54" s="0" t="n">
        <v>6.17641010682904</v>
      </c>
      <c r="AF54" s="0" t="n">
        <v>6.17641010682904</v>
      </c>
      <c r="AG54" s="0" t="n">
        <v>6.17641010682904</v>
      </c>
      <c r="AH54" s="0" t="n">
        <v>6.17641010682904</v>
      </c>
      <c r="AI54" s="0" t="n">
        <v>6.17641010682904</v>
      </c>
      <c r="AJ54" s="0" t="n">
        <v>6.17641010682904</v>
      </c>
      <c r="AK54" s="0" t="n">
        <v>6.17641010682904</v>
      </c>
      <c r="AL54" s="0" t="n">
        <v>6.17641010682904</v>
      </c>
      <c r="AM54" s="0" t="n">
        <v>6.17641010682904</v>
      </c>
      <c r="AN54" s="0" t="n">
        <v>1</v>
      </c>
      <c r="AO54" s="0" t="n">
        <v>1</v>
      </c>
      <c r="AP54" s="0" t="n">
        <v>1</v>
      </c>
      <c r="AQ54" s="0" t="n">
        <v>1</v>
      </c>
      <c r="AR54" s="0" t="n">
        <v>1</v>
      </c>
      <c r="AS54" s="0" t="n">
        <v>1</v>
      </c>
      <c r="AT54" s="0" t="n">
        <v>1</v>
      </c>
      <c r="AU54" s="0" t="n">
        <v>1</v>
      </c>
      <c r="AV54" s="0" t="n">
        <v>1</v>
      </c>
      <c r="AW54" s="0" t="n">
        <v>1</v>
      </c>
      <c r="AX54" s="0" t="n">
        <v>6.17641010682904</v>
      </c>
      <c r="AY54" s="0" t="n">
        <v>6.17641010682904</v>
      </c>
      <c r="AZ54" s="0" t="n">
        <v>6.17641010682904</v>
      </c>
      <c r="BA54" s="0" t="n">
        <v>1</v>
      </c>
      <c r="BB54" s="0" t="n">
        <v>1</v>
      </c>
      <c r="BC54" s="0" t="n">
        <v>1</v>
      </c>
      <c r="BD54" s="0" t="n">
        <v>1</v>
      </c>
      <c r="BE54" s="0" t="n">
        <v>1</v>
      </c>
      <c r="BF54" s="0" t="n">
        <v>1</v>
      </c>
      <c r="BG54" s="0" t="n">
        <v>6.17641010682904</v>
      </c>
      <c r="BH54" s="0" t="n">
        <v>6.17641010682904</v>
      </c>
      <c r="BI54" s="0" t="n">
        <v>6.17641010682904</v>
      </c>
      <c r="BJ54" s="0" t="n">
        <v>6.17641010682904</v>
      </c>
      <c r="BK54" s="0" t="n">
        <v>1</v>
      </c>
    </row>
    <row r="55" customFormat="false" ht="12.8" hidden="false" customHeight="false" outlineLevel="0" collapsed="false">
      <c r="A55" s="0" t="n">
        <f aca="false">A54-1</f>
        <v>1964</v>
      </c>
      <c r="B55" s="0" t="n">
        <v>3.61852276240883</v>
      </c>
      <c r="C55" s="0" t="n">
        <v>3.61852276240883</v>
      </c>
      <c r="D55" s="0" t="n">
        <v>3.61852276240883</v>
      </c>
      <c r="E55" s="0" t="n">
        <v>3.61852276240883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3.61852276240883</v>
      </c>
      <c r="M55" s="0" t="n">
        <v>3.61852276240883</v>
      </c>
      <c r="N55" s="0" t="n">
        <v>3.61852276240883</v>
      </c>
      <c r="O55" s="0" t="n">
        <v>3.61852276240883</v>
      </c>
      <c r="P55" s="0" t="n">
        <v>3.61852276240883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1</v>
      </c>
      <c r="AE55" s="0" t="n">
        <v>3.61852276240883</v>
      </c>
      <c r="AF55" s="0" t="n">
        <v>3.61852276240883</v>
      </c>
      <c r="AG55" s="0" t="n">
        <v>3.61852276240883</v>
      </c>
      <c r="AH55" s="0" t="n">
        <v>3.61852276240883</v>
      </c>
      <c r="AI55" s="0" t="n">
        <v>3.61852276240883</v>
      </c>
      <c r="AJ55" s="0" t="n">
        <v>3.61852276240883</v>
      </c>
      <c r="AK55" s="0" t="n">
        <v>3.61852276240883</v>
      </c>
      <c r="AL55" s="0" t="n">
        <v>3.61852276240883</v>
      </c>
      <c r="AM55" s="0" t="n">
        <v>3.61852276240883</v>
      </c>
      <c r="AN55" s="0" t="n">
        <v>1</v>
      </c>
      <c r="AO55" s="0" t="n">
        <v>1</v>
      </c>
      <c r="AP55" s="0" t="n">
        <v>1</v>
      </c>
      <c r="AQ55" s="0" t="n">
        <v>1</v>
      </c>
      <c r="AR55" s="0" t="n">
        <v>1</v>
      </c>
      <c r="AS55" s="0" t="n">
        <v>1</v>
      </c>
      <c r="AT55" s="0" t="n">
        <v>1</v>
      </c>
      <c r="AU55" s="0" t="n">
        <v>1</v>
      </c>
      <c r="AV55" s="0" t="n">
        <v>1</v>
      </c>
      <c r="AW55" s="0" t="n">
        <v>1</v>
      </c>
      <c r="AX55" s="0" t="n">
        <v>3.61852276240883</v>
      </c>
      <c r="AY55" s="0" t="n">
        <v>3.61852276240883</v>
      </c>
      <c r="AZ55" s="0" t="n">
        <v>3.61852276240883</v>
      </c>
      <c r="BA55" s="0" t="n">
        <v>1</v>
      </c>
      <c r="BB55" s="0" t="n">
        <v>1</v>
      </c>
      <c r="BC55" s="0" t="n">
        <v>1</v>
      </c>
      <c r="BD55" s="0" t="n">
        <v>1</v>
      </c>
      <c r="BE55" s="0" t="n">
        <v>1</v>
      </c>
      <c r="BF55" s="0" t="n">
        <v>1</v>
      </c>
      <c r="BG55" s="0" t="n">
        <v>3.61852276240883</v>
      </c>
      <c r="BH55" s="0" t="n">
        <v>3.61852276240883</v>
      </c>
      <c r="BI55" s="0" t="n">
        <v>3.61852276240883</v>
      </c>
      <c r="BJ55" s="0" t="n">
        <v>3.61852276240883</v>
      </c>
      <c r="BK55" s="0" t="n">
        <v>1</v>
      </c>
    </row>
    <row r="56" customFormat="false" ht="12.8" hidden="false" customHeight="false" outlineLevel="0" collapsed="false">
      <c r="A56" s="0" t="n">
        <f aca="false">A55-1</f>
        <v>1963</v>
      </c>
      <c r="B56" s="0" t="n">
        <v>4.80661040787623</v>
      </c>
      <c r="C56" s="0" t="n">
        <v>4.80661040787623</v>
      </c>
      <c r="D56" s="0" t="n">
        <v>4.80661040787623</v>
      </c>
      <c r="E56" s="0" t="n">
        <v>4.80661040787623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4.80661040787623</v>
      </c>
      <c r="M56" s="0" t="n">
        <v>4.80661040787623</v>
      </c>
      <c r="N56" s="0" t="n">
        <v>4.80661040787623</v>
      </c>
      <c r="O56" s="0" t="n">
        <v>4.80661040787623</v>
      </c>
      <c r="P56" s="0" t="n">
        <v>4.80661040787623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1</v>
      </c>
      <c r="AE56" s="0" t="n">
        <v>4.80661040787623</v>
      </c>
      <c r="AF56" s="0" t="n">
        <v>4.80661040787623</v>
      </c>
      <c r="AG56" s="0" t="n">
        <v>4.80661040787623</v>
      </c>
      <c r="AH56" s="0" t="n">
        <v>4.80661040787623</v>
      </c>
      <c r="AI56" s="0" t="n">
        <v>4.80661040787623</v>
      </c>
      <c r="AJ56" s="0" t="n">
        <v>4.80661040787623</v>
      </c>
      <c r="AK56" s="0" t="n">
        <v>4.80661040787623</v>
      </c>
      <c r="AL56" s="0" t="n">
        <v>4.80661040787623</v>
      </c>
      <c r="AM56" s="0" t="n">
        <v>4.80661040787623</v>
      </c>
      <c r="AN56" s="0" t="n">
        <v>1</v>
      </c>
      <c r="AO56" s="0" t="n">
        <v>1</v>
      </c>
      <c r="AP56" s="0" t="n">
        <v>1</v>
      </c>
      <c r="AQ56" s="0" t="n">
        <v>1</v>
      </c>
      <c r="AR56" s="0" t="n">
        <v>1</v>
      </c>
      <c r="AS56" s="0" t="n">
        <v>1</v>
      </c>
      <c r="AT56" s="0" t="n">
        <v>1</v>
      </c>
      <c r="AU56" s="0" t="n">
        <v>1</v>
      </c>
      <c r="AV56" s="0" t="n">
        <v>1</v>
      </c>
      <c r="AW56" s="0" t="n">
        <v>1</v>
      </c>
      <c r="AX56" s="0" t="n">
        <v>4.80661040787623</v>
      </c>
      <c r="AY56" s="0" t="n">
        <v>4.80661040787623</v>
      </c>
      <c r="AZ56" s="0" t="n">
        <v>4.80661040787623</v>
      </c>
      <c r="BA56" s="0" t="n">
        <v>1</v>
      </c>
      <c r="BB56" s="0" t="n">
        <v>1</v>
      </c>
      <c r="BC56" s="0" t="n">
        <v>1</v>
      </c>
      <c r="BD56" s="0" t="n">
        <v>1</v>
      </c>
      <c r="BE56" s="0" t="n">
        <v>1</v>
      </c>
      <c r="BF56" s="0" t="n">
        <v>1</v>
      </c>
      <c r="BG56" s="0" t="n">
        <v>4.80661040787623</v>
      </c>
      <c r="BH56" s="0" t="n">
        <v>4.80661040787623</v>
      </c>
      <c r="BI56" s="0" t="n">
        <v>4.80661040787623</v>
      </c>
      <c r="BJ56" s="0" t="n">
        <v>4.80661040787623</v>
      </c>
      <c r="BK56" s="0" t="n">
        <v>1</v>
      </c>
    </row>
    <row r="57" customFormat="false" ht="12.8" hidden="false" customHeight="false" outlineLevel="0" collapsed="false">
      <c r="A57" s="0" t="n">
        <f aca="false">A56-1</f>
        <v>1962</v>
      </c>
      <c r="B57" s="0" t="n">
        <v>4.61644736842105</v>
      </c>
      <c r="C57" s="0" t="n">
        <v>4.61644736842105</v>
      </c>
      <c r="D57" s="0" t="n">
        <v>4.61644736842105</v>
      </c>
      <c r="E57" s="0" t="n">
        <v>4.61644736842105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4.61644736842105</v>
      </c>
      <c r="M57" s="0" t="n">
        <v>4.61644736842105</v>
      </c>
      <c r="N57" s="0" t="n">
        <v>4.61644736842105</v>
      </c>
      <c r="O57" s="0" t="n">
        <v>4.61644736842105</v>
      </c>
      <c r="P57" s="0" t="n">
        <v>4.61644736842105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1</v>
      </c>
      <c r="AE57" s="0" t="n">
        <v>4.61644736842105</v>
      </c>
      <c r="AF57" s="0" t="n">
        <v>4.61644736842105</v>
      </c>
      <c r="AG57" s="0" t="n">
        <v>4.61644736842105</v>
      </c>
      <c r="AH57" s="0" t="n">
        <v>4.61644736842105</v>
      </c>
      <c r="AI57" s="0" t="n">
        <v>4.61644736842105</v>
      </c>
      <c r="AJ57" s="0" t="n">
        <v>4.61644736842105</v>
      </c>
      <c r="AK57" s="0" t="n">
        <v>4.61644736842105</v>
      </c>
      <c r="AL57" s="0" t="n">
        <v>4.61644736842105</v>
      </c>
      <c r="AM57" s="0" t="n">
        <v>4.61644736842105</v>
      </c>
      <c r="AN57" s="0" t="n">
        <v>1</v>
      </c>
      <c r="AO57" s="0" t="n">
        <v>1</v>
      </c>
      <c r="AP57" s="0" t="n">
        <v>1</v>
      </c>
      <c r="AQ57" s="0" t="n">
        <v>1</v>
      </c>
      <c r="AR57" s="0" t="n">
        <v>1</v>
      </c>
      <c r="AS57" s="0" t="n">
        <v>1</v>
      </c>
      <c r="AT57" s="0" t="n">
        <v>1</v>
      </c>
      <c r="AU57" s="0" t="n">
        <v>1</v>
      </c>
      <c r="AV57" s="0" t="n">
        <v>1</v>
      </c>
      <c r="AW57" s="0" t="n">
        <v>1</v>
      </c>
      <c r="AX57" s="0" t="n">
        <v>4.61644736842105</v>
      </c>
      <c r="AY57" s="0" t="n">
        <v>4.61644736842105</v>
      </c>
      <c r="AZ57" s="0" t="n">
        <v>4.61644736842105</v>
      </c>
      <c r="BA57" s="0" t="n">
        <v>1</v>
      </c>
      <c r="BB57" s="0" t="n">
        <v>1</v>
      </c>
      <c r="BC57" s="0" t="n">
        <v>1</v>
      </c>
      <c r="BD57" s="0" t="n">
        <v>1</v>
      </c>
      <c r="BE57" s="0" t="n">
        <v>1</v>
      </c>
      <c r="BF57" s="0" t="n">
        <v>1</v>
      </c>
      <c r="BG57" s="0" t="n">
        <v>4.61644736842105</v>
      </c>
      <c r="BH57" s="0" t="n">
        <v>4.61644736842105</v>
      </c>
      <c r="BI57" s="0" t="n">
        <v>4.61644736842105</v>
      </c>
      <c r="BJ57" s="0" t="n">
        <v>4.61644736842105</v>
      </c>
      <c r="BK57" s="0" t="n">
        <v>1</v>
      </c>
    </row>
    <row r="58" customFormat="false" ht="12.8" hidden="false" customHeight="false" outlineLevel="0" collapsed="false">
      <c r="A58" s="0" t="n">
        <f aca="false">A57-1</f>
        <v>1961</v>
      </c>
      <c r="B58" s="0" t="n">
        <v>5.15305217831814</v>
      </c>
      <c r="C58" s="0" t="n">
        <v>5.15305217831814</v>
      </c>
      <c r="D58" s="0" t="n">
        <v>5.15305217831814</v>
      </c>
      <c r="E58" s="0" t="n">
        <v>5.15305217831814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5.15305217831814</v>
      </c>
      <c r="M58" s="0" t="n">
        <v>5.15305217831814</v>
      </c>
      <c r="N58" s="0" t="n">
        <v>5.15305217831814</v>
      </c>
      <c r="O58" s="0" t="n">
        <v>5.15305217831814</v>
      </c>
      <c r="P58" s="0" t="n">
        <v>5.15305217831814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1</v>
      </c>
      <c r="AE58" s="0" t="n">
        <v>5.15305217831814</v>
      </c>
      <c r="AF58" s="0" t="n">
        <v>5.15305217831814</v>
      </c>
      <c r="AG58" s="0" t="n">
        <v>5.15305217831814</v>
      </c>
      <c r="AH58" s="0" t="n">
        <v>5.15305217831814</v>
      </c>
      <c r="AI58" s="0" t="n">
        <v>5.15305217831814</v>
      </c>
      <c r="AJ58" s="0" t="n">
        <v>5.15305217831814</v>
      </c>
      <c r="AK58" s="0" t="n">
        <v>5.15305217831814</v>
      </c>
      <c r="AL58" s="0" t="n">
        <v>5.15305217831814</v>
      </c>
      <c r="AM58" s="0" t="n">
        <v>5.15305217831814</v>
      </c>
      <c r="AN58" s="0" t="n">
        <v>1</v>
      </c>
      <c r="AO58" s="0" t="n">
        <v>1</v>
      </c>
      <c r="AP58" s="0" t="n">
        <v>1</v>
      </c>
      <c r="AQ58" s="0" t="n">
        <v>1</v>
      </c>
      <c r="AR58" s="0" t="n">
        <v>1</v>
      </c>
      <c r="AS58" s="0" t="n">
        <v>1</v>
      </c>
      <c r="AT58" s="0" t="n">
        <v>1</v>
      </c>
      <c r="AU58" s="0" t="n">
        <v>1</v>
      </c>
      <c r="AV58" s="0" t="n">
        <v>1</v>
      </c>
      <c r="AW58" s="0" t="n">
        <v>1</v>
      </c>
      <c r="AX58" s="0" t="n">
        <v>5.15305217831814</v>
      </c>
      <c r="AY58" s="0" t="n">
        <v>5.15305217831814</v>
      </c>
      <c r="AZ58" s="0" t="n">
        <v>5.15305217831814</v>
      </c>
      <c r="BA58" s="0" t="n">
        <v>1</v>
      </c>
      <c r="BB58" s="0" t="n">
        <v>1</v>
      </c>
      <c r="BC58" s="0" t="n">
        <v>1</v>
      </c>
      <c r="BD58" s="0" t="n">
        <v>1</v>
      </c>
      <c r="BE58" s="0" t="n">
        <v>1</v>
      </c>
      <c r="BF58" s="0" t="n">
        <v>1</v>
      </c>
      <c r="BG58" s="0" t="n">
        <v>5.15305217831814</v>
      </c>
      <c r="BH58" s="0" t="n">
        <v>5.15305217831814</v>
      </c>
      <c r="BI58" s="0" t="n">
        <v>5.15305217831814</v>
      </c>
      <c r="BJ58" s="0" t="n">
        <v>5.15305217831814</v>
      </c>
      <c r="BK58" s="0" t="n">
        <v>1</v>
      </c>
    </row>
    <row r="59" customFormat="false" ht="12.8" hidden="false" customHeight="false" outlineLevel="0" collapsed="false">
      <c r="A59" s="0" t="n">
        <f aca="false">A58-1</f>
        <v>1960</v>
      </c>
      <c r="B59" s="0" t="n">
        <v>12.640539952101</v>
      </c>
      <c r="C59" s="0" t="n">
        <v>12.640539952101</v>
      </c>
      <c r="D59" s="0" t="n">
        <v>12.640539952101</v>
      </c>
      <c r="E59" s="0" t="n">
        <v>12.640539952101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12.640539952101</v>
      </c>
      <c r="M59" s="0" t="n">
        <v>12.640539952101</v>
      </c>
      <c r="N59" s="0" t="n">
        <v>12.640539952101</v>
      </c>
      <c r="O59" s="0" t="n">
        <v>12.640539952101</v>
      </c>
      <c r="P59" s="0" t="n">
        <v>12.640539952101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1</v>
      </c>
      <c r="AE59" s="0" t="n">
        <v>12.640539952101</v>
      </c>
      <c r="AF59" s="0" t="n">
        <v>12.640539952101</v>
      </c>
      <c r="AG59" s="0" t="n">
        <v>12.640539952101</v>
      </c>
      <c r="AH59" s="0" t="n">
        <v>12.640539952101</v>
      </c>
      <c r="AI59" s="0" t="n">
        <v>12.640539952101</v>
      </c>
      <c r="AJ59" s="0" t="n">
        <v>12.640539952101</v>
      </c>
      <c r="AK59" s="0" t="n">
        <v>12.640539952101</v>
      </c>
      <c r="AL59" s="0" t="n">
        <v>12.640539952101</v>
      </c>
      <c r="AM59" s="0" t="n">
        <v>12.640539952101</v>
      </c>
      <c r="AN59" s="0" t="n">
        <v>1</v>
      </c>
      <c r="AO59" s="0" t="n">
        <v>1</v>
      </c>
      <c r="AP59" s="0" t="n">
        <v>1</v>
      </c>
      <c r="AQ59" s="0" t="n">
        <v>1</v>
      </c>
      <c r="AR59" s="0" t="n">
        <v>1</v>
      </c>
      <c r="AS59" s="0" t="n">
        <v>1</v>
      </c>
      <c r="AT59" s="0" t="n">
        <v>1</v>
      </c>
      <c r="AU59" s="0" t="n">
        <v>1</v>
      </c>
      <c r="AV59" s="0" t="n">
        <v>1</v>
      </c>
      <c r="AW59" s="0" t="n">
        <v>1</v>
      </c>
      <c r="AX59" s="0" t="n">
        <v>12.640539952101</v>
      </c>
      <c r="AY59" s="0" t="n">
        <v>12.640539952101</v>
      </c>
      <c r="AZ59" s="0" t="n">
        <v>12.640539952101</v>
      </c>
      <c r="BA59" s="0" t="n">
        <v>1</v>
      </c>
      <c r="BB59" s="0" t="n">
        <v>1</v>
      </c>
      <c r="BC59" s="0" t="n">
        <v>1</v>
      </c>
      <c r="BD59" s="0" t="n">
        <v>1</v>
      </c>
      <c r="BE59" s="0" t="n">
        <v>1</v>
      </c>
      <c r="BF59" s="0" t="n">
        <v>1</v>
      </c>
      <c r="BG59" s="0" t="n">
        <v>12.640539952101</v>
      </c>
      <c r="BH59" s="0" t="n">
        <v>12.640539952101</v>
      </c>
      <c r="BI59" s="0" t="n">
        <v>12.640539952101</v>
      </c>
      <c r="BJ59" s="0" t="n">
        <v>12.640539952101</v>
      </c>
      <c r="BK59" s="0" t="n">
        <v>1</v>
      </c>
    </row>
    <row r="60" customFormat="false" ht="12.8" hidden="false" customHeight="false" outlineLevel="0" collapsed="false">
      <c r="A60" s="0" t="n">
        <f aca="false">A59-1</f>
        <v>1959</v>
      </c>
      <c r="B60" s="0" t="n">
        <v>2.66694990263763</v>
      </c>
      <c r="C60" s="0" t="n">
        <v>2.66694990263763</v>
      </c>
      <c r="D60" s="0" t="n">
        <v>2.66694990263763</v>
      </c>
      <c r="E60" s="0" t="n">
        <v>2.66694990263763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2.66694990263763</v>
      </c>
      <c r="M60" s="0" t="n">
        <v>2.66694990263763</v>
      </c>
      <c r="N60" s="0" t="n">
        <v>2.66694990263763</v>
      </c>
      <c r="O60" s="0" t="n">
        <v>2.66694990263763</v>
      </c>
      <c r="P60" s="0" t="n">
        <v>2.66694990263763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1</v>
      </c>
      <c r="AE60" s="0" t="n">
        <v>2.66694990263763</v>
      </c>
      <c r="AF60" s="0" t="n">
        <v>2.66694990263763</v>
      </c>
      <c r="AG60" s="0" t="n">
        <v>2.66694990263763</v>
      </c>
      <c r="AH60" s="0" t="n">
        <v>2.66694990263763</v>
      </c>
      <c r="AI60" s="0" t="n">
        <v>2.66694990263763</v>
      </c>
      <c r="AJ60" s="0" t="n">
        <v>2.66694990263763</v>
      </c>
      <c r="AK60" s="0" t="n">
        <v>2.66694990263763</v>
      </c>
      <c r="AL60" s="0" t="n">
        <v>2.66694990263763</v>
      </c>
      <c r="AM60" s="0" t="n">
        <v>2.66694990263763</v>
      </c>
      <c r="AN60" s="0" t="n">
        <v>1</v>
      </c>
      <c r="AO60" s="0" t="n">
        <v>1</v>
      </c>
      <c r="AP60" s="0" t="n">
        <v>1</v>
      </c>
      <c r="AQ60" s="0" t="n">
        <v>1</v>
      </c>
      <c r="AR60" s="0" t="n">
        <v>1</v>
      </c>
      <c r="AS60" s="0" t="n">
        <v>1</v>
      </c>
      <c r="AT60" s="0" t="n">
        <v>1</v>
      </c>
      <c r="AU60" s="0" t="n">
        <v>1</v>
      </c>
      <c r="AV60" s="0" t="n">
        <v>1</v>
      </c>
      <c r="AW60" s="0" t="n">
        <v>1</v>
      </c>
      <c r="AX60" s="0" t="n">
        <v>2.66694990263763</v>
      </c>
      <c r="AY60" s="0" t="n">
        <v>2.66694990263763</v>
      </c>
      <c r="AZ60" s="0" t="n">
        <v>2.66694990263763</v>
      </c>
      <c r="BA60" s="0" t="n">
        <v>1</v>
      </c>
      <c r="BB60" s="0" t="n">
        <v>1</v>
      </c>
      <c r="BC60" s="0" t="n">
        <v>1</v>
      </c>
      <c r="BD60" s="0" t="n">
        <v>1</v>
      </c>
      <c r="BE60" s="0" t="n">
        <v>1</v>
      </c>
      <c r="BF60" s="0" t="n">
        <v>1</v>
      </c>
      <c r="BG60" s="0" t="n">
        <v>2.66694990263763</v>
      </c>
      <c r="BH60" s="0" t="n">
        <v>2.66694990263763</v>
      </c>
      <c r="BI60" s="0" t="n">
        <v>2.66694990263763</v>
      </c>
      <c r="BJ60" s="0" t="n">
        <v>2.66694990263763</v>
      </c>
      <c r="BK6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8" t="s">
        <v>232</v>
      </c>
      <c r="B1" s="42" t="str">
        <f aca="false">metadata!B2</f>
        <v>PC_MINI_G</v>
      </c>
      <c r="C1" s="42" t="str">
        <f aca="false">metadata!B3</f>
        <v>PC_SMALL_G</v>
      </c>
      <c r="D1" s="42" t="str">
        <f aca="false">metadata!B4</f>
        <v>PC_MEDIUM_G</v>
      </c>
      <c r="E1" s="42" t="str">
        <f aca="false">metadata!B5</f>
        <v>PC_SUV_G</v>
      </c>
      <c r="F1" s="42" t="str">
        <f aca="false">metadata!B6</f>
        <v>PC_MINI_D</v>
      </c>
      <c r="G1" s="42" t="str">
        <f aca="false">metadata!B7</f>
        <v>PC_SMALL_D</v>
      </c>
      <c r="H1" s="42" t="str">
        <f aca="false">metadata!B8</f>
        <v>PC_MEDIUM_D</v>
      </c>
      <c r="I1" s="42" t="str">
        <f aca="false">metadata!B9</f>
        <v>PC_SUV_D</v>
      </c>
      <c r="J1" s="42" t="str">
        <f aca="false">metadata!B10</f>
        <v>PC_ELEC</v>
      </c>
      <c r="K1" s="42" t="str">
        <f aca="false">metadata!B11</f>
        <v>PC_SMALL_HY</v>
      </c>
      <c r="L1" s="42" t="str">
        <f aca="false">metadata!B12</f>
        <v>TAXI_SMALL_G</v>
      </c>
      <c r="M1" s="42" t="str">
        <f aca="false">metadata!B13</f>
        <v>TAXI_SMALL_GLP</v>
      </c>
      <c r="N1" s="42" t="str">
        <f aca="false">metadata!B14</f>
        <v>LCV_NI_G</v>
      </c>
      <c r="O1" s="42" t="str">
        <f aca="false">metadata!B15</f>
        <v>LCV_NII_G</v>
      </c>
      <c r="P1" s="42" t="str">
        <f aca="false">metadata!B16</f>
        <v>LCV_NIII_G</v>
      </c>
      <c r="Q1" s="42" t="str">
        <f aca="false">metadata!B17</f>
        <v>LCV_NI_D</v>
      </c>
      <c r="R1" s="42" t="str">
        <f aca="false">metadata!B18</f>
        <v>LCV_NII_D</v>
      </c>
      <c r="S1" s="42" t="str">
        <f aca="false">metadata!B19</f>
        <v>LCV_NIII_D</v>
      </c>
      <c r="T1" s="42" t="str">
        <f aca="false">metadata!B20</f>
        <v>LCV_ELEC</v>
      </c>
      <c r="U1" s="42" t="str">
        <f aca="false">metadata!B21</f>
        <v>LCV_HY</v>
      </c>
      <c r="V1" s="42" t="str">
        <f aca="false">metadata!B22</f>
        <v>TRUCKS_RT_7_D</v>
      </c>
      <c r="W1" s="42" t="str">
        <f aca="false">metadata!B23</f>
        <v>TRUCKS_RT_7_12_D</v>
      </c>
      <c r="X1" s="42" t="str">
        <f aca="false">metadata!B24</f>
        <v>TRUCKS_RT_12_14_D</v>
      </c>
      <c r="Y1" s="42" t="str">
        <f aca="false">metadata!B25</f>
        <v>TRUCKS_RT_14_16_D</v>
      </c>
      <c r="Z1" s="42" t="str">
        <f aca="false">metadata!B26</f>
        <v>TRUCKS_RT_16_20_D</v>
      </c>
      <c r="AA1" s="42" t="str">
        <f aca="false">metadata!B27</f>
        <v>TRUCKS_RT_20_26_D</v>
      </c>
      <c r="AB1" s="42" t="str">
        <f aca="false">metadata!B28</f>
        <v>TRUCKS_RT_26_28_D</v>
      </c>
      <c r="AC1" s="42" t="str">
        <f aca="false">metadata!B29</f>
        <v>TRUCKS_RT_28_32_D</v>
      </c>
      <c r="AD1" s="43" t="str">
        <f aca="false">metadata!B30</f>
        <v>TRUCKS_RT_32_D</v>
      </c>
      <c r="AE1" s="43" t="str">
        <f aca="false">metadata!B31</f>
        <v>TRUCKS_RT_7_G</v>
      </c>
      <c r="AF1" s="43" t="str">
        <f aca="false">metadata!B32</f>
        <v>TRUCKS_RT_7_12_G</v>
      </c>
      <c r="AG1" s="43" t="str">
        <f aca="false">metadata!B33</f>
        <v>TRUCKS_RT_12_14_G</v>
      </c>
      <c r="AH1" s="43" t="str">
        <f aca="false">metadata!B34</f>
        <v>TRUCKS_RT_14_16_G</v>
      </c>
      <c r="AI1" s="43" t="str">
        <f aca="false">metadata!B35</f>
        <v>TRUCKS_RT_16_20_G</v>
      </c>
      <c r="AJ1" s="43" t="str">
        <f aca="false">metadata!B36</f>
        <v>TRUCKS_RT_20_26_G</v>
      </c>
      <c r="AK1" s="43" t="str">
        <f aca="false">metadata!B37</f>
        <v>TRUCKS_RT_26_28_G</v>
      </c>
      <c r="AL1" s="43" t="str">
        <f aca="false">metadata!B38</f>
        <v>TRUCKS_RT_28_32_G</v>
      </c>
      <c r="AM1" s="43" t="str">
        <f aca="false">metadata!B39</f>
        <v>TRUCKS_RT_32_G</v>
      </c>
      <c r="AN1" s="43" t="str">
        <f aca="false">metadata!B40</f>
        <v>TRUCKS_AT_16_20_D</v>
      </c>
      <c r="AO1" s="42" t="str">
        <f aca="false">metadata!B41</f>
        <v>TRUCKS_AT_20_28_D</v>
      </c>
      <c r="AP1" s="42" t="str">
        <f aca="false">metadata!B42</f>
        <v>TRUCKS_AT_28_34_D</v>
      </c>
      <c r="AQ1" s="43" t="str">
        <f aca="false">metadata!B43</f>
        <v>TRUCKS_AT_34_40_D</v>
      </c>
      <c r="AR1" s="43" t="str">
        <f aca="false">metadata!B44</f>
        <v>TRUCKS_AT_40_50_D</v>
      </c>
      <c r="AS1" s="43" t="str">
        <f aca="false">metadata!B45</f>
        <v>TRUCKS_AT_50_60_D</v>
      </c>
      <c r="AT1" s="43" t="str">
        <f aca="false">metadata!B46</f>
        <v>TRUCKS_ELEC</v>
      </c>
      <c r="AU1" s="43" t="str">
        <f aca="false">metadata!B47</f>
        <v>BUS_UB_15_D</v>
      </c>
      <c r="AV1" s="43" t="str">
        <f aca="false">metadata!B48</f>
        <v>BUS_UB_15_18_D</v>
      </c>
      <c r="AW1" s="43" t="str">
        <f aca="false">metadata!B49</f>
        <v>BUS_UB_18_D</v>
      </c>
      <c r="AX1" s="43" t="str">
        <f aca="false">metadata!B50</f>
        <v>BUS_UB_15_G</v>
      </c>
      <c r="AY1" s="43" t="str">
        <f aca="false">metadata!B51</f>
        <v>BUS_UB_15_18_G</v>
      </c>
      <c r="AZ1" s="43" t="str">
        <f aca="false">metadata!B52</f>
        <v>BUS_UB_18_G</v>
      </c>
      <c r="BA1" s="43" t="str">
        <f aca="false">metadata!B53</f>
        <v>BUS_COACH_17_D</v>
      </c>
      <c r="BB1" s="43" t="str">
        <f aca="false">metadata!B54</f>
        <v>BUS_COACH_18_D</v>
      </c>
      <c r="BC1" s="43" t="str">
        <f aca="false">metadata!B55</f>
        <v>BUS_COACH_17_G</v>
      </c>
      <c r="BD1" s="43" t="str">
        <f aca="false">metadata!B56</f>
        <v>BUS_COACH_18_G</v>
      </c>
      <c r="BE1" s="43" t="str">
        <f aca="false">metadata!B57</f>
        <v>BUS_UB_15_HY</v>
      </c>
      <c r="BF1" s="43" t="str">
        <f aca="false">metadata!B58</f>
        <v>BUS_ELEC</v>
      </c>
      <c r="BG1" s="43" t="str">
        <f aca="false">metadata!B59</f>
        <v>MC_2S_50_G</v>
      </c>
      <c r="BH1" s="43" t="str">
        <f aca="false">metadata!B60</f>
        <v>MC_4S_50_250_G</v>
      </c>
      <c r="BI1" s="43" t="str">
        <f aca="false">metadata!B61</f>
        <v>MC_4S_250_750_G</v>
      </c>
      <c r="BJ1" s="43" t="str">
        <f aca="false">metadata!B62</f>
        <v>MC_4S_750_G</v>
      </c>
      <c r="BK1" s="43" t="str">
        <f aca="false">metadata!B63</f>
        <v>MC_ELEC</v>
      </c>
    </row>
    <row r="2" customFormat="false" ht="12.8" hidden="false" customHeight="false" outlineLevel="0" collapsed="false">
      <c r="A2" s="0" t="n">
        <v>2017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1</v>
      </c>
    </row>
    <row r="3" customFormat="false" ht="12.8" hidden="false" customHeight="false" outlineLevel="0" collapsed="false">
      <c r="A3" s="0" t="n">
        <f aca="false">A2-1</f>
        <v>2016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v>1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1</v>
      </c>
      <c r="BH3" s="0" t="n">
        <v>1</v>
      </c>
      <c r="BI3" s="0" t="n">
        <v>1</v>
      </c>
      <c r="BJ3" s="0" t="n">
        <v>1</v>
      </c>
      <c r="BK3" s="0" t="n">
        <v>1</v>
      </c>
    </row>
    <row r="4" customFormat="false" ht="12.8" hidden="false" customHeight="false" outlineLevel="0" collapsed="false">
      <c r="A4" s="0" t="n">
        <f aca="false">A3-1</f>
        <v>2015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</row>
    <row r="5" customFormat="false" ht="12.8" hidden="false" customHeight="false" outlineLevel="0" collapsed="false">
      <c r="A5" s="0" t="n">
        <f aca="false">A4-1</f>
        <v>2014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1</v>
      </c>
      <c r="AH5" s="0" t="n">
        <v>1</v>
      </c>
      <c r="AI5" s="0" t="n">
        <v>1</v>
      </c>
      <c r="AJ5" s="0" t="n">
        <v>1</v>
      </c>
      <c r="AK5" s="0" t="n">
        <v>1</v>
      </c>
      <c r="AL5" s="0" t="n">
        <v>1</v>
      </c>
      <c r="AM5" s="0" t="n">
        <v>1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1</v>
      </c>
      <c r="BD5" s="0" t="n">
        <v>1</v>
      </c>
      <c r="BE5" s="0" t="n">
        <v>1</v>
      </c>
      <c r="BF5" s="0" t="n">
        <v>1</v>
      </c>
      <c r="BG5" s="0" t="n">
        <v>1</v>
      </c>
      <c r="BH5" s="0" t="n">
        <v>1</v>
      </c>
      <c r="BI5" s="0" t="n">
        <v>1</v>
      </c>
      <c r="BJ5" s="0" t="n">
        <v>1</v>
      </c>
      <c r="BK5" s="0" t="n">
        <v>1</v>
      </c>
    </row>
    <row r="6" customFormat="false" ht="12.8" hidden="false" customHeight="false" outlineLevel="0" collapsed="false">
      <c r="A6" s="0" t="n">
        <f aca="false">A5-1</f>
        <v>2013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1</v>
      </c>
      <c r="AT6" s="0" t="n">
        <v>1</v>
      </c>
      <c r="AU6" s="0" t="n">
        <v>1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1</v>
      </c>
      <c r="BG6" s="0" t="n">
        <v>1</v>
      </c>
      <c r="BH6" s="0" t="n">
        <v>1</v>
      </c>
      <c r="BI6" s="0" t="n">
        <v>1</v>
      </c>
      <c r="BJ6" s="0" t="n">
        <v>1</v>
      </c>
      <c r="BK6" s="0" t="n">
        <v>1</v>
      </c>
    </row>
    <row r="7" customFormat="false" ht="12.8" hidden="false" customHeight="false" outlineLevel="0" collapsed="false">
      <c r="A7" s="0" t="n">
        <f aca="false">A6-1</f>
        <v>2012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1</v>
      </c>
      <c r="AM7" s="0" t="n">
        <v>1</v>
      </c>
      <c r="AN7" s="0" t="n">
        <v>1</v>
      </c>
      <c r="AO7" s="0" t="n">
        <v>1</v>
      </c>
      <c r="AP7" s="0" t="n">
        <v>1</v>
      </c>
      <c r="AQ7" s="0" t="n">
        <v>1</v>
      </c>
      <c r="AR7" s="0" t="n">
        <v>1</v>
      </c>
      <c r="AS7" s="0" t="n">
        <v>1</v>
      </c>
      <c r="AT7" s="0" t="n">
        <v>1</v>
      </c>
      <c r="AU7" s="0" t="n">
        <v>1</v>
      </c>
      <c r="AV7" s="0" t="n">
        <v>1</v>
      </c>
      <c r="AW7" s="0" t="n">
        <v>1</v>
      </c>
      <c r="AX7" s="0" t="n">
        <v>1</v>
      </c>
      <c r="AY7" s="0" t="n">
        <v>1</v>
      </c>
      <c r="AZ7" s="0" t="n">
        <v>1</v>
      </c>
      <c r="BA7" s="0" t="n">
        <v>1</v>
      </c>
      <c r="BB7" s="0" t="n">
        <v>1</v>
      </c>
      <c r="BC7" s="0" t="n">
        <v>1</v>
      </c>
      <c r="BD7" s="0" t="n">
        <v>1</v>
      </c>
      <c r="BE7" s="0" t="n">
        <v>1</v>
      </c>
      <c r="BF7" s="0" t="n">
        <v>1</v>
      </c>
      <c r="BG7" s="0" t="n">
        <v>1</v>
      </c>
      <c r="BH7" s="0" t="n">
        <v>1</v>
      </c>
      <c r="BI7" s="0" t="n">
        <v>1</v>
      </c>
      <c r="BJ7" s="0" t="n">
        <v>1</v>
      </c>
      <c r="BK7" s="0" t="n">
        <v>1</v>
      </c>
    </row>
    <row r="8" customFormat="false" ht="12.8" hidden="false" customHeight="false" outlineLevel="0" collapsed="false">
      <c r="A8" s="0" t="n">
        <f aca="false">A7-1</f>
        <v>2011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1</v>
      </c>
      <c r="AI8" s="0" t="n">
        <v>1</v>
      </c>
      <c r="AJ8" s="0" t="n">
        <v>1</v>
      </c>
      <c r="AK8" s="0" t="n">
        <v>1</v>
      </c>
      <c r="AL8" s="0" t="n">
        <v>1</v>
      </c>
      <c r="AM8" s="0" t="n">
        <v>1</v>
      </c>
      <c r="AN8" s="0" t="n">
        <v>1</v>
      </c>
      <c r="AO8" s="0" t="n">
        <v>1</v>
      </c>
      <c r="AP8" s="0" t="n">
        <v>1</v>
      </c>
      <c r="AQ8" s="0" t="n">
        <v>1</v>
      </c>
      <c r="AR8" s="0" t="n">
        <v>1</v>
      </c>
      <c r="AS8" s="0" t="n">
        <v>1</v>
      </c>
      <c r="AT8" s="0" t="n">
        <v>1</v>
      </c>
      <c r="AU8" s="0" t="n">
        <v>1</v>
      </c>
      <c r="AV8" s="0" t="n">
        <v>1</v>
      </c>
      <c r="AW8" s="0" t="n">
        <v>1</v>
      </c>
      <c r="AX8" s="0" t="n">
        <v>1</v>
      </c>
      <c r="AY8" s="0" t="n">
        <v>1</v>
      </c>
      <c r="AZ8" s="0" t="n">
        <v>1</v>
      </c>
      <c r="BA8" s="0" t="n">
        <v>1</v>
      </c>
      <c r="BB8" s="0" t="n">
        <v>1</v>
      </c>
      <c r="BC8" s="0" t="n">
        <v>1</v>
      </c>
      <c r="BD8" s="0" t="n">
        <v>1</v>
      </c>
      <c r="BE8" s="0" t="n">
        <v>1</v>
      </c>
      <c r="BF8" s="0" t="n">
        <v>1</v>
      </c>
      <c r="BG8" s="0" t="n">
        <v>1</v>
      </c>
      <c r="BH8" s="0" t="n">
        <v>1</v>
      </c>
      <c r="BI8" s="0" t="n">
        <v>1</v>
      </c>
      <c r="BJ8" s="0" t="n">
        <v>1</v>
      </c>
      <c r="BK8" s="0" t="n">
        <v>1</v>
      </c>
    </row>
    <row r="9" customFormat="false" ht="12.8" hidden="false" customHeight="false" outlineLevel="0" collapsed="false">
      <c r="A9" s="0" t="n">
        <f aca="false">A8-1</f>
        <v>2010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</v>
      </c>
      <c r="AF9" s="0" t="n">
        <v>1</v>
      </c>
      <c r="AG9" s="0" t="n">
        <v>1</v>
      </c>
      <c r="AH9" s="0" t="n">
        <v>1</v>
      </c>
      <c r="AI9" s="0" t="n">
        <v>1</v>
      </c>
      <c r="AJ9" s="0" t="n">
        <v>1</v>
      </c>
      <c r="AK9" s="0" t="n">
        <v>1</v>
      </c>
      <c r="AL9" s="0" t="n">
        <v>1</v>
      </c>
      <c r="AM9" s="0" t="n">
        <v>1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1</v>
      </c>
      <c r="AS9" s="0" t="n">
        <v>1</v>
      </c>
      <c r="AT9" s="0" t="n">
        <v>1</v>
      </c>
      <c r="AU9" s="0" t="n">
        <v>1</v>
      </c>
      <c r="AV9" s="0" t="n">
        <v>1</v>
      </c>
      <c r="AW9" s="0" t="n">
        <v>1</v>
      </c>
      <c r="AX9" s="0" t="n">
        <v>1</v>
      </c>
      <c r="AY9" s="0" t="n">
        <v>1</v>
      </c>
      <c r="AZ9" s="0" t="n">
        <v>1</v>
      </c>
      <c r="BA9" s="0" t="n">
        <v>1</v>
      </c>
      <c r="BB9" s="0" t="n">
        <v>1</v>
      </c>
      <c r="BC9" s="0" t="n">
        <v>1</v>
      </c>
      <c r="BD9" s="0" t="n">
        <v>1</v>
      </c>
      <c r="BE9" s="0" t="n">
        <v>1</v>
      </c>
      <c r="BF9" s="0" t="n">
        <v>1</v>
      </c>
      <c r="BG9" s="0" t="n">
        <v>1</v>
      </c>
      <c r="BH9" s="0" t="n">
        <v>1</v>
      </c>
      <c r="BI9" s="0" t="n">
        <v>1</v>
      </c>
      <c r="BJ9" s="0" t="n">
        <v>1</v>
      </c>
      <c r="BK9" s="0" t="n">
        <v>1</v>
      </c>
    </row>
    <row r="10" customFormat="false" ht="12.8" hidden="false" customHeight="false" outlineLevel="0" collapsed="false">
      <c r="A10" s="0" t="n">
        <f aca="false">A9-1</f>
        <v>2009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1</v>
      </c>
      <c r="AF10" s="0" t="n">
        <v>1</v>
      </c>
      <c r="AG10" s="0" t="n">
        <v>1</v>
      </c>
      <c r="AH10" s="0" t="n">
        <v>1</v>
      </c>
      <c r="AI10" s="0" t="n">
        <v>1</v>
      </c>
      <c r="AJ10" s="0" t="n">
        <v>1</v>
      </c>
      <c r="AK10" s="0" t="n">
        <v>1</v>
      </c>
      <c r="AL10" s="0" t="n">
        <v>1</v>
      </c>
      <c r="AM10" s="0" t="n">
        <v>1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1</v>
      </c>
      <c r="AV10" s="0" t="n">
        <v>1</v>
      </c>
      <c r="AW10" s="0" t="n">
        <v>1</v>
      </c>
      <c r="AX10" s="0" t="n">
        <v>1</v>
      </c>
      <c r="AY10" s="0" t="n">
        <v>1</v>
      </c>
      <c r="AZ10" s="0" t="n">
        <v>1</v>
      </c>
      <c r="BA10" s="0" t="n">
        <v>1</v>
      </c>
      <c r="BB10" s="0" t="n">
        <v>1</v>
      </c>
      <c r="BC10" s="0" t="n">
        <v>1</v>
      </c>
      <c r="BD10" s="0" t="n">
        <v>1</v>
      </c>
      <c r="BE10" s="0" t="n">
        <v>1</v>
      </c>
      <c r="BF10" s="0" t="n">
        <v>1</v>
      </c>
      <c r="BG10" s="0" t="n">
        <v>1</v>
      </c>
      <c r="BH10" s="0" t="n">
        <v>1</v>
      </c>
      <c r="BI10" s="0" t="n">
        <v>1</v>
      </c>
      <c r="BJ10" s="0" t="n">
        <v>1</v>
      </c>
      <c r="BK10" s="0" t="n">
        <v>1</v>
      </c>
    </row>
    <row r="11" customFormat="false" ht="12.8" hidden="false" customHeight="false" outlineLevel="0" collapsed="false">
      <c r="A11" s="0" t="n">
        <f aca="false">A10-1</f>
        <v>2008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1</v>
      </c>
      <c r="AF11" s="0" t="n">
        <v>1</v>
      </c>
      <c r="AG11" s="0" t="n">
        <v>1</v>
      </c>
      <c r="AH11" s="0" t="n">
        <v>1</v>
      </c>
      <c r="AI11" s="0" t="n">
        <v>1</v>
      </c>
      <c r="AJ11" s="0" t="n">
        <v>1</v>
      </c>
      <c r="AK11" s="0" t="n">
        <v>1</v>
      </c>
      <c r="AL11" s="0" t="n">
        <v>1</v>
      </c>
      <c r="AM11" s="0" t="n">
        <v>1</v>
      </c>
      <c r="AN11" s="0" t="n">
        <v>1</v>
      </c>
      <c r="AO11" s="0" t="n">
        <v>1</v>
      </c>
      <c r="AP11" s="0" t="n">
        <v>1</v>
      </c>
      <c r="AQ11" s="0" t="n">
        <v>1</v>
      </c>
      <c r="AR11" s="0" t="n">
        <v>1</v>
      </c>
      <c r="AS11" s="0" t="n">
        <v>1</v>
      </c>
      <c r="AT11" s="0" t="n">
        <v>1</v>
      </c>
      <c r="AU11" s="0" t="n">
        <v>1</v>
      </c>
      <c r="AV11" s="0" t="n">
        <v>1</v>
      </c>
      <c r="AW11" s="0" t="n">
        <v>1</v>
      </c>
      <c r="AX11" s="0" t="n">
        <v>1</v>
      </c>
      <c r="AY11" s="0" t="n">
        <v>1</v>
      </c>
      <c r="AZ11" s="0" t="n">
        <v>1</v>
      </c>
      <c r="BA11" s="0" t="n">
        <v>1</v>
      </c>
      <c r="BB11" s="0" t="n">
        <v>1</v>
      </c>
      <c r="BC11" s="0" t="n">
        <v>1</v>
      </c>
      <c r="BD11" s="0" t="n">
        <v>1</v>
      </c>
      <c r="BE11" s="0" t="n">
        <v>1</v>
      </c>
      <c r="BF11" s="0" t="n">
        <v>1</v>
      </c>
      <c r="BG11" s="0" t="n">
        <v>1</v>
      </c>
      <c r="BH11" s="0" t="n">
        <v>1</v>
      </c>
      <c r="BI11" s="0" t="n">
        <v>1</v>
      </c>
      <c r="BJ11" s="0" t="n">
        <v>1</v>
      </c>
      <c r="BK11" s="0" t="n">
        <v>1</v>
      </c>
    </row>
    <row r="12" customFormat="false" ht="12.8" hidden="false" customHeight="false" outlineLevel="0" collapsed="false">
      <c r="A12" s="0" t="n">
        <f aca="false">A11-1</f>
        <v>2007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1</v>
      </c>
      <c r="AE12" s="0" t="n">
        <v>1</v>
      </c>
      <c r="AF12" s="0" t="n">
        <v>1</v>
      </c>
      <c r="AG12" s="0" t="n">
        <v>1</v>
      </c>
      <c r="AH12" s="0" t="n">
        <v>1</v>
      </c>
      <c r="AI12" s="0" t="n">
        <v>1</v>
      </c>
      <c r="AJ12" s="0" t="n">
        <v>1</v>
      </c>
      <c r="AK12" s="0" t="n">
        <v>1</v>
      </c>
      <c r="AL12" s="0" t="n">
        <v>1</v>
      </c>
      <c r="AM12" s="0" t="n">
        <v>1</v>
      </c>
      <c r="AN12" s="0" t="n">
        <v>1</v>
      </c>
      <c r="AO12" s="0" t="n">
        <v>1</v>
      </c>
      <c r="AP12" s="0" t="n">
        <v>1</v>
      </c>
      <c r="AQ12" s="0" t="n">
        <v>1</v>
      </c>
      <c r="AR12" s="0" t="n">
        <v>1</v>
      </c>
      <c r="AS12" s="0" t="n">
        <v>1</v>
      </c>
      <c r="AT12" s="0" t="n">
        <v>1</v>
      </c>
      <c r="AU12" s="0" t="n">
        <v>1</v>
      </c>
      <c r="AV12" s="0" t="n">
        <v>1</v>
      </c>
      <c r="AW12" s="0" t="n">
        <v>1</v>
      </c>
      <c r="AX12" s="0" t="n">
        <v>1</v>
      </c>
      <c r="AY12" s="0" t="n">
        <v>1</v>
      </c>
      <c r="AZ12" s="0" t="n">
        <v>1</v>
      </c>
      <c r="BA12" s="0" t="n">
        <v>1</v>
      </c>
      <c r="BB12" s="0" t="n">
        <v>1</v>
      </c>
      <c r="BC12" s="0" t="n">
        <v>1</v>
      </c>
      <c r="BD12" s="0" t="n">
        <v>1</v>
      </c>
      <c r="BE12" s="0" t="n">
        <v>1</v>
      </c>
      <c r="BF12" s="0" t="n">
        <v>1</v>
      </c>
      <c r="BG12" s="0" t="n">
        <v>1</v>
      </c>
      <c r="BH12" s="0" t="n">
        <v>1</v>
      </c>
      <c r="BI12" s="0" t="n">
        <v>1</v>
      </c>
      <c r="BJ12" s="0" t="n">
        <v>1</v>
      </c>
      <c r="BK12" s="0" t="n">
        <v>1</v>
      </c>
    </row>
    <row r="13" customFormat="false" ht="12.8" hidden="false" customHeight="false" outlineLevel="0" collapsed="false">
      <c r="A13" s="0" t="n">
        <f aca="false">A12-1</f>
        <v>2006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v>1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</v>
      </c>
      <c r="AR13" s="0" t="n">
        <v>1</v>
      </c>
      <c r="AS13" s="0" t="n">
        <v>1</v>
      </c>
      <c r="AT13" s="0" t="n">
        <v>1</v>
      </c>
      <c r="AU13" s="0" t="n">
        <v>1</v>
      </c>
      <c r="AV13" s="0" t="n">
        <v>1</v>
      </c>
      <c r="AW13" s="0" t="n">
        <v>1</v>
      </c>
      <c r="AX13" s="0" t="n">
        <v>1</v>
      </c>
      <c r="AY13" s="0" t="n">
        <v>1</v>
      </c>
      <c r="AZ13" s="0" t="n">
        <v>1</v>
      </c>
      <c r="BA13" s="0" t="n">
        <v>1</v>
      </c>
      <c r="BB13" s="0" t="n">
        <v>1</v>
      </c>
      <c r="BC13" s="0" t="n">
        <v>1</v>
      </c>
      <c r="BD13" s="0" t="n">
        <v>1</v>
      </c>
      <c r="BE13" s="0" t="n">
        <v>1</v>
      </c>
      <c r="BF13" s="0" t="n">
        <v>1</v>
      </c>
      <c r="BG13" s="0" t="n">
        <v>1</v>
      </c>
      <c r="BH13" s="0" t="n">
        <v>1</v>
      </c>
      <c r="BI13" s="0" t="n">
        <v>1</v>
      </c>
      <c r="BJ13" s="0" t="n">
        <v>1</v>
      </c>
      <c r="BK13" s="0" t="n">
        <v>1</v>
      </c>
    </row>
    <row r="14" customFormat="false" ht="12.8" hidden="false" customHeight="false" outlineLevel="0" collapsed="false">
      <c r="A14" s="0" t="n">
        <f aca="false">A13-1</f>
        <v>2005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1</v>
      </c>
      <c r="AM14" s="0" t="n">
        <v>1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1</v>
      </c>
      <c r="AV14" s="0" t="n">
        <v>1</v>
      </c>
      <c r="AW14" s="0" t="n">
        <v>1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1</v>
      </c>
      <c r="BC14" s="0" t="n">
        <v>1</v>
      </c>
      <c r="BD14" s="0" t="n">
        <v>1</v>
      </c>
      <c r="BE14" s="0" t="n">
        <v>1</v>
      </c>
      <c r="BF14" s="0" t="n">
        <v>1</v>
      </c>
      <c r="BG14" s="0" t="n">
        <v>1</v>
      </c>
      <c r="BH14" s="0" t="n">
        <v>1</v>
      </c>
      <c r="BI14" s="0" t="n">
        <v>1</v>
      </c>
      <c r="BJ14" s="0" t="n">
        <v>1</v>
      </c>
      <c r="BK14" s="0" t="n">
        <v>1</v>
      </c>
    </row>
    <row r="15" customFormat="false" ht="12.8" hidden="false" customHeight="false" outlineLevel="0" collapsed="false">
      <c r="A15" s="0" t="n">
        <f aca="false">A14-1</f>
        <v>2004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1</v>
      </c>
      <c r="AE15" s="0" t="n">
        <v>1</v>
      </c>
      <c r="AF15" s="0" t="n">
        <v>1</v>
      </c>
      <c r="AG15" s="0" t="n">
        <v>1</v>
      </c>
      <c r="AH15" s="0" t="n">
        <v>1</v>
      </c>
      <c r="AI15" s="0" t="n">
        <v>1</v>
      </c>
      <c r="AJ15" s="0" t="n">
        <v>1</v>
      </c>
      <c r="AK15" s="0" t="n">
        <v>1</v>
      </c>
      <c r="AL15" s="0" t="n">
        <v>1</v>
      </c>
      <c r="AM15" s="0" t="n">
        <v>1</v>
      </c>
      <c r="AN15" s="0" t="n">
        <v>1</v>
      </c>
      <c r="AO15" s="0" t="n">
        <v>1</v>
      </c>
      <c r="AP15" s="0" t="n">
        <v>1</v>
      </c>
      <c r="AQ15" s="0" t="n">
        <v>1</v>
      </c>
      <c r="AR15" s="0" t="n">
        <v>1</v>
      </c>
      <c r="AS15" s="0" t="n">
        <v>1</v>
      </c>
      <c r="AT15" s="0" t="n">
        <v>1</v>
      </c>
      <c r="AU15" s="0" t="n">
        <v>1</v>
      </c>
      <c r="AV15" s="0" t="n">
        <v>1</v>
      </c>
      <c r="AW15" s="0" t="n">
        <v>1</v>
      </c>
      <c r="AX15" s="0" t="n">
        <v>1</v>
      </c>
      <c r="AY15" s="0" t="n">
        <v>1</v>
      </c>
      <c r="AZ15" s="0" t="n">
        <v>1</v>
      </c>
      <c r="BA15" s="0" t="n">
        <v>1</v>
      </c>
      <c r="BB15" s="0" t="n">
        <v>1</v>
      </c>
      <c r="BC15" s="0" t="n">
        <v>1</v>
      </c>
      <c r="BD15" s="0" t="n">
        <v>1</v>
      </c>
      <c r="BE15" s="0" t="n">
        <v>1</v>
      </c>
      <c r="BF15" s="0" t="n">
        <v>1</v>
      </c>
      <c r="BG15" s="0" t="n">
        <v>1</v>
      </c>
      <c r="BH15" s="0" t="n">
        <v>1</v>
      </c>
      <c r="BI15" s="0" t="n">
        <v>1</v>
      </c>
      <c r="BJ15" s="0" t="n">
        <v>1</v>
      </c>
      <c r="BK15" s="0" t="n">
        <v>1</v>
      </c>
    </row>
    <row r="16" customFormat="false" ht="12.8" hidden="false" customHeight="false" outlineLevel="0" collapsed="false">
      <c r="A16" s="0" t="n">
        <f aca="false">A15-1</f>
        <v>2003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1</v>
      </c>
      <c r="AF16" s="0" t="n">
        <v>1</v>
      </c>
      <c r="AG16" s="0" t="n">
        <v>1</v>
      </c>
      <c r="AH16" s="0" t="n">
        <v>1</v>
      </c>
      <c r="AI16" s="0" t="n">
        <v>1</v>
      </c>
      <c r="AJ16" s="0" t="n">
        <v>1</v>
      </c>
      <c r="AK16" s="0" t="n">
        <v>1</v>
      </c>
      <c r="AL16" s="0" t="n">
        <v>1</v>
      </c>
      <c r="AM16" s="0" t="n">
        <v>1</v>
      </c>
      <c r="AN16" s="0" t="n">
        <v>1</v>
      </c>
      <c r="AO16" s="0" t="n">
        <v>1</v>
      </c>
      <c r="AP16" s="0" t="n">
        <v>1</v>
      </c>
      <c r="AQ16" s="0" t="n">
        <v>1</v>
      </c>
      <c r="AR16" s="0" t="n">
        <v>1</v>
      </c>
      <c r="AS16" s="0" t="n">
        <v>1</v>
      </c>
      <c r="AT16" s="0" t="n">
        <v>1</v>
      </c>
      <c r="AU16" s="0" t="n">
        <v>1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1</v>
      </c>
      <c r="BC16" s="0" t="n">
        <v>1</v>
      </c>
      <c r="BD16" s="0" t="n">
        <v>1</v>
      </c>
      <c r="BE16" s="0" t="n">
        <v>1</v>
      </c>
      <c r="BF16" s="0" t="n">
        <v>1</v>
      </c>
      <c r="BG16" s="0" t="n">
        <v>1</v>
      </c>
      <c r="BH16" s="0" t="n">
        <v>1</v>
      </c>
      <c r="BI16" s="0" t="n">
        <v>1</v>
      </c>
      <c r="BJ16" s="0" t="n">
        <v>1</v>
      </c>
      <c r="BK16" s="0" t="n">
        <v>1</v>
      </c>
    </row>
    <row r="17" customFormat="false" ht="12.8" hidden="false" customHeight="false" outlineLevel="0" collapsed="false">
      <c r="A17" s="0" t="n">
        <f aca="false">A16-1</f>
        <v>2002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1</v>
      </c>
      <c r="AE17" s="0" t="n">
        <v>1</v>
      </c>
      <c r="AF17" s="0" t="n">
        <v>1</v>
      </c>
      <c r="AG17" s="0" t="n">
        <v>1</v>
      </c>
      <c r="AH17" s="0" t="n">
        <v>1</v>
      </c>
      <c r="AI17" s="0" t="n">
        <v>1</v>
      </c>
      <c r="AJ17" s="0" t="n">
        <v>1</v>
      </c>
      <c r="AK17" s="0" t="n">
        <v>1</v>
      </c>
      <c r="AL17" s="0" t="n">
        <v>1</v>
      </c>
      <c r="AM17" s="0" t="n">
        <v>1</v>
      </c>
      <c r="AN17" s="0" t="n">
        <v>1</v>
      </c>
      <c r="AO17" s="0" t="n">
        <v>1</v>
      </c>
      <c r="AP17" s="0" t="n">
        <v>1</v>
      </c>
      <c r="AQ17" s="0" t="n">
        <v>1</v>
      </c>
      <c r="AR17" s="0" t="n">
        <v>1</v>
      </c>
      <c r="AS17" s="0" t="n">
        <v>1</v>
      </c>
      <c r="AT17" s="0" t="n">
        <v>1</v>
      </c>
      <c r="AU17" s="0" t="n">
        <v>1</v>
      </c>
      <c r="AV17" s="0" t="n">
        <v>1</v>
      </c>
      <c r="AW17" s="0" t="n">
        <v>1</v>
      </c>
      <c r="AX17" s="0" t="n">
        <v>1</v>
      </c>
      <c r="AY17" s="0" t="n">
        <v>1</v>
      </c>
      <c r="AZ17" s="0" t="n">
        <v>1</v>
      </c>
      <c r="BA17" s="0" t="n">
        <v>1</v>
      </c>
      <c r="BB17" s="0" t="n">
        <v>1</v>
      </c>
      <c r="BC17" s="0" t="n">
        <v>1</v>
      </c>
      <c r="BD17" s="0" t="n">
        <v>1</v>
      </c>
      <c r="BE17" s="0" t="n">
        <v>1</v>
      </c>
      <c r="BF17" s="0" t="n">
        <v>1</v>
      </c>
      <c r="BG17" s="0" t="n">
        <v>1</v>
      </c>
      <c r="BH17" s="0" t="n">
        <v>1</v>
      </c>
      <c r="BI17" s="0" t="n">
        <v>1</v>
      </c>
      <c r="BJ17" s="0" t="n">
        <v>1</v>
      </c>
      <c r="BK17" s="0" t="n">
        <v>1</v>
      </c>
    </row>
    <row r="18" customFormat="false" ht="12.8" hidden="false" customHeight="false" outlineLevel="0" collapsed="false">
      <c r="A18" s="0" t="n">
        <f aca="false">A17-1</f>
        <v>2001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1</v>
      </c>
      <c r="AF18" s="0" t="n">
        <v>1</v>
      </c>
      <c r="AG18" s="0" t="n">
        <v>1</v>
      </c>
      <c r="AH18" s="0" t="n">
        <v>1</v>
      </c>
      <c r="AI18" s="0" t="n">
        <v>1</v>
      </c>
      <c r="AJ18" s="0" t="n">
        <v>1</v>
      </c>
      <c r="AK18" s="0" t="n">
        <v>1</v>
      </c>
      <c r="AL18" s="0" t="n">
        <v>1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1</v>
      </c>
      <c r="AT18" s="0" t="n">
        <v>1</v>
      </c>
      <c r="AU18" s="0" t="n">
        <v>1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1</v>
      </c>
      <c r="BA18" s="0" t="n">
        <v>1</v>
      </c>
      <c r="BB18" s="0" t="n">
        <v>1</v>
      </c>
      <c r="BC18" s="0" t="n">
        <v>1</v>
      </c>
      <c r="BD18" s="0" t="n">
        <v>1</v>
      </c>
      <c r="BE18" s="0" t="n">
        <v>1</v>
      </c>
      <c r="BF18" s="0" t="n">
        <v>1</v>
      </c>
      <c r="BG18" s="0" t="n">
        <v>1</v>
      </c>
      <c r="BH18" s="0" t="n">
        <v>1</v>
      </c>
      <c r="BI18" s="0" t="n">
        <v>1</v>
      </c>
      <c r="BJ18" s="0" t="n">
        <v>1</v>
      </c>
      <c r="BK18" s="0" t="n">
        <v>1</v>
      </c>
    </row>
    <row r="19" customFormat="false" ht="12.8" hidden="false" customHeight="false" outlineLevel="0" collapsed="false">
      <c r="A19" s="0" t="n">
        <f aca="false">A18-1</f>
        <v>2000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1</v>
      </c>
      <c r="AE19" s="0" t="n">
        <v>1</v>
      </c>
      <c r="AF19" s="0" t="n">
        <v>1</v>
      </c>
      <c r="AG19" s="0" t="n">
        <v>1</v>
      </c>
      <c r="AH19" s="0" t="n">
        <v>1</v>
      </c>
      <c r="AI19" s="0" t="n">
        <v>1</v>
      </c>
      <c r="AJ19" s="0" t="n">
        <v>1</v>
      </c>
      <c r="AK19" s="0" t="n">
        <v>1</v>
      </c>
      <c r="AL19" s="0" t="n">
        <v>1</v>
      </c>
      <c r="AM19" s="0" t="n">
        <v>1</v>
      </c>
      <c r="AN19" s="0" t="n">
        <v>1</v>
      </c>
      <c r="AO19" s="0" t="n">
        <v>1</v>
      </c>
      <c r="AP19" s="0" t="n">
        <v>1</v>
      </c>
      <c r="AQ19" s="0" t="n">
        <v>1</v>
      </c>
      <c r="AR19" s="0" t="n">
        <v>1</v>
      </c>
      <c r="AS19" s="0" t="n">
        <v>1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1</v>
      </c>
      <c r="AY19" s="0" t="n">
        <v>1</v>
      </c>
      <c r="AZ19" s="0" t="n">
        <v>1</v>
      </c>
      <c r="BA19" s="0" t="n">
        <v>1</v>
      </c>
      <c r="BB19" s="0" t="n">
        <v>1</v>
      </c>
      <c r="BC19" s="0" t="n">
        <v>1</v>
      </c>
      <c r="BD19" s="0" t="n">
        <v>1</v>
      </c>
      <c r="BE19" s="0" t="n">
        <v>1</v>
      </c>
      <c r="BF19" s="0" t="n">
        <v>1</v>
      </c>
      <c r="BG19" s="0" t="n">
        <v>1</v>
      </c>
      <c r="BH19" s="0" t="n">
        <v>1</v>
      </c>
      <c r="BI19" s="0" t="n">
        <v>1</v>
      </c>
      <c r="BJ19" s="0" t="n">
        <v>1</v>
      </c>
      <c r="BK19" s="0" t="n">
        <v>1</v>
      </c>
    </row>
    <row r="20" customFormat="false" ht="12.8" hidden="false" customHeight="false" outlineLevel="0" collapsed="false">
      <c r="A20" s="0" t="n">
        <f aca="false">A19-1</f>
        <v>1999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1</v>
      </c>
      <c r="AE20" s="0" t="n">
        <v>1</v>
      </c>
      <c r="AF20" s="0" t="n">
        <v>1</v>
      </c>
      <c r="AG20" s="0" t="n">
        <v>1</v>
      </c>
      <c r="AH20" s="0" t="n">
        <v>1</v>
      </c>
      <c r="AI20" s="0" t="n">
        <v>1</v>
      </c>
      <c r="AJ20" s="0" t="n">
        <v>1</v>
      </c>
      <c r="AK20" s="0" t="n">
        <v>1</v>
      </c>
      <c r="AL20" s="0" t="n">
        <v>1</v>
      </c>
      <c r="AM20" s="0" t="n">
        <v>1</v>
      </c>
      <c r="AN20" s="0" t="n">
        <v>1</v>
      </c>
      <c r="AO20" s="0" t="n">
        <v>1</v>
      </c>
      <c r="AP20" s="0" t="n">
        <v>1</v>
      </c>
      <c r="AQ20" s="0" t="n">
        <v>1</v>
      </c>
      <c r="AR20" s="0" t="n">
        <v>1</v>
      </c>
      <c r="AS20" s="0" t="n">
        <v>1</v>
      </c>
      <c r="AT20" s="0" t="n">
        <v>1</v>
      </c>
      <c r="AU20" s="0" t="n">
        <v>1</v>
      </c>
      <c r="AV20" s="0" t="n">
        <v>1</v>
      </c>
      <c r="AW20" s="0" t="n">
        <v>1</v>
      </c>
      <c r="AX20" s="0" t="n">
        <v>1</v>
      </c>
      <c r="AY20" s="0" t="n">
        <v>1</v>
      </c>
      <c r="AZ20" s="0" t="n">
        <v>1</v>
      </c>
      <c r="BA20" s="0" t="n">
        <v>1</v>
      </c>
      <c r="BB20" s="0" t="n">
        <v>1</v>
      </c>
      <c r="BC20" s="0" t="n">
        <v>1</v>
      </c>
      <c r="BD20" s="0" t="n">
        <v>1</v>
      </c>
      <c r="BE20" s="0" t="n">
        <v>1</v>
      </c>
      <c r="BF20" s="0" t="n">
        <v>1</v>
      </c>
      <c r="BG20" s="0" t="n">
        <v>1</v>
      </c>
      <c r="BH20" s="0" t="n">
        <v>1</v>
      </c>
      <c r="BI20" s="0" t="n">
        <v>1</v>
      </c>
      <c r="BJ20" s="0" t="n">
        <v>1</v>
      </c>
      <c r="BK20" s="0" t="n">
        <v>1</v>
      </c>
    </row>
    <row r="21" customFormat="false" ht="12.8" hidden="false" customHeight="false" outlineLevel="0" collapsed="false">
      <c r="A21" s="0" t="n">
        <f aca="false">A20-1</f>
        <v>1998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1</v>
      </c>
      <c r="BC21" s="0" t="n">
        <v>1</v>
      </c>
      <c r="BD21" s="0" t="n">
        <v>1</v>
      </c>
      <c r="BE21" s="0" t="n">
        <v>1</v>
      </c>
      <c r="BF21" s="0" t="n">
        <v>1</v>
      </c>
      <c r="BG21" s="0" t="n">
        <v>1</v>
      </c>
      <c r="BH21" s="0" t="n">
        <v>1</v>
      </c>
      <c r="BI21" s="0" t="n">
        <v>1</v>
      </c>
      <c r="BJ21" s="0" t="n">
        <v>1</v>
      </c>
      <c r="BK21" s="0" t="n">
        <v>1</v>
      </c>
    </row>
    <row r="22" customFormat="false" ht="12.8" hidden="false" customHeight="false" outlineLevel="0" collapsed="false">
      <c r="A22" s="0" t="n">
        <f aca="false">A21-1</f>
        <v>1997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1</v>
      </c>
      <c r="AE22" s="0" t="n">
        <v>1</v>
      </c>
      <c r="AF22" s="0" t="n">
        <v>1</v>
      </c>
      <c r="AG22" s="0" t="n">
        <v>1</v>
      </c>
      <c r="AH22" s="0" t="n">
        <v>1</v>
      </c>
      <c r="AI22" s="0" t="n">
        <v>1</v>
      </c>
      <c r="AJ22" s="0" t="n">
        <v>1</v>
      </c>
      <c r="AK22" s="0" t="n">
        <v>1</v>
      </c>
      <c r="AL22" s="0" t="n">
        <v>1</v>
      </c>
      <c r="AM22" s="0" t="n">
        <v>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1</v>
      </c>
      <c r="AV22" s="0" t="n">
        <v>1</v>
      </c>
      <c r="AW22" s="0" t="n">
        <v>1</v>
      </c>
      <c r="AX22" s="0" t="n">
        <v>1</v>
      </c>
      <c r="AY22" s="0" t="n">
        <v>1</v>
      </c>
      <c r="AZ22" s="0" t="n">
        <v>1</v>
      </c>
      <c r="BA22" s="0" t="n">
        <v>1</v>
      </c>
      <c r="BB22" s="0" t="n">
        <v>1</v>
      </c>
      <c r="BC22" s="0" t="n">
        <v>1</v>
      </c>
      <c r="BD22" s="0" t="n">
        <v>1</v>
      </c>
      <c r="BE22" s="0" t="n">
        <v>1</v>
      </c>
      <c r="BF22" s="0" t="n">
        <v>1</v>
      </c>
      <c r="BG22" s="0" t="n">
        <v>1</v>
      </c>
      <c r="BH22" s="0" t="n">
        <v>1</v>
      </c>
      <c r="BI22" s="0" t="n">
        <v>1</v>
      </c>
      <c r="BJ22" s="0" t="n">
        <v>1</v>
      </c>
      <c r="BK22" s="0" t="n">
        <v>1</v>
      </c>
    </row>
    <row r="23" customFormat="false" ht="12.8" hidden="false" customHeight="false" outlineLevel="0" collapsed="false">
      <c r="A23" s="0" t="n">
        <f aca="false">A22-1</f>
        <v>1996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1</v>
      </c>
      <c r="AE23" s="0" t="n">
        <v>1</v>
      </c>
      <c r="AF23" s="0" t="n">
        <v>1</v>
      </c>
      <c r="AG23" s="0" t="n">
        <v>1</v>
      </c>
      <c r="AH23" s="0" t="n">
        <v>1</v>
      </c>
      <c r="AI23" s="0" t="n">
        <v>1</v>
      </c>
      <c r="AJ23" s="0" t="n">
        <v>1</v>
      </c>
      <c r="AK23" s="0" t="n">
        <v>1</v>
      </c>
      <c r="AL23" s="0" t="n">
        <v>1</v>
      </c>
      <c r="AM23" s="0" t="n">
        <v>1</v>
      </c>
      <c r="AN23" s="0" t="n">
        <v>1</v>
      </c>
      <c r="AO23" s="0" t="n">
        <v>1</v>
      </c>
      <c r="AP23" s="0" t="n">
        <v>1</v>
      </c>
      <c r="AQ23" s="0" t="n">
        <v>1</v>
      </c>
      <c r="AR23" s="0" t="n">
        <v>1</v>
      </c>
      <c r="AS23" s="0" t="n">
        <v>1</v>
      </c>
      <c r="AT23" s="0" t="n">
        <v>1</v>
      </c>
      <c r="AU23" s="0" t="n">
        <v>1</v>
      </c>
      <c r="AV23" s="0" t="n">
        <v>1</v>
      </c>
      <c r="AW23" s="0" t="n">
        <v>1</v>
      </c>
      <c r="AX23" s="0" t="n">
        <v>1</v>
      </c>
      <c r="AY23" s="0" t="n">
        <v>1</v>
      </c>
      <c r="AZ23" s="0" t="n">
        <v>1</v>
      </c>
      <c r="BA23" s="0" t="n">
        <v>1</v>
      </c>
      <c r="BB23" s="0" t="n">
        <v>1</v>
      </c>
      <c r="BC23" s="0" t="n">
        <v>1</v>
      </c>
      <c r="BD23" s="0" t="n">
        <v>1</v>
      </c>
      <c r="BE23" s="0" t="n">
        <v>1</v>
      </c>
      <c r="BF23" s="0" t="n">
        <v>1</v>
      </c>
      <c r="BG23" s="0" t="n">
        <v>1</v>
      </c>
      <c r="BH23" s="0" t="n">
        <v>1</v>
      </c>
      <c r="BI23" s="0" t="n">
        <v>1</v>
      </c>
      <c r="BJ23" s="0" t="n">
        <v>1</v>
      </c>
      <c r="BK23" s="0" t="n">
        <v>1</v>
      </c>
    </row>
    <row r="24" customFormat="false" ht="12.8" hidden="false" customHeight="false" outlineLevel="0" collapsed="false">
      <c r="A24" s="0" t="n">
        <f aca="false">A23-1</f>
        <v>1995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1</v>
      </c>
      <c r="AF24" s="0" t="n">
        <v>1</v>
      </c>
      <c r="AG24" s="0" t="n">
        <v>1</v>
      </c>
      <c r="AH24" s="0" t="n">
        <v>1</v>
      </c>
      <c r="AI24" s="0" t="n">
        <v>1</v>
      </c>
      <c r="AJ24" s="0" t="n">
        <v>1</v>
      </c>
      <c r="AK24" s="0" t="n">
        <v>1</v>
      </c>
      <c r="AL24" s="0" t="n">
        <v>1</v>
      </c>
      <c r="AM24" s="0" t="n">
        <v>1</v>
      </c>
      <c r="AN24" s="0" t="n">
        <v>1</v>
      </c>
      <c r="AO24" s="0" t="n">
        <v>1</v>
      </c>
      <c r="AP24" s="0" t="n">
        <v>1</v>
      </c>
      <c r="AQ24" s="0" t="n">
        <v>1</v>
      </c>
      <c r="AR24" s="0" t="n">
        <v>1</v>
      </c>
      <c r="AS24" s="0" t="n">
        <v>1</v>
      </c>
      <c r="AT24" s="0" t="n">
        <v>1</v>
      </c>
      <c r="AU24" s="0" t="n">
        <v>1</v>
      </c>
      <c r="AV24" s="0" t="n">
        <v>1</v>
      </c>
      <c r="AW24" s="0" t="n">
        <v>1</v>
      </c>
      <c r="AX24" s="0" t="n">
        <v>1</v>
      </c>
      <c r="AY24" s="0" t="n">
        <v>1</v>
      </c>
      <c r="AZ24" s="0" t="n">
        <v>1</v>
      </c>
      <c r="BA24" s="0" t="n">
        <v>1</v>
      </c>
      <c r="BB24" s="0" t="n">
        <v>1</v>
      </c>
      <c r="BC24" s="0" t="n">
        <v>1</v>
      </c>
      <c r="BD24" s="0" t="n">
        <v>1</v>
      </c>
      <c r="BE24" s="0" t="n">
        <v>1</v>
      </c>
      <c r="BF24" s="0" t="n">
        <v>1</v>
      </c>
      <c r="BG24" s="0" t="n">
        <v>1</v>
      </c>
      <c r="BH24" s="0" t="n">
        <v>1</v>
      </c>
      <c r="BI24" s="0" t="n">
        <v>1</v>
      </c>
      <c r="BJ24" s="0" t="n">
        <v>1</v>
      </c>
      <c r="BK24" s="0" t="n">
        <v>1</v>
      </c>
    </row>
    <row r="25" customFormat="false" ht="12.8" hidden="false" customHeight="false" outlineLevel="0" collapsed="false">
      <c r="A25" s="0" t="n">
        <f aca="false">A24-1</f>
        <v>1994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1</v>
      </c>
      <c r="AE25" s="0" t="n">
        <v>1</v>
      </c>
      <c r="AF25" s="0" t="n">
        <v>1</v>
      </c>
      <c r="AG25" s="0" t="n">
        <v>1</v>
      </c>
      <c r="AH25" s="0" t="n">
        <v>1</v>
      </c>
      <c r="AI25" s="0" t="n">
        <v>1</v>
      </c>
      <c r="AJ25" s="0" t="n">
        <v>1</v>
      </c>
      <c r="AK25" s="0" t="n">
        <v>1</v>
      </c>
      <c r="AL25" s="0" t="n">
        <v>1</v>
      </c>
      <c r="AM25" s="0" t="n">
        <v>1</v>
      </c>
      <c r="AN25" s="0" t="n">
        <v>1</v>
      </c>
      <c r="AO25" s="0" t="n">
        <v>1</v>
      </c>
      <c r="AP25" s="0" t="n">
        <v>1</v>
      </c>
      <c r="AQ25" s="0" t="n">
        <v>1</v>
      </c>
      <c r="AR25" s="0" t="n">
        <v>1</v>
      </c>
      <c r="AS25" s="0" t="n">
        <v>1</v>
      </c>
      <c r="AT25" s="0" t="n">
        <v>1</v>
      </c>
      <c r="AU25" s="0" t="n">
        <v>1</v>
      </c>
      <c r="AV25" s="0" t="n">
        <v>1</v>
      </c>
      <c r="AW25" s="0" t="n">
        <v>1</v>
      </c>
      <c r="AX25" s="0" t="n">
        <v>1</v>
      </c>
      <c r="AY25" s="0" t="n">
        <v>1</v>
      </c>
      <c r="AZ25" s="0" t="n">
        <v>1</v>
      </c>
      <c r="BA25" s="0" t="n">
        <v>1</v>
      </c>
      <c r="BB25" s="0" t="n">
        <v>1</v>
      </c>
      <c r="BC25" s="0" t="n">
        <v>1</v>
      </c>
      <c r="BD25" s="0" t="n">
        <v>1</v>
      </c>
      <c r="BE25" s="0" t="n">
        <v>1</v>
      </c>
      <c r="BF25" s="0" t="n">
        <v>1</v>
      </c>
      <c r="BG25" s="0" t="n">
        <v>1</v>
      </c>
      <c r="BH25" s="0" t="n">
        <v>1</v>
      </c>
      <c r="BI25" s="0" t="n">
        <v>1</v>
      </c>
      <c r="BJ25" s="0" t="n">
        <v>1</v>
      </c>
      <c r="BK25" s="0" t="n">
        <v>1</v>
      </c>
    </row>
    <row r="26" customFormat="false" ht="12.8" hidden="false" customHeight="false" outlineLevel="0" collapsed="false">
      <c r="A26" s="0" t="n">
        <f aca="false">A25-1</f>
        <v>1993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1</v>
      </c>
      <c r="AE26" s="0" t="n">
        <v>1</v>
      </c>
      <c r="AF26" s="0" t="n">
        <v>1</v>
      </c>
      <c r="AG26" s="0" t="n">
        <v>1</v>
      </c>
      <c r="AH26" s="0" t="n">
        <v>1</v>
      </c>
      <c r="AI26" s="0" t="n">
        <v>1</v>
      </c>
      <c r="AJ26" s="0" t="n">
        <v>1</v>
      </c>
      <c r="AK26" s="0" t="n">
        <v>1</v>
      </c>
      <c r="AL26" s="0" t="n">
        <v>1</v>
      </c>
      <c r="AM26" s="0" t="n">
        <v>1</v>
      </c>
      <c r="AN26" s="0" t="n">
        <v>1</v>
      </c>
      <c r="AO26" s="0" t="n">
        <v>1</v>
      </c>
      <c r="AP26" s="0" t="n">
        <v>1</v>
      </c>
      <c r="AQ26" s="0" t="n">
        <v>1</v>
      </c>
      <c r="AR26" s="0" t="n">
        <v>1</v>
      </c>
      <c r="AS26" s="0" t="n">
        <v>1</v>
      </c>
      <c r="AT26" s="0" t="n">
        <v>1</v>
      </c>
      <c r="AU26" s="0" t="n">
        <v>1</v>
      </c>
      <c r="AV26" s="0" t="n">
        <v>1</v>
      </c>
      <c r="AW26" s="0" t="n">
        <v>1</v>
      </c>
      <c r="AX26" s="0" t="n">
        <v>1</v>
      </c>
      <c r="AY26" s="0" t="n">
        <v>1</v>
      </c>
      <c r="AZ26" s="0" t="n">
        <v>1</v>
      </c>
      <c r="BA26" s="0" t="n">
        <v>1</v>
      </c>
      <c r="BB26" s="0" t="n">
        <v>1</v>
      </c>
      <c r="BC26" s="0" t="n">
        <v>1</v>
      </c>
      <c r="BD26" s="0" t="n">
        <v>1</v>
      </c>
      <c r="BE26" s="0" t="n">
        <v>1</v>
      </c>
      <c r="BF26" s="0" t="n">
        <v>1</v>
      </c>
      <c r="BG26" s="0" t="n">
        <v>1</v>
      </c>
      <c r="BH26" s="0" t="n">
        <v>1</v>
      </c>
      <c r="BI26" s="0" t="n">
        <v>1</v>
      </c>
      <c r="BJ26" s="0" t="n">
        <v>1</v>
      </c>
      <c r="BK26" s="0" t="n">
        <v>1</v>
      </c>
    </row>
    <row r="27" customFormat="false" ht="12.8" hidden="false" customHeight="false" outlineLevel="0" collapsed="false">
      <c r="A27" s="0" t="n">
        <f aca="false">A26-1</f>
        <v>1992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1</v>
      </c>
      <c r="AE27" s="0" t="n">
        <v>1</v>
      </c>
      <c r="AF27" s="0" t="n">
        <v>1</v>
      </c>
      <c r="AG27" s="0" t="n">
        <v>1</v>
      </c>
      <c r="AH27" s="0" t="n">
        <v>1</v>
      </c>
      <c r="AI27" s="0" t="n">
        <v>1</v>
      </c>
      <c r="AJ27" s="0" t="n">
        <v>1</v>
      </c>
      <c r="AK27" s="0" t="n">
        <v>1</v>
      </c>
      <c r="AL27" s="0" t="n">
        <v>1</v>
      </c>
      <c r="AM27" s="0" t="n">
        <v>1</v>
      </c>
      <c r="AN27" s="0" t="n">
        <v>1</v>
      </c>
      <c r="AO27" s="0" t="n">
        <v>1</v>
      </c>
      <c r="AP27" s="0" t="n">
        <v>1</v>
      </c>
      <c r="AQ27" s="0" t="n">
        <v>1</v>
      </c>
      <c r="AR27" s="0" t="n">
        <v>1</v>
      </c>
      <c r="AS27" s="0" t="n">
        <v>1</v>
      </c>
      <c r="AT27" s="0" t="n">
        <v>1</v>
      </c>
      <c r="AU27" s="0" t="n">
        <v>1</v>
      </c>
      <c r="AV27" s="0" t="n">
        <v>1</v>
      </c>
      <c r="AW27" s="0" t="n">
        <v>1</v>
      </c>
      <c r="AX27" s="0" t="n">
        <v>1</v>
      </c>
      <c r="AY27" s="0" t="n">
        <v>1</v>
      </c>
      <c r="AZ27" s="0" t="n">
        <v>1</v>
      </c>
      <c r="BA27" s="0" t="n">
        <v>1</v>
      </c>
      <c r="BB27" s="0" t="n">
        <v>1</v>
      </c>
      <c r="BC27" s="0" t="n">
        <v>1</v>
      </c>
      <c r="BD27" s="0" t="n">
        <v>1</v>
      </c>
      <c r="BE27" s="0" t="n">
        <v>1</v>
      </c>
      <c r="BF27" s="0" t="n">
        <v>1</v>
      </c>
      <c r="BG27" s="0" t="n">
        <v>1</v>
      </c>
      <c r="BH27" s="0" t="n">
        <v>1</v>
      </c>
      <c r="BI27" s="0" t="n">
        <v>1</v>
      </c>
      <c r="BJ27" s="0" t="n">
        <v>1</v>
      </c>
      <c r="BK27" s="0" t="n">
        <v>1</v>
      </c>
    </row>
    <row r="28" customFormat="false" ht="12.8" hidden="false" customHeight="false" outlineLevel="0" collapsed="false">
      <c r="A28" s="0" t="n">
        <f aca="false">A27-1</f>
        <v>1991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1</v>
      </c>
      <c r="AE28" s="0" t="n">
        <v>1</v>
      </c>
      <c r="AF28" s="0" t="n">
        <v>1</v>
      </c>
      <c r="AG28" s="0" t="n">
        <v>1</v>
      </c>
      <c r="AH28" s="0" t="n">
        <v>1</v>
      </c>
      <c r="AI28" s="0" t="n">
        <v>1</v>
      </c>
      <c r="AJ28" s="0" t="n">
        <v>1</v>
      </c>
      <c r="AK28" s="0" t="n">
        <v>1</v>
      </c>
      <c r="AL28" s="0" t="n">
        <v>1</v>
      </c>
      <c r="AM28" s="0" t="n">
        <v>1</v>
      </c>
      <c r="AN28" s="0" t="n">
        <v>1</v>
      </c>
      <c r="AO28" s="0" t="n">
        <v>1</v>
      </c>
      <c r="AP28" s="0" t="n">
        <v>1</v>
      </c>
      <c r="AQ28" s="0" t="n">
        <v>1</v>
      </c>
      <c r="AR28" s="0" t="n">
        <v>1</v>
      </c>
      <c r="AS28" s="0" t="n">
        <v>1</v>
      </c>
      <c r="AT28" s="0" t="n">
        <v>1</v>
      </c>
      <c r="AU28" s="0" t="n">
        <v>1</v>
      </c>
      <c r="AV28" s="0" t="n">
        <v>1</v>
      </c>
      <c r="AW28" s="0" t="n">
        <v>1</v>
      </c>
      <c r="AX28" s="0" t="n">
        <v>1</v>
      </c>
      <c r="AY28" s="0" t="n">
        <v>1</v>
      </c>
      <c r="AZ28" s="0" t="n">
        <v>1</v>
      </c>
      <c r="BA28" s="0" t="n">
        <v>1</v>
      </c>
      <c r="BB28" s="0" t="n">
        <v>1</v>
      </c>
      <c r="BC28" s="0" t="n">
        <v>1</v>
      </c>
      <c r="BD28" s="0" t="n">
        <v>1</v>
      </c>
      <c r="BE28" s="0" t="n">
        <v>1</v>
      </c>
      <c r="BF28" s="0" t="n">
        <v>1</v>
      </c>
      <c r="BG28" s="0" t="n">
        <v>1</v>
      </c>
      <c r="BH28" s="0" t="n">
        <v>1</v>
      </c>
      <c r="BI28" s="0" t="n">
        <v>1</v>
      </c>
      <c r="BJ28" s="0" t="n">
        <v>1</v>
      </c>
      <c r="BK28" s="0" t="n">
        <v>1</v>
      </c>
    </row>
    <row r="29" customFormat="false" ht="12.8" hidden="false" customHeight="false" outlineLevel="0" collapsed="false">
      <c r="A29" s="0" t="n">
        <f aca="false">A28-1</f>
        <v>1990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1</v>
      </c>
      <c r="AE29" s="0" t="n">
        <v>1</v>
      </c>
      <c r="AF29" s="0" t="n">
        <v>1</v>
      </c>
      <c r="AG29" s="0" t="n">
        <v>1</v>
      </c>
      <c r="AH29" s="0" t="n">
        <v>1</v>
      </c>
      <c r="AI29" s="0" t="n">
        <v>1</v>
      </c>
      <c r="AJ29" s="0" t="n">
        <v>1</v>
      </c>
      <c r="AK29" s="0" t="n">
        <v>1</v>
      </c>
      <c r="AL29" s="0" t="n">
        <v>1</v>
      </c>
      <c r="AM29" s="0" t="n">
        <v>1</v>
      </c>
      <c r="AN29" s="0" t="n">
        <v>1</v>
      </c>
      <c r="AO29" s="0" t="n">
        <v>1</v>
      </c>
      <c r="AP29" s="0" t="n">
        <v>1</v>
      </c>
      <c r="AQ29" s="0" t="n">
        <v>1</v>
      </c>
      <c r="AR29" s="0" t="n">
        <v>1</v>
      </c>
      <c r="AS29" s="0" t="n">
        <v>1</v>
      </c>
      <c r="AT29" s="0" t="n">
        <v>1</v>
      </c>
      <c r="AU29" s="0" t="n">
        <v>1</v>
      </c>
      <c r="AV29" s="0" t="n">
        <v>1</v>
      </c>
      <c r="AW29" s="0" t="n">
        <v>1</v>
      </c>
      <c r="AX29" s="0" t="n">
        <v>1</v>
      </c>
      <c r="AY29" s="0" t="n">
        <v>1</v>
      </c>
      <c r="AZ29" s="0" t="n">
        <v>1</v>
      </c>
      <c r="BA29" s="0" t="n">
        <v>1</v>
      </c>
      <c r="BB29" s="0" t="n">
        <v>1</v>
      </c>
      <c r="BC29" s="0" t="n">
        <v>1</v>
      </c>
      <c r="BD29" s="0" t="n">
        <v>1</v>
      </c>
      <c r="BE29" s="0" t="n">
        <v>1</v>
      </c>
      <c r="BF29" s="0" t="n">
        <v>1</v>
      </c>
      <c r="BG29" s="0" t="n">
        <v>1</v>
      </c>
      <c r="BH29" s="0" t="n">
        <v>1</v>
      </c>
      <c r="BI29" s="0" t="n">
        <v>1</v>
      </c>
      <c r="BJ29" s="0" t="n">
        <v>1</v>
      </c>
      <c r="BK29" s="0" t="n">
        <v>1</v>
      </c>
    </row>
    <row r="30" customFormat="false" ht="12.8" hidden="false" customHeight="false" outlineLevel="0" collapsed="false">
      <c r="A30" s="0" t="n">
        <f aca="false">A29-1</f>
        <v>1989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1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1</v>
      </c>
      <c r="AK30" s="0" t="n">
        <v>1</v>
      </c>
      <c r="AL30" s="0" t="n">
        <v>1</v>
      </c>
      <c r="AM30" s="0" t="n">
        <v>1</v>
      </c>
      <c r="AN30" s="0" t="n">
        <v>1</v>
      </c>
      <c r="AO30" s="0" t="n">
        <v>1</v>
      </c>
      <c r="AP30" s="0" t="n">
        <v>1</v>
      </c>
      <c r="AQ30" s="0" t="n">
        <v>1</v>
      </c>
      <c r="AR30" s="0" t="n">
        <v>1</v>
      </c>
      <c r="AS30" s="0" t="n">
        <v>1</v>
      </c>
      <c r="AT30" s="0" t="n">
        <v>1</v>
      </c>
      <c r="AU30" s="0" t="n">
        <v>1</v>
      </c>
      <c r="AV30" s="0" t="n">
        <v>1</v>
      </c>
      <c r="AW30" s="0" t="n">
        <v>1</v>
      </c>
      <c r="AX30" s="0" t="n">
        <v>1</v>
      </c>
      <c r="AY30" s="0" t="n">
        <v>1</v>
      </c>
      <c r="AZ30" s="0" t="n">
        <v>1</v>
      </c>
      <c r="BA30" s="0" t="n">
        <v>1</v>
      </c>
      <c r="BB30" s="0" t="n">
        <v>1</v>
      </c>
      <c r="BC30" s="0" t="n">
        <v>1</v>
      </c>
      <c r="BD30" s="0" t="n">
        <v>1</v>
      </c>
      <c r="BE30" s="0" t="n">
        <v>1</v>
      </c>
      <c r="BF30" s="0" t="n">
        <v>1</v>
      </c>
      <c r="BG30" s="0" t="n">
        <v>1</v>
      </c>
      <c r="BH30" s="0" t="n">
        <v>1</v>
      </c>
      <c r="BI30" s="0" t="n">
        <v>1</v>
      </c>
      <c r="BJ30" s="0" t="n">
        <v>1</v>
      </c>
      <c r="BK30" s="0" t="n">
        <v>1</v>
      </c>
    </row>
    <row r="31" customFormat="false" ht="12.8" hidden="false" customHeight="false" outlineLevel="0" collapsed="false">
      <c r="A31" s="0" t="n">
        <f aca="false">A30-1</f>
        <v>1988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1</v>
      </c>
      <c r="AE31" s="0" t="n">
        <v>1</v>
      </c>
      <c r="AF31" s="0" t="n">
        <v>1</v>
      </c>
      <c r="AG31" s="0" t="n">
        <v>1</v>
      </c>
      <c r="AH31" s="0" t="n">
        <v>1</v>
      </c>
      <c r="AI31" s="0" t="n">
        <v>1</v>
      </c>
      <c r="AJ31" s="0" t="n">
        <v>1</v>
      </c>
      <c r="AK31" s="0" t="n">
        <v>1</v>
      </c>
      <c r="AL31" s="0" t="n">
        <v>1</v>
      </c>
      <c r="AM31" s="0" t="n">
        <v>1</v>
      </c>
      <c r="AN31" s="0" t="n">
        <v>1</v>
      </c>
      <c r="AO31" s="0" t="n">
        <v>1</v>
      </c>
      <c r="AP31" s="0" t="n">
        <v>1</v>
      </c>
      <c r="AQ31" s="0" t="n">
        <v>1</v>
      </c>
      <c r="AR31" s="0" t="n">
        <v>1</v>
      </c>
      <c r="AS31" s="0" t="n">
        <v>1</v>
      </c>
      <c r="AT31" s="0" t="n">
        <v>1</v>
      </c>
      <c r="AU31" s="0" t="n">
        <v>1</v>
      </c>
      <c r="AV31" s="0" t="n">
        <v>1</v>
      </c>
      <c r="AW31" s="0" t="n">
        <v>1</v>
      </c>
      <c r="AX31" s="0" t="n">
        <v>1</v>
      </c>
      <c r="AY31" s="0" t="n">
        <v>1</v>
      </c>
      <c r="AZ31" s="0" t="n">
        <v>1</v>
      </c>
      <c r="BA31" s="0" t="n">
        <v>1</v>
      </c>
      <c r="BB31" s="0" t="n">
        <v>1</v>
      </c>
      <c r="BC31" s="0" t="n">
        <v>1</v>
      </c>
      <c r="BD31" s="0" t="n">
        <v>1</v>
      </c>
      <c r="BE31" s="0" t="n">
        <v>1</v>
      </c>
      <c r="BF31" s="0" t="n">
        <v>1</v>
      </c>
      <c r="BG31" s="0" t="n">
        <v>1</v>
      </c>
      <c r="BH31" s="0" t="n">
        <v>1</v>
      </c>
      <c r="BI31" s="0" t="n">
        <v>1</v>
      </c>
      <c r="BJ31" s="0" t="n">
        <v>1</v>
      </c>
      <c r="BK31" s="0" t="n">
        <v>1</v>
      </c>
    </row>
    <row r="32" customFormat="false" ht="12.8" hidden="false" customHeight="false" outlineLevel="0" collapsed="false">
      <c r="A32" s="0" t="n">
        <f aca="false">A31-1</f>
        <v>1987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1</v>
      </c>
      <c r="AE32" s="0" t="n">
        <v>1</v>
      </c>
      <c r="AF32" s="0" t="n">
        <v>1</v>
      </c>
      <c r="AG32" s="0" t="n">
        <v>1</v>
      </c>
      <c r="AH32" s="0" t="n">
        <v>1</v>
      </c>
      <c r="AI32" s="0" t="n">
        <v>1</v>
      </c>
      <c r="AJ32" s="0" t="n">
        <v>1</v>
      </c>
      <c r="AK32" s="0" t="n">
        <v>1</v>
      </c>
      <c r="AL32" s="0" t="n">
        <v>1</v>
      </c>
      <c r="AM32" s="0" t="n">
        <v>1</v>
      </c>
      <c r="AN32" s="0" t="n">
        <v>1</v>
      </c>
      <c r="AO32" s="0" t="n">
        <v>1</v>
      </c>
      <c r="AP32" s="0" t="n">
        <v>1</v>
      </c>
      <c r="AQ32" s="0" t="n">
        <v>1</v>
      </c>
      <c r="AR32" s="0" t="n">
        <v>1</v>
      </c>
      <c r="AS32" s="0" t="n">
        <v>1</v>
      </c>
      <c r="AT32" s="0" t="n">
        <v>1</v>
      </c>
      <c r="AU32" s="0" t="n">
        <v>1</v>
      </c>
      <c r="AV32" s="0" t="n">
        <v>1</v>
      </c>
      <c r="AW32" s="0" t="n">
        <v>1</v>
      </c>
      <c r="AX32" s="0" t="n">
        <v>1</v>
      </c>
      <c r="AY32" s="0" t="n">
        <v>1</v>
      </c>
      <c r="AZ32" s="0" t="n">
        <v>1</v>
      </c>
      <c r="BA32" s="0" t="n">
        <v>1</v>
      </c>
      <c r="BB32" s="0" t="n">
        <v>1</v>
      </c>
      <c r="BC32" s="0" t="n">
        <v>1</v>
      </c>
      <c r="BD32" s="0" t="n">
        <v>1</v>
      </c>
      <c r="BE32" s="0" t="n">
        <v>1</v>
      </c>
      <c r="BF32" s="0" t="n">
        <v>1</v>
      </c>
      <c r="BG32" s="0" t="n">
        <v>1</v>
      </c>
      <c r="BH32" s="0" t="n">
        <v>1</v>
      </c>
      <c r="BI32" s="0" t="n">
        <v>1</v>
      </c>
      <c r="BJ32" s="0" t="n">
        <v>1</v>
      </c>
      <c r="BK32" s="0" t="n">
        <v>1</v>
      </c>
    </row>
    <row r="33" customFormat="false" ht="12.8" hidden="false" customHeight="false" outlineLevel="0" collapsed="false">
      <c r="A33" s="0" t="n">
        <f aca="false">A32-1</f>
        <v>1986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1</v>
      </c>
      <c r="AE33" s="0" t="n">
        <v>1</v>
      </c>
      <c r="AF33" s="0" t="n">
        <v>1</v>
      </c>
      <c r="AG33" s="0" t="n">
        <v>1</v>
      </c>
      <c r="AH33" s="0" t="n">
        <v>1</v>
      </c>
      <c r="AI33" s="0" t="n">
        <v>1</v>
      </c>
      <c r="AJ33" s="0" t="n">
        <v>1</v>
      </c>
      <c r="AK33" s="0" t="n">
        <v>1</v>
      </c>
      <c r="AL33" s="0" t="n">
        <v>1</v>
      </c>
      <c r="AM33" s="0" t="n">
        <v>1</v>
      </c>
      <c r="AN33" s="0" t="n">
        <v>1</v>
      </c>
      <c r="AO33" s="0" t="n">
        <v>1</v>
      </c>
      <c r="AP33" s="0" t="n">
        <v>1</v>
      </c>
      <c r="AQ33" s="0" t="n">
        <v>1</v>
      </c>
      <c r="AR33" s="0" t="n">
        <v>1</v>
      </c>
      <c r="AS33" s="0" t="n">
        <v>1</v>
      </c>
      <c r="AT33" s="0" t="n">
        <v>1</v>
      </c>
      <c r="AU33" s="0" t="n">
        <v>1</v>
      </c>
      <c r="AV33" s="0" t="n">
        <v>1</v>
      </c>
      <c r="AW33" s="0" t="n">
        <v>1</v>
      </c>
      <c r="AX33" s="0" t="n">
        <v>1</v>
      </c>
      <c r="AY33" s="0" t="n">
        <v>1</v>
      </c>
      <c r="AZ33" s="0" t="n">
        <v>1</v>
      </c>
      <c r="BA33" s="0" t="n">
        <v>1</v>
      </c>
      <c r="BB33" s="0" t="n">
        <v>1</v>
      </c>
      <c r="BC33" s="0" t="n">
        <v>1</v>
      </c>
      <c r="BD33" s="0" t="n">
        <v>1</v>
      </c>
      <c r="BE33" s="0" t="n">
        <v>1</v>
      </c>
      <c r="BF33" s="0" t="n">
        <v>1</v>
      </c>
      <c r="BG33" s="0" t="n">
        <v>1</v>
      </c>
      <c r="BH33" s="0" t="n">
        <v>1</v>
      </c>
      <c r="BI33" s="0" t="n">
        <v>1</v>
      </c>
      <c r="BJ33" s="0" t="n">
        <v>1</v>
      </c>
      <c r="BK33" s="0" t="n">
        <v>1</v>
      </c>
    </row>
    <row r="34" customFormat="false" ht="12.8" hidden="false" customHeight="false" outlineLevel="0" collapsed="false">
      <c r="A34" s="0" t="n">
        <f aca="false">A33-1</f>
        <v>1985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1</v>
      </c>
      <c r="AE34" s="0" t="n">
        <v>1</v>
      </c>
      <c r="AF34" s="0" t="n">
        <v>1</v>
      </c>
      <c r="AG34" s="0" t="n">
        <v>1</v>
      </c>
      <c r="AH34" s="0" t="n">
        <v>1</v>
      </c>
      <c r="AI34" s="0" t="n">
        <v>1</v>
      </c>
      <c r="AJ34" s="0" t="n">
        <v>1</v>
      </c>
      <c r="AK34" s="0" t="n">
        <v>1</v>
      </c>
      <c r="AL34" s="0" t="n">
        <v>1</v>
      </c>
      <c r="AM34" s="0" t="n">
        <v>1</v>
      </c>
      <c r="AN34" s="0" t="n">
        <v>1</v>
      </c>
      <c r="AO34" s="0" t="n">
        <v>1</v>
      </c>
      <c r="AP34" s="0" t="n">
        <v>1</v>
      </c>
      <c r="AQ34" s="0" t="n">
        <v>1</v>
      </c>
      <c r="AR34" s="0" t="n">
        <v>1</v>
      </c>
      <c r="AS34" s="0" t="n">
        <v>1</v>
      </c>
      <c r="AT34" s="0" t="n">
        <v>1</v>
      </c>
      <c r="AU34" s="0" t="n">
        <v>1</v>
      </c>
      <c r="AV34" s="0" t="n">
        <v>1</v>
      </c>
      <c r="AW34" s="0" t="n">
        <v>1</v>
      </c>
      <c r="AX34" s="0" t="n">
        <v>1</v>
      </c>
      <c r="AY34" s="0" t="n">
        <v>1</v>
      </c>
      <c r="AZ34" s="0" t="n">
        <v>1</v>
      </c>
      <c r="BA34" s="0" t="n">
        <v>1</v>
      </c>
      <c r="BB34" s="0" t="n">
        <v>1</v>
      </c>
      <c r="BC34" s="0" t="n">
        <v>1</v>
      </c>
      <c r="BD34" s="0" t="n">
        <v>1</v>
      </c>
      <c r="BE34" s="0" t="n">
        <v>1</v>
      </c>
      <c r="BF34" s="0" t="n">
        <v>1</v>
      </c>
      <c r="BG34" s="0" t="n">
        <v>1</v>
      </c>
      <c r="BH34" s="0" t="n">
        <v>1</v>
      </c>
      <c r="BI34" s="0" t="n">
        <v>1</v>
      </c>
      <c r="BJ34" s="0" t="n">
        <v>1</v>
      </c>
      <c r="BK34" s="0" t="n">
        <v>1</v>
      </c>
    </row>
    <row r="35" customFormat="false" ht="12.8" hidden="false" customHeight="false" outlineLevel="0" collapsed="false">
      <c r="A35" s="0" t="n">
        <f aca="false">A34-1</f>
        <v>1984</v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1</v>
      </c>
      <c r="AE35" s="0" t="n">
        <v>1</v>
      </c>
      <c r="AF35" s="0" t="n">
        <v>1</v>
      </c>
      <c r="AG35" s="0" t="n">
        <v>1</v>
      </c>
      <c r="AH35" s="0" t="n">
        <v>1</v>
      </c>
      <c r="AI35" s="0" t="n">
        <v>1</v>
      </c>
      <c r="AJ35" s="0" t="n">
        <v>1</v>
      </c>
      <c r="AK35" s="0" t="n">
        <v>1</v>
      </c>
      <c r="AL35" s="0" t="n">
        <v>1</v>
      </c>
      <c r="AM35" s="0" t="n">
        <v>1</v>
      </c>
      <c r="AN35" s="0" t="n">
        <v>1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1</v>
      </c>
      <c r="AV35" s="0" t="n">
        <v>1</v>
      </c>
      <c r="AW35" s="0" t="n">
        <v>1</v>
      </c>
      <c r="AX35" s="0" t="n">
        <v>1</v>
      </c>
      <c r="AY35" s="0" t="n">
        <v>1</v>
      </c>
      <c r="AZ35" s="0" t="n">
        <v>1</v>
      </c>
      <c r="BA35" s="0" t="n">
        <v>1</v>
      </c>
      <c r="BB35" s="0" t="n">
        <v>1</v>
      </c>
      <c r="BC35" s="0" t="n">
        <v>1</v>
      </c>
      <c r="BD35" s="0" t="n">
        <v>1</v>
      </c>
      <c r="BE35" s="0" t="n">
        <v>1</v>
      </c>
      <c r="BF35" s="0" t="n">
        <v>1</v>
      </c>
      <c r="BG35" s="0" t="n">
        <v>1</v>
      </c>
      <c r="BH35" s="0" t="n">
        <v>1</v>
      </c>
      <c r="BI35" s="0" t="n">
        <v>1</v>
      </c>
      <c r="BJ35" s="0" t="n">
        <v>1</v>
      </c>
      <c r="BK35" s="0" t="n">
        <v>1</v>
      </c>
    </row>
    <row r="36" customFormat="false" ht="12.8" hidden="false" customHeight="false" outlineLevel="0" collapsed="false">
      <c r="A36" s="0" t="n">
        <f aca="false">A35-1</f>
        <v>1983</v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1</v>
      </c>
      <c r="AE36" s="0" t="n">
        <v>1</v>
      </c>
      <c r="AF36" s="0" t="n">
        <v>1</v>
      </c>
      <c r="AG36" s="0" t="n">
        <v>1</v>
      </c>
      <c r="AH36" s="0" t="n">
        <v>1</v>
      </c>
      <c r="AI36" s="0" t="n">
        <v>1</v>
      </c>
      <c r="AJ36" s="0" t="n">
        <v>1</v>
      </c>
      <c r="AK36" s="0" t="n">
        <v>1</v>
      </c>
      <c r="AL36" s="0" t="n">
        <v>1</v>
      </c>
      <c r="AM36" s="0" t="n">
        <v>1</v>
      </c>
      <c r="AN36" s="0" t="n">
        <v>1</v>
      </c>
      <c r="AO36" s="0" t="n">
        <v>1</v>
      </c>
      <c r="AP36" s="0" t="n">
        <v>1</v>
      </c>
      <c r="AQ36" s="0" t="n">
        <v>1</v>
      </c>
      <c r="AR36" s="0" t="n">
        <v>1</v>
      </c>
      <c r="AS36" s="0" t="n">
        <v>1</v>
      </c>
      <c r="AT36" s="0" t="n">
        <v>1</v>
      </c>
      <c r="AU36" s="0" t="n">
        <v>1</v>
      </c>
      <c r="AV36" s="0" t="n">
        <v>1</v>
      </c>
      <c r="AW36" s="0" t="n">
        <v>1</v>
      </c>
      <c r="AX36" s="0" t="n">
        <v>1</v>
      </c>
      <c r="AY36" s="0" t="n">
        <v>1</v>
      </c>
      <c r="AZ36" s="0" t="n">
        <v>1</v>
      </c>
      <c r="BA36" s="0" t="n">
        <v>1</v>
      </c>
      <c r="BB36" s="0" t="n">
        <v>1</v>
      </c>
      <c r="BC36" s="0" t="n">
        <v>1</v>
      </c>
      <c r="BD36" s="0" t="n">
        <v>1</v>
      </c>
      <c r="BE36" s="0" t="n">
        <v>1</v>
      </c>
      <c r="BF36" s="0" t="n">
        <v>1</v>
      </c>
      <c r="BG36" s="0" t="n">
        <v>1</v>
      </c>
      <c r="BH36" s="0" t="n">
        <v>1</v>
      </c>
      <c r="BI36" s="0" t="n">
        <v>1</v>
      </c>
      <c r="BJ36" s="0" t="n">
        <v>1</v>
      </c>
      <c r="BK36" s="0" t="n">
        <v>1</v>
      </c>
    </row>
    <row r="37" customFormat="false" ht="12.8" hidden="false" customHeight="false" outlineLevel="0" collapsed="false">
      <c r="A37" s="0" t="n">
        <f aca="false">A36-1</f>
        <v>1982</v>
      </c>
      <c r="B37" s="0" t="n">
        <v>1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1</v>
      </c>
      <c r="AE37" s="0" t="n">
        <v>1</v>
      </c>
      <c r="AF37" s="0" t="n">
        <v>1</v>
      </c>
      <c r="AG37" s="0" t="n">
        <v>1</v>
      </c>
      <c r="AH37" s="0" t="n">
        <v>1</v>
      </c>
      <c r="AI37" s="0" t="n">
        <v>1</v>
      </c>
      <c r="AJ37" s="0" t="n">
        <v>1</v>
      </c>
      <c r="AK37" s="0" t="n">
        <v>1</v>
      </c>
      <c r="AL37" s="0" t="n">
        <v>1</v>
      </c>
      <c r="AM37" s="0" t="n">
        <v>1</v>
      </c>
      <c r="AN37" s="0" t="n">
        <v>1</v>
      </c>
      <c r="AO37" s="0" t="n">
        <v>1</v>
      </c>
      <c r="AP37" s="0" t="n">
        <v>1</v>
      </c>
      <c r="AQ37" s="0" t="n">
        <v>1</v>
      </c>
      <c r="AR37" s="0" t="n">
        <v>1</v>
      </c>
      <c r="AS37" s="0" t="n">
        <v>1</v>
      </c>
      <c r="AT37" s="0" t="n">
        <v>1</v>
      </c>
      <c r="AU37" s="0" t="n">
        <v>1</v>
      </c>
      <c r="AV37" s="0" t="n">
        <v>1</v>
      </c>
      <c r="AW37" s="0" t="n">
        <v>1</v>
      </c>
      <c r="AX37" s="0" t="n">
        <v>1</v>
      </c>
      <c r="AY37" s="0" t="n">
        <v>1</v>
      </c>
      <c r="AZ37" s="0" t="n">
        <v>1</v>
      </c>
      <c r="BA37" s="0" t="n">
        <v>1</v>
      </c>
      <c r="BB37" s="0" t="n">
        <v>1</v>
      </c>
      <c r="BC37" s="0" t="n">
        <v>1</v>
      </c>
      <c r="BD37" s="0" t="n">
        <v>1</v>
      </c>
      <c r="BE37" s="0" t="n">
        <v>1</v>
      </c>
      <c r="BF37" s="0" t="n">
        <v>1</v>
      </c>
      <c r="BG37" s="0" t="n">
        <v>1</v>
      </c>
      <c r="BH37" s="0" t="n">
        <v>1</v>
      </c>
      <c r="BI37" s="0" t="n">
        <v>1</v>
      </c>
      <c r="BJ37" s="0" t="n">
        <v>1</v>
      </c>
      <c r="BK37" s="0" t="n">
        <v>1</v>
      </c>
    </row>
    <row r="38" customFormat="false" ht="12.8" hidden="false" customHeight="false" outlineLevel="0" collapsed="false">
      <c r="A38" s="0" t="n">
        <f aca="false">A37-1</f>
        <v>1981</v>
      </c>
      <c r="B38" s="0" t="n">
        <v>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1</v>
      </c>
      <c r="AD38" s="0" t="n">
        <v>1</v>
      </c>
      <c r="AE38" s="0" t="n">
        <v>1</v>
      </c>
      <c r="AF38" s="0" t="n">
        <v>1</v>
      </c>
      <c r="AG38" s="0" t="n">
        <v>1</v>
      </c>
      <c r="AH38" s="0" t="n">
        <v>1</v>
      </c>
      <c r="AI38" s="0" t="n">
        <v>1</v>
      </c>
      <c r="AJ38" s="0" t="n">
        <v>1</v>
      </c>
      <c r="AK38" s="0" t="n">
        <v>1</v>
      </c>
      <c r="AL38" s="0" t="n">
        <v>1</v>
      </c>
      <c r="AM38" s="0" t="n">
        <v>1</v>
      </c>
      <c r="AN38" s="0" t="n">
        <v>1</v>
      </c>
      <c r="AO38" s="0" t="n">
        <v>1</v>
      </c>
      <c r="AP38" s="0" t="n">
        <v>1</v>
      </c>
      <c r="AQ38" s="0" t="n">
        <v>1</v>
      </c>
      <c r="AR38" s="0" t="n">
        <v>1</v>
      </c>
      <c r="AS38" s="0" t="n">
        <v>1</v>
      </c>
      <c r="AT38" s="0" t="n">
        <v>1</v>
      </c>
      <c r="AU38" s="0" t="n">
        <v>1</v>
      </c>
      <c r="AV38" s="0" t="n">
        <v>1</v>
      </c>
      <c r="AW38" s="0" t="n">
        <v>1</v>
      </c>
      <c r="AX38" s="0" t="n">
        <v>1</v>
      </c>
      <c r="AY38" s="0" t="n">
        <v>1</v>
      </c>
      <c r="AZ38" s="0" t="n">
        <v>1</v>
      </c>
      <c r="BA38" s="0" t="n">
        <v>1</v>
      </c>
      <c r="BB38" s="0" t="n">
        <v>1</v>
      </c>
      <c r="BC38" s="0" t="n">
        <v>1</v>
      </c>
      <c r="BD38" s="0" t="n">
        <v>1</v>
      </c>
      <c r="BE38" s="0" t="n">
        <v>1</v>
      </c>
      <c r="BF38" s="0" t="n">
        <v>1</v>
      </c>
      <c r="BG38" s="0" t="n">
        <v>1</v>
      </c>
      <c r="BH38" s="0" t="n">
        <v>1</v>
      </c>
      <c r="BI38" s="0" t="n">
        <v>1</v>
      </c>
      <c r="BJ38" s="0" t="n">
        <v>1</v>
      </c>
      <c r="BK38" s="0" t="n">
        <v>1</v>
      </c>
    </row>
    <row r="39" customFormat="false" ht="12.8" hidden="false" customHeight="false" outlineLevel="0" collapsed="false">
      <c r="A39" s="0" t="n">
        <f aca="false">A38-1</f>
        <v>1980</v>
      </c>
      <c r="B39" s="0" t="n">
        <v>1</v>
      </c>
      <c r="C39" s="0" t="n">
        <v>1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1</v>
      </c>
      <c r="AE39" s="0" t="n">
        <v>1</v>
      </c>
      <c r="AF39" s="0" t="n">
        <v>1</v>
      </c>
      <c r="AG39" s="0" t="n">
        <v>1</v>
      </c>
      <c r="AH39" s="0" t="n">
        <v>1</v>
      </c>
      <c r="AI39" s="0" t="n">
        <v>1</v>
      </c>
      <c r="AJ39" s="0" t="n">
        <v>1</v>
      </c>
      <c r="AK39" s="0" t="n">
        <v>1</v>
      </c>
      <c r="AL39" s="0" t="n">
        <v>1</v>
      </c>
      <c r="AM39" s="0" t="n">
        <v>1</v>
      </c>
      <c r="AN39" s="0" t="n">
        <v>1</v>
      </c>
      <c r="AO39" s="0" t="n">
        <v>1</v>
      </c>
      <c r="AP39" s="0" t="n">
        <v>1</v>
      </c>
      <c r="AQ39" s="0" t="n">
        <v>1</v>
      </c>
      <c r="AR39" s="0" t="n">
        <v>1</v>
      </c>
      <c r="AS39" s="0" t="n">
        <v>1</v>
      </c>
      <c r="AT39" s="0" t="n">
        <v>1</v>
      </c>
      <c r="AU39" s="0" t="n">
        <v>1</v>
      </c>
      <c r="AV39" s="0" t="n">
        <v>1</v>
      </c>
      <c r="AW39" s="0" t="n">
        <v>1</v>
      </c>
      <c r="AX39" s="0" t="n">
        <v>1</v>
      </c>
      <c r="AY39" s="0" t="n">
        <v>1</v>
      </c>
      <c r="AZ39" s="0" t="n">
        <v>1</v>
      </c>
      <c r="BA39" s="0" t="n">
        <v>1</v>
      </c>
      <c r="BB39" s="0" t="n">
        <v>1</v>
      </c>
      <c r="BC39" s="0" t="n">
        <v>1</v>
      </c>
      <c r="BD39" s="0" t="n">
        <v>1</v>
      </c>
      <c r="BE39" s="0" t="n">
        <v>1</v>
      </c>
      <c r="BF39" s="0" t="n">
        <v>1</v>
      </c>
      <c r="BG39" s="0" t="n">
        <v>1</v>
      </c>
      <c r="BH39" s="0" t="n">
        <v>1</v>
      </c>
      <c r="BI39" s="0" t="n">
        <v>1</v>
      </c>
      <c r="BJ39" s="0" t="n">
        <v>1</v>
      </c>
      <c r="BK39" s="0" t="n">
        <v>1</v>
      </c>
    </row>
    <row r="40" customFormat="false" ht="12.8" hidden="false" customHeight="false" outlineLevel="0" collapsed="false">
      <c r="A40" s="0" t="n">
        <f aca="false">A39-1</f>
        <v>1979</v>
      </c>
      <c r="B40" s="0" t="n">
        <v>1</v>
      </c>
      <c r="C40" s="0" t="n">
        <v>1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1</v>
      </c>
      <c r="AE40" s="0" t="n">
        <v>1</v>
      </c>
      <c r="AF40" s="0" t="n">
        <v>1</v>
      </c>
      <c r="AG40" s="0" t="n">
        <v>1</v>
      </c>
      <c r="AH40" s="0" t="n">
        <v>1</v>
      </c>
      <c r="AI40" s="0" t="n">
        <v>1</v>
      </c>
      <c r="AJ40" s="0" t="n">
        <v>1</v>
      </c>
      <c r="AK40" s="0" t="n">
        <v>1</v>
      </c>
      <c r="AL40" s="0" t="n">
        <v>1</v>
      </c>
      <c r="AM40" s="0" t="n">
        <v>1</v>
      </c>
      <c r="AN40" s="0" t="n">
        <v>1</v>
      </c>
      <c r="AO40" s="0" t="n">
        <v>1</v>
      </c>
      <c r="AP40" s="0" t="n">
        <v>1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1</v>
      </c>
      <c r="AV40" s="0" t="n">
        <v>1</v>
      </c>
      <c r="AW40" s="0" t="n">
        <v>1</v>
      </c>
      <c r="AX40" s="0" t="n">
        <v>1</v>
      </c>
      <c r="AY40" s="0" t="n">
        <v>1</v>
      </c>
      <c r="AZ40" s="0" t="n">
        <v>1</v>
      </c>
      <c r="BA40" s="0" t="n">
        <v>1</v>
      </c>
      <c r="BB40" s="0" t="n">
        <v>1</v>
      </c>
      <c r="BC40" s="0" t="n">
        <v>1</v>
      </c>
      <c r="BD40" s="0" t="n">
        <v>1</v>
      </c>
      <c r="BE40" s="0" t="n">
        <v>1</v>
      </c>
      <c r="BF40" s="0" t="n">
        <v>1</v>
      </c>
      <c r="BG40" s="0" t="n">
        <v>1</v>
      </c>
      <c r="BH40" s="0" t="n">
        <v>1</v>
      </c>
      <c r="BI40" s="0" t="n">
        <v>1</v>
      </c>
      <c r="BJ40" s="0" t="n">
        <v>1</v>
      </c>
      <c r="BK40" s="0" t="n">
        <v>1</v>
      </c>
    </row>
    <row r="41" customFormat="false" ht="12.8" hidden="false" customHeight="false" outlineLevel="0" collapsed="false">
      <c r="A41" s="0" t="n">
        <f aca="false">A40-1</f>
        <v>1978</v>
      </c>
      <c r="B41" s="0" t="n">
        <v>1</v>
      </c>
      <c r="C41" s="0" t="n">
        <v>1</v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1</v>
      </c>
      <c r="AE41" s="0" t="n">
        <v>1</v>
      </c>
      <c r="AF41" s="0" t="n">
        <v>1</v>
      </c>
      <c r="AG41" s="0" t="n">
        <v>1</v>
      </c>
      <c r="AH41" s="0" t="n">
        <v>1</v>
      </c>
      <c r="AI41" s="0" t="n">
        <v>1</v>
      </c>
      <c r="AJ41" s="0" t="n">
        <v>1</v>
      </c>
      <c r="AK41" s="0" t="n">
        <v>1</v>
      </c>
      <c r="AL41" s="0" t="n">
        <v>1</v>
      </c>
      <c r="AM41" s="0" t="n">
        <v>1</v>
      </c>
      <c r="AN41" s="0" t="n">
        <v>1</v>
      </c>
      <c r="AO41" s="0" t="n">
        <v>1</v>
      </c>
      <c r="AP41" s="0" t="n">
        <v>1</v>
      </c>
      <c r="AQ41" s="0" t="n">
        <v>1</v>
      </c>
      <c r="AR41" s="0" t="n">
        <v>1</v>
      </c>
      <c r="AS41" s="0" t="n">
        <v>1</v>
      </c>
      <c r="AT41" s="0" t="n">
        <v>1</v>
      </c>
      <c r="AU41" s="0" t="n">
        <v>1</v>
      </c>
      <c r="AV41" s="0" t="n">
        <v>1</v>
      </c>
      <c r="AW41" s="0" t="n">
        <v>1</v>
      </c>
      <c r="AX41" s="0" t="n">
        <v>1</v>
      </c>
      <c r="AY41" s="0" t="n">
        <v>1</v>
      </c>
      <c r="AZ41" s="0" t="n">
        <v>1</v>
      </c>
      <c r="BA41" s="0" t="n">
        <v>1</v>
      </c>
      <c r="BB41" s="0" t="n">
        <v>1</v>
      </c>
      <c r="BC41" s="0" t="n">
        <v>1</v>
      </c>
      <c r="BD41" s="0" t="n">
        <v>1</v>
      </c>
      <c r="BE41" s="0" t="n">
        <v>1</v>
      </c>
      <c r="BF41" s="0" t="n">
        <v>1</v>
      </c>
      <c r="BG41" s="0" t="n">
        <v>1</v>
      </c>
      <c r="BH41" s="0" t="n">
        <v>1</v>
      </c>
      <c r="BI41" s="0" t="n">
        <v>1</v>
      </c>
      <c r="BJ41" s="0" t="n">
        <v>1</v>
      </c>
      <c r="BK41" s="0" t="n">
        <v>1</v>
      </c>
    </row>
    <row r="42" customFormat="false" ht="12.8" hidden="false" customHeight="false" outlineLevel="0" collapsed="false">
      <c r="A42" s="0" t="n">
        <f aca="false">A41-1</f>
        <v>1977</v>
      </c>
      <c r="B42" s="0" t="n">
        <v>1</v>
      </c>
      <c r="C42" s="0" t="n">
        <v>1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1</v>
      </c>
      <c r="AE42" s="0" t="n">
        <v>1</v>
      </c>
      <c r="AF42" s="0" t="n">
        <v>1</v>
      </c>
      <c r="AG42" s="0" t="n">
        <v>1</v>
      </c>
      <c r="AH42" s="0" t="n">
        <v>1</v>
      </c>
      <c r="AI42" s="0" t="n">
        <v>1</v>
      </c>
      <c r="AJ42" s="0" t="n">
        <v>1</v>
      </c>
      <c r="AK42" s="0" t="n">
        <v>1</v>
      </c>
      <c r="AL42" s="0" t="n">
        <v>1</v>
      </c>
      <c r="AM42" s="0" t="n">
        <v>1</v>
      </c>
      <c r="AN42" s="0" t="n">
        <v>1</v>
      </c>
      <c r="AO42" s="0" t="n">
        <v>1</v>
      </c>
      <c r="AP42" s="0" t="n">
        <v>1</v>
      </c>
      <c r="AQ42" s="0" t="n">
        <v>1</v>
      </c>
      <c r="AR42" s="0" t="n">
        <v>1</v>
      </c>
      <c r="AS42" s="0" t="n">
        <v>1</v>
      </c>
      <c r="AT42" s="0" t="n">
        <v>1</v>
      </c>
      <c r="AU42" s="0" t="n">
        <v>1</v>
      </c>
      <c r="AV42" s="0" t="n">
        <v>1</v>
      </c>
      <c r="AW42" s="0" t="n">
        <v>1</v>
      </c>
      <c r="AX42" s="0" t="n">
        <v>1</v>
      </c>
      <c r="AY42" s="0" t="n">
        <v>1</v>
      </c>
      <c r="AZ42" s="0" t="n">
        <v>1</v>
      </c>
      <c r="BA42" s="0" t="n">
        <v>1</v>
      </c>
      <c r="BB42" s="0" t="n">
        <v>1</v>
      </c>
      <c r="BC42" s="0" t="n">
        <v>1</v>
      </c>
      <c r="BD42" s="0" t="n">
        <v>1</v>
      </c>
      <c r="BE42" s="0" t="n">
        <v>1</v>
      </c>
      <c r="BF42" s="0" t="n">
        <v>1</v>
      </c>
      <c r="BG42" s="0" t="n">
        <v>1</v>
      </c>
      <c r="BH42" s="0" t="n">
        <v>1</v>
      </c>
      <c r="BI42" s="0" t="n">
        <v>1</v>
      </c>
      <c r="BJ42" s="0" t="n">
        <v>1</v>
      </c>
      <c r="BK42" s="0" t="n">
        <v>1</v>
      </c>
    </row>
    <row r="43" customFormat="false" ht="12.8" hidden="false" customHeight="false" outlineLevel="0" collapsed="false">
      <c r="A43" s="0" t="n">
        <f aca="false">A42-1</f>
        <v>1976</v>
      </c>
      <c r="B43" s="0" t="n">
        <v>1</v>
      </c>
      <c r="C43" s="0" t="n">
        <v>1</v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1</v>
      </c>
      <c r="AE43" s="0" t="n">
        <v>1</v>
      </c>
      <c r="AF43" s="0" t="n">
        <v>1</v>
      </c>
      <c r="AG43" s="0" t="n">
        <v>1</v>
      </c>
      <c r="AH43" s="0" t="n">
        <v>1</v>
      </c>
      <c r="AI43" s="0" t="n">
        <v>1</v>
      </c>
      <c r="AJ43" s="0" t="n">
        <v>1</v>
      </c>
      <c r="AK43" s="0" t="n">
        <v>1</v>
      </c>
      <c r="AL43" s="0" t="n">
        <v>1</v>
      </c>
      <c r="AM43" s="0" t="n">
        <v>1</v>
      </c>
      <c r="AN43" s="0" t="n">
        <v>1</v>
      </c>
      <c r="AO43" s="0" t="n">
        <v>1</v>
      </c>
      <c r="AP43" s="0" t="n">
        <v>1</v>
      </c>
      <c r="AQ43" s="0" t="n">
        <v>1</v>
      </c>
      <c r="AR43" s="0" t="n">
        <v>1</v>
      </c>
      <c r="AS43" s="0" t="n">
        <v>1</v>
      </c>
      <c r="AT43" s="0" t="n">
        <v>1</v>
      </c>
      <c r="AU43" s="0" t="n">
        <v>1</v>
      </c>
      <c r="AV43" s="0" t="n">
        <v>1</v>
      </c>
      <c r="AW43" s="0" t="n">
        <v>1</v>
      </c>
      <c r="AX43" s="0" t="n">
        <v>1</v>
      </c>
      <c r="AY43" s="0" t="n">
        <v>1</v>
      </c>
      <c r="AZ43" s="0" t="n">
        <v>1</v>
      </c>
      <c r="BA43" s="0" t="n">
        <v>1</v>
      </c>
      <c r="BB43" s="0" t="n">
        <v>1</v>
      </c>
      <c r="BC43" s="0" t="n">
        <v>1</v>
      </c>
      <c r="BD43" s="0" t="n">
        <v>1</v>
      </c>
      <c r="BE43" s="0" t="n">
        <v>1</v>
      </c>
      <c r="BF43" s="0" t="n">
        <v>1</v>
      </c>
      <c r="BG43" s="0" t="n">
        <v>1</v>
      </c>
      <c r="BH43" s="0" t="n">
        <v>1</v>
      </c>
      <c r="BI43" s="0" t="n">
        <v>1</v>
      </c>
      <c r="BJ43" s="0" t="n">
        <v>1</v>
      </c>
      <c r="BK43" s="0" t="n">
        <v>1</v>
      </c>
    </row>
    <row r="44" customFormat="false" ht="12.8" hidden="false" customHeight="false" outlineLevel="0" collapsed="false">
      <c r="A44" s="0" t="n">
        <f aca="false">A43-1</f>
        <v>1975</v>
      </c>
      <c r="B44" s="0" t="n">
        <v>1</v>
      </c>
      <c r="C44" s="0" t="n">
        <v>1</v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1</v>
      </c>
      <c r="AE44" s="0" t="n">
        <v>1</v>
      </c>
      <c r="AF44" s="0" t="n">
        <v>1</v>
      </c>
      <c r="AG44" s="0" t="n">
        <v>1</v>
      </c>
      <c r="AH44" s="0" t="n">
        <v>1</v>
      </c>
      <c r="AI44" s="0" t="n">
        <v>1</v>
      </c>
      <c r="AJ44" s="0" t="n">
        <v>1</v>
      </c>
      <c r="AK44" s="0" t="n">
        <v>1</v>
      </c>
      <c r="AL44" s="0" t="n">
        <v>1</v>
      </c>
      <c r="AM44" s="0" t="n">
        <v>1</v>
      </c>
      <c r="AN44" s="0" t="n">
        <v>1</v>
      </c>
      <c r="AO44" s="0" t="n">
        <v>1</v>
      </c>
      <c r="AP44" s="0" t="n">
        <v>1</v>
      </c>
      <c r="AQ44" s="0" t="n">
        <v>1</v>
      </c>
      <c r="AR44" s="0" t="n">
        <v>1</v>
      </c>
      <c r="AS44" s="0" t="n">
        <v>1</v>
      </c>
      <c r="AT44" s="0" t="n">
        <v>1</v>
      </c>
      <c r="AU44" s="0" t="n">
        <v>1</v>
      </c>
      <c r="AV44" s="0" t="n">
        <v>1</v>
      </c>
      <c r="AW44" s="0" t="n">
        <v>1</v>
      </c>
      <c r="AX44" s="0" t="n">
        <v>1</v>
      </c>
      <c r="AY44" s="0" t="n">
        <v>1</v>
      </c>
      <c r="AZ44" s="0" t="n">
        <v>1</v>
      </c>
      <c r="BA44" s="0" t="n">
        <v>1</v>
      </c>
      <c r="BB44" s="0" t="n">
        <v>1</v>
      </c>
      <c r="BC44" s="0" t="n">
        <v>1</v>
      </c>
      <c r="BD44" s="0" t="n">
        <v>1</v>
      </c>
      <c r="BE44" s="0" t="n">
        <v>1</v>
      </c>
      <c r="BF44" s="0" t="n">
        <v>1</v>
      </c>
      <c r="BG44" s="0" t="n">
        <v>1</v>
      </c>
      <c r="BH44" s="0" t="n">
        <v>1</v>
      </c>
      <c r="BI44" s="0" t="n">
        <v>1</v>
      </c>
      <c r="BJ44" s="0" t="n">
        <v>1</v>
      </c>
      <c r="BK44" s="0" t="n">
        <v>1</v>
      </c>
    </row>
    <row r="45" customFormat="false" ht="12.8" hidden="false" customHeight="false" outlineLevel="0" collapsed="false">
      <c r="A45" s="0" t="n">
        <f aca="false">A44-1</f>
        <v>1974</v>
      </c>
      <c r="B45" s="0" t="n">
        <v>1</v>
      </c>
      <c r="C45" s="0" t="n">
        <v>1</v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1</v>
      </c>
      <c r="AE45" s="0" t="n">
        <v>1</v>
      </c>
      <c r="AF45" s="0" t="n">
        <v>1</v>
      </c>
      <c r="AG45" s="0" t="n">
        <v>1</v>
      </c>
      <c r="AH45" s="0" t="n">
        <v>1</v>
      </c>
      <c r="AI45" s="0" t="n">
        <v>1</v>
      </c>
      <c r="AJ45" s="0" t="n">
        <v>1</v>
      </c>
      <c r="AK45" s="0" t="n">
        <v>1</v>
      </c>
      <c r="AL45" s="0" t="n">
        <v>1</v>
      </c>
      <c r="AM45" s="0" t="n">
        <v>1</v>
      </c>
      <c r="AN45" s="0" t="n">
        <v>1</v>
      </c>
      <c r="AO45" s="0" t="n">
        <v>1</v>
      </c>
      <c r="AP45" s="0" t="n">
        <v>1</v>
      </c>
      <c r="AQ45" s="0" t="n">
        <v>1</v>
      </c>
      <c r="AR45" s="0" t="n">
        <v>1</v>
      </c>
      <c r="AS45" s="0" t="n">
        <v>1</v>
      </c>
      <c r="AT45" s="0" t="n">
        <v>1</v>
      </c>
      <c r="AU45" s="0" t="n">
        <v>1</v>
      </c>
      <c r="AV45" s="0" t="n">
        <v>1</v>
      </c>
      <c r="AW45" s="0" t="n">
        <v>1</v>
      </c>
      <c r="AX45" s="0" t="n">
        <v>1</v>
      </c>
      <c r="AY45" s="0" t="n">
        <v>1</v>
      </c>
      <c r="AZ45" s="0" t="n">
        <v>1</v>
      </c>
      <c r="BA45" s="0" t="n">
        <v>1</v>
      </c>
      <c r="BB45" s="0" t="n">
        <v>1</v>
      </c>
      <c r="BC45" s="0" t="n">
        <v>1</v>
      </c>
      <c r="BD45" s="0" t="n">
        <v>1</v>
      </c>
      <c r="BE45" s="0" t="n">
        <v>1</v>
      </c>
      <c r="BF45" s="0" t="n">
        <v>1</v>
      </c>
      <c r="BG45" s="0" t="n">
        <v>1</v>
      </c>
      <c r="BH45" s="0" t="n">
        <v>1</v>
      </c>
      <c r="BI45" s="0" t="n">
        <v>1</v>
      </c>
      <c r="BJ45" s="0" t="n">
        <v>1</v>
      </c>
      <c r="BK45" s="0" t="n">
        <v>1</v>
      </c>
    </row>
    <row r="46" customFormat="false" ht="12.8" hidden="false" customHeight="false" outlineLevel="0" collapsed="false">
      <c r="A46" s="0" t="n">
        <f aca="false">A45-1</f>
        <v>1973</v>
      </c>
      <c r="B46" s="0" t="n">
        <v>1</v>
      </c>
      <c r="C46" s="0" t="n">
        <v>1</v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1</v>
      </c>
      <c r="AD46" s="0" t="n">
        <v>1</v>
      </c>
      <c r="AE46" s="0" t="n">
        <v>1</v>
      </c>
      <c r="AF46" s="0" t="n">
        <v>1</v>
      </c>
      <c r="AG46" s="0" t="n">
        <v>1</v>
      </c>
      <c r="AH46" s="0" t="n">
        <v>1</v>
      </c>
      <c r="AI46" s="0" t="n">
        <v>1</v>
      </c>
      <c r="AJ46" s="0" t="n">
        <v>1</v>
      </c>
      <c r="AK46" s="0" t="n">
        <v>1</v>
      </c>
      <c r="AL46" s="0" t="n">
        <v>1</v>
      </c>
      <c r="AM46" s="0" t="n">
        <v>1</v>
      </c>
      <c r="AN46" s="0" t="n">
        <v>1</v>
      </c>
      <c r="AO46" s="0" t="n">
        <v>1</v>
      </c>
      <c r="AP46" s="0" t="n">
        <v>1</v>
      </c>
      <c r="AQ46" s="0" t="n">
        <v>1</v>
      </c>
      <c r="AR46" s="0" t="n">
        <v>1</v>
      </c>
      <c r="AS46" s="0" t="n">
        <v>1</v>
      </c>
      <c r="AT46" s="0" t="n">
        <v>1</v>
      </c>
      <c r="AU46" s="0" t="n">
        <v>1</v>
      </c>
      <c r="AV46" s="0" t="n">
        <v>1</v>
      </c>
      <c r="AW46" s="0" t="n">
        <v>1</v>
      </c>
      <c r="AX46" s="0" t="n">
        <v>1</v>
      </c>
      <c r="AY46" s="0" t="n">
        <v>1</v>
      </c>
      <c r="AZ46" s="0" t="n">
        <v>1</v>
      </c>
      <c r="BA46" s="0" t="n">
        <v>1</v>
      </c>
      <c r="BB46" s="0" t="n">
        <v>1</v>
      </c>
      <c r="BC46" s="0" t="n">
        <v>1</v>
      </c>
      <c r="BD46" s="0" t="n">
        <v>1</v>
      </c>
      <c r="BE46" s="0" t="n">
        <v>1</v>
      </c>
      <c r="BF46" s="0" t="n">
        <v>1</v>
      </c>
      <c r="BG46" s="0" t="n">
        <v>1</v>
      </c>
      <c r="BH46" s="0" t="n">
        <v>1</v>
      </c>
      <c r="BI46" s="0" t="n">
        <v>1</v>
      </c>
      <c r="BJ46" s="0" t="n">
        <v>1</v>
      </c>
      <c r="BK46" s="0" t="n">
        <v>1</v>
      </c>
    </row>
    <row r="47" customFormat="false" ht="12.8" hidden="false" customHeight="false" outlineLevel="0" collapsed="false">
      <c r="A47" s="0" t="n">
        <f aca="false">A46-1</f>
        <v>1972</v>
      </c>
      <c r="B47" s="0" t="n">
        <v>1</v>
      </c>
      <c r="C47" s="0" t="n">
        <v>1</v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1</v>
      </c>
      <c r="AE47" s="0" t="n">
        <v>1</v>
      </c>
      <c r="AF47" s="0" t="n">
        <v>1</v>
      </c>
      <c r="AG47" s="0" t="n">
        <v>1</v>
      </c>
      <c r="AH47" s="0" t="n">
        <v>1</v>
      </c>
      <c r="AI47" s="0" t="n">
        <v>1</v>
      </c>
      <c r="AJ47" s="0" t="n">
        <v>1</v>
      </c>
      <c r="AK47" s="0" t="n">
        <v>1</v>
      </c>
      <c r="AL47" s="0" t="n">
        <v>1</v>
      </c>
      <c r="AM47" s="0" t="n">
        <v>1</v>
      </c>
      <c r="AN47" s="0" t="n">
        <v>1</v>
      </c>
      <c r="AO47" s="0" t="n">
        <v>1</v>
      </c>
      <c r="AP47" s="0" t="n">
        <v>1</v>
      </c>
      <c r="AQ47" s="0" t="n">
        <v>1</v>
      </c>
      <c r="AR47" s="0" t="n">
        <v>1</v>
      </c>
      <c r="AS47" s="0" t="n">
        <v>1</v>
      </c>
      <c r="AT47" s="0" t="n">
        <v>1</v>
      </c>
      <c r="AU47" s="0" t="n">
        <v>1</v>
      </c>
      <c r="AV47" s="0" t="n">
        <v>1</v>
      </c>
      <c r="AW47" s="0" t="n">
        <v>1</v>
      </c>
      <c r="AX47" s="0" t="n">
        <v>1</v>
      </c>
      <c r="AY47" s="0" t="n">
        <v>1</v>
      </c>
      <c r="AZ47" s="0" t="n">
        <v>1</v>
      </c>
      <c r="BA47" s="0" t="n">
        <v>1</v>
      </c>
      <c r="BB47" s="0" t="n">
        <v>1</v>
      </c>
      <c r="BC47" s="0" t="n">
        <v>1</v>
      </c>
      <c r="BD47" s="0" t="n">
        <v>1</v>
      </c>
      <c r="BE47" s="0" t="n">
        <v>1</v>
      </c>
      <c r="BF47" s="0" t="n">
        <v>1</v>
      </c>
      <c r="BG47" s="0" t="n">
        <v>1</v>
      </c>
      <c r="BH47" s="0" t="n">
        <v>1</v>
      </c>
      <c r="BI47" s="0" t="n">
        <v>1</v>
      </c>
      <c r="BJ47" s="0" t="n">
        <v>1</v>
      </c>
      <c r="BK47" s="0" t="n">
        <v>1</v>
      </c>
    </row>
    <row r="48" customFormat="false" ht="12.8" hidden="false" customHeight="false" outlineLevel="0" collapsed="false">
      <c r="A48" s="0" t="n">
        <f aca="false">A47-1</f>
        <v>1971</v>
      </c>
      <c r="B48" s="0" t="n">
        <v>1</v>
      </c>
      <c r="C48" s="0" t="n">
        <v>1</v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1</v>
      </c>
      <c r="AE48" s="0" t="n">
        <v>1</v>
      </c>
      <c r="AF48" s="0" t="n">
        <v>1</v>
      </c>
      <c r="AG48" s="0" t="n">
        <v>1</v>
      </c>
      <c r="AH48" s="0" t="n">
        <v>1</v>
      </c>
      <c r="AI48" s="0" t="n">
        <v>1</v>
      </c>
      <c r="AJ48" s="0" t="n">
        <v>1</v>
      </c>
      <c r="AK48" s="0" t="n">
        <v>1</v>
      </c>
      <c r="AL48" s="0" t="n">
        <v>1</v>
      </c>
      <c r="AM48" s="0" t="n">
        <v>1</v>
      </c>
      <c r="AN48" s="0" t="n">
        <v>1</v>
      </c>
      <c r="AO48" s="0" t="n">
        <v>1</v>
      </c>
      <c r="AP48" s="0" t="n">
        <v>1</v>
      </c>
      <c r="AQ48" s="0" t="n">
        <v>1</v>
      </c>
      <c r="AR48" s="0" t="n">
        <v>1</v>
      </c>
      <c r="AS48" s="0" t="n">
        <v>1</v>
      </c>
      <c r="AT48" s="0" t="n">
        <v>1</v>
      </c>
      <c r="AU48" s="0" t="n">
        <v>1</v>
      </c>
      <c r="AV48" s="0" t="n">
        <v>1</v>
      </c>
      <c r="AW48" s="0" t="n">
        <v>1</v>
      </c>
      <c r="AX48" s="0" t="n">
        <v>1</v>
      </c>
      <c r="AY48" s="0" t="n">
        <v>1</v>
      </c>
      <c r="AZ48" s="0" t="n">
        <v>1</v>
      </c>
      <c r="BA48" s="0" t="n">
        <v>1</v>
      </c>
      <c r="BB48" s="0" t="n">
        <v>1</v>
      </c>
      <c r="BC48" s="0" t="n">
        <v>1</v>
      </c>
      <c r="BD48" s="0" t="n">
        <v>1</v>
      </c>
      <c r="BE48" s="0" t="n">
        <v>1</v>
      </c>
      <c r="BF48" s="0" t="n">
        <v>1</v>
      </c>
      <c r="BG48" s="0" t="n">
        <v>1</v>
      </c>
      <c r="BH48" s="0" t="n">
        <v>1</v>
      </c>
      <c r="BI48" s="0" t="n">
        <v>1</v>
      </c>
      <c r="BJ48" s="0" t="n">
        <v>1</v>
      </c>
      <c r="BK48" s="0" t="n">
        <v>1</v>
      </c>
    </row>
    <row r="49" customFormat="false" ht="12.8" hidden="false" customHeight="false" outlineLevel="0" collapsed="false">
      <c r="A49" s="0" t="n">
        <f aca="false">A48-1</f>
        <v>1970</v>
      </c>
      <c r="B49" s="0" t="n">
        <v>1</v>
      </c>
      <c r="C49" s="0" t="n">
        <v>1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1</v>
      </c>
      <c r="AE49" s="0" t="n">
        <v>1</v>
      </c>
      <c r="AF49" s="0" t="n">
        <v>1</v>
      </c>
      <c r="AG49" s="0" t="n">
        <v>1</v>
      </c>
      <c r="AH49" s="0" t="n">
        <v>1</v>
      </c>
      <c r="AI49" s="0" t="n">
        <v>1</v>
      </c>
      <c r="AJ49" s="0" t="n">
        <v>1</v>
      </c>
      <c r="AK49" s="0" t="n">
        <v>1</v>
      </c>
      <c r="AL49" s="0" t="n">
        <v>1</v>
      </c>
      <c r="AM49" s="0" t="n">
        <v>1</v>
      </c>
      <c r="AN49" s="0" t="n">
        <v>1</v>
      </c>
      <c r="AO49" s="0" t="n">
        <v>1</v>
      </c>
      <c r="AP49" s="0" t="n">
        <v>1</v>
      </c>
      <c r="AQ49" s="0" t="n">
        <v>1</v>
      </c>
      <c r="AR49" s="0" t="n">
        <v>1</v>
      </c>
      <c r="AS49" s="0" t="n">
        <v>1</v>
      </c>
      <c r="AT49" s="0" t="n">
        <v>1</v>
      </c>
      <c r="AU49" s="0" t="n">
        <v>1</v>
      </c>
      <c r="AV49" s="0" t="n">
        <v>1</v>
      </c>
      <c r="AW49" s="0" t="n">
        <v>1</v>
      </c>
      <c r="AX49" s="0" t="n">
        <v>1</v>
      </c>
      <c r="AY49" s="0" t="n">
        <v>1</v>
      </c>
      <c r="AZ49" s="0" t="n">
        <v>1</v>
      </c>
      <c r="BA49" s="0" t="n">
        <v>1</v>
      </c>
      <c r="BB49" s="0" t="n">
        <v>1</v>
      </c>
      <c r="BC49" s="0" t="n">
        <v>1</v>
      </c>
      <c r="BD49" s="0" t="n">
        <v>1</v>
      </c>
      <c r="BE49" s="0" t="n">
        <v>1</v>
      </c>
      <c r="BF49" s="0" t="n">
        <v>1</v>
      </c>
      <c r="BG49" s="0" t="n">
        <v>1</v>
      </c>
      <c r="BH49" s="0" t="n">
        <v>1</v>
      </c>
      <c r="BI49" s="0" t="n">
        <v>1</v>
      </c>
      <c r="BJ49" s="0" t="n">
        <v>1</v>
      </c>
      <c r="BK49" s="0" t="n">
        <v>1</v>
      </c>
    </row>
    <row r="50" customFormat="false" ht="12.8" hidden="false" customHeight="false" outlineLevel="0" collapsed="false">
      <c r="A50" s="0" t="n">
        <f aca="false">A49-1</f>
        <v>1969</v>
      </c>
      <c r="B50" s="0" t="n">
        <v>1</v>
      </c>
      <c r="C50" s="0" t="n">
        <v>1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1</v>
      </c>
      <c r="AD50" s="0" t="n">
        <v>1</v>
      </c>
      <c r="AE50" s="0" t="n">
        <v>1</v>
      </c>
      <c r="AF50" s="0" t="n">
        <v>1</v>
      </c>
      <c r="AG50" s="0" t="n">
        <v>1</v>
      </c>
      <c r="AH50" s="0" t="n">
        <v>1</v>
      </c>
      <c r="AI50" s="0" t="n">
        <v>1</v>
      </c>
      <c r="AJ50" s="0" t="n">
        <v>1</v>
      </c>
      <c r="AK50" s="0" t="n">
        <v>1</v>
      </c>
      <c r="AL50" s="0" t="n">
        <v>1</v>
      </c>
      <c r="AM50" s="0" t="n">
        <v>1</v>
      </c>
      <c r="AN50" s="0" t="n">
        <v>1</v>
      </c>
      <c r="AO50" s="0" t="n">
        <v>1</v>
      </c>
      <c r="AP50" s="0" t="n">
        <v>1</v>
      </c>
      <c r="AQ50" s="0" t="n">
        <v>1</v>
      </c>
      <c r="AR50" s="0" t="n">
        <v>1</v>
      </c>
      <c r="AS50" s="0" t="n">
        <v>1</v>
      </c>
      <c r="AT50" s="0" t="n">
        <v>1</v>
      </c>
      <c r="AU50" s="0" t="n">
        <v>1</v>
      </c>
      <c r="AV50" s="0" t="n">
        <v>1</v>
      </c>
      <c r="AW50" s="0" t="n">
        <v>1</v>
      </c>
      <c r="AX50" s="0" t="n">
        <v>1</v>
      </c>
      <c r="AY50" s="0" t="n">
        <v>1</v>
      </c>
      <c r="AZ50" s="0" t="n">
        <v>1</v>
      </c>
      <c r="BA50" s="0" t="n">
        <v>1</v>
      </c>
      <c r="BB50" s="0" t="n">
        <v>1</v>
      </c>
      <c r="BC50" s="0" t="n">
        <v>1</v>
      </c>
      <c r="BD50" s="0" t="n">
        <v>1</v>
      </c>
      <c r="BE50" s="0" t="n">
        <v>1</v>
      </c>
      <c r="BF50" s="0" t="n">
        <v>1</v>
      </c>
      <c r="BG50" s="0" t="n">
        <v>1</v>
      </c>
      <c r="BH50" s="0" t="n">
        <v>1</v>
      </c>
      <c r="BI50" s="0" t="n">
        <v>1</v>
      </c>
      <c r="BJ50" s="0" t="n">
        <v>1</v>
      </c>
      <c r="BK50" s="0" t="n">
        <v>1</v>
      </c>
    </row>
    <row r="51" customFormat="false" ht="12.8" hidden="false" customHeight="false" outlineLevel="0" collapsed="false">
      <c r="A51" s="0" t="n">
        <f aca="false">A50-1</f>
        <v>1968</v>
      </c>
      <c r="B51" s="0" t="n">
        <v>1</v>
      </c>
      <c r="C51" s="0" t="n">
        <v>1</v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1</v>
      </c>
      <c r="AD51" s="0" t="n">
        <v>1</v>
      </c>
      <c r="AE51" s="0" t="n">
        <v>1</v>
      </c>
      <c r="AF51" s="0" t="n">
        <v>1</v>
      </c>
      <c r="AG51" s="0" t="n">
        <v>1</v>
      </c>
      <c r="AH51" s="0" t="n">
        <v>1</v>
      </c>
      <c r="AI51" s="0" t="n">
        <v>1</v>
      </c>
      <c r="AJ51" s="0" t="n">
        <v>1</v>
      </c>
      <c r="AK51" s="0" t="n">
        <v>1</v>
      </c>
      <c r="AL51" s="0" t="n">
        <v>1</v>
      </c>
      <c r="AM51" s="0" t="n">
        <v>1</v>
      </c>
      <c r="AN51" s="0" t="n">
        <v>1</v>
      </c>
      <c r="AO51" s="0" t="n">
        <v>1</v>
      </c>
      <c r="AP51" s="0" t="n">
        <v>1</v>
      </c>
      <c r="AQ51" s="0" t="n">
        <v>1</v>
      </c>
      <c r="AR51" s="0" t="n">
        <v>1</v>
      </c>
      <c r="AS51" s="0" t="n">
        <v>1</v>
      </c>
      <c r="AT51" s="0" t="n">
        <v>1</v>
      </c>
      <c r="AU51" s="0" t="n">
        <v>1</v>
      </c>
      <c r="AV51" s="0" t="n">
        <v>1</v>
      </c>
      <c r="AW51" s="0" t="n">
        <v>1</v>
      </c>
      <c r="AX51" s="0" t="n">
        <v>1</v>
      </c>
      <c r="AY51" s="0" t="n">
        <v>1</v>
      </c>
      <c r="AZ51" s="0" t="n">
        <v>1</v>
      </c>
      <c r="BA51" s="0" t="n">
        <v>1</v>
      </c>
      <c r="BB51" s="0" t="n">
        <v>1</v>
      </c>
      <c r="BC51" s="0" t="n">
        <v>1</v>
      </c>
      <c r="BD51" s="0" t="n">
        <v>1</v>
      </c>
      <c r="BE51" s="0" t="n">
        <v>1</v>
      </c>
      <c r="BF51" s="0" t="n">
        <v>1</v>
      </c>
      <c r="BG51" s="0" t="n">
        <v>1</v>
      </c>
      <c r="BH51" s="0" t="n">
        <v>1</v>
      </c>
      <c r="BI51" s="0" t="n">
        <v>1</v>
      </c>
      <c r="BJ51" s="0" t="n">
        <v>1</v>
      </c>
      <c r="BK51" s="0" t="n">
        <v>1</v>
      </c>
    </row>
    <row r="52" customFormat="false" ht="12.8" hidden="false" customHeight="false" outlineLevel="0" collapsed="false">
      <c r="A52" s="0" t="n">
        <f aca="false">A51-1</f>
        <v>1967</v>
      </c>
      <c r="B52" s="0" t="n">
        <v>1</v>
      </c>
      <c r="C52" s="0" t="n">
        <v>1</v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1</v>
      </c>
      <c r="AD52" s="0" t="n">
        <v>1</v>
      </c>
      <c r="AE52" s="0" t="n">
        <v>1</v>
      </c>
      <c r="AF52" s="0" t="n">
        <v>1</v>
      </c>
      <c r="AG52" s="0" t="n">
        <v>1</v>
      </c>
      <c r="AH52" s="0" t="n">
        <v>1</v>
      </c>
      <c r="AI52" s="0" t="n">
        <v>1</v>
      </c>
      <c r="AJ52" s="0" t="n">
        <v>1</v>
      </c>
      <c r="AK52" s="0" t="n">
        <v>1</v>
      </c>
      <c r="AL52" s="0" t="n">
        <v>1</v>
      </c>
      <c r="AM52" s="0" t="n">
        <v>1</v>
      </c>
      <c r="AN52" s="0" t="n">
        <v>1</v>
      </c>
      <c r="AO52" s="0" t="n">
        <v>1</v>
      </c>
      <c r="AP52" s="0" t="n">
        <v>1</v>
      </c>
      <c r="AQ52" s="0" t="n">
        <v>1</v>
      </c>
      <c r="AR52" s="0" t="n">
        <v>1</v>
      </c>
      <c r="AS52" s="0" t="n">
        <v>1</v>
      </c>
      <c r="AT52" s="0" t="n">
        <v>1</v>
      </c>
      <c r="AU52" s="0" t="n">
        <v>1</v>
      </c>
      <c r="AV52" s="0" t="n">
        <v>1</v>
      </c>
      <c r="AW52" s="0" t="n">
        <v>1</v>
      </c>
      <c r="AX52" s="0" t="n">
        <v>1</v>
      </c>
      <c r="AY52" s="0" t="n">
        <v>1</v>
      </c>
      <c r="AZ52" s="0" t="n">
        <v>1</v>
      </c>
      <c r="BA52" s="0" t="n">
        <v>1</v>
      </c>
      <c r="BB52" s="0" t="n">
        <v>1</v>
      </c>
      <c r="BC52" s="0" t="n">
        <v>1</v>
      </c>
      <c r="BD52" s="0" t="n">
        <v>1</v>
      </c>
      <c r="BE52" s="0" t="n">
        <v>1</v>
      </c>
      <c r="BF52" s="0" t="n">
        <v>1</v>
      </c>
      <c r="BG52" s="0" t="n">
        <v>1</v>
      </c>
      <c r="BH52" s="0" t="n">
        <v>1</v>
      </c>
      <c r="BI52" s="0" t="n">
        <v>1</v>
      </c>
      <c r="BJ52" s="0" t="n">
        <v>1</v>
      </c>
      <c r="BK52" s="0" t="n">
        <v>1</v>
      </c>
    </row>
    <row r="53" customFormat="false" ht="12.8" hidden="false" customHeight="false" outlineLevel="0" collapsed="false">
      <c r="A53" s="0" t="n">
        <f aca="false">A52-1</f>
        <v>1966</v>
      </c>
      <c r="B53" s="0" t="n">
        <v>1</v>
      </c>
      <c r="C53" s="0" t="n">
        <v>1</v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1</v>
      </c>
      <c r="AE53" s="0" t="n">
        <v>1</v>
      </c>
      <c r="AF53" s="0" t="n">
        <v>1</v>
      </c>
      <c r="AG53" s="0" t="n">
        <v>1</v>
      </c>
      <c r="AH53" s="0" t="n">
        <v>1</v>
      </c>
      <c r="AI53" s="0" t="n">
        <v>1</v>
      </c>
      <c r="AJ53" s="0" t="n">
        <v>1</v>
      </c>
      <c r="AK53" s="0" t="n">
        <v>1</v>
      </c>
      <c r="AL53" s="0" t="n">
        <v>1</v>
      </c>
      <c r="AM53" s="0" t="n">
        <v>1</v>
      </c>
      <c r="AN53" s="0" t="n">
        <v>1</v>
      </c>
      <c r="AO53" s="0" t="n">
        <v>1</v>
      </c>
      <c r="AP53" s="0" t="n">
        <v>1</v>
      </c>
      <c r="AQ53" s="0" t="n">
        <v>1</v>
      </c>
      <c r="AR53" s="0" t="n">
        <v>1</v>
      </c>
      <c r="AS53" s="0" t="n">
        <v>1</v>
      </c>
      <c r="AT53" s="0" t="n">
        <v>1</v>
      </c>
      <c r="AU53" s="0" t="n">
        <v>1</v>
      </c>
      <c r="AV53" s="0" t="n">
        <v>1</v>
      </c>
      <c r="AW53" s="0" t="n">
        <v>1</v>
      </c>
      <c r="AX53" s="0" t="n">
        <v>1</v>
      </c>
      <c r="AY53" s="0" t="n">
        <v>1</v>
      </c>
      <c r="AZ53" s="0" t="n">
        <v>1</v>
      </c>
      <c r="BA53" s="0" t="n">
        <v>1</v>
      </c>
      <c r="BB53" s="0" t="n">
        <v>1</v>
      </c>
      <c r="BC53" s="0" t="n">
        <v>1</v>
      </c>
      <c r="BD53" s="0" t="n">
        <v>1</v>
      </c>
      <c r="BE53" s="0" t="n">
        <v>1</v>
      </c>
      <c r="BF53" s="0" t="n">
        <v>1</v>
      </c>
      <c r="BG53" s="0" t="n">
        <v>1</v>
      </c>
      <c r="BH53" s="0" t="n">
        <v>1</v>
      </c>
      <c r="BI53" s="0" t="n">
        <v>1</v>
      </c>
      <c r="BJ53" s="0" t="n">
        <v>1</v>
      </c>
      <c r="BK53" s="0" t="n">
        <v>1</v>
      </c>
    </row>
    <row r="54" customFormat="false" ht="12.8" hidden="false" customHeight="false" outlineLevel="0" collapsed="false">
      <c r="A54" s="0" t="n">
        <f aca="false">A53-1</f>
        <v>1965</v>
      </c>
      <c r="B54" s="0" t="n">
        <v>1</v>
      </c>
      <c r="C54" s="0" t="n">
        <v>1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1</v>
      </c>
      <c r="AE54" s="0" t="n">
        <v>1</v>
      </c>
      <c r="AF54" s="0" t="n">
        <v>1</v>
      </c>
      <c r="AG54" s="0" t="n">
        <v>1</v>
      </c>
      <c r="AH54" s="0" t="n">
        <v>1</v>
      </c>
      <c r="AI54" s="0" t="n">
        <v>1</v>
      </c>
      <c r="AJ54" s="0" t="n">
        <v>1</v>
      </c>
      <c r="AK54" s="0" t="n">
        <v>1</v>
      </c>
      <c r="AL54" s="0" t="n">
        <v>1</v>
      </c>
      <c r="AM54" s="0" t="n">
        <v>1</v>
      </c>
      <c r="AN54" s="0" t="n">
        <v>1</v>
      </c>
      <c r="AO54" s="0" t="n">
        <v>1</v>
      </c>
      <c r="AP54" s="0" t="n">
        <v>1</v>
      </c>
      <c r="AQ54" s="0" t="n">
        <v>1</v>
      </c>
      <c r="AR54" s="0" t="n">
        <v>1</v>
      </c>
      <c r="AS54" s="0" t="n">
        <v>1</v>
      </c>
      <c r="AT54" s="0" t="n">
        <v>1</v>
      </c>
      <c r="AU54" s="0" t="n">
        <v>1</v>
      </c>
      <c r="AV54" s="0" t="n">
        <v>1</v>
      </c>
      <c r="AW54" s="0" t="n">
        <v>1</v>
      </c>
      <c r="AX54" s="0" t="n">
        <v>1</v>
      </c>
      <c r="AY54" s="0" t="n">
        <v>1</v>
      </c>
      <c r="AZ54" s="0" t="n">
        <v>1</v>
      </c>
      <c r="BA54" s="0" t="n">
        <v>1</v>
      </c>
      <c r="BB54" s="0" t="n">
        <v>1</v>
      </c>
      <c r="BC54" s="0" t="n">
        <v>1</v>
      </c>
      <c r="BD54" s="0" t="n">
        <v>1</v>
      </c>
      <c r="BE54" s="0" t="n">
        <v>1</v>
      </c>
      <c r="BF54" s="0" t="n">
        <v>1</v>
      </c>
      <c r="BG54" s="0" t="n">
        <v>1</v>
      </c>
      <c r="BH54" s="0" t="n">
        <v>1</v>
      </c>
      <c r="BI54" s="0" t="n">
        <v>1</v>
      </c>
      <c r="BJ54" s="0" t="n">
        <v>1</v>
      </c>
      <c r="BK54" s="0" t="n">
        <v>1</v>
      </c>
    </row>
    <row r="55" customFormat="false" ht="12.8" hidden="false" customHeight="false" outlineLevel="0" collapsed="false">
      <c r="A55" s="0" t="n">
        <f aca="false">A54-1</f>
        <v>1964</v>
      </c>
      <c r="B55" s="0" t="n">
        <v>1</v>
      </c>
      <c r="C55" s="0" t="n">
        <v>1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1</v>
      </c>
      <c r="AE55" s="0" t="n">
        <v>1</v>
      </c>
      <c r="AF55" s="0" t="n">
        <v>1</v>
      </c>
      <c r="AG55" s="0" t="n">
        <v>1</v>
      </c>
      <c r="AH55" s="0" t="n">
        <v>1</v>
      </c>
      <c r="AI55" s="0" t="n">
        <v>1</v>
      </c>
      <c r="AJ55" s="0" t="n">
        <v>1</v>
      </c>
      <c r="AK55" s="0" t="n">
        <v>1</v>
      </c>
      <c r="AL55" s="0" t="n">
        <v>1</v>
      </c>
      <c r="AM55" s="0" t="n">
        <v>1</v>
      </c>
      <c r="AN55" s="0" t="n">
        <v>1</v>
      </c>
      <c r="AO55" s="0" t="n">
        <v>1</v>
      </c>
      <c r="AP55" s="0" t="n">
        <v>1</v>
      </c>
      <c r="AQ55" s="0" t="n">
        <v>1</v>
      </c>
      <c r="AR55" s="0" t="n">
        <v>1</v>
      </c>
      <c r="AS55" s="0" t="n">
        <v>1</v>
      </c>
      <c r="AT55" s="0" t="n">
        <v>1</v>
      </c>
      <c r="AU55" s="0" t="n">
        <v>1</v>
      </c>
      <c r="AV55" s="0" t="n">
        <v>1</v>
      </c>
      <c r="AW55" s="0" t="n">
        <v>1</v>
      </c>
      <c r="AX55" s="0" t="n">
        <v>1</v>
      </c>
      <c r="AY55" s="0" t="n">
        <v>1</v>
      </c>
      <c r="AZ55" s="0" t="n">
        <v>1</v>
      </c>
      <c r="BA55" s="0" t="n">
        <v>1</v>
      </c>
      <c r="BB55" s="0" t="n">
        <v>1</v>
      </c>
      <c r="BC55" s="0" t="n">
        <v>1</v>
      </c>
      <c r="BD55" s="0" t="n">
        <v>1</v>
      </c>
      <c r="BE55" s="0" t="n">
        <v>1</v>
      </c>
      <c r="BF55" s="0" t="n">
        <v>1</v>
      </c>
      <c r="BG55" s="0" t="n">
        <v>1</v>
      </c>
      <c r="BH55" s="0" t="n">
        <v>1</v>
      </c>
      <c r="BI55" s="0" t="n">
        <v>1</v>
      </c>
      <c r="BJ55" s="0" t="n">
        <v>1</v>
      </c>
      <c r="BK55" s="0" t="n">
        <v>1</v>
      </c>
    </row>
    <row r="56" customFormat="false" ht="12.8" hidden="false" customHeight="false" outlineLevel="0" collapsed="false">
      <c r="A56" s="0" t="n">
        <f aca="false">A55-1</f>
        <v>1963</v>
      </c>
      <c r="B56" s="0" t="n">
        <v>1</v>
      </c>
      <c r="C56" s="0" t="n">
        <v>1</v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1</v>
      </c>
      <c r="AE56" s="0" t="n">
        <v>1</v>
      </c>
      <c r="AF56" s="0" t="n">
        <v>1</v>
      </c>
      <c r="AG56" s="0" t="n">
        <v>1</v>
      </c>
      <c r="AH56" s="0" t="n">
        <v>1</v>
      </c>
      <c r="AI56" s="0" t="n">
        <v>1</v>
      </c>
      <c r="AJ56" s="0" t="n">
        <v>1</v>
      </c>
      <c r="AK56" s="0" t="n">
        <v>1</v>
      </c>
      <c r="AL56" s="0" t="n">
        <v>1</v>
      </c>
      <c r="AM56" s="0" t="n">
        <v>1</v>
      </c>
      <c r="AN56" s="0" t="n">
        <v>1</v>
      </c>
      <c r="AO56" s="0" t="n">
        <v>1</v>
      </c>
      <c r="AP56" s="0" t="n">
        <v>1</v>
      </c>
      <c r="AQ56" s="0" t="n">
        <v>1</v>
      </c>
      <c r="AR56" s="0" t="n">
        <v>1</v>
      </c>
      <c r="AS56" s="0" t="n">
        <v>1</v>
      </c>
      <c r="AT56" s="0" t="n">
        <v>1</v>
      </c>
      <c r="AU56" s="0" t="n">
        <v>1</v>
      </c>
      <c r="AV56" s="0" t="n">
        <v>1</v>
      </c>
      <c r="AW56" s="0" t="n">
        <v>1</v>
      </c>
      <c r="AX56" s="0" t="n">
        <v>1</v>
      </c>
      <c r="AY56" s="0" t="n">
        <v>1</v>
      </c>
      <c r="AZ56" s="0" t="n">
        <v>1</v>
      </c>
      <c r="BA56" s="0" t="n">
        <v>1</v>
      </c>
      <c r="BB56" s="0" t="n">
        <v>1</v>
      </c>
      <c r="BC56" s="0" t="n">
        <v>1</v>
      </c>
      <c r="BD56" s="0" t="n">
        <v>1</v>
      </c>
      <c r="BE56" s="0" t="n">
        <v>1</v>
      </c>
      <c r="BF56" s="0" t="n">
        <v>1</v>
      </c>
      <c r="BG56" s="0" t="n">
        <v>1</v>
      </c>
      <c r="BH56" s="0" t="n">
        <v>1</v>
      </c>
      <c r="BI56" s="0" t="n">
        <v>1</v>
      </c>
      <c r="BJ56" s="0" t="n">
        <v>1</v>
      </c>
      <c r="BK56" s="0" t="n">
        <v>1</v>
      </c>
    </row>
    <row r="57" customFormat="false" ht="12.8" hidden="false" customHeight="false" outlineLevel="0" collapsed="false">
      <c r="A57" s="0" t="n">
        <f aca="false">A56-1</f>
        <v>1962</v>
      </c>
      <c r="B57" s="0" t="n">
        <v>1</v>
      </c>
      <c r="C57" s="0" t="n">
        <v>1</v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1</v>
      </c>
      <c r="AE57" s="0" t="n">
        <v>1</v>
      </c>
      <c r="AF57" s="0" t="n">
        <v>1</v>
      </c>
      <c r="AG57" s="0" t="n">
        <v>1</v>
      </c>
      <c r="AH57" s="0" t="n">
        <v>1</v>
      </c>
      <c r="AI57" s="0" t="n">
        <v>1</v>
      </c>
      <c r="AJ57" s="0" t="n">
        <v>1</v>
      </c>
      <c r="AK57" s="0" t="n">
        <v>1</v>
      </c>
      <c r="AL57" s="0" t="n">
        <v>1</v>
      </c>
      <c r="AM57" s="0" t="n">
        <v>1</v>
      </c>
      <c r="AN57" s="0" t="n">
        <v>1</v>
      </c>
      <c r="AO57" s="0" t="n">
        <v>1</v>
      </c>
      <c r="AP57" s="0" t="n">
        <v>1</v>
      </c>
      <c r="AQ57" s="0" t="n">
        <v>1</v>
      </c>
      <c r="AR57" s="0" t="n">
        <v>1</v>
      </c>
      <c r="AS57" s="0" t="n">
        <v>1</v>
      </c>
      <c r="AT57" s="0" t="n">
        <v>1</v>
      </c>
      <c r="AU57" s="0" t="n">
        <v>1</v>
      </c>
      <c r="AV57" s="0" t="n">
        <v>1</v>
      </c>
      <c r="AW57" s="0" t="n">
        <v>1</v>
      </c>
      <c r="AX57" s="0" t="n">
        <v>1</v>
      </c>
      <c r="AY57" s="0" t="n">
        <v>1</v>
      </c>
      <c r="AZ57" s="0" t="n">
        <v>1</v>
      </c>
      <c r="BA57" s="0" t="n">
        <v>1</v>
      </c>
      <c r="BB57" s="0" t="n">
        <v>1</v>
      </c>
      <c r="BC57" s="0" t="n">
        <v>1</v>
      </c>
      <c r="BD57" s="0" t="n">
        <v>1</v>
      </c>
      <c r="BE57" s="0" t="n">
        <v>1</v>
      </c>
      <c r="BF57" s="0" t="n">
        <v>1</v>
      </c>
      <c r="BG57" s="0" t="n">
        <v>1</v>
      </c>
      <c r="BH57" s="0" t="n">
        <v>1</v>
      </c>
      <c r="BI57" s="0" t="n">
        <v>1</v>
      </c>
      <c r="BJ57" s="0" t="n">
        <v>1</v>
      </c>
      <c r="BK57" s="0" t="n">
        <v>1</v>
      </c>
    </row>
    <row r="58" customFormat="false" ht="12.8" hidden="false" customHeight="false" outlineLevel="0" collapsed="false">
      <c r="A58" s="0" t="n">
        <f aca="false">A57-1</f>
        <v>1961</v>
      </c>
      <c r="B58" s="0" t="n">
        <v>1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1</v>
      </c>
      <c r="AE58" s="0" t="n">
        <v>1</v>
      </c>
      <c r="AF58" s="0" t="n">
        <v>1</v>
      </c>
      <c r="AG58" s="0" t="n">
        <v>1</v>
      </c>
      <c r="AH58" s="0" t="n">
        <v>1</v>
      </c>
      <c r="AI58" s="0" t="n">
        <v>1</v>
      </c>
      <c r="AJ58" s="0" t="n">
        <v>1</v>
      </c>
      <c r="AK58" s="0" t="n">
        <v>1</v>
      </c>
      <c r="AL58" s="0" t="n">
        <v>1</v>
      </c>
      <c r="AM58" s="0" t="n">
        <v>1</v>
      </c>
      <c r="AN58" s="0" t="n">
        <v>1</v>
      </c>
      <c r="AO58" s="0" t="n">
        <v>1</v>
      </c>
      <c r="AP58" s="0" t="n">
        <v>1</v>
      </c>
      <c r="AQ58" s="0" t="n">
        <v>1</v>
      </c>
      <c r="AR58" s="0" t="n">
        <v>1</v>
      </c>
      <c r="AS58" s="0" t="n">
        <v>1</v>
      </c>
      <c r="AT58" s="0" t="n">
        <v>1</v>
      </c>
      <c r="AU58" s="0" t="n">
        <v>1</v>
      </c>
      <c r="AV58" s="0" t="n">
        <v>1</v>
      </c>
      <c r="AW58" s="0" t="n">
        <v>1</v>
      </c>
      <c r="AX58" s="0" t="n">
        <v>1</v>
      </c>
      <c r="AY58" s="0" t="n">
        <v>1</v>
      </c>
      <c r="AZ58" s="0" t="n">
        <v>1</v>
      </c>
      <c r="BA58" s="0" t="n">
        <v>1</v>
      </c>
      <c r="BB58" s="0" t="n">
        <v>1</v>
      </c>
      <c r="BC58" s="0" t="n">
        <v>1</v>
      </c>
      <c r="BD58" s="0" t="n">
        <v>1</v>
      </c>
      <c r="BE58" s="0" t="n">
        <v>1</v>
      </c>
      <c r="BF58" s="0" t="n">
        <v>1</v>
      </c>
      <c r="BG58" s="0" t="n">
        <v>1</v>
      </c>
      <c r="BH58" s="0" t="n">
        <v>1</v>
      </c>
      <c r="BI58" s="0" t="n">
        <v>1</v>
      </c>
      <c r="BJ58" s="0" t="n">
        <v>1</v>
      </c>
      <c r="BK58" s="0" t="n">
        <v>1</v>
      </c>
    </row>
    <row r="59" customFormat="false" ht="12.8" hidden="false" customHeight="false" outlineLevel="0" collapsed="false">
      <c r="A59" s="0" t="n">
        <f aca="false">A58-1</f>
        <v>1960</v>
      </c>
      <c r="B59" s="0" t="n">
        <v>1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1</v>
      </c>
      <c r="AE59" s="0" t="n">
        <v>1</v>
      </c>
      <c r="AF59" s="0" t="n">
        <v>1</v>
      </c>
      <c r="AG59" s="0" t="n">
        <v>1</v>
      </c>
      <c r="AH59" s="0" t="n">
        <v>1</v>
      </c>
      <c r="AI59" s="0" t="n">
        <v>1</v>
      </c>
      <c r="AJ59" s="0" t="n">
        <v>1</v>
      </c>
      <c r="AK59" s="0" t="n">
        <v>1</v>
      </c>
      <c r="AL59" s="0" t="n">
        <v>1</v>
      </c>
      <c r="AM59" s="0" t="n">
        <v>1</v>
      </c>
      <c r="AN59" s="0" t="n">
        <v>1</v>
      </c>
      <c r="AO59" s="0" t="n">
        <v>1</v>
      </c>
      <c r="AP59" s="0" t="n">
        <v>1</v>
      </c>
      <c r="AQ59" s="0" t="n">
        <v>1</v>
      </c>
      <c r="AR59" s="0" t="n">
        <v>1</v>
      </c>
      <c r="AS59" s="0" t="n">
        <v>1</v>
      </c>
      <c r="AT59" s="0" t="n">
        <v>1</v>
      </c>
      <c r="AU59" s="0" t="n">
        <v>1</v>
      </c>
      <c r="AV59" s="0" t="n">
        <v>1</v>
      </c>
      <c r="AW59" s="0" t="n">
        <v>1</v>
      </c>
      <c r="AX59" s="0" t="n">
        <v>1</v>
      </c>
      <c r="AY59" s="0" t="n">
        <v>1</v>
      </c>
      <c r="AZ59" s="0" t="n">
        <v>1</v>
      </c>
      <c r="BA59" s="0" t="n">
        <v>1</v>
      </c>
      <c r="BB59" s="0" t="n">
        <v>1</v>
      </c>
      <c r="BC59" s="0" t="n">
        <v>1</v>
      </c>
      <c r="BD59" s="0" t="n">
        <v>1</v>
      </c>
      <c r="BE59" s="0" t="n">
        <v>1</v>
      </c>
      <c r="BF59" s="0" t="n">
        <v>1</v>
      </c>
      <c r="BG59" s="0" t="n">
        <v>1</v>
      </c>
      <c r="BH59" s="0" t="n">
        <v>1</v>
      </c>
      <c r="BI59" s="0" t="n">
        <v>1</v>
      </c>
      <c r="BJ59" s="0" t="n">
        <v>1</v>
      </c>
      <c r="BK59" s="0" t="n">
        <v>1</v>
      </c>
    </row>
    <row r="60" customFormat="false" ht="12.8" hidden="false" customHeight="false" outlineLevel="0" collapsed="false">
      <c r="A60" s="0" t="n">
        <f aca="false">A59-1</f>
        <v>1959</v>
      </c>
      <c r="B60" s="0" t="n">
        <v>1</v>
      </c>
      <c r="C60" s="0" t="n">
        <v>1</v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1</v>
      </c>
      <c r="AE60" s="0" t="n">
        <v>1</v>
      </c>
      <c r="AF60" s="0" t="n">
        <v>1</v>
      </c>
      <c r="AG60" s="0" t="n">
        <v>1</v>
      </c>
      <c r="AH60" s="0" t="n">
        <v>1</v>
      </c>
      <c r="AI60" s="0" t="n">
        <v>1</v>
      </c>
      <c r="AJ60" s="0" t="n">
        <v>1</v>
      </c>
      <c r="AK60" s="0" t="n">
        <v>1</v>
      </c>
      <c r="AL60" s="0" t="n">
        <v>1</v>
      </c>
      <c r="AM60" s="0" t="n">
        <v>1</v>
      </c>
      <c r="AN60" s="0" t="n">
        <v>1</v>
      </c>
      <c r="AO60" s="0" t="n">
        <v>1</v>
      </c>
      <c r="AP60" s="0" t="n">
        <v>1</v>
      </c>
      <c r="AQ60" s="0" t="n">
        <v>1</v>
      </c>
      <c r="AR60" s="0" t="n">
        <v>1</v>
      </c>
      <c r="AS60" s="0" t="n">
        <v>1</v>
      </c>
      <c r="AT60" s="0" t="n">
        <v>1</v>
      </c>
      <c r="AU60" s="0" t="n">
        <v>1</v>
      </c>
      <c r="AV60" s="0" t="n">
        <v>1</v>
      </c>
      <c r="AW60" s="0" t="n">
        <v>1</v>
      </c>
      <c r="AX60" s="0" t="n">
        <v>1</v>
      </c>
      <c r="AY60" s="0" t="n">
        <v>1</v>
      </c>
      <c r="AZ60" s="0" t="n">
        <v>1</v>
      </c>
      <c r="BA60" s="0" t="n">
        <v>1</v>
      </c>
      <c r="BB60" s="0" t="n">
        <v>1</v>
      </c>
      <c r="BC60" s="0" t="n">
        <v>1</v>
      </c>
      <c r="BD60" s="0" t="n">
        <v>1</v>
      </c>
      <c r="BE60" s="0" t="n">
        <v>1</v>
      </c>
      <c r="BF60" s="0" t="n">
        <v>1</v>
      </c>
      <c r="BG60" s="0" t="n">
        <v>1</v>
      </c>
      <c r="BH60" s="0" t="n">
        <v>1</v>
      </c>
      <c r="BI60" s="0" t="n">
        <v>1</v>
      </c>
      <c r="BJ60" s="0" t="n">
        <v>1</v>
      </c>
      <c r="BK6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19" activeCellId="0" sqref="F19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8" t="s">
        <v>232</v>
      </c>
      <c r="B1" s="42" t="str">
        <f aca="false">metadata!B2</f>
        <v>PC_MINI_G</v>
      </c>
      <c r="C1" s="42" t="str">
        <f aca="false">metadata!B3</f>
        <v>PC_SMALL_G</v>
      </c>
      <c r="D1" s="42" t="str">
        <f aca="false">metadata!B4</f>
        <v>PC_MEDIUM_G</v>
      </c>
      <c r="E1" s="42" t="str">
        <f aca="false">metadata!B5</f>
        <v>PC_SUV_G</v>
      </c>
      <c r="F1" s="42" t="str">
        <f aca="false">metadata!B6</f>
        <v>PC_MINI_D</v>
      </c>
      <c r="G1" s="42" t="str">
        <f aca="false">metadata!B7</f>
        <v>PC_SMALL_D</v>
      </c>
      <c r="H1" s="42" t="str">
        <f aca="false">metadata!B8</f>
        <v>PC_MEDIUM_D</v>
      </c>
      <c r="I1" s="42" t="str">
        <f aca="false">metadata!B9</f>
        <v>PC_SUV_D</v>
      </c>
      <c r="J1" s="42" t="str">
        <f aca="false">metadata!B10</f>
        <v>PC_ELEC</v>
      </c>
      <c r="K1" s="42" t="str">
        <f aca="false">metadata!B11</f>
        <v>PC_SMALL_HY</v>
      </c>
      <c r="L1" s="42" t="str">
        <f aca="false">metadata!B12</f>
        <v>TAXI_SMALL_G</v>
      </c>
      <c r="M1" s="42" t="str">
        <f aca="false">metadata!B13</f>
        <v>TAXI_SMALL_GLP</v>
      </c>
      <c r="N1" s="42" t="str">
        <f aca="false">metadata!B14</f>
        <v>LCV_NI_G</v>
      </c>
      <c r="O1" s="42" t="str">
        <f aca="false">metadata!B15</f>
        <v>LCV_NII_G</v>
      </c>
      <c r="P1" s="42" t="str">
        <f aca="false">metadata!B16</f>
        <v>LCV_NIII_G</v>
      </c>
      <c r="Q1" s="42" t="str">
        <f aca="false">metadata!B17</f>
        <v>LCV_NI_D</v>
      </c>
      <c r="R1" s="42" t="str">
        <f aca="false">metadata!B18</f>
        <v>LCV_NII_D</v>
      </c>
      <c r="S1" s="42" t="str">
        <f aca="false">metadata!B19</f>
        <v>LCV_NIII_D</v>
      </c>
      <c r="T1" s="42" t="str">
        <f aca="false">metadata!B20</f>
        <v>LCV_ELEC</v>
      </c>
      <c r="U1" s="42" t="str">
        <f aca="false">metadata!B21</f>
        <v>LCV_HY</v>
      </c>
      <c r="V1" s="42" t="str">
        <f aca="false">metadata!B22</f>
        <v>TRUCKS_RT_7_D</v>
      </c>
      <c r="W1" s="42" t="str">
        <f aca="false">metadata!B23</f>
        <v>TRUCKS_RT_7_12_D</v>
      </c>
      <c r="X1" s="42" t="str">
        <f aca="false">metadata!B24</f>
        <v>TRUCKS_RT_12_14_D</v>
      </c>
      <c r="Y1" s="42" t="str">
        <f aca="false">metadata!B25</f>
        <v>TRUCKS_RT_14_16_D</v>
      </c>
      <c r="Z1" s="42" t="str">
        <f aca="false">metadata!B26</f>
        <v>TRUCKS_RT_16_20_D</v>
      </c>
      <c r="AA1" s="42" t="str">
        <f aca="false">metadata!B27</f>
        <v>TRUCKS_RT_20_26_D</v>
      </c>
      <c r="AB1" s="42" t="str">
        <f aca="false">metadata!B28</f>
        <v>TRUCKS_RT_26_28_D</v>
      </c>
      <c r="AC1" s="42" t="str">
        <f aca="false">metadata!B29</f>
        <v>TRUCKS_RT_28_32_D</v>
      </c>
      <c r="AD1" s="43" t="str">
        <f aca="false">metadata!B30</f>
        <v>TRUCKS_RT_32_D</v>
      </c>
      <c r="AE1" s="43" t="str">
        <f aca="false">metadata!B31</f>
        <v>TRUCKS_RT_7_G</v>
      </c>
      <c r="AF1" s="43" t="str">
        <f aca="false">metadata!B32</f>
        <v>TRUCKS_RT_7_12_G</v>
      </c>
      <c r="AG1" s="43" t="str">
        <f aca="false">metadata!B33</f>
        <v>TRUCKS_RT_12_14_G</v>
      </c>
      <c r="AH1" s="43" t="str">
        <f aca="false">metadata!B34</f>
        <v>TRUCKS_RT_14_16_G</v>
      </c>
      <c r="AI1" s="43" t="str">
        <f aca="false">metadata!B35</f>
        <v>TRUCKS_RT_16_20_G</v>
      </c>
      <c r="AJ1" s="43" t="str">
        <f aca="false">metadata!B36</f>
        <v>TRUCKS_RT_20_26_G</v>
      </c>
      <c r="AK1" s="43" t="str">
        <f aca="false">metadata!B37</f>
        <v>TRUCKS_RT_26_28_G</v>
      </c>
      <c r="AL1" s="43" t="str">
        <f aca="false">metadata!B38</f>
        <v>TRUCKS_RT_28_32_G</v>
      </c>
      <c r="AM1" s="43" t="str">
        <f aca="false">metadata!B39</f>
        <v>TRUCKS_RT_32_G</v>
      </c>
      <c r="AN1" s="43" t="str">
        <f aca="false">metadata!B40</f>
        <v>TRUCKS_AT_16_20_D</v>
      </c>
      <c r="AO1" s="42" t="str">
        <f aca="false">metadata!B41</f>
        <v>TRUCKS_AT_20_28_D</v>
      </c>
      <c r="AP1" s="42" t="str">
        <f aca="false">metadata!B42</f>
        <v>TRUCKS_AT_28_34_D</v>
      </c>
      <c r="AQ1" s="43" t="str">
        <f aca="false">metadata!B43</f>
        <v>TRUCKS_AT_34_40_D</v>
      </c>
      <c r="AR1" s="43" t="str">
        <f aca="false">metadata!B44</f>
        <v>TRUCKS_AT_40_50_D</v>
      </c>
      <c r="AS1" s="43" t="str">
        <f aca="false">metadata!B45</f>
        <v>TRUCKS_AT_50_60_D</v>
      </c>
      <c r="AT1" s="43" t="str">
        <f aca="false">metadata!B46</f>
        <v>TRUCKS_ELEC</v>
      </c>
      <c r="AU1" s="43" t="str">
        <f aca="false">metadata!B47</f>
        <v>BUS_UB_15_D</v>
      </c>
      <c r="AV1" s="43" t="str">
        <f aca="false">metadata!B48</f>
        <v>BUS_UB_15_18_D</v>
      </c>
      <c r="AW1" s="43" t="str">
        <f aca="false">metadata!B49</f>
        <v>BUS_UB_18_D</v>
      </c>
      <c r="AX1" s="43" t="str">
        <f aca="false">metadata!B50</f>
        <v>BUS_UB_15_G</v>
      </c>
      <c r="AY1" s="43" t="str">
        <f aca="false">metadata!B51</f>
        <v>BUS_UB_15_18_G</v>
      </c>
      <c r="AZ1" s="43" t="str">
        <f aca="false">metadata!B52</f>
        <v>BUS_UB_18_G</v>
      </c>
      <c r="BA1" s="43" t="str">
        <f aca="false">metadata!B53</f>
        <v>BUS_COACH_17_D</v>
      </c>
      <c r="BB1" s="43" t="str">
        <f aca="false">metadata!B54</f>
        <v>BUS_COACH_18_D</v>
      </c>
      <c r="BC1" s="43" t="str">
        <f aca="false">metadata!B55</f>
        <v>BUS_COACH_17_G</v>
      </c>
      <c r="BD1" s="43" t="str">
        <f aca="false">metadata!B56</f>
        <v>BUS_COACH_18_G</v>
      </c>
      <c r="BE1" s="43" t="str">
        <f aca="false">metadata!B57</f>
        <v>BUS_UB_15_HY</v>
      </c>
      <c r="BF1" s="43" t="str">
        <f aca="false">metadata!B58</f>
        <v>BUS_ELEC</v>
      </c>
      <c r="BG1" s="43" t="str">
        <f aca="false">metadata!B59</f>
        <v>MC_2S_50_G</v>
      </c>
      <c r="BH1" s="43" t="str">
        <f aca="false">metadata!B60</f>
        <v>MC_4S_50_250_G</v>
      </c>
      <c r="BI1" s="43" t="str">
        <f aca="false">metadata!B61</f>
        <v>MC_4S_250_750_G</v>
      </c>
      <c r="BJ1" s="43" t="str">
        <f aca="false">metadata!B62</f>
        <v>MC_4S_750_G</v>
      </c>
      <c r="BK1" s="43" t="str">
        <f aca="false">metadata!B63</f>
        <v>MC_ELEC</v>
      </c>
    </row>
    <row r="2" customFormat="false" ht="12.8" hidden="false" customHeight="false" outlineLevel="0" collapsed="false">
      <c r="A2" s="0" t="n">
        <v>2017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1</v>
      </c>
    </row>
    <row r="3" customFormat="false" ht="12.8" hidden="false" customHeight="false" outlineLevel="0" collapsed="false">
      <c r="A3" s="0" t="n">
        <f aca="false">A2-1</f>
        <v>2016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v>1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1</v>
      </c>
      <c r="BH3" s="0" t="n">
        <v>1</v>
      </c>
      <c r="BI3" s="0" t="n">
        <v>1</v>
      </c>
      <c r="BJ3" s="0" t="n">
        <v>1</v>
      </c>
      <c r="BK3" s="0" t="n">
        <v>1</v>
      </c>
    </row>
    <row r="4" customFormat="false" ht="12.8" hidden="false" customHeight="false" outlineLevel="0" collapsed="false">
      <c r="A4" s="0" t="n">
        <f aca="false">A3-1</f>
        <v>2015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</row>
    <row r="5" customFormat="false" ht="12.8" hidden="false" customHeight="false" outlineLevel="0" collapsed="false">
      <c r="A5" s="0" t="n">
        <f aca="false">A4-1</f>
        <v>2014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1</v>
      </c>
      <c r="AH5" s="0" t="n">
        <v>1</v>
      </c>
      <c r="AI5" s="0" t="n">
        <v>1</v>
      </c>
      <c r="AJ5" s="0" t="n">
        <v>1</v>
      </c>
      <c r="AK5" s="0" t="n">
        <v>1</v>
      </c>
      <c r="AL5" s="0" t="n">
        <v>1</v>
      </c>
      <c r="AM5" s="0" t="n">
        <v>1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1</v>
      </c>
      <c r="BD5" s="0" t="n">
        <v>1</v>
      </c>
      <c r="BE5" s="0" t="n">
        <v>1</v>
      </c>
      <c r="BF5" s="0" t="n">
        <v>1</v>
      </c>
      <c r="BG5" s="0" t="n">
        <v>1</v>
      </c>
      <c r="BH5" s="0" t="n">
        <v>1</v>
      </c>
      <c r="BI5" s="0" t="n">
        <v>1</v>
      </c>
      <c r="BJ5" s="0" t="n">
        <v>1</v>
      </c>
      <c r="BK5" s="0" t="n">
        <v>1</v>
      </c>
    </row>
    <row r="6" customFormat="false" ht="12.8" hidden="false" customHeight="false" outlineLevel="0" collapsed="false">
      <c r="A6" s="0" t="n">
        <f aca="false">A5-1</f>
        <v>2013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1</v>
      </c>
      <c r="AT6" s="0" t="n">
        <v>1</v>
      </c>
      <c r="AU6" s="0" t="n">
        <v>1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1</v>
      </c>
      <c r="BG6" s="0" t="n">
        <v>1</v>
      </c>
      <c r="BH6" s="0" t="n">
        <v>1</v>
      </c>
      <c r="BI6" s="0" t="n">
        <v>1</v>
      </c>
      <c r="BJ6" s="0" t="n">
        <v>1</v>
      </c>
      <c r="BK6" s="0" t="n">
        <v>1</v>
      </c>
    </row>
    <row r="7" customFormat="false" ht="12.8" hidden="false" customHeight="false" outlineLevel="0" collapsed="false">
      <c r="A7" s="0" t="n">
        <f aca="false">A6-1</f>
        <v>2012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1</v>
      </c>
      <c r="AM7" s="0" t="n">
        <v>1</v>
      </c>
      <c r="AN7" s="0" t="n">
        <v>1</v>
      </c>
      <c r="AO7" s="0" t="n">
        <v>1</v>
      </c>
      <c r="AP7" s="0" t="n">
        <v>1</v>
      </c>
      <c r="AQ7" s="0" t="n">
        <v>1</v>
      </c>
      <c r="AR7" s="0" t="n">
        <v>1</v>
      </c>
      <c r="AS7" s="0" t="n">
        <v>1</v>
      </c>
      <c r="AT7" s="0" t="n">
        <v>1</v>
      </c>
      <c r="AU7" s="0" t="n">
        <v>1</v>
      </c>
      <c r="AV7" s="0" t="n">
        <v>1</v>
      </c>
      <c r="AW7" s="0" t="n">
        <v>1</v>
      </c>
      <c r="AX7" s="0" t="n">
        <v>1</v>
      </c>
      <c r="AY7" s="0" t="n">
        <v>1</v>
      </c>
      <c r="AZ7" s="0" t="n">
        <v>1</v>
      </c>
      <c r="BA7" s="0" t="n">
        <v>1</v>
      </c>
      <c r="BB7" s="0" t="n">
        <v>1</v>
      </c>
      <c r="BC7" s="0" t="n">
        <v>1</v>
      </c>
      <c r="BD7" s="0" t="n">
        <v>1</v>
      </c>
      <c r="BE7" s="0" t="n">
        <v>1</v>
      </c>
      <c r="BF7" s="0" t="n">
        <v>1</v>
      </c>
      <c r="BG7" s="0" t="n">
        <v>1</v>
      </c>
      <c r="BH7" s="0" t="n">
        <v>1</v>
      </c>
      <c r="BI7" s="0" t="n">
        <v>1</v>
      </c>
      <c r="BJ7" s="0" t="n">
        <v>1</v>
      </c>
      <c r="BK7" s="0" t="n">
        <v>1</v>
      </c>
    </row>
    <row r="8" customFormat="false" ht="12.8" hidden="false" customHeight="false" outlineLevel="0" collapsed="false">
      <c r="A8" s="0" t="n">
        <f aca="false">A7-1</f>
        <v>2011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1</v>
      </c>
      <c r="AI8" s="0" t="n">
        <v>1</v>
      </c>
      <c r="AJ8" s="0" t="n">
        <v>1</v>
      </c>
      <c r="AK8" s="0" t="n">
        <v>1</v>
      </c>
      <c r="AL8" s="0" t="n">
        <v>1</v>
      </c>
      <c r="AM8" s="0" t="n">
        <v>1</v>
      </c>
      <c r="AN8" s="0" t="n">
        <v>1</v>
      </c>
      <c r="AO8" s="0" t="n">
        <v>1</v>
      </c>
      <c r="AP8" s="0" t="n">
        <v>1</v>
      </c>
      <c r="AQ8" s="0" t="n">
        <v>1</v>
      </c>
      <c r="AR8" s="0" t="n">
        <v>1</v>
      </c>
      <c r="AS8" s="0" t="n">
        <v>1</v>
      </c>
      <c r="AT8" s="0" t="n">
        <v>1</v>
      </c>
      <c r="AU8" s="0" t="n">
        <v>1</v>
      </c>
      <c r="AV8" s="0" t="n">
        <v>1</v>
      </c>
      <c r="AW8" s="0" t="n">
        <v>1</v>
      </c>
      <c r="AX8" s="0" t="n">
        <v>1</v>
      </c>
      <c r="AY8" s="0" t="n">
        <v>1</v>
      </c>
      <c r="AZ8" s="0" t="n">
        <v>1</v>
      </c>
      <c r="BA8" s="0" t="n">
        <v>1</v>
      </c>
      <c r="BB8" s="0" t="n">
        <v>1</v>
      </c>
      <c r="BC8" s="0" t="n">
        <v>1</v>
      </c>
      <c r="BD8" s="0" t="n">
        <v>1</v>
      </c>
      <c r="BE8" s="0" t="n">
        <v>1</v>
      </c>
      <c r="BF8" s="0" t="n">
        <v>1</v>
      </c>
      <c r="BG8" s="0" t="n">
        <v>1</v>
      </c>
      <c r="BH8" s="0" t="n">
        <v>1</v>
      </c>
      <c r="BI8" s="0" t="n">
        <v>1</v>
      </c>
      <c r="BJ8" s="0" t="n">
        <v>1</v>
      </c>
      <c r="BK8" s="0" t="n">
        <v>1</v>
      </c>
    </row>
    <row r="9" customFormat="false" ht="12.8" hidden="false" customHeight="false" outlineLevel="0" collapsed="false">
      <c r="A9" s="0" t="n">
        <f aca="false">A8-1</f>
        <v>2010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</v>
      </c>
      <c r="AF9" s="0" t="n">
        <v>1</v>
      </c>
      <c r="AG9" s="0" t="n">
        <v>1</v>
      </c>
      <c r="AH9" s="0" t="n">
        <v>1</v>
      </c>
      <c r="AI9" s="0" t="n">
        <v>1</v>
      </c>
      <c r="AJ9" s="0" t="n">
        <v>1</v>
      </c>
      <c r="AK9" s="0" t="n">
        <v>1</v>
      </c>
      <c r="AL9" s="0" t="n">
        <v>1</v>
      </c>
      <c r="AM9" s="0" t="n">
        <v>1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1</v>
      </c>
      <c r="AS9" s="0" t="n">
        <v>1</v>
      </c>
      <c r="AT9" s="0" t="n">
        <v>1</v>
      </c>
      <c r="AU9" s="0" t="n">
        <v>1</v>
      </c>
      <c r="AV9" s="0" t="n">
        <v>1</v>
      </c>
      <c r="AW9" s="0" t="n">
        <v>1</v>
      </c>
      <c r="AX9" s="0" t="n">
        <v>1</v>
      </c>
      <c r="AY9" s="0" t="n">
        <v>1</v>
      </c>
      <c r="AZ9" s="0" t="n">
        <v>1</v>
      </c>
      <c r="BA9" s="0" t="n">
        <v>1</v>
      </c>
      <c r="BB9" s="0" t="n">
        <v>1</v>
      </c>
      <c r="BC9" s="0" t="n">
        <v>1</v>
      </c>
      <c r="BD9" s="0" t="n">
        <v>1</v>
      </c>
      <c r="BE9" s="0" t="n">
        <v>1</v>
      </c>
      <c r="BF9" s="0" t="n">
        <v>1</v>
      </c>
      <c r="BG9" s="0" t="n">
        <v>1</v>
      </c>
      <c r="BH9" s="0" t="n">
        <v>1</v>
      </c>
      <c r="BI9" s="0" t="n">
        <v>1</v>
      </c>
      <c r="BJ9" s="0" t="n">
        <v>1</v>
      </c>
      <c r="BK9" s="0" t="n">
        <v>1</v>
      </c>
    </row>
    <row r="10" customFormat="false" ht="12.8" hidden="false" customHeight="false" outlineLevel="0" collapsed="false">
      <c r="A10" s="0" t="n">
        <f aca="false">A9-1</f>
        <v>2009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1</v>
      </c>
      <c r="AF10" s="0" t="n">
        <v>1</v>
      </c>
      <c r="AG10" s="0" t="n">
        <v>1</v>
      </c>
      <c r="AH10" s="0" t="n">
        <v>1</v>
      </c>
      <c r="AI10" s="0" t="n">
        <v>1</v>
      </c>
      <c r="AJ10" s="0" t="n">
        <v>1</v>
      </c>
      <c r="AK10" s="0" t="n">
        <v>1</v>
      </c>
      <c r="AL10" s="0" t="n">
        <v>1</v>
      </c>
      <c r="AM10" s="0" t="n">
        <v>1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1</v>
      </c>
      <c r="AV10" s="0" t="n">
        <v>1</v>
      </c>
      <c r="AW10" s="0" t="n">
        <v>1</v>
      </c>
      <c r="AX10" s="0" t="n">
        <v>1</v>
      </c>
      <c r="AY10" s="0" t="n">
        <v>1</v>
      </c>
      <c r="AZ10" s="0" t="n">
        <v>1</v>
      </c>
      <c r="BA10" s="0" t="n">
        <v>1</v>
      </c>
      <c r="BB10" s="0" t="n">
        <v>1</v>
      </c>
      <c r="BC10" s="0" t="n">
        <v>1</v>
      </c>
      <c r="BD10" s="0" t="n">
        <v>1</v>
      </c>
      <c r="BE10" s="0" t="n">
        <v>1</v>
      </c>
      <c r="BF10" s="0" t="n">
        <v>1</v>
      </c>
      <c r="BG10" s="0" t="n">
        <v>1</v>
      </c>
      <c r="BH10" s="0" t="n">
        <v>1</v>
      </c>
      <c r="BI10" s="0" t="n">
        <v>1</v>
      </c>
      <c r="BJ10" s="0" t="n">
        <v>1</v>
      </c>
      <c r="BK10" s="0" t="n">
        <v>1</v>
      </c>
    </row>
    <row r="11" customFormat="false" ht="12.8" hidden="false" customHeight="false" outlineLevel="0" collapsed="false">
      <c r="A11" s="0" t="n">
        <f aca="false">A10-1</f>
        <v>2008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1</v>
      </c>
      <c r="AF11" s="0" t="n">
        <v>1</v>
      </c>
      <c r="AG11" s="0" t="n">
        <v>1</v>
      </c>
      <c r="AH11" s="0" t="n">
        <v>1</v>
      </c>
      <c r="AI11" s="0" t="n">
        <v>1</v>
      </c>
      <c r="AJ11" s="0" t="n">
        <v>1</v>
      </c>
      <c r="AK11" s="0" t="n">
        <v>1</v>
      </c>
      <c r="AL11" s="0" t="n">
        <v>1</v>
      </c>
      <c r="AM11" s="0" t="n">
        <v>1</v>
      </c>
      <c r="AN11" s="0" t="n">
        <v>1</v>
      </c>
      <c r="AO11" s="0" t="n">
        <v>1</v>
      </c>
      <c r="AP11" s="0" t="n">
        <v>1</v>
      </c>
      <c r="AQ11" s="0" t="n">
        <v>1</v>
      </c>
      <c r="AR11" s="0" t="n">
        <v>1</v>
      </c>
      <c r="AS11" s="0" t="n">
        <v>1</v>
      </c>
      <c r="AT11" s="0" t="n">
        <v>1</v>
      </c>
      <c r="AU11" s="0" t="n">
        <v>1</v>
      </c>
      <c r="AV11" s="0" t="n">
        <v>1</v>
      </c>
      <c r="AW11" s="0" t="n">
        <v>1</v>
      </c>
      <c r="AX11" s="0" t="n">
        <v>1</v>
      </c>
      <c r="AY11" s="0" t="n">
        <v>1</v>
      </c>
      <c r="AZ11" s="0" t="n">
        <v>1</v>
      </c>
      <c r="BA11" s="0" t="n">
        <v>1</v>
      </c>
      <c r="BB11" s="0" t="n">
        <v>1</v>
      </c>
      <c r="BC11" s="0" t="n">
        <v>1</v>
      </c>
      <c r="BD11" s="0" t="n">
        <v>1</v>
      </c>
      <c r="BE11" s="0" t="n">
        <v>1</v>
      </c>
      <c r="BF11" s="0" t="n">
        <v>1</v>
      </c>
      <c r="BG11" s="0" t="n">
        <v>1</v>
      </c>
      <c r="BH11" s="0" t="n">
        <v>1</v>
      </c>
      <c r="BI11" s="0" t="n">
        <v>1</v>
      </c>
      <c r="BJ11" s="0" t="n">
        <v>1</v>
      </c>
      <c r="BK11" s="0" t="n">
        <v>1</v>
      </c>
    </row>
    <row r="12" customFormat="false" ht="12.8" hidden="false" customHeight="false" outlineLevel="0" collapsed="false">
      <c r="A12" s="0" t="n">
        <f aca="false">A11-1</f>
        <v>2007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1</v>
      </c>
      <c r="AE12" s="0" t="n">
        <v>1</v>
      </c>
      <c r="AF12" s="0" t="n">
        <v>1</v>
      </c>
      <c r="AG12" s="0" t="n">
        <v>1</v>
      </c>
      <c r="AH12" s="0" t="n">
        <v>1</v>
      </c>
      <c r="AI12" s="0" t="n">
        <v>1</v>
      </c>
      <c r="AJ12" s="0" t="n">
        <v>1</v>
      </c>
      <c r="AK12" s="0" t="n">
        <v>1</v>
      </c>
      <c r="AL12" s="0" t="n">
        <v>1</v>
      </c>
      <c r="AM12" s="0" t="n">
        <v>1</v>
      </c>
      <c r="AN12" s="0" t="n">
        <v>1</v>
      </c>
      <c r="AO12" s="0" t="n">
        <v>1</v>
      </c>
      <c r="AP12" s="0" t="n">
        <v>1</v>
      </c>
      <c r="AQ12" s="0" t="n">
        <v>1</v>
      </c>
      <c r="AR12" s="0" t="n">
        <v>1</v>
      </c>
      <c r="AS12" s="0" t="n">
        <v>1</v>
      </c>
      <c r="AT12" s="0" t="n">
        <v>1</v>
      </c>
      <c r="AU12" s="0" t="n">
        <v>1</v>
      </c>
      <c r="AV12" s="0" t="n">
        <v>1</v>
      </c>
      <c r="AW12" s="0" t="n">
        <v>1</v>
      </c>
      <c r="AX12" s="0" t="n">
        <v>1</v>
      </c>
      <c r="AY12" s="0" t="n">
        <v>1</v>
      </c>
      <c r="AZ12" s="0" t="n">
        <v>1</v>
      </c>
      <c r="BA12" s="0" t="n">
        <v>1</v>
      </c>
      <c r="BB12" s="0" t="n">
        <v>1</v>
      </c>
      <c r="BC12" s="0" t="n">
        <v>1</v>
      </c>
      <c r="BD12" s="0" t="n">
        <v>1</v>
      </c>
      <c r="BE12" s="0" t="n">
        <v>1</v>
      </c>
      <c r="BF12" s="0" t="n">
        <v>1</v>
      </c>
      <c r="BG12" s="0" t="n">
        <v>1</v>
      </c>
      <c r="BH12" s="0" t="n">
        <v>1</v>
      </c>
      <c r="BI12" s="0" t="n">
        <v>1</v>
      </c>
      <c r="BJ12" s="0" t="n">
        <v>1</v>
      </c>
      <c r="BK12" s="0" t="n">
        <v>1</v>
      </c>
    </row>
    <row r="13" customFormat="false" ht="12.8" hidden="false" customHeight="false" outlineLevel="0" collapsed="false">
      <c r="A13" s="0" t="n">
        <f aca="false">A12-1</f>
        <v>2006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v>1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</v>
      </c>
      <c r="AR13" s="0" t="n">
        <v>1</v>
      </c>
      <c r="AS13" s="0" t="n">
        <v>1</v>
      </c>
      <c r="AT13" s="0" t="n">
        <v>1</v>
      </c>
      <c r="AU13" s="0" t="n">
        <v>1</v>
      </c>
      <c r="AV13" s="0" t="n">
        <v>1</v>
      </c>
      <c r="AW13" s="0" t="n">
        <v>1</v>
      </c>
      <c r="AX13" s="0" t="n">
        <v>1</v>
      </c>
      <c r="AY13" s="0" t="n">
        <v>1</v>
      </c>
      <c r="AZ13" s="0" t="n">
        <v>1</v>
      </c>
      <c r="BA13" s="0" t="n">
        <v>1</v>
      </c>
      <c r="BB13" s="0" t="n">
        <v>1</v>
      </c>
      <c r="BC13" s="0" t="n">
        <v>1</v>
      </c>
      <c r="BD13" s="0" t="n">
        <v>1</v>
      </c>
      <c r="BE13" s="0" t="n">
        <v>1</v>
      </c>
      <c r="BF13" s="0" t="n">
        <v>1</v>
      </c>
      <c r="BG13" s="0" t="n">
        <v>1</v>
      </c>
      <c r="BH13" s="0" t="n">
        <v>1</v>
      </c>
      <c r="BI13" s="0" t="n">
        <v>1</v>
      </c>
      <c r="BJ13" s="0" t="n">
        <v>1</v>
      </c>
      <c r="BK13" s="0" t="n">
        <v>1</v>
      </c>
    </row>
    <row r="14" customFormat="false" ht="12.8" hidden="false" customHeight="false" outlineLevel="0" collapsed="false">
      <c r="A14" s="0" t="n">
        <f aca="false">A13-1</f>
        <v>2005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1</v>
      </c>
      <c r="AM14" s="0" t="n">
        <v>1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1</v>
      </c>
      <c r="AV14" s="0" t="n">
        <v>1</v>
      </c>
      <c r="AW14" s="0" t="n">
        <v>1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1</v>
      </c>
      <c r="BC14" s="0" t="n">
        <v>1</v>
      </c>
      <c r="BD14" s="0" t="n">
        <v>1</v>
      </c>
      <c r="BE14" s="0" t="n">
        <v>1</v>
      </c>
      <c r="BF14" s="0" t="n">
        <v>1</v>
      </c>
      <c r="BG14" s="0" t="n">
        <v>1</v>
      </c>
      <c r="BH14" s="0" t="n">
        <v>1</v>
      </c>
      <c r="BI14" s="0" t="n">
        <v>1</v>
      </c>
      <c r="BJ14" s="0" t="n">
        <v>1</v>
      </c>
      <c r="BK14" s="0" t="n">
        <v>1</v>
      </c>
    </row>
    <row r="15" customFormat="false" ht="12.8" hidden="false" customHeight="false" outlineLevel="0" collapsed="false">
      <c r="A15" s="0" t="n">
        <f aca="false">A14-1</f>
        <v>2004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1</v>
      </c>
      <c r="AE15" s="0" t="n">
        <v>1</v>
      </c>
      <c r="AF15" s="0" t="n">
        <v>1</v>
      </c>
      <c r="AG15" s="0" t="n">
        <v>1</v>
      </c>
      <c r="AH15" s="0" t="n">
        <v>1</v>
      </c>
      <c r="AI15" s="0" t="n">
        <v>1</v>
      </c>
      <c r="AJ15" s="0" t="n">
        <v>1</v>
      </c>
      <c r="AK15" s="0" t="n">
        <v>1</v>
      </c>
      <c r="AL15" s="0" t="n">
        <v>1</v>
      </c>
      <c r="AM15" s="0" t="n">
        <v>1</v>
      </c>
      <c r="AN15" s="0" t="n">
        <v>1</v>
      </c>
      <c r="AO15" s="0" t="n">
        <v>1</v>
      </c>
      <c r="AP15" s="0" t="n">
        <v>1</v>
      </c>
      <c r="AQ15" s="0" t="n">
        <v>1</v>
      </c>
      <c r="AR15" s="0" t="n">
        <v>1</v>
      </c>
      <c r="AS15" s="0" t="n">
        <v>1</v>
      </c>
      <c r="AT15" s="0" t="n">
        <v>1</v>
      </c>
      <c r="AU15" s="0" t="n">
        <v>1</v>
      </c>
      <c r="AV15" s="0" t="n">
        <v>1</v>
      </c>
      <c r="AW15" s="0" t="n">
        <v>1</v>
      </c>
      <c r="AX15" s="0" t="n">
        <v>1</v>
      </c>
      <c r="AY15" s="0" t="n">
        <v>1</v>
      </c>
      <c r="AZ15" s="0" t="n">
        <v>1</v>
      </c>
      <c r="BA15" s="0" t="n">
        <v>1</v>
      </c>
      <c r="BB15" s="0" t="n">
        <v>1</v>
      </c>
      <c r="BC15" s="0" t="n">
        <v>1</v>
      </c>
      <c r="BD15" s="0" t="n">
        <v>1</v>
      </c>
      <c r="BE15" s="0" t="n">
        <v>1</v>
      </c>
      <c r="BF15" s="0" t="n">
        <v>1</v>
      </c>
      <c r="BG15" s="0" t="n">
        <v>1</v>
      </c>
      <c r="BH15" s="0" t="n">
        <v>1</v>
      </c>
      <c r="BI15" s="0" t="n">
        <v>1</v>
      </c>
      <c r="BJ15" s="0" t="n">
        <v>1</v>
      </c>
      <c r="BK15" s="0" t="n">
        <v>1</v>
      </c>
    </row>
    <row r="16" customFormat="false" ht="12.8" hidden="false" customHeight="false" outlineLevel="0" collapsed="false">
      <c r="A16" s="0" t="n">
        <f aca="false">A15-1</f>
        <v>2003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1</v>
      </c>
      <c r="AF16" s="0" t="n">
        <v>1</v>
      </c>
      <c r="AG16" s="0" t="n">
        <v>1</v>
      </c>
      <c r="AH16" s="0" t="n">
        <v>1</v>
      </c>
      <c r="AI16" s="0" t="n">
        <v>1</v>
      </c>
      <c r="AJ16" s="0" t="n">
        <v>1</v>
      </c>
      <c r="AK16" s="0" t="n">
        <v>1</v>
      </c>
      <c r="AL16" s="0" t="n">
        <v>1</v>
      </c>
      <c r="AM16" s="0" t="n">
        <v>1</v>
      </c>
      <c r="AN16" s="0" t="n">
        <v>1</v>
      </c>
      <c r="AO16" s="0" t="n">
        <v>1</v>
      </c>
      <c r="AP16" s="0" t="n">
        <v>1</v>
      </c>
      <c r="AQ16" s="0" t="n">
        <v>1</v>
      </c>
      <c r="AR16" s="0" t="n">
        <v>1</v>
      </c>
      <c r="AS16" s="0" t="n">
        <v>1</v>
      </c>
      <c r="AT16" s="0" t="n">
        <v>1</v>
      </c>
      <c r="AU16" s="0" t="n">
        <v>1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1</v>
      </c>
      <c r="BC16" s="0" t="n">
        <v>1</v>
      </c>
      <c r="BD16" s="0" t="n">
        <v>1</v>
      </c>
      <c r="BE16" s="0" t="n">
        <v>1</v>
      </c>
      <c r="BF16" s="0" t="n">
        <v>1</v>
      </c>
      <c r="BG16" s="0" t="n">
        <v>1</v>
      </c>
      <c r="BH16" s="0" t="n">
        <v>1</v>
      </c>
      <c r="BI16" s="0" t="n">
        <v>1</v>
      </c>
      <c r="BJ16" s="0" t="n">
        <v>1</v>
      </c>
      <c r="BK16" s="0" t="n">
        <v>1</v>
      </c>
    </row>
    <row r="17" customFormat="false" ht="12.8" hidden="false" customHeight="false" outlineLevel="0" collapsed="false">
      <c r="A17" s="0" t="n">
        <f aca="false">A16-1</f>
        <v>2002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1</v>
      </c>
      <c r="AE17" s="0" t="n">
        <v>1</v>
      </c>
      <c r="AF17" s="0" t="n">
        <v>1</v>
      </c>
      <c r="AG17" s="0" t="n">
        <v>1</v>
      </c>
      <c r="AH17" s="0" t="n">
        <v>1</v>
      </c>
      <c r="AI17" s="0" t="n">
        <v>1</v>
      </c>
      <c r="AJ17" s="0" t="n">
        <v>1</v>
      </c>
      <c r="AK17" s="0" t="n">
        <v>1</v>
      </c>
      <c r="AL17" s="0" t="n">
        <v>1</v>
      </c>
      <c r="AM17" s="0" t="n">
        <v>1</v>
      </c>
      <c r="AN17" s="0" t="n">
        <v>1</v>
      </c>
      <c r="AO17" s="0" t="n">
        <v>1</v>
      </c>
      <c r="AP17" s="0" t="n">
        <v>1</v>
      </c>
      <c r="AQ17" s="0" t="n">
        <v>1</v>
      </c>
      <c r="AR17" s="0" t="n">
        <v>1</v>
      </c>
      <c r="AS17" s="0" t="n">
        <v>1</v>
      </c>
      <c r="AT17" s="0" t="n">
        <v>1</v>
      </c>
      <c r="AU17" s="0" t="n">
        <v>1</v>
      </c>
      <c r="AV17" s="0" t="n">
        <v>1</v>
      </c>
      <c r="AW17" s="0" t="n">
        <v>1</v>
      </c>
      <c r="AX17" s="0" t="n">
        <v>1</v>
      </c>
      <c r="AY17" s="0" t="n">
        <v>1</v>
      </c>
      <c r="AZ17" s="0" t="n">
        <v>1</v>
      </c>
      <c r="BA17" s="0" t="n">
        <v>1</v>
      </c>
      <c r="BB17" s="0" t="n">
        <v>1</v>
      </c>
      <c r="BC17" s="0" t="n">
        <v>1</v>
      </c>
      <c r="BD17" s="0" t="n">
        <v>1</v>
      </c>
      <c r="BE17" s="0" t="n">
        <v>1</v>
      </c>
      <c r="BF17" s="0" t="n">
        <v>1</v>
      </c>
      <c r="BG17" s="0" t="n">
        <v>1</v>
      </c>
      <c r="BH17" s="0" t="n">
        <v>1</v>
      </c>
      <c r="BI17" s="0" t="n">
        <v>1</v>
      </c>
      <c r="BJ17" s="0" t="n">
        <v>1</v>
      </c>
      <c r="BK17" s="0" t="n">
        <v>1</v>
      </c>
    </row>
    <row r="18" customFormat="false" ht="12.8" hidden="false" customHeight="false" outlineLevel="0" collapsed="false">
      <c r="A18" s="0" t="n">
        <f aca="false">A17-1</f>
        <v>2001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1</v>
      </c>
      <c r="AF18" s="0" t="n">
        <v>1</v>
      </c>
      <c r="AG18" s="0" t="n">
        <v>1</v>
      </c>
      <c r="AH18" s="0" t="n">
        <v>1</v>
      </c>
      <c r="AI18" s="0" t="n">
        <v>1</v>
      </c>
      <c r="AJ18" s="0" t="n">
        <v>1</v>
      </c>
      <c r="AK18" s="0" t="n">
        <v>1</v>
      </c>
      <c r="AL18" s="0" t="n">
        <v>1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1</v>
      </c>
      <c r="AT18" s="0" t="n">
        <v>1</v>
      </c>
      <c r="AU18" s="0" t="n">
        <v>1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1</v>
      </c>
      <c r="BA18" s="0" t="n">
        <v>1</v>
      </c>
      <c r="BB18" s="0" t="n">
        <v>1</v>
      </c>
      <c r="BC18" s="0" t="n">
        <v>1</v>
      </c>
      <c r="BD18" s="0" t="n">
        <v>1</v>
      </c>
      <c r="BE18" s="0" t="n">
        <v>1</v>
      </c>
      <c r="BF18" s="0" t="n">
        <v>1</v>
      </c>
      <c r="BG18" s="0" t="n">
        <v>1</v>
      </c>
      <c r="BH18" s="0" t="n">
        <v>1</v>
      </c>
      <c r="BI18" s="0" t="n">
        <v>1</v>
      </c>
      <c r="BJ18" s="0" t="n">
        <v>1</v>
      </c>
      <c r="BK18" s="0" t="n">
        <v>1</v>
      </c>
    </row>
    <row r="19" customFormat="false" ht="12.8" hidden="false" customHeight="false" outlineLevel="0" collapsed="false">
      <c r="A19" s="0" t="n">
        <f aca="false">A18-1</f>
        <v>2000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1</v>
      </c>
      <c r="AE19" s="0" t="n">
        <v>1</v>
      </c>
      <c r="AF19" s="0" t="n">
        <v>1</v>
      </c>
      <c r="AG19" s="0" t="n">
        <v>1</v>
      </c>
      <c r="AH19" s="0" t="n">
        <v>1</v>
      </c>
      <c r="AI19" s="0" t="n">
        <v>1</v>
      </c>
      <c r="AJ19" s="0" t="n">
        <v>1</v>
      </c>
      <c r="AK19" s="0" t="n">
        <v>1</v>
      </c>
      <c r="AL19" s="0" t="n">
        <v>1</v>
      </c>
      <c r="AM19" s="0" t="n">
        <v>1</v>
      </c>
      <c r="AN19" s="0" t="n">
        <v>1</v>
      </c>
      <c r="AO19" s="0" t="n">
        <v>1</v>
      </c>
      <c r="AP19" s="0" t="n">
        <v>1</v>
      </c>
      <c r="AQ19" s="0" t="n">
        <v>1</v>
      </c>
      <c r="AR19" s="0" t="n">
        <v>1</v>
      </c>
      <c r="AS19" s="0" t="n">
        <v>1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1</v>
      </c>
      <c r="AY19" s="0" t="n">
        <v>1</v>
      </c>
      <c r="AZ19" s="0" t="n">
        <v>1</v>
      </c>
      <c r="BA19" s="0" t="n">
        <v>1</v>
      </c>
      <c r="BB19" s="0" t="n">
        <v>1</v>
      </c>
      <c r="BC19" s="0" t="n">
        <v>1</v>
      </c>
      <c r="BD19" s="0" t="n">
        <v>1</v>
      </c>
      <c r="BE19" s="0" t="n">
        <v>1</v>
      </c>
      <c r="BF19" s="0" t="n">
        <v>1</v>
      </c>
      <c r="BG19" s="0" t="n">
        <v>1</v>
      </c>
      <c r="BH19" s="0" t="n">
        <v>1</v>
      </c>
      <c r="BI19" s="0" t="n">
        <v>1</v>
      </c>
      <c r="BJ19" s="0" t="n">
        <v>1</v>
      </c>
      <c r="BK19" s="0" t="n">
        <v>1</v>
      </c>
    </row>
    <row r="20" customFormat="false" ht="12.8" hidden="false" customHeight="false" outlineLevel="0" collapsed="false">
      <c r="A20" s="0" t="n">
        <f aca="false">A19-1</f>
        <v>1999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1</v>
      </c>
      <c r="AE20" s="0" t="n">
        <v>1</v>
      </c>
      <c r="AF20" s="0" t="n">
        <v>1</v>
      </c>
      <c r="AG20" s="0" t="n">
        <v>1</v>
      </c>
      <c r="AH20" s="0" t="n">
        <v>1</v>
      </c>
      <c r="AI20" s="0" t="n">
        <v>1</v>
      </c>
      <c r="AJ20" s="0" t="n">
        <v>1</v>
      </c>
      <c r="AK20" s="0" t="n">
        <v>1</v>
      </c>
      <c r="AL20" s="0" t="n">
        <v>1</v>
      </c>
      <c r="AM20" s="0" t="n">
        <v>1</v>
      </c>
      <c r="AN20" s="0" t="n">
        <v>1</v>
      </c>
      <c r="AO20" s="0" t="n">
        <v>1</v>
      </c>
      <c r="AP20" s="0" t="n">
        <v>1</v>
      </c>
      <c r="AQ20" s="0" t="n">
        <v>1</v>
      </c>
      <c r="AR20" s="0" t="n">
        <v>1</v>
      </c>
      <c r="AS20" s="0" t="n">
        <v>1</v>
      </c>
      <c r="AT20" s="0" t="n">
        <v>1</v>
      </c>
      <c r="AU20" s="0" t="n">
        <v>1</v>
      </c>
      <c r="AV20" s="0" t="n">
        <v>1</v>
      </c>
      <c r="AW20" s="0" t="n">
        <v>1</v>
      </c>
      <c r="AX20" s="0" t="n">
        <v>1</v>
      </c>
      <c r="AY20" s="0" t="n">
        <v>1</v>
      </c>
      <c r="AZ20" s="0" t="n">
        <v>1</v>
      </c>
      <c r="BA20" s="0" t="n">
        <v>1</v>
      </c>
      <c r="BB20" s="0" t="n">
        <v>1</v>
      </c>
      <c r="BC20" s="0" t="n">
        <v>1</v>
      </c>
      <c r="BD20" s="0" t="n">
        <v>1</v>
      </c>
      <c r="BE20" s="0" t="n">
        <v>1</v>
      </c>
      <c r="BF20" s="0" t="n">
        <v>1</v>
      </c>
      <c r="BG20" s="0" t="n">
        <v>1</v>
      </c>
      <c r="BH20" s="0" t="n">
        <v>1</v>
      </c>
      <c r="BI20" s="0" t="n">
        <v>1</v>
      </c>
      <c r="BJ20" s="0" t="n">
        <v>1</v>
      </c>
      <c r="BK20" s="0" t="n">
        <v>1</v>
      </c>
    </row>
    <row r="21" customFormat="false" ht="12.8" hidden="false" customHeight="false" outlineLevel="0" collapsed="false">
      <c r="A21" s="0" t="n">
        <f aca="false">A20-1</f>
        <v>1998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1</v>
      </c>
      <c r="BC21" s="0" t="n">
        <v>1</v>
      </c>
      <c r="BD21" s="0" t="n">
        <v>1</v>
      </c>
      <c r="BE21" s="0" t="n">
        <v>1</v>
      </c>
      <c r="BF21" s="0" t="n">
        <v>1</v>
      </c>
      <c r="BG21" s="0" t="n">
        <v>1</v>
      </c>
      <c r="BH21" s="0" t="n">
        <v>1</v>
      </c>
      <c r="BI21" s="0" t="n">
        <v>1</v>
      </c>
      <c r="BJ21" s="0" t="n">
        <v>1</v>
      </c>
      <c r="BK21" s="0" t="n">
        <v>1</v>
      </c>
    </row>
    <row r="22" customFormat="false" ht="12.8" hidden="false" customHeight="false" outlineLevel="0" collapsed="false">
      <c r="A22" s="0" t="n">
        <f aca="false">A21-1</f>
        <v>1997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1</v>
      </c>
      <c r="AE22" s="0" t="n">
        <v>1</v>
      </c>
      <c r="AF22" s="0" t="n">
        <v>1</v>
      </c>
      <c r="AG22" s="0" t="n">
        <v>1</v>
      </c>
      <c r="AH22" s="0" t="n">
        <v>1</v>
      </c>
      <c r="AI22" s="0" t="n">
        <v>1</v>
      </c>
      <c r="AJ22" s="0" t="n">
        <v>1</v>
      </c>
      <c r="AK22" s="0" t="n">
        <v>1</v>
      </c>
      <c r="AL22" s="0" t="n">
        <v>1</v>
      </c>
      <c r="AM22" s="0" t="n">
        <v>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1</v>
      </c>
      <c r="AV22" s="0" t="n">
        <v>1</v>
      </c>
      <c r="AW22" s="0" t="n">
        <v>1</v>
      </c>
      <c r="AX22" s="0" t="n">
        <v>1</v>
      </c>
      <c r="AY22" s="0" t="n">
        <v>1</v>
      </c>
      <c r="AZ22" s="0" t="n">
        <v>1</v>
      </c>
      <c r="BA22" s="0" t="n">
        <v>1</v>
      </c>
      <c r="BB22" s="0" t="n">
        <v>1</v>
      </c>
      <c r="BC22" s="0" t="n">
        <v>1</v>
      </c>
      <c r="BD22" s="0" t="n">
        <v>1</v>
      </c>
      <c r="BE22" s="0" t="n">
        <v>1</v>
      </c>
      <c r="BF22" s="0" t="n">
        <v>1</v>
      </c>
      <c r="BG22" s="0" t="n">
        <v>1</v>
      </c>
      <c r="BH22" s="0" t="n">
        <v>1</v>
      </c>
      <c r="BI22" s="0" t="n">
        <v>1</v>
      </c>
      <c r="BJ22" s="0" t="n">
        <v>1</v>
      </c>
      <c r="BK22" s="0" t="n">
        <v>1</v>
      </c>
    </row>
    <row r="23" customFormat="false" ht="12.8" hidden="false" customHeight="false" outlineLevel="0" collapsed="false">
      <c r="A23" s="0" t="n">
        <f aca="false">A22-1</f>
        <v>1996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1</v>
      </c>
      <c r="AE23" s="0" t="n">
        <v>1</v>
      </c>
      <c r="AF23" s="0" t="n">
        <v>1</v>
      </c>
      <c r="AG23" s="0" t="n">
        <v>1</v>
      </c>
      <c r="AH23" s="0" t="n">
        <v>1</v>
      </c>
      <c r="AI23" s="0" t="n">
        <v>1</v>
      </c>
      <c r="AJ23" s="0" t="n">
        <v>1</v>
      </c>
      <c r="AK23" s="0" t="n">
        <v>1</v>
      </c>
      <c r="AL23" s="0" t="n">
        <v>1</v>
      </c>
      <c r="AM23" s="0" t="n">
        <v>1</v>
      </c>
      <c r="AN23" s="0" t="n">
        <v>1</v>
      </c>
      <c r="AO23" s="0" t="n">
        <v>1</v>
      </c>
      <c r="AP23" s="0" t="n">
        <v>1</v>
      </c>
      <c r="AQ23" s="0" t="n">
        <v>1</v>
      </c>
      <c r="AR23" s="0" t="n">
        <v>1</v>
      </c>
      <c r="AS23" s="0" t="n">
        <v>1</v>
      </c>
      <c r="AT23" s="0" t="n">
        <v>1</v>
      </c>
      <c r="AU23" s="0" t="n">
        <v>1</v>
      </c>
      <c r="AV23" s="0" t="n">
        <v>1</v>
      </c>
      <c r="AW23" s="0" t="n">
        <v>1</v>
      </c>
      <c r="AX23" s="0" t="n">
        <v>1</v>
      </c>
      <c r="AY23" s="0" t="n">
        <v>1</v>
      </c>
      <c r="AZ23" s="0" t="n">
        <v>1</v>
      </c>
      <c r="BA23" s="0" t="n">
        <v>1</v>
      </c>
      <c r="BB23" s="0" t="n">
        <v>1</v>
      </c>
      <c r="BC23" s="0" t="n">
        <v>1</v>
      </c>
      <c r="BD23" s="0" t="n">
        <v>1</v>
      </c>
      <c r="BE23" s="0" t="n">
        <v>1</v>
      </c>
      <c r="BF23" s="0" t="n">
        <v>1</v>
      </c>
      <c r="BG23" s="0" t="n">
        <v>1</v>
      </c>
      <c r="BH23" s="0" t="n">
        <v>1</v>
      </c>
      <c r="BI23" s="0" t="n">
        <v>1</v>
      </c>
      <c r="BJ23" s="0" t="n">
        <v>1</v>
      </c>
      <c r="BK23" s="0" t="n">
        <v>1</v>
      </c>
    </row>
    <row r="24" customFormat="false" ht="12.8" hidden="false" customHeight="false" outlineLevel="0" collapsed="false">
      <c r="A24" s="0" t="n">
        <f aca="false">A23-1</f>
        <v>1995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1</v>
      </c>
      <c r="AF24" s="0" t="n">
        <v>1</v>
      </c>
      <c r="AG24" s="0" t="n">
        <v>1</v>
      </c>
      <c r="AH24" s="0" t="n">
        <v>1</v>
      </c>
      <c r="AI24" s="0" t="n">
        <v>1</v>
      </c>
      <c r="AJ24" s="0" t="n">
        <v>1</v>
      </c>
      <c r="AK24" s="0" t="n">
        <v>1</v>
      </c>
      <c r="AL24" s="0" t="n">
        <v>1</v>
      </c>
      <c r="AM24" s="0" t="n">
        <v>1</v>
      </c>
      <c r="AN24" s="0" t="n">
        <v>1</v>
      </c>
      <c r="AO24" s="0" t="n">
        <v>1</v>
      </c>
      <c r="AP24" s="0" t="n">
        <v>1</v>
      </c>
      <c r="AQ24" s="0" t="n">
        <v>1</v>
      </c>
      <c r="AR24" s="0" t="n">
        <v>1</v>
      </c>
      <c r="AS24" s="0" t="n">
        <v>1</v>
      </c>
      <c r="AT24" s="0" t="n">
        <v>1</v>
      </c>
      <c r="AU24" s="0" t="n">
        <v>1</v>
      </c>
      <c r="AV24" s="0" t="n">
        <v>1</v>
      </c>
      <c r="AW24" s="0" t="n">
        <v>1</v>
      </c>
      <c r="AX24" s="0" t="n">
        <v>1</v>
      </c>
      <c r="AY24" s="0" t="n">
        <v>1</v>
      </c>
      <c r="AZ24" s="0" t="n">
        <v>1</v>
      </c>
      <c r="BA24" s="0" t="n">
        <v>1</v>
      </c>
      <c r="BB24" s="0" t="n">
        <v>1</v>
      </c>
      <c r="BC24" s="0" t="n">
        <v>1</v>
      </c>
      <c r="BD24" s="0" t="n">
        <v>1</v>
      </c>
      <c r="BE24" s="0" t="n">
        <v>1</v>
      </c>
      <c r="BF24" s="0" t="n">
        <v>1</v>
      </c>
      <c r="BG24" s="0" t="n">
        <v>1</v>
      </c>
      <c r="BH24" s="0" t="n">
        <v>1</v>
      </c>
      <c r="BI24" s="0" t="n">
        <v>1</v>
      </c>
      <c r="BJ24" s="0" t="n">
        <v>1</v>
      </c>
      <c r="BK24" s="0" t="n">
        <v>1</v>
      </c>
    </row>
    <row r="25" customFormat="false" ht="12.8" hidden="false" customHeight="false" outlineLevel="0" collapsed="false">
      <c r="A25" s="0" t="n">
        <f aca="false">A24-1</f>
        <v>1994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1</v>
      </c>
      <c r="AE25" s="0" t="n">
        <v>1</v>
      </c>
      <c r="AF25" s="0" t="n">
        <v>1</v>
      </c>
      <c r="AG25" s="0" t="n">
        <v>1</v>
      </c>
      <c r="AH25" s="0" t="n">
        <v>1</v>
      </c>
      <c r="AI25" s="0" t="n">
        <v>1</v>
      </c>
      <c r="AJ25" s="0" t="n">
        <v>1</v>
      </c>
      <c r="AK25" s="0" t="n">
        <v>1</v>
      </c>
      <c r="AL25" s="0" t="n">
        <v>1</v>
      </c>
      <c r="AM25" s="0" t="n">
        <v>1</v>
      </c>
      <c r="AN25" s="0" t="n">
        <v>1</v>
      </c>
      <c r="AO25" s="0" t="n">
        <v>1</v>
      </c>
      <c r="AP25" s="0" t="n">
        <v>1</v>
      </c>
      <c r="AQ25" s="0" t="n">
        <v>1</v>
      </c>
      <c r="AR25" s="0" t="n">
        <v>1</v>
      </c>
      <c r="AS25" s="0" t="n">
        <v>1</v>
      </c>
      <c r="AT25" s="0" t="n">
        <v>1</v>
      </c>
      <c r="AU25" s="0" t="n">
        <v>1</v>
      </c>
      <c r="AV25" s="0" t="n">
        <v>1</v>
      </c>
      <c r="AW25" s="0" t="n">
        <v>1</v>
      </c>
      <c r="AX25" s="0" t="n">
        <v>1</v>
      </c>
      <c r="AY25" s="0" t="n">
        <v>1</v>
      </c>
      <c r="AZ25" s="0" t="n">
        <v>1</v>
      </c>
      <c r="BA25" s="0" t="n">
        <v>1</v>
      </c>
      <c r="BB25" s="0" t="n">
        <v>1</v>
      </c>
      <c r="BC25" s="0" t="n">
        <v>1</v>
      </c>
      <c r="BD25" s="0" t="n">
        <v>1</v>
      </c>
      <c r="BE25" s="0" t="n">
        <v>1</v>
      </c>
      <c r="BF25" s="0" t="n">
        <v>1</v>
      </c>
      <c r="BG25" s="0" t="n">
        <v>1</v>
      </c>
      <c r="BH25" s="0" t="n">
        <v>1</v>
      </c>
      <c r="BI25" s="0" t="n">
        <v>1</v>
      </c>
      <c r="BJ25" s="0" t="n">
        <v>1</v>
      </c>
      <c r="BK25" s="0" t="n">
        <v>1</v>
      </c>
    </row>
    <row r="26" customFormat="false" ht="12.8" hidden="false" customHeight="false" outlineLevel="0" collapsed="false">
      <c r="A26" s="0" t="n">
        <f aca="false">A25-1</f>
        <v>1993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1</v>
      </c>
      <c r="AE26" s="0" t="n">
        <v>1</v>
      </c>
      <c r="AF26" s="0" t="n">
        <v>1</v>
      </c>
      <c r="AG26" s="0" t="n">
        <v>1</v>
      </c>
      <c r="AH26" s="0" t="n">
        <v>1</v>
      </c>
      <c r="AI26" s="0" t="n">
        <v>1</v>
      </c>
      <c r="AJ26" s="0" t="n">
        <v>1</v>
      </c>
      <c r="AK26" s="0" t="n">
        <v>1</v>
      </c>
      <c r="AL26" s="0" t="n">
        <v>1</v>
      </c>
      <c r="AM26" s="0" t="n">
        <v>1</v>
      </c>
      <c r="AN26" s="0" t="n">
        <v>1</v>
      </c>
      <c r="AO26" s="0" t="n">
        <v>1</v>
      </c>
      <c r="AP26" s="0" t="n">
        <v>1</v>
      </c>
      <c r="AQ26" s="0" t="n">
        <v>1</v>
      </c>
      <c r="AR26" s="0" t="n">
        <v>1</v>
      </c>
      <c r="AS26" s="0" t="n">
        <v>1</v>
      </c>
      <c r="AT26" s="0" t="n">
        <v>1</v>
      </c>
      <c r="AU26" s="0" t="n">
        <v>1</v>
      </c>
      <c r="AV26" s="0" t="n">
        <v>1</v>
      </c>
      <c r="AW26" s="0" t="n">
        <v>1</v>
      </c>
      <c r="AX26" s="0" t="n">
        <v>1</v>
      </c>
      <c r="AY26" s="0" t="n">
        <v>1</v>
      </c>
      <c r="AZ26" s="0" t="n">
        <v>1</v>
      </c>
      <c r="BA26" s="0" t="n">
        <v>1</v>
      </c>
      <c r="BB26" s="0" t="n">
        <v>1</v>
      </c>
      <c r="BC26" s="0" t="n">
        <v>1</v>
      </c>
      <c r="BD26" s="0" t="n">
        <v>1</v>
      </c>
      <c r="BE26" s="0" t="n">
        <v>1</v>
      </c>
      <c r="BF26" s="0" t="n">
        <v>1</v>
      </c>
      <c r="BG26" s="0" t="n">
        <v>1</v>
      </c>
      <c r="BH26" s="0" t="n">
        <v>1</v>
      </c>
      <c r="BI26" s="0" t="n">
        <v>1</v>
      </c>
      <c r="BJ26" s="0" t="n">
        <v>1</v>
      </c>
      <c r="BK26" s="0" t="n">
        <v>1</v>
      </c>
    </row>
    <row r="27" customFormat="false" ht="12.8" hidden="false" customHeight="false" outlineLevel="0" collapsed="false">
      <c r="A27" s="0" t="n">
        <f aca="false">A26-1</f>
        <v>1992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1</v>
      </c>
      <c r="AE27" s="0" t="n">
        <v>1</v>
      </c>
      <c r="AF27" s="0" t="n">
        <v>1</v>
      </c>
      <c r="AG27" s="0" t="n">
        <v>1</v>
      </c>
      <c r="AH27" s="0" t="n">
        <v>1</v>
      </c>
      <c r="AI27" s="0" t="n">
        <v>1</v>
      </c>
      <c r="AJ27" s="0" t="n">
        <v>1</v>
      </c>
      <c r="AK27" s="0" t="n">
        <v>1</v>
      </c>
      <c r="AL27" s="0" t="n">
        <v>1</v>
      </c>
      <c r="AM27" s="0" t="n">
        <v>1</v>
      </c>
      <c r="AN27" s="0" t="n">
        <v>1</v>
      </c>
      <c r="AO27" s="0" t="n">
        <v>1</v>
      </c>
      <c r="AP27" s="0" t="n">
        <v>1</v>
      </c>
      <c r="AQ27" s="0" t="n">
        <v>1</v>
      </c>
      <c r="AR27" s="0" t="n">
        <v>1</v>
      </c>
      <c r="AS27" s="0" t="n">
        <v>1</v>
      </c>
      <c r="AT27" s="0" t="n">
        <v>1</v>
      </c>
      <c r="AU27" s="0" t="n">
        <v>1</v>
      </c>
      <c r="AV27" s="0" t="n">
        <v>1</v>
      </c>
      <c r="AW27" s="0" t="n">
        <v>1</v>
      </c>
      <c r="AX27" s="0" t="n">
        <v>1</v>
      </c>
      <c r="AY27" s="0" t="n">
        <v>1</v>
      </c>
      <c r="AZ27" s="0" t="n">
        <v>1</v>
      </c>
      <c r="BA27" s="0" t="n">
        <v>1</v>
      </c>
      <c r="BB27" s="0" t="n">
        <v>1</v>
      </c>
      <c r="BC27" s="0" t="n">
        <v>1</v>
      </c>
      <c r="BD27" s="0" t="n">
        <v>1</v>
      </c>
      <c r="BE27" s="0" t="n">
        <v>1</v>
      </c>
      <c r="BF27" s="0" t="n">
        <v>1</v>
      </c>
      <c r="BG27" s="0" t="n">
        <v>1</v>
      </c>
      <c r="BH27" s="0" t="n">
        <v>1</v>
      </c>
      <c r="BI27" s="0" t="n">
        <v>1</v>
      </c>
      <c r="BJ27" s="0" t="n">
        <v>1</v>
      </c>
      <c r="BK27" s="0" t="n">
        <v>1</v>
      </c>
    </row>
    <row r="28" customFormat="false" ht="12.8" hidden="false" customHeight="false" outlineLevel="0" collapsed="false">
      <c r="A28" s="0" t="n">
        <f aca="false">A27-1</f>
        <v>1991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1</v>
      </c>
      <c r="AE28" s="0" t="n">
        <v>1</v>
      </c>
      <c r="AF28" s="0" t="n">
        <v>1</v>
      </c>
      <c r="AG28" s="0" t="n">
        <v>1</v>
      </c>
      <c r="AH28" s="0" t="n">
        <v>1</v>
      </c>
      <c r="AI28" s="0" t="n">
        <v>1</v>
      </c>
      <c r="AJ28" s="0" t="n">
        <v>1</v>
      </c>
      <c r="AK28" s="0" t="n">
        <v>1</v>
      </c>
      <c r="AL28" s="0" t="n">
        <v>1</v>
      </c>
      <c r="AM28" s="0" t="n">
        <v>1</v>
      </c>
      <c r="AN28" s="0" t="n">
        <v>1</v>
      </c>
      <c r="AO28" s="0" t="n">
        <v>1</v>
      </c>
      <c r="AP28" s="0" t="n">
        <v>1</v>
      </c>
      <c r="AQ28" s="0" t="n">
        <v>1</v>
      </c>
      <c r="AR28" s="0" t="n">
        <v>1</v>
      </c>
      <c r="AS28" s="0" t="n">
        <v>1</v>
      </c>
      <c r="AT28" s="0" t="n">
        <v>1</v>
      </c>
      <c r="AU28" s="0" t="n">
        <v>1</v>
      </c>
      <c r="AV28" s="0" t="n">
        <v>1</v>
      </c>
      <c r="AW28" s="0" t="n">
        <v>1</v>
      </c>
      <c r="AX28" s="0" t="n">
        <v>1</v>
      </c>
      <c r="AY28" s="0" t="n">
        <v>1</v>
      </c>
      <c r="AZ28" s="0" t="n">
        <v>1</v>
      </c>
      <c r="BA28" s="0" t="n">
        <v>1</v>
      </c>
      <c r="BB28" s="0" t="n">
        <v>1</v>
      </c>
      <c r="BC28" s="0" t="n">
        <v>1</v>
      </c>
      <c r="BD28" s="0" t="n">
        <v>1</v>
      </c>
      <c r="BE28" s="0" t="n">
        <v>1</v>
      </c>
      <c r="BF28" s="0" t="n">
        <v>1</v>
      </c>
      <c r="BG28" s="0" t="n">
        <v>1</v>
      </c>
      <c r="BH28" s="0" t="n">
        <v>1</v>
      </c>
      <c r="BI28" s="0" t="n">
        <v>1</v>
      </c>
      <c r="BJ28" s="0" t="n">
        <v>1</v>
      </c>
      <c r="BK28" s="0" t="n">
        <v>1</v>
      </c>
    </row>
    <row r="29" customFormat="false" ht="12.8" hidden="false" customHeight="false" outlineLevel="0" collapsed="false">
      <c r="A29" s="0" t="n">
        <f aca="false">A28-1</f>
        <v>1990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1</v>
      </c>
      <c r="AE29" s="0" t="n">
        <v>1</v>
      </c>
      <c r="AF29" s="0" t="n">
        <v>1</v>
      </c>
      <c r="AG29" s="0" t="n">
        <v>1</v>
      </c>
      <c r="AH29" s="0" t="n">
        <v>1</v>
      </c>
      <c r="AI29" s="0" t="n">
        <v>1</v>
      </c>
      <c r="AJ29" s="0" t="n">
        <v>1</v>
      </c>
      <c r="AK29" s="0" t="n">
        <v>1</v>
      </c>
      <c r="AL29" s="0" t="n">
        <v>1</v>
      </c>
      <c r="AM29" s="0" t="n">
        <v>1</v>
      </c>
      <c r="AN29" s="0" t="n">
        <v>1</v>
      </c>
      <c r="AO29" s="0" t="n">
        <v>1</v>
      </c>
      <c r="AP29" s="0" t="n">
        <v>1</v>
      </c>
      <c r="AQ29" s="0" t="n">
        <v>1</v>
      </c>
      <c r="AR29" s="0" t="n">
        <v>1</v>
      </c>
      <c r="AS29" s="0" t="n">
        <v>1</v>
      </c>
      <c r="AT29" s="0" t="n">
        <v>1</v>
      </c>
      <c r="AU29" s="0" t="n">
        <v>1</v>
      </c>
      <c r="AV29" s="0" t="n">
        <v>1</v>
      </c>
      <c r="AW29" s="0" t="n">
        <v>1</v>
      </c>
      <c r="AX29" s="0" t="n">
        <v>1</v>
      </c>
      <c r="AY29" s="0" t="n">
        <v>1</v>
      </c>
      <c r="AZ29" s="0" t="n">
        <v>1</v>
      </c>
      <c r="BA29" s="0" t="n">
        <v>1</v>
      </c>
      <c r="BB29" s="0" t="n">
        <v>1</v>
      </c>
      <c r="BC29" s="0" t="n">
        <v>1</v>
      </c>
      <c r="BD29" s="0" t="n">
        <v>1</v>
      </c>
      <c r="BE29" s="0" t="n">
        <v>1</v>
      </c>
      <c r="BF29" s="0" t="n">
        <v>1</v>
      </c>
      <c r="BG29" s="0" t="n">
        <v>1</v>
      </c>
      <c r="BH29" s="0" t="n">
        <v>1</v>
      </c>
      <c r="BI29" s="0" t="n">
        <v>1</v>
      </c>
      <c r="BJ29" s="0" t="n">
        <v>1</v>
      </c>
      <c r="BK29" s="0" t="n">
        <v>1</v>
      </c>
    </row>
    <row r="30" customFormat="false" ht="12.8" hidden="false" customHeight="false" outlineLevel="0" collapsed="false">
      <c r="A30" s="0" t="n">
        <f aca="false">A29-1</f>
        <v>1989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1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1</v>
      </c>
      <c r="AK30" s="0" t="n">
        <v>1</v>
      </c>
      <c r="AL30" s="0" t="n">
        <v>1</v>
      </c>
      <c r="AM30" s="0" t="n">
        <v>1</v>
      </c>
      <c r="AN30" s="0" t="n">
        <v>1</v>
      </c>
      <c r="AO30" s="0" t="n">
        <v>1</v>
      </c>
      <c r="AP30" s="0" t="n">
        <v>1</v>
      </c>
      <c r="AQ30" s="0" t="n">
        <v>1</v>
      </c>
      <c r="AR30" s="0" t="n">
        <v>1</v>
      </c>
      <c r="AS30" s="0" t="n">
        <v>1</v>
      </c>
      <c r="AT30" s="0" t="n">
        <v>1</v>
      </c>
      <c r="AU30" s="0" t="n">
        <v>1</v>
      </c>
      <c r="AV30" s="0" t="n">
        <v>1</v>
      </c>
      <c r="AW30" s="0" t="n">
        <v>1</v>
      </c>
      <c r="AX30" s="0" t="n">
        <v>1</v>
      </c>
      <c r="AY30" s="0" t="n">
        <v>1</v>
      </c>
      <c r="AZ30" s="0" t="n">
        <v>1</v>
      </c>
      <c r="BA30" s="0" t="n">
        <v>1</v>
      </c>
      <c r="BB30" s="0" t="n">
        <v>1</v>
      </c>
      <c r="BC30" s="0" t="n">
        <v>1</v>
      </c>
      <c r="BD30" s="0" t="n">
        <v>1</v>
      </c>
      <c r="BE30" s="0" t="n">
        <v>1</v>
      </c>
      <c r="BF30" s="0" t="n">
        <v>1</v>
      </c>
      <c r="BG30" s="0" t="n">
        <v>1</v>
      </c>
      <c r="BH30" s="0" t="n">
        <v>1</v>
      </c>
      <c r="BI30" s="0" t="n">
        <v>1</v>
      </c>
      <c r="BJ30" s="0" t="n">
        <v>1</v>
      </c>
      <c r="BK30" s="0" t="n">
        <v>1</v>
      </c>
    </row>
    <row r="31" customFormat="false" ht="12.8" hidden="false" customHeight="false" outlineLevel="0" collapsed="false">
      <c r="A31" s="0" t="n">
        <f aca="false">A30-1</f>
        <v>1988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1</v>
      </c>
      <c r="AE31" s="0" t="n">
        <v>1</v>
      </c>
      <c r="AF31" s="0" t="n">
        <v>1</v>
      </c>
      <c r="AG31" s="0" t="n">
        <v>1</v>
      </c>
      <c r="AH31" s="0" t="n">
        <v>1</v>
      </c>
      <c r="AI31" s="0" t="n">
        <v>1</v>
      </c>
      <c r="AJ31" s="0" t="n">
        <v>1</v>
      </c>
      <c r="AK31" s="0" t="n">
        <v>1</v>
      </c>
      <c r="AL31" s="0" t="n">
        <v>1</v>
      </c>
      <c r="AM31" s="0" t="n">
        <v>1</v>
      </c>
      <c r="AN31" s="0" t="n">
        <v>1</v>
      </c>
      <c r="AO31" s="0" t="n">
        <v>1</v>
      </c>
      <c r="AP31" s="0" t="n">
        <v>1</v>
      </c>
      <c r="AQ31" s="0" t="n">
        <v>1</v>
      </c>
      <c r="AR31" s="0" t="n">
        <v>1</v>
      </c>
      <c r="AS31" s="0" t="n">
        <v>1</v>
      </c>
      <c r="AT31" s="0" t="n">
        <v>1</v>
      </c>
      <c r="AU31" s="0" t="n">
        <v>1</v>
      </c>
      <c r="AV31" s="0" t="n">
        <v>1</v>
      </c>
      <c r="AW31" s="0" t="n">
        <v>1</v>
      </c>
      <c r="AX31" s="0" t="n">
        <v>1</v>
      </c>
      <c r="AY31" s="0" t="n">
        <v>1</v>
      </c>
      <c r="AZ31" s="0" t="n">
        <v>1</v>
      </c>
      <c r="BA31" s="0" t="n">
        <v>1</v>
      </c>
      <c r="BB31" s="0" t="n">
        <v>1</v>
      </c>
      <c r="BC31" s="0" t="n">
        <v>1</v>
      </c>
      <c r="BD31" s="0" t="n">
        <v>1</v>
      </c>
      <c r="BE31" s="0" t="n">
        <v>1</v>
      </c>
      <c r="BF31" s="0" t="n">
        <v>1</v>
      </c>
      <c r="BG31" s="0" t="n">
        <v>1</v>
      </c>
      <c r="BH31" s="0" t="n">
        <v>1</v>
      </c>
      <c r="BI31" s="0" t="n">
        <v>1</v>
      </c>
      <c r="BJ31" s="0" t="n">
        <v>1</v>
      </c>
      <c r="BK31" s="0" t="n">
        <v>1</v>
      </c>
    </row>
    <row r="32" customFormat="false" ht="12.8" hidden="false" customHeight="false" outlineLevel="0" collapsed="false">
      <c r="A32" s="0" t="n">
        <f aca="false">A31-1</f>
        <v>1987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1</v>
      </c>
      <c r="AE32" s="0" t="n">
        <v>1</v>
      </c>
      <c r="AF32" s="0" t="n">
        <v>1</v>
      </c>
      <c r="AG32" s="0" t="n">
        <v>1</v>
      </c>
      <c r="AH32" s="0" t="n">
        <v>1</v>
      </c>
      <c r="AI32" s="0" t="n">
        <v>1</v>
      </c>
      <c r="AJ32" s="0" t="n">
        <v>1</v>
      </c>
      <c r="AK32" s="0" t="n">
        <v>1</v>
      </c>
      <c r="AL32" s="0" t="n">
        <v>1</v>
      </c>
      <c r="AM32" s="0" t="n">
        <v>1</v>
      </c>
      <c r="AN32" s="0" t="n">
        <v>1</v>
      </c>
      <c r="AO32" s="0" t="n">
        <v>1</v>
      </c>
      <c r="AP32" s="0" t="n">
        <v>1</v>
      </c>
      <c r="AQ32" s="0" t="n">
        <v>1</v>
      </c>
      <c r="AR32" s="0" t="n">
        <v>1</v>
      </c>
      <c r="AS32" s="0" t="n">
        <v>1</v>
      </c>
      <c r="AT32" s="0" t="n">
        <v>1</v>
      </c>
      <c r="AU32" s="0" t="n">
        <v>1</v>
      </c>
      <c r="AV32" s="0" t="n">
        <v>1</v>
      </c>
      <c r="AW32" s="0" t="n">
        <v>1</v>
      </c>
      <c r="AX32" s="0" t="n">
        <v>1</v>
      </c>
      <c r="AY32" s="0" t="n">
        <v>1</v>
      </c>
      <c r="AZ32" s="0" t="n">
        <v>1</v>
      </c>
      <c r="BA32" s="0" t="n">
        <v>1</v>
      </c>
      <c r="BB32" s="0" t="n">
        <v>1</v>
      </c>
      <c r="BC32" s="0" t="n">
        <v>1</v>
      </c>
      <c r="BD32" s="0" t="n">
        <v>1</v>
      </c>
      <c r="BE32" s="0" t="n">
        <v>1</v>
      </c>
      <c r="BF32" s="0" t="n">
        <v>1</v>
      </c>
      <c r="BG32" s="0" t="n">
        <v>1</v>
      </c>
      <c r="BH32" s="0" t="n">
        <v>1</v>
      </c>
      <c r="BI32" s="0" t="n">
        <v>1</v>
      </c>
      <c r="BJ32" s="0" t="n">
        <v>1</v>
      </c>
      <c r="BK32" s="0" t="n">
        <v>1</v>
      </c>
    </row>
    <row r="33" customFormat="false" ht="12.8" hidden="false" customHeight="false" outlineLevel="0" collapsed="false">
      <c r="A33" s="0" t="n">
        <f aca="false">A32-1</f>
        <v>1986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1</v>
      </c>
      <c r="AE33" s="0" t="n">
        <v>1</v>
      </c>
      <c r="AF33" s="0" t="n">
        <v>1</v>
      </c>
      <c r="AG33" s="0" t="n">
        <v>1</v>
      </c>
      <c r="AH33" s="0" t="n">
        <v>1</v>
      </c>
      <c r="AI33" s="0" t="n">
        <v>1</v>
      </c>
      <c r="AJ33" s="0" t="n">
        <v>1</v>
      </c>
      <c r="AK33" s="0" t="n">
        <v>1</v>
      </c>
      <c r="AL33" s="0" t="n">
        <v>1</v>
      </c>
      <c r="AM33" s="0" t="n">
        <v>1</v>
      </c>
      <c r="AN33" s="0" t="n">
        <v>1</v>
      </c>
      <c r="AO33" s="0" t="n">
        <v>1</v>
      </c>
      <c r="AP33" s="0" t="n">
        <v>1</v>
      </c>
      <c r="AQ33" s="0" t="n">
        <v>1</v>
      </c>
      <c r="AR33" s="0" t="n">
        <v>1</v>
      </c>
      <c r="AS33" s="0" t="n">
        <v>1</v>
      </c>
      <c r="AT33" s="0" t="n">
        <v>1</v>
      </c>
      <c r="AU33" s="0" t="n">
        <v>1</v>
      </c>
      <c r="AV33" s="0" t="n">
        <v>1</v>
      </c>
      <c r="AW33" s="0" t="n">
        <v>1</v>
      </c>
      <c r="AX33" s="0" t="n">
        <v>1</v>
      </c>
      <c r="AY33" s="0" t="n">
        <v>1</v>
      </c>
      <c r="AZ33" s="0" t="n">
        <v>1</v>
      </c>
      <c r="BA33" s="0" t="n">
        <v>1</v>
      </c>
      <c r="BB33" s="0" t="n">
        <v>1</v>
      </c>
      <c r="BC33" s="0" t="n">
        <v>1</v>
      </c>
      <c r="BD33" s="0" t="n">
        <v>1</v>
      </c>
      <c r="BE33" s="0" t="n">
        <v>1</v>
      </c>
      <c r="BF33" s="0" t="n">
        <v>1</v>
      </c>
      <c r="BG33" s="0" t="n">
        <v>1</v>
      </c>
      <c r="BH33" s="0" t="n">
        <v>1</v>
      </c>
      <c r="BI33" s="0" t="n">
        <v>1</v>
      </c>
      <c r="BJ33" s="0" t="n">
        <v>1</v>
      </c>
      <c r="BK33" s="0" t="n">
        <v>1</v>
      </c>
    </row>
    <row r="34" customFormat="false" ht="12.8" hidden="false" customHeight="false" outlineLevel="0" collapsed="false">
      <c r="A34" s="0" t="n">
        <f aca="false">A33-1</f>
        <v>1985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1</v>
      </c>
      <c r="AE34" s="0" t="n">
        <v>1</v>
      </c>
      <c r="AF34" s="0" t="n">
        <v>1</v>
      </c>
      <c r="AG34" s="0" t="n">
        <v>1</v>
      </c>
      <c r="AH34" s="0" t="n">
        <v>1</v>
      </c>
      <c r="AI34" s="0" t="n">
        <v>1</v>
      </c>
      <c r="AJ34" s="0" t="n">
        <v>1</v>
      </c>
      <c r="AK34" s="0" t="n">
        <v>1</v>
      </c>
      <c r="AL34" s="0" t="n">
        <v>1</v>
      </c>
      <c r="AM34" s="0" t="n">
        <v>1</v>
      </c>
      <c r="AN34" s="0" t="n">
        <v>1</v>
      </c>
      <c r="AO34" s="0" t="n">
        <v>1</v>
      </c>
      <c r="AP34" s="0" t="n">
        <v>1</v>
      </c>
      <c r="AQ34" s="0" t="n">
        <v>1</v>
      </c>
      <c r="AR34" s="0" t="n">
        <v>1</v>
      </c>
      <c r="AS34" s="0" t="n">
        <v>1</v>
      </c>
      <c r="AT34" s="0" t="n">
        <v>1</v>
      </c>
      <c r="AU34" s="0" t="n">
        <v>1</v>
      </c>
      <c r="AV34" s="0" t="n">
        <v>1</v>
      </c>
      <c r="AW34" s="0" t="n">
        <v>1</v>
      </c>
      <c r="AX34" s="0" t="n">
        <v>1</v>
      </c>
      <c r="AY34" s="0" t="n">
        <v>1</v>
      </c>
      <c r="AZ34" s="0" t="n">
        <v>1</v>
      </c>
      <c r="BA34" s="0" t="n">
        <v>1</v>
      </c>
      <c r="BB34" s="0" t="n">
        <v>1</v>
      </c>
      <c r="BC34" s="0" t="n">
        <v>1</v>
      </c>
      <c r="BD34" s="0" t="n">
        <v>1</v>
      </c>
      <c r="BE34" s="0" t="n">
        <v>1</v>
      </c>
      <c r="BF34" s="0" t="n">
        <v>1</v>
      </c>
      <c r="BG34" s="0" t="n">
        <v>1</v>
      </c>
      <c r="BH34" s="0" t="n">
        <v>1</v>
      </c>
      <c r="BI34" s="0" t="n">
        <v>1</v>
      </c>
      <c r="BJ34" s="0" t="n">
        <v>1</v>
      </c>
      <c r="BK34" s="0" t="n">
        <v>1</v>
      </c>
    </row>
    <row r="35" customFormat="false" ht="12.8" hidden="false" customHeight="false" outlineLevel="0" collapsed="false">
      <c r="A35" s="0" t="n">
        <f aca="false">A34-1</f>
        <v>1984</v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1</v>
      </c>
      <c r="AE35" s="0" t="n">
        <v>1</v>
      </c>
      <c r="AF35" s="0" t="n">
        <v>1</v>
      </c>
      <c r="AG35" s="0" t="n">
        <v>1</v>
      </c>
      <c r="AH35" s="0" t="n">
        <v>1</v>
      </c>
      <c r="AI35" s="0" t="n">
        <v>1</v>
      </c>
      <c r="AJ35" s="0" t="n">
        <v>1</v>
      </c>
      <c r="AK35" s="0" t="n">
        <v>1</v>
      </c>
      <c r="AL35" s="0" t="n">
        <v>1</v>
      </c>
      <c r="AM35" s="0" t="n">
        <v>1</v>
      </c>
      <c r="AN35" s="0" t="n">
        <v>1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1</v>
      </c>
      <c r="AV35" s="0" t="n">
        <v>1</v>
      </c>
      <c r="AW35" s="0" t="n">
        <v>1</v>
      </c>
      <c r="AX35" s="0" t="n">
        <v>1</v>
      </c>
      <c r="AY35" s="0" t="n">
        <v>1</v>
      </c>
      <c r="AZ35" s="0" t="n">
        <v>1</v>
      </c>
      <c r="BA35" s="0" t="n">
        <v>1</v>
      </c>
      <c r="BB35" s="0" t="n">
        <v>1</v>
      </c>
      <c r="BC35" s="0" t="n">
        <v>1</v>
      </c>
      <c r="BD35" s="0" t="n">
        <v>1</v>
      </c>
      <c r="BE35" s="0" t="n">
        <v>1</v>
      </c>
      <c r="BF35" s="0" t="n">
        <v>1</v>
      </c>
      <c r="BG35" s="0" t="n">
        <v>1</v>
      </c>
      <c r="BH35" s="0" t="n">
        <v>1</v>
      </c>
      <c r="BI35" s="0" t="n">
        <v>1</v>
      </c>
      <c r="BJ35" s="0" t="n">
        <v>1</v>
      </c>
      <c r="BK35" s="0" t="n">
        <v>1</v>
      </c>
    </row>
    <row r="36" customFormat="false" ht="12.8" hidden="false" customHeight="false" outlineLevel="0" collapsed="false">
      <c r="A36" s="0" t="n">
        <f aca="false">A35-1</f>
        <v>1983</v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1</v>
      </c>
      <c r="AE36" s="0" t="n">
        <v>1</v>
      </c>
      <c r="AF36" s="0" t="n">
        <v>1</v>
      </c>
      <c r="AG36" s="0" t="n">
        <v>1</v>
      </c>
      <c r="AH36" s="0" t="n">
        <v>1</v>
      </c>
      <c r="AI36" s="0" t="n">
        <v>1</v>
      </c>
      <c r="AJ36" s="0" t="n">
        <v>1</v>
      </c>
      <c r="AK36" s="0" t="n">
        <v>1</v>
      </c>
      <c r="AL36" s="0" t="n">
        <v>1</v>
      </c>
      <c r="AM36" s="0" t="n">
        <v>1</v>
      </c>
      <c r="AN36" s="0" t="n">
        <v>1</v>
      </c>
      <c r="AO36" s="0" t="n">
        <v>1</v>
      </c>
      <c r="AP36" s="0" t="n">
        <v>1</v>
      </c>
      <c r="AQ36" s="0" t="n">
        <v>1</v>
      </c>
      <c r="AR36" s="0" t="n">
        <v>1</v>
      </c>
      <c r="AS36" s="0" t="n">
        <v>1</v>
      </c>
      <c r="AT36" s="0" t="n">
        <v>1</v>
      </c>
      <c r="AU36" s="0" t="n">
        <v>1</v>
      </c>
      <c r="AV36" s="0" t="n">
        <v>1</v>
      </c>
      <c r="AW36" s="0" t="n">
        <v>1</v>
      </c>
      <c r="AX36" s="0" t="n">
        <v>1</v>
      </c>
      <c r="AY36" s="0" t="n">
        <v>1</v>
      </c>
      <c r="AZ36" s="0" t="n">
        <v>1</v>
      </c>
      <c r="BA36" s="0" t="n">
        <v>1</v>
      </c>
      <c r="BB36" s="0" t="n">
        <v>1</v>
      </c>
      <c r="BC36" s="0" t="n">
        <v>1</v>
      </c>
      <c r="BD36" s="0" t="n">
        <v>1</v>
      </c>
      <c r="BE36" s="0" t="n">
        <v>1</v>
      </c>
      <c r="BF36" s="0" t="n">
        <v>1</v>
      </c>
      <c r="BG36" s="0" t="n">
        <v>1</v>
      </c>
      <c r="BH36" s="0" t="n">
        <v>1</v>
      </c>
      <c r="BI36" s="0" t="n">
        <v>1</v>
      </c>
      <c r="BJ36" s="0" t="n">
        <v>1</v>
      </c>
      <c r="BK36" s="0" t="n">
        <v>1</v>
      </c>
    </row>
    <row r="37" customFormat="false" ht="12.8" hidden="false" customHeight="false" outlineLevel="0" collapsed="false">
      <c r="A37" s="0" t="n">
        <f aca="false">A36-1</f>
        <v>1982</v>
      </c>
      <c r="B37" s="0" t="n">
        <v>1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1</v>
      </c>
      <c r="AE37" s="0" t="n">
        <v>1</v>
      </c>
      <c r="AF37" s="0" t="n">
        <v>1</v>
      </c>
      <c r="AG37" s="0" t="n">
        <v>1</v>
      </c>
      <c r="AH37" s="0" t="n">
        <v>1</v>
      </c>
      <c r="AI37" s="0" t="n">
        <v>1</v>
      </c>
      <c r="AJ37" s="0" t="n">
        <v>1</v>
      </c>
      <c r="AK37" s="0" t="n">
        <v>1</v>
      </c>
      <c r="AL37" s="0" t="n">
        <v>1</v>
      </c>
      <c r="AM37" s="0" t="n">
        <v>1</v>
      </c>
      <c r="AN37" s="0" t="n">
        <v>1</v>
      </c>
      <c r="AO37" s="0" t="n">
        <v>1</v>
      </c>
      <c r="AP37" s="0" t="n">
        <v>1</v>
      </c>
      <c r="AQ37" s="0" t="n">
        <v>1</v>
      </c>
      <c r="AR37" s="0" t="n">
        <v>1</v>
      </c>
      <c r="AS37" s="0" t="n">
        <v>1</v>
      </c>
      <c r="AT37" s="0" t="n">
        <v>1</v>
      </c>
      <c r="AU37" s="0" t="n">
        <v>1</v>
      </c>
      <c r="AV37" s="0" t="n">
        <v>1</v>
      </c>
      <c r="AW37" s="0" t="n">
        <v>1</v>
      </c>
      <c r="AX37" s="0" t="n">
        <v>1</v>
      </c>
      <c r="AY37" s="0" t="n">
        <v>1</v>
      </c>
      <c r="AZ37" s="0" t="n">
        <v>1</v>
      </c>
      <c r="BA37" s="0" t="n">
        <v>1</v>
      </c>
      <c r="BB37" s="0" t="n">
        <v>1</v>
      </c>
      <c r="BC37" s="0" t="n">
        <v>1</v>
      </c>
      <c r="BD37" s="0" t="n">
        <v>1</v>
      </c>
      <c r="BE37" s="0" t="n">
        <v>1</v>
      </c>
      <c r="BF37" s="0" t="n">
        <v>1</v>
      </c>
      <c r="BG37" s="0" t="n">
        <v>1</v>
      </c>
      <c r="BH37" s="0" t="n">
        <v>1</v>
      </c>
      <c r="BI37" s="0" t="n">
        <v>1</v>
      </c>
      <c r="BJ37" s="0" t="n">
        <v>1</v>
      </c>
      <c r="BK37" s="0" t="n">
        <v>1</v>
      </c>
    </row>
    <row r="38" customFormat="false" ht="12.8" hidden="false" customHeight="false" outlineLevel="0" collapsed="false">
      <c r="A38" s="0" t="n">
        <f aca="false">A37-1</f>
        <v>1981</v>
      </c>
      <c r="B38" s="0" t="n">
        <v>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1</v>
      </c>
      <c r="AD38" s="0" t="n">
        <v>1</v>
      </c>
      <c r="AE38" s="0" t="n">
        <v>1</v>
      </c>
      <c r="AF38" s="0" t="n">
        <v>1</v>
      </c>
      <c r="AG38" s="0" t="n">
        <v>1</v>
      </c>
      <c r="AH38" s="0" t="n">
        <v>1</v>
      </c>
      <c r="AI38" s="0" t="n">
        <v>1</v>
      </c>
      <c r="AJ38" s="0" t="n">
        <v>1</v>
      </c>
      <c r="AK38" s="0" t="n">
        <v>1</v>
      </c>
      <c r="AL38" s="0" t="n">
        <v>1</v>
      </c>
      <c r="AM38" s="0" t="n">
        <v>1</v>
      </c>
      <c r="AN38" s="0" t="n">
        <v>1</v>
      </c>
      <c r="AO38" s="0" t="n">
        <v>1</v>
      </c>
      <c r="AP38" s="0" t="n">
        <v>1</v>
      </c>
      <c r="AQ38" s="0" t="n">
        <v>1</v>
      </c>
      <c r="AR38" s="0" t="n">
        <v>1</v>
      </c>
      <c r="AS38" s="0" t="n">
        <v>1</v>
      </c>
      <c r="AT38" s="0" t="n">
        <v>1</v>
      </c>
      <c r="AU38" s="0" t="n">
        <v>1</v>
      </c>
      <c r="AV38" s="0" t="n">
        <v>1</v>
      </c>
      <c r="AW38" s="0" t="n">
        <v>1</v>
      </c>
      <c r="AX38" s="0" t="n">
        <v>1</v>
      </c>
      <c r="AY38" s="0" t="n">
        <v>1</v>
      </c>
      <c r="AZ38" s="0" t="n">
        <v>1</v>
      </c>
      <c r="BA38" s="0" t="n">
        <v>1</v>
      </c>
      <c r="BB38" s="0" t="n">
        <v>1</v>
      </c>
      <c r="BC38" s="0" t="n">
        <v>1</v>
      </c>
      <c r="BD38" s="0" t="n">
        <v>1</v>
      </c>
      <c r="BE38" s="0" t="n">
        <v>1</v>
      </c>
      <c r="BF38" s="0" t="n">
        <v>1</v>
      </c>
      <c r="BG38" s="0" t="n">
        <v>1</v>
      </c>
      <c r="BH38" s="0" t="n">
        <v>1</v>
      </c>
      <c r="BI38" s="0" t="n">
        <v>1</v>
      </c>
      <c r="BJ38" s="0" t="n">
        <v>1</v>
      </c>
      <c r="BK38" s="0" t="n">
        <v>1</v>
      </c>
    </row>
    <row r="39" customFormat="false" ht="12.8" hidden="false" customHeight="false" outlineLevel="0" collapsed="false">
      <c r="A39" s="0" t="n">
        <f aca="false">A38-1</f>
        <v>1980</v>
      </c>
      <c r="B39" s="0" t="n">
        <v>1</v>
      </c>
      <c r="C39" s="0" t="n">
        <v>1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1</v>
      </c>
      <c r="AE39" s="0" t="n">
        <v>1</v>
      </c>
      <c r="AF39" s="0" t="n">
        <v>1</v>
      </c>
      <c r="AG39" s="0" t="n">
        <v>1</v>
      </c>
      <c r="AH39" s="0" t="n">
        <v>1</v>
      </c>
      <c r="AI39" s="0" t="n">
        <v>1</v>
      </c>
      <c r="AJ39" s="0" t="n">
        <v>1</v>
      </c>
      <c r="AK39" s="0" t="n">
        <v>1</v>
      </c>
      <c r="AL39" s="0" t="n">
        <v>1</v>
      </c>
      <c r="AM39" s="0" t="n">
        <v>1</v>
      </c>
      <c r="AN39" s="0" t="n">
        <v>1</v>
      </c>
      <c r="AO39" s="0" t="n">
        <v>1</v>
      </c>
      <c r="AP39" s="0" t="n">
        <v>1</v>
      </c>
      <c r="AQ39" s="0" t="n">
        <v>1</v>
      </c>
      <c r="AR39" s="0" t="n">
        <v>1</v>
      </c>
      <c r="AS39" s="0" t="n">
        <v>1</v>
      </c>
      <c r="AT39" s="0" t="n">
        <v>1</v>
      </c>
      <c r="AU39" s="0" t="n">
        <v>1</v>
      </c>
      <c r="AV39" s="0" t="n">
        <v>1</v>
      </c>
      <c r="AW39" s="0" t="n">
        <v>1</v>
      </c>
      <c r="AX39" s="0" t="n">
        <v>1</v>
      </c>
      <c r="AY39" s="0" t="n">
        <v>1</v>
      </c>
      <c r="AZ39" s="0" t="n">
        <v>1</v>
      </c>
      <c r="BA39" s="0" t="n">
        <v>1</v>
      </c>
      <c r="BB39" s="0" t="n">
        <v>1</v>
      </c>
      <c r="BC39" s="0" t="n">
        <v>1</v>
      </c>
      <c r="BD39" s="0" t="n">
        <v>1</v>
      </c>
      <c r="BE39" s="0" t="n">
        <v>1</v>
      </c>
      <c r="BF39" s="0" t="n">
        <v>1</v>
      </c>
      <c r="BG39" s="0" t="n">
        <v>1</v>
      </c>
      <c r="BH39" s="0" t="n">
        <v>1</v>
      </c>
      <c r="BI39" s="0" t="n">
        <v>1</v>
      </c>
      <c r="BJ39" s="0" t="n">
        <v>1</v>
      </c>
      <c r="BK39" s="0" t="n">
        <v>1</v>
      </c>
    </row>
    <row r="40" customFormat="false" ht="12.8" hidden="false" customHeight="false" outlineLevel="0" collapsed="false">
      <c r="A40" s="0" t="n">
        <f aca="false">A39-1</f>
        <v>1979</v>
      </c>
      <c r="B40" s="0" t="n">
        <v>1</v>
      </c>
      <c r="C40" s="0" t="n">
        <v>1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1</v>
      </c>
      <c r="AE40" s="0" t="n">
        <v>1</v>
      </c>
      <c r="AF40" s="0" t="n">
        <v>1</v>
      </c>
      <c r="AG40" s="0" t="n">
        <v>1</v>
      </c>
      <c r="AH40" s="0" t="n">
        <v>1</v>
      </c>
      <c r="AI40" s="0" t="n">
        <v>1</v>
      </c>
      <c r="AJ40" s="0" t="n">
        <v>1</v>
      </c>
      <c r="AK40" s="0" t="n">
        <v>1</v>
      </c>
      <c r="AL40" s="0" t="n">
        <v>1</v>
      </c>
      <c r="AM40" s="0" t="n">
        <v>1</v>
      </c>
      <c r="AN40" s="0" t="n">
        <v>1</v>
      </c>
      <c r="AO40" s="0" t="n">
        <v>1</v>
      </c>
      <c r="AP40" s="0" t="n">
        <v>1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1</v>
      </c>
      <c r="AV40" s="0" t="n">
        <v>1</v>
      </c>
      <c r="AW40" s="0" t="n">
        <v>1</v>
      </c>
      <c r="AX40" s="0" t="n">
        <v>1</v>
      </c>
      <c r="AY40" s="0" t="n">
        <v>1</v>
      </c>
      <c r="AZ40" s="0" t="n">
        <v>1</v>
      </c>
      <c r="BA40" s="0" t="n">
        <v>1</v>
      </c>
      <c r="BB40" s="0" t="n">
        <v>1</v>
      </c>
      <c r="BC40" s="0" t="n">
        <v>1</v>
      </c>
      <c r="BD40" s="0" t="n">
        <v>1</v>
      </c>
      <c r="BE40" s="0" t="n">
        <v>1</v>
      </c>
      <c r="BF40" s="0" t="n">
        <v>1</v>
      </c>
      <c r="BG40" s="0" t="n">
        <v>1</v>
      </c>
      <c r="BH40" s="0" t="n">
        <v>1</v>
      </c>
      <c r="BI40" s="0" t="n">
        <v>1</v>
      </c>
      <c r="BJ40" s="0" t="n">
        <v>1</v>
      </c>
      <c r="BK40" s="0" t="n">
        <v>1</v>
      </c>
    </row>
    <row r="41" customFormat="false" ht="12.8" hidden="false" customHeight="false" outlineLevel="0" collapsed="false">
      <c r="A41" s="0" t="n">
        <f aca="false">A40-1</f>
        <v>1978</v>
      </c>
      <c r="B41" s="0" t="n">
        <v>1</v>
      </c>
      <c r="C41" s="0" t="n">
        <v>1</v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1</v>
      </c>
      <c r="AE41" s="0" t="n">
        <v>1</v>
      </c>
      <c r="AF41" s="0" t="n">
        <v>1</v>
      </c>
      <c r="AG41" s="0" t="n">
        <v>1</v>
      </c>
      <c r="AH41" s="0" t="n">
        <v>1</v>
      </c>
      <c r="AI41" s="0" t="n">
        <v>1</v>
      </c>
      <c r="AJ41" s="0" t="n">
        <v>1</v>
      </c>
      <c r="AK41" s="0" t="n">
        <v>1</v>
      </c>
      <c r="AL41" s="0" t="n">
        <v>1</v>
      </c>
      <c r="AM41" s="0" t="n">
        <v>1</v>
      </c>
      <c r="AN41" s="0" t="n">
        <v>1</v>
      </c>
      <c r="AO41" s="0" t="n">
        <v>1</v>
      </c>
      <c r="AP41" s="0" t="n">
        <v>1</v>
      </c>
      <c r="AQ41" s="0" t="n">
        <v>1</v>
      </c>
      <c r="AR41" s="0" t="n">
        <v>1</v>
      </c>
      <c r="AS41" s="0" t="n">
        <v>1</v>
      </c>
      <c r="AT41" s="0" t="n">
        <v>1</v>
      </c>
      <c r="AU41" s="0" t="n">
        <v>1</v>
      </c>
      <c r="AV41" s="0" t="n">
        <v>1</v>
      </c>
      <c r="AW41" s="0" t="n">
        <v>1</v>
      </c>
      <c r="AX41" s="0" t="n">
        <v>1</v>
      </c>
      <c r="AY41" s="0" t="n">
        <v>1</v>
      </c>
      <c r="AZ41" s="0" t="n">
        <v>1</v>
      </c>
      <c r="BA41" s="0" t="n">
        <v>1</v>
      </c>
      <c r="BB41" s="0" t="n">
        <v>1</v>
      </c>
      <c r="BC41" s="0" t="n">
        <v>1</v>
      </c>
      <c r="BD41" s="0" t="n">
        <v>1</v>
      </c>
      <c r="BE41" s="0" t="n">
        <v>1</v>
      </c>
      <c r="BF41" s="0" t="n">
        <v>1</v>
      </c>
      <c r="BG41" s="0" t="n">
        <v>1</v>
      </c>
      <c r="BH41" s="0" t="n">
        <v>1</v>
      </c>
      <c r="BI41" s="0" t="n">
        <v>1</v>
      </c>
      <c r="BJ41" s="0" t="n">
        <v>1</v>
      </c>
      <c r="BK41" s="0" t="n">
        <v>1</v>
      </c>
    </row>
    <row r="42" customFormat="false" ht="12.8" hidden="false" customHeight="false" outlineLevel="0" collapsed="false">
      <c r="A42" s="0" t="n">
        <f aca="false">A41-1</f>
        <v>1977</v>
      </c>
      <c r="B42" s="0" t="n">
        <v>1</v>
      </c>
      <c r="C42" s="0" t="n">
        <v>1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1</v>
      </c>
      <c r="AE42" s="0" t="n">
        <v>1</v>
      </c>
      <c r="AF42" s="0" t="n">
        <v>1</v>
      </c>
      <c r="AG42" s="0" t="n">
        <v>1</v>
      </c>
      <c r="AH42" s="0" t="n">
        <v>1</v>
      </c>
      <c r="AI42" s="0" t="n">
        <v>1</v>
      </c>
      <c r="AJ42" s="0" t="n">
        <v>1</v>
      </c>
      <c r="AK42" s="0" t="n">
        <v>1</v>
      </c>
      <c r="AL42" s="0" t="n">
        <v>1</v>
      </c>
      <c r="AM42" s="0" t="n">
        <v>1</v>
      </c>
      <c r="AN42" s="0" t="n">
        <v>1</v>
      </c>
      <c r="AO42" s="0" t="n">
        <v>1</v>
      </c>
      <c r="AP42" s="0" t="n">
        <v>1</v>
      </c>
      <c r="AQ42" s="0" t="n">
        <v>1</v>
      </c>
      <c r="AR42" s="0" t="n">
        <v>1</v>
      </c>
      <c r="AS42" s="0" t="n">
        <v>1</v>
      </c>
      <c r="AT42" s="0" t="n">
        <v>1</v>
      </c>
      <c r="AU42" s="0" t="n">
        <v>1</v>
      </c>
      <c r="AV42" s="0" t="n">
        <v>1</v>
      </c>
      <c r="AW42" s="0" t="n">
        <v>1</v>
      </c>
      <c r="AX42" s="0" t="n">
        <v>1</v>
      </c>
      <c r="AY42" s="0" t="n">
        <v>1</v>
      </c>
      <c r="AZ42" s="0" t="n">
        <v>1</v>
      </c>
      <c r="BA42" s="0" t="n">
        <v>1</v>
      </c>
      <c r="BB42" s="0" t="n">
        <v>1</v>
      </c>
      <c r="BC42" s="0" t="n">
        <v>1</v>
      </c>
      <c r="BD42" s="0" t="n">
        <v>1</v>
      </c>
      <c r="BE42" s="0" t="n">
        <v>1</v>
      </c>
      <c r="BF42" s="0" t="n">
        <v>1</v>
      </c>
      <c r="BG42" s="0" t="n">
        <v>1</v>
      </c>
      <c r="BH42" s="0" t="n">
        <v>1</v>
      </c>
      <c r="BI42" s="0" t="n">
        <v>1</v>
      </c>
      <c r="BJ42" s="0" t="n">
        <v>1</v>
      </c>
      <c r="BK42" s="0" t="n">
        <v>1</v>
      </c>
    </row>
    <row r="43" customFormat="false" ht="12.8" hidden="false" customHeight="false" outlineLevel="0" collapsed="false">
      <c r="A43" s="0" t="n">
        <f aca="false">A42-1</f>
        <v>1976</v>
      </c>
      <c r="B43" s="0" t="n">
        <v>1</v>
      </c>
      <c r="C43" s="0" t="n">
        <v>1</v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1</v>
      </c>
      <c r="AE43" s="0" t="n">
        <v>1</v>
      </c>
      <c r="AF43" s="0" t="n">
        <v>1</v>
      </c>
      <c r="AG43" s="0" t="n">
        <v>1</v>
      </c>
      <c r="AH43" s="0" t="n">
        <v>1</v>
      </c>
      <c r="AI43" s="0" t="n">
        <v>1</v>
      </c>
      <c r="AJ43" s="0" t="n">
        <v>1</v>
      </c>
      <c r="AK43" s="0" t="n">
        <v>1</v>
      </c>
      <c r="AL43" s="0" t="n">
        <v>1</v>
      </c>
      <c r="AM43" s="0" t="n">
        <v>1</v>
      </c>
      <c r="AN43" s="0" t="n">
        <v>1</v>
      </c>
      <c r="AO43" s="0" t="n">
        <v>1</v>
      </c>
      <c r="AP43" s="0" t="n">
        <v>1</v>
      </c>
      <c r="AQ43" s="0" t="n">
        <v>1</v>
      </c>
      <c r="AR43" s="0" t="n">
        <v>1</v>
      </c>
      <c r="AS43" s="0" t="n">
        <v>1</v>
      </c>
      <c r="AT43" s="0" t="n">
        <v>1</v>
      </c>
      <c r="AU43" s="0" t="n">
        <v>1</v>
      </c>
      <c r="AV43" s="0" t="n">
        <v>1</v>
      </c>
      <c r="AW43" s="0" t="n">
        <v>1</v>
      </c>
      <c r="AX43" s="0" t="n">
        <v>1</v>
      </c>
      <c r="AY43" s="0" t="n">
        <v>1</v>
      </c>
      <c r="AZ43" s="0" t="n">
        <v>1</v>
      </c>
      <c r="BA43" s="0" t="n">
        <v>1</v>
      </c>
      <c r="BB43" s="0" t="n">
        <v>1</v>
      </c>
      <c r="BC43" s="0" t="n">
        <v>1</v>
      </c>
      <c r="BD43" s="0" t="n">
        <v>1</v>
      </c>
      <c r="BE43" s="0" t="n">
        <v>1</v>
      </c>
      <c r="BF43" s="0" t="n">
        <v>1</v>
      </c>
      <c r="BG43" s="0" t="n">
        <v>1</v>
      </c>
      <c r="BH43" s="0" t="n">
        <v>1</v>
      </c>
      <c r="BI43" s="0" t="n">
        <v>1</v>
      </c>
      <c r="BJ43" s="0" t="n">
        <v>1</v>
      </c>
      <c r="BK43" s="0" t="n">
        <v>1</v>
      </c>
    </row>
    <row r="44" customFormat="false" ht="12.8" hidden="false" customHeight="false" outlineLevel="0" collapsed="false">
      <c r="A44" s="0" t="n">
        <f aca="false">A43-1</f>
        <v>1975</v>
      </c>
      <c r="B44" s="0" t="n">
        <v>1</v>
      </c>
      <c r="C44" s="0" t="n">
        <v>1</v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1</v>
      </c>
      <c r="AE44" s="0" t="n">
        <v>1</v>
      </c>
      <c r="AF44" s="0" t="n">
        <v>1</v>
      </c>
      <c r="AG44" s="0" t="n">
        <v>1</v>
      </c>
      <c r="AH44" s="0" t="n">
        <v>1</v>
      </c>
      <c r="AI44" s="0" t="n">
        <v>1</v>
      </c>
      <c r="AJ44" s="0" t="n">
        <v>1</v>
      </c>
      <c r="AK44" s="0" t="n">
        <v>1</v>
      </c>
      <c r="AL44" s="0" t="n">
        <v>1</v>
      </c>
      <c r="AM44" s="0" t="n">
        <v>1</v>
      </c>
      <c r="AN44" s="0" t="n">
        <v>1</v>
      </c>
      <c r="AO44" s="0" t="n">
        <v>1</v>
      </c>
      <c r="AP44" s="0" t="n">
        <v>1</v>
      </c>
      <c r="AQ44" s="0" t="n">
        <v>1</v>
      </c>
      <c r="AR44" s="0" t="n">
        <v>1</v>
      </c>
      <c r="AS44" s="0" t="n">
        <v>1</v>
      </c>
      <c r="AT44" s="0" t="n">
        <v>1</v>
      </c>
      <c r="AU44" s="0" t="n">
        <v>1</v>
      </c>
      <c r="AV44" s="0" t="n">
        <v>1</v>
      </c>
      <c r="AW44" s="0" t="n">
        <v>1</v>
      </c>
      <c r="AX44" s="0" t="n">
        <v>1</v>
      </c>
      <c r="AY44" s="0" t="n">
        <v>1</v>
      </c>
      <c r="AZ44" s="0" t="n">
        <v>1</v>
      </c>
      <c r="BA44" s="0" t="n">
        <v>1</v>
      </c>
      <c r="BB44" s="0" t="n">
        <v>1</v>
      </c>
      <c r="BC44" s="0" t="n">
        <v>1</v>
      </c>
      <c r="BD44" s="0" t="n">
        <v>1</v>
      </c>
      <c r="BE44" s="0" t="n">
        <v>1</v>
      </c>
      <c r="BF44" s="0" t="n">
        <v>1</v>
      </c>
      <c r="BG44" s="0" t="n">
        <v>1</v>
      </c>
      <c r="BH44" s="0" t="n">
        <v>1</v>
      </c>
      <c r="BI44" s="0" t="n">
        <v>1</v>
      </c>
      <c r="BJ44" s="0" t="n">
        <v>1</v>
      </c>
      <c r="BK44" s="0" t="n">
        <v>1</v>
      </c>
    </row>
    <row r="45" customFormat="false" ht="12.8" hidden="false" customHeight="false" outlineLevel="0" collapsed="false">
      <c r="A45" s="0" t="n">
        <f aca="false">A44-1</f>
        <v>1974</v>
      </c>
      <c r="B45" s="0" t="n">
        <v>1</v>
      </c>
      <c r="C45" s="0" t="n">
        <v>1</v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1</v>
      </c>
      <c r="AE45" s="0" t="n">
        <v>1</v>
      </c>
      <c r="AF45" s="0" t="n">
        <v>1</v>
      </c>
      <c r="AG45" s="0" t="n">
        <v>1</v>
      </c>
      <c r="AH45" s="0" t="n">
        <v>1</v>
      </c>
      <c r="AI45" s="0" t="n">
        <v>1</v>
      </c>
      <c r="AJ45" s="0" t="n">
        <v>1</v>
      </c>
      <c r="AK45" s="0" t="n">
        <v>1</v>
      </c>
      <c r="AL45" s="0" t="n">
        <v>1</v>
      </c>
      <c r="AM45" s="0" t="n">
        <v>1</v>
      </c>
      <c r="AN45" s="0" t="n">
        <v>1</v>
      </c>
      <c r="AO45" s="0" t="n">
        <v>1</v>
      </c>
      <c r="AP45" s="0" t="n">
        <v>1</v>
      </c>
      <c r="AQ45" s="0" t="n">
        <v>1</v>
      </c>
      <c r="AR45" s="0" t="n">
        <v>1</v>
      </c>
      <c r="AS45" s="0" t="n">
        <v>1</v>
      </c>
      <c r="AT45" s="0" t="n">
        <v>1</v>
      </c>
      <c r="AU45" s="0" t="n">
        <v>1</v>
      </c>
      <c r="AV45" s="0" t="n">
        <v>1</v>
      </c>
      <c r="AW45" s="0" t="n">
        <v>1</v>
      </c>
      <c r="AX45" s="0" t="n">
        <v>1</v>
      </c>
      <c r="AY45" s="0" t="n">
        <v>1</v>
      </c>
      <c r="AZ45" s="0" t="n">
        <v>1</v>
      </c>
      <c r="BA45" s="0" t="n">
        <v>1</v>
      </c>
      <c r="BB45" s="0" t="n">
        <v>1</v>
      </c>
      <c r="BC45" s="0" t="n">
        <v>1</v>
      </c>
      <c r="BD45" s="0" t="n">
        <v>1</v>
      </c>
      <c r="BE45" s="0" t="n">
        <v>1</v>
      </c>
      <c r="BF45" s="0" t="n">
        <v>1</v>
      </c>
      <c r="BG45" s="0" t="n">
        <v>1</v>
      </c>
      <c r="BH45" s="0" t="n">
        <v>1</v>
      </c>
      <c r="BI45" s="0" t="n">
        <v>1</v>
      </c>
      <c r="BJ45" s="0" t="n">
        <v>1</v>
      </c>
      <c r="BK45" s="0" t="n">
        <v>1</v>
      </c>
    </row>
    <row r="46" customFormat="false" ht="12.8" hidden="false" customHeight="false" outlineLevel="0" collapsed="false">
      <c r="A46" s="0" t="n">
        <f aca="false">A45-1</f>
        <v>1973</v>
      </c>
      <c r="B46" s="0" t="n">
        <v>1</v>
      </c>
      <c r="C46" s="0" t="n">
        <v>1</v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1</v>
      </c>
      <c r="AD46" s="0" t="n">
        <v>1</v>
      </c>
      <c r="AE46" s="0" t="n">
        <v>1</v>
      </c>
      <c r="AF46" s="0" t="n">
        <v>1</v>
      </c>
      <c r="AG46" s="0" t="n">
        <v>1</v>
      </c>
      <c r="AH46" s="0" t="n">
        <v>1</v>
      </c>
      <c r="AI46" s="0" t="n">
        <v>1</v>
      </c>
      <c r="AJ46" s="0" t="n">
        <v>1</v>
      </c>
      <c r="AK46" s="0" t="n">
        <v>1</v>
      </c>
      <c r="AL46" s="0" t="n">
        <v>1</v>
      </c>
      <c r="AM46" s="0" t="n">
        <v>1</v>
      </c>
      <c r="AN46" s="0" t="n">
        <v>1</v>
      </c>
      <c r="AO46" s="0" t="n">
        <v>1</v>
      </c>
      <c r="AP46" s="0" t="n">
        <v>1</v>
      </c>
      <c r="AQ46" s="0" t="n">
        <v>1</v>
      </c>
      <c r="AR46" s="0" t="n">
        <v>1</v>
      </c>
      <c r="AS46" s="0" t="n">
        <v>1</v>
      </c>
      <c r="AT46" s="0" t="n">
        <v>1</v>
      </c>
      <c r="AU46" s="0" t="n">
        <v>1</v>
      </c>
      <c r="AV46" s="0" t="n">
        <v>1</v>
      </c>
      <c r="AW46" s="0" t="n">
        <v>1</v>
      </c>
      <c r="AX46" s="0" t="n">
        <v>1</v>
      </c>
      <c r="AY46" s="0" t="n">
        <v>1</v>
      </c>
      <c r="AZ46" s="0" t="n">
        <v>1</v>
      </c>
      <c r="BA46" s="0" t="n">
        <v>1</v>
      </c>
      <c r="BB46" s="0" t="n">
        <v>1</v>
      </c>
      <c r="BC46" s="0" t="n">
        <v>1</v>
      </c>
      <c r="BD46" s="0" t="n">
        <v>1</v>
      </c>
      <c r="BE46" s="0" t="n">
        <v>1</v>
      </c>
      <c r="BF46" s="0" t="n">
        <v>1</v>
      </c>
      <c r="BG46" s="0" t="n">
        <v>1</v>
      </c>
      <c r="BH46" s="0" t="n">
        <v>1</v>
      </c>
      <c r="BI46" s="0" t="n">
        <v>1</v>
      </c>
      <c r="BJ46" s="0" t="n">
        <v>1</v>
      </c>
      <c r="BK46" s="0" t="n">
        <v>1</v>
      </c>
    </row>
    <row r="47" customFormat="false" ht="12.8" hidden="false" customHeight="false" outlineLevel="0" collapsed="false">
      <c r="A47" s="0" t="n">
        <f aca="false">A46-1</f>
        <v>1972</v>
      </c>
      <c r="B47" s="0" t="n">
        <v>1</v>
      </c>
      <c r="C47" s="0" t="n">
        <v>1</v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1</v>
      </c>
      <c r="AE47" s="0" t="n">
        <v>1</v>
      </c>
      <c r="AF47" s="0" t="n">
        <v>1</v>
      </c>
      <c r="AG47" s="0" t="n">
        <v>1</v>
      </c>
      <c r="AH47" s="0" t="n">
        <v>1</v>
      </c>
      <c r="AI47" s="0" t="n">
        <v>1</v>
      </c>
      <c r="AJ47" s="0" t="n">
        <v>1</v>
      </c>
      <c r="AK47" s="0" t="n">
        <v>1</v>
      </c>
      <c r="AL47" s="0" t="n">
        <v>1</v>
      </c>
      <c r="AM47" s="0" t="n">
        <v>1</v>
      </c>
      <c r="AN47" s="0" t="n">
        <v>1</v>
      </c>
      <c r="AO47" s="0" t="n">
        <v>1</v>
      </c>
      <c r="AP47" s="0" t="n">
        <v>1</v>
      </c>
      <c r="AQ47" s="0" t="n">
        <v>1</v>
      </c>
      <c r="AR47" s="0" t="n">
        <v>1</v>
      </c>
      <c r="AS47" s="0" t="n">
        <v>1</v>
      </c>
      <c r="AT47" s="0" t="n">
        <v>1</v>
      </c>
      <c r="AU47" s="0" t="n">
        <v>1</v>
      </c>
      <c r="AV47" s="0" t="n">
        <v>1</v>
      </c>
      <c r="AW47" s="0" t="n">
        <v>1</v>
      </c>
      <c r="AX47" s="0" t="n">
        <v>1</v>
      </c>
      <c r="AY47" s="0" t="n">
        <v>1</v>
      </c>
      <c r="AZ47" s="0" t="n">
        <v>1</v>
      </c>
      <c r="BA47" s="0" t="n">
        <v>1</v>
      </c>
      <c r="BB47" s="0" t="n">
        <v>1</v>
      </c>
      <c r="BC47" s="0" t="n">
        <v>1</v>
      </c>
      <c r="BD47" s="0" t="n">
        <v>1</v>
      </c>
      <c r="BE47" s="0" t="n">
        <v>1</v>
      </c>
      <c r="BF47" s="0" t="n">
        <v>1</v>
      </c>
      <c r="BG47" s="0" t="n">
        <v>1</v>
      </c>
      <c r="BH47" s="0" t="n">
        <v>1</v>
      </c>
      <c r="BI47" s="0" t="n">
        <v>1</v>
      </c>
      <c r="BJ47" s="0" t="n">
        <v>1</v>
      </c>
      <c r="BK47" s="0" t="n">
        <v>1</v>
      </c>
    </row>
    <row r="48" customFormat="false" ht="12.8" hidden="false" customHeight="false" outlineLevel="0" collapsed="false">
      <c r="A48" s="0" t="n">
        <f aca="false">A47-1</f>
        <v>1971</v>
      </c>
      <c r="B48" s="0" t="n">
        <v>1</v>
      </c>
      <c r="C48" s="0" t="n">
        <v>1</v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1</v>
      </c>
      <c r="AE48" s="0" t="n">
        <v>1</v>
      </c>
      <c r="AF48" s="0" t="n">
        <v>1</v>
      </c>
      <c r="AG48" s="0" t="n">
        <v>1</v>
      </c>
      <c r="AH48" s="0" t="n">
        <v>1</v>
      </c>
      <c r="AI48" s="0" t="n">
        <v>1</v>
      </c>
      <c r="AJ48" s="0" t="n">
        <v>1</v>
      </c>
      <c r="AK48" s="0" t="n">
        <v>1</v>
      </c>
      <c r="AL48" s="0" t="n">
        <v>1</v>
      </c>
      <c r="AM48" s="0" t="n">
        <v>1</v>
      </c>
      <c r="AN48" s="0" t="n">
        <v>1</v>
      </c>
      <c r="AO48" s="0" t="n">
        <v>1</v>
      </c>
      <c r="AP48" s="0" t="n">
        <v>1</v>
      </c>
      <c r="AQ48" s="0" t="n">
        <v>1</v>
      </c>
      <c r="AR48" s="0" t="n">
        <v>1</v>
      </c>
      <c r="AS48" s="0" t="n">
        <v>1</v>
      </c>
      <c r="AT48" s="0" t="n">
        <v>1</v>
      </c>
      <c r="AU48" s="0" t="n">
        <v>1</v>
      </c>
      <c r="AV48" s="0" t="n">
        <v>1</v>
      </c>
      <c r="AW48" s="0" t="n">
        <v>1</v>
      </c>
      <c r="AX48" s="0" t="n">
        <v>1</v>
      </c>
      <c r="AY48" s="0" t="n">
        <v>1</v>
      </c>
      <c r="AZ48" s="0" t="n">
        <v>1</v>
      </c>
      <c r="BA48" s="0" t="n">
        <v>1</v>
      </c>
      <c r="BB48" s="0" t="n">
        <v>1</v>
      </c>
      <c r="BC48" s="0" t="n">
        <v>1</v>
      </c>
      <c r="BD48" s="0" t="n">
        <v>1</v>
      </c>
      <c r="BE48" s="0" t="n">
        <v>1</v>
      </c>
      <c r="BF48" s="0" t="n">
        <v>1</v>
      </c>
      <c r="BG48" s="0" t="n">
        <v>1</v>
      </c>
      <c r="BH48" s="0" t="n">
        <v>1</v>
      </c>
      <c r="BI48" s="0" t="n">
        <v>1</v>
      </c>
      <c r="BJ48" s="0" t="n">
        <v>1</v>
      </c>
      <c r="BK48" s="0" t="n">
        <v>1</v>
      </c>
    </row>
    <row r="49" customFormat="false" ht="12.8" hidden="false" customHeight="false" outlineLevel="0" collapsed="false">
      <c r="A49" s="0" t="n">
        <f aca="false">A48-1</f>
        <v>1970</v>
      </c>
      <c r="B49" s="0" t="n">
        <v>1</v>
      </c>
      <c r="C49" s="0" t="n">
        <v>1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1</v>
      </c>
      <c r="AE49" s="0" t="n">
        <v>1</v>
      </c>
      <c r="AF49" s="0" t="n">
        <v>1</v>
      </c>
      <c r="AG49" s="0" t="n">
        <v>1</v>
      </c>
      <c r="AH49" s="0" t="n">
        <v>1</v>
      </c>
      <c r="AI49" s="0" t="n">
        <v>1</v>
      </c>
      <c r="AJ49" s="0" t="n">
        <v>1</v>
      </c>
      <c r="AK49" s="0" t="n">
        <v>1</v>
      </c>
      <c r="AL49" s="0" t="n">
        <v>1</v>
      </c>
      <c r="AM49" s="0" t="n">
        <v>1</v>
      </c>
      <c r="AN49" s="0" t="n">
        <v>1</v>
      </c>
      <c r="AO49" s="0" t="n">
        <v>1</v>
      </c>
      <c r="AP49" s="0" t="n">
        <v>1</v>
      </c>
      <c r="AQ49" s="0" t="n">
        <v>1</v>
      </c>
      <c r="AR49" s="0" t="n">
        <v>1</v>
      </c>
      <c r="AS49" s="0" t="n">
        <v>1</v>
      </c>
      <c r="AT49" s="0" t="n">
        <v>1</v>
      </c>
      <c r="AU49" s="0" t="n">
        <v>1</v>
      </c>
      <c r="AV49" s="0" t="n">
        <v>1</v>
      </c>
      <c r="AW49" s="0" t="n">
        <v>1</v>
      </c>
      <c r="AX49" s="0" t="n">
        <v>1</v>
      </c>
      <c r="AY49" s="0" t="n">
        <v>1</v>
      </c>
      <c r="AZ49" s="0" t="n">
        <v>1</v>
      </c>
      <c r="BA49" s="0" t="n">
        <v>1</v>
      </c>
      <c r="BB49" s="0" t="n">
        <v>1</v>
      </c>
      <c r="BC49" s="0" t="n">
        <v>1</v>
      </c>
      <c r="BD49" s="0" t="n">
        <v>1</v>
      </c>
      <c r="BE49" s="0" t="n">
        <v>1</v>
      </c>
      <c r="BF49" s="0" t="n">
        <v>1</v>
      </c>
      <c r="BG49" s="0" t="n">
        <v>1</v>
      </c>
      <c r="BH49" s="0" t="n">
        <v>1</v>
      </c>
      <c r="BI49" s="0" t="n">
        <v>1</v>
      </c>
      <c r="BJ49" s="0" t="n">
        <v>1</v>
      </c>
      <c r="BK49" s="0" t="n">
        <v>1</v>
      </c>
    </row>
    <row r="50" customFormat="false" ht="12.8" hidden="false" customHeight="false" outlineLevel="0" collapsed="false">
      <c r="A50" s="0" t="n">
        <f aca="false">A49-1</f>
        <v>1969</v>
      </c>
      <c r="B50" s="0" t="n">
        <v>1</v>
      </c>
      <c r="C50" s="0" t="n">
        <v>1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1</v>
      </c>
      <c r="AD50" s="0" t="n">
        <v>1</v>
      </c>
      <c r="AE50" s="0" t="n">
        <v>1</v>
      </c>
      <c r="AF50" s="0" t="n">
        <v>1</v>
      </c>
      <c r="AG50" s="0" t="n">
        <v>1</v>
      </c>
      <c r="AH50" s="0" t="n">
        <v>1</v>
      </c>
      <c r="AI50" s="0" t="n">
        <v>1</v>
      </c>
      <c r="AJ50" s="0" t="n">
        <v>1</v>
      </c>
      <c r="AK50" s="0" t="n">
        <v>1</v>
      </c>
      <c r="AL50" s="0" t="n">
        <v>1</v>
      </c>
      <c r="AM50" s="0" t="n">
        <v>1</v>
      </c>
      <c r="AN50" s="0" t="n">
        <v>1</v>
      </c>
      <c r="AO50" s="0" t="n">
        <v>1</v>
      </c>
      <c r="AP50" s="0" t="n">
        <v>1</v>
      </c>
      <c r="AQ50" s="0" t="n">
        <v>1</v>
      </c>
      <c r="AR50" s="0" t="n">
        <v>1</v>
      </c>
      <c r="AS50" s="0" t="n">
        <v>1</v>
      </c>
      <c r="AT50" s="0" t="n">
        <v>1</v>
      </c>
      <c r="AU50" s="0" t="n">
        <v>1</v>
      </c>
      <c r="AV50" s="0" t="n">
        <v>1</v>
      </c>
      <c r="AW50" s="0" t="n">
        <v>1</v>
      </c>
      <c r="AX50" s="0" t="n">
        <v>1</v>
      </c>
      <c r="AY50" s="0" t="n">
        <v>1</v>
      </c>
      <c r="AZ50" s="0" t="n">
        <v>1</v>
      </c>
      <c r="BA50" s="0" t="n">
        <v>1</v>
      </c>
      <c r="BB50" s="0" t="n">
        <v>1</v>
      </c>
      <c r="BC50" s="0" t="n">
        <v>1</v>
      </c>
      <c r="BD50" s="0" t="n">
        <v>1</v>
      </c>
      <c r="BE50" s="0" t="n">
        <v>1</v>
      </c>
      <c r="BF50" s="0" t="n">
        <v>1</v>
      </c>
      <c r="BG50" s="0" t="n">
        <v>1</v>
      </c>
      <c r="BH50" s="0" t="n">
        <v>1</v>
      </c>
      <c r="BI50" s="0" t="n">
        <v>1</v>
      </c>
      <c r="BJ50" s="0" t="n">
        <v>1</v>
      </c>
      <c r="BK50" s="0" t="n">
        <v>1</v>
      </c>
    </row>
    <row r="51" customFormat="false" ht="12.8" hidden="false" customHeight="false" outlineLevel="0" collapsed="false">
      <c r="A51" s="0" t="n">
        <f aca="false">A50-1</f>
        <v>1968</v>
      </c>
      <c r="B51" s="0" t="n">
        <v>1</v>
      </c>
      <c r="C51" s="0" t="n">
        <v>1</v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1</v>
      </c>
      <c r="AD51" s="0" t="n">
        <v>1</v>
      </c>
      <c r="AE51" s="0" t="n">
        <v>1</v>
      </c>
      <c r="AF51" s="0" t="n">
        <v>1</v>
      </c>
      <c r="AG51" s="0" t="n">
        <v>1</v>
      </c>
      <c r="AH51" s="0" t="n">
        <v>1</v>
      </c>
      <c r="AI51" s="0" t="n">
        <v>1</v>
      </c>
      <c r="AJ51" s="0" t="n">
        <v>1</v>
      </c>
      <c r="AK51" s="0" t="n">
        <v>1</v>
      </c>
      <c r="AL51" s="0" t="n">
        <v>1</v>
      </c>
      <c r="AM51" s="0" t="n">
        <v>1</v>
      </c>
      <c r="AN51" s="0" t="n">
        <v>1</v>
      </c>
      <c r="AO51" s="0" t="n">
        <v>1</v>
      </c>
      <c r="AP51" s="0" t="n">
        <v>1</v>
      </c>
      <c r="AQ51" s="0" t="n">
        <v>1</v>
      </c>
      <c r="AR51" s="0" t="n">
        <v>1</v>
      </c>
      <c r="AS51" s="0" t="n">
        <v>1</v>
      </c>
      <c r="AT51" s="0" t="n">
        <v>1</v>
      </c>
      <c r="AU51" s="0" t="n">
        <v>1</v>
      </c>
      <c r="AV51" s="0" t="n">
        <v>1</v>
      </c>
      <c r="AW51" s="0" t="n">
        <v>1</v>
      </c>
      <c r="AX51" s="0" t="n">
        <v>1</v>
      </c>
      <c r="AY51" s="0" t="n">
        <v>1</v>
      </c>
      <c r="AZ51" s="0" t="n">
        <v>1</v>
      </c>
      <c r="BA51" s="0" t="n">
        <v>1</v>
      </c>
      <c r="BB51" s="0" t="n">
        <v>1</v>
      </c>
      <c r="BC51" s="0" t="n">
        <v>1</v>
      </c>
      <c r="BD51" s="0" t="n">
        <v>1</v>
      </c>
      <c r="BE51" s="0" t="n">
        <v>1</v>
      </c>
      <c r="BF51" s="0" t="n">
        <v>1</v>
      </c>
      <c r="BG51" s="0" t="n">
        <v>1</v>
      </c>
      <c r="BH51" s="0" t="n">
        <v>1</v>
      </c>
      <c r="BI51" s="0" t="n">
        <v>1</v>
      </c>
      <c r="BJ51" s="0" t="n">
        <v>1</v>
      </c>
      <c r="BK51" s="0" t="n">
        <v>1</v>
      </c>
    </row>
    <row r="52" customFormat="false" ht="12.8" hidden="false" customHeight="false" outlineLevel="0" collapsed="false">
      <c r="A52" s="0" t="n">
        <f aca="false">A51-1</f>
        <v>1967</v>
      </c>
      <c r="B52" s="0" t="n">
        <v>1</v>
      </c>
      <c r="C52" s="0" t="n">
        <v>1</v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1</v>
      </c>
      <c r="AD52" s="0" t="n">
        <v>1</v>
      </c>
      <c r="AE52" s="0" t="n">
        <v>1</v>
      </c>
      <c r="AF52" s="0" t="n">
        <v>1</v>
      </c>
      <c r="AG52" s="0" t="n">
        <v>1</v>
      </c>
      <c r="AH52" s="0" t="n">
        <v>1</v>
      </c>
      <c r="AI52" s="0" t="n">
        <v>1</v>
      </c>
      <c r="AJ52" s="0" t="n">
        <v>1</v>
      </c>
      <c r="AK52" s="0" t="n">
        <v>1</v>
      </c>
      <c r="AL52" s="0" t="n">
        <v>1</v>
      </c>
      <c r="AM52" s="0" t="n">
        <v>1</v>
      </c>
      <c r="AN52" s="0" t="n">
        <v>1</v>
      </c>
      <c r="AO52" s="0" t="n">
        <v>1</v>
      </c>
      <c r="AP52" s="0" t="n">
        <v>1</v>
      </c>
      <c r="AQ52" s="0" t="n">
        <v>1</v>
      </c>
      <c r="AR52" s="0" t="n">
        <v>1</v>
      </c>
      <c r="AS52" s="0" t="n">
        <v>1</v>
      </c>
      <c r="AT52" s="0" t="n">
        <v>1</v>
      </c>
      <c r="AU52" s="0" t="n">
        <v>1</v>
      </c>
      <c r="AV52" s="0" t="n">
        <v>1</v>
      </c>
      <c r="AW52" s="0" t="n">
        <v>1</v>
      </c>
      <c r="AX52" s="0" t="n">
        <v>1</v>
      </c>
      <c r="AY52" s="0" t="n">
        <v>1</v>
      </c>
      <c r="AZ52" s="0" t="n">
        <v>1</v>
      </c>
      <c r="BA52" s="0" t="n">
        <v>1</v>
      </c>
      <c r="BB52" s="0" t="n">
        <v>1</v>
      </c>
      <c r="BC52" s="0" t="n">
        <v>1</v>
      </c>
      <c r="BD52" s="0" t="n">
        <v>1</v>
      </c>
      <c r="BE52" s="0" t="n">
        <v>1</v>
      </c>
      <c r="BF52" s="0" t="n">
        <v>1</v>
      </c>
      <c r="BG52" s="0" t="n">
        <v>1</v>
      </c>
      <c r="BH52" s="0" t="n">
        <v>1</v>
      </c>
      <c r="BI52" s="0" t="n">
        <v>1</v>
      </c>
      <c r="BJ52" s="0" t="n">
        <v>1</v>
      </c>
      <c r="BK52" s="0" t="n">
        <v>1</v>
      </c>
    </row>
    <row r="53" customFormat="false" ht="12.8" hidden="false" customHeight="false" outlineLevel="0" collapsed="false">
      <c r="A53" s="0" t="n">
        <f aca="false">A52-1</f>
        <v>1966</v>
      </c>
      <c r="B53" s="0" t="n">
        <v>1</v>
      </c>
      <c r="C53" s="0" t="n">
        <v>1</v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1</v>
      </c>
      <c r="AE53" s="0" t="n">
        <v>1</v>
      </c>
      <c r="AF53" s="0" t="n">
        <v>1</v>
      </c>
      <c r="AG53" s="0" t="n">
        <v>1</v>
      </c>
      <c r="AH53" s="0" t="n">
        <v>1</v>
      </c>
      <c r="AI53" s="0" t="n">
        <v>1</v>
      </c>
      <c r="AJ53" s="0" t="n">
        <v>1</v>
      </c>
      <c r="AK53" s="0" t="n">
        <v>1</v>
      </c>
      <c r="AL53" s="0" t="n">
        <v>1</v>
      </c>
      <c r="AM53" s="0" t="n">
        <v>1</v>
      </c>
      <c r="AN53" s="0" t="n">
        <v>1</v>
      </c>
      <c r="AO53" s="0" t="n">
        <v>1</v>
      </c>
      <c r="AP53" s="0" t="n">
        <v>1</v>
      </c>
      <c r="AQ53" s="0" t="n">
        <v>1</v>
      </c>
      <c r="AR53" s="0" t="n">
        <v>1</v>
      </c>
      <c r="AS53" s="0" t="n">
        <v>1</v>
      </c>
      <c r="AT53" s="0" t="n">
        <v>1</v>
      </c>
      <c r="AU53" s="0" t="n">
        <v>1</v>
      </c>
      <c r="AV53" s="0" t="n">
        <v>1</v>
      </c>
      <c r="AW53" s="0" t="n">
        <v>1</v>
      </c>
      <c r="AX53" s="0" t="n">
        <v>1</v>
      </c>
      <c r="AY53" s="0" t="n">
        <v>1</v>
      </c>
      <c r="AZ53" s="0" t="n">
        <v>1</v>
      </c>
      <c r="BA53" s="0" t="n">
        <v>1</v>
      </c>
      <c r="BB53" s="0" t="n">
        <v>1</v>
      </c>
      <c r="BC53" s="0" t="n">
        <v>1</v>
      </c>
      <c r="BD53" s="0" t="n">
        <v>1</v>
      </c>
      <c r="BE53" s="0" t="n">
        <v>1</v>
      </c>
      <c r="BF53" s="0" t="n">
        <v>1</v>
      </c>
      <c r="BG53" s="0" t="n">
        <v>1</v>
      </c>
      <c r="BH53" s="0" t="n">
        <v>1</v>
      </c>
      <c r="BI53" s="0" t="n">
        <v>1</v>
      </c>
      <c r="BJ53" s="0" t="n">
        <v>1</v>
      </c>
      <c r="BK53" s="0" t="n">
        <v>1</v>
      </c>
    </row>
    <row r="54" customFormat="false" ht="12.8" hidden="false" customHeight="false" outlineLevel="0" collapsed="false">
      <c r="A54" s="0" t="n">
        <f aca="false">A53-1</f>
        <v>1965</v>
      </c>
      <c r="B54" s="0" t="n">
        <v>1</v>
      </c>
      <c r="C54" s="0" t="n">
        <v>1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1</v>
      </c>
      <c r="AE54" s="0" t="n">
        <v>1</v>
      </c>
      <c r="AF54" s="0" t="n">
        <v>1</v>
      </c>
      <c r="AG54" s="0" t="n">
        <v>1</v>
      </c>
      <c r="AH54" s="0" t="n">
        <v>1</v>
      </c>
      <c r="AI54" s="0" t="n">
        <v>1</v>
      </c>
      <c r="AJ54" s="0" t="n">
        <v>1</v>
      </c>
      <c r="AK54" s="0" t="n">
        <v>1</v>
      </c>
      <c r="AL54" s="0" t="n">
        <v>1</v>
      </c>
      <c r="AM54" s="0" t="n">
        <v>1</v>
      </c>
      <c r="AN54" s="0" t="n">
        <v>1</v>
      </c>
      <c r="AO54" s="0" t="n">
        <v>1</v>
      </c>
      <c r="AP54" s="0" t="n">
        <v>1</v>
      </c>
      <c r="AQ54" s="0" t="n">
        <v>1</v>
      </c>
      <c r="AR54" s="0" t="n">
        <v>1</v>
      </c>
      <c r="AS54" s="0" t="n">
        <v>1</v>
      </c>
      <c r="AT54" s="0" t="n">
        <v>1</v>
      </c>
      <c r="AU54" s="0" t="n">
        <v>1</v>
      </c>
      <c r="AV54" s="0" t="n">
        <v>1</v>
      </c>
      <c r="AW54" s="0" t="n">
        <v>1</v>
      </c>
      <c r="AX54" s="0" t="n">
        <v>1</v>
      </c>
      <c r="AY54" s="0" t="n">
        <v>1</v>
      </c>
      <c r="AZ54" s="0" t="n">
        <v>1</v>
      </c>
      <c r="BA54" s="0" t="n">
        <v>1</v>
      </c>
      <c r="BB54" s="0" t="n">
        <v>1</v>
      </c>
      <c r="BC54" s="0" t="n">
        <v>1</v>
      </c>
      <c r="BD54" s="0" t="n">
        <v>1</v>
      </c>
      <c r="BE54" s="0" t="n">
        <v>1</v>
      </c>
      <c r="BF54" s="0" t="n">
        <v>1</v>
      </c>
      <c r="BG54" s="0" t="n">
        <v>1</v>
      </c>
      <c r="BH54" s="0" t="n">
        <v>1</v>
      </c>
      <c r="BI54" s="0" t="n">
        <v>1</v>
      </c>
      <c r="BJ54" s="0" t="n">
        <v>1</v>
      </c>
      <c r="BK54" s="0" t="n">
        <v>1</v>
      </c>
    </row>
    <row r="55" customFormat="false" ht="12.8" hidden="false" customHeight="false" outlineLevel="0" collapsed="false">
      <c r="A55" s="0" t="n">
        <f aca="false">A54-1</f>
        <v>1964</v>
      </c>
      <c r="B55" s="0" t="n">
        <v>1</v>
      </c>
      <c r="C55" s="0" t="n">
        <v>1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1</v>
      </c>
      <c r="AE55" s="0" t="n">
        <v>1</v>
      </c>
      <c r="AF55" s="0" t="n">
        <v>1</v>
      </c>
      <c r="AG55" s="0" t="n">
        <v>1</v>
      </c>
      <c r="AH55" s="0" t="n">
        <v>1</v>
      </c>
      <c r="AI55" s="0" t="n">
        <v>1</v>
      </c>
      <c r="AJ55" s="0" t="n">
        <v>1</v>
      </c>
      <c r="AK55" s="0" t="n">
        <v>1</v>
      </c>
      <c r="AL55" s="0" t="n">
        <v>1</v>
      </c>
      <c r="AM55" s="0" t="n">
        <v>1</v>
      </c>
      <c r="AN55" s="0" t="n">
        <v>1</v>
      </c>
      <c r="AO55" s="0" t="n">
        <v>1</v>
      </c>
      <c r="AP55" s="0" t="n">
        <v>1</v>
      </c>
      <c r="AQ55" s="0" t="n">
        <v>1</v>
      </c>
      <c r="AR55" s="0" t="n">
        <v>1</v>
      </c>
      <c r="AS55" s="0" t="n">
        <v>1</v>
      </c>
      <c r="AT55" s="0" t="n">
        <v>1</v>
      </c>
      <c r="AU55" s="0" t="n">
        <v>1</v>
      </c>
      <c r="AV55" s="0" t="n">
        <v>1</v>
      </c>
      <c r="AW55" s="0" t="n">
        <v>1</v>
      </c>
      <c r="AX55" s="0" t="n">
        <v>1</v>
      </c>
      <c r="AY55" s="0" t="n">
        <v>1</v>
      </c>
      <c r="AZ55" s="0" t="n">
        <v>1</v>
      </c>
      <c r="BA55" s="0" t="n">
        <v>1</v>
      </c>
      <c r="BB55" s="0" t="n">
        <v>1</v>
      </c>
      <c r="BC55" s="0" t="n">
        <v>1</v>
      </c>
      <c r="BD55" s="0" t="n">
        <v>1</v>
      </c>
      <c r="BE55" s="0" t="n">
        <v>1</v>
      </c>
      <c r="BF55" s="0" t="n">
        <v>1</v>
      </c>
      <c r="BG55" s="0" t="n">
        <v>1</v>
      </c>
      <c r="BH55" s="0" t="n">
        <v>1</v>
      </c>
      <c r="BI55" s="0" t="n">
        <v>1</v>
      </c>
      <c r="BJ55" s="0" t="n">
        <v>1</v>
      </c>
      <c r="BK55" s="0" t="n">
        <v>1</v>
      </c>
    </row>
    <row r="56" customFormat="false" ht="12.8" hidden="false" customHeight="false" outlineLevel="0" collapsed="false">
      <c r="A56" s="0" t="n">
        <f aca="false">A55-1</f>
        <v>1963</v>
      </c>
      <c r="B56" s="0" t="n">
        <v>1</v>
      </c>
      <c r="C56" s="0" t="n">
        <v>1</v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1</v>
      </c>
      <c r="AE56" s="0" t="n">
        <v>1</v>
      </c>
      <c r="AF56" s="0" t="n">
        <v>1</v>
      </c>
      <c r="AG56" s="0" t="n">
        <v>1</v>
      </c>
      <c r="AH56" s="0" t="n">
        <v>1</v>
      </c>
      <c r="AI56" s="0" t="n">
        <v>1</v>
      </c>
      <c r="AJ56" s="0" t="n">
        <v>1</v>
      </c>
      <c r="AK56" s="0" t="n">
        <v>1</v>
      </c>
      <c r="AL56" s="0" t="n">
        <v>1</v>
      </c>
      <c r="AM56" s="0" t="n">
        <v>1</v>
      </c>
      <c r="AN56" s="0" t="n">
        <v>1</v>
      </c>
      <c r="AO56" s="0" t="n">
        <v>1</v>
      </c>
      <c r="AP56" s="0" t="n">
        <v>1</v>
      </c>
      <c r="AQ56" s="0" t="n">
        <v>1</v>
      </c>
      <c r="AR56" s="0" t="n">
        <v>1</v>
      </c>
      <c r="AS56" s="0" t="n">
        <v>1</v>
      </c>
      <c r="AT56" s="0" t="n">
        <v>1</v>
      </c>
      <c r="AU56" s="0" t="n">
        <v>1</v>
      </c>
      <c r="AV56" s="0" t="n">
        <v>1</v>
      </c>
      <c r="AW56" s="0" t="n">
        <v>1</v>
      </c>
      <c r="AX56" s="0" t="n">
        <v>1</v>
      </c>
      <c r="AY56" s="0" t="n">
        <v>1</v>
      </c>
      <c r="AZ56" s="0" t="n">
        <v>1</v>
      </c>
      <c r="BA56" s="0" t="n">
        <v>1</v>
      </c>
      <c r="BB56" s="0" t="n">
        <v>1</v>
      </c>
      <c r="BC56" s="0" t="n">
        <v>1</v>
      </c>
      <c r="BD56" s="0" t="n">
        <v>1</v>
      </c>
      <c r="BE56" s="0" t="n">
        <v>1</v>
      </c>
      <c r="BF56" s="0" t="n">
        <v>1</v>
      </c>
      <c r="BG56" s="0" t="n">
        <v>1</v>
      </c>
      <c r="BH56" s="0" t="n">
        <v>1</v>
      </c>
      <c r="BI56" s="0" t="n">
        <v>1</v>
      </c>
      <c r="BJ56" s="0" t="n">
        <v>1</v>
      </c>
      <c r="BK56" s="0" t="n">
        <v>1</v>
      </c>
    </row>
    <row r="57" customFormat="false" ht="12.8" hidden="false" customHeight="false" outlineLevel="0" collapsed="false">
      <c r="A57" s="0" t="n">
        <f aca="false">A56-1</f>
        <v>1962</v>
      </c>
      <c r="B57" s="0" t="n">
        <v>1</v>
      </c>
      <c r="C57" s="0" t="n">
        <v>1</v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1</v>
      </c>
      <c r="AE57" s="0" t="n">
        <v>1</v>
      </c>
      <c r="AF57" s="0" t="n">
        <v>1</v>
      </c>
      <c r="AG57" s="0" t="n">
        <v>1</v>
      </c>
      <c r="AH57" s="0" t="n">
        <v>1</v>
      </c>
      <c r="AI57" s="0" t="n">
        <v>1</v>
      </c>
      <c r="AJ57" s="0" t="n">
        <v>1</v>
      </c>
      <c r="AK57" s="0" t="n">
        <v>1</v>
      </c>
      <c r="AL57" s="0" t="n">
        <v>1</v>
      </c>
      <c r="AM57" s="0" t="n">
        <v>1</v>
      </c>
      <c r="AN57" s="0" t="n">
        <v>1</v>
      </c>
      <c r="AO57" s="0" t="n">
        <v>1</v>
      </c>
      <c r="AP57" s="0" t="n">
        <v>1</v>
      </c>
      <c r="AQ57" s="0" t="n">
        <v>1</v>
      </c>
      <c r="AR57" s="0" t="n">
        <v>1</v>
      </c>
      <c r="AS57" s="0" t="n">
        <v>1</v>
      </c>
      <c r="AT57" s="0" t="n">
        <v>1</v>
      </c>
      <c r="AU57" s="0" t="n">
        <v>1</v>
      </c>
      <c r="AV57" s="0" t="n">
        <v>1</v>
      </c>
      <c r="AW57" s="0" t="n">
        <v>1</v>
      </c>
      <c r="AX57" s="0" t="n">
        <v>1</v>
      </c>
      <c r="AY57" s="0" t="n">
        <v>1</v>
      </c>
      <c r="AZ57" s="0" t="n">
        <v>1</v>
      </c>
      <c r="BA57" s="0" t="n">
        <v>1</v>
      </c>
      <c r="BB57" s="0" t="n">
        <v>1</v>
      </c>
      <c r="BC57" s="0" t="n">
        <v>1</v>
      </c>
      <c r="BD57" s="0" t="n">
        <v>1</v>
      </c>
      <c r="BE57" s="0" t="n">
        <v>1</v>
      </c>
      <c r="BF57" s="0" t="n">
        <v>1</v>
      </c>
      <c r="BG57" s="0" t="n">
        <v>1</v>
      </c>
      <c r="BH57" s="0" t="n">
        <v>1</v>
      </c>
      <c r="BI57" s="0" t="n">
        <v>1</v>
      </c>
      <c r="BJ57" s="0" t="n">
        <v>1</v>
      </c>
      <c r="BK57" s="0" t="n">
        <v>1</v>
      </c>
    </row>
    <row r="58" customFormat="false" ht="12.8" hidden="false" customHeight="false" outlineLevel="0" collapsed="false">
      <c r="A58" s="0" t="n">
        <f aca="false">A57-1</f>
        <v>1961</v>
      </c>
      <c r="B58" s="0" t="n">
        <v>1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1</v>
      </c>
      <c r="AE58" s="0" t="n">
        <v>1</v>
      </c>
      <c r="AF58" s="0" t="n">
        <v>1</v>
      </c>
      <c r="AG58" s="0" t="n">
        <v>1</v>
      </c>
      <c r="AH58" s="0" t="n">
        <v>1</v>
      </c>
      <c r="AI58" s="0" t="n">
        <v>1</v>
      </c>
      <c r="AJ58" s="0" t="n">
        <v>1</v>
      </c>
      <c r="AK58" s="0" t="n">
        <v>1</v>
      </c>
      <c r="AL58" s="0" t="n">
        <v>1</v>
      </c>
      <c r="AM58" s="0" t="n">
        <v>1</v>
      </c>
      <c r="AN58" s="0" t="n">
        <v>1</v>
      </c>
      <c r="AO58" s="0" t="n">
        <v>1</v>
      </c>
      <c r="AP58" s="0" t="n">
        <v>1</v>
      </c>
      <c r="AQ58" s="0" t="n">
        <v>1</v>
      </c>
      <c r="AR58" s="0" t="n">
        <v>1</v>
      </c>
      <c r="AS58" s="0" t="n">
        <v>1</v>
      </c>
      <c r="AT58" s="0" t="n">
        <v>1</v>
      </c>
      <c r="AU58" s="0" t="n">
        <v>1</v>
      </c>
      <c r="AV58" s="0" t="n">
        <v>1</v>
      </c>
      <c r="AW58" s="0" t="n">
        <v>1</v>
      </c>
      <c r="AX58" s="0" t="n">
        <v>1</v>
      </c>
      <c r="AY58" s="0" t="n">
        <v>1</v>
      </c>
      <c r="AZ58" s="0" t="n">
        <v>1</v>
      </c>
      <c r="BA58" s="0" t="n">
        <v>1</v>
      </c>
      <c r="BB58" s="0" t="n">
        <v>1</v>
      </c>
      <c r="BC58" s="0" t="n">
        <v>1</v>
      </c>
      <c r="BD58" s="0" t="n">
        <v>1</v>
      </c>
      <c r="BE58" s="0" t="n">
        <v>1</v>
      </c>
      <c r="BF58" s="0" t="n">
        <v>1</v>
      </c>
      <c r="BG58" s="0" t="n">
        <v>1</v>
      </c>
      <c r="BH58" s="0" t="n">
        <v>1</v>
      </c>
      <c r="BI58" s="0" t="n">
        <v>1</v>
      </c>
      <c r="BJ58" s="0" t="n">
        <v>1</v>
      </c>
      <c r="BK58" s="0" t="n">
        <v>1</v>
      </c>
    </row>
    <row r="59" customFormat="false" ht="12.8" hidden="false" customHeight="false" outlineLevel="0" collapsed="false">
      <c r="A59" s="0" t="n">
        <f aca="false">A58-1</f>
        <v>1960</v>
      </c>
      <c r="B59" s="0" t="n">
        <v>1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1</v>
      </c>
      <c r="AE59" s="0" t="n">
        <v>1</v>
      </c>
      <c r="AF59" s="0" t="n">
        <v>1</v>
      </c>
      <c r="AG59" s="0" t="n">
        <v>1</v>
      </c>
      <c r="AH59" s="0" t="n">
        <v>1</v>
      </c>
      <c r="AI59" s="0" t="n">
        <v>1</v>
      </c>
      <c r="AJ59" s="0" t="n">
        <v>1</v>
      </c>
      <c r="AK59" s="0" t="n">
        <v>1</v>
      </c>
      <c r="AL59" s="0" t="n">
        <v>1</v>
      </c>
      <c r="AM59" s="0" t="n">
        <v>1</v>
      </c>
      <c r="AN59" s="0" t="n">
        <v>1</v>
      </c>
      <c r="AO59" s="0" t="n">
        <v>1</v>
      </c>
      <c r="AP59" s="0" t="n">
        <v>1</v>
      </c>
      <c r="AQ59" s="0" t="n">
        <v>1</v>
      </c>
      <c r="AR59" s="0" t="n">
        <v>1</v>
      </c>
      <c r="AS59" s="0" t="n">
        <v>1</v>
      </c>
      <c r="AT59" s="0" t="n">
        <v>1</v>
      </c>
      <c r="AU59" s="0" t="n">
        <v>1</v>
      </c>
      <c r="AV59" s="0" t="n">
        <v>1</v>
      </c>
      <c r="AW59" s="0" t="n">
        <v>1</v>
      </c>
      <c r="AX59" s="0" t="n">
        <v>1</v>
      </c>
      <c r="AY59" s="0" t="n">
        <v>1</v>
      </c>
      <c r="AZ59" s="0" t="n">
        <v>1</v>
      </c>
      <c r="BA59" s="0" t="n">
        <v>1</v>
      </c>
      <c r="BB59" s="0" t="n">
        <v>1</v>
      </c>
      <c r="BC59" s="0" t="n">
        <v>1</v>
      </c>
      <c r="BD59" s="0" t="n">
        <v>1</v>
      </c>
      <c r="BE59" s="0" t="n">
        <v>1</v>
      </c>
      <c r="BF59" s="0" t="n">
        <v>1</v>
      </c>
      <c r="BG59" s="0" t="n">
        <v>1</v>
      </c>
      <c r="BH59" s="0" t="n">
        <v>1</v>
      </c>
      <c r="BI59" s="0" t="n">
        <v>1</v>
      </c>
      <c r="BJ59" s="0" t="n">
        <v>1</v>
      </c>
      <c r="BK59" s="0" t="n">
        <v>1</v>
      </c>
    </row>
    <row r="60" customFormat="false" ht="12.8" hidden="false" customHeight="false" outlineLevel="0" collapsed="false">
      <c r="A60" s="0" t="n">
        <f aca="false">A59-1</f>
        <v>1959</v>
      </c>
      <c r="B60" s="0" t="n">
        <v>1</v>
      </c>
      <c r="C60" s="0" t="n">
        <v>1</v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1</v>
      </c>
      <c r="AE60" s="0" t="n">
        <v>1</v>
      </c>
      <c r="AF60" s="0" t="n">
        <v>1</v>
      </c>
      <c r="AG60" s="0" t="n">
        <v>1</v>
      </c>
      <c r="AH60" s="0" t="n">
        <v>1</v>
      </c>
      <c r="AI60" s="0" t="n">
        <v>1</v>
      </c>
      <c r="AJ60" s="0" t="n">
        <v>1</v>
      </c>
      <c r="AK60" s="0" t="n">
        <v>1</v>
      </c>
      <c r="AL60" s="0" t="n">
        <v>1</v>
      </c>
      <c r="AM60" s="0" t="n">
        <v>1</v>
      </c>
      <c r="AN60" s="0" t="n">
        <v>1</v>
      </c>
      <c r="AO60" s="0" t="n">
        <v>1</v>
      </c>
      <c r="AP60" s="0" t="n">
        <v>1</v>
      </c>
      <c r="AQ60" s="0" t="n">
        <v>1</v>
      </c>
      <c r="AR60" s="0" t="n">
        <v>1</v>
      </c>
      <c r="AS60" s="0" t="n">
        <v>1</v>
      </c>
      <c r="AT60" s="0" t="n">
        <v>1</v>
      </c>
      <c r="AU60" s="0" t="n">
        <v>1</v>
      </c>
      <c r="AV60" s="0" t="n">
        <v>1</v>
      </c>
      <c r="AW60" s="0" t="n">
        <v>1</v>
      </c>
      <c r="AX60" s="0" t="n">
        <v>1</v>
      </c>
      <c r="AY60" s="0" t="n">
        <v>1</v>
      </c>
      <c r="AZ60" s="0" t="n">
        <v>1</v>
      </c>
      <c r="BA60" s="0" t="n">
        <v>1</v>
      </c>
      <c r="BB60" s="0" t="n">
        <v>1</v>
      </c>
      <c r="BC60" s="0" t="n">
        <v>1</v>
      </c>
      <c r="BD60" s="0" t="n">
        <v>1</v>
      </c>
      <c r="BE60" s="0" t="n">
        <v>1</v>
      </c>
      <c r="BF60" s="0" t="n">
        <v>1</v>
      </c>
      <c r="BG60" s="0" t="n">
        <v>1</v>
      </c>
      <c r="BH60" s="0" t="n">
        <v>1</v>
      </c>
      <c r="BI60" s="0" t="n">
        <v>1</v>
      </c>
      <c r="BJ60" s="0" t="n">
        <v>1</v>
      </c>
      <c r="BK6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7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4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J11" activeCellId="0" sqref="J11"/>
    </sheetView>
  </sheetViews>
  <sheetFormatPr defaultColWidth="11.55078125" defaultRowHeight="12.8" zeroHeight="false" outlineLevelRow="0" outlineLevelCol="0"/>
  <sheetData>
    <row r="1" customFormat="false" ht="92.5" hidden="false" customHeight="false" outlineLevel="0" collapsed="false">
      <c r="A1" s="50" t="s">
        <v>386</v>
      </c>
      <c r="B1" s="51" t="s">
        <v>387</v>
      </c>
      <c r="C1" s="51" t="s">
        <v>388</v>
      </c>
      <c r="D1" s="51" t="s">
        <v>389</v>
      </c>
      <c r="E1" s="51" t="s">
        <v>390</v>
      </c>
      <c r="F1" s="50" t="s">
        <v>391</v>
      </c>
      <c r="H1" s="0" t="s">
        <v>392</v>
      </c>
      <c r="J1" s="0" t="s">
        <v>393</v>
      </c>
      <c r="K1" s="5" t="s">
        <v>394</v>
      </c>
      <c r="L1" s="5" t="s">
        <v>25</v>
      </c>
      <c r="M1" s="5" t="s">
        <v>35</v>
      </c>
      <c r="N1" s="5" t="s">
        <v>38</v>
      </c>
      <c r="O1" s="5" t="s">
        <v>43</v>
      </c>
      <c r="P1" s="5" t="s">
        <v>48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57</v>
      </c>
      <c r="V1" s="5" t="s">
        <v>60</v>
      </c>
      <c r="W1" s="5" t="s">
        <v>62</v>
      </c>
      <c r="X1" s="5" t="s">
        <v>67</v>
      </c>
      <c r="Y1" s="5" t="s">
        <v>73</v>
      </c>
      <c r="Z1" s="5" t="s">
        <v>77</v>
      </c>
      <c r="AA1" s="5" t="s">
        <v>81</v>
      </c>
      <c r="AB1" s="5" t="s">
        <v>84</v>
      </c>
      <c r="AC1" s="5" t="s">
        <v>86</v>
      </c>
      <c r="AD1" s="5" t="s">
        <v>88</v>
      </c>
      <c r="AE1" s="5" t="s">
        <v>90</v>
      </c>
      <c r="AF1" s="5" t="s">
        <v>92</v>
      </c>
      <c r="AG1" s="5" t="s">
        <v>100</v>
      </c>
      <c r="AH1" s="5" t="s">
        <v>104</v>
      </c>
      <c r="AI1" s="5" t="s">
        <v>108</v>
      </c>
      <c r="AJ1" s="5" t="s">
        <v>112</v>
      </c>
      <c r="AK1" s="5" t="s">
        <v>114</v>
      </c>
      <c r="AL1" s="5" t="s">
        <v>118</v>
      </c>
      <c r="AM1" s="5" t="s">
        <v>122</v>
      </c>
      <c r="AN1" s="3" t="s">
        <v>126</v>
      </c>
      <c r="AO1" s="3" t="s">
        <v>130</v>
      </c>
      <c r="AP1" s="3" t="s">
        <v>132</v>
      </c>
      <c r="AQ1" s="3" t="s">
        <v>133</v>
      </c>
      <c r="AR1" s="3" t="s">
        <v>134</v>
      </c>
      <c r="AS1" s="3" t="s">
        <v>135</v>
      </c>
      <c r="AT1" s="3" t="s">
        <v>136</v>
      </c>
      <c r="AU1" s="3" t="s">
        <v>137</v>
      </c>
      <c r="AV1" s="3" t="s">
        <v>138</v>
      </c>
      <c r="AW1" s="3" t="s">
        <v>139</v>
      </c>
      <c r="AX1" s="3" t="s">
        <v>140</v>
      </c>
      <c r="AY1" s="6" t="s">
        <v>144</v>
      </c>
      <c r="AZ1" s="6" t="s">
        <v>147</v>
      </c>
      <c r="BA1" s="0" t="s">
        <v>151</v>
      </c>
      <c r="BB1" s="0" t="s">
        <v>155</v>
      </c>
      <c r="BC1" s="0" t="s">
        <v>159</v>
      </c>
      <c r="BD1" s="0" t="s">
        <v>163</v>
      </c>
      <c r="BE1" s="0" t="s">
        <v>167</v>
      </c>
      <c r="BF1" s="0" t="s">
        <v>174</v>
      </c>
      <c r="BG1" s="0" t="s">
        <v>179</v>
      </c>
      <c r="BH1" s="0" t="s">
        <v>184</v>
      </c>
      <c r="BI1" s="0" t="s">
        <v>186</v>
      </c>
      <c r="BJ1" s="0" t="s">
        <v>187</v>
      </c>
      <c r="BK1" s="0" t="s">
        <v>188</v>
      </c>
      <c r="BL1" s="0" t="s">
        <v>192</v>
      </c>
      <c r="BM1" s="0" t="s">
        <v>196</v>
      </c>
      <c r="BN1" s="0" t="s">
        <v>197</v>
      </c>
      <c r="BO1" s="0" t="s">
        <v>198</v>
      </c>
      <c r="BP1" s="0" t="s">
        <v>201</v>
      </c>
      <c r="BQ1" s="0" t="s">
        <v>205</v>
      </c>
      <c r="BR1" s="0" t="s">
        <v>215</v>
      </c>
      <c r="BS1" s="0" t="s">
        <v>220</v>
      </c>
      <c r="BT1" s="0" t="s">
        <v>225</v>
      </c>
      <c r="BU1" s="0" t="s">
        <v>230</v>
      </c>
    </row>
    <row r="2" customFormat="false" ht="13.8" hidden="false" customHeight="false" outlineLevel="0" collapsed="false">
      <c r="A2" s="52" t="s">
        <v>395</v>
      </c>
      <c r="B2" s="53" t="s">
        <v>396</v>
      </c>
      <c r="C2" s="53" t="s">
        <v>397</v>
      </c>
      <c r="D2" s="53" t="s">
        <v>252</v>
      </c>
      <c r="E2" s="54" t="n">
        <v>5510.07813899254</v>
      </c>
      <c r="F2" s="55" t="n">
        <v>0.0674766791044776</v>
      </c>
      <c r="G2" s="0" t="s">
        <v>398</v>
      </c>
      <c r="H2" s="0" t="n">
        <f aca="false">SUM(E2:E27)</f>
        <v>81659</v>
      </c>
      <c r="I2" s="56" t="n">
        <f aca="false">H2/SUM($H$2:$H$6)</f>
        <v>0.482783696539003</v>
      </c>
      <c r="J2" s="0" t="n">
        <f aca="false">SUM(L2:AE2)</f>
        <v>1239418.14219587</v>
      </c>
      <c r="K2" s="56" t="n">
        <f aca="false">J2/SUM($J$2:$J$6)</f>
        <v>0.68886420422797</v>
      </c>
      <c r="L2" s="0" t="n">
        <f aca="false">SUM(fleet_age!B2:B60)</f>
        <v>229433.601643967</v>
      </c>
      <c r="M2" s="0" t="n">
        <f aca="false">SUM(fleet_age!C2:C60)</f>
        <v>349553.627219591</v>
      </c>
      <c r="N2" s="0" t="n">
        <f aca="false">SUM(fleet_age!D2:D60)</f>
        <v>880.741032333243</v>
      </c>
      <c r="O2" s="0" t="n">
        <f aca="false">SUM(fleet_age!E2:E60)</f>
        <v>284582.740607804</v>
      </c>
      <c r="P2" s="0" t="n">
        <f aca="false">SUM(fleet_age!F2:F60)</f>
        <v>942.343805048442</v>
      </c>
      <c r="Q2" s="0" t="n">
        <f aca="false">SUM(fleet_age!G2:G60)</f>
        <v>2055.65108631596</v>
      </c>
      <c r="R2" s="0" t="n">
        <f aca="false">SUM(fleet_age!H2:H60)</f>
        <v>27.1495008807751</v>
      </c>
      <c r="S2" s="0" t="n">
        <f aca="false">SUM(fleet_age!I2:I60)</f>
        <v>12028.3074084238</v>
      </c>
      <c r="T2" s="0" t="n">
        <f aca="false">SUM(fleet_age!J2:J60)</f>
        <v>220</v>
      </c>
      <c r="U2" s="0" t="n">
        <f aca="false">SUM(fleet_age!K2:K60)</f>
        <v>6708</v>
      </c>
      <c r="V2" s="0" t="n">
        <f aca="false">SUM(fleet_age!L2:L60)</f>
        <v>19536.0805579712</v>
      </c>
      <c r="W2" s="0" t="n">
        <f aca="false">SUM(fleet_age!M2:M60)</f>
        <v>72</v>
      </c>
      <c r="X2" s="0" t="n">
        <f aca="false">SUM(fleet_age!N2:N60)</f>
        <v>190450.021656168</v>
      </c>
      <c r="Y2" s="0" t="n">
        <f aca="false">SUM(fleet_age!O2:O60)</f>
        <v>14602.6716528984</v>
      </c>
      <c r="Z2" s="0" t="n">
        <f aca="false">SUM(fleet_age!P2:P60)</f>
        <v>11451.5407670264</v>
      </c>
      <c r="AA2" s="0" t="n">
        <f aca="false">SUM(fleet_age!Q2:Q60)</f>
        <v>97506.4311382477</v>
      </c>
      <c r="AB2" s="0" t="n">
        <f aca="false">SUM(fleet_age!R2:R60)</f>
        <v>9808.93455706398</v>
      </c>
      <c r="AC2" s="0" t="n">
        <f aca="false">SUM(fleet_age!S2:S60)</f>
        <v>9415.29956213232</v>
      </c>
      <c r="AD2" s="0" t="n">
        <f aca="false">SUM(fleet_age!T2:T60)</f>
        <v>9</v>
      </c>
      <c r="AE2" s="0" t="n">
        <f aca="false">SUM(fleet_age!U2:U60)</f>
        <v>134</v>
      </c>
      <c r="AF2" s="0" t="n">
        <f aca="false">SUM(fleet_age!V2:V60)</f>
        <v>68688.0632574839</v>
      </c>
      <c r="AG2" s="0" t="n">
        <f aca="false">SUM(fleet_age!W2:W60)</f>
        <v>11342.0434128419</v>
      </c>
      <c r="AH2" s="0" t="n">
        <f aca="false">SUM(fleet_age!X2:X60)</f>
        <v>4943.22816543703</v>
      </c>
      <c r="AI2" s="0" t="n">
        <f aca="false">SUM(fleet_age!Y2:Y60)</f>
        <v>2793.4768931114</v>
      </c>
      <c r="AJ2" s="0" t="n">
        <f aca="false">SUM(fleet_age!Z2:Z60)</f>
        <v>4874.95378622281</v>
      </c>
      <c r="AK2" s="0" t="n">
        <f aca="false">SUM(fleet_age!AA2:AA60)</f>
        <v>1826.34614201766</v>
      </c>
      <c r="AL2" s="0" t="n">
        <f aca="false">SUM(fleet_age!AB2:AB60)</f>
        <v>309.611538067255</v>
      </c>
      <c r="AM2" s="0" t="n">
        <f aca="false">SUM(fleet_age!AC2:AC60)</f>
        <v>309.611538067255</v>
      </c>
      <c r="AN2" s="0" t="n">
        <f aca="false">SUM(fleet_age!AD2:AD60)</f>
        <v>310.966663249546</v>
      </c>
      <c r="AO2" s="0" t="n">
        <f aca="false">SUM(fleet_age!AE2:AE60)</f>
        <v>938.83331624773</v>
      </c>
      <c r="AP2" s="0" t="n">
        <f aca="false">SUM(fleet_age!AF2:AF60)</f>
        <v>101.594869692028</v>
      </c>
      <c r="AQ2" s="0" t="n">
        <f aca="false">SUM(fleet_age!AG2:AG60)</f>
        <v>18</v>
      </c>
      <c r="AR2" s="0" t="n">
        <f aca="false">SUM(fleet_age!AH2:AH60)</f>
        <v>29.1487174230071</v>
      </c>
      <c r="AS2" s="0" t="n">
        <f aca="false">SUM(fleet_age!AI2:AI60)</f>
        <v>35.1487174230071</v>
      </c>
      <c r="AT2" s="0" t="n">
        <f aca="false">SUM(fleet_age!AJ2:AJ60)</f>
        <v>18</v>
      </c>
      <c r="AU2" s="0" t="n">
        <f aca="false">SUM(fleet_age!AK2:AK60)</f>
        <v>5</v>
      </c>
      <c r="AV2" s="0" t="n">
        <f aca="false">SUM(fleet_age!AL2:AL60)</f>
        <v>1</v>
      </c>
      <c r="AW2" s="0" t="n">
        <f aca="false">SUM(fleet_age!AM2:AM60)</f>
        <v>0</v>
      </c>
      <c r="AX2" s="0" t="n">
        <f aca="false">SUM(fleet_age!AN2:AN60)</f>
        <v>2698.95638213088</v>
      </c>
      <c r="AY2" s="0" t="n">
        <f aca="false">SUM(fleet_age!AO2:AO60)</f>
        <v>3704.61792532381</v>
      </c>
      <c r="AZ2" s="0" t="n">
        <f aca="false">SUM(fleet_age!AP2:AP60)</f>
        <v>474.26409809556</v>
      </c>
      <c r="BA2" s="0" t="n">
        <f aca="false">SUM(fleet_age!AQ2:AQ60)</f>
        <v>1423.64357686367</v>
      </c>
      <c r="BB2" s="0" t="n">
        <f aca="false">SUM(fleet_age!AR2:AR60)</f>
        <v>1494.23076134511</v>
      </c>
      <c r="BC2" s="0" t="n">
        <f aca="false">SUM(fleet_age!AS2:AS60)</f>
        <v>40.0743587115035</v>
      </c>
      <c r="BD2" s="0" t="n">
        <f aca="false">SUM(fleet_age!AT2:AT60)</f>
        <v>4</v>
      </c>
      <c r="BE2" s="0" t="n">
        <f aca="false">SUM(fleet_age!AU2:AU60)</f>
        <v>19438.7315117517</v>
      </c>
      <c r="BF2" s="0" t="n">
        <f aca="false">SUM(fleet_age!AV2:AV60)</f>
        <v>3148.06096421885</v>
      </c>
      <c r="BG2" s="0" t="n">
        <f aca="false">SUM(fleet_age!AW2:AW60)</f>
        <v>501.995473278249</v>
      </c>
      <c r="BH2" s="0" t="n">
        <f aca="false">SUM(fleet_age!AX2:AX60)</f>
        <v>159.76546150335</v>
      </c>
      <c r="BI2" s="0" t="n">
        <f aca="false">SUM(fleet_age!AY2:AY60)</f>
        <v>6.8</v>
      </c>
      <c r="BJ2" s="0" t="n">
        <f aca="false">SUM(fleet_age!AZ2:AZ60)</f>
        <v>5.16272780794998</v>
      </c>
      <c r="BK2" s="0" t="n">
        <f aca="false">SUM(fleet_age!BA2:BA60)</f>
        <v>4092.66804372284</v>
      </c>
      <c r="BL2" s="0" t="n">
        <f aca="false">SUM(fleet_age!BB2:BB60)</f>
        <v>184.311745324803</v>
      </c>
      <c r="BM2" s="0" t="n">
        <f aca="false">SUM(fleet_age!BC2:BC60)</f>
        <v>19.3944619399946</v>
      </c>
      <c r="BN2" s="0" t="n">
        <f aca="false">SUM(fleet_age!BD2:BD60)</f>
        <v>0.911115484998638</v>
      </c>
      <c r="BO2" s="0" t="n">
        <f aca="false">SUM(fleet_age!BE2:BE60)</f>
        <v>0</v>
      </c>
      <c r="BP2" s="0" t="n">
        <f aca="false">SUM(fleet_age!BF2:BF60)</f>
        <v>0</v>
      </c>
      <c r="BQ2" s="0" t="n">
        <f aca="false">SUM(fleet_age!BG2:BG60)</f>
        <v>3134</v>
      </c>
      <c r="BR2" s="0" t="n">
        <f aca="false">SUM(fleet_age!BH2:BH60)</f>
        <v>399235</v>
      </c>
      <c r="BS2" s="0" t="n">
        <f aca="false">SUM(fleet_age!BI2:BI60)</f>
        <v>3733</v>
      </c>
      <c r="BT2" s="0" t="n">
        <f aca="false">SUM(fleet_age!BJ2:BJ60)</f>
        <v>55</v>
      </c>
      <c r="BU2" s="0" t="n">
        <f aca="false">SUM(fleet_age!BK2:BK60)</f>
        <v>94</v>
      </c>
    </row>
    <row r="3" customFormat="false" ht="13.8" hidden="false" customHeight="false" outlineLevel="0" collapsed="false">
      <c r="A3" s="57"/>
      <c r="B3" s="58"/>
      <c r="C3" s="58"/>
      <c r="D3" s="58" t="s">
        <v>249</v>
      </c>
      <c r="E3" s="59" t="n">
        <v>1166.84007649254</v>
      </c>
      <c r="F3" s="55" t="n">
        <v>0.0142891791044776</v>
      </c>
      <c r="G3" s="0" t="s">
        <v>97</v>
      </c>
      <c r="H3" s="0" t="n">
        <f aca="false">SUM(E28:E52)</f>
        <v>2825</v>
      </c>
      <c r="I3" s="56" t="n">
        <f aca="false">H3/SUM($H$2:$H$6)</f>
        <v>0.0167019427463315</v>
      </c>
      <c r="J3" s="0" t="n">
        <f aca="false">SUM(AF2:BD2)</f>
        <v>106384.814119755</v>
      </c>
      <c r="K3" s="56" t="n">
        <f aca="false">J3/SUM($J$2:$J$6)</f>
        <v>0.0591283020843211</v>
      </c>
    </row>
    <row r="4" customFormat="false" ht="13.8" hidden="false" customHeight="false" outlineLevel="0" collapsed="false">
      <c r="A4" s="57"/>
      <c r="B4" s="58"/>
      <c r="C4" s="58"/>
      <c r="D4" s="58" t="s">
        <v>399</v>
      </c>
      <c r="E4" s="59" t="n">
        <v>18626.2249247512</v>
      </c>
      <c r="F4" s="55" t="n">
        <v>0.22809763681592</v>
      </c>
      <c r="G4" s="0" t="s">
        <v>400</v>
      </c>
      <c r="H4" s="0" t="n">
        <f aca="false">SUM(E53:E57)</f>
        <v>2604</v>
      </c>
      <c r="I4" s="56" t="n">
        <f aca="false">H4/SUM($H$2:$H$6)</f>
        <v>0.0153953482872379</v>
      </c>
      <c r="J4" s="0" t="n">
        <f aca="false">SUM(BE2:BP2)</f>
        <v>27557.8015050327</v>
      </c>
      <c r="K4" s="56" t="n">
        <f aca="false">J4/SUM($J$2:$J$6)</f>
        <v>0.015316528262531</v>
      </c>
    </row>
    <row r="5" customFormat="false" ht="13.8" hidden="false" customHeight="false" outlineLevel="0" collapsed="false">
      <c r="A5" s="57"/>
      <c r="B5" s="58"/>
      <c r="C5" s="58"/>
      <c r="D5" s="58" t="s">
        <v>401</v>
      </c>
      <c r="E5" s="59" t="n">
        <v>2247.24755472637</v>
      </c>
      <c r="F5" s="55" t="n">
        <v>0.0275199004975124</v>
      </c>
      <c r="G5" s="0" t="s">
        <v>204</v>
      </c>
      <c r="H5" s="0" t="n">
        <f aca="false">SUM(E58:E64)</f>
        <v>79734</v>
      </c>
      <c r="I5" s="56" t="n">
        <f aca="false">H5/SUM($H$2:$H$6)</f>
        <v>0.471402726703007</v>
      </c>
      <c r="J5" s="0" t="n">
        <f aca="false">SUM(BQ2:BU2)</f>
        <v>406251</v>
      </c>
      <c r="K5" s="56" t="n">
        <f aca="false">J5/SUM($J$2:$J$6)</f>
        <v>0.225792863848196</v>
      </c>
    </row>
    <row r="6" customFormat="false" ht="13.8" hidden="false" customHeight="false" outlineLevel="0" collapsed="false">
      <c r="A6" s="57"/>
      <c r="B6" s="58"/>
      <c r="C6" s="58"/>
      <c r="D6" s="58" t="s">
        <v>402</v>
      </c>
      <c r="E6" s="59" t="n">
        <v>5553.29443812189</v>
      </c>
      <c r="F6" s="55" t="n">
        <v>0.068005907960199</v>
      </c>
      <c r="G6" s="0" t="s">
        <v>403</v>
      </c>
      <c r="H6" s="0" t="n">
        <f aca="false">SUM(E65:E74)</f>
        <v>2320</v>
      </c>
      <c r="I6" s="56" t="n">
        <f aca="false">H6/SUM($H$2:$H$6)</f>
        <v>0.0137162857244209</v>
      </c>
      <c r="J6" s="0" t="n">
        <f aca="false">SUM(V2:W2)</f>
        <v>19608.0805579712</v>
      </c>
      <c r="K6" s="56" t="n">
        <f aca="false">J6/SUM($J$2:$J$6)</f>
        <v>0.0108981015769819</v>
      </c>
    </row>
    <row r="7" customFormat="false" ht="13.8" hidden="false" customHeight="false" outlineLevel="0" collapsed="false">
      <c r="A7" s="57"/>
      <c r="B7" s="58" t="s">
        <v>404</v>
      </c>
      <c r="C7" s="58"/>
      <c r="D7" s="58" t="s">
        <v>405</v>
      </c>
      <c r="E7" s="59" t="n">
        <v>216.834632768362</v>
      </c>
      <c r="F7" s="55" t="n">
        <v>0.00265536723163842</v>
      </c>
    </row>
    <row r="8" customFormat="false" ht="13.8" hidden="false" customHeight="false" outlineLevel="0" collapsed="false">
      <c r="A8" s="57"/>
      <c r="B8" s="58"/>
      <c r="C8" s="58"/>
      <c r="D8" s="58" t="s">
        <v>406</v>
      </c>
      <c r="E8" s="59" t="n">
        <v>43.3669265536723</v>
      </c>
      <c r="F8" s="55" t="n">
        <v>0.000531073446327684</v>
      </c>
      <c r="J8" s="0" t="n">
        <f aca="false">J2*0.7</f>
        <v>867592.69953711</v>
      </c>
      <c r="K8" s="56" t="n">
        <f aca="false">J8/SUM($J$8:$J$12)</f>
        <v>0.560001077884624</v>
      </c>
    </row>
    <row r="9" customFormat="false" ht="13.8" hidden="false" customHeight="false" outlineLevel="0" collapsed="false">
      <c r="A9" s="57"/>
      <c r="B9" s="58" t="s">
        <v>407</v>
      </c>
      <c r="C9" s="58"/>
      <c r="D9" s="58" t="s">
        <v>406</v>
      </c>
      <c r="E9" s="59" t="n">
        <v>1280.11330917874</v>
      </c>
      <c r="F9" s="55" t="n">
        <v>0.0156763285024155</v>
      </c>
      <c r="J9" s="0" t="n">
        <f aca="false">J3</f>
        <v>106384.814119755</v>
      </c>
      <c r="K9" s="56" t="n">
        <f aca="false">J9/SUM($J$8:$J$12)</f>
        <v>0.0686677177083253</v>
      </c>
    </row>
    <row r="10" customFormat="false" ht="13.8" hidden="false" customHeight="false" outlineLevel="0" collapsed="false">
      <c r="A10" s="57"/>
      <c r="B10" s="58" t="s">
        <v>396</v>
      </c>
      <c r="C10" s="58" t="s">
        <v>41</v>
      </c>
      <c r="D10" s="58" t="s">
        <v>252</v>
      </c>
      <c r="E10" s="59" t="n">
        <v>3003.53278949005</v>
      </c>
      <c r="F10" s="55" t="n">
        <v>0.0367814054726368</v>
      </c>
      <c r="J10" s="0" t="n">
        <f aca="false">J4</f>
        <v>27557.8015050327</v>
      </c>
      <c r="K10" s="56" t="n">
        <f aca="false">J10/SUM($J$8:$J$12)</f>
        <v>0.017787607658735</v>
      </c>
    </row>
    <row r="11" customFormat="false" ht="13.8" hidden="false" customHeight="false" outlineLevel="0" collapsed="false">
      <c r="A11" s="57"/>
      <c r="B11" s="58"/>
      <c r="C11" s="58"/>
      <c r="D11" s="58" t="s">
        <v>249</v>
      </c>
      <c r="E11" s="59" t="n">
        <v>345.730393034826</v>
      </c>
      <c r="F11" s="55" t="n">
        <v>0.00423383084577114</v>
      </c>
      <c r="J11" s="0" t="n">
        <f aca="false">J5*1.3</f>
        <v>528126.3</v>
      </c>
      <c r="K11" s="56" t="n">
        <f aca="false">J11/SUM($J$8:$J$12)</f>
        <v>0.340887258983405</v>
      </c>
    </row>
    <row r="12" customFormat="false" ht="13.8" hidden="false" customHeight="false" outlineLevel="0" collapsed="false">
      <c r="A12" s="57"/>
      <c r="B12" s="58"/>
      <c r="C12" s="58"/>
      <c r="D12" s="58" t="s">
        <v>399</v>
      </c>
      <c r="E12" s="59" t="n">
        <v>18194.0619334577</v>
      </c>
      <c r="F12" s="55" t="n">
        <v>0.222805348258706</v>
      </c>
      <c r="J12" s="0" t="n">
        <f aca="false">J6</f>
        <v>19608.0805579712</v>
      </c>
      <c r="K12" s="56" t="n">
        <f aca="false">J12/SUM($J$8:$J$12)</f>
        <v>0.0126563377649108</v>
      </c>
    </row>
    <row r="13" customFormat="false" ht="13.8" hidden="false" customHeight="false" outlineLevel="0" collapsed="false">
      <c r="A13" s="57"/>
      <c r="B13" s="58"/>
      <c r="C13" s="58"/>
      <c r="D13" s="58" t="s">
        <v>401</v>
      </c>
      <c r="E13" s="59" t="n">
        <v>2463.32905037313</v>
      </c>
      <c r="F13" s="55" t="n">
        <v>0.0301660447761194</v>
      </c>
    </row>
    <row r="14" customFormat="false" ht="13.8" hidden="false" customHeight="false" outlineLevel="0" collapsed="false">
      <c r="A14" s="57"/>
      <c r="B14" s="58"/>
      <c r="C14" s="58"/>
      <c r="D14" s="58" t="s">
        <v>402</v>
      </c>
      <c r="E14" s="59" t="n">
        <v>10263.8710432214</v>
      </c>
      <c r="F14" s="55" t="n">
        <v>0.125691853233831</v>
      </c>
    </row>
    <row r="15" customFormat="false" ht="13.8" hidden="false" customHeight="false" outlineLevel="0" collapsed="false">
      <c r="A15" s="57"/>
      <c r="B15" s="58" t="s">
        <v>404</v>
      </c>
      <c r="C15" s="58"/>
      <c r="D15" s="58" t="s">
        <v>405</v>
      </c>
      <c r="E15" s="59" t="n">
        <v>238.518096045198</v>
      </c>
      <c r="F15" s="55" t="n">
        <v>0.00292090395480226</v>
      </c>
    </row>
    <row r="16" customFormat="false" ht="13.8" hidden="false" customHeight="false" outlineLevel="0" collapsed="false">
      <c r="A16" s="57"/>
      <c r="B16" s="58"/>
      <c r="C16" s="58"/>
      <c r="D16" s="58" t="s">
        <v>401</v>
      </c>
      <c r="E16" s="59" t="n">
        <v>1474.47550282486</v>
      </c>
      <c r="F16" s="55" t="n">
        <v>0.0180564971751412</v>
      </c>
    </row>
    <row r="17" customFormat="false" ht="13.8" hidden="false" customHeight="false" outlineLevel="0" collapsed="false">
      <c r="A17" s="57"/>
      <c r="B17" s="58"/>
      <c r="C17" s="58"/>
      <c r="D17" s="58" t="s">
        <v>402</v>
      </c>
      <c r="E17" s="59" t="n">
        <v>86.7338531073446</v>
      </c>
      <c r="F17" s="55" t="n">
        <v>0.00106214689265537</v>
      </c>
    </row>
    <row r="18" customFormat="false" ht="13.8" hidden="false" customHeight="false" outlineLevel="0" collapsed="false">
      <c r="A18" s="57"/>
      <c r="B18" s="58"/>
      <c r="C18" s="58"/>
      <c r="D18" s="58" t="s">
        <v>406</v>
      </c>
      <c r="E18" s="59" t="n">
        <v>3968.07377966102</v>
      </c>
      <c r="F18" s="55" t="n">
        <v>0.0485932203389831</v>
      </c>
    </row>
    <row r="19" customFormat="false" ht="13.8" hidden="false" customHeight="false" outlineLevel="0" collapsed="false">
      <c r="A19" s="57"/>
      <c r="B19" s="58" t="s">
        <v>407</v>
      </c>
      <c r="C19" s="58"/>
      <c r="D19" s="58" t="s">
        <v>406</v>
      </c>
      <c r="E19" s="59" t="n">
        <v>2668.71079710145</v>
      </c>
      <c r="F19" s="55" t="n">
        <v>0.0326811594202899</v>
      </c>
    </row>
    <row r="20" customFormat="false" ht="13.8" hidden="false" customHeight="false" outlineLevel="0" collapsed="false">
      <c r="A20" s="57"/>
      <c r="B20" s="58" t="s">
        <v>396</v>
      </c>
      <c r="C20" s="60" t="s">
        <v>408</v>
      </c>
      <c r="D20" s="58" t="s">
        <v>252</v>
      </c>
      <c r="E20" s="59" t="n">
        <v>734.677085199005</v>
      </c>
      <c r="F20" s="55" t="n">
        <v>0.00899689054726368</v>
      </c>
    </row>
    <row r="21" customFormat="false" ht="13.8" hidden="false" customHeight="false" outlineLevel="0" collapsed="false">
      <c r="A21" s="57"/>
      <c r="B21" s="58"/>
      <c r="C21" s="58"/>
      <c r="D21" s="58" t="s">
        <v>399</v>
      </c>
      <c r="E21" s="59" t="n">
        <v>1166.84007649254</v>
      </c>
      <c r="F21" s="55" t="n">
        <v>0.0142891791044776</v>
      </c>
    </row>
    <row r="22" customFormat="false" ht="13.8" hidden="false" customHeight="false" outlineLevel="0" collapsed="false">
      <c r="A22" s="57"/>
      <c r="B22" s="58"/>
      <c r="C22" s="58"/>
      <c r="D22" s="58" t="s">
        <v>401</v>
      </c>
      <c r="E22" s="59" t="n">
        <v>21.6081495646766</v>
      </c>
      <c r="F22" s="55" t="n">
        <v>0.000264614427860696</v>
      </c>
    </row>
    <row r="23" customFormat="false" ht="13.8" hidden="false" customHeight="false" outlineLevel="0" collapsed="false">
      <c r="A23" s="57"/>
      <c r="B23" s="58"/>
      <c r="C23" s="58"/>
      <c r="D23" s="58" t="s">
        <v>402</v>
      </c>
      <c r="E23" s="59" t="n">
        <v>194.47334608209</v>
      </c>
      <c r="F23" s="55" t="n">
        <v>0.00238152985074627</v>
      </c>
    </row>
    <row r="24" customFormat="false" ht="13.8" hidden="false" customHeight="false" outlineLevel="0" collapsed="false">
      <c r="A24" s="57"/>
      <c r="B24" s="58" t="s">
        <v>404</v>
      </c>
      <c r="C24" s="58"/>
      <c r="D24" s="58" t="s">
        <v>405</v>
      </c>
      <c r="E24" s="59" t="n">
        <v>216.834632768362</v>
      </c>
      <c r="F24" s="55" t="n">
        <v>0.00265536723163842</v>
      </c>
    </row>
    <row r="25" customFormat="false" ht="13.8" hidden="false" customHeight="false" outlineLevel="0" collapsed="false">
      <c r="A25" s="57"/>
      <c r="B25" s="58"/>
      <c r="C25" s="58"/>
      <c r="D25" s="58" t="s">
        <v>401</v>
      </c>
      <c r="E25" s="59" t="n">
        <v>108.417316384181</v>
      </c>
      <c r="F25" s="55" t="n">
        <v>0.00132768361581921</v>
      </c>
    </row>
    <row r="26" customFormat="false" ht="13.8" hidden="false" customHeight="false" outlineLevel="0" collapsed="false">
      <c r="A26" s="57"/>
      <c r="B26" s="58"/>
      <c r="C26" s="58"/>
      <c r="D26" s="58" t="s">
        <v>406</v>
      </c>
      <c r="E26" s="59" t="n">
        <v>1322.69125988701</v>
      </c>
      <c r="F26" s="55" t="n">
        <v>0.0161977401129943</v>
      </c>
    </row>
    <row r="27" customFormat="false" ht="13.8" hidden="false" customHeight="false" outlineLevel="0" collapsed="false">
      <c r="A27" s="61"/>
      <c r="B27" s="60" t="s">
        <v>407</v>
      </c>
      <c r="C27" s="60"/>
      <c r="D27" s="60" t="s">
        <v>406</v>
      </c>
      <c r="E27" s="62" t="n">
        <v>542.420893719807</v>
      </c>
      <c r="F27" s="55" t="n">
        <v>0.00664251207729469</v>
      </c>
    </row>
    <row r="28" customFormat="false" ht="14.9" hidden="false" customHeight="false" outlineLevel="0" collapsed="false">
      <c r="A28" s="63" t="s">
        <v>409</v>
      </c>
      <c r="B28" s="64" t="s">
        <v>404</v>
      </c>
      <c r="C28" s="53" t="s">
        <v>410</v>
      </c>
      <c r="D28" s="53" t="s">
        <v>405</v>
      </c>
      <c r="E28" s="54" t="n">
        <v>64.2045454545455</v>
      </c>
      <c r="F28" s="65" t="n">
        <v>0.03470715835141</v>
      </c>
    </row>
    <row r="29" customFormat="false" ht="13.8" hidden="false" customHeight="false" outlineLevel="0" collapsed="false">
      <c r="A29" s="66"/>
      <c r="B29" s="67"/>
      <c r="C29" s="58"/>
      <c r="D29" s="58" t="s">
        <v>399</v>
      </c>
      <c r="E29" s="59" t="n">
        <v>770.454545454546</v>
      </c>
      <c r="F29" s="55" t="n">
        <v>0.41648590021692</v>
      </c>
    </row>
    <row r="30" customFormat="false" ht="13.8" hidden="false" customHeight="false" outlineLevel="0" collapsed="false">
      <c r="A30" s="66"/>
      <c r="B30" s="67"/>
      <c r="C30" s="58"/>
      <c r="D30" s="58" t="s">
        <v>401</v>
      </c>
      <c r="E30" s="59" t="n">
        <v>124.396306818182</v>
      </c>
      <c r="F30" s="55" t="n">
        <v>0.0672451193058568</v>
      </c>
    </row>
    <row r="31" customFormat="false" ht="13.8" hidden="false" customHeight="false" outlineLevel="0" collapsed="false">
      <c r="A31" s="66"/>
      <c r="B31" s="67"/>
      <c r="C31" s="58"/>
      <c r="D31" s="58" t="s">
        <v>402</v>
      </c>
      <c r="E31" s="59" t="n">
        <v>88.28125</v>
      </c>
      <c r="F31" s="55" t="n">
        <v>0.0477223427331887</v>
      </c>
    </row>
    <row r="32" customFormat="false" ht="13.8" hidden="false" customHeight="false" outlineLevel="0" collapsed="false">
      <c r="A32" s="66"/>
      <c r="B32" s="67"/>
      <c r="C32" s="58"/>
      <c r="D32" s="58" t="s">
        <v>406</v>
      </c>
      <c r="E32" s="59" t="n">
        <v>248.792613636364</v>
      </c>
      <c r="F32" s="55" t="n">
        <v>0.134490238611714</v>
      </c>
    </row>
    <row r="33" customFormat="false" ht="13.8" hidden="false" customHeight="false" outlineLevel="0" collapsed="false">
      <c r="A33" s="66"/>
      <c r="B33" s="67"/>
      <c r="C33" s="58" t="s">
        <v>411</v>
      </c>
      <c r="D33" s="58" t="s">
        <v>405</v>
      </c>
      <c r="E33" s="59" t="n">
        <v>232.741477272727</v>
      </c>
      <c r="F33" s="55" t="n">
        <v>0.125813449023861</v>
      </c>
    </row>
    <row r="34" customFormat="false" ht="13.8" hidden="false" customHeight="false" outlineLevel="0" collapsed="false">
      <c r="A34" s="66"/>
      <c r="B34" s="67"/>
      <c r="C34" s="58"/>
      <c r="D34" s="58" t="s">
        <v>399</v>
      </c>
      <c r="E34" s="59" t="n">
        <v>120.383522727273</v>
      </c>
      <c r="F34" s="55" t="n">
        <v>0.0650759219088937</v>
      </c>
    </row>
    <row r="35" customFormat="false" ht="13.8" hidden="false" customHeight="false" outlineLevel="0" collapsed="false">
      <c r="A35" s="66"/>
      <c r="B35" s="67"/>
      <c r="C35" s="58"/>
      <c r="D35" s="58" t="s">
        <v>402</v>
      </c>
      <c r="E35" s="59" t="n">
        <v>16.0511363636364</v>
      </c>
      <c r="F35" s="55" t="n">
        <v>0.0086767895878525</v>
      </c>
    </row>
    <row r="36" customFormat="false" ht="13.8" hidden="false" customHeight="false" outlineLevel="0" collapsed="false">
      <c r="A36" s="66"/>
      <c r="B36" s="67"/>
      <c r="C36" s="58"/>
      <c r="D36" s="58" t="s">
        <v>406</v>
      </c>
      <c r="E36" s="59" t="n">
        <v>148.473011363636</v>
      </c>
      <c r="F36" s="55" t="n">
        <v>0.0802603036876356</v>
      </c>
    </row>
    <row r="37" customFormat="false" ht="13.8" hidden="false" customHeight="false" outlineLevel="0" collapsed="false">
      <c r="A37" s="66"/>
      <c r="B37" s="67"/>
      <c r="C37" s="60" t="s">
        <v>412</v>
      </c>
      <c r="D37" s="58" t="s">
        <v>405</v>
      </c>
      <c r="E37" s="59" t="n">
        <v>16.0511363636364</v>
      </c>
      <c r="F37" s="55" t="n">
        <v>0.0086767895878525</v>
      </c>
    </row>
    <row r="38" customFormat="false" ht="13.8" hidden="false" customHeight="false" outlineLevel="0" collapsed="false">
      <c r="A38" s="68"/>
      <c r="B38" s="69"/>
      <c r="C38" s="60"/>
      <c r="D38" s="60" t="s">
        <v>399</v>
      </c>
      <c r="E38" s="62" t="n">
        <v>20.0639204545455</v>
      </c>
      <c r="F38" s="70" t="n">
        <v>0.0108459869848156</v>
      </c>
    </row>
    <row r="39" customFormat="false" ht="14.9" hidden="false" customHeight="false" outlineLevel="0" collapsed="false">
      <c r="A39" s="63" t="s">
        <v>413</v>
      </c>
      <c r="B39" s="64" t="s">
        <v>404</v>
      </c>
      <c r="C39" s="53" t="s">
        <v>414</v>
      </c>
      <c r="D39" s="53" t="s">
        <v>405</v>
      </c>
      <c r="E39" s="54" t="n">
        <v>24.0767045454545</v>
      </c>
      <c r="F39" s="71" t="n">
        <v>0.0246913580246914</v>
      </c>
    </row>
    <row r="40" customFormat="false" ht="13.8" hidden="false" customHeight="false" outlineLevel="0" collapsed="false">
      <c r="A40" s="66"/>
      <c r="B40" s="67"/>
      <c r="C40" s="58"/>
      <c r="D40" s="58" t="s">
        <v>399</v>
      </c>
      <c r="E40" s="59" t="n">
        <v>433.380681818182</v>
      </c>
      <c r="F40" s="55" t="n">
        <v>0.444444444444444</v>
      </c>
    </row>
    <row r="41" customFormat="false" ht="13.8" hidden="false" customHeight="false" outlineLevel="0" collapsed="false">
      <c r="A41" s="66"/>
      <c r="B41" s="67"/>
      <c r="C41" s="58"/>
      <c r="D41" s="58" t="s">
        <v>401</v>
      </c>
      <c r="E41" s="59" t="n">
        <v>8.02556818181818</v>
      </c>
      <c r="F41" s="55" t="n">
        <v>0.00823045267489712</v>
      </c>
    </row>
    <row r="42" customFormat="false" ht="13.8" hidden="false" customHeight="false" outlineLevel="0" collapsed="false">
      <c r="A42" s="66"/>
      <c r="B42" s="67"/>
      <c r="C42" s="58"/>
      <c r="D42" s="58" t="s">
        <v>402</v>
      </c>
      <c r="E42" s="59" t="n">
        <v>48.1534090909091</v>
      </c>
      <c r="F42" s="55" t="n">
        <v>0.0493827160493827</v>
      </c>
    </row>
    <row r="43" customFormat="false" ht="13.8" hidden="false" customHeight="false" outlineLevel="0" collapsed="false">
      <c r="A43" s="66"/>
      <c r="B43" s="67"/>
      <c r="C43" s="58"/>
      <c r="D43" s="58" t="s">
        <v>406</v>
      </c>
      <c r="E43" s="59" t="n">
        <v>112.357954545455</v>
      </c>
      <c r="F43" s="55" t="n">
        <v>0.11522633744856</v>
      </c>
    </row>
    <row r="44" customFormat="false" ht="13.8" hidden="false" customHeight="false" outlineLevel="0" collapsed="false">
      <c r="A44" s="66"/>
      <c r="B44" s="67"/>
      <c r="C44" s="58" t="s">
        <v>415</v>
      </c>
      <c r="D44" s="58" t="s">
        <v>405</v>
      </c>
      <c r="E44" s="59" t="n">
        <v>8.02556818181818</v>
      </c>
      <c r="F44" s="55" t="n">
        <v>0.00823045267489712</v>
      </c>
    </row>
    <row r="45" customFormat="false" ht="13.8" hidden="false" customHeight="false" outlineLevel="0" collapsed="false">
      <c r="A45" s="66"/>
      <c r="B45" s="67"/>
      <c r="C45" s="58"/>
      <c r="D45" s="58" t="s">
        <v>399</v>
      </c>
      <c r="E45" s="59" t="n">
        <v>56.1789772727273</v>
      </c>
      <c r="F45" s="55" t="n">
        <v>0.0576131687242798</v>
      </c>
    </row>
    <row r="46" customFormat="false" ht="13.8" hidden="false" customHeight="false" outlineLevel="0" collapsed="false">
      <c r="A46" s="66"/>
      <c r="B46" s="67"/>
      <c r="C46" s="58"/>
      <c r="D46" s="58" t="s">
        <v>402</v>
      </c>
      <c r="E46" s="59" t="n">
        <v>32.1022727272727</v>
      </c>
      <c r="F46" s="55" t="n">
        <v>0.0329218106995885</v>
      </c>
    </row>
    <row r="47" customFormat="false" ht="13.8" hidden="false" customHeight="false" outlineLevel="0" collapsed="false">
      <c r="A47" s="66"/>
      <c r="B47" s="67"/>
      <c r="C47" s="58" t="s">
        <v>416</v>
      </c>
      <c r="D47" s="58" t="s">
        <v>405</v>
      </c>
      <c r="E47" s="59" t="n">
        <v>8.02556818181818</v>
      </c>
      <c r="F47" s="55" t="n">
        <v>0.00823045267489712</v>
      </c>
    </row>
    <row r="48" customFormat="false" ht="13.8" hidden="false" customHeight="false" outlineLevel="0" collapsed="false">
      <c r="A48" s="66"/>
      <c r="B48" s="67"/>
      <c r="C48" s="58"/>
      <c r="D48" s="58" t="s">
        <v>399</v>
      </c>
      <c r="E48" s="59" t="n">
        <v>120.383522727273</v>
      </c>
      <c r="F48" s="55" t="n">
        <v>0.123456790123457</v>
      </c>
    </row>
    <row r="49" customFormat="false" ht="13.8" hidden="false" customHeight="false" outlineLevel="0" collapsed="false">
      <c r="A49" s="66"/>
      <c r="B49" s="67"/>
      <c r="C49" s="58"/>
      <c r="D49" s="58" t="s">
        <v>401</v>
      </c>
      <c r="E49" s="59" t="n">
        <v>4.01278409090909</v>
      </c>
      <c r="F49" s="55" t="n">
        <v>0.00411522633744856</v>
      </c>
    </row>
    <row r="50" customFormat="false" ht="13.8" hidden="false" customHeight="false" outlineLevel="0" collapsed="false">
      <c r="A50" s="66"/>
      <c r="B50" s="67"/>
      <c r="C50" s="58"/>
      <c r="D50" s="58" t="s">
        <v>402</v>
      </c>
      <c r="E50" s="59" t="n">
        <v>28.0894886363636</v>
      </c>
      <c r="F50" s="55" t="n">
        <v>0.0288065843621399</v>
      </c>
    </row>
    <row r="51" customFormat="false" ht="13.8" hidden="false" customHeight="false" outlineLevel="0" collapsed="false">
      <c r="A51" s="66"/>
      <c r="B51" s="67"/>
      <c r="C51" s="58"/>
      <c r="D51" s="58" t="s">
        <v>406</v>
      </c>
      <c r="E51" s="59" t="n">
        <v>76.2428977272727</v>
      </c>
      <c r="F51" s="55" t="n">
        <v>0.0781893004115226</v>
      </c>
    </row>
    <row r="52" customFormat="false" ht="13.8" hidden="false" customHeight="false" outlineLevel="0" collapsed="false">
      <c r="A52" s="68"/>
      <c r="B52" s="69"/>
      <c r="C52" s="72" t="s">
        <v>417</v>
      </c>
      <c r="D52" s="60" t="s">
        <v>399</v>
      </c>
      <c r="E52" s="62" t="n">
        <v>16.0511363636364</v>
      </c>
      <c r="F52" s="70" t="n">
        <v>0.0164609053497942</v>
      </c>
    </row>
    <row r="53" customFormat="false" ht="13.8" hidden="false" customHeight="false" outlineLevel="0" collapsed="false">
      <c r="A53" s="52" t="s">
        <v>169</v>
      </c>
      <c r="B53" s="64" t="s">
        <v>404</v>
      </c>
      <c r="C53" s="53" t="s">
        <v>418</v>
      </c>
      <c r="D53" s="53" t="s">
        <v>405</v>
      </c>
      <c r="E53" s="54" t="n">
        <v>11.2241379310345</v>
      </c>
      <c r="F53" s="71" t="n">
        <v>0.00431034482758621</v>
      </c>
    </row>
    <row r="54" customFormat="false" ht="13.8" hidden="false" customHeight="false" outlineLevel="0" collapsed="false">
      <c r="A54" s="57"/>
      <c r="B54" s="58"/>
      <c r="C54" s="58"/>
      <c r="D54" s="58" t="s">
        <v>399</v>
      </c>
      <c r="E54" s="59" t="n">
        <v>2174.67672413793</v>
      </c>
      <c r="F54" s="55" t="n">
        <v>0.835129310344828</v>
      </c>
    </row>
    <row r="55" customFormat="false" ht="13.8" hidden="false" customHeight="false" outlineLevel="0" collapsed="false">
      <c r="A55" s="57"/>
      <c r="B55" s="58"/>
      <c r="C55" s="58"/>
      <c r="D55" s="58" t="s">
        <v>419</v>
      </c>
      <c r="E55" s="59" t="n">
        <v>193.616379310345</v>
      </c>
      <c r="F55" s="55" t="n">
        <v>0.0743534482758621</v>
      </c>
    </row>
    <row r="56" customFormat="false" ht="13.8" hidden="false" customHeight="false" outlineLevel="0" collapsed="false">
      <c r="A56" s="57"/>
      <c r="B56" s="58"/>
      <c r="C56" s="58"/>
      <c r="D56" s="58" t="s">
        <v>420</v>
      </c>
      <c r="E56" s="59" t="n">
        <v>221.676724137931</v>
      </c>
      <c r="F56" s="55" t="n">
        <v>0.0851293103448276</v>
      </c>
    </row>
    <row r="57" customFormat="false" ht="14.9" hidden="false" customHeight="false" outlineLevel="0" collapsed="false">
      <c r="A57" s="61"/>
      <c r="B57" s="60"/>
      <c r="C57" s="73" t="s">
        <v>421</v>
      </c>
      <c r="D57" s="60" t="s">
        <v>399</v>
      </c>
      <c r="E57" s="62" t="n">
        <v>2.80603448275862</v>
      </c>
      <c r="F57" s="70" t="n">
        <v>0.00107758620689655</v>
      </c>
    </row>
    <row r="58" customFormat="false" ht="13.8" hidden="false" customHeight="false" outlineLevel="0" collapsed="false">
      <c r="A58" s="74" t="s">
        <v>422</v>
      </c>
      <c r="B58" s="53" t="s">
        <v>396</v>
      </c>
      <c r="C58" s="53" t="s">
        <v>423</v>
      </c>
      <c r="D58" s="53" t="s">
        <v>405</v>
      </c>
      <c r="E58" s="54" t="n">
        <v>14760.6743801653</v>
      </c>
      <c r="F58" s="71" t="n">
        <v>0.185123966942149</v>
      </c>
    </row>
    <row r="59" customFormat="false" ht="13.8" hidden="false" customHeight="false" outlineLevel="0" collapsed="false">
      <c r="A59" s="61" t="s">
        <v>424</v>
      </c>
      <c r="B59" s="60" t="s">
        <v>396</v>
      </c>
      <c r="C59" s="58" t="s">
        <v>425</v>
      </c>
      <c r="D59" s="58" t="s">
        <v>405</v>
      </c>
      <c r="E59" s="59" t="n">
        <v>7832.1945690673</v>
      </c>
      <c r="F59" s="55" t="n">
        <v>0.0982290436835891</v>
      </c>
    </row>
    <row r="60" customFormat="false" ht="13.8" hidden="false" customHeight="false" outlineLevel="0" collapsed="false">
      <c r="A60" s="57"/>
      <c r="B60" s="58"/>
      <c r="C60" s="58"/>
      <c r="D60" s="58" t="s">
        <v>399</v>
      </c>
      <c r="E60" s="59" t="n">
        <v>53996.9567886659</v>
      </c>
      <c r="F60" s="55" t="n">
        <v>0.677213695395514</v>
      </c>
    </row>
    <row r="61" customFormat="false" ht="13.8" hidden="false" customHeight="false" outlineLevel="0" collapsed="false">
      <c r="A61" s="57"/>
      <c r="B61" s="58"/>
      <c r="C61" s="58" t="s">
        <v>426</v>
      </c>
      <c r="D61" s="58" t="s">
        <v>405</v>
      </c>
      <c r="E61" s="59" t="n">
        <v>357.720425029516</v>
      </c>
      <c r="F61" s="55" t="n">
        <v>0.00448642266824085</v>
      </c>
    </row>
    <row r="62" customFormat="false" ht="13.8" hidden="false" customHeight="false" outlineLevel="0" collapsed="false">
      <c r="A62" s="57"/>
      <c r="B62" s="58"/>
      <c r="C62" s="58"/>
      <c r="D62" s="58" t="s">
        <v>399</v>
      </c>
      <c r="E62" s="59" t="n">
        <v>2165.14994096812</v>
      </c>
      <c r="F62" s="55" t="n">
        <v>0.0271546635182999</v>
      </c>
    </row>
    <row r="63" customFormat="false" ht="13.8" hidden="false" customHeight="false" outlineLevel="0" collapsed="false">
      <c r="A63" s="57"/>
      <c r="B63" s="58"/>
      <c r="C63" s="58" t="s">
        <v>427</v>
      </c>
      <c r="D63" s="58" t="s">
        <v>405</v>
      </c>
      <c r="E63" s="59" t="n">
        <v>37.6547815820543</v>
      </c>
      <c r="F63" s="55" t="n">
        <v>0.000472255017709563</v>
      </c>
    </row>
    <row r="64" customFormat="false" ht="13.8" hidden="false" customHeight="false" outlineLevel="0" collapsed="false">
      <c r="A64" s="61"/>
      <c r="B64" s="60"/>
      <c r="C64" s="72"/>
      <c r="D64" s="60" t="s">
        <v>399</v>
      </c>
      <c r="E64" s="62" t="n">
        <v>583.649114521842</v>
      </c>
      <c r="F64" s="70" t="n">
        <v>0.00731995277449823</v>
      </c>
    </row>
    <row r="65" customFormat="false" ht="13.8" hidden="false" customHeight="false" outlineLevel="0" collapsed="false">
      <c r="A65" s="52" t="s">
        <v>403</v>
      </c>
      <c r="B65" s="53" t="s">
        <v>396</v>
      </c>
      <c r="C65" s="53" t="s">
        <v>397</v>
      </c>
      <c r="D65" s="53" t="s">
        <v>252</v>
      </c>
      <c r="E65" s="54" t="n">
        <v>65.3387755102041</v>
      </c>
      <c r="F65" s="71" t="n">
        <v>0.0281632653061224</v>
      </c>
    </row>
    <row r="66" customFormat="false" ht="13.8" hidden="false" customHeight="false" outlineLevel="0" collapsed="false">
      <c r="A66" s="57"/>
      <c r="B66" s="58"/>
      <c r="C66" s="58"/>
      <c r="D66" s="58" t="s">
        <v>399</v>
      </c>
      <c r="E66" s="59" t="n">
        <v>182.948571428571</v>
      </c>
      <c r="F66" s="55" t="n">
        <v>0.0788571428571428</v>
      </c>
    </row>
    <row r="67" customFormat="false" ht="13.8" hidden="false" customHeight="false" outlineLevel="0" collapsed="false">
      <c r="A67" s="57"/>
      <c r="B67" s="58"/>
      <c r="C67" s="58"/>
      <c r="D67" s="58" t="s">
        <v>401</v>
      </c>
      <c r="E67" s="59" t="n">
        <v>6.53387755102041</v>
      </c>
      <c r="F67" s="55" t="n">
        <v>0.00281632653061224</v>
      </c>
    </row>
    <row r="68" customFormat="false" ht="13.8" hidden="false" customHeight="false" outlineLevel="0" collapsed="false">
      <c r="A68" s="57"/>
      <c r="B68" s="58"/>
      <c r="C68" s="58"/>
      <c r="D68" s="58" t="s">
        <v>402</v>
      </c>
      <c r="E68" s="59" t="n">
        <v>588.048979591837</v>
      </c>
      <c r="F68" s="55" t="n">
        <v>0.253469387755102</v>
      </c>
    </row>
    <row r="69" customFormat="false" ht="13.8" hidden="false" customHeight="false" outlineLevel="0" collapsed="false">
      <c r="A69" s="57"/>
      <c r="B69" s="58" t="s">
        <v>404</v>
      </c>
      <c r="C69" s="58"/>
      <c r="D69" s="58" t="s">
        <v>405</v>
      </c>
      <c r="E69" s="59" t="n">
        <v>6.57333333333333</v>
      </c>
      <c r="F69" s="55" t="n">
        <v>0.00283333333333333</v>
      </c>
    </row>
    <row r="70" customFormat="false" ht="13.8" hidden="false" customHeight="false" outlineLevel="0" collapsed="false">
      <c r="A70" s="57"/>
      <c r="B70" s="58"/>
      <c r="C70" s="58"/>
      <c r="D70" s="58" t="s">
        <v>406</v>
      </c>
      <c r="E70" s="59" t="n">
        <v>59.16</v>
      </c>
      <c r="F70" s="55" t="n">
        <v>0.0255</v>
      </c>
    </row>
    <row r="71" customFormat="false" ht="13.8" hidden="false" customHeight="false" outlineLevel="0" collapsed="false">
      <c r="A71" s="57"/>
      <c r="B71" s="58" t="s">
        <v>407</v>
      </c>
      <c r="C71" s="58"/>
      <c r="D71" s="58" t="s">
        <v>406</v>
      </c>
      <c r="E71" s="59" t="n">
        <v>411.634285714286</v>
      </c>
      <c r="F71" s="55" t="n">
        <v>0.177428571428571</v>
      </c>
    </row>
    <row r="72" customFormat="false" ht="13.8" hidden="false" customHeight="false" outlineLevel="0" collapsed="false">
      <c r="A72" s="57"/>
      <c r="B72" s="58"/>
      <c r="C72" s="60" t="s">
        <v>41</v>
      </c>
      <c r="D72" s="58" t="s">
        <v>399</v>
      </c>
      <c r="E72" s="59" t="n">
        <v>117.609795918367</v>
      </c>
      <c r="F72" s="55" t="n">
        <v>0.0506938775510204</v>
      </c>
    </row>
    <row r="73" customFormat="false" ht="13.8" hidden="false" customHeight="false" outlineLevel="0" collapsed="false">
      <c r="A73" s="57"/>
      <c r="B73" s="58"/>
      <c r="C73" s="58"/>
      <c r="D73" s="58" t="s">
        <v>406</v>
      </c>
      <c r="E73" s="59" t="n">
        <v>13.1466666666667</v>
      </c>
      <c r="F73" s="55" t="n">
        <v>0.00566666666666667</v>
      </c>
    </row>
    <row r="74" customFormat="false" ht="13.8" hidden="false" customHeight="false" outlineLevel="0" collapsed="false">
      <c r="A74" s="61"/>
      <c r="B74" s="60" t="s">
        <v>407</v>
      </c>
      <c r="C74" s="60"/>
      <c r="D74" s="60" t="s">
        <v>406</v>
      </c>
      <c r="E74" s="62" t="n">
        <v>869.005714285714</v>
      </c>
      <c r="F74" s="70" t="n">
        <v>0.374571428571429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3111</TotalTime>
  <Application>LibreOffice/7.2.2.2$Linux_X86_64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2020-02-11T18:11:01Z</dcterms:created>
  <dc:creator>Sergio</dc:creator>
  <dc:description/>
  <dc:language>en-US</dc:language>
  <cp:lastModifiedBy/>
  <dcterms:modified xsi:type="dcterms:W3CDTF">2021-11-11T17:04:38Z</dcterms:modified>
  <cp:revision>322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